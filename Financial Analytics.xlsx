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a4d920b149924a59/Desktop/EXCEL/"/>
    </mc:Choice>
  </mc:AlternateContent>
  <xr:revisionPtr revIDLastSave="28" documentId="13_ncr:1_{9CC12111-009A-4999-80D8-DFBC0C98C0EB}" xr6:coauthVersionLast="47" xr6:coauthVersionMax="47" xr10:uidLastSave="{420843E9-28AC-4B07-9897-020EDD86569B}"/>
  <bookViews>
    <workbookView xWindow="-110" yWindow="-110" windowWidth="19420" windowHeight="10300" activeTab="1" xr2:uid="{00000000-000D-0000-FFFF-FFFF00000000}"/>
  </bookViews>
  <sheets>
    <sheet name="pivot table" sheetId="3" r:id="rId1"/>
    <sheet name="Dashboard" sheetId="4" r:id="rId2"/>
    <sheet name="Finance_Data" sheetId="1" r:id="rId3"/>
  </sheets>
  <definedNames>
    <definedName name="Slicer_Account_Type">#N/A</definedName>
    <definedName name="Slicer_Category">#N/A</definedName>
    <definedName name="Slicer_month">#N/A</definedName>
    <definedName name="Slicer_Region">#N/A</definedName>
    <definedName name="Slicer_Transaction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2" i="1"/>
  <c r="N9" i="3"/>
  <c r="N6" i="3"/>
  <c r="N5" i="3"/>
  <c r="N8" i="3"/>
  <c r="N7" i="3"/>
</calcChain>
</file>

<file path=xl/sharedStrings.xml><?xml version="1.0" encoding="utf-8"?>
<sst xmlns="http://schemas.openxmlformats.org/spreadsheetml/2006/main" count="13092" uniqueCount="2352">
  <si>
    <t>Transaction_ID</t>
  </si>
  <si>
    <t>Date</t>
  </si>
  <si>
    <t>Account_Type</t>
  </si>
  <si>
    <t>Customer_ID</t>
  </si>
  <si>
    <t>Region</t>
  </si>
  <si>
    <t>Branch</t>
  </si>
  <si>
    <t>Transaction_Type</t>
  </si>
  <si>
    <t>Payment_Method</t>
  </si>
  <si>
    <t>Currency</t>
  </si>
  <si>
    <t>Amount</t>
  </si>
  <si>
    <t>Fee</t>
  </si>
  <si>
    <t>Tax</t>
  </si>
  <si>
    <t>Discount</t>
  </si>
  <si>
    <t>Net_Amount</t>
  </si>
  <si>
    <t>Balance</t>
  </si>
  <si>
    <t>Credit_Score</t>
  </si>
  <si>
    <t>Risk_Level</t>
  </si>
  <si>
    <t>Status</t>
  </si>
  <si>
    <t>Category</t>
  </si>
  <si>
    <t>Remarks</t>
  </si>
  <si>
    <t>TXN100002</t>
  </si>
  <si>
    <t>2025-02-13</t>
  </si>
  <si>
    <t>Current</t>
  </si>
  <si>
    <t>CUST7423</t>
  </si>
  <si>
    <t>South</t>
  </si>
  <si>
    <t>D</t>
  </si>
  <si>
    <t>Payment</t>
  </si>
  <si>
    <t>RTGS</t>
  </si>
  <si>
    <t>USD</t>
  </si>
  <si>
    <t>Low</t>
  </si>
  <si>
    <t>Pending</t>
  </si>
  <si>
    <t>Investment</t>
  </si>
  <si>
    <t>None</t>
  </si>
  <si>
    <t>TXN100003</t>
  </si>
  <si>
    <t>2025-11-24</t>
  </si>
  <si>
    <t>Business</t>
  </si>
  <si>
    <t>CUST5048</t>
  </si>
  <si>
    <t>West</t>
  </si>
  <si>
    <t>C</t>
  </si>
  <si>
    <t>UPI</t>
  </si>
  <si>
    <t>INR</t>
  </si>
  <si>
    <t>Verified</t>
  </si>
  <si>
    <t>TXN100004</t>
  </si>
  <si>
    <t>2025-04-05</t>
  </si>
  <si>
    <t>CUST8210</t>
  </si>
  <si>
    <t>North</t>
  </si>
  <si>
    <t>A</t>
  </si>
  <si>
    <t>Deposit</t>
  </si>
  <si>
    <t>NEFT</t>
  </si>
  <si>
    <t>TXN100005</t>
  </si>
  <si>
    <t>2025-11-08</t>
  </si>
  <si>
    <t>CUST6383</t>
  </si>
  <si>
    <t>Cash</t>
  </si>
  <si>
    <t>Medium</t>
  </si>
  <si>
    <t>Failed</t>
  </si>
  <si>
    <t>Review</t>
  </si>
  <si>
    <t>TXN100006</t>
  </si>
  <si>
    <t>2025-04-13</t>
  </si>
  <si>
    <t>CUST2889</t>
  </si>
  <si>
    <t>B</t>
  </si>
  <si>
    <t>Transfer</t>
  </si>
  <si>
    <t>EUR</t>
  </si>
  <si>
    <t>Retail</t>
  </si>
  <si>
    <t>TXN100007</t>
  </si>
  <si>
    <t>2025-03-28</t>
  </si>
  <si>
    <t>CUST3946</t>
  </si>
  <si>
    <t>Card</t>
  </si>
  <si>
    <t>TXN100008</t>
  </si>
  <si>
    <t>2025-11-27</t>
  </si>
  <si>
    <t>CUST6497</t>
  </si>
  <si>
    <t>East</t>
  </si>
  <si>
    <t>TXN100009</t>
  </si>
  <si>
    <t>2025-01-17</t>
  </si>
  <si>
    <t>CUST7194</t>
  </si>
  <si>
    <t>High</t>
  </si>
  <si>
    <t>Completed</t>
  </si>
  <si>
    <t>TXN100010</t>
  </si>
  <si>
    <t>2025-05-19</t>
  </si>
  <si>
    <t>CUST3236</t>
  </si>
  <si>
    <t>Insurance</t>
  </si>
  <si>
    <t>TXN100011</t>
  </si>
  <si>
    <t>2025-10-17</t>
  </si>
  <si>
    <t>CUST5478</t>
  </si>
  <si>
    <t>TXN100012</t>
  </si>
  <si>
    <t>2025-11-30</t>
  </si>
  <si>
    <t>CUST9219</t>
  </si>
  <si>
    <t>Loan</t>
  </si>
  <si>
    <t>TXN100013</t>
  </si>
  <si>
    <t>2025-07-16</t>
  </si>
  <si>
    <t>CUST2267</t>
  </si>
  <si>
    <t>TXN100014</t>
  </si>
  <si>
    <t>2025-10-31</t>
  </si>
  <si>
    <t>CUST5520</t>
  </si>
  <si>
    <t>TXN100015</t>
  </si>
  <si>
    <t>2025-07-06</t>
  </si>
  <si>
    <t>Savings</t>
  </si>
  <si>
    <t>CUST4931</t>
  </si>
  <si>
    <t>TXN100016</t>
  </si>
  <si>
    <t>2025-07-22</t>
  </si>
  <si>
    <t>CUST7642</t>
  </si>
  <si>
    <t>TXN100017</t>
  </si>
  <si>
    <t>2025-08-19</t>
  </si>
  <si>
    <t>CUST1594</t>
  </si>
  <si>
    <t>Withdrawal</t>
  </si>
  <si>
    <t>TXN100018</t>
  </si>
  <si>
    <t>CUST8715</t>
  </si>
  <si>
    <t>TXN100019</t>
  </si>
  <si>
    <t>2025-08-15</t>
  </si>
  <si>
    <t>CUST6128</t>
  </si>
  <si>
    <t>TXN100020</t>
  </si>
  <si>
    <t>2025-12-03</t>
  </si>
  <si>
    <t>CUST5530</t>
  </si>
  <si>
    <t>TXN100021</t>
  </si>
  <si>
    <t>2025-07-29</t>
  </si>
  <si>
    <t>CUST8449</t>
  </si>
  <si>
    <t>TXN100022</t>
  </si>
  <si>
    <t>2025-02-01</t>
  </si>
  <si>
    <t>CUST6512</t>
  </si>
  <si>
    <t>TXN100023</t>
  </si>
  <si>
    <t>2025-11-16</t>
  </si>
  <si>
    <t>CUST2794</t>
  </si>
  <si>
    <t>TXN100024</t>
  </si>
  <si>
    <t>2025-11-06</t>
  </si>
  <si>
    <t>CUST2830</t>
  </si>
  <si>
    <t>TXN100025</t>
  </si>
  <si>
    <t>2025-05-31</t>
  </si>
  <si>
    <t>CUST2965</t>
  </si>
  <si>
    <t>TXN100026</t>
  </si>
  <si>
    <t>2025-04-23</t>
  </si>
  <si>
    <t>CUST1257</t>
  </si>
  <si>
    <t>TXN100027</t>
  </si>
  <si>
    <t>2025-10-22</t>
  </si>
  <si>
    <t>CUST2274</t>
  </si>
  <si>
    <t>TXN100028</t>
  </si>
  <si>
    <t>2025-03-19</t>
  </si>
  <si>
    <t>CUST2611</t>
  </si>
  <si>
    <t>TXN100029</t>
  </si>
  <si>
    <t>2025-04-14</t>
  </si>
  <si>
    <t>CUST2561</t>
  </si>
  <si>
    <t>TXN100030</t>
  </si>
  <si>
    <t>2025-12-24</t>
  </si>
  <si>
    <t>CUST4319</t>
  </si>
  <si>
    <t>TXN100031</t>
  </si>
  <si>
    <t>2025-06-28</t>
  </si>
  <si>
    <t>CUST8105</t>
  </si>
  <si>
    <t>TXN100032</t>
  </si>
  <si>
    <t>2025-08-17</t>
  </si>
  <si>
    <t>CUST4706</t>
  </si>
  <si>
    <t>TXN100033</t>
  </si>
  <si>
    <t>2025-02-19</t>
  </si>
  <si>
    <t>CUST6486</t>
  </si>
  <si>
    <t>TXN100034</t>
  </si>
  <si>
    <t>2025-02-10</t>
  </si>
  <si>
    <t>CUST2110</t>
  </si>
  <si>
    <t>TXN100035</t>
  </si>
  <si>
    <t>2025-03-27</t>
  </si>
  <si>
    <t>CUST3252</t>
  </si>
  <si>
    <t>TXN100036</t>
  </si>
  <si>
    <t>2025-12-06</t>
  </si>
  <si>
    <t>CUST1985</t>
  </si>
  <si>
    <t>TXN100037</t>
  </si>
  <si>
    <t>CUST1527</t>
  </si>
  <si>
    <t>TXN100038</t>
  </si>
  <si>
    <t>2025-08-04</t>
  </si>
  <si>
    <t>CUST6826</t>
  </si>
  <si>
    <t>TXN100039</t>
  </si>
  <si>
    <t>2025-02-14</t>
  </si>
  <si>
    <t>CUST7728</t>
  </si>
  <si>
    <t>TXN100040</t>
  </si>
  <si>
    <t>2025-01-06</t>
  </si>
  <si>
    <t>CUST5473</t>
  </si>
  <si>
    <t>TXN100041</t>
  </si>
  <si>
    <t>2025-03-21</t>
  </si>
  <si>
    <t>CUST4731</t>
  </si>
  <si>
    <t>TXN100042</t>
  </si>
  <si>
    <t>2025-03-14</t>
  </si>
  <si>
    <t>CUST1909</t>
  </si>
  <si>
    <t>TXN100043</t>
  </si>
  <si>
    <t>2025-02-20</t>
  </si>
  <si>
    <t>CUST2841</t>
  </si>
  <si>
    <t>TXN100044</t>
  </si>
  <si>
    <t>2025-05-06</t>
  </si>
  <si>
    <t>CUST6520</t>
  </si>
  <si>
    <t>TXN100045</t>
  </si>
  <si>
    <t>2025-05-25</t>
  </si>
  <si>
    <t>CUST5281</t>
  </si>
  <si>
    <t>TXN100046</t>
  </si>
  <si>
    <t>2025-03-05</t>
  </si>
  <si>
    <t>CUST1154</t>
  </si>
  <si>
    <t>TXN100047</t>
  </si>
  <si>
    <t>2025-03-26</t>
  </si>
  <si>
    <t>CUST2505</t>
  </si>
  <si>
    <t>TXN100048</t>
  </si>
  <si>
    <t>2025-02-05</t>
  </si>
  <si>
    <t>CUST7440</t>
  </si>
  <si>
    <t>TXN100049</t>
  </si>
  <si>
    <t>2025-08-31</t>
  </si>
  <si>
    <t>CUST4002</t>
  </si>
  <si>
    <t>TXN100050</t>
  </si>
  <si>
    <t>2025-10-29</t>
  </si>
  <si>
    <t>CUST9111</t>
  </si>
  <si>
    <t>TXN100051</t>
  </si>
  <si>
    <t>2025-06-15</t>
  </si>
  <si>
    <t>CUST3074</t>
  </si>
  <si>
    <t>TXN100052</t>
  </si>
  <si>
    <t>2025-06-23</t>
  </si>
  <si>
    <t>CUST9205</t>
  </si>
  <si>
    <t>TXN100053</t>
  </si>
  <si>
    <t>2025-10-13</t>
  </si>
  <si>
    <t>CUST9043</t>
  </si>
  <si>
    <t>TXN100054</t>
  </si>
  <si>
    <t>2025-02-09</t>
  </si>
  <si>
    <t>CUST5294</t>
  </si>
  <si>
    <t>TXN100055</t>
  </si>
  <si>
    <t>2025-07-13</t>
  </si>
  <si>
    <t>CUST3472</t>
  </si>
  <si>
    <t>TXN100056</t>
  </si>
  <si>
    <t>CUST7174</t>
  </si>
  <si>
    <t>TXN100057</t>
  </si>
  <si>
    <t>2025-12-05</t>
  </si>
  <si>
    <t>CUST1063</t>
  </si>
  <si>
    <t>TXN100058</t>
  </si>
  <si>
    <t>2025-01-09</t>
  </si>
  <si>
    <t>CUST2086</t>
  </si>
  <si>
    <t>TXN100059</t>
  </si>
  <si>
    <t>2025-02-24</t>
  </si>
  <si>
    <t>CUST9224</t>
  </si>
  <si>
    <t>TXN100060</t>
  </si>
  <si>
    <t>2025-12-28</t>
  </si>
  <si>
    <t>CUST2354</t>
  </si>
  <si>
    <t>TXN100061</t>
  </si>
  <si>
    <t>2025-01-20</t>
  </si>
  <si>
    <t>CUST4840</t>
  </si>
  <si>
    <t>TXN100062</t>
  </si>
  <si>
    <t>2025-07-24</t>
  </si>
  <si>
    <t>CUST8004</t>
  </si>
  <si>
    <t>TXN100063</t>
  </si>
  <si>
    <t>2025-08-10</t>
  </si>
  <si>
    <t>CUST9031</t>
  </si>
  <si>
    <t>TXN100064</t>
  </si>
  <si>
    <t>2025-10-11</t>
  </si>
  <si>
    <t>CUST9609</t>
  </si>
  <si>
    <t>TXN100065</t>
  </si>
  <si>
    <t>CUST6458</t>
  </si>
  <si>
    <t>TXN100066</t>
  </si>
  <si>
    <t>2025-05-16</t>
  </si>
  <si>
    <t>CUST3929</t>
  </si>
  <si>
    <t>TXN100067</t>
  </si>
  <si>
    <t>2025-10-23</t>
  </si>
  <si>
    <t>CUST9920</t>
  </si>
  <si>
    <t>TXN100068</t>
  </si>
  <si>
    <t>2025-12-20</t>
  </si>
  <si>
    <t>CUST6865</t>
  </si>
  <si>
    <t>TXN100069</t>
  </si>
  <si>
    <t>2025-06-20</t>
  </si>
  <si>
    <t>CUST5333</t>
  </si>
  <si>
    <t>TXN100070</t>
  </si>
  <si>
    <t>CUST2902</t>
  </si>
  <si>
    <t>TXN100071</t>
  </si>
  <si>
    <t>2025-05-21</t>
  </si>
  <si>
    <t>CUST5582</t>
  </si>
  <si>
    <t>TXN100072</t>
  </si>
  <si>
    <t>CUST5904</t>
  </si>
  <si>
    <t>TXN100073</t>
  </si>
  <si>
    <t>2025-12-31</t>
  </si>
  <si>
    <t>CUST4799</t>
  </si>
  <si>
    <t>TXN100074</t>
  </si>
  <si>
    <t>2025-10-26</t>
  </si>
  <si>
    <t>CUST2186</t>
  </si>
  <si>
    <t>TXN100075</t>
  </si>
  <si>
    <t>2025-03-02</t>
  </si>
  <si>
    <t>CUST7999</t>
  </si>
  <si>
    <t>TXN100076</t>
  </si>
  <si>
    <t>2025-07-11</t>
  </si>
  <si>
    <t>CUST5317</t>
  </si>
  <si>
    <t>TXN100077</t>
  </si>
  <si>
    <t>2025-08-09</t>
  </si>
  <si>
    <t>CUST8174</t>
  </si>
  <si>
    <t>TXN100078</t>
  </si>
  <si>
    <t>2025-08-21</t>
  </si>
  <si>
    <t>CUST4934</t>
  </si>
  <si>
    <t>TXN100079</t>
  </si>
  <si>
    <t>2025-12-25</t>
  </si>
  <si>
    <t>CUST3071</t>
  </si>
  <si>
    <t>TXN100080</t>
  </si>
  <si>
    <t>2025-06-29</t>
  </si>
  <si>
    <t>CUST3069</t>
  </si>
  <si>
    <t>TXN100081</t>
  </si>
  <si>
    <t>2025-06-06</t>
  </si>
  <si>
    <t>CUST3086</t>
  </si>
  <si>
    <t>TXN100082</t>
  </si>
  <si>
    <t>2025-12-07</t>
  </si>
  <si>
    <t>CUST7189</t>
  </si>
  <si>
    <t>TXN100083</t>
  </si>
  <si>
    <t>2025-08-29</t>
  </si>
  <si>
    <t>CUST8676</t>
  </si>
  <si>
    <t>TXN100084</t>
  </si>
  <si>
    <t>2025-06-10</t>
  </si>
  <si>
    <t>CUST6948</t>
  </si>
  <si>
    <t>TXN100085</t>
  </si>
  <si>
    <t>2025-07-15</t>
  </si>
  <si>
    <t>CUST1069</t>
  </si>
  <si>
    <t>TXN100086</t>
  </si>
  <si>
    <t>2025-04-24</t>
  </si>
  <si>
    <t>CUST7430</t>
  </si>
  <si>
    <t>TXN100087</t>
  </si>
  <si>
    <t>2025-03-29</t>
  </si>
  <si>
    <t>CUST4227</t>
  </si>
  <si>
    <t>TXN100088</t>
  </si>
  <si>
    <t>2025-01-27</t>
  </si>
  <si>
    <t>CUST7988</t>
  </si>
  <si>
    <t>TXN100089</t>
  </si>
  <si>
    <t>2025-04-16</t>
  </si>
  <si>
    <t>CUST1058</t>
  </si>
  <si>
    <t>TXN100090</t>
  </si>
  <si>
    <t>CUST4648</t>
  </si>
  <si>
    <t>TXN100091</t>
  </si>
  <si>
    <t>2025-10-16</t>
  </si>
  <si>
    <t>TXN100092</t>
  </si>
  <si>
    <t>2025-10-04</t>
  </si>
  <si>
    <t>CUST8577</t>
  </si>
  <si>
    <t>TXN100093</t>
  </si>
  <si>
    <t>2025-02-07</t>
  </si>
  <si>
    <t>CUST5781</t>
  </si>
  <si>
    <t>TXN100094</t>
  </si>
  <si>
    <t>2025-11-05</t>
  </si>
  <si>
    <t>CUST5475</t>
  </si>
  <si>
    <t>TXN100095</t>
  </si>
  <si>
    <t>2025-04-07</t>
  </si>
  <si>
    <t>CUST2480</t>
  </si>
  <si>
    <t>TXN100096</t>
  </si>
  <si>
    <t>2025-07-20</t>
  </si>
  <si>
    <t>CUST8693</t>
  </si>
  <si>
    <t>TXN100097</t>
  </si>
  <si>
    <t>CUST1207</t>
  </si>
  <si>
    <t>TXN100098</t>
  </si>
  <si>
    <t>2025-07-03</t>
  </si>
  <si>
    <t>CUST7684</t>
  </si>
  <si>
    <t>TXN100099</t>
  </si>
  <si>
    <t>2025-01-23</t>
  </si>
  <si>
    <t>CUST6740</t>
  </si>
  <si>
    <t>TXN100100</t>
  </si>
  <si>
    <t>CUST9850</t>
  </si>
  <si>
    <t>TXN100101</t>
  </si>
  <si>
    <t>2025-04-22</t>
  </si>
  <si>
    <t>CUST6226</t>
  </si>
  <si>
    <t>TXN100102</t>
  </si>
  <si>
    <t>2025-04-03</t>
  </si>
  <si>
    <t>CUST7507</t>
  </si>
  <si>
    <t>TXN100103</t>
  </si>
  <si>
    <t>2025-03-25</t>
  </si>
  <si>
    <t>CUST6576</t>
  </si>
  <si>
    <t>TXN100104</t>
  </si>
  <si>
    <t>2025-12-29</t>
  </si>
  <si>
    <t>CUST9221</t>
  </si>
  <si>
    <t>TXN100105</t>
  </si>
  <si>
    <t>2025-11-15</t>
  </si>
  <si>
    <t>CUST3433</t>
  </si>
  <si>
    <t>TXN100106</t>
  </si>
  <si>
    <t>2025-09-23</t>
  </si>
  <si>
    <t>CUST9570</t>
  </si>
  <si>
    <t>TXN100107</t>
  </si>
  <si>
    <t>2025-04-20</t>
  </si>
  <si>
    <t>CUST5662</t>
  </si>
  <si>
    <t>TXN100108</t>
  </si>
  <si>
    <t>CUST6734</t>
  </si>
  <si>
    <t>TXN100109</t>
  </si>
  <si>
    <t>2025-03-10</t>
  </si>
  <si>
    <t>CUST4506</t>
  </si>
  <si>
    <t>TXN100110</t>
  </si>
  <si>
    <t>2025-05-09</t>
  </si>
  <si>
    <t>CUST3717</t>
  </si>
  <si>
    <t>TXN100111</t>
  </si>
  <si>
    <t>2025-06-25</t>
  </si>
  <si>
    <t>CUST7048</t>
  </si>
  <si>
    <t>TXN100112</t>
  </si>
  <si>
    <t>2025-07-07</t>
  </si>
  <si>
    <t>CUST8515</t>
  </si>
  <si>
    <t>TXN100113</t>
  </si>
  <si>
    <t>CUST3246</t>
  </si>
  <si>
    <t>TXN100114</t>
  </si>
  <si>
    <t>2025-11-01</t>
  </si>
  <si>
    <t>CUST8434</t>
  </si>
  <si>
    <t>TXN100115</t>
  </si>
  <si>
    <t>CUST5323</t>
  </si>
  <si>
    <t>TXN100116</t>
  </si>
  <si>
    <t>CUST7584</t>
  </si>
  <si>
    <t>TXN100117</t>
  </si>
  <si>
    <t>2025-05-08</t>
  </si>
  <si>
    <t>CUST6787</t>
  </si>
  <si>
    <t>TXN100118</t>
  </si>
  <si>
    <t>2025-06-19</t>
  </si>
  <si>
    <t>CUST4567</t>
  </si>
  <si>
    <t>TXN100119</t>
  </si>
  <si>
    <t>2025-09-25</t>
  </si>
  <si>
    <t>CUST8535</t>
  </si>
  <si>
    <t>TXN100120</t>
  </si>
  <si>
    <t>2025-09-20</t>
  </si>
  <si>
    <t>CUST9901</t>
  </si>
  <si>
    <t>TXN100121</t>
  </si>
  <si>
    <t>2025-09-12</t>
  </si>
  <si>
    <t>CUST9963</t>
  </si>
  <si>
    <t>TXN100122</t>
  </si>
  <si>
    <t>CUST9148</t>
  </si>
  <si>
    <t>TXN100123</t>
  </si>
  <si>
    <t>2025-01-18</t>
  </si>
  <si>
    <t>CUST8331</t>
  </si>
  <si>
    <t>TXN100124</t>
  </si>
  <si>
    <t>2025-08-25</t>
  </si>
  <si>
    <t>CUST1961</t>
  </si>
  <si>
    <t>TXN100125</t>
  </si>
  <si>
    <t>2025-01-10</t>
  </si>
  <si>
    <t>CUST2221</t>
  </si>
  <si>
    <t>TXN100126</t>
  </si>
  <si>
    <t>2025-09-17</t>
  </si>
  <si>
    <t>CUST1404</t>
  </si>
  <si>
    <t>TXN100127</t>
  </si>
  <si>
    <t>2025-04-30</t>
  </si>
  <si>
    <t>CUST9583</t>
  </si>
  <si>
    <t>TXN100128</t>
  </si>
  <si>
    <t>CUST1407</t>
  </si>
  <si>
    <t>TXN100129</t>
  </si>
  <si>
    <t>2025-03-20</t>
  </si>
  <si>
    <t>CUST5302</t>
  </si>
  <si>
    <t>TXN100130</t>
  </si>
  <si>
    <t>2025-05-04</t>
  </si>
  <si>
    <t>CUST3079</t>
  </si>
  <si>
    <t>TXN100131</t>
  </si>
  <si>
    <t>2025-05-13</t>
  </si>
  <si>
    <t>CUST7961</t>
  </si>
  <si>
    <t>TXN100132</t>
  </si>
  <si>
    <t>2025-08-28</t>
  </si>
  <si>
    <t>CUST7404</t>
  </si>
  <si>
    <t>TXN100133</t>
  </si>
  <si>
    <t>2025-03-11</t>
  </si>
  <si>
    <t>CUST5500</t>
  </si>
  <si>
    <t>TXN100134</t>
  </si>
  <si>
    <t>CUST2422</t>
  </si>
  <si>
    <t>TXN100135</t>
  </si>
  <si>
    <t>2025-09-27</t>
  </si>
  <si>
    <t>CUST9644</t>
  </si>
  <si>
    <t>TXN100136</t>
  </si>
  <si>
    <t>CUST5943</t>
  </si>
  <si>
    <t>TXN100137</t>
  </si>
  <si>
    <t>2025-11-11</t>
  </si>
  <si>
    <t>CUST8321</t>
  </si>
  <si>
    <t>TXN100138</t>
  </si>
  <si>
    <t>2025-04-11</t>
  </si>
  <si>
    <t>CUST4612</t>
  </si>
  <si>
    <t>TXN100139</t>
  </si>
  <si>
    <t>2025-12-01</t>
  </si>
  <si>
    <t>CUST1171</t>
  </si>
  <si>
    <t>TXN100140</t>
  </si>
  <si>
    <t>2025-07-18</t>
  </si>
  <si>
    <t>CUST3401</t>
  </si>
  <si>
    <t>TXN100141</t>
  </si>
  <si>
    <t>2025-07-21</t>
  </si>
  <si>
    <t>CUST2232</t>
  </si>
  <si>
    <t>TXN100142</t>
  </si>
  <si>
    <t>2025-06-24</t>
  </si>
  <si>
    <t>CUST3378</t>
  </si>
  <si>
    <t>TXN100143</t>
  </si>
  <si>
    <t>CUST7209</t>
  </si>
  <si>
    <t>TXN100144</t>
  </si>
  <si>
    <t>CUST5644</t>
  </si>
  <si>
    <t>TXN100145</t>
  </si>
  <si>
    <t>CUST5849</t>
  </si>
  <si>
    <t>TXN100146</t>
  </si>
  <si>
    <t>2025-10-27</t>
  </si>
  <si>
    <t>CUST3100</t>
  </si>
  <si>
    <t>TXN100147</t>
  </si>
  <si>
    <t>2025-12-02</t>
  </si>
  <si>
    <t>CUST9936</t>
  </si>
  <si>
    <t>TXN100148</t>
  </si>
  <si>
    <t>2025-12-30</t>
  </si>
  <si>
    <t>CUST1670</t>
  </si>
  <si>
    <t>TXN100149</t>
  </si>
  <si>
    <t>2025-11-09</t>
  </si>
  <si>
    <t>CUST9483</t>
  </si>
  <si>
    <t>TXN100150</t>
  </si>
  <si>
    <t>CUST8898</t>
  </si>
  <si>
    <t>TXN100151</t>
  </si>
  <si>
    <t>2025-06-04</t>
  </si>
  <si>
    <t>CUST8876</t>
  </si>
  <si>
    <t>TXN100152</t>
  </si>
  <si>
    <t>2025-01-04</t>
  </si>
  <si>
    <t>CUST2453</t>
  </si>
  <si>
    <t>TXN100153</t>
  </si>
  <si>
    <t>CUST4110</t>
  </si>
  <si>
    <t>TXN100154</t>
  </si>
  <si>
    <t>2025-01-13</t>
  </si>
  <si>
    <t>CUST8327</t>
  </si>
  <si>
    <t>TXN100155</t>
  </si>
  <si>
    <t>2025-10-03</t>
  </si>
  <si>
    <t>CUST7543</t>
  </si>
  <si>
    <t>TXN100156</t>
  </si>
  <si>
    <t>2025-09-28</t>
  </si>
  <si>
    <t>CUST9126</t>
  </si>
  <si>
    <t>TXN100157</t>
  </si>
  <si>
    <t>2025-04-15</t>
  </si>
  <si>
    <t>CUST6201</t>
  </si>
  <si>
    <t>TXN100158</t>
  </si>
  <si>
    <t>CUST9575</t>
  </si>
  <si>
    <t>TXN100159</t>
  </si>
  <si>
    <t>2025-10-18</t>
  </si>
  <si>
    <t>CUST2089</t>
  </si>
  <si>
    <t>TXN100160</t>
  </si>
  <si>
    <t>CUST3304</t>
  </si>
  <si>
    <t>TXN100161</t>
  </si>
  <si>
    <t>2025-05-20</t>
  </si>
  <si>
    <t>CUST5775</t>
  </si>
  <si>
    <t>TXN100162</t>
  </si>
  <si>
    <t>2025-11-14</t>
  </si>
  <si>
    <t>CUST6860</t>
  </si>
  <si>
    <t>TXN100163</t>
  </si>
  <si>
    <t>2025-07-10</t>
  </si>
  <si>
    <t>CUST2287</t>
  </si>
  <si>
    <t>TXN100164</t>
  </si>
  <si>
    <t>2025-07-17</t>
  </si>
  <si>
    <t>CUST8534</t>
  </si>
  <si>
    <t>TXN100165</t>
  </si>
  <si>
    <t>2025-05-05</t>
  </si>
  <si>
    <t>CUST1782</t>
  </si>
  <si>
    <t>TXN100166</t>
  </si>
  <si>
    <t>CUST5950</t>
  </si>
  <si>
    <t>TXN100167</t>
  </si>
  <si>
    <t>2025-03-31</t>
  </si>
  <si>
    <t>CUST6083</t>
  </si>
  <si>
    <t>TXN100168</t>
  </si>
  <si>
    <t>2025-06-16</t>
  </si>
  <si>
    <t>CUST3352</t>
  </si>
  <si>
    <t>TXN100169</t>
  </si>
  <si>
    <t>CUST6752</t>
  </si>
  <si>
    <t>TXN100170</t>
  </si>
  <si>
    <t>2025-11-12</t>
  </si>
  <si>
    <t>CUST5417</t>
  </si>
  <si>
    <t>TXN100171</t>
  </si>
  <si>
    <t>2025-11-22</t>
  </si>
  <si>
    <t>CUST6926</t>
  </si>
  <si>
    <t>TXN100172</t>
  </si>
  <si>
    <t>2025-12-27</t>
  </si>
  <si>
    <t>CUST2560</t>
  </si>
  <si>
    <t>TXN100173</t>
  </si>
  <si>
    <t>2025-12-09</t>
  </si>
  <si>
    <t>TXN100174</t>
  </si>
  <si>
    <t>2025-02-28</t>
  </si>
  <si>
    <t>CUST4522</t>
  </si>
  <si>
    <t>TXN100175</t>
  </si>
  <si>
    <t>CUST3324</t>
  </si>
  <si>
    <t>TXN100176</t>
  </si>
  <si>
    <t>CUST5665</t>
  </si>
  <si>
    <t>TXN100177</t>
  </si>
  <si>
    <t>CUST5622</t>
  </si>
  <si>
    <t>TXN100178</t>
  </si>
  <si>
    <t>CUST2278</t>
  </si>
  <si>
    <t>TXN100179</t>
  </si>
  <si>
    <t>CUST4995</t>
  </si>
  <si>
    <t>TXN100180</t>
  </si>
  <si>
    <t>2025-04-06</t>
  </si>
  <si>
    <t>CUST4378</t>
  </si>
  <si>
    <t>TXN100181</t>
  </si>
  <si>
    <t>CUST3019</t>
  </si>
  <si>
    <t>TXN100182</t>
  </si>
  <si>
    <t>CUST9278</t>
  </si>
  <si>
    <t>TXN100183</t>
  </si>
  <si>
    <t>CUST5354</t>
  </si>
  <si>
    <t>TXN100184</t>
  </si>
  <si>
    <t>2025-08-23</t>
  </si>
  <si>
    <t>CUST7981</t>
  </si>
  <si>
    <t>TXN100185</t>
  </si>
  <si>
    <t>CUST1091</t>
  </si>
  <si>
    <t>TXN100186</t>
  </si>
  <si>
    <t>CUST5607</t>
  </si>
  <si>
    <t>TXN100187</t>
  </si>
  <si>
    <t>CUST9195</t>
  </si>
  <si>
    <t>TXN100188</t>
  </si>
  <si>
    <t>2025-02-16</t>
  </si>
  <si>
    <t>CUST5610</t>
  </si>
  <si>
    <t>TXN100189</t>
  </si>
  <si>
    <t>2025-01-22</t>
  </si>
  <si>
    <t>CUST1548</t>
  </si>
  <si>
    <t>TXN100190</t>
  </si>
  <si>
    <t>CUST6494</t>
  </si>
  <si>
    <t>TXN100191</t>
  </si>
  <si>
    <t>2025-05-17</t>
  </si>
  <si>
    <t>CUST9900</t>
  </si>
  <si>
    <t>TXN100192</t>
  </si>
  <si>
    <t>CUST9241</t>
  </si>
  <si>
    <t>TXN100193</t>
  </si>
  <si>
    <t>CUST9006</t>
  </si>
  <si>
    <t>TXN100194</t>
  </si>
  <si>
    <t>CUST3805</t>
  </si>
  <si>
    <t>TXN100195</t>
  </si>
  <si>
    <t>2025-02-02</t>
  </si>
  <si>
    <t>CUST2355</t>
  </si>
  <si>
    <t>TXN100196</t>
  </si>
  <si>
    <t>2025-03-16</t>
  </si>
  <si>
    <t>CUST3615</t>
  </si>
  <si>
    <t>TXN100197</t>
  </si>
  <si>
    <t>CUST1335</t>
  </si>
  <si>
    <t>TXN100198</t>
  </si>
  <si>
    <t>2025-04-21</t>
  </si>
  <si>
    <t>CUST8773</t>
  </si>
  <si>
    <t>TXN100199</t>
  </si>
  <si>
    <t>CUST2489</t>
  </si>
  <si>
    <t>TXN100200</t>
  </si>
  <si>
    <t>CUST8818</t>
  </si>
  <si>
    <t>TXN100201</t>
  </si>
  <si>
    <t>2025-09-21</t>
  </si>
  <si>
    <t>CUST3221</t>
  </si>
  <si>
    <t>TXN100202</t>
  </si>
  <si>
    <t>CUST5576</t>
  </si>
  <si>
    <t>TXN100203</t>
  </si>
  <si>
    <t>2025-08-27</t>
  </si>
  <si>
    <t>CUST8551</t>
  </si>
  <si>
    <t>TXN100204</t>
  </si>
  <si>
    <t>CUST9696</t>
  </si>
  <si>
    <t>TXN100205</t>
  </si>
  <si>
    <t>2025-04-25</t>
  </si>
  <si>
    <t>CUST1602</t>
  </si>
  <si>
    <t>TXN100206</t>
  </si>
  <si>
    <t>CUST6649</t>
  </si>
  <si>
    <t>TXN100207</t>
  </si>
  <si>
    <t>CUST4211</t>
  </si>
  <si>
    <t>TXN100208</t>
  </si>
  <si>
    <t>CUST2988</t>
  </si>
  <si>
    <t>TXN100209</t>
  </si>
  <si>
    <t>2025-01-14</t>
  </si>
  <si>
    <t>CUST4464</t>
  </si>
  <si>
    <t>TXN100210</t>
  </si>
  <si>
    <t>2025-12-08</t>
  </si>
  <si>
    <t>CUST1884</t>
  </si>
  <si>
    <t>TXN100211</t>
  </si>
  <si>
    <t>CUST7772</t>
  </si>
  <si>
    <t>TXN100212</t>
  </si>
  <si>
    <t>2025-04-12</t>
  </si>
  <si>
    <t>CUST2447</t>
  </si>
  <si>
    <t>TXN100213</t>
  </si>
  <si>
    <t>2025-05-27</t>
  </si>
  <si>
    <t>CUST8122</t>
  </si>
  <si>
    <t>TXN100214</t>
  </si>
  <si>
    <t>2025-10-05</t>
  </si>
  <si>
    <t>CUST3462</t>
  </si>
  <si>
    <t>TXN100215</t>
  </si>
  <si>
    <t>CUST5327</t>
  </si>
  <si>
    <t>TXN100216</t>
  </si>
  <si>
    <t>CUST3241</t>
  </si>
  <si>
    <t>TXN100217</t>
  </si>
  <si>
    <t>CUST3256</t>
  </si>
  <si>
    <t>TXN100218</t>
  </si>
  <si>
    <t>2025-06-18</t>
  </si>
  <si>
    <t>CUST1481</t>
  </si>
  <si>
    <t>TXN100219</t>
  </si>
  <si>
    <t>CUST5291</t>
  </si>
  <si>
    <t>TXN100220</t>
  </si>
  <si>
    <t>CUST4230</t>
  </si>
  <si>
    <t>TXN100221</t>
  </si>
  <si>
    <t>2025-05-30</t>
  </si>
  <si>
    <t>CUST4539</t>
  </si>
  <si>
    <t>TXN100222</t>
  </si>
  <si>
    <t>2025-12-10</t>
  </si>
  <si>
    <t>TXN100223</t>
  </si>
  <si>
    <t>2025-08-05</t>
  </si>
  <si>
    <t>CUST4624</t>
  </si>
  <si>
    <t>TXN100224</t>
  </si>
  <si>
    <t>CUST8300</t>
  </si>
  <si>
    <t>TXN100225</t>
  </si>
  <si>
    <t>2025-03-03</t>
  </si>
  <si>
    <t>CUST4412</t>
  </si>
  <si>
    <t>TXN100226</t>
  </si>
  <si>
    <t>CUST6077</t>
  </si>
  <si>
    <t>TXN100227</t>
  </si>
  <si>
    <t>CUST3421</t>
  </si>
  <si>
    <t>TXN100228</t>
  </si>
  <si>
    <t>2025-10-15</t>
  </si>
  <si>
    <t>CUST8570</t>
  </si>
  <si>
    <t>TXN100229</t>
  </si>
  <si>
    <t>CUST4457</t>
  </si>
  <si>
    <t>TXN100230</t>
  </si>
  <si>
    <t>CUST3645</t>
  </si>
  <si>
    <t>TXN100231</t>
  </si>
  <si>
    <t>CUST5634</t>
  </si>
  <si>
    <t>TXN100232</t>
  </si>
  <si>
    <t>2025-08-26</t>
  </si>
  <si>
    <t>CUST9930</t>
  </si>
  <si>
    <t>TXN100233</t>
  </si>
  <si>
    <t>2025-09-24</t>
  </si>
  <si>
    <t>CUST5083</t>
  </si>
  <si>
    <t>TXN100234</t>
  </si>
  <si>
    <t>CUST9142</t>
  </si>
  <si>
    <t>TXN100235</t>
  </si>
  <si>
    <t>2025-12-23</t>
  </si>
  <si>
    <t>CUST6218</t>
  </si>
  <si>
    <t>TXN100236</t>
  </si>
  <si>
    <t>CUST4927</t>
  </si>
  <si>
    <t>TXN100237</t>
  </si>
  <si>
    <t>CUST8976</t>
  </si>
  <si>
    <t>TXN100238</t>
  </si>
  <si>
    <t>2025-05-18</t>
  </si>
  <si>
    <t>CUST2160</t>
  </si>
  <si>
    <t>TXN100239</t>
  </si>
  <si>
    <t>CUST9084</t>
  </si>
  <si>
    <t>TXN100240</t>
  </si>
  <si>
    <t>2025-08-30</t>
  </si>
  <si>
    <t>CUST6378</t>
  </si>
  <si>
    <t>TXN100241</t>
  </si>
  <si>
    <t>2025-01-11</t>
  </si>
  <si>
    <t>CUST3099</t>
  </si>
  <si>
    <t>TXN100242</t>
  </si>
  <si>
    <t>CUST7210</t>
  </si>
  <si>
    <t>TXN100243</t>
  </si>
  <si>
    <t>CUST9183</t>
  </si>
  <si>
    <t>TXN100244</t>
  </si>
  <si>
    <t>CUST2459</t>
  </si>
  <si>
    <t>TXN100245</t>
  </si>
  <si>
    <t>2025-08-20</t>
  </si>
  <si>
    <t>CUST5780</t>
  </si>
  <si>
    <t>TXN100246</t>
  </si>
  <si>
    <t>CUST4234</t>
  </si>
  <si>
    <t>TXN100247</t>
  </si>
  <si>
    <t>TXN100248</t>
  </si>
  <si>
    <t>CUST1285</t>
  </si>
  <si>
    <t>TXN100249</t>
  </si>
  <si>
    <t>CUST2037</t>
  </si>
  <si>
    <t>TXN100250</t>
  </si>
  <si>
    <t>2025-01-15</t>
  </si>
  <si>
    <t>CUST7674</t>
  </si>
  <si>
    <t>TXN100251</t>
  </si>
  <si>
    <t>2025-01-21</t>
  </si>
  <si>
    <t>CUST7982</t>
  </si>
  <si>
    <t>TXN100252</t>
  </si>
  <si>
    <t>2025-08-01</t>
  </si>
  <si>
    <t>CUST6367</t>
  </si>
  <si>
    <t>TXN100253</t>
  </si>
  <si>
    <t>CUST7683</t>
  </si>
  <si>
    <t>TXN100254</t>
  </si>
  <si>
    <t>CUST9395</t>
  </si>
  <si>
    <t>TXN100255</t>
  </si>
  <si>
    <t>2025-04-28</t>
  </si>
  <si>
    <t>CUST9484</t>
  </si>
  <si>
    <t>TXN100256</t>
  </si>
  <si>
    <t>CUST7076</t>
  </si>
  <si>
    <t>TXN100257</t>
  </si>
  <si>
    <t>2025-11-10</t>
  </si>
  <si>
    <t>CUST5310</t>
  </si>
  <si>
    <t>TXN100258</t>
  </si>
  <si>
    <t>2025-05-02</t>
  </si>
  <si>
    <t>CUST1941</t>
  </si>
  <si>
    <t>TXN100259</t>
  </si>
  <si>
    <t>CUST1928</t>
  </si>
  <si>
    <t>TXN100260</t>
  </si>
  <si>
    <t>CUST2277</t>
  </si>
  <si>
    <t>TXN100261</t>
  </si>
  <si>
    <t>CUST7998</t>
  </si>
  <si>
    <t>TXN100262</t>
  </si>
  <si>
    <t>CUST3393</t>
  </si>
  <si>
    <t>TXN100263</t>
  </si>
  <si>
    <t>CUST1312</t>
  </si>
  <si>
    <t>TXN100264</t>
  </si>
  <si>
    <t>CUST8089</t>
  </si>
  <si>
    <t>TXN100265</t>
  </si>
  <si>
    <t>2025-01-29</t>
  </si>
  <si>
    <t>CUST1290</t>
  </si>
  <si>
    <t>TXN100266</t>
  </si>
  <si>
    <t>TXN100267</t>
  </si>
  <si>
    <t>CUST2035</t>
  </si>
  <si>
    <t>TXN100268</t>
  </si>
  <si>
    <t>CUST4742</t>
  </si>
  <si>
    <t>TXN100269</t>
  </si>
  <si>
    <t>TXN100270</t>
  </si>
  <si>
    <t>CUST4170</t>
  </si>
  <si>
    <t>TXN100271</t>
  </si>
  <si>
    <t>CUST1561</t>
  </si>
  <si>
    <t>TXN100272</t>
  </si>
  <si>
    <t>CUST1950</t>
  </si>
  <si>
    <t>TXN100273</t>
  </si>
  <si>
    <t>2025-07-31</t>
  </si>
  <si>
    <t>CUST4183</t>
  </si>
  <si>
    <t>TXN100274</t>
  </si>
  <si>
    <t>2025-01-31</t>
  </si>
  <si>
    <t>CUST2055</t>
  </si>
  <si>
    <t>TXN100275</t>
  </si>
  <si>
    <t>CUST3031</t>
  </si>
  <si>
    <t>TXN100276</t>
  </si>
  <si>
    <t>2025-09-02</t>
  </si>
  <si>
    <t>CUST2600</t>
  </si>
  <si>
    <t>TXN100277</t>
  </si>
  <si>
    <t>2025-10-08</t>
  </si>
  <si>
    <t>CUST7652</t>
  </si>
  <si>
    <t>TXN100278</t>
  </si>
  <si>
    <t>2025-03-30</t>
  </si>
  <si>
    <t>CUST3204</t>
  </si>
  <si>
    <t>TXN100279</t>
  </si>
  <si>
    <t>CUST2880</t>
  </si>
  <si>
    <t>TXN100280</t>
  </si>
  <si>
    <t>2025-06-13</t>
  </si>
  <si>
    <t>CUST4093</t>
  </si>
  <si>
    <t>TXN100281</t>
  </si>
  <si>
    <t>2025-05-22</t>
  </si>
  <si>
    <t>CUST9990</t>
  </si>
  <si>
    <t>TXN100282</t>
  </si>
  <si>
    <t>2025-05-01</t>
  </si>
  <si>
    <t>TXN100283</t>
  </si>
  <si>
    <t>CUST4146</t>
  </si>
  <si>
    <t>TXN100284</t>
  </si>
  <si>
    <t>CUST4322</t>
  </si>
  <si>
    <t>TXN100285</t>
  </si>
  <si>
    <t>2025-07-12</t>
  </si>
  <si>
    <t>CUST4431</t>
  </si>
  <si>
    <t>TXN100286</t>
  </si>
  <si>
    <t>CUST6454</t>
  </si>
  <si>
    <t>TXN100287</t>
  </si>
  <si>
    <t>CUST4898</t>
  </si>
  <si>
    <t>TXN100288</t>
  </si>
  <si>
    <t>CUST8564</t>
  </si>
  <si>
    <t>TXN100289</t>
  </si>
  <si>
    <t>2025-03-01</t>
  </si>
  <si>
    <t>CUST5835</t>
  </si>
  <si>
    <t>TXN100290</t>
  </si>
  <si>
    <t>2025-03-04</t>
  </si>
  <si>
    <t>TXN100291</t>
  </si>
  <si>
    <t>CUST1003</t>
  </si>
  <si>
    <t>TXN100292</t>
  </si>
  <si>
    <t>2025-04-19</t>
  </si>
  <si>
    <t>CUST8027</t>
  </si>
  <si>
    <t>TXN100293</t>
  </si>
  <si>
    <t>CUST3038</t>
  </si>
  <si>
    <t>TXN100294</t>
  </si>
  <si>
    <t>2025-08-12</t>
  </si>
  <si>
    <t>CUST8505</t>
  </si>
  <si>
    <t>TXN100295</t>
  </si>
  <si>
    <t>2025-06-01</t>
  </si>
  <si>
    <t>CUST6925</t>
  </si>
  <si>
    <t>TXN100296</t>
  </si>
  <si>
    <t>2025-02-27</t>
  </si>
  <si>
    <t>CUST8916</t>
  </si>
  <si>
    <t>TXN100297</t>
  </si>
  <si>
    <t>2025-12-14</t>
  </si>
  <si>
    <t>CUST2829</t>
  </si>
  <si>
    <t>TXN100298</t>
  </si>
  <si>
    <t>CUST1213</t>
  </si>
  <si>
    <t>TXN100299</t>
  </si>
  <si>
    <t>CUST1190</t>
  </si>
  <si>
    <t>TXN100300</t>
  </si>
  <si>
    <t>2025-12-11</t>
  </si>
  <si>
    <t>CUST2322</t>
  </si>
  <si>
    <t>TXN100301</t>
  </si>
  <si>
    <t>2025-09-14</t>
  </si>
  <si>
    <t>CUST9576</t>
  </si>
  <si>
    <t>TXN100302</t>
  </si>
  <si>
    <t>2025-06-17</t>
  </si>
  <si>
    <t>CUST7106</t>
  </si>
  <si>
    <t>TXN100303</t>
  </si>
  <si>
    <t>2025-06-07</t>
  </si>
  <si>
    <t>CUST7638</t>
  </si>
  <si>
    <t>TXN100304</t>
  </si>
  <si>
    <t>2025-08-24</t>
  </si>
  <si>
    <t>CUST3738</t>
  </si>
  <si>
    <t>TXN100305</t>
  </si>
  <si>
    <t>2025-01-05</t>
  </si>
  <si>
    <t>CUST2176</t>
  </si>
  <si>
    <t>TXN100306</t>
  </si>
  <si>
    <t>CUST3881</t>
  </si>
  <si>
    <t>TXN100307</t>
  </si>
  <si>
    <t>CUST5851</t>
  </si>
  <si>
    <t>TXN100308</t>
  </si>
  <si>
    <t>CUST8067</t>
  </si>
  <si>
    <t>TXN100309</t>
  </si>
  <si>
    <t>CUST9677</t>
  </si>
  <si>
    <t>TXN100310</t>
  </si>
  <si>
    <t>2025-07-28</t>
  </si>
  <si>
    <t>CUST6959</t>
  </si>
  <si>
    <t>TXN100311</t>
  </si>
  <si>
    <t>CUST6637</t>
  </si>
  <si>
    <t>TXN100312</t>
  </si>
  <si>
    <t>2025-01-26</t>
  </si>
  <si>
    <t>CUST1368</t>
  </si>
  <si>
    <t>TXN100313</t>
  </si>
  <si>
    <t>CUST6821</t>
  </si>
  <si>
    <t>TXN100314</t>
  </si>
  <si>
    <t>CUST8602</t>
  </si>
  <si>
    <t>TXN100315</t>
  </si>
  <si>
    <t>CUST1949</t>
  </si>
  <si>
    <t>TXN100316</t>
  </si>
  <si>
    <t>CUST1703</t>
  </si>
  <si>
    <t>TXN100317</t>
  </si>
  <si>
    <t>CUST2295</t>
  </si>
  <si>
    <t>TXN100318</t>
  </si>
  <si>
    <t>2025-11-03</t>
  </si>
  <si>
    <t>CUST7383</t>
  </si>
  <si>
    <t>TXN100319</t>
  </si>
  <si>
    <t>2025-01-12</t>
  </si>
  <si>
    <t>CUST7283</t>
  </si>
  <si>
    <t>TXN100320</t>
  </si>
  <si>
    <t>2025-06-22</t>
  </si>
  <si>
    <t>CUST6843</t>
  </si>
  <si>
    <t>TXN100321</t>
  </si>
  <si>
    <t>CUST6120</t>
  </si>
  <si>
    <t>TXN100322</t>
  </si>
  <si>
    <t>2025-01-03</t>
  </si>
  <si>
    <t>CUST4225</t>
  </si>
  <si>
    <t>TXN100323</t>
  </si>
  <si>
    <t>CUST3206</t>
  </si>
  <si>
    <t>TXN100324</t>
  </si>
  <si>
    <t>CUST7459</t>
  </si>
  <si>
    <t>TXN100325</t>
  </si>
  <si>
    <t>CUST3090</t>
  </si>
  <si>
    <t>TXN100326</t>
  </si>
  <si>
    <t>2025-08-14</t>
  </si>
  <si>
    <t>CUST2518</t>
  </si>
  <si>
    <t>TXN100327</t>
  </si>
  <si>
    <t>2025-10-24</t>
  </si>
  <si>
    <t>CUST1860</t>
  </si>
  <si>
    <t>TXN100328</t>
  </si>
  <si>
    <t>2025-12-13</t>
  </si>
  <si>
    <t>CUST3618</t>
  </si>
  <si>
    <t>TXN100329</t>
  </si>
  <si>
    <t>2025-08-02</t>
  </si>
  <si>
    <t>CUST4388</t>
  </si>
  <si>
    <t>TXN100330</t>
  </si>
  <si>
    <t>CUST6566</t>
  </si>
  <si>
    <t>TXN100331</t>
  </si>
  <si>
    <t>CUST2414</t>
  </si>
  <si>
    <t>TXN100332</t>
  </si>
  <si>
    <t>2025-04-29</t>
  </si>
  <si>
    <t>CUST7497</t>
  </si>
  <si>
    <t>TXN100333</t>
  </si>
  <si>
    <t>2025-04-08</t>
  </si>
  <si>
    <t>CUST5119</t>
  </si>
  <si>
    <t>TXN100334</t>
  </si>
  <si>
    <t>CUST2989</t>
  </si>
  <si>
    <t>TXN100335</t>
  </si>
  <si>
    <t>2025-09-13</t>
  </si>
  <si>
    <t>CUST9913</t>
  </si>
  <si>
    <t>TXN100336</t>
  </si>
  <si>
    <t>2025-09-19</t>
  </si>
  <si>
    <t>CUST5533</t>
  </si>
  <si>
    <t>TXN100337</t>
  </si>
  <si>
    <t>2025-11-07</t>
  </si>
  <si>
    <t>CUST1436</t>
  </si>
  <si>
    <t>TXN100338</t>
  </si>
  <si>
    <t>CUST2236</t>
  </si>
  <si>
    <t>TXN100339</t>
  </si>
  <si>
    <t>CUST9601</t>
  </si>
  <si>
    <t>TXN100340</t>
  </si>
  <si>
    <t>CUST6326</t>
  </si>
  <si>
    <t>TXN100341</t>
  </si>
  <si>
    <t>CUST5633</t>
  </si>
  <si>
    <t>TXN100342</t>
  </si>
  <si>
    <t>2025-01-16</t>
  </si>
  <si>
    <t>CUST1937</t>
  </si>
  <si>
    <t>TXN100343</t>
  </si>
  <si>
    <t>CUST1702</t>
  </si>
  <si>
    <t>TXN100344</t>
  </si>
  <si>
    <t>CUST5729</t>
  </si>
  <si>
    <t>TXN100345</t>
  </si>
  <si>
    <t>CUST3984</t>
  </si>
  <si>
    <t>TXN100346</t>
  </si>
  <si>
    <t>CUST7431</t>
  </si>
  <si>
    <t>TXN100347</t>
  </si>
  <si>
    <t>CUST1186</t>
  </si>
  <si>
    <t>TXN100348</t>
  </si>
  <si>
    <t>2025-08-08</t>
  </si>
  <si>
    <t>CUST4101</t>
  </si>
  <si>
    <t>TXN100349</t>
  </si>
  <si>
    <t>2025-01-01</t>
  </si>
  <si>
    <t>CUST2823</t>
  </si>
  <si>
    <t>TXN100350</t>
  </si>
  <si>
    <t>CUST7131</t>
  </si>
  <si>
    <t>TXN100351</t>
  </si>
  <si>
    <t>CUST2848</t>
  </si>
  <si>
    <t>TXN100352</t>
  </si>
  <si>
    <t>2025-08-06</t>
  </si>
  <si>
    <t>CUST8370</t>
  </si>
  <si>
    <t>TXN100353</t>
  </si>
  <si>
    <t>CUST9144</t>
  </si>
  <si>
    <t>TXN100354</t>
  </si>
  <si>
    <t>CUST7672</t>
  </si>
  <si>
    <t>TXN100355</t>
  </si>
  <si>
    <t>CUST2206</t>
  </si>
  <si>
    <t>TXN100356</t>
  </si>
  <si>
    <t>2025-11-13</t>
  </si>
  <si>
    <t>CUST5827</t>
  </si>
  <si>
    <t>TXN100357</t>
  </si>
  <si>
    <t>CUST9988</t>
  </si>
  <si>
    <t>TXN100358</t>
  </si>
  <si>
    <t>CUST9848</t>
  </si>
  <si>
    <t>TXN100359</t>
  </si>
  <si>
    <t>CUST2915</t>
  </si>
  <si>
    <t>TXN100360</t>
  </si>
  <si>
    <t>CUST5101</t>
  </si>
  <si>
    <t>TXN100361</t>
  </si>
  <si>
    <t>2025-11-26</t>
  </si>
  <si>
    <t>CUST5787</t>
  </si>
  <si>
    <t>TXN100362</t>
  </si>
  <si>
    <t>CUST2216</t>
  </si>
  <si>
    <t>TXN100363</t>
  </si>
  <si>
    <t>CUST7059</t>
  </si>
  <si>
    <t>TXN100364</t>
  </si>
  <si>
    <t>CUST3812</t>
  </si>
  <si>
    <t>TXN100365</t>
  </si>
  <si>
    <t>CUST5870</t>
  </si>
  <si>
    <t>TXN100366</t>
  </si>
  <si>
    <t>CUST2297</t>
  </si>
  <si>
    <t>TXN100367</t>
  </si>
  <si>
    <t>2025-09-01</t>
  </si>
  <si>
    <t>CUST7756</t>
  </si>
  <si>
    <t>TXN100368</t>
  </si>
  <si>
    <t>CUST4676</t>
  </si>
  <si>
    <t>TXN100369</t>
  </si>
  <si>
    <t>CUST8782</t>
  </si>
  <si>
    <t>TXN100370</t>
  </si>
  <si>
    <t>CUST4441</t>
  </si>
  <si>
    <t>TXN100371</t>
  </si>
  <si>
    <t>CUST6365</t>
  </si>
  <si>
    <t>TXN100372</t>
  </si>
  <si>
    <t>2025-10-14</t>
  </si>
  <si>
    <t>CUST4112</t>
  </si>
  <si>
    <t>TXN100373</t>
  </si>
  <si>
    <t>CUST4528</t>
  </si>
  <si>
    <t>TXN100374</t>
  </si>
  <si>
    <t>CUST1657</t>
  </si>
  <si>
    <t>TXN100375</t>
  </si>
  <si>
    <t>CUST1554</t>
  </si>
  <si>
    <t>TXN100376</t>
  </si>
  <si>
    <t>CUST4859</t>
  </si>
  <si>
    <t>TXN100377</t>
  </si>
  <si>
    <t>2025-09-05</t>
  </si>
  <si>
    <t>CUST5532</t>
  </si>
  <si>
    <t>TXN100378</t>
  </si>
  <si>
    <t>CUST8622</t>
  </si>
  <si>
    <t>TXN100379</t>
  </si>
  <si>
    <t>CUST7436</t>
  </si>
  <si>
    <t>TXN100380</t>
  </si>
  <si>
    <t>CUST3420</t>
  </si>
  <si>
    <t>TXN100381</t>
  </si>
  <si>
    <t>2025-01-25</t>
  </si>
  <si>
    <t>CUST4918</t>
  </si>
  <si>
    <t>TXN100382</t>
  </si>
  <si>
    <t>2025-06-03</t>
  </si>
  <si>
    <t>CUST7816</t>
  </si>
  <si>
    <t>TXN100383</t>
  </si>
  <si>
    <t>2025-06-11</t>
  </si>
  <si>
    <t>CUST6851</t>
  </si>
  <si>
    <t>TXN100384</t>
  </si>
  <si>
    <t>CUST5854</t>
  </si>
  <si>
    <t>TXN100385</t>
  </si>
  <si>
    <t>CUST5540</t>
  </si>
  <si>
    <t>TXN100386</t>
  </si>
  <si>
    <t>2025-12-12</t>
  </si>
  <si>
    <t>CUST5660</t>
  </si>
  <si>
    <t>TXN100387</t>
  </si>
  <si>
    <t>CUST6341</t>
  </si>
  <si>
    <t>TXN100388</t>
  </si>
  <si>
    <t>CUST6467</t>
  </si>
  <si>
    <t>TXN100389</t>
  </si>
  <si>
    <t>CUST5637</t>
  </si>
  <si>
    <t>TXN100390</t>
  </si>
  <si>
    <t>CUST4991</t>
  </si>
  <si>
    <t>TXN100391</t>
  </si>
  <si>
    <t>CUST8599</t>
  </si>
  <si>
    <t>TXN100392</t>
  </si>
  <si>
    <t>CUST7021</t>
  </si>
  <si>
    <t>TXN100393</t>
  </si>
  <si>
    <t>CUST1181</t>
  </si>
  <si>
    <t>TXN100394</t>
  </si>
  <si>
    <t>2025-08-07</t>
  </si>
  <si>
    <t>CUST2695</t>
  </si>
  <si>
    <t>TXN100395</t>
  </si>
  <si>
    <t>CUST9440</t>
  </si>
  <si>
    <t>TXN100396</t>
  </si>
  <si>
    <t>CUST5581</t>
  </si>
  <si>
    <t>TXN100397</t>
  </si>
  <si>
    <t>CUST7824</t>
  </si>
  <si>
    <t>TXN100398</t>
  </si>
  <si>
    <t>2025-09-08</t>
  </si>
  <si>
    <t>CUST8781</t>
  </si>
  <si>
    <t>TXN100399</t>
  </si>
  <si>
    <t>CUST1015</t>
  </si>
  <si>
    <t>TXN100400</t>
  </si>
  <si>
    <t>CUST4696</t>
  </si>
  <si>
    <t>TXN100401</t>
  </si>
  <si>
    <t>CUST6664</t>
  </si>
  <si>
    <t>TXN100402</t>
  </si>
  <si>
    <t>CUST4568</t>
  </si>
  <si>
    <t>TXN100403</t>
  </si>
  <si>
    <t>CUST6720</t>
  </si>
  <si>
    <t>TXN100404</t>
  </si>
  <si>
    <t>CUST6519</t>
  </si>
  <si>
    <t>TXN100405</t>
  </si>
  <si>
    <t>CUST2272</t>
  </si>
  <si>
    <t>TXN100406</t>
  </si>
  <si>
    <t>2025-04-02</t>
  </si>
  <si>
    <t>CUST2193</t>
  </si>
  <si>
    <t>TXN100407</t>
  </si>
  <si>
    <t>CUST8245</t>
  </si>
  <si>
    <t>TXN100408</t>
  </si>
  <si>
    <t>TXN100409</t>
  </si>
  <si>
    <t>CUST6081</t>
  </si>
  <si>
    <t>TXN100410</t>
  </si>
  <si>
    <t>2025-09-15</t>
  </si>
  <si>
    <t>CUST4672</t>
  </si>
  <si>
    <t>TXN100411</t>
  </si>
  <si>
    <t>CUST6638</t>
  </si>
  <si>
    <t>TXN100412</t>
  </si>
  <si>
    <t>2025-03-12</t>
  </si>
  <si>
    <t>CUST6177</t>
  </si>
  <si>
    <t>TXN100413</t>
  </si>
  <si>
    <t>CUST8135</t>
  </si>
  <si>
    <t>TXN100414</t>
  </si>
  <si>
    <t>CUST8991</t>
  </si>
  <si>
    <t>TXN100415</t>
  </si>
  <si>
    <t>2025-11-04</t>
  </si>
  <si>
    <t>CUST7429</t>
  </si>
  <si>
    <t>TXN100416</t>
  </si>
  <si>
    <t>2025-07-05</t>
  </si>
  <si>
    <t>CUST2452</t>
  </si>
  <si>
    <t>TXN100417</t>
  </si>
  <si>
    <t>CUST9803</t>
  </si>
  <si>
    <t>TXN100418</t>
  </si>
  <si>
    <t>CUST2648</t>
  </si>
  <si>
    <t>TXN100419</t>
  </si>
  <si>
    <t>CUST3973</t>
  </si>
  <si>
    <t>TXN100420</t>
  </si>
  <si>
    <t>CUST5948</t>
  </si>
  <si>
    <t>TXN100421</t>
  </si>
  <si>
    <t>CUST7316</t>
  </si>
  <si>
    <t>TXN100422</t>
  </si>
  <si>
    <t>CUST7452</t>
  </si>
  <si>
    <t>TXN100423</t>
  </si>
  <si>
    <t>TXN100424</t>
  </si>
  <si>
    <t>CUST6987</t>
  </si>
  <si>
    <t>TXN100425</t>
  </si>
  <si>
    <t>CUST2672</t>
  </si>
  <si>
    <t>TXN100426</t>
  </si>
  <si>
    <t>CUST3668</t>
  </si>
  <si>
    <t>TXN100427</t>
  </si>
  <si>
    <t>CUST3478</t>
  </si>
  <si>
    <t>TXN100428</t>
  </si>
  <si>
    <t>CUST5587</t>
  </si>
  <si>
    <t>TXN100429</t>
  </si>
  <si>
    <t>CUST8288</t>
  </si>
  <si>
    <t>TXN100430</t>
  </si>
  <si>
    <t>CUST8948</t>
  </si>
  <si>
    <t>TXN100431</t>
  </si>
  <si>
    <t>2025-07-08</t>
  </si>
  <si>
    <t>CUST7579</t>
  </si>
  <si>
    <t>TXN100432</t>
  </si>
  <si>
    <t>2025-10-30</t>
  </si>
  <si>
    <t>CUST6364</t>
  </si>
  <si>
    <t>TXN100433</t>
  </si>
  <si>
    <t>CUST7458</t>
  </si>
  <si>
    <t>TXN100434</t>
  </si>
  <si>
    <t>2025-09-04</t>
  </si>
  <si>
    <t>CUST7472</t>
  </si>
  <si>
    <t>TXN100435</t>
  </si>
  <si>
    <t>2025-03-17</t>
  </si>
  <si>
    <t>TXN100436</t>
  </si>
  <si>
    <t>TXN100437</t>
  </si>
  <si>
    <t>2025-06-27</t>
  </si>
  <si>
    <t>CUST2559</t>
  </si>
  <si>
    <t>TXN100438</t>
  </si>
  <si>
    <t>TXN100439</t>
  </si>
  <si>
    <t>2025-06-21</t>
  </si>
  <si>
    <t>CUST5343</t>
  </si>
  <si>
    <t>TXN100440</t>
  </si>
  <si>
    <t>CUST7509</t>
  </si>
  <si>
    <t>TXN100441</t>
  </si>
  <si>
    <t>CUST4090</t>
  </si>
  <si>
    <t>TXN100442</t>
  </si>
  <si>
    <t>2025-09-29</t>
  </si>
  <si>
    <t>CUST9472</t>
  </si>
  <si>
    <t>TXN100443</t>
  </si>
  <si>
    <t>CUST6457</t>
  </si>
  <si>
    <t>TXN100444</t>
  </si>
  <si>
    <t>CUST5806</t>
  </si>
  <si>
    <t>TXN100445</t>
  </si>
  <si>
    <t>2025-07-25</t>
  </si>
  <si>
    <t>CUST4354</t>
  </si>
  <si>
    <t>TXN100446</t>
  </si>
  <si>
    <t>CUST9845</t>
  </si>
  <si>
    <t>TXN100447</t>
  </si>
  <si>
    <t>CUST3774</t>
  </si>
  <si>
    <t>TXN100448</t>
  </si>
  <si>
    <t>CUST1906</t>
  </si>
  <si>
    <t>TXN100449</t>
  </si>
  <si>
    <t>2025-09-16</t>
  </si>
  <si>
    <t>CUST1322</t>
  </si>
  <si>
    <t>TXN100450</t>
  </si>
  <si>
    <t>CUST8738</t>
  </si>
  <si>
    <t>TXN100451</t>
  </si>
  <si>
    <t>CUST2435</t>
  </si>
  <si>
    <t>TXN100452</t>
  </si>
  <si>
    <t>CUST8537</t>
  </si>
  <si>
    <t>TXN100453</t>
  </si>
  <si>
    <t>CUST3573</t>
  </si>
  <si>
    <t>TXN100454</t>
  </si>
  <si>
    <t>CUST6301</t>
  </si>
  <si>
    <t>TXN100455</t>
  </si>
  <si>
    <t>CUST1772</t>
  </si>
  <si>
    <t>TXN100456</t>
  </si>
  <si>
    <t>CUST3526</t>
  </si>
  <si>
    <t>TXN100457</t>
  </si>
  <si>
    <t>TXN100458</t>
  </si>
  <si>
    <t>CUST3679</t>
  </si>
  <si>
    <t>TXN100459</t>
  </si>
  <si>
    <t>2025-10-19</t>
  </si>
  <si>
    <t>CUST9430</t>
  </si>
  <si>
    <t>TXN100460</t>
  </si>
  <si>
    <t>CUST2992</t>
  </si>
  <si>
    <t>TXN100461</t>
  </si>
  <si>
    <t>CUST9460</t>
  </si>
  <si>
    <t>TXN100462</t>
  </si>
  <si>
    <t>CUST2573</t>
  </si>
  <si>
    <t>TXN100463</t>
  </si>
  <si>
    <t>CUST8399</t>
  </si>
  <si>
    <t>TXN100464</t>
  </si>
  <si>
    <t>CUST5028</t>
  </si>
  <si>
    <t>TXN100465</t>
  </si>
  <si>
    <t>CUST8308</t>
  </si>
  <si>
    <t>TXN100466</t>
  </si>
  <si>
    <t>CUST8992</t>
  </si>
  <si>
    <t>TXN100467</t>
  </si>
  <si>
    <t>CUST9783</t>
  </si>
  <si>
    <t>TXN100468</t>
  </si>
  <si>
    <t>2025-12-15</t>
  </si>
  <si>
    <t>CUST9508</t>
  </si>
  <si>
    <t>TXN100469</t>
  </si>
  <si>
    <t>CUST7141</t>
  </si>
  <si>
    <t>TXN100470</t>
  </si>
  <si>
    <t>CUST9125</t>
  </si>
  <si>
    <t>TXN100471</t>
  </si>
  <si>
    <t>CUST3667</t>
  </si>
  <si>
    <t>TXN100472</t>
  </si>
  <si>
    <t>2025-05-03</t>
  </si>
  <si>
    <t>CUST5385</t>
  </si>
  <si>
    <t>TXN100473</t>
  </si>
  <si>
    <t>CUST9332</t>
  </si>
  <si>
    <t>TXN100474</t>
  </si>
  <si>
    <t>2025-02-23</t>
  </si>
  <si>
    <t>CUST4575</t>
  </si>
  <si>
    <t>TXN100475</t>
  </si>
  <si>
    <t>CUST6252</t>
  </si>
  <si>
    <t>TXN100476</t>
  </si>
  <si>
    <t>CUST7222</t>
  </si>
  <si>
    <t>TXN100477</t>
  </si>
  <si>
    <t>CUST4085</t>
  </si>
  <si>
    <t>TXN100478</t>
  </si>
  <si>
    <t>CUST3481</t>
  </si>
  <si>
    <t>TXN100479</t>
  </si>
  <si>
    <t>CUST4629</t>
  </si>
  <si>
    <t>TXN100480</t>
  </si>
  <si>
    <t>2025-11-21</t>
  </si>
  <si>
    <t>CUST2015</t>
  </si>
  <si>
    <t>TXN100481</t>
  </si>
  <si>
    <t>CUST3027</t>
  </si>
  <si>
    <t>TXN100482</t>
  </si>
  <si>
    <t>CUST3841</t>
  </si>
  <si>
    <t>TXN100483</t>
  </si>
  <si>
    <t>CUST5185</t>
  </si>
  <si>
    <t>TXN100484</t>
  </si>
  <si>
    <t>TXN100485</t>
  </si>
  <si>
    <t>CUST6548</t>
  </si>
  <si>
    <t>TXN100486</t>
  </si>
  <si>
    <t>2025-05-26</t>
  </si>
  <si>
    <t>CUST1156</t>
  </si>
  <si>
    <t>TXN100487</t>
  </si>
  <si>
    <t>TXN100488</t>
  </si>
  <si>
    <t>CUST4214</t>
  </si>
  <si>
    <t>TXN100489</t>
  </si>
  <si>
    <t>2025-06-02</t>
  </si>
  <si>
    <t>CUST4883</t>
  </si>
  <si>
    <t>TXN100490</t>
  </si>
  <si>
    <t>CUST8250</t>
  </si>
  <si>
    <t>TXN100491</t>
  </si>
  <si>
    <t>CUST1943</t>
  </si>
  <si>
    <t>TXN100492</t>
  </si>
  <si>
    <t>CUST8403</t>
  </si>
  <si>
    <t>TXN100493</t>
  </si>
  <si>
    <t>CUST7338</t>
  </si>
  <si>
    <t>TXN100494</t>
  </si>
  <si>
    <t>CUST9534</t>
  </si>
  <si>
    <t>TXN100495</t>
  </si>
  <si>
    <t>2025-06-14</t>
  </si>
  <si>
    <t>TXN100496</t>
  </si>
  <si>
    <t>CUST2332</t>
  </si>
  <si>
    <t>TXN100497</t>
  </si>
  <si>
    <t>2025-12-22</t>
  </si>
  <si>
    <t>CUST3751</t>
  </si>
  <si>
    <t>TXN100498</t>
  </si>
  <si>
    <t>CUST2556</t>
  </si>
  <si>
    <t>TXN100499</t>
  </si>
  <si>
    <t>CUST1959</t>
  </si>
  <si>
    <t>TXN100500</t>
  </si>
  <si>
    <t>2025-10-10</t>
  </si>
  <si>
    <t>CUST8207</t>
  </si>
  <si>
    <t>TXN100501</t>
  </si>
  <si>
    <t>2025-05-07</t>
  </si>
  <si>
    <t>CUST4482</t>
  </si>
  <si>
    <t>TXN100502</t>
  </si>
  <si>
    <t>2025-09-30</t>
  </si>
  <si>
    <t>CUST6037</t>
  </si>
  <si>
    <t>TXN100503</t>
  </si>
  <si>
    <t>CUST2926</t>
  </si>
  <si>
    <t>TXN100504</t>
  </si>
  <si>
    <t>CUST8573</t>
  </si>
  <si>
    <t>TXN100505</t>
  </si>
  <si>
    <t>TXN100506</t>
  </si>
  <si>
    <t>2025-07-02</t>
  </si>
  <si>
    <t>CUST4115</t>
  </si>
  <si>
    <t>TXN100507</t>
  </si>
  <si>
    <t>CUST9132</t>
  </si>
  <si>
    <t>TXN100508</t>
  </si>
  <si>
    <t>CUST1820</t>
  </si>
  <si>
    <t>TXN100509</t>
  </si>
  <si>
    <t>CUST4042</t>
  </si>
  <si>
    <t>TXN100510</t>
  </si>
  <si>
    <t>CUST2661</t>
  </si>
  <si>
    <t>TXN100511</t>
  </si>
  <si>
    <t>CUST1894</t>
  </si>
  <si>
    <t>TXN100512</t>
  </si>
  <si>
    <t>CUST7326</t>
  </si>
  <si>
    <t>TXN100513</t>
  </si>
  <si>
    <t>2025-10-06</t>
  </si>
  <si>
    <t>CUST3580</t>
  </si>
  <si>
    <t>TXN100514</t>
  </si>
  <si>
    <t>CUST7799</t>
  </si>
  <si>
    <t>TXN100515</t>
  </si>
  <si>
    <t>CUST9726</t>
  </si>
  <si>
    <t>TXN100516</t>
  </si>
  <si>
    <t>2025-02-17</t>
  </si>
  <si>
    <t>CUST7614</t>
  </si>
  <si>
    <t>TXN100517</t>
  </si>
  <si>
    <t>2025-11-23</t>
  </si>
  <si>
    <t>CUST5300</t>
  </si>
  <si>
    <t>TXN100518</t>
  </si>
  <si>
    <t>2025-06-26</t>
  </si>
  <si>
    <t>CUST2344</t>
  </si>
  <si>
    <t>TXN100519</t>
  </si>
  <si>
    <t>CUST8680</t>
  </si>
  <si>
    <t>TXN100520</t>
  </si>
  <si>
    <t>2025-08-03</t>
  </si>
  <si>
    <t>CUST5123</t>
  </si>
  <si>
    <t>TXN100521</t>
  </si>
  <si>
    <t>CUST3866</t>
  </si>
  <si>
    <t>TXN100522</t>
  </si>
  <si>
    <t>CUST4848</t>
  </si>
  <si>
    <t>TXN100523</t>
  </si>
  <si>
    <t>CUST3336</t>
  </si>
  <si>
    <t>TXN100524</t>
  </si>
  <si>
    <t>CUST4151</t>
  </si>
  <si>
    <t>TXN100525</t>
  </si>
  <si>
    <t>CUST3270</t>
  </si>
  <si>
    <t>TXN100526</t>
  </si>
  <si>
    <t>2025-02-06</t>
  </si>
  <si>
    <t>CUST5868</t>
  </si>
  <si>
    <t>TXN100527</t>
  </si>
  <si>
    <t>2025-04-01</t>
  </si>
  <si>
    <t>CUST1152</t>
  </si>
  <si>
    <t>TXN100528</t>
  </si>
  <si>
    <t>2025-05-24</t>
  </si>
  <si>
    <t>CUST8257</t>
  </si>
  <si>
    <t>TXN100529</t>
  </si>
  <si>
    <t>CUST6908</t>
  </si>
  <si>
    <t>TXN100530</t>
  </si>
  <si>
    <t>CUST7201</t>
  </si>
  <si>
    <t>TXN100531</t>
  </si>
  <si>
    <t>CUST6144</t>
  </si>
  <si>
    <t>TXN100532</t>
  </si>
  <si>
    <t>CUST9602</t>
  </si>
  <si>
    <t>TXN100533</t>
  </si>
  <si>
    <t>CUST8833</t>
  </si>
  <si>
    <t>TXN100534</t>
  </si>
  <si>
    <t>TXN100535</t>
  </si>
  <si>
    <t>2025-03-09</t>
  </si>
  <si>
    <t>CUST8589</t>
  </si>
  <si>
    <t>TXN100536</t>
  </si>
  <si>
    <t>CUST6642</t>
  </si>
  <si>
    <t>TXN100537</t>
  </si>
  <si>
    <t>CUST7975</t>
  </si>
  <si>
    <t>TXN100538</t>
  </si>
  <si>
    <t>2025-01-28</t>
  </si>
  <si>
    <t>CUST2427</t>
  </si>
  <si>
    <t>TXN100539</t>
  </si>
  <si>
    <t>2025-02-18</t>
  </si>
  <si>
    <t>CUST7364</t>
  </si>
  <si>
    <t>TXN100540</t>
  </si>
  <si>
    <t>CUST2564</t>
  </si>
  <si>
    <t>TXN100541</t>
  </si>
  <si>
    <t>CUST2956</t>
  </si>
  <si>
    <t>TXN100542</t>
  </si>
  <si>
    <t>CUST4802</t>
  </si>
  <si>
    <t>TXN100543</t>
  </si>
  <si>
    <t>CUST2446</t>
  </si>
  <si>
    <t>TXN100544</t>
  </si>
  <si>
    <t>CUST2620</t>
  </si>
  <si>
    <t>TXN100545</t>
  </si>
  <si>
    <t>CUST4555</t>
  </si>
  <si>
    <t>TXN100546</t>
  </si>
  <si>
    <t>2025-07-23</t>
  </si>
  <si>
    <t>CUST2454</t>
  </si>
  <si>
    <t>TXN100547</t>
  </si>
  <si>
    <t>CUST8596</t>
  </si>
  <si>
    <t>TXN100548</t>
  </si>
  <si>
    <t>CUST4284</t>
  </si>
  <si>
    <t>TXN100549</t>
  </si>
  <si>
    <t>2025-03-13</t>
  </si>
  <si>
    <t>CUST1802</t>
  </si>
  <si>
    <t>TXN100550</t>
  </si>
  <si>
    <t>2025-04-10</t>
  </si>
  <si>
    <t>CUST4800</t>
  </si>
  <si>
    <t>TXN100551</t>
  </si>
  <si>
    <t>CUST7032</t>
  </si>
  <si>
    <t>TXN100552</t>
  </si>
  <si>
    <t>TXN100553</t>
  </si>
  <si>
    <t>CUST6209</t>
  </si>
  <si>
    <t>TXN100554</t>
  </si>
  <si>
    <t>CUST3897</t>
  </si>
  <si>
    <t>TXN100555</t>
  </si>
  <si>
    <t>2025-07-30</t>
  </si>
  <si>
    <t>CUST5963</t>
  </si>
  <si>
    <t>TXN100556</t>
  </si>
  <si>
    <t>CUST4329</t>
  </si>
  <si>
    <t>TXN100557</t>
  </si>
  <si>
    <t>CUST1843</t>
  </si>
  <si>
    <t>TXN100558</t>
  </si>
  <si>
    <t>2025-01-24</t>
  </si>
  <si>
    <t>CUST9926</t>
  </si>
  <si>
    <t>TXN100559</t>
  </si>
  <si>
    <t>2025-09-18</t>
  </si>
  <si>
    <t>CUST2515</t>
  </si>
  <si>
    <t>TXN100560</t>
  </si>
  <si>
    <t>CUST9236</t>
  </si>
  <si>
    <t>TXN100561</t>
  </si>
  <si>
    <t>2025-09-11</t>
  </si>
  <si>
    <t>CUST6157</t>
  </si>
  <si>
    <t>TXN100562</t>
  </si>
  <si>
    <t>CUST9577</t>
  </si>
  <si>
    <t>TXN100563</t>
  </si>
  <si>
    <t>CUST9388</t>
  </si>
  <si>
    <t>TXN100564</t>
  </si>
  <si>
    <t>CUST7072</t>
  </si>
  <si>
    <t>TXN100565</t>
  </si>
  <si>
    <t>CUST9173</t>
  </si>
  <si>
    <t>TXN100566</t>
  </si>
  <si>
    <t>2025-08-18</t>
  </si>
  <si>
    <t>CUST9423</t>
  </si>
  <si>
    <t>TXN100567</t>
  </si>
  <si>
    <t>CUST1087</t>
  </si>
  <si>
    <t>TXN100568</t>
  </si>
  <si>
    <t>CUST3225</t>
  </si>
  <si>
    <t>TXN100569</t>
  </si>
  <si>
    <t>CUST3443</t>
  </si>
  <si>
    <t>TXN100570</t>
  </si>
  <si>
    <t>CUST7602</t>
  </si>
  <si>
    <t>TXN100571</t>
  </si>
  <si>
    <t>CUST3816</t>
  </si>
  <si>
    <t>TXN100572</t>
  </si>
  <si>
    <t>2025-09-09</t>
  </si>
  <si>
    <t>CUST3537</t>
  </si>
  <si>
    <t>TXN100573</t>
  </si>
  <si>
    <t>2025-09-10</t>
  </si>
  <si>
    <t>CUST6756</t>
  </si>
  <si>
    <t>TXN100574</t>
  </si>
  <si>
    <t>CUST1709</t>
  </si>
  <si>
    <t>TXN100575</t>
  </si>
  <si>
    <t>CUST8789</t>
  </si>
  <si>
    <t>TXN100576</t>
  </si>
  <si>
    <t>2025-02-03</t>
  </si>
  <si>
    <t>CUST6312</t>
  </si>
  <si>
    <t>TXN100577</t>
  </si>
  <si>
    <t>CUST4599</t>
  </si>
  <si>
    <t>TXN100578</t>
  </si>
  <si>
    <t>2025-08-11</t>
  </si>
  <si>
    <t>CUST7033</t>
  </si>
  <si>
    <t>TXN100579</t>
  </si>
  <si>
    <t>CUST3843</t>
  </si>
  <si>
    <t>TXN100580</t>
  </si>
  <si>
    <t>CUST9321</t>
  </si>
  <si>
    <t>TXN100581</t>
  </si>
  <si>
    <t>CUST5194</t>
  </si>
  <si>
    <t>TXN100582</t>
  </si>
  <si>
    <t>2025-10-02</t>
  </si>
  <si>
    <t>CUST5455</t>
  </si>
  <si>
    <t>TXN100583</t>
  </si>
  <si>
    <t>CUST6788</t>
  </si>
  <si>
    <t>TXN100584</t>
  </si>
  <si>
    <t>2025-09-26</t>
  </si>
  <si>
    <t>CUST4858</t>
  </si>
  <si>
    <t>TXN100585</t>
  </si>
  <si>
    <t>TXN100586</t>
  </si>
  <si>
    <t>CUST7516</t>
  </si>
  <si>
    <t>TXN100587</t>
  </si>
  <si>
    <t>CUST4792</t>
  </si>
  <si>
    <t>TXN100588</t>
  </si>
  <si>
    <t>TXN100589</t>
  </si>
  <si>
    <t>CUST9808</t>
  </si>
  <si>
    <t>TXN100590</t>
  </si>
  <si>
    <t>CUST9883</t>
  </si>
  <si>
    <t>TXN100591</t>
  </si>
  <si>
    <t>CUST7039</t>
  </si>
  <si>
    <t>TXN100592</t>
  </si>
  <si>
    <t>CUST8127</t>
  </si>
  <si>
    <t>TXN100593</t>
  </si>
  <si>
    <t>CUST8489</t>
  </si>
  <si>
    <t>TXN100594</t>
  </si>
  <si>
    <t>2025-01-08</t>
  </si>
  <si>
    <t>TXN100595</t>
  </si>
  <si>
    <t>CUST5558</t>
  </si>
  <si>
    <t>TXN100596</t>
  </si>
  <si>
    <t>CUST5504</t>
  </si>
  <si>
    <t>TXN100597</t>
  </si>
  <si>
    <t>CUST7805</t>
  </si>
  <si>
    <t>TXN100598</t>
  </si>
  <si>
    <t>CUST5894</t>
  </si>
  <si>
    <t>TXN100599</t>
  </si>
  <si>
    <t>2025-12-16</t>
  </si>
  <si>
    <t>TXN100600</t>
  </si>
  <si>
    <t>CUST9281</t>
  </si>
  <si>
    <t>TXN100601</t>
  </si>
  <si>
    <t>TXN100602</t>
  </si>
  <si>
    <t>CUST2217</t>
  </si>
  <si>
    <t>TXN100603</t>
  </si>
  <si>
    <t>CUST4855</t>
  </si>
  <si>
    <t>TXN100604</t>
  </si>
  <si>
    <t>CUST7678</t>
  </si>
  <si>
    <t>TXN100605</t>
  </si>
  <si>
    <t>CUST5682</t>
  </si>
  <si>
    <t>TXN100606</t>
  </si>
  <si>
    <t>CUST5301</t>
  </si>
  <si>
    <t>TXN100607</t>
  </si>
  <si>
    <t>CUST3040</t>
  </si>
  <si>
    <t>TXN100608</t>
  </si>
  <si>
    <t>CUST3316</t>
  </si>
  <si>
    <t>TXN100609</t>
  </si>
  <si>
    <t>CUST4844</t>
  </si>
  <si>
    <t>TXN100610</t>
  </si>
  <si>
    <t>CUST3942</t>
  </si>
  <si>
    <t>TXN100611</t>
  </si>
  <si>
    <t>2025-05-12</t>
  </si>
  <si>
    <t>CUST3064</t>
  </si>
  <si>
    <t>TXN100612</t>
  </si>
  <si>
    <t>CUST1920</t>
  </si>
  <si>
    <t>TXN100613</t>
  </si>
  <si>
    <t>2025-11-25</t>
  </si>
  <si>
    <t>CUST5503</t>
  </si>
  <si>
    <t>TXN100614</t>
  </si>
  <si>
    <t>2025-12-19</t>
  </si>
  <si>
    <t>CUST8208</t>
  </si>
  <si>
    <t>TXN100615</t>
  </si>
  <si>
    <t>CUST5431</t>
  </si>
  <si>
    <t>TXN100616</t>
  </si>
  <si>
    <t>2025-05-29</t>
  </si>
  <si>
    <t>CUST9150</t>
  </si>
  <si>
    <t>TXN100617</t>
  </si>
  <si>
    <t>2025-10-25</t>
  </si>
  <si>
    <t>CUST1454</t>
  </si>
  <si>
    <t>TXN100618</t>
  </si>
  <si>
    <t>CUST8633</t>
  </si>
  <si>
    <t>TXN100619</t>
  </si>
  <si>
    <t>2025-11-17</t>
  </si>
  <si>
    <t>CUST5485</t>
  </si>
  <si>
    <t>TXN100620</t>
  </si>
  <si>
    <t>CUST1107</t>
  </si>
  <si>
    <t>TXN100621</t>
  </si>
  <si>
    <t>CUST8612</t>
  </si>
  <si>
    <t>TXN100622</t>
  </si>
  <si>
    <t>CUST7563</t>
  </si>
  <si>
    <t>TXN100623</t>
  </si>
  <si>
    <t>CUST2769</t>
  </si>
  <si>
    <t>TXN100624</t>
  </si>
  <si>
    <t>CUST6463</t>
  </si>
  <si>
    <t>TXN100625</t>
  </si>
  <si>
    <t>CUST2383</t>
  </si>
  <si>
    <t>TXN100626</t>
  </si>
  <si>
    <t>2025-07-26</t>
  </si>
  <si>
    <t>CUST4711</t>
  </si>
  <si>
    <t>TXN100627</t>
  </si>
  <si>
    <t>CUST1124</t>
  </si>
  <si>
    <t>TXN100628</t>
  </si>
  <si>
    <t>CUST2069</t>
  </si>
  <si>
    <t>TXN100629</t>
  </si>
  <si>
    <t>CUST1549</t>
  </si>
  <si>
    <t>TXN100630</t>
  </si>
  <si>
    <t>CUST5072</t>
  </si>
  <si>
    <t>TXN100631</t>
  </si>
  <si>
    <t>CUST4914</t>
  </si>
  <si>
    <t>TXN100632</t>
  </si>
  <si>
    <t>CUST7717</t>
  </si>
  <si>
    <t>TXN100633</t>
  </si>
  <si>
    <t>CUST4424</t>
  </si>
  <si>
    <t>TXN100634</t>
  </si>
  <si>
    <t>CUST4261</t>
  </si>
  <si>
    <t>TXN100635</t>
  </si>
  <si>
    <t>2025-02-21</t>
  </si>
  <si>
    <t>CUST3970</t>
  </si>
  <si>
    <t>TXN100636</t>
  </si>
  <si>
    <t>2025-01-02</t>
  </si>
  <si>
    <t>CUST4007</t>
  </si>
  <si>
    <t>TXN100637</t>
  </si>
  <si>
    <t>CUST5381</t>
  </si>
  <si>
    <t>TXN100638</t>
  </si>
  <si>
    <t>CUST8677</t>
  </si>
  <si>
    <t>TXN100639</t>
  </si>
  <si>
    <t>CUST9082</t>
  </si>
  <si>
    <t>TXN100640</t>
  </si>
  <si>
    <t>CUST8883</t>
  </si>
  <si>
    <t>TXN100641</t>
  </si>
  <si>
    <t>CUST5187</t>
  </si>
  <si>
    <t>TXN100642</t>
  </si>
  <si>
    <t>CUST1142</t>
  </si>
  <si>
    <t>TXN100643</t>
  </si>
  <si>
    <t>CUST4186</t>
  </si>
  <si>
    <t>TXN100644</t>
  </si>
  <si>
    <t>CUST5172</t>
  </si>
  <si>
    <t>TXN100645</t>
  </si>
  <si>
    <t>CUST2101</t>
  </si>
  <si>
    <t>TXN100646</t>
  </si>
  <si>
    <t>CUST9855</t>
  </si>
  <si>
    <t>TXN100647</t>
  </si>
  <si>
    <t>CUST8583</t>
  </si>
  <si>
    <t>TXN100648</t>
  </si>
  <si>
    <t>CUST3559</t>
  </si>
  <si>
    <t>TXN100649</t>
  </si>
  <si>
    <t>CUST4175</t>
  </si>
  <si>
    <t>TXN100650</t>
  </si>
  <si>
    <t>CUST4769</t>
  </si>
  <si>
    <t>TXN100651</t>
  </si>
  <si>
    <t>CUST8435</t>
  </si>
  <si>
    <t>TXN100652</t>
  </si>
  <si>
    <t>CUST4578</t>
  </si>
  <si>
    <t>TXN100653</t>
  </si>
  <si>
    <t>CUST3832</t>
  </si>
  <si>
    <t>TXN100654</t>
  </si>
  <si>
    <t>2025-05-28</t>
  </si>
  <si>
    <t>CUST7575</t>
  </si>
  <si>
    <t>TXN100655</t>
  </si>
  <si>
    <t>CUST4662</t>
  </si>
  <si>
    <t>TXN100656</t>
  </si>
  <si>
    <t>CUST1049</t>
  </si>
  <si>
    <t>TXN100657</t>
  </si>
  <si>
    <t>2025-05-10</t>
  </si>
  <si>
    <t>CUST6936</t>
  </si>
  <si>
    <t>TXN100658</t>
  </si>
  <si>
    <t>CUST3275</t>
  </si>
  <si>
    <t>TXN100659</t>
  </si>
  <si>
    <t>CUST4866</t>
  </si>
  <si>
    <t>TXN100660</t>
  </si>
  <si>
    <t>CUST9544</t>
  </si>
  <si>
    <t>TXN100661</t>
  </si>
  <si>
    <t>CUST4913</t>
  </si>
  <si>
    <t>TXN100662</t>
  </si>
  <si>
    <t>CUST2955</t>
  </si>
  <si>
    <t>TXN100663</t>
  </si>
  <si>
    <t>CUST8156</t>
  </si>
  <si>
    <t>TXN100664</t>
  </si>
  <si>
    <t>CUST2450</t>
  </si>
  <si>
    <t>TXN100665</t>
  </si>
  <si>
    <t>CUST7989</t>
  </si>
  <si>
    <t>TXN100666</t>
  </si>
  <si>
    <t>CUST7449</t>
  </si>
  <si>
    <t>TXN100667</t>
  </si>
  <si>
    <t>CUST9625</t>
  </si>
  <si>
    <t>TXN100668</t>
  </si>
  <si>
    <t>2025-10-09</t>
  </si>
  <si>
    <t>CUST8412</t>
  </si>
  <si>
    <t>TXN100669</t>
  </si>
  <si>
    <t>CUST6398</t>
  </si>
  <si>
    <t>TXN100670</t>
  </si>
  <si>
    <t>2025-03-18</t>
  </si>
  <si>
    <t>CUST5564</t>
  </si>
  <si>
    <t>TXN100671</t>
  </si>
  <si>
    <t>CUST6771</t>
  </si>
  <si>
    <t>TXN100672</t>
  </si>
  <si>
    <t>CUST6159</t>
  </si>
  <si>
    <t>TXN100673</t>
  </si>
  <si>
    <t>CUST1099</t>
  </si>
  <si>
    <t>TXN100674</t>
  </si>
  <si>
    <t>CUST6161</t>
  </si>
  <si>
    <t>TXN100675</t>
  </si>
  <si>
    <t>CUST9942</t>
  </si>
  <si>
    <t>TXN100676</t>
  </si>
  <si>
    <t>CUST6762</t>
  </si>
  <si>
    <t>TXN100677</t>
  </si>
  <si>
    <t>CUST3012</t>
  </si>
  <si>
    <t>TXN100678</t>
  </si>
  <si>
    <t>CUST7870</t>
  </si>
  <si>
    <t>TXN100679</t>
  </si>
  <si>
    <t>CUST8092</t>
  </si>
  <si>
    <t>TXN100680</t>
  </si>
  <si>
    <t>2025-10-07</t>
  </si>
  <si>
    <t>CUST3152</t>
  </si>
  <si>
    <t>TXN100681</t>
  </si>
  <si>
    <t>CUST6086</t>
  </si>
  <si>
    <t>TXN100682</t>
  </si>
  <si>
    <t>TXN100683</t>
  </si>
  <si>
    <t>CUST6675</t>
  </si>
  <si>
    <t>TXN100684</t>
  </si>
  <si>
    <t>CUST5668</t>
  </si>
  <si>
    <t>TXN100685</t>
  </si>
  <si>
    <t>CUST6413</t>
  </si>
  <si>
    <t>TXN100686</t>
  </si>
  <si>
    <t>CUST3041</t>
  </si>
  <si>
    <t>TXN100687</t>
  </si>
  <si>
    <t>CUST8116</t>
  </si>
  <si>
    <t>TXN100688</t>
  </si>
  <si>
    <t>CUST8615</t>
  </si>
  <si>
    <t>TXN100689</t>
  </si>
  <si>
    <t>2025-07-14</t>
  </si>
  <si>
    <t>CUST4116</t>
  </si>
  <si>
    <t>TXN100690</t>
  </si>
  <si>
    <t>CUST5828</t>
  </si>
  <si>
    <t>TXN100691</t>
  </si>
  <si>
    <t>CUST9671</t>
  </si>
  <si>
    <t>TXN100692</t>
  </si>
  <si>
    <t>CUST6498</t>
  </si>
  <si>
    <t>TXN100693</t>
  </si>
  <si>
    <t>CUST1056</t>
  </si>
  <si>
    <t>TXN100694</t>
  </si>
  <si>
    <t>CUST5979</t>
  </si>
  <si>
    <t>TXN100695</t>
  </si>
  <si>
    <t>CUST4595</t>
  </si>
  <si>
    <t>TXN100696</t>
  </si>
  <si>
    <t>CUST6182</t>
  </si>
  <si>
    <t>TXN100697</t>
  </si>
  <si>
    <t>CUST6087</t>
  </si>
  <si>
    <t>TXN100698</t>
  </si>
  <si>
    <t>CUST9925</t>
  </si>
  <si>
    <t>TXN100699</t>
  </si>
  <si>
    <t>CUST5453</t>
  </si>
  <si>
    <t>TXN100700</t>
  </si>
  <si>
    <t>CUST4570</t>
  </si>
  <si>
    <t>TXN100701</t>
  </si>
  <si>
    <t>2025-10-20</t>
  </si>
  <si>
    <t>CUST3356</t>
  </si>
  <si>
    <t>TXN100702</t>
  </si>
  <si>
    <t>CUST5186</t>
  </si>
  <si>
    <t>TXN100703</t>
  </si>
  <si>
    <t>2025-11-19</t>
  </si>
  <si>
    <t>CUST4983</t>
  </si>
  <si>
    <t>TXN100704</t>
  </si>
  <si>
    <t>2025-11-20</t>
  </si>
  <si>
    <t>CUST9898</t>
  </si>
  <si>
    <t>TXN100705</t>
  </si>
  <si>
    <t>CUST1070</t>
  </si>
  <si>
    <t>TXN100706</t>
  </si>
  <si>
    <t>CUST3299</t>
  </si>
  <si>
    <t>TXN100707</t>
  </si>
  <si>
    <t>CUST3374</t>
  </si>
  <si>
    <t>TXN100708</t>
  </si>
  <si>
    <t>CUST2181</t>
  </si>
  <si>
    <t>TXN100709</t>
  </si>
  <si>
    <t>2025-11-18</t>
  </si>
  <si>
    <t>CUST6112</t>
  </si>
  <si>
    <t>TXN100710</t>
  </si>
  <si>
    <t>CUST2707</t>
  </si>
  <si>
    <t>TXN100711</t>
  </si>
  <si>
    <t>CUST6188</t>
  </si>
  <si>
    <t>TXN100712</t>
  </si>
  <si>
    <t>2025-02-22</t>
  </si>
  <si>
    <t>CUST5200</t>
  </si>
  <si>
    <t>TXN100713</t>
  </si>
  <si>
    <t>CUST4667</t>
  </si>
  <si>
    <t>TXN100714</t>
  </si>
  <si>
    <t>2025-04-18</t>
  </si>
  <si>
    <t>CUST5078</t>
  </si>
  <si>
    <t>TXN100715</t>
  </si>
  <si>
    <t>CUST5700</t>
  </si>
  <si>
    <t>TXN100716</t>
  </si>
  <si>
    <t>CUST4299</t>
  </si>
  <si>
    <t>TXN100717</t>
  </si>
  <si>
    <t>CUST3402</t>
  </si>
  <si>
    <t>TXN100718</t>
  </si>
  <si>
    <t>2025-09-07</t>
  </si>
  <si>
    <t>CUST5204</t>
  </si>
  <si>
    <t>TXN100719</t>
  </si>
  <si>
    <t>CUST5864</t>
  </si>
  <si>
    <t>TXN100720</t>
  </si>
  <si>
    <t>CUST8510</t>
  </si>
  <si>
    <t>TXN100721</t>
  </si>
  <si>
    <t>CUST7780</t>
  </si>
  <si>
    <t>TXN100722</t>
  </si>
  <si>
    <t>CUST8706</t>
  </si>
  <si>
    <t>TXN100723</t>
  </si>
  <si>
    <t>CUST4887</t>
  </si>
  <si>
    <t>TXN100724</t>
  </si>
  <si>
    <t>CUST8524</t>
  </si>
  <si>
    <t>TXN100725</t>
  </si>
  <si>
    <t>CUST1710</t>
  </si>
  <si>
    <t>TXN100726</t>
  </si>
  <si>
    <t>TXN100727</t>
  </si>
  <si>
    <t>CUST4244</t>
  </si>
  <si>
    <t>TXN100728</t>
  </si>
  <si>
    <t>CUST1889</t>
  </si>
  <si>
    <t>TXN100729</t>
  </si>
  <si>
    <t>TXN100730</t>
  </si>
  <si>
    <t>CUST8862</t>
  </si>
  <si>
    <t>TXN100731</t>
  </si>
  <si>
    <t>CUST7613</t>
  </si>
  <si>
    <t>TXN100732</t>
  </si>
  <si>
    <t>2025-01-07</t>
  </si>
  <si>
    <t>TXN100733</t>
  </si>
  <si>
    <t>2025-08-13</t>
  </si>
  <si>
    <t>CUST2998</t>
  </si>
  <si>
    <t>TXN100734</t>
  </si>
  <si>
    <t>CUST8273</t>
  </si>
  <si>
    <t>TXN100735</t>
  </si>
  <si>
    <t>CUST9347</t>
  </si>
  <si>
    <t>TXN100736</t>
  </si>
  <si>
    <t>TXN100737</t>
  </si>
  <si>
    <t>TXN100738</t>
  </si>
  <si>
    <t>CUST1882</t>
  </si>
  <si>
    <t>TXN100739</t>
  </si>
  <si>
    <t>CUST1048</t>
  </si>
  <si>
    <t>TXN100740</t>
  </si>
  <si>
    <t>CUST7601</t>
  </si>
  <si>
    <t>TXN100741</t>
  </si>
  <si>
    <t>CUST5992</t>
  </si>
  <si>
    <t>TXN100742</t>
  </si>
  <si>
    <t>CUST3777</t>
  </si>
  <si>
    <t>TXN100743</t>
  </si>
  <si>
    <t>CUST7992</t>
  </si>
  <si>
    <t>TXN100744</t>
  </si>
  <si>
    <t>CUST8823</t>
  </si>
  <si>
    <t>TXN100745</t>
  </si>
  <si>
    <t>CUST5426</t>
  </si>
  <si>
    <t>TXN100746</t>
  </si>
  <si>
    <t>2025-02-08</t>
  </si>
  <si>
    <t>TXN100747</t>
  </si>
  <si>
    <t>CUST1360</t>
  </si>
  <si>
    <t>TXN100748</t>
  </si>
  <si>
    <t>2025-06-08</t>
  </si>
  <si>
    <t>CUST4523</t>
  </si>
  <si>
    <t>TXN100749</t>
  </si>
  <si>
    <t>CUST5924</t>
  </si>
  <si>
    <t>TXN100750</t>
  </si>
  <si>
    <t>CUST1713</t>
  </si>
  <si>
    <t>TXN100751</t>
  </si>
  <si>
    <t>CUST6114</t>
  </si>
  <si>
    <t>TXN100752</t>
  </si>
  <si>
    <t>CUST5438</t>
  </si>
  <si>
    <t>TXN100753</t>
  </si>
  <si>
    <t>CUST2884</t>
  </si>
  <si>
    <t>TXN100754</t>
  </si>
  <si>
    <t>CUST2222</t>
  </si>
  <si>
    <t>TXN100755</t>
  </si>
  <si>
    <t>CUST7297</t>
  </si>
  <si>
    <t>TXN100756</t>
  </si>
  <si>
    <t>CUST5732</t>
  </si>
  <si>
    <t>TXN100757</t>
  </si>
  <si>
    <t>TXN100758</t>
  </si>
  <si>
    <t>CUST3108</t>
  </si>
  <si>
    <t>TXN100759</t>
  </si>
  <si>
    <t>TXN100760</t>
  </si>
  <si>
    <t>2025-05-14</t>
  </si>
  <si>
    <t>CUST7958</t>
  </si>
  <si>
    <t>TXN100761</t>
  </si>
  <si>
    <t>2025-09-22</t>
  </si>
  <si>
    <t>TXN100762</t>
  </si>
  <si>
    <t>CUST1587</t>
  </si>
  <si>
    <t>TXN100763</t>
  </si>
  <si>
    <t>CUST5369</t>
  </si>
  <si>
    <t>TXN100764</t>
  </si>
  <si>
    <t>2025-06-30</t>
  </si>
  <si>
    <t>CUST8095</t>
  </si>
  <si>
    <t>TXN100765</t>
  </si>
  <si>
    <t>CUST1624</t>
  </si>
  <si>
    <t>TXN100766</t>
  </si>
  <si>
    <t>CUST6315</t>
  </si>
  <si>
    <t>TXN100767</t>
  </si>
  <si>
    <t>CUST8386</t>
  </si>
  <si>
    <t>TXN100768</t>
  </si>
  <si>
    <t>CUST9844</t>
  </si>
  <si>
    <t>TXN100769</t>
  </si>
  <si>
    <t>CUST9190</t>
  </si>
  <si>
    <t>TXN100770</t>
  </si>
  <si>
    <t>CUST7821</t>
  </si>
  <si>
    <t>TXN100771</t>
  </si>
  <si>
    <t>CUST4694</t>
  </si>
  <si>
    <t>TXN100772</t>
  </si>
  <si>
    <t>CUST8611</t>
  </si>
  <si>
    <t>TXN100773</t>
  </si>
  <si>
    <t>CUST2927</t>
  </si>
  <si>
    <t>TXN100774</t>
  </si>
  <si>
    <t>CUST7748</t>
  </si>
  <si>
    <t>TXN100775</t>
  </si>
  <si>
    <t>CUST3534</t>
  </si>
  <si>
    <t>TXN100776</t>
  </si>
  <si>
    <t>CUST1428</t>
  </si>
  <si>
    <t>TXN100777</t>
  </si>
  <si>
    <t>CUST2671</t>
  </si>
  <si>
    <t>TXN100778</t>
  </si>
  <si>
    <t>CUST9284</t>
  </si>
  <si>
    <t>TXN100779</t>
  </si>
  <si>
    <t>CUST5282</t>
  </si>
  <si>
    <t>TXN100780</t>
  </si>
  <si>
    <t>2025-02-25</t>
  </si>
  <si>
    <t>TXN100781</t>
  </si>
  <si>
    <t>CUST8917</t>
  </si>
  <si>
    <t>TXN100782</t>
  </si>
  <si>
    <t>TXN100783</t>
  </si>
  <si>
    <t>CUST4239</t>
  </si>
  <si>
    <t>TXN100784</t>
  </si>
  <si>
    <t>CUST1856</t>
  </si>
  <si>
    <t>TXN100785</t>
  </si>
  <si>
    <t>CUST8902</t>
  </si>
  <si>
    <t>TXN100786</t>
  </si>
  <si>
    <t>CUST4976</t>
  </si>
  <si>
    <t>TXN100787</t>
  </si>
  <si>
    <t>CUST1812</t>
  </si>
  <si>
    <t>TXN100788</t>
  </si>
  <si>
    <t>2025-12-26</t>
  </si>
  <si>
    <t>CUST4534</t>
  </si>
  <si>
    <t>TXN100789</t>
  </si>
  <si>
    <t>CUST6040</t>
  </si>
  <si>
    <t>TXN100790</t>
  </si>
  <si>
    <t>CUST1974</t>
  </si>
  <si>
    <t>TXN100791</t>
  </si>
  <si>
    <t>CUST1079</t>
  </si>
  <si>
    <t>TXN100792</t>
  </si>
  <si>
    <t>CUST5897</t>
  </si>
  <si>
    <t>TXN100793</t>
  </si>
  <si>
    <t>CUST6706</t>
  </si>
  <si>
    <t>TXN100794</t>
  </si>
  <si>
    <t>CUST3744</t>
  </si>
  <si>
    <t>TXN100795</t>
  </si>
  <si>
    <t>TXN100796</t>
  </si>
  <si>
    <t>CUST3218</t>
  </si>
  <si>
    <t>TXN100797</t>
  </si>
  <si>
    <t>CUST7686</t>
  </si>
  <si>
    <t>TXN100798</t>
  </si>
  <si>
    <t>CUST8514</t>
  </si>
  <si>
    <t>TXN100799</t>
  </si>
  <si>
    <t>CUST9511</t>
  </si>
  <si>
    <t>TXN100800</t>
  </si>
  <si>
    <t>CUST6855</t>
  </si>
  <si>
    <t>TXN100801</t>
  </si>
  <si>
    <t>CUST8851</t>
  </si>
  <si>
    <t>TXN100802</t>
  </si>
  <si>
    <t>2025-12-18</t>
  </si>
  <si>
    <t>CUST3202</t>
  </si>
  <si>
    <t>TXN100803</t>
  </si>
  <si>
    <t>CUST5371</t>
  </si>
  <si>
    <t>TXN100804</t>
  </si>
  <si>
    <t>CUST3664</t>
  </si>
  <si>
    <t>TXN100805</t>
  </si>
  <si>
    <t>CUST8211</t>
  </si>
  <si>
    <t>TXN100806</t>
  </si>
  <si>
    <t>CUST3010</t>
  </si>
  <si>
    <t>TXN100807</t>
  </si>
  <si>
    <t>2025-05-11</t>
  </si>
  <si>
    <t>CUST8787</t>
  </si>
  <si>
    <t>TXN100808</t>
  </si>
  <si>
    <t>CUST8687</t>
  </si>
  <si>
    <t>TXN100809</t>
  </si>
  <si>
    <t>CUST9373</t>
  </si>
  <si>
    <t>TXN100810</t>
  </si>
  <si>
    <t>CUST4049</t>
  </si>
  <si>
    <t>TXN100811</t>
  </si>
  <si>
    <t>TXN100812</t>
  </si>
  <si>
    <t>CUST2961</t>
  </si>
  <si>
    <t>TXN100813</t>
  </si>
  <si>
    <t>CUST7405</t>
  </si>
  <si>
    <t>TXN100814</t>
  </si>
  <si>
    <t>CUST6488</t>
  </si>
  <si>
    <t>TXN100815</t>
  </si>
  <si>
    <t>CUST7258</t>
  </si>
  <si>
    <t>TXN100816</t>
  </si>
  <si>
    <t>CUST7949</t>
  </si>
  <si>
    <t>TXN100817</t>
  </si>
  <si>
    <t>CUST7990</t>
  </si>
  <si>
    <t>TXN100818</t>
  </si>
  <si>
    <t>CUST1734</t>
  </si>
  <si>
    <t>TXN100819</t>
  </si>
  <si>
    <t>CUST1751</t>
  </si>
  <si>
    <t>TXN100820</t>
  </si>
  <si>
    <t>2025-11-29</t>
  </si>
  <si>
    <t>CUST7355</t>
  </si>
  <si>
    <t>TXN100821</t>
  </si>
  <si>
    <t>2025-01-19</t>
  </si>
  <si>
    <t>CUST7367</t>
  </si>
  <si>
    <t>TXN100822</t>
  </si>
  <si>
    <t>CUST2230</t>
  </si>
  <si>
    <t>TXN100823</t>
  </si>
  <si>
    <t>TXN100824</t>
  </si>
  <si>
    <t>CUST3553</t>
  </si>
  <si>
    <t>TXN100825</t>
  </si>
  <si>
    <t>CUST4118</t>
  </si>
  <si>
    <t>TXN100826</t>
  </si>
  <si>
    <t>CUST2608</t>
  </si>
  <si>
    <t>TXN100827</t>
  </si>
  <si>
    <t>2025-02-26</t>
  </si>
  <si>
    <t>TXN100828</t>
  </si>
  <si>
    <t>CUST3868</t>
  </si>
  <si>
    <t>TXN100829</t>
  </si>
  <si>
    <t>CUST8252</t>
  </si>
  <si>
    <t>TXN100830</t>
  </si>
  <si>
    <t>CUST6346</t>
  </si>
  <si>
    <t>TXN100831</t>
  </si>
  <si>
    <t>CUST7232</t>
  </si>
  <si>
    <t>TXN100832</t>
  </si>
  <si>
    <t>CUST5137</t>
  </si>
  <si>
    <t>TXN100833</t>
  </si>
  <si>
    <t>CUST7605</t>
  </si>
  <si>
    <t>TXN100834</t>
  </si>
  <si>
    <t>TXN100835</t>
  </si>
  <si>
    <t>CUST3879</t>
  </si>
  <si>
    <t>TXN100836</t>
  </si>
  <si>
    <t>CUST4598</t>
  </si>
  <si>
    <t>TXN100837</t>
  </si>
  <si>
    <t>CUST4750</t>
  </si>
  <si>
    <t>TXN100838</t>
  </si>
  <si>
    <t>CUST3473</t>
  </si>
  <si>
    <t>TXN100839</t>
  </si>
  <si>
    <t>CUST2711</t>
  </si>
  <si>
    <t>TXN100840</t>
  </si>
  <si>
    <t>CUST3368</t>
  </si>
  <si>
    <t>TXN100841</t>
  </si>
  <si>
    <t>2025-12-17</t>
  </si>
  <si>
    <t>CUST1359</t>
  </si>
  <si>
    <t>TXN100842</t>
  </si>
  <si>
    <t>TXN100843</t>
  </si>
  <si>
    <t>CUST6596</t>
  </si>
  <si>
    <t>TXN100844</t>
  </si>
  <si>
    <t>CUST1725</t>
  </si>
  <si>
    <t>TXN100845</t>
  </si>
  <si>
    <t>CUST8810</t>
  </si>
  <si>
    <t>TXN100846</t>
  </si>
  <si>
    <t>TXN100847</t>
  </si>
  <si>
    <t>CUST5909</t>
  </si>
  <si>
    <t>TXN100848</t>
  </si>
  <si>
    <t>CUST4460</t>
  </si>
  <si>
    <t>TXN100849</t>
  </si>
  <si>
    <t>TXN100850</t>
  </si>
  <si>
    <t>CUST6249</t>
  </si>
  <si>
    <t>TXN100851</t>
  </si>
  <si>
    <t>CUST5254</t>
  </si>
  <si>
    <t>TXN100852</t>
  </si>
  <si>
    <t>CUST1568</t>
  </si>
  <si>
    <t>TXN100853</t>
  </si>
  <si>
    <t>CUST4177</t>
  </si>
  <si>
    <t>TXN100854</t>
  </si>
  <si>
    <t>CUST9182</t>
  </si>
  <si>
    <t>TXN100855</t>
  </si>
  <si>
    <t>CUST8858</t>
  </si>
  <si>
    <t>TXN100856</t>
  </si>
  <si>
    <t>CUST5638</t>
  </si>
  <si>
    <t>TXN100857</t>
  </si>
  <si>
    <t>CUST8508</t>
  </si>
  <si>
    <t>TXN100858</t>
  </si>
  <si>
    <t>CUST2542</t>
  </si>
  <si>
    <t>TXN100859</t>
  </si>
  <si>
    <t>CUST6119</t>
  </si>
  <si>
    <t>TXN100860</t>
  </si>
  <si>
    <t>CUST9934</t>
  </si>
  <si>
    <t>TXN100861</t>
  </si>
  <si>
    <t>CUST9510</t>
  </si>
  <si>
    <t>TXN100862</t>
  </si>
  <si>
    <t>CUST7356</t>
  </si>
  <si>
    <t>TXN100863</t>
  </si>
  <si>
    <t>CUST1367</t>
  </si>
  <si>
    <t>TXN100864</t>
  </si>
  <si>
    <t>TXN100865</t>
  </si>
  <si>
    <t>CUST3407</t>
  </si>
  <si>
    <t>TXN100866</t>
  </si>
  <si>
    <t>CUST1753</t>
  </si>
  <si>
    <t>TXN100867</t>
  </si>
  <si>
    <t>CUST1298</t>
  </si>
  <si>
    <t>TXN100868</t>
  </si>
  <si>
    <t>CUST2662</t>
  </si>
  <si>
    <t>TXN100869</t>
  </si>
  <si>
    <t>CUST6912</t>
  </si>
  <si>
    <t>TXN100870</t>
  </si>
  <si>
    <t>CUST6266</t>
  </si>
  <si>
    <t>TXN100871</t>
  </si>
  <si>
    <t>CUST4137</t>
  </si>
  <si>
    <t>TXN100872</t>
  </si>
  <si>
    <t>TXN100873</t>
  </si>
  <si>
    <t>CUST5848</t>
  </si>
  <si>
    <t>TXN100874</t>
  </si>
  <si>
    <t>CUST2365</t>
  </si>
  <si>
    <t>TXN100875</t>
  </si>
  <si>
    <t>2025-12-21</t>
  </si>
  <si>
    <t>CUST5253</t>
  </si>
  <si>
    <t>TXN100876</t>
  </si>
  <si>
    <t>CUST2121</t>
  </si>
  <si>
    <t>TXN100877</t>
  </si>
  <si>
    <t>CUST2479</t>
  </si>
  <si>
    <t>TXN100878</t>
  </si>
  <si>
    <t>CUST5005</t>
  </si>
  <si>
    <t>TXN100879</t>
  </si>
  <si>
    <t>CUST7489</t>
  </si>
  <si>
    <t>TXN100880</t>
  </si>
  <si>
    <t>CUST9461</t>
  </si>
  <si>
    <t>TXN100881</t>
  </si>
  <si>
    <t>CUST7857</t>
  </si>
  <si>
    <t>TXN100882</t>
  </si>
  <si>
    <t>CUST9161</t>
  </si>
  <si>
    <t>TXN100883</t>
  </si>
  <si>
    <t>CUST1625</t>
  </si>
  <si>
    <t>TXN100884</t>
  </si>
  <si>
    <t>CUST4772</t>
  </si>
  <si>
    <t>TXN100885</t>
  </si>
  <si>
    <t>TXN100886</t>
  </si>
  <si>
    <t>CUST6435</t>
  </si>
  <si>
    <t>TXN100887</t>
  </si>
  <si>
    <t>CUST3935</t>
  </si>
  <si>
    <t>TXN100888</t>
  </si>
  <si>
    <t>CUST7239</t>
  </si>
  <si>
    <t>TXN100889</t>
  </si>
  <si>
    <t>CUST3436</t>
  </si>
  <si>
    <t>TXN100890</t>
  </si>
  <si>
    <t>CUST7115</t>
  </si>
  <si>
    <t>TXN100891</t>
  </si>
  <si>
    <t>TXN100892</t>
  </si>
  <si>
    <t>CUST5054</t>
  </si>
  <si>
    <t>TXN100893</t>
  </si>
  <si>
    <t>CUST3502</t>
  </si>
  <si>
    <t>TXN100894</t>
  </si>
  <si>
    <t>CUST6281</t>
  </si>
  <si>
    <t>TXN100895</t>
  </si>
  <si>
    <t>CUST1690</t>
  </si>
  <si>
    <t>TXN100896</t>
  </si>
  <si>
    <t>CUST7796</t>
  </si>
  <si>
    <t>TXN100897</t>
  </si>
  <si>
    <t>CUST5867</t>
  </si>
  <si>
    <t>TXN100898</t>
  </si>
  <si>
    <t>CUST4142</t>
  </si>
  <si>
    <t>TXN100899</t>
  </si>
  <si>
    <t>CUST5009</t>
  </si>
  <si>
    <t>TXN100900</t>
  </si>
  <si>
    <t>CUST5529</t>
  </si>
  <si>
    <t>TXN100901</t>
  </si>
  <si>
    <t>CUST1733</t>
  </si>
  <si>
    <t>TXN100902</t>
  </si>
  <si>
    <t>2025-03-22</t>
  </si>
  <si>
    <t>CUST4323</t>
  </si>
  <si>
    <t>TXN100903</t>
  </si>
  <si>
    <t>CUST1638</t>
  </si>
  <si>
    <t>TXN100904</t>
  </si>
  <si>
    <t>CUST6390</t>
  </si>
  <si>
    <t>TXN100905</t>
  </si>
  <si>
    <t>TXN100906</t>
  </si>
  <si>
    <t>CUST7358</t>
  </si>
  <si>
    <t>TXN100907</t>
  </si>
  <si>
    <t>2025-10-21</t>
  </si>
  <si>
    <t>CUST7536</t>
  </si>
  <si>
    <t>TXN100908</t>
  </si>
  <si>
    <t>CUST8081</t>
  </si>
  <si>
    <t>TXN100909</t>
  </si>
  <si>
    <t>CUST2337</t>
  </si>
  <si>
    <t>TXN100910</t>
  </si>
  <si>
    <t>CUST7331</t>
  </si>
  <si>
    <t>TXN100911</t>
  </si>
  <si>
    <t>CUST4259</t>
  </si>
  <si>
    <t>TXN100912</t>
  </si>
  <si>
    <t>CUST5209</t>
  </si>
  <si>
    <t>TXN100913</t>
  </si>
  <si>
    <t>CUST8090</t>
  </si>
  <si>
    <t>TXN100914</t>
  </si>
  <si>
    <t>2025-09-06</t>
  </si>
  <si>
    <t>CUST2660</t>
  </si>
  <si>
    <t>TXN100915</t>
  </si>
  <si>
    <t>CUST9159</t>
  </si>
  <si>
    <t>TXN100916</t>
  </si>
  <si>
    <t>CUST7251</t>
  </si>
  <si>
    <t>TXN100917</t>
  </si>
  <si>
    <t>CUST7840</t>
  </si>
  <si>
    <t>TXN100918</t>
  </si>
  <si>
    <t>CUST2401</t>
  </si>
  <si>
    <t>TXN100919</t>
  </si>
  <si>
    <t>CUST9767</t>
  </si>
  <si>
    <t>TXN100920</t>
  </si>
  <si>
    <t>CUST8363</t>
  </si>
  <si>
    <t>TXN100921</t>
  </si>
  <si>
    <t>CUST5468</t>
  </si>
  <si>
    <t>TXN100922</t>
  </si>
  <si>
    <t>CUST5441</t>
  </si>
  <si>
    <t>TXN100923</t>
  </si>
  <si>
    <t>TXN100924</t>
  </si>
  <si>
    <t>CUST4249</t>
  </si>
  <si>
    <t>TXN100925</t>
  </si>
  <si>
    <t>CUST1825</t>
  </si>
  <si>
    <t>TXN100926</t>
  </si>
  <si>
    <t>CUST9852</t>
  </si>
  <si>
    <t>TXN100927</t>
  </si>
  <si>
    <t>CUST3742</t>
  </si>
  <si>
    <t>TXN100928</t>
  </si>
  <si>
    <t>CUST5741</t>
  </si>
  <si>
    <t>TXN100929</t>
  </si>
  <si>
    <t>2025-03-15</t>
  </si>
  <si>
    <t>CUST4471</t>
  </si>
  <si>
    <t>TXN100930</t>
  </si>
  <si>
    <t>CUST9201</t>
  </si>
  <si>
    <t>TXN100931</t>
  </si>
  <si>
    <t>CUST8859</t>
  </si>
  <si>
    <t>TXN100932</t>
  </si>
  <si>
    <t>CUST9448</t>
  </si>
  <si>
    <t>TXN100933</t>
  </si>
  <si>
    <t>2025-08-16</t>
  </si>
  <si>
    <t>CUST4296</t>
  </si>
  <si>
    <t>TXN100934</t>
  </si>
  <si>
    <t>CUST8921</t>
  </si>
  <si>
    <t>TXN100935</t>
  </si>
  <si>
    <t>CUST7675</t>
  </si>
  <si>
    <t>TXN100936</t>
  </si>
  <si>
    <t>CUST9139</t>
  </si>
  <si>
    <t>TXN100937</t>
  </si>
  <si>
    <t>CUST8911</t>
  </si>
  <si>
    <t>TXN100938</t>
  </si>
  <si>
    <t>CUST4128</t>
  </si>
  <si>
    <t>TXN100939</t>
  </si>
  <si>
    <t>CUST6797</t>
  </si>
  <si>
    <t>TXN100940</t>
  </si>
  <si>
    <t>CUST6353</t>
  </si>
  <si>
    <t>TXN100941</t>
  </si>
  <si>
    <t>TXN100942</t>
  </si>
  <si>
    <t>CUST8618</t>
  </si>
  <si>
    <t>TXN100943</t>
  </si>
  <si>
    <t>CUST1834</t>
  </si>
  <si>
    <t>TXN100944</t>
  </si>
  <si>
    <t>CUST9239</t>
  </si>
  <si>
    <t>TXN100945</t>
  </si>
  <si>
    <t>CUST6751</t>
  </si>
  <si>
    <t>TXN100946</t>
  </si>
  <si>
    <t>CUST3886</t>
  </si>
  <si>
    <t>TXN100947</t>
  </si>
  <si>
    <t>CUST2953</t>
  </si>
  <si>
    <t>TXN100948</t>
  </si>
  <si>
    <t>CUST3960</t>
  </si>
  <si>
    <t>TXN100949</t>
  </si>
  <si>
    <t>CUST9587</t>
  </si>
  <si>
    <t>TXN100950</t>
  </si>
  <si>
    <t>CUST5824</t>
  </si>
  <si>
    <t>TXN100951</t>
  </si>
  <si>
    <t>CUST4621</t>
  </si>
  <si>
    <t>TXN100952</t>
  </si>
  <si>
    <t>CUST1111</t>
  </si>
  <si>
    <t>TXN100953</t>
  </si>
  <si>
    <t>CUST8644</t>
  </si>
  <si>
    <t>TXN100954</t>
  </si>
  <si>
    <t>CUST9996</t>
  </si>
  <si>
    <t>TXN100955</t>
  </si>
  <si>
    <t>CUST8997</t>
  </si>
  <si>
    <t>TXN100956</t>
  </si>
  <si>
    <t>CUST1707</t>
  </si>
  <si>
    <t>TXN100957</t>
  </si>
  <si>
    <t>CUST6593</t>
  </si>
  <si>
    <t>TXN100958</t>
  </si>
  <si>
    <t>TXN100959</t>
  </si>
  <si>
    <t>CUST4199</t>
  </si>
  <si>
    <t>TXN100960</t>
  </si>
  <si>
    <t>CUST2125</t>
  </si>
  <si>
    <t>TXN100961</t>
  </si>
  <si>
    <t>CUST5514</t>
  </si>
  <si>
    <t>TXN100962</t>
  </si>
  <si>
    <t>CUST9526</t>
  </si>
  <si>
    <t>TXN100963</t>
  </si>
  <si>
    <t>TXN100964</t>
  </si>
  <si>
    <t>CUST1221</t>
  </si>
  <si>
    <t>TXN100965</t>
  </si>
  <si>
    <t>CUST7762</t>
  </si>
  <si>
    <t>TXN100966</t>
  </si>
  <si>
    <t>CUST3636</t>
  </si>
  <si>
    <t>TXN100967</t>
  </si>
  <si>
    <t>CUST1067</t>
  </si>
  <si>
    <t>TXN100968</t>
  </si>
  <si>
    <t>CUST2104</t>
  </si>
  <si>
    <t>TXN100969</t>
  </si>
  <si>
    <t>CUST9805</t>
  </si>
  <si>
    <t>TXN100970</t>
  </si>
  <si>
    <t>CUST6090</t>
  </si>
  <si>
    <t>TXN100971</t>
  </si>
  <si>
    <t>CUST7323</t>
  </si>
  <si>
    <t>TXN100972</t>
  </si>
  <si>
    <t>CUST5810</t>
  </si>
  <si>
    <t>TXN100973</t>
  </si>
  <si>
    <t>CUST7312</t>
  </si>
  <si>
    <t>TXN100974</t>
  </si>
  <si>
    <t>CUST4519</t>
  </si>
  <si>
    <t>TXN100975</t>
  </si>
  <si>
    <t>TXN100976</t>
  </si>
  <si>
    <t>CUST4899</t>
  </si>
  <si>
    <t>TXN100977</t>
  </si>
  <si>
    <t>2025-02-04</t>
  </si>
  <si>
    <t>TXN100978</t>
  </si>
  <si>
    <t>CUST9631</t>
  </si>
  <si>
    <t>TXN100979</t>
  </si>
  <si>
    <t>CUST1018</t>
  </si>
  <si>
    <t>TXN100980</t>
  </si>
  <si>
    <t>CUST2461</t>
  </si>
  <si>
    <t>TXN100981</t>
  </si>
  <si>
    <t>CUST8557</t>
  </si>
  <si>
    <t>TXN100982</t>
  </si>
  <si>
    <t>CUST3029</t>
  </si>
  <si>
    <t>TXN100983</t>
  </si>
  <si>
    <t>CUST3140</t>
  </si>
  <si>
    <t>TXN100984</t>
  </si>
  <si>
    <t>CUST3637</t>
  </si>
  <si>
    <t>TXN100985</t>
  </si>
  <si>
    <t>CUST9806</t>
  </si>
  <si>
    <t>TXN100986</t>
  </si>
  <si>
    <t>CUST6895</t>
  </si>
  <si>
    <t>TXN100987</t>
  </si>
  <si>
    <t>CUST9632</t>
  </si>
  <si>
    <t>TXN100988</t>
  </si>
  <si>
    <t>CUST6754</t>
  </si>
  <si>
    <t>TXN100989</t>
  </si>
  <si>
    <t>TXN100990</t>
  </si>
  <si>
    <t>CUST7769</t>
  </si>
  <si>
    <t>TXN100991</t>
  </si>
  <si>
    <t>CUST3158</t>
  </si>
  <si>
    <t>TXN100992</t>
  </si>
  <si>
    <t>CUST2441</t>
  </si>
  <si>
    <t>TXN100993</t>
  </si>
  <si>
    <t>CUST3126</t>
  </si>
  <si>
    <t>TXN100994</t>
  </si>
  <si>
    <t>2025-03-07</t>
  </si>
  <si>
    <t>CUST8712</t>
  </si>
  <si>
    <t>TXN100995</t>
  </si>
  <si>
    <t>CUST8937</t>
  </si>
  <si>
    <t>TXN100996</t>
  </si>
  <si>
    <t>CUST2966</t>
  </si>
  <si>
    <t>TXN100997</t>
  </si>
  <si>
    <t>CUST1024</t>
  </si>
  <si>
    <t>TXN100998</t>
  </si>
  <si>
    <t>CUST1596</t>
  </si>
  <si>
    <t>TXN100999</t>
  </si>
  <si>
    <t>CUST5597</t>
  </si>
  <si>
    <t>TXN101000</t>
  </si>
  <si>
    <t>CUST3109</t>
  </si>
  <si>
    <t>TXN101001</t>
  </si>
  <si>
    <t>CUST1328</t>
  </si>
  <si>
    <t>Row Labels</t>
  </si>
  <si>
    <t>Grand Total</t>
  </si>
  <si>
    <t>Count of Payment_Method</t>
  </si>
  <si>
    <t>Column Labels</t>
  </si>
  <si>
    <t>Count of Category</t>
  </si>
  <si>
    <t>month</t>
  </si>
  <si>
    <t>Count of Transaction_Type</t>
  </si>
  <si>
    <t>Average of Balance</t>
  </si>
  <si>
    <t>Average of Credit_Score</t>
  </si>
  <si>
    <t>KPI</t>
  </si>
  <si>
    <t>Sum of Net_Amount</t>
  </si>
  <si>
    <t>Count of Transaction_ID</t>
  </si>
  <si>
    <t>TOTAL NET AMOUNT</t>
  </si>
  <si>
    <t>TOTAL NOOF TRANSACTION</t>
  </si>
  <si>
    <t>total deposit</t>
  </si>
  <si>
    <t>Average account balance</t>
  </si>
  <si>
    <t>average credit score</t>
  </si>
  <si>
    <t>Count of Customer_ID</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</si>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</sst>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4" fontId="0" fillId="0" borderId="0" xfId="0" applyNumberFormat="1" applyAlignment="1">
      <alignment horizontal="left"/>
    </xf>
    <xf numFmtId="0" fontId="0" fillId="0" borderId="0" xfId="0" applyNumberFormat="1"/>
  </cellXfs>
  <cellStyles count="1">
    <cellStyle name="Normal" xfId="0" builtinId="0"/>
  </cellStyles>
  <dxfs count="2">
    <dxf>
      <font>
        <b/>
        <i val="0"/>
        <name val="Consolas"/>
        <family val="3"/>
        <scheme val="none"/>
      </font>
      <border diagonalUp="0" diagonalDown="0">
        <left/>
        <right/>
        <top/>
        <bottom/>
        <vertical/>
        <horizontal/>
      </border>
    </dxf>
    <dxf>
      <font>
        <b/>
        <i val="0"/>
        <name val="Consolas"/>
        <family val="3"/>
        <scheme val="none"/>
      </font>
      <border diagonalUp="0" diagonalDown="0">
        <left/>
        <right/>
        <top/>
        <bottom/>
        <vertical/>
        <horizontal/>
      </border>
    </dxf>
  </dxfs>
  <tableStyles count="2" defaultTableStyle="TableStyleMedium9" defaultPivotStyle="PivotStyleLight16">
    <tableStyle name="Slicer Style 1" pivot="0" table="0" count="2" xr9:uid="{8ADDC83E-6985-4FA9-8F1C-DBA7D16EDE9C}">
      <tableStyleElement type="headerRow" dxfId="1"/>
    </tableStyle>
    <tableStyle name="Slicer Style 1 2" pivot="0" table="0" count="2" xr9:uid="{59D895A7-B508-4434-9C97-A0970F267603}">
      <tableStyleElement type="headerRow" dxfId="0"/>
    </tableStyle>
  </tableStyles>
  <extLst>
    <ext xmlns:x14="http://schemas.microsoft.com/office/spreadsheetml/2009/9/main" uri="{46F421CA-312F-682f-3DD2-61675219B42D}">
      <x14:dxfs count="2">
        <dxf>
          <font>
            <sz val="9"/>
            <color theme="0"/>
            <name val="Consolas"/>
            <family val="3"/>
            <scheme val="none"/>
          </font>
          <fill>
            <patternFill patternType="solid">
              <fgColor auto="1"/>
              <bgColor theme="9" tint="-0.499984740745262"/>
            </patternFill>
          </fill>
        </dxf>
        <dxf>
          <font>
            <b/>
            <i val="0"/>
            <sz val="9"/>
            <name val="Consolas"/>
            <family val="3"/>
            <scheme val="none"/>
          </font>
          <fill>
            <patternFill patternType="solid">
              <fgColor auto="1"/>
              <bgColor theme="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1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4.xlsx]pivot table!account type vs transaction</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Card</c:v>
                </c:pt>
              </c:strCache>
            </c:strRef>
          </c:tx>
          <c:spPr>
            <a:solidFill>
              <a:schemeClr val="accent1"/>
            </a:solidFill>
            <a:ln>
              <a:noFill/>
            </a:ln>
            <a:effectLst/>
          </c:spPr>
          <c:invertIfNegative val="0"/>
          <c:cat>
            <c:strRef>
              <c:f>'pivot table'!$A$5:$A$8</c:f>
              <c:strCache>
                <c:ptCount val="3"/>
                <c:pt idx="0">
                  <c:v>Business</c:v>
                </c:pt>
                <c:pt idx="1">
                  <c:v>Current</c:v>
                </c:pt>
                <c:pt idx="2">
                  <c:v>Savings</c:v>
                </c:pt>
              </c:strCache>
            </c:strRef>
          </c:cat>
          <c:val>
            <c:numRef>
              <c:f>'pivot table'!$B$5:$B$8</c:f>
              <c:numCache>
                <c:formatCode>General</c:formatCode>
                <c:ptCount val="3"/>
                <c:pt idx="0">
                  <c:v>65</c:v>
                </c:pt>
                <c:pt idx="1">
                  <c:v>69</c:v>
                </c:pt>
                <c:pt idx="2">
                  <c:v>62</c:v>
                </c:pt>
              </c:numCache>
            </c:numRef>
          </c:val>
          <c:extLst>
            <c:ext xmlns:c16="http://schemas.microsoft.com/office/drawing/2014/chart" uri="{C3380CC4-5D6E-409C-BE32-E72D297353CC}">
              <c16:uniqueId val="{00000000-0BE1-497E-8E92-0745605D426A}"/>
            </c:ext>
          </c:extLst>
        </c:ser>
        <c:ser>
          <c:idx val="1"/>
          <c:order val="1"/>
          <c:tx>
            <c:strRef>
              <c:f>'pivot table'!$C$3:$C$4</c:f>
              <c:strCache>
                <c:ptCount val="1"/>
                <c:pt idx="0">
                  <c:v>Cash</c:v>
                </c:pt>
              </c:strCache>
            </c:strRef>
          </c:tx>
          <c:spPr>
            <a:solidFill>
              <a:schemeClr val="accent2"/>
            </a:solidFill>
            <a:ln>
              <a:noFill/>
            </a:ln>
            <a:effectLst/>
          </c:spPr>
          <c:invertIfNegative val="0"/>
          <c:cat>
            <c:strRef>
              <c:f>'pivot table'!$A$5:$A$8</c:f>
              <c:strCache>
                <c:ptCount val="3"/>
                <c:pt idx="0">
                  <c:v>Business</c:v>
                </c:pt>
                <c:pt idx="1">
                  <c:v>Current</c:v>
                </c:pt>
                <c:pt idx="2">
                  <c:v>Savings</c:v>
                </c:pt>
              </c:strCache>
            </c:strRef>
          </c:cat>
          <c:val>
            <c:numRef>
              <c:f>'pivot table'!$C$5:$C$8</c:f>
              <c:numCache>
                <c:formatCode>General</c:formatCode>
                <c:ptCount val="3"/>
                <c:pt idx="0">
                  <c:v>58</c:v>
                </c:pt>
                <c:pt idx="1">
                  <c:v>67</c:v>
                </c:pt>
                <c:pt idx="2">
                  <c:v>59</c:v>
                </c:pt>
              </c:numCache>
            </c:numRef>
          </c:val>
          <c:extLst>
            <c:ext xmlns:c16="http://schemas.microsoft.com/office/drawing/2014/chart" uri="{C3380CC4-5D6E-409C-BE32-E72D297353CC}">
              <c16:uniqueId val="{00000001-0BE1-497E-8E92-0745605D426A}"/>
            </c:ext>
          </c:extLst>
        </c:ser>
        <c:ser>
          <c:idx val="2"/>
          <c:order val="2"/>
          <c:tx>
            <c:strRef>
              <c:f>'pivot table'!$D$3:$D$4</c:f>
              <c:strCache>
                <c:ptCount val="1"/>
                <c:pt idx="0">
                  <c:v>NEFT</c:v>
                </c:pt>
              </c:strCache>
            </c:strRef>
          </c:tx>
          <c:spPr>
            <a:solidFill>
              <a:schemeClr val="accent3"/>
            </a:solidFill>
            <a:ln>
              <a:noFill/>
            </a:ln>
            <a:effectLst/>
          </c:spPr>
          <c:invertIfNegative val="0"/>
          <c:cat>
            <c:strRef>
              <c:f>'pivot table'!$A$5:$A$8</c:f>
              <c:strCache>
                <c:ptCount val="3"/>
                <c:pt idx="0">
                  <c:v>Business</c:v>
                </c:pt>
                <c:pt idx="1">
                  <c:v>Current</c:v>
                </c:pt>
                <c:pt idx="2">
                  <c:v>Savings</c:v>
                </c:pt>
              </c:strCache>
            </c:strRef>
          </c:cat>
          <c:val>
            <c:numRef>
              <c:f>'pivot table'!$D$5:$D$8</c:f>
              <c:numCache>
                <c:formatCode>General</c:formatCode>
                <c:ptCount val="3"/>
                <c:pt idx="0">
                  <c:v>74</c:v>
                </c:pt>
                <c:pt idx="1">
                  <c:v>63</c:v>
                </c:pt>
                <c:pt idx="2">
                  <c:v>72</c:v>
                </c:pt>
              </c:numCache>
            </c:numRef>
          </c:val>
          <c:extLst>
            <c:ext xmlns:c16="http://schemas.microsoft.com/office/drawing/2014/chart" uri="{C3380CC4-5D6E-409C-BE32-E72D297353CC}">
              <c16:uniqueId val="{00000002-0BE1-497E-8E92-0745605D426A}"/>
            </c:ext>
          </c:extLst>
        </c:ser>
        <c:ser>
          <c:idx val="3"/>
          <c:order val="3"/>
          <c:tx>
            <c:strRef>
              <c:f>'pivot table'!$E$3:$E$4</c:f>
              <c:strCache>
                <c:ptCount val="1"/>
                <c:pt idx="0">
                  <c:v>RTGS</c:v>
                </c:pt>
              </c:strCache>
            </c:strRef>
          </c:tx>
          <c:spPr>
            <a:solidFill>
              <a:schemeClr val="accent4"/>
            </a:solidFill>
            <a:ln>
              <a:noFill/>
            </a:ln>
            <a:effectLst/>
          </c:spPr>
          <c:invertIfNegative val="0"/>
          <c:cat>
            <c:strRef>
              <c:f>'pivot table'!$A$5:$A$8</c:f>
              <c:strCache>
                <c:ptCount val="3"/>
                <c:pt idx="0">
                  <c:v>Business</c:v>
                </c:pt>
                <c:pt idx="1">
                  <c:v>Current</c:v>
                </c:pt>
                <c:pt idx="2">
                  <c:v>Savings</c:v>
                </c:pt>
              </c:strCache>
            </c:strRef>
          </c:cat>
          <c:val>
            <c:numRef>
              <c:f>'pivot table'!$E$5:$E$8</c:f>
              <c:numCache>
                <c:formatCode>General</c:formatCode>
                <c:ptCount val="3"/>
                <c:pt idx="0">
                  <c:v>66</c:v>
                </c:pt>
                <c:pt idx="1">
                  <c:v>67</c:v>
                </c:pt>
                <c:pt idx="2">
                  <c:v>73</c:v>
                </c:pt>
              </c:numCache>
            </c:numRef>
          </c:val>
          <c:extLst>
            <c:ext xmlns:c16="http://schemas.microsoft.com/office/drawing/2014/chart" uri="{C3380CC4-5D6E-409C-BE32-E72D297353CC}">
              <c16:uniqueId val="{00000003-0BE1-497E-8E92-0745605D426A}"/>
            </c:ext>
          </c:extLst>
        </c:ser>
        <c:ser>
          <c:idx val="4"/>
          <c:order val="4"/>
          <c:tx>
            <c:strRef>
              <c:f>'pivot table'!$F$3:$F$4</c:f>
              <c:strCache>
                <c:ptCount val="1"/>
                <c:pt idx="0">
                  <c:v>UPI</c:v>
                </c:pt>
              </c:strCache>
            </c:strRef>
          </c:tx>
          <c:spPr>
            <a:solidFill>
              <a:schemeClr val="accent5"/>
            </a:solidFill>
            <a:ln>
              <a:noFill/>
            </a:ln>
            <a:effectLst/>
          </c:spPr>
          <c:invertIfNegative val="0"/>
          <c:cat>
            <c:strRef>
              <c:f>'pivot table'!$A$5:$A$8</c:f>
              <c:strCache>
                <c:ptCount val="3"/>
                <c:pt idx="0">
                  <c:v>Business</c:v>
                </c:pt>
                <c:pt idx="1">
                  <c:v>Current</c:v>
                </c:pt>
                <c:pt idx="2">
                  <c:v>Savings</c:v>
                </c:pt>
              </c:strCache>
            </c:strRef>
          </c:cat>
          <c:val>
            <c:numRef>
              <c:f>'pivot table'!$F$5:$F$8</c:f>
              <c:numCache>
                <c:formatCode>General</c:formatCode>
                <c:ptCount val="3"/>
                <c:pt idx="0">
                  <c:v>67</c:v>
                </c:pt>
                <c:pt idx="1">
                  <c:v>79</c:v>
                </c:pt>
                <c:pt idx="2">
                  <c:v>59</c:v>
                </c:pt>
              </c:numCache>
            </c:numRef>
          </c:val>
          <c:extLst>
            <c:ext xmlns:c16="http://schemas.microsoft.com/office/drawing/2014/chart" uri="{C3380CC4-5D6E-409C-BE32-E72D297353CC}">
              <c16:uniqueId val="{00000004-0BE1-497E-8E92-0745605D426A}"/>
            </c:ext>
          </c:extLst>
        </c:ser>
        <c:dLbls>
          <c:showLegendKey val="0"/>
          <c:showVal val="0"/>
          <c:showCatName val="0"/>
          <c:showSerName val="0"/>
          <c:showPercent val="0"/>
          <c:showBubbleSize val="0"/>
        </c:dLbls>
        <c:gapWidth val="219"/>
        <c:overlap val="-27"/>
        <c:axId val="1463977312"/>
        <c:axId val="1463994112"/>
      </c:barChart>
      <c:catAx>
        <c:axId val="146397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994112"/>
        <c:crosses val="autoZero"/>
        <c:auto val="1"/>
        <c:lblAlgn val="ctr"/>
        <c:lblOffset val="100"/>
        <c:noMultiLvlLbl val="0"/>
      </c:catAx>
      <c:valAx>
        <c:axId val="146399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97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4.xlsx]pivot table!credit score vs account typew</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1214720718503938"/>
          <c:y val="0.23234939923167042"/>
          <c:w val="0.3403537155511811"/>
          <c:h val="0.60297959294880532"/>
        </c:manualLayout>
      </c:layout>
      <c:pieChart>
        <c:varyColors val="1"/>
        <c:ser>
          <c:idx val="0"/>
          <c:order val="0"/>
          <c:tx>
            <c:strRef>
              <c:f>'pivot table'!$B$15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0C-424B-946E-EF65B3035A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0C-424B-946E-EF65B3035A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0C-424B-946E-EF65B3035A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table'!$A$16:$A$19</c:f>
              <c:strCache>
                <c:ptCount val="3"/>
                <c:pt idx="0">
                  <c:v>Business</c:v>
                </c:pt>
                <c:pt idx="1">
                  <c:v>Current</c:v>
                </c:pt>
                <c:pt idx="2">
                  <c:v>Savings</c:v>
                </c:pt>
              </c:strCache>
            </c:strRef>
          </c:cat>
          <c:val>
            <c:numRef>
              <c:f>'pivot table'!$B$16:$B$19</c:f>
              <c:numCache>
                <c:formatCode>General</c:formatCode>
                <c:ptCount val="3"/>
                <c:pt idx="0">
                  <c:v>604.73030303030305</c:v>
                </c:pt>
                <c:pt idx="1">
                  <c:v>605.55362318840582</c:v>
                </c:pt>
                <c:pt idx="2">
                  <c:v>613.00615384615389</c:v>
                </c:pt>
              </c:numCache>
            </c:numRef>
          </c:val>
          <c:extLst>
            <c:ext xmlns:c16="http://schemas.microsoft.com/office/drawing/2014/chart" uri="{C3380CC4-5D6E-409C-BE32-E72D297353CC}">
              <c16:uniqueId val="{00000000-3A2A-44EF-88EB-231DC8F869B5}"/>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4.xlsx]pivot table!risk</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table'!$B$26</c:f>
              <c:strCache>
                <c:ptCount val="1"/>
                <c:pt idx="0">
                  <c:v>Total</c:v>
                </c:pt>
              </c:strCache>
            </c:strRef>
          </c:tx>
          <c:spPr>
            <a:solidFill>
              <a:schemeClr val="accent1"/>
            </a:solidFill>
            <a:ln>
              <a:noFill/>
            </a:ln>
            <a:effectLst/>
          </c:spPr>
          <c:invertIfNegative val="0"/>
          <c:cat>
            <c:strRef>
              <c:f>'pivot table'!$A$27:$A$30</c:f>
              <c:strCache>
                <c:ptCount val="3"/>
                <c:pt idx="0">
                  <c:v>High</c:v>
                </c:pt>
                <c:pt idx="1">
                  <c:v>Low</c:v>
                </c:pt>
                <c:pt idx="2">
                  <c:v>Medium</c:v>
                </c:pt>
              </c:strCache>
            </c:strRef>
          </c:cat>
          <c:val>
            <c:numRef>
              <c:f>'pivot table'!$B$27:$B$30</c:f>
              <c:numCache>
                <c:formatCode>General</c:formatCode>
                <c:ptCount val="3"/>
                <c:pt idx="0">
                  <c:v>342</c:v>
                </c:pt>
                <c:pt idx="1">
                  <c:v>330</c:v>
                </c:pt>
                <c:pt idx="2">
                  <c:v>328</c:v>
                </c:pt>
              </c:numCache>
            </c:numRef>
          </c:val>
          <c:extLst>
            <c:ext xmlns:c16="http://schemas.microsoft.com/office/drawing/2014/chart" uri="{C3380CC4-5D6E-409C-BE32-E72D297353CC}">
              <c16:uniqueId val="{00000000-731D-421D-829D-B4F2E057DDB1}"/>
            </c:ext>
          </c:extLst>
        </c:ser>
        <c:dLbls>
          <c:showLegendKey val="0"/>
          <c:showVal val="0"/>
          <c:showCatName val="0"/>
          <c:showSerName val="0"/>
          <c:showPercent val="0"/>
          <c:showBubbleSize val="0"/>
        </c:dLbls>
        <c:gapWidth val="182"/>
        <c:axId val="1456071184"/>
        <c:axId val="1456070704"/>
      </c:barChart>
      <c:catAx>
        <c:axId val="145607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070704"/>
        <c:crosses val="autoZero"/>
        <c:auto val="1"/>
        <c:lblAlgn val="ctr"/>
        <c:lblOffset val="100"/>
        <c:noMultiLvlLbl val="0"/>
      </c:catAx>
      <c:valAx>
        <c:axId val="145607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07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4.xlsx]pivot table!region vs  catogory</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table'!$B$37:$B$38</c:f>
              <c:strCache>
                <c:ptCount val="1"/>
                <c:pt idx="0">
                  <c:v>Insurance</c:v>
                </c:pt>
              </c:strCache>
            </c:strRef>
          </c:tx>
          <c:spPr>
            <a:solidFill>
              <a:schemeClr val="accent1"/>
            </a:solidFill>
            <a:ln>
              <a:noFill/>
            </a:ln>
            <a:effectLst/>
          </c:spPr>
          <c:invertIfNegative val="0"/>
          <c:cat>
            <c:strRef>
              <c:f>'pivot table'!$A$39:$A$43</c:f>
              <c:strCache>
                <c:ptCount val="4"/>
                <c:pt idx="0">
                  <c:v>East</c:v>
                </c:pt>
                <c:pt idx="1">
                  <c:v>North</c:v>
                </c:pt>
                <c:pt idx="2">
                  <c:v>South</c:v>
                </c:pt>
                <c:pt idx="3">
                  <c:v>West</c:v>
                </c:pt>
              </c:strCache>
            </c:strRef>
          </c:cat>
          <c:val>
            <c:numRef>
              <c:f>'pivot table'!$B$39:$B$43</c:f>
              <c:numCache>
                <c:formatCode>General</c:formatCode>
                <c:ptCount val="4"/>
                <c:pt idx="0">
                  <c:v>58</c:v>
                </c:pt>
                <c:pt idx="1">
                  <c:v>58</c:v>
                </c:pt>
                <c:pt idx="2">
                  <c:v>74</c:v>
                </c:pt>
                <c:pt idx="3">
                  <c:v>61</c:v>
                </c:pt>
              </c:numCache>
            </c:numRef>
          </c:val>
          <c:extLst>
            <c:ext xmlns:c16="http://schemas.microsoft.com/office/drawing/2014/chart" uri="{C3380CC4-5D6E-409C-BE32-E72D297353CC}">
              <c16:uniqueId val="{00000000-6C29-4377-9370-83D30711953B}"/>
            </c:ext>
          </c:extLst>
        </c:ser>
        <c:ser>
          <c:idx val="1"/>
          <c:order val="1"/>
          <c:tx>
            <c:strRef>
              <c:f>'pivot table'!$C$37:$C$38</c:f>
              <c:strCache>
                <c:ptCount val="1"/>
                <c:pt idx="0">
                  <c:v>Investment</c:v>
                </c:pt>
              </c:strCache>
            </c:strRef>
          </c:tx>
          <c:spPr>
            <a:solidFill>
              <a:schemeClr val="accent2"/>
            </a:solidFill>
            <a:ln>
              <a:noFill/>
            </a:ln>
            <a:effectLst/>
          </c:spPr>
          <c:invertIfNegative val="0"/>
          <c:cat>
            <c:strRef>
              <c:f>'pivot table'!$A$39:$A$43</c:f>
              <c:strCache>
                <c:ptCount val="4"/>
                <c:pt idx="0">
                  <c:v>East</c:v>
                </c:pt>
                <c:pt idx="1">
                  <c:v>North</c:v>
                </c:pt>
                <c:pt idx="2">
                  <c:v>South</c:v>
                </c:pt>
                <c:pt idx="3">
                  <c:v>West</c:v>
                </c:pt>
              </c:strCache>
            </c:strRef>
          </c:cat>
          <c:val>
            <c:numRef>
              <c:f>'pivot table'!$C$39:$C$43</c:f>
              <c:numCache>
                <c:formatCode>General</c:formatCode>
                <c:ptCount val="4"/>
                <c:pt idx="0">
                  <c:v>77</c:v>
                </c:pt>
                <c:pt idx="1">
                  <c:v>73</c:v>
                </c:pt>
                <c:pt idx="2">
                  <c:v>66</c:v>
                </c:pt>
                <c:pt idx="3">
                  <c:v>64</c:v>
                </c:pt>
              </c:numCache>
            </c:numRef>
          </c:val>
          <c:extLst>
            <c:ext xmlns:c16="http://schemas.microsoft.com/office/drawing/2014/chart" uri="{C3380CC4-5D6E-409C-BE32-E72D297353CC}">
              <c16:uniqueId val="{00000003-5A76-4969-9158-F639D452E7CA}"/>
            </c:ext>
          </c:extLst>
        </c:ser>
        <c:ser>
          <c:idx val="2"/>
          <c:order val="2"/>
          <c:tx>
            <c:strRef>
              <c:f>'pivot table'!$D$37:$D$38</c:f>
              <c:strCache>
                <c:ptCount val="1"/>
                <c:pt idx="0">
                  <c:v>Loan</c:v>
                </c:pt>
              </c:strCache>
            </c:strRef>
          </c:tx>
          <c:spPr>
            <a:solidFill>
              <a:schemeClr val="accent3"/>
            </a:solidFill>
            <a:ln>
              <a:noFill/>
            </a:ln>
            <a:effectLst/>
          </c:spPr>
          <c:invertIfNegative val="0"/>
          <c:cat>
            <c:strRef>
              <c:f>'pivot table'!$A$39:$A$43</c:f>
              <c:strCache>
                <c:ptCount val="4"/>
                <c:pt idx="0">
                  <c:v>East</c:v>
                </c:pt>
                <c:pt idx="1">
                  <c:v>North</c:v>
                </c:pt>
                <c:pt idx="2">
                  <c:v>South</c:v>
                </c:pt>
                <c:pt idx="3">
                  <c:v>West</c:v>
                </c:pt>
              </c:strCache>
            </c:strRef>
          </c:cat>
          <c:val>
            <c:numRef>
              <c:f>'pivot table'!$D$39:$D$43</c:f>
              <c:numCache>
                <c:formatCode>General</c:formatCode>
                <c:ptCount val="4"/>
                <c:pt idx="0">
                  <c:v>51</c:v>
                </c:pt>
                <c:pt idx="1">
                  <c:v>52</c:v>
                </c:pt>
                <c:pt idx="2">
                  <c:v>67</c:v>
                </c:pt>
                <c:pt idx="3">
                  <c:v>53</c:v>
                </c:pt>
              </c:numCache>
            </c:numRef>
          </c:val>
          <c:extLst>
            <c:ext xmlns:c16="http://schemas.microsoft.com/office/drawing/2014/chart" uri="{C3380CC4-5D6E-409C-BE32-E72D297353CC}">
              <c16:uniqueId val="{00000004-5A76-4969-9158-F639D452E7CA}"/>
            </c:ext>
          </c:extLst>
        </c:ser>
        <c:ser>
          <c:idx val="3"/>
          <c:order val="3"/>
          <c:tx>
            <c:strRef>
              <c:f>'pivot table'!$E$37:$E$38</c:f>
              <c:strCache>
                <c:ptCount val="1"/>
                <c:pt idx="0">
                  <c:v>Retail</c:v>
                </c:pt>
              </c:strCache>
            </c:strRef>
          </c:tx>
          <c:spPr>
            <a:solidFill>
              <a:schemeClr val="accent4"/>
            </a:solidFill>
            <a:ln>
              <a:noFill/>
            </a:ln>
            <a:effectLst/>
          </c:spPr>
          <c:invertIfNegative val="0"/>
          <c:cat>
            <c:strRef>
              <c:f>'pivot table'!$A$39:$A$43</c:f>
              <c:strCache>
                <c:ptCount val="4"/>
                <c:pt idx="0">
                  <c:v>East</c:v>
                </c:pt>
                <c:pt idx="1">
                  <c:v>North</c:v>
                </c:pt>
                <c:pt idx="2">
                  <c:v>South</c:v>
                </c:pt>
                <c:pt idx="3">
                  <c:v>West</c:v>
                </c:pt>
              </c:strCache>
            </c:strRef>
          </c:cat>
          <c:val>
            <c:numRef>
              <c:f>'pivot table'!$E$39:$E$43</c:f>
              <c:numCache>
                <c:formatCode>General</c:formatCode>
                <c:ptCount val="4"/>
                <c:pt idx="0">
                  <c:v>75</c:v>
                </c:pt>
                <c:pt idx="1">
                  <c:v>62</c:v>
                </c:pt>
                <c:pt idx="2">
                  <c:v>65</c:v>
                </c:pt>
                <c:pt idx="3">
                  <c:v>44</c:v>
                </c:pt>
              </c:numCache>
            </c:numRef>
          </c:val>
          <c:extLst>
            <c:ext xmlns:c16="http://schemas.microsoft.com/office/drawing/2014/chart" uri="{C3380CC4-5D6E-409C-BE32-E72D297353CC}">
              <c16:uniqueId val="{00000005-5A76-4969-9158-F639D452E7CA}"/>
            </c:ext>
          </c:extLst>
        </c:ser>
        <c:dLbls>
          <c:showLegendKey val="0"/>
          <c:showVal val="0"/>
          <c:showCatName val="0"/>
          <c:showSerName val="0"/>
          <c:showPercent val="0"/>
          <c:showBubbleSize val="0"/>
        </c:dLbls>
        <c:gapWidth val="150"/>
        <c:overlap val="100"/>
        <c:axId val="1274819856"/>
        <c:axId val="1274806896"/>
      </c:barChart>
      <c:catAx>
        <c:axId val="127481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806896"/>
        <c:crosses val="autoZero"/>
        <c:auto val="1"/>
        <c:lblAlgn val="ctr"/>
        <c:lblOffset val="100"/>
        <c:noMultiLvlLbl val="0"/>
      </c:catAx>
      <c:valAx>
        <c:axId val="1274806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81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4.xlsx]pivot table!month</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table'!$B$51:$B$52</c:f>
              <c:strCache>
                <c:ptCount val="1"/>
                <c:pt idx="0">
                  <c:v>Deposit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table'!$A$53:$A$65</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'pivot table'!$B$53:$B$65</c:f>
              <c:numCache>
                <c:formatCode>General</c:formatCode>
                <c:ptCount val="12"/>
                <c:pt idx="0">
                  <c:v>24</c:v>
                </c:pt>
                <c:pt idx="1">
                  <c:v>13</c:v>
                </c:pt>
                <c:pt idx="2">
                  <c:v>17</c:v>
                </c:pt>
                <c:pt idx="3">
                  <c:v>16</c:v>
                </c:pt>
                <c:pt idx="4">
                  <c:v>21</c:v>
                </c:pt>
                <c:pt idx="5">
                  <c:v>20</c:v>
                </c:pt>
                <c:pt idx="6">
                  <c:v>27</c:v>
                </c:pt>
                <c:pt idx="7">
                  <c:v>15</c:v>
                </c:pt>
                <c:pt idx="8">
                  <c:v>18</c:v>
                </c:pt>
                <c:pt idx="9">
                  <c:v>21</c:v>
                </c:pt>
                <c:pt idx="10">
                  <c:v>21</c:v>
                </c:pt>
                <c:pt idx="11">
                  <c:v>20</c:v>
                </c:pt>
              </c:numCache>
            </c:numRef>
          </c:val>
          <c:extLst>
            <c:ext xmlns:c16="http://schemas.microsoft.com/office/drawing/2014/chart" uri="{C3380CC4-5D6E-409C-BE32-E72D297353CC}">
              <c16:uniqueId val="{00000000-5C5B-473C-AA4A-1B6E94C665BD}"/>
            </c:ext>
          </c:extLst>
        </c:ser>
        <c:ser>
          <c:idx val="1"/>
          <c:order val="1"/>
          <c:tx>
            <c:strRef>
              <c:f>'pivot table'!$C$51:$C$52</c:f>
              <c:strCache>
                <c:ptCount val="1"/>
                <c:pt idx="0">
                  <c:v>Payment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table'!$A$53:$A$65</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'pivot table'!$C$53:$C$65</c:f>
              <c:numCache>
                <c:formatCode>General</c:formatCode>
                <c:ptCount val="12"/>
                <c:pt idx="0">
                  <c:v>24</c:v>
                </c:pt>
                <c:pt idx="1">
                  <c:v>22</c:v>
                </c:pt>
                <c:pt idx="2">
                  <c:v>21</c:v>
                </c:pt>
                <c:pt idx="3">
                  <c:v>26</c:v>
                </c:pt>
                <c:pt idx="4">
                  <c:v>27</c:v>
                </c:pt>
                <c:pt idx="5">
                  <c:v>21</c:v>
                </c:pt>
                <c:pt idx="6">
                  <c:v>11</c:v>
                </c:pt>
                <c:pt idx="7">
                  <c:v>28</c:v>
                </c:pt>
                <c:pt idx="8">
                  <c:v>23</c:v>
                </c:pt>
                <c:pt idx="9">
                  <c:v>20</c:v>
                </c:pt>
                <c:pt idx="10">
                  <c:v>19</c:v>
                </c:pt>
                <c:pt idx="11">
                  <c:v>26</c:v>
                </c:pt>
              </c:numCache>
            </c:numRef>
          </c:val>
          <c:extLst>
            <c:ext xmlns:c16="http://schemas.microsoft.com/office/drawing/2014/chart" uri="{C3380CC4-5D6E-409C-BE32-E72D297353CC}">
              <c16:uniqueId val="{00000003-E4D5-4159-BDFA-CF092025C643}"/>
            </c:ext>
          </c:extLst>
        </c:ser>
        <c:ser>
          <c:idx val="2"/>
          <c:order val="2"/>
          <c:tx>
            <c:strRef>
              <c:f>'pivot table'!$D$51:$D$52</c:f>
              <c:strCache>
                <c:ptCount val="1"/>
                <c:pt idx="0">
                  <c:v>Transfer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table'!$A$53:$A$65</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'pivot table'!$D$53:$D$65</c:f>
              <c:numCache>
                <c:formatCode>General</c:formatCode>
                <c:ptCount val="12"/>
                <c:pt idx="0">
                  <c:v>27</c:v>
                </c:pt>
                <c:pt idx="1">
                  <c:v>14</c:v>
                </c:pt>
                <c:pt idx="2">
                  <c:v>21</c:v>
                </c:pt>
                <c:pt idx="3">
                  <c:v>16</c:v>
                </c:pt>
                <c:pt idx="4">
                  <c:v>22</c:v>
                </c:pt>
                <c:pt idx="5">
                  <c:v>27</c:v>
                </c:pt>
                <c:pt idx="6">
                  <c:v>15</c:v>
                </c:pt>
                <c:pt idx="7">
                  <c:v>27</c:v>
                </c:pt>
                <c:pt idx="8">
                  <c:v>17</c:v>
                </c:pt>
                <c:pt idx="9">
                  <c:v>22</c:v>
                </c:pt>
                <c:pt idx="10">
                  <c:v>13</c:v>
                </c:pt>
                <c:pt idx="11">
                  <c:v>35</c:v>
                </c:pt>
              </c:numCache>
            </c:numRef>
          </c:val>
          <c:extLst>
            <c:ext xmlns:c16="http://schemas.microsoft.com/office/drawing/2014/chart" uri="{C3380CC4-5D6E-409C-BE32-E72D297353CC}">
              <c16:uniqueId val="{00000004-E4D5-4159-BDFA-CF092025C643}"/>
            </c:ext>
          </c:extLst>
        </c:ser>
        <c:ser>
          <c:idx val="3"/>
          <c:order val="3"/>
          <c:tx>
            <c:strRef>
              <c:f>'pivot table'!$E$51:$E$52</c:f>
              <c:strCache>
                <c:ptCount val="1"/>
                <c:pt idx="0">
                  <c:v>Withdrawal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table'!$A$53:$A$65</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'pivot table'!$E$53:$E$65</c:f>
              <c:numCache>
                <c:formatCode>General</c:formatCode>
                <c:ptCount val="12"/>
                <c:pt idx="0">
                  <c:v>25</c:v>
                </c:pt>
                <c:pt idx="1">
                  <c:v>16</c:v>
                </c:pt>
                <c:pt idx="2">
                  <c:v>27</c:v>
                </c:pt>
                <c:pt idx="3">
                  <c:v>21</c:v>
                </c:pt>
                <c:pt idx="4">
                  <c:v>17</c:v>
                </c:pt>
                <c:pt idx="5">
                  <c:v>16</c:v>
                </c:pt>
                <c:pt idx="6">
                  <c:v>13</c:v>
                </c:pt>
                <c:pt idx="7">
                  <c:v>29</c:v>
                </c:pt>
                <c:pt idx="8">
                  <c:v>23</c:v>
                </c:pt>
                <c:pt idx="9">
                  <c:v>12</c:v>
                </c:pt>
                <c:pt idx="10">
                  <c:v>21</c:v>
                </c:pt>
                <c:pt idx="11">
                  <c:v>23</c:v>
                </c:pt>
              </c:numCache>
            </c:numRef>
          </c:val>
          <c:extLst>
            <c:ext xmlns:c16="http://schemas.microsoft.com/office/drawing/2014/chart" uri="{C3380CC4-5D6E-409C-BE32-E72D297353CC}">
              <c16:uniqueId val="{00000005-E4D5-4159-BDFA-CF092025C643}"/>
            </c:ext>
          </c:extLst>
        </c:ser>
        <c:dLbls>
          <c:dLblPos val="ctr"/>
          <c:showLegendKey val="0"/>
          <c:showVal val="1"/>
          <c:showCatName val="0"/>
          <c:showSerName val="0"/>
          <c:showPercent val="0"/>
          <c:showBubbleSize val="0"/>
        </c:dLbls>
        <c:gapWidth val="79"/>
        <c:overlap val="100"/>
        <c:axId val="1274830416"/>
        <c:axId val="1274830896"/>
      </c:barChart>
      <c:catAx>
        <c:axId val="127483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74830896"/>
        <c:crosses val="autoZero"/>
        <c:auto val="1"/>
        <c:lblAlgn val="ctr"/>
        <c:lblOffset val="100"/>
        <c:noMultiLvlLbl val="0"/>
      </c:catAx>
      <c:valAx>
        <c:axId val="1274830896"/>
        <c:scaling>
          <c:orientation val="minMax"/>
        </c:scaling>
        <c:delete val="1"/>
        <c:axPos val="l"/>
        <c:numFmt formatCode="General" sourceLinked="1"/>
        <c:majorTickMark val="none"/>
        <c:minorTickMark val="none"/>
        <c:tickLblPos val="nextTo"/>
        <c:crossAx val="127483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4.xlsx]pivot table!catogoty vs credit scorw</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table'!$B$69</c:f>
              <c:strCache>
                <c:ptCount val="1"/>
                <c:pt idx="0">
                  <c:v>Total</c:v>
                </c:pt>
              </c:strCache>
            </c:strRef>
          </c:tx>
          <c:spPr>
            <a:solidFill>
              <a:schemeClr val="accent1"/>
            </a:solidFill>
            <a:ln>
              <a:noFill/>
            </a:ln>
            <a:effectLst/>
          </c:spPr>
          <c:cat>
            <c:strRef>
              <c:f>'pivot table'!$A$70:$A$74</c:f>
              <c:strCache>
                <c:ptCount val="4"/>
                <c:pt idx="0">
                  <c:v>Insurance</c:v>
                </c:pt>
                <c:pt idx="1">
                  <c:v>Investment</c:v>
                </c:pt>
                <c:pt idx="2">
                  <c:v>Loan</c:v>
                </c:pt>
                <c:pt idx="3">
                  <c:v>Retail</c:v>
                </c:pt>
              </c:strCache>
            </c:strRef>
          </c:cat>
          <c:val>
            <c:numRef>
              <c:f>'pivot table'!$B$70:$B$74</c:f>
              <c:numCache>
                <c:formatCode>General</c:formatCode>
                <c:ptCount val="4"/>
                <c:pt idx="0">
                  <c:v>601.91633466135454</c:v>
                </c:pt>
                <c:pt idx="1">
                  <c:v>621.11428571428576</c:v>
                </c:pt>
                <c:pt idx="2">
                  <c:v>607.5336322869955</c:v>
                </c:pt>
                <c:pt idx="3">
                  <c:v>598.5</c:v>
                </c:pt>
              </c:numCache>
            </c:numRef>
          </c:val>
          <c:extLst>
            <c:ext xmlns:c16="http://schemas.microsoft.com/office/drawing/2014/chart" uri="{C3380CC4-5D6E-409C-BE32-E72D297353CC}">
              <c16:uniqueId val="{00000000-4EE7-4196-A71B-C839DA41B9DA}"/>
            </c:ext>
          </c:extLst>
        </c:ser>
        <c:dLbls>
          <c:showLegendKey val="0"/>
          <c:showVal val="0"/>
          <c:showCatName val="0"/>
          <c:showSerName val="0"/>
          <c:showPercent val="0"/>
          <c:showBubbleSize val="0"/>
        </c:dLbls>
        <c:axId val="1274840016"/>
        <c:axId val="1274858256"/>
      </c:areaChart>
      <c:catAx>
        <c:axId val="1274840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858256"/>
        <c:crosses val="autoZero"/>
        <c:auto val="1"/>
        <c:lblAlgn val="ctr"/>
        <c:lblOffset val="100"/>
        <c:noMultiLvlLbl val="0"/>
      </c:catAx>
      <c:valAx>
        <c:axId val="1274858256"/>
        <c:scaling>
          <c:orientation val="minMax"/>
        </c:scaling>
        <c:delete val="0"/>
        <c:axPos val="l"/>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8400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4.xlsx]pivot table!month</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table'!$B$51:$B$52</c:f>
              <c:strCache>
                <c:ptCount val="1"/>
                <c:pt idx="0">
                  <c:v>Deposit</c:v>
                </c:pt>
              </c:strCache>
            </c:strRef>
          </c:tx>
          <c:spPr>
            <a:solidFill>
              <a:schemeClr val="bg2">
                <a:lumMod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table'!$A$53:$A$65</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'pivot table'!$B$53:$B$65</c:f>
              <c:numCache>
                <c:formatCode>General</c:formatCode>
                <c:ptCount val="12"/>
                <c:pt idx="0">
                  <c:v>24</c:v>
                </c:pt>
                <c:pt idx="1">
                  <c:v>13</c:v>
                </c:pt>
                <c:pt idx="2">
                  <c:v>17</c:v>
                </c:pt>
                <c:pt idx="3">
                  <c:v>16</c:v>
                </c:pt>
                <c:pt idx="4">
                  <c:v>21</c:v>
                </c:pt>
                <c:pt idx="5">
                  <c:v>20</c:v>
                </c:pt>
                <c:pt idx="6">
                  <c:v>27</c:v>
                </c:pt>
                <c:pt idx="7">
                  <c:v>15</c:v>
                </c:pt>
                <c:pt idx="8">
                  <c:v>18</c:v>
                </c:pt>
                <c:pt idx="9">
                  <c:v>21</c:v>
                </c:pt>
                <c:pt idx="10">
                  <c:v>21</c:v>
                </c:pt>
                <c:pt idx="11">
                  <c:v>20</c:v>
                </c:pt>
              </c:numCache>
            </c:numRef>
          </c:val>
          <c:extLst>
            <c:ext xmlns:c16="http://schemas.microsoft.com/office/drawing/2014/chart" uri="{C3380CC4-5D6E-409C-BE32-E72D297353CC}">
              <c16:uniqueId val="{00000000-4CD7-4F3E-B588-8A72CB76CB22}"/>
            </c:ext>
          </c:extLst>
        </c:ser>
        <c:ser>
          <c:idx val="1"/>
          <c:order val="1"/>
          <c:tx>
            <c:strRef>
              <c:f>'pivot table'!$C$51:$C$52</c:f>
              <c:strCache>
                <c:ptCount val="1"/>
                <c:pt idx="0">
                  <c:v>Payment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table'!$A$53:$A$65</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'pivot table'!$C$53:$C$65</c:f>
              <c:numCache>
                <c:formatCode>General</c:formatCode>
                <c:ptCount val="12"/>
                <c:pt idx="0">
                  <c:v>24</c:v>
                </c:pt>
                <c:pt idx="1">
                  <c:v>22</c:v>
                </c:pt>
                <c:pt idx="2">
                  <c:v>21</c:v>
                </c:pt>
                <c:pt idx="3">
                  <c:v>26</c:v>
                </c:pt>
                <c:pt idx="4">
                  <c:v>27</c:v>
                </c:pt>
                <c:pt idx="5">
                  <c:v>21</c:v>
                </c:pt>
                <c:pt idx="6">
                  <c:v>11</c:v>
                </c:pt>
                <c:pt idx="7">
                  <c:v>28</c:v>
                </c:pt>
                <c:pt idx="8">
                  <c:v>23</c:v>
                </c:pt>
                <c:pt idx="9">
                  <c:v>20</c:v>
                </c:pt>
                <c:pt idx="10">
                  <c:v>19</c:v>
                </c:pt>
                <c:pt idx="11">
                  <c:v>26</c:v>
                </c:pt>
              </c:numCache>
            </c:numRef>
          </c:val>
          <c:extLst>
            <c:ext xmlns:c16="http://schemas.microsoft.com/office/drawing/2014/chart" uri="{C3380CC4-5D6E-409C-BE32-E72D297353CC}">
              <c16:uniqueId val="{00000004-8354-4007-8D47-C86190A2BF90}"/>
            </c:ext>
          </c:extLst>
        </c:ser>
        <c:ser>
          <c:idx val="2"/>
          <c:order val="2"/>
          <c:tx>
            <c:strRef>
              <c:f>'pivot table'!$D$51:$D$52</c:f>
              <c:strCache>
                <c:ptCount val="1"/>
                <c:pt idx="0">
                  <c:v>Transfer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table'!$A$53:$A$65</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'pivot table'!$D$53:$D$65</c:f>
              <c:numCache>
                <c:formatCode>General</c:formatCode>
                <c:ptCount val="12"/>
                <c:pt idx="0">
                  <c:v>27</c:v>
                </c:pt>
                <c:pt idx="1">
                  <c:v>14</c:v>
                </c:pt>
                <c:pt idx="2">
                  <c:v>21</c:v>
                </c:pt>
                <c:pt idx="3">
                  <c:v>16</c:v>
                </c:pt>
                <c:pt idx="4">
                  <c:v>22</c:v>
                </c:pt>
                <c:pt idx="5">
                  <c:v>27</c:v>
                </c:pt>
                <c:pt idx="6">
                  <c:v>15</c:v>
                </c:pt>
                <c:pt idx="7">
                  <c:v>27</c:v>
                </c:pt>
                <c:pt idx="8">
                  <c:v>17</c:v>
                </c:pt>
                <c:pt idx="9">
                  <c:v>22</c:v>
                </c:pt>
                <c:pt idx="10">
                  <c:v>13</c:v>
                </c:pt>
                <c:pt idx="11">
                  <c:v>35</c:v>
                </c:pt>
              </c:numCache>
            </c:numRef>
          </c:val>
          <c:extLst>
            <c:ext xmlns:c16="http://schemas.microsoft.com/office/drawing/2014/chart" uri="{C3380CC4-5D6E-409C-BE32-E72D297353CC}">
              <c16:uniqueId val="{00000005-8354-4007-8D47-C86190A2BF90}"/>
            </c:ext>
          </c:extLst>
        </c:ser>
        <c:ser>
          <c:idx val="3"/>
          <c:order val="3"/>
          <c:tx>
            <c:strRef>
              <c:f>'pivot table'!$E$51:$E$52</c:f>
              <c:strCache>
                <c:ptCount val="1"/>
                <c:pt idx="0">
                  <c:v>Withdrawal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table'!$A$53:$A$65</c:f>
              <c:strCache>
                <c:ptCount val="12"/>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strCache>
            </c:strRef>
          </c:cat>
          <c:val>
            <c:numRef>
              <c:f>'pivot table'!$E$53:$E$65</c:f>
              <c:numCache>
                <c:formatCode>General</c:formatCode>
                <c:ptCount val="12"/>
                <c:pt idx="0">
                  <c:v>25</c:v>
                </c:pt>
                <c:pt idx="1">
                  <c:v>16</c:v>
                </c:pt>
                <c:pt idx="2">
                  <c:v>27</c:v>
                </c:pt>
                <c:pt idx="3">
                  <c:v>21</c:v>
                </c:pt>
                <c:pt idx="4">
                  <c:v>17</c:v>
                </c:pt>
                <c:pt idx="5">
                  <c:v>16</c:v>
                </c:pt>
                <c:pt idx="6">
                  <c:v>13</c:v>
                </c:pt>
                <c:pt idx="7">
                  <c:v>29</c:v>
                </c:pt>
                <c:pt idx="8">
                  <c:v>23</c:v>
                </c:pt>
                <c:pt idx="9">
                  <c:v>12</c:v>
                </c:pt>
                <c:pt idx="10">
                  <c:v>21</c:v>
                </c:pt>
                <c:pt idx="11">
                  <c:v>23</c:v>
                </c:pt>
              </c:numCache>
            </c:numRef>
          </c:val>
          <c:extLst>
            <c:ext xmlns:c16="http://schemas.microsoft.com/office/drawing/2014/chart" uri="{C3380CC4-5D6E-409C-BE32-E72D297353CC}">
              <c16:uniqueId val="{00000006-8354-4007-8D47-C86190A2BF90}"/>
            </c:ext>
          </c:extLst>
        </c:ser>
        <c:dLbls>
          <c:dLblPos val="ctr"/>
          <c:showLegendKey val="0"/>
          <c:showVal val="1"/>
          <c:showCatName val="0"/>
          <c:showSerName val="0"/>
          <c:showPercent val="0"/>
          <c:showBubbleSize val="0"/>
        </c:dLbls>
        <c:gapWidth val="79"/>
        <c:overlap val="100"/>
        <c:axId val="1274830416"/>
        <c:axId val="1274830896"/>
      </c:barChart>
      <c:catAx>
        <c:axId val="127483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cap="all" spc="120" normalizeH="0" baseline="0">
                <a:solidFill>
                  <a:schemeClr val="tx1">
                    <a:lumMod val="65000"/>
                    <a:lumOff val="35000"/>
                  </a:schemeClr>
                </a:solidFill>
                <a:latin typeface="Consolas" panose="020B0609020204030204" pitchFamily="49" charset="0"/>
                <a:ea typeface="+mn-ea"/>
                <a:cs typeface="+mn-cs"/>
              </a:defRPr>
            </a:pPr>
            <a:endParaRPr lang="en-US"/>
          </a:p>
        </c:txPr>
        <c:crossAx val="1274830896"/>
        <c:crosses val="autoZero"/>
        <c:auto val="1"/>
        <c:lblAlgn val="ctr"/>
        <c:lblOffset val="100"/>
        <c:noMultiLvlLbl val="0"/>
      </c:catAx>
      <c:valAx>
        <c:axId val="1274830896"/>
        <c:scaling>
          <c:orientation val="minMax"/>
        </c:scaling>
        <c:delete val="1"/>
        <c:axPos val="l"/>
        <c:numFmt formatCode="General" sourceLinked="1"/>
        <c:majorTickMark val="none"/>
        <c:minorTickMark val="none"/>
        <c:tickLblPos val="nextTo"/>
        <c:crossAx val="127483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4.xlsx]pivot table!account type vs transaction</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271485865281247E-2"/>
          <c:y val="7.2561401904983516E-2"/>
          <c:w val="0.7035740814466741"/>
          <c:h val="0.77441143197874995"/>
        </c:manualLayout>
      </c:layout>
      <c:barChart>
        <c:barDir val="col"/>
        <c:grouping val="clustered"/>
        <c:varyColors val="0"/>
        <c:ser>
          <c:idx val="0"/>
          <c:order val="0"/>
          <c:tx>
            <c:strRef>
              <c:f>'pivot table'!$B$3:$B$4</c:f>
              <c:strCache>
                <c:ptCount val="1"/>
                <c:pt idx="0">
                  <c:v>Card</c:v>
                </c:pt>
              </c:strCache>
            </c:strRef>
          </c:tx>
          <c:spPr>
            <a:solidFill>
              <a:schemeClr val="tx1">
                <a:lumMod val="65000"/>
                <a:lumOff val="35000"/>
              </a:schemeClr>
            </a:solidFill>
            <a:ln>
              <a:noFill/>
            </a:ln>
            <a:effectLst/>
          </c:spPr>
          <c:invertIfNegative val="0"/>
          <c:cat>
            <c:strRef>
              <c:f>'pivot table'!$A$5:$A$8</c:f>
              <c:strCache>
                <c:ptCount val="3"/>
                <c:pt idx="0">
                  <c:v>Business</c:v>
                </c:pt>
                <c:pt idx="1">
                  <c:v>Current</c:v>
                </c:pt>
                <c:pt idx="2">
                  <c:v>Savings</c:v>
                </c:pt>
              </c:strCache>
            </c:strRef>
          </c:cat>
          <c:val>
            <c:numRef>
              <c:f>'pivot table'!$B$5:$B$8</c:f>
              <c:numCache>
                <c:formatCode>General</c:formatCode>
                <c:ptCount val="3"/>
                <c:pt idx="0">
                  <c:v>65</c:v>
                </c:pt>
                <c:pt idx="1">
                  <c:v>69</c:v>
                </c:pt>
                <c:pt idx="2">
                  <c:v>62</c:v>
                </c:pt>
              </c:numCache>
            </c:numRef>
          </c:val>
          <c:extLst>
            <c:ext xmlns:c16="http://schemas.microsoft.com/office/drawing/2014/chart" uri="{C3380CC4-5D6E-409C-BE32-E72D297353CC}">
              <c16:uniqueId val="{00000000-18B8-4B0C-82B2-B9FA5BE4526F}"/>
            </c:ext>
          </c:extLst>
        </c:ser>
        <c:ser>
          <c:idx val="1"/>
          <c:order val="1"/>
          <c:tx>
            <c:strRef>
              <c:f>'pivot table'!$C$3:$C$4</c:f>
              <c:strCache>
                <c:ptCount val="1"/>
                <c:pt idx="0">
                  <c:v>Cash</c:v>
                </c:pt>
              </c:strCache>
            </c:strRef>
          </c:tx>
          <c:spPr>
            <a:solidFill>
              <a:schemeClr val="tx1">
                <a:lumMod val="95000"/>
                <a:lumOff val="5000"/>
              </a:schemeClr>
            </a:solidFill>
            <a:ln>
              <a:noFill/>
            </a:ln>
            <a:effectLst/>
          </c:spPr>
          <c:invertIfNegative val="0"/>
          <c:cat>
            <c:strRef>
              <c:f>'pivot table'!$A$5:$A$8</c:f>
              <c:strCache>
                <c:ptCount val="3"/>
                <c:pt idx="0">
                  <c:v>Business</c:v>
                </c:pt>
                <c:pt idx="1">
                  <c:v>Current</c:v>
                </c:pt>
                <c:pt idx="2">
                  <c:v>Savings</c:v>
                </c:pt>
              </c:strCache>
            </c:strRef>
          </c:cat>
          <c:val>
            <c:numRef>
              <c:f>'pivot table'!$C$5:$C$8</c:f>
              <c:numCache>
                <c:formatCode>General</c:formatCode>
                <c:ptCount val="3"/>
                <c:pt idx="0">
                  <c:v>58</c:v>
                </c:pt>
                <c:pt idx="1">
                  <c:v>67</c:v>
                </c:pt>
                <c:pt idx="2">
                  <c:v>59</c:v>
                </c:pt>
              </c:numCache>
            </c:numRef>
          </c:val>
          <c:extLst>
            <c:ext xmlns:c16="http://schemas.microsoft.com/office/drawing/2014/chart" uri="{C3380CC4-5D6E-409C-BE32-E72D297353CC}">
              <c16:uniqueId val="{00000001-18B8-4B0C-82B2-B9FA5BE4526F}"/>
            </c:ext>
          </c:extLst>
        </c:ser>
        <c:ser>
          <c:idx val="2"/>
          <c:order val="2"/>
          <c:tx>
            <c:strRef>
              <c:f>'pivot table'!$D$3:$D$4</c:f>
              <c:strCache>
                <c:ptCount val="1"/>
                <c:pt idx="0">
                  <c:v>NEFT</c:v>
                </c:pt>
              </c:strCache>
            </c:strRef>
          </c:tx>
          <c:spPr>
            <a:solidFill>
              <a:schemeClr val="accent6">
                <a:lumMod val="50000"/>
              </a:schemeClr>
            </a:solidFill>
            <a:ln>
              <a:noFill/>
            </a:ln>
            <a:effectLst/>
          </c:spPr>
          <c:invertIfNegative val="0"/>
          <c:cat>
            <c:strRef>
              <c:f>'pivot table'!$A$5:$A$8</c:f>
              <c:strCache>
                <c:ptCount val="3"/>
                <c:pt idx="0">
                  <c:v>Business</c:v>
                </c:pt>
                <c:pt idx="1">
                  <c:v>Current</c:v>
                </c:pt>
                <c:pt idx="2">
                  <c:v>Savings</c:v>
                </c:pt>
              </c:strCache>
            </c:strRef>
          </c:cat>
          <c:val>
            <c:numRef>
              <c:f>'pivot table'!$D$5:$D$8</c:f>
              <c:numCache>
                <c:formatCode>General</c:formatCode>
                <c:ptCount val="3"/>
                <c:pt idx="0">
                  <c:v>74</c:v>
                </c:pt>
                <c:pt idx="1">
                  <c:v>63</c:v>
                </c:pt>
                <c:pt idx="2">
                  <c:v>72</c:v>
                </c:pt>
              </c:numCache>
            </c:numRef>
          </c:val>
          <c:extLst>
            <c:ext xmlns:c16="http://schemas.microsoft.com/office/drawing/2014/chart" uri="{C3380CC4-5D6E-409C-BE32-E72D297353CC}">
              <c16:uniqueId val="{00000002-18B8-4B0C-82B2-B9FA5BE4526F}"/>
            </c:ext>
          </c:extLst>
        </c:ser>
        <c:ser>
          <c:idx val="3"/>
          <c:order val="3"/>
          <c:tx>
            <c:strRef>
              <c:f>'pivot table'!$E$3:$E$4</c:f>
              <c:strCache>
                <c:ptCount val="1"/>
                <c:pt idx="0">
                  <c:v>RTGS</c:v>
                </c:pt>
              </c:strCache>
            </c:strRef>
          </c:tx>
          <c:spPr>
            <a:solidFill>
              <a:schemeClr val="accent6">
                <a:lumMod val="75000"/>
              </a:schemeClr>
            </a:solidFill>
            <a:ln>
              <a:noFill/>
            </a:ln>
            <a:effectLst/>
          </c:spPr>
          <c:invertIfNegative val="0"/>
          <c:cat>
            <c:strRef>
              <c:f>'pivot table'!$A$5:$A$8</c:f>
              <c:strCache>
                <c:ptCount val="3"/>
                <c:pt idx="0">
                  <c:v>Business</c:v>
                </c:pt>
                <c:pt idx="1">
                  <c:v>Current</c:v>
                </c:pt>
                <c:pt idx="2">
                  <c:v>Savings</c:v>
                </c:pt>
              </c:strCache>
            </c:strRef>
          </c:cat>
          <c:val>
            <c:numRef>
              <c:f>'pivot table'!$E$5:$E$8</c:f>
              <c:numCache>
                <c:formatCode>General</c:formatCode>
                <c:ptCount val="3"/>
                <c:pt idx="0">
                  <c:v>66</c:v>
                </c:pt>
                <c:pt idx="1">
                  <c:v>67</c:v>
                </c:pt>
                <c:pt idx="2">
                  <c:v>73</c:v>
                </c:pt>
              </c:numCache>
            </c:numRef>
          </c:val>
          <c:extLst>
            <c:ext xmlns:c16="http://schemas.microsoft.com/office/drawing/2014/chart" uri="{C3380CC4-5D6E-409C-BE32-E72D297353CC}">
              <c16:uniqueId val="{00000003-18B8-4B0C-82B2-B9FA5BE4526F}"/>
            </c:ext>
          </c:extLst>
        </c:ser>
        <c:ser>
          <c:idx val="4"/>
          <c:order val="4"/>
          <c:tx>
            <c:strRef>
              <c:f>'pivot table'!$F$3:$F$4</c:f>
              <c:strCache>
                <c:ptCount val="1"/>
                <c:pt idx="0">
                  <c:v>UPI</c:v>
                </c:pt>
              </c:strCache>
            </c:strRef>
          </c:tx>
          <c:spPr>
            <a:solidFill>
              <a:schemeClr val="bg2">
                <a:lumMod val="50000"/>
              </a:schemeClr>
            </a:solidFill>
            <a:ln>
              <a:noFill/>
            </a:ln>
            <a:effectLst/>
          </c:spPr>
          <c:invertIfNegative val="0"/>
          <c:cat>
            <c:strRef>
              <c:f>'pivot table'!$A$5:$A$8</c:f>
              <c:strCache>
                <c:ptCount val="3"/>
                <c:pt idx="0">
                  <c:v>Business</c:v>
                </c:pt>
                <c:pt idx="1">
                  <c:v>Current</c:v>
                </c:pt>
                <c:pt idx="2">
                  <c:v>Savings</c:v>
                </c:pt>
              </c:strCache>
            </c:strRef>
          </c:cat>
          <c:val>
            <c:numRef>
              <c:f>'pivot table'!$F$5:$F$8</c:f>
              <c:numCache>
                <c:formatCode>General</c:formatCode>
                <c:ptCount val="3"/>
                <c:pt idx="0">
                  <c:v>67</c:v>
                </c:pt>
                <c:pt idx="1">
                  <c:v>79</c:v>
                </c:pt>
                <c:pt idx="2">
                  <c:v>59</c:v>
                </c:pt>
              </c:numCache>
            </c:numRef>
          </c:val>
          <c:extLst>
            <c:ext xmlns:c16="http://schemas.microsoft.com/office/drawing/2014/chart" uri="{C3380CC4-5D6E-409C-BE32-E72D297353CC}">
              <c16:uniqueId val="{00000004-18B8-4B0C-82B2-B9FA5BE4526F}"/>
            </c:ext>
          </c:extLst>
        </c:ser>
        <c:dLbls>
          <c:showLegendKey val="0"/>
          <c:showVal val="0"/>
          <c:showCatName val="0"/>
          <c:showSerName val="0"/>
          <c:showPercent val="0"/>
          <c:showBubbleSize val="0"/>
        </c:dLbls>
        <c:gapWidth val="219"/>
        <c:overlap val="-27"/>
        <c:axId val="1463977312"/>
        <c:axId val="1463994112"/>
      </c:barChart>
      <c:catAx>
        <c:axId val="146397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nsolas" panose="020B0609020204030204" pitchFamily="49" charset="0"/>
                <a:ea typeface="+mn-ea"/>
                <a:cs typeface="+mn-cs"/>
              </a:defRPr>
            </a:pPr>
            <a:endParaRPr lang="en-US"/>
          </a:p>
        </c:txPr>
        <c:crossAx val="1463994112"/>
        <c:crosses val="autoZero"/>
        <c:auto val="1"/>
        <c:lblAlgn val="ctr"/>
        <c:lblOffset val="100"/>
        <c:noMultiLvlLbl val="0"/>
      </c:catAx>
      <c:valAx>
        <c:axId val="146399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nsolas" panose="020B0609020204030204" pitchFamily="49" charset="0"/>
                <a:ea typeface="+mn-ea"/>
                <a:cs typeface="+mn-cs"/>
              </a:defRPr>
            </a:pPr>
            <a:endParaRPr lang="en-US"/>
          </a:p>
        </c:txPr>
        <c:crossAx val="146397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4.xlsx]pivot table!credit score vs account typew</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1"/>
          <c:showVal val="0"/>
          <c:showCatName val="0"/>
          <c:showSerName val="0"/>
          <c:showPercent val="1"/>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1C038CC-20B3-4DEB-8290-B1D094B90CF9}" type="PERCENTAGE">
                  <a:rPr lang="en-US" b="1">
                    <a:solidFill>
                      <a:schemeClr val="bg1"/>
                    </a:solidFill>
                    <a:latin typeface="Consolas" panose="020B0609020204030204" pitchFamily="49" charset="0"/>
                  </a:rPr>
                  <a:pPr>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1"/>
          <c:showVal val="0"/>
          <c:showCatName val="0"/>
          <c:showSerName val="0"/>
          <c:showPercent val="1"/>
          <c:showBubbleSize val="0"/>
          <c:extLst>
            <c:ext xmlns:c15="http://schemas.microsoft.com/office/drawing/2012/chart" uri="{CE6537A1-D6FC-4f65-9D91-7224C49458BB}">
              <c15:layout>
                <c:manualLayout>
                  <c:w val="8.2397146566820872E-2"/>
                  <c:h val="0.18345723403447428"/>
                </c:manualLayout>
              </c15:layout>
              <c15:dlblFieldTable/>
              <c15:showDataLabelsRange val="0"/>
            </c:ext>
          </c:extLst>
        </c:dLbl>
      </c:pivotFmt>
      <c:pivotFmt>
        <c:idx val="10"/>
        <c:spPr>
          <a:solidFill>
            <a:schemeClr val="bg2">
              <a:lumMod val="2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D9726C-03EB-47D4-89D3-98EEEE4F5A1B}" type="PERCENTAGE">
                  <a:rPr lang="en-US" b="1">
                    <a:solidFill>
                      <a:schemeClr val="bg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1"/>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6">
              <a:lumMod val="50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080B5C2-273B-4270-8730-EA73DF79CDE6}" type="PERCENTAGE">
                  <a:rPr lang="en-US" b="1">
                    <a:solidFill>
                      <a:schemeClr val="bg1"/>
                    </a:solidFill>
                    <a:latin typeface="Consolas" panose="020B0609020204030204" pitchFamily="49" charset="0"/>
                  </a:rPr>
                  <a:pPr>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1"/>
          <c:showVal val="0"/>
          <c:showCatName val="0"/>
          <c:showSerName val="0"/>
          <c:showPercent val="1"/>
          <c:showBubbleSize val="0"/>
          <c:extLst>
            <c:ext xmlns:c15="http://schemas.microsoft.com/office/drawing/2012/chart" uri="{CE6537A1-D6FC-4f65-9D91-7224C49458BB}">
              <c15:layout>
                <c:manualLayout>
                  <c:w val="0.11082899500373786"/>
                  <c:h val="0.11579418891128621"/>
                </c:manualLayout>
              </c15:layout>
              <c15:dlblFieldTable/>
              <c15:showDataLabelsRange val="0"/>
            </c:ext>
          </c:extLst>
        </c:dLbl>
      </c:pivotFmt>
    </c:pivotFmts>
    <c:plotArea>
      <c:layout>
        <c:manualLayout>
          <c:layoutTarget val="inner"/>
          <c:xMode val="edge"/>
          <c:yMode val="edge"/>
          <c:x val="9.5377034398782159E-2"/>
          <c:y val="8.3866164130045384E-2"/>
          <c:w val="0.43352127244603933"/>
          <c:h val="0.9008860427222164"/>
        </c:manualLayout>
      </c:layout>
      <c:pieChart>
        <c:varyColors val="1"/>
        <c:ser>
          <c:idx val="0"/>
          <c:order val="0"/>
          <c:tx>
            <c:strRef>
              <c:f>'pivot table'!$B$15</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2E70-4247-BCF2-E24CADCE06C4}"/>
              </c:ext>
            </c:extLst>
          </c:dPt>
          <c:dPt>
            <c:idx val="1"/>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3-2E70-4247-BCF2-E24CADCE06C4}"/>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2E70-4247-BCF2-E24CADCE06C4}"/>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1C038CC-20B3-4DEB-8290-B1D094B90CF9}" type="PERCENTAGE">
                      <a:rPr lang="en-US" b="1">
                        <a:solidFill>
                          <a:schemeClr val="bg1"/>
                        </a:solidFill>
                        <a:latin typeface="Consolas" panose="020B0609020204030204" pitchFamily="49" charset="0"/>
                      </a:rPr>
                      <a:pPr>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1"/>
              <c:showVal val="0"/>
              <c:showCatName val="0"/>
              <c:showSerName val="0"/>
              <c:showPercent val="1"/>
              <c:showBubbleSize val="0"/>
              <c:extLst>
                <c:ext xmlns:c15="http://schemas.microsoft.com/office/drawing/2012/chart" uri="{CE6537A1-D6FC-4f65-9D91-7224C49458BB}">
                  <c15:layout>
                    <c:manualLayout>
                      <c:w val="8.2397146566820872E-2"/>
                      <c:h val="0.18345723403447428"/>
                    </c:manualLayout>
                  </c15:layout>
                  <c15:dlblFieldTable/>
                  <c15:showDataLabelsRange val="0"/>
                </c:ext>
                <c:ext xmlns:c16="http://schemas.microsoft.com/office/drawing/2014/chart" uri="{C3380CC4-5D6E-409C-BE32-E72D297353CC}">
                  <c16:uniqueId val="{00000001-2E70-4247-BCF2-E24CADCE06C4}"/>
                </c:ext>
              </c:extLst>
            </c:dLbl>
            <c:dLbl>
              <c:idx val="1"/>
              <c:tx>
                <c:rich>
                  <a:bodyPr/>
                  <a:lstStyle/>
                  <a:p>
                    <a:fld id="{B9D9726C-03EB-47D4-89D3-98EEEE4F5A1B}" type="PERCENTAGE">
                      <a:rPr lang="en-US" b="1">
                        <a:solidFill>
                          <a:schemeClr val="bg1"/>
                        </a:solidFill>
                      </a:rPr>
                      <a:pPr/>
                      <a:t>[PERCENTAGE]</a:t>
                    </a:fld>
                    <a:endParaRPr lang="en-IN"/>
                  </a:p>
                </c:rich>
              </c:tx>
              <c:dLblPos val="ctr"/>
              <c:showLegendKey val="1"/>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E70-4247-BCF2-E24CADCE06C4}"/>
                </c:ext>
              </c:extLst>
            </c:dLbl>
            <c:dLbl>
              <c:idx val="2"/>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080B5C2-273B-4270-8730-EA73DF79CDE6}" type="PERCENTAGE">
                      <a:rPr lang="en-US" b="1">
                        <a:solidFill>
                          <a:schemeClr val="bg1"/>
                        </a:solidFill>
                        <a:latin typeface="Consolas" panose="020B0609020204030204" pitchFamily="49" charset="0"/>
                      </a:rPr>
                      <a:pPr>
                        <a:defRPr/>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ctr"/>
              <c:showLegendKey val="1"/>
              <c:showVal val="0"/>
              <c:showCatName val="0"/>
              <c:showSerName val="0"/>
              <c:showPercent val="1"/>
              <c:showBubbleSize val="0"/>
              <c:extLst>
                <c:ext xmlns:c15="http://schemas.microsoft.com/office/drawing/2012/chart" uri="{CE6537A1-D6FC-4f65-9D91-7224C49458BB}">
                  <c15:layout>
                    <c:manualLayout>
                      <c:w val="0.11082899500373786"/>
                      <c:h val="0.11579418891128621"/>
                    </c:manualLayout>
                  </c15:layout>
                  <c15:dlblFieldTable/>
                  <c15:showDataLabelsRange val="0"/>
                </c:ext>
                <c:ext xmlns:c16="http://schemas.microsoft.com/office/drawing/2014/chart" uri="{C3380CC4-5D6E-409C-BE32-E72D297353CC}">
                  <c16:uniqueId val="{00000005-2E70-4247-BCF2-E24CADCE06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table'!$A$16:$A$19</c:f>
              <c:strCache>
                <c:ptCount val="3"/>
                <c:pt idx="0">
                  <c:v>Business</c:v>
                </c:pt>
                <c:pt idx="1">
                  <c:v>Current</c:v>
                </c:pt>
                <c:pt idx="2">
                  <c:v>Savings</c:v>
                </c:pt>
              </c:strCache>
            </c:strRef>
          </c:cat>
          <c:val>
            <c:numRef>
              <c:f>'pivot table'!$B$16:$B$19</c:f>
              <c:numCache>
                <c:formatCode>General</c:formatCode>
                <c:ptCount val="3"/>
                <c:pt idx="0">
                  <c:v>604.73030303030305</c:v>
                </c:pt>
                <c:pt idx="1">
                  <c:v>605.55362318840582</c:v>
                </c:pt>
                <c:pt idx="2">
                  <c:v>613.00615384615389</c:v>
                </c:pt>
              </c:numCache>
            </c:numRef>
          </c:val>
          <c:extLst>
            <c:ext xmlns:c16="http://schemas.microsoft.com/office/drawing/2014/chart" uri="{C3380CC4-5D6E-409C-BE32-E72D297353CC}">
              <c16:uniqueId val="{00000006-2E70-4247-BCF2-E24CADCE06C4}"/>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Consolas" panose="020B0609020204030204" pitchFamily="49"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4.xlsx]pivot table!risk</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94485783927706"/>
          <c:y val="4.7242981441320123E-2"/>
          <c:w val="0.7670001751561617"/>
          <c:h val="0.76919598184891702"/>
        </c:manualLayout>
      </c:layout>
      <c:barChart>
        <c:barDir val="bar"/>
        <c:grouping val="clustered"/>
        <c:varyColors val="0"/>
        <c:ser>
          <c:idx val="0"/>
          <c:order val="0"/>
          <c:tx>
            <c:strRef>
              <c:f>'pivot table'!$B$26</c:f>
              <c:strCache>
                <c:ptCount val="1"/>
                <c:pt idx="0">
                  <c:v>Total</c:v>
                </c:pt>
              </c:strCache>
            </c:strRef>
          </c:tx>
          <c:spPr>
            <a:solidFill>
              <a:schemeClr val="bg2">
                <a:lumMod val="50000"/>
              </a:schemeClr>
            </a:solidFill>
            <a:ln>
              <a:noFill/>
            </a:ln>
            <a:effectLst/>
          </c:spPr>
          <c:invertIfNegative val="0"/>
          <c:cat>
            <c:strRef>
              <c:f>'pivot table'!$A$27:$A$30</c:f>
              <c:strCache>
                <c:ptCount val="3"/>
                <c:pt idx="0">
                  <c:v>High</c:v>
                </c:pt>
                <c:pt idx="1">
                  <c:v>Low</c:v>
                </c:pt>
                <c:pt idx="2">
                  <c:v>Medium</c:v>
                </c:pt>
              </c:strCache>
            </c:strRef>
          </c:cat>
          <c:val>
            <c:numRef>
              <c:f>'pivot table'!$B$27:$B$30</c:f>
              <c:numCache>
                <c:formatCode>General</c:formatCode>
                <c:ptCount val="3"/>
                <c:pt idx="0">
                  <c:v>342</c:v>
                </c:pt>
                <c:pt idx="1">
                  <c:v>330</c:v>
                </c:pt>
                <c:pt idx="2">
                  <c:v>328</c:v>
                </c:pt>
              </c:numCache>
            </c:numRef>
          </c:val>
          <c:extLst>
            <c:ext xmlns:c16="http://schemas.microsoft.com/office/drawing/2014/chart" uri="{C3380CC4-5D6E-409C-BE32-E72D297353CC}">
              <c16:uniqueId val="{00000000-D587-4758-AF9C-8B29B354B3FE}"/>
            </c:ext>
          </c:extLst>
        </c:ser>
        <c:dLbls>
          <c:showLegendKey val="0"/>
          <c:showVal val="0"/>
          <c:showCatName val="0"/>
          <c:showSerName val="0"/>
          <c:showPercent val="0"/>
          <c:showBubbleSize val="0"/>
        </c:dLbls>
        <c:gapWidth val="182"/>
        <c:axId val="1456071184"/>
        <c:axId val="1456070704"/>
      </c:barChart>
      <c:catAx>
        <c:axId val="145607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onsolas" panose="020B0609020204030204" pitchFamily="49" charset="0"/>
                <a:ea typeface="+mn-ea"/>
                <a:cs typeface="+mn-cs"/>
              </a:defRPr>
            </a:pPr>
            <a:endParaRPr lang="en-US"/>
          </a:p>
        </c:txPr>
        <c:crossAx val="1456070704"/>
        <c:crosses val="autoZero"/>
        <c:auto val="1"/>
        <c:lblAlgn val="ctr"/>
        <c:lblOffset val="100"/>
        <c:noMultiLvlLbl val="0"/>
      </c:catAx>
      <c:valAx>
        <c:axId val="1456070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onsolas" panose="020B0609020204030204" pitchFamily="49" charset="0"/>
                <a:ea typeface="+mn-ea"/>
                <a:cs typeface="+mn-cs"/>
              </a:defRPr>
            </a:pPr>
            <a:endParaRPr lang="en-US"/>
          </a:p>
        </c:txPr>
        <c:crossAx val="145607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4.xlsx]pivot table!region vs  catogory</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table'!$B$37:$B$38</c:f>
              <c:strCache>
                <c:ptCount val="1"/>
                <c:pt idx="0">
                  <c:v>Insurance</c:v>
                </c:pt>
              </c:strCache>
            </c:strRef>
          </c:tx>
          <c:spPr>
            <a:solidFill>
              <a:schemeClr val="accent6">
                <a:lumMod val="50000"/>
              </a:schemeClr>
            </a:solidFill>
            <a:ln>
              <a:noFill/>
            </a:ln>
            <a:effectLst/>
          </c:spPr>
          <c:invertIfNegative val="0"/>
          <c:cat>
            <c:strRef>
              <c:f>'pivot table'!$A$39:$A$43</c:f>
              <c:strCache>
                <c:ptCount val="4"/>
                <c:pt idx="0">
                  <c:v>East</c:v>
                </c:pt>
                <c:pt idx="1">
                  <c:v>North</c:v>
                </c:pt>
                <c:pt idx="2">
                  <c:v>South</c:v>
                </c:pt>
                <c:pt idx="3">
                  <c:v>West</c:v>
                </c:pt>
              </c:strCache>
            </c:strRef>
          </c:cat>
          <c:val>
            <c:numRef>
              <c:f>'pivot table'!$B$39:$B$43</c:f>
              <c:numCache>
                <c:formatCode>General</c:formatCode>
                <c:ptCount val="4"/>
                <c:pt idx="0">
                  <c:v>58</c:v>
                </c:pt>
                <c:pt idx="1">
                  <c:v>58</c:v>
                </c:pt>
                <c:pt idx="2">
                  <c:v>74</c:v>
                </c:pt>
                <c:pt idx="3">
                  <c:v>61</c:v>
                </c:pt>
              </c:numCache>
            </c:numRef>
          </c:val>
          <c:extLst>
            <c:ext xmlns:c16="http://schemas.microsoft.com/office/drawing/2014/chart" uri="{C3380CC4-5D6E-409C-BE32-E72D297353CC}">
              <c16:uniqueId val="{00000000-51FB-463C-8CEF-AA59DDA0E1AA}"/>
            </c:ext>
          </c:extLst>
        </c:ser>
        <c:ser>
          <c:idx val="1"/>
          <c:order val="1"/>
          <c:tx>
            <c:strRef>
              <c:f>'pivot table'!$C$37:$C$38</c:f>
              <c:strCache>
                <c:ptCount val="1"/>
                <c:pt idx="0">
                  <c:v>Investment</c:v>
                </c:pt>
              </c:strCache>
            </c:strRef>
          </c:tx>
          <c:spPr>
            <a:solidFill>
              <a:schemeClr val="bg2">
                <a:lumMod val="25000"/>
              </a:schemeClr>
            </a:solidFill>
            <a:ln>
              <a:noFill/>
            </a:ln>
            <a:effectLst/>
          </c:spPr>
          <c:invertIfNegative val="0"/>
          <c:cat>
            <c:strRef>
              <c:f>'pivot table'!$A$39:$A$43</c:f>
              <c:strCache>
                <c:ptCount val="4"/>
                <c:pt idx="0">
                  <c:v>East</c:v>
                </c:pt>
                <c:pt idx="1">
                  <c:v>North</c:v>
                </c:pt>
                <c:pt idx="2">
                  <c:v>South</c:v>
                </c:pt>
                <c:pt idx="3">
                  <c:v>West</c:v>
                </c:pt>
              </c:strCache>
            </c:strRef>
          </c:cat>
          <c:val>
            <c:numRef>
              <c:f>'pivot table'!$C$39:$C$43</c:f>
              <c:numCache>
                <c:formatCode>General</c:formatCode>
                <c:ptCount val="4"/>
                <c:pt idx="0">
                  <c:v>77</c:v>
                </c:pt>
                <c:pt idx="1">
                  <c:v>73</c:v>
                </c:pt>
                <c:pt idx="2">
                  <c:v>66</c:v>
                </c:pt>
                <c:pt idx="3">
                  <c:v>64</c:v>
                </c:pt>
              </c:numCache>
            </c:numRef>
          </c:val>
          <c:extLst>
            <c:ext xmlns:c16="http://schemas.microsoft.com/office/drawing/2014/chart" uri="{C3380CC4-5D6E-409C-BE32-E72D297353CC}">
              <c16:uniqueId val="{00000004-84CE-4686-A7CC-AC2C5046F674}"/>
            </c:ext>
          </c:extLst>
        </c:ser>
        <c:ser>
          <c:idx val="2"/>
          <c:order val="2"/>
          <c:tx>
            <c:strRef>
              <c:f>'pivot table'!$D$37:$D$38</c:f>
              <c:strCache>
                <c:ptCount val="1"/>
                <c:pt idx="0">
                  <c:v>Loan</c:v>
                </c:pt>
              </c:strCache>
            </c:strRef>
          </c:tx>
          <c:spPr>
            <a:solidFill>
              <a:schemeClr val="accent6">
                <a:lumMod val="75000"/>
              </a:schemeClr>
            </a:solidFill>
            <a:ln>
              <a:noFill/>
            </a:ln>
            <a:effectLst/>
          </c:spPr>
          <c:invertIfNegative val="0"/>
          <c:cat>
            <c:strRef>
              <c:f>'pivot table'!$A$39:$A$43</c:f>
              <c:strCache>
                <c:ptCount val="4"/>
                <c:pt idx="0">
                  <c:v>East</c:v>
                </c:pt>
                <c:pt idx="1">
                  <c:v>North</c:v>
                </c:pt>
                <c:pt idx="2">
                  <c:v>South</c:v>
                </c:pt>
                <c:pt idx="3">
                  <c:v>West</c:v>
                </c:pt>
              </c:strCache>
            </c:strRef>
          </c:cat>
          <c:val>
            <c:numRef>
              <c:f>'pivot table'!$D$39:$D$43</c:f>
              <c:numCache>
                <c:formatCode>General</c:formatCode>
                <c:ptCount val="4"/>
                <c:pt idx="0">
                  <c:v>51</c:v>
                </c:pt>
                <c:pt idx="1">
                  <c:v>52</c:v>
                </c:pt>
                <c:pt idx="2">
                  <c:v>67</c:v>
                </c:pt>
                <c:pt idx="3">
                  <c:v>53</c:v>
                </c:pt>
              </c:numCache>
            </c:numRef>
          </c:val>
          <c:extLst>
            <c:ext xmlns:c16="http://schemas.microsoft.com/office/drawing/2014/chart" uri="{C3380CC4-5D6E-409C-BE32-E72D297353CC}">
              <c16:uniqueId val="{00000005-84CE-4686-A7CC-AC2C5046F674}"/>
            </c:ext>
          </c:extLst>
        </c:ser>
        <c:ser>
          <c:idx val="3"/>
          <c:order val="3"/>
          <c:tx>
            <c:strRef>
              <c:f>'pivot table'!$E$37:$E$38</c:f>
              <c:strCache>
                <c:ptCount val="1"/>
                <c:pt idx="0">
                  <c:v>Retail</c:v>
                </c:pt>
              </c:strCache>
            </c:strRef>
          </c:tx>
          <c:spPr>
            <a:solidFill>
              <a:schemeClr val="bg2">
                <a:lumMod val="50000"/>
              </a:schemeClr>
            </a:solidFill>
            <a:ln>
              <a:noFill/>
            </a:ln>
            <a:effectLst/>
          </c:spPr>
          <c:invertIfNegative val="0"/>
          <c:cat>
            <c:strRef>
              <c:f>'pivot table'!$A$39:$A$43</c:f>
              <c:strCache>
                <c:ptCount val="4"/>
                <c:pt idx="0">
                  <c:v>East</c:v>
                </c:pt>
                <c:pt idx="1">
                  <c:v>North</c:v>
                </c:pt>
                <c:pt idx="2">
                  <c:v>South</c:v>
                </c:pt>
                <c:pt idx="3">
                  <c:v>West</c:v>
                </c:pt>
              </c:strCache>
            </c:strRef>
          </c:cat>
          <c:val>
            <c:numRef>
              <c:f>'pivot table'!$E$39:$E$43</c:f>
              <c:numCache>
                <c:formatCode>General</c:formatCode>
                <c:ptCount val="4"/>
                <c:pt idx="0">
                  <c:v>75</c:v>
                </c:pt>
                <c:pt idx="1">
                  <c:v>62</c:v>
                </c:pt>
                <c:pt idx="2">
                  <c:v>65</c:v>
                </c:pt>
                <c:pt idx="3">
                  <c:v>44</c:v>
                </c:pt>
              </c:numCache>
            </c:numRef>
          </c:val>
          <c:extLst>
            <c:ext xmlns:c16="http://schemas.microsoft.com/office/drawing/2014/chart" uri="{C3380CC4-5D6E-409C-BE32-E72D297353CC}">
              <c16:uniqueId val="{00000006-84CE-4686-A7CC-AC2C5046F674}"/>
            </c:ext>
          </c:extLst>
        </c:ser>
        <c:dLbls>
          <c:showLegendKey val="0"/>
          <c:showVal val="0"/>
          <c:showCatName val="0"/>
          <c:showSerName val="0"/>
          <c:showPercent val="0"/>
          <c:showBubbleSize val="0"/>
        </c:dLbls>
        <c:gapWidth val="150"/>
        <c:overlap val="100"/>
        <c:axId val="1274819856"/>
        <c:axId val="1274806896"/>
      </c:barChart>
      <c:catAx>
        <c:axId val="127481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onsolas" panose="020B0609020204030204" pitchFamily="49" charset="0"/>
                <a:ea typeface="+mn-ea"/>
                <a:cs typeface="+mn-cs"/>
              </a:defRPr>
            </a:pPr>
            <a:endParaRPr lang="en-US"/>
          </a:p>
        </c:txPr>
        <c:crossAx val="1274806896"/>
        <c:crosses val="autoZero"/>
        <c:auto val="1"/>
        <c:lblAlgn val="ctr"/>
        <c:lblOffset val="100"/>
        <c:noMultiLvlLbl val="0"/>
      </c:catAx>
      <c:valAx>
        <c:axId val="1274806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onsolas" panose="020B0609020204030204" pitchFamily="49" charset="0"/>
                <a:ea typeface="+mn-ea"/>
                <a:cs typeface="+mn-cs"/>
              </a:defRPr>
            </a:pPr>
            <a:endParaRPr lang="en-US"/>
          </a:p>
        </c:txPr>
        <c:crossAx val="127481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Consolas" panose="020B0609020204030204" pitchFamily="49"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4.xlsx]pivot table!catogoty vs credit scorw</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71567650879435"/>
          <c:y val="3.5000790283774598E-2"/>
          <c:w val="0.79472348423946149"/>
          <c:h val="0.78207335338730677"/>
        </c:manualLayout>
      </c:layout>
      <c:areaChart>
        <c:grouping val="standard"/>
        <c:varyColors val="0"/>
        <c:ser>
          <c:idx val="0"/>
          <c:order val="0"/>
          <c:tx>
            <c:strRef>
              <c:f>'pivot table'!$B$69</c:f>
              <c:strCache>
                <c:ptCount val="1"/>
                <c:pt idx="0">
                  <c:v>Total</c:v>
                </c:pt>
              </c:strCache>
            </c:strRef>
          </c:tx>
          <c:spPr>
            <a:solidFill>
              <a:schemeClr val="accent6">
                <a:lumMod val="50000"/>
              </a:schemeClr>
            </a:solidFill>
            <a:ln>
              <a:noFill/>
            </a:ln>
            <a:effectLst/>
          </c:spPr>
          <c:cat>
            <c:strRef>
              <c:f>'pivot table'!$A$70:$A$74</c:f>
              <c:strCache>
                <c:ptCount val="4"/>
                <c:pt idx="0">
                  <c:v>Insurance</c:v>
                </c:pt>
                <c:pt idx="1">
                  <c:v>Investment</c:v>
                </c:pt>
                <c:pt idx="2">
                  <c:v>Loan</c:v>
                </c:pt>
                <c:pt idx="3">
                  <c:v>Retail</c:v>
                </c:pt>
              </c:strCache>
            </c:strRef>
          </c:cat>
          <c:val>
            <c:numRef>
              <c:f>'pivot table'!$B$70:$B$74</c:f>
              <c:numCache>
                <c:formatCode>General</c:formatCode>
                <c:ptCount val="4"/>
                <c:pt idx="0">
                  <c:v>601.91633466135454</c:v>
                </c:pt>
                <c:pt idx="1">
                  <c:v>621.11428571428576</c:v>
                </c:pt>
                <c:pt idx="2">
                  <c:v>607.5336322869955</c:v>
                </c:pt>
                <c:pt idx="3">
                  <c:v>598.5</c:v>
                </c:pt>
              </c:numCache>
            </c:numRef>
          </c:val>
          <c:extLst>
            <c:ext xmlns:c16="http://schemas.microsoft.com/office/drawing/2014/chart" uri="{C3380CC4-5D6E-409C-BE32-E72D297353CC}">
              <c16:uniqueId val="{00000000-9F68-40E5-A27B-95CB6443FA85}"/>
            </c:ext>
          </c:extLst>
        </c:ser>
        <c:dLbls>
          <c:showLegendKey val="0"/>
          <c:showVal val="0"/>
          <c:showCatName val="0"/>
          <c:showSerName val="0"/>
          <c:showPercent val="0"/>
          <c:showBubbleSize val="0"/>
        </c:dLbls>
        <c:axId val="1274840016"/>
        <c:axId val="1274858256"/>
      </c:areaChart>
      <c:catAx>
        <c:axId val="1274840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onsolas" panose="020B0609020204030204" pitchFamily="49" charset="0"/>
                <a:ea typeface="+mn-ea"/>
                <a:cs typeface="+mn-cs"/>
              </a:defRPr>
            </a:pPr>
            <a:endParaRPr lang="en-US"/>
          </a:p>
        </c:txPr>
        <c:crossAx val="1274858256"/>
        <c:crosses val="autoZero"/>
        <c:auto val="1"/>
        <c:lblAlgn val="ctr"/>
        <c:lblOffset val="100"/>
        <c:noMultiLvlLbl val="0"/>
      </c:catAx>
      <c:valAx>
        <c:axId val="1274858256"/>
        <c:scaling>
          <c:orientation val="minMax"/>
        </c:scaling>
        <c:delete val="0"/>
        <c:axPos val="l"/>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onsolas" panose="020B0609020204030204" pitchFamily="49" charset="0"/>
                <a:ea typeface="+mn-ea"/>
                <a:cs typeface="+mn-cs"/>
              </a:defRPr>
            </a:pPr>
            <a:endParaRPr lang="en-US"/>
          </a:p>
        </c:txPr>
        <c:crossAx val="12748400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7.xml"/><Relationship Id="rId16" Type="http://schemas.openxmlformats.org/officeDocument/2006/relationships/image" Target="../media/image10.png"/><Relationship Id="rId1" Type="http://schemas.openxmlformats.org/officeDocument/2006/relationships/image" Target="../media/image1.emf"/><Relationship Id="rId6" Type="http://schemas.openxmlformats.org/officeDocument/2006/relationships/chart" Target="../charts/chart11.xml"/><Relationship Id="rId11" Type="http://schemas.openxmlformats.org/officeDocument/2006/relationships/image" Target="../media/image5.svg"/><Relationship Id="rId5" Type="http://schemas.openxmlformats.org/officeDocument/2006/relationships/chart" Target="../charts/chart10.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9.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7</xdr:col>
      <xdr:colOff>133350</xdr:colOff>
      <xdr:row>2</xdr:row>
      <xdr:rowOff>31750</xdr:rowOff>
    </xdr:from>
    <xdr:to>
      <xdr:col>9</xdr:col>
      <xdr:colOff>1720850</xdr:colOff>
      <xdr:row>14</xdr:row>
      <xdr:rowOff>88900</xdr:rowOff>
    </xdr:to>
    <xdr:graphicFrame macro="">
      <xdr:nvGraphicFramePr>
        <xdr:cNvPr id="2" name="Chart 1">
          <a:extLst>
            <a:ext uri="{FF2B5EF4-FFF2-40B4-BE49-F238E27FC236}">
              <a16:creationId xmlns:a16="http://schemas.microsoft.com/office/drawing/2014/main" id="{F8A7109C-4447-F2FC-ED26-C8CDE37FC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254000</xdr:colOff>
      <xdr:row>13</xdr:row>
      <xdr:rowOff>76200</xdr:rowOff>
    </xdr:from>
    <xdr:to>
      <xdr:col>7</xdr:col>
      <xdr:colOff>0</xdr:colOff>
      <xdr:row>23</xdr:row>
      <xdr:rowOff>69850</xdr:rowOff>
    </xdr:to>
    <xdr:graphicFrame macro="">
      <xdr:nvGraphicFramePr>
        <xdr:cNvPr id="3" name="Chart 2">
          <a:extLst>
            <a:ext uri="{FF2B5EF4-FFF2-40B4-BE49-F238E27FC236}">
              <a16:creationId xmlns:a16="http://schemas.microsoft.com/office/drawing/2014/main" id="{427F6A64-42F4-A586-B148-E00D3A7BF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158750</xdr:colOff>
      <xdr:row>23</xdr:row>
      <xdr:rowOff>95250</xdr:rowOff>
    </xdr:from>
    <xdr:to>
      <xdr:col>6</xdr:col>
      <xdr:colOff>139700</xdr:colOff>
      <xdr:row>34</xdr:row>
      <xdr:rowOff>114300</xdr:rowOff>
    </xdr:to>
    <xdr:graphicFrame macro="">
      <xdr:nvGraphicFramePr>
        <xdr:cNvPr id="4" name="Chart 3">
          <a:extLst>
            <a:ext uri="{FF2B5EF4-FFF2-40B4-BE49-F238E27FC236}">
              <a16:creationId xmlns:a16="http://schemas.microsoft.com/office/drawing/2014/main" id="{FE260C97-EBFD-C994-7574-82C59CF12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158750</xdr:colOff>
      <xdr:row>35</xdr:row>
      <xdr:rowOff>139700</xdr:rowOff>
    </xdr:from>
    <xdr:to>
      <xdr:col>10</xdr:col>
      <xdr:colOff>622300</xdr:colOff>
      <xdr:row>46</xdr:row>
      <xdr:rowOff>63500</xdr:rowOff>
    </xdr:to>
    <xdr:graphicFrame macro="">
      <xdr:nvGraphicFramePr>
        <xdr:cNvPr id="5" name="Chart 4">
          <a:extLst>
            <a:ext uri="{FF2B5EF4-FFF2-40B4-BE49-F238E27FC236}">
              <a16:creationId xmlns:a16="http://schemas.microsoft.com/office/drawing/2014/main" id="{DF5503A2-AC8E-FD89-2BC6-0500BA30C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228600</xdr:colOff>
      <xdr:row>47</xdr:row>
      <xdr:rowOff>152400</xdr:rowOff>
    </xdr:from>
    <xdr:to>
      <xdr:col>9</xdr:col>
      <xdr:colOff>1593850</xdr:colOff>
      <xdr:row>61</xdr:row>
      <xdr:rowOff>31750</xdr:rowOff>
    </xdr:to>
    <xdr:graphicFrame macro="">
      <xdr:nvGraphicFramePr>
        <xdr:cNvPr id="6" name="Chart 5">
          <a:extLst>
            <a:ext uri="{FF2B5EF4-FFF2-40B4-BE49-F238E27FC236}">
              <a16:creationId xmlns:a16="http://schemas.microsoft.com/office/drawing/2014/main" id="{55F3378B-DD1E-3F05-B467-681844421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304800</xdr:colOff>
      <xdr:row>66</xdr:row>
      <xdr:rowOff>19050</xdr:rowOff>
    </xdr:from>
    <xdr:to>
      <xdr:col>7</xdr:col>
      <xdr:colOff>806450</xdr:colOff>
      <xdr:row>79</xdr:row>
      <xdr:rowOff>57150</xdr:rowOff>
    </xdr:to>
    <xdr:graphicFrame macro="">
      <xdr:nvGraphicFramePr>
        <xdr:cNvPr id="7" name="Chart 6">
          <a:extLst>
            <a:ext uri="{FF2B5EF4-FFF2-40B4-BE49-F238E27FC236}">
              <a16:creationId xmlns:a16="http://schemas.microsoft.com/office/drawing/2014/main" id="{7AF795BE-8124-68D6-77A1-6BCC42E8E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228600</xdr:colOff>
      <xdr:row>10</xdr:row>
      <xdr:rowOff>63501</xdr:rowOff>
    </xdr:from>
    <xdr:to>
      <xdr:col>15</xdr:col>
      <xdr:colOff>107950</xdr:colOff>
      <xdr:row>17</xdr:row>
      <xdr:rowOff>88901</xdr:rowOff>
    </xdr:to>
    <mc:AlternateContent xmlns:mc="http://schemas.openxmlformats.org/markup-compatibility/2006" xmlns:a14="http://schemas.microsoft.com/office/drawing/2010/main">
      <mc:Choice Requires="a14">
        <xdr:graphicFrame macro="">
          <xdr:nvGraphicFramePr>
            <xdr:cNvPr id="8" name="Account_Type">
              <a:extLst>
                <a:ext uri="{FF2B5EF4-FFF2-40B4-BE49-F238E27FC236}">
                  <a16:creationId xmlns:a16="http://schemas.microsoft.com/office/drawing/2014/main" id="{48D7CB78-8031-ADAE-A1FB-E26CEB733181}"/>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mlns="">
        <xdr:sp macro="" textlink="">
          <xdr:nvSpPr>
            <xdr:cNvPr id="0" name=""/>
            <xdr:cNvSpPr>
              <a:spLocks noTextEdit="1"/>
            </xdr:cNvSpPr>
          </xdr:nvSpPr>
          <xdr:spPr>
            <a:xfrm>
              <a:off x="10788650" y="1905001"/>
              <a:ext cx="1828800"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260350</xdr:colOff>
      <xdr:row>17</xdr:row>
      <xdr:rowOff>177799</xdr:rowOff>
    </xdr:from>
    <xdr:to>
      <xdr:col>15</xdr:col>
      <xdr:colOff>88900</xdr:colOff>
      <xdr:row>26</xdr:row>
      <xdr:rowOff>19050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821F46C-F206-C0EB-2172-3B39F21654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20400" y="3308349"/>
              <a:ext cx="1778000" cy="1498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1</xdr:row>
      <xdr:rowOff>171450</xdr:rowOff>
    </xdr:from>
    <xdr:to>
      <xdr:col>11</xdr:col>
      <xdr:colOff>431800</xdr:colOff>
      <xdr:row>15</xdr:row>
      <xdr:rowOff>117475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A04268D7-EF59-6804-D4F9-B30CB924905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727950" y="355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514350</xdr:colOff>
      <xdr:row>1</xdr:row>
      <xdr:rowOff>82551</xdr:rowOff>
    </xdr:from>
    <xdr:to>
      <xdr:col>18</xdr:col>
      <xdr:colOff>514350</xdr:colOff>
      <xdr:row>9</xdr:row>
      <xdr:rowOff>120650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C21948A2-E9CC-0AFC-7C01-62AC81223F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046200" y="266701"/>
              <a:ext cx="1828800" cy="1511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152400</xdr:colOff>
      <xdr:row>12</xdr:row>
      <xdr:rowOff>31751</xdr:rowOff>
    </xdr:from>
    <xdr:to>
      <xdr:col>19</xdr:col>
      <xdr:colOff>152400</xdr:colOff>
      <xdr:row>20</xdr:row>
      <xdr:rowOff>12701</xdr:rowOff>
    </xdr:to>
    <mc:AlternateContent xmlns:mc="http://schemas.openxmlformats.org/markup-compatibility/2006" xmlns:a14="http://schemas.microsoft.com/office/drawing/2010/main">
      <mc:Choice Requires="a14">
        <xdr:graphicFrame macro="">
          <xdr:nvGraphicFramePr>
            <xdr:cNvPr id="12" name="Transaction_Type">
              <a:extLst>
                <a:ext uri="{FF2B5EF4-FFF2-40B4-BE49-F238E27FC236}">
                  <a16:creationId xmlns:a16="http://schemas.microsoft.com/office/drawing/2014/main" id="{DAC5FCC1-A3AA-CF4B-3C1F-F7C091C69AC7}"/>
                </a:ext>
              </a:extLst>
            </xdr:cNvPr>
            <xdr:cNvGraphicFramePr/>
          </xdr:nvGraphicFramePr>
          <xdr:xfrm>
            <a:off x="0" y="0"/>
            <a:ext cx="0" cy="0"/>
          </xdr:xfrm>
          <a:graphic>
            <a:graphicData uri="http://schemas.microsoft.com/office/drawing/2010/slicer">
              <sle:slicer xmlns:sle="http://schemas.microsoft.com/office/drawing/2010/slicer" name="Transaction_Type"/>
            </a:graphicData>
          </a:graphic>
        </xdr:graphicFrame>
      </mc:Choice>
      <mc:Fallback xmlns="">
        <xdr:sp macro="" textlink="">
          <xdr:nvSpPr>
            <xdr:cNvPr id="0" name=""/>
            <xdr:cNvSpPr>
              <a:spLocks noTextEdit="1"/>
            </xdr:cNvSpPr>
          </xdr:nvSpPr>
          <xdr:spPr>
            <a:xfrm>
              <a:off x="14293850" y="2241551"/>
              <a:ext cx="1828800" cy="145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44450</xdr:colOff>
      <xdr:row>0</xdr:row>
      <xdr:rowOff>120650</xdr:rowOff>
    </xdr:from>
    <xdr:to>
      <xdr:col>19</xdr:col>
      <xdr:colOff>146050</xdr:colOff>
      <xdr:row>3</xdr:row>
      <xdr:rowOff>88900</xdr:rowOff>
    </xdr:to>
    <xdr:sp macro="" textlink="">
      <xdr:nvSpPr>
        <xdr:cNvPr id="2" name="Rectangle 1">
          <a:extLst>
            <a:ext uri="{FF2B5EF4-FFF2-40B4-BE49-F238E27FC236}">
              <a16:creationId xmlns:a16="http://schemas.microsoft.com/office/drawing/2014/main" id="{85709B03-7508-0BEE-9CA7-ABA94D2C5071}"/>
            </a:ext>
          </a:extLst>
        </xdr:cNvPr>
        <xdr:cNvSpPr/>
      </xdr:nvSpPr>
      <xdr:spPr>
        <a:xfrm>
          <a:off x="44450" y="120650"/>
          <a:ext cx="11684000" cy="52070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800" b="1"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rPr>
            <a:t>                            FINANCIAL</a:t>
          </a:r>
          <a:r>
            <a:rPr lang="en-IN" sz="1800" b="1" cap="none" spc="0" baseline="0">
              <a:ln w="0"/>
              <a:solidFill>
                <a:schemeClr val="tx1"/>
              </a:solidFill>
              <a:effectLst>
                <a:outerShdw blurRad="38100" dist="19050" dir="2700000" algn="tl" rotWithShape="0">
                  <a:schemeClr val="dk1">
                    <a:alpha val="40000"/>
                  </a:schemeClr>
                </a:outerShdw>
              </a:effectLst>
              <a:latin typeface="Consolas" panose="020B0609020204030204" pitchFamily="49" charset="0"/>
            </a:rPr>
            <a:t> ANALYTICS DASHBOARD</a:t>
          </a:r>
          <a:endParaRPr lang="en-IN" sz="1800" b="1"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endParaRPr>
        </a:p>
      </xdr:txBody>
    </xdr:sp>
    <xdr:clientData/>
  </xdr:twoCellAnchor>
  <xdr:twoCellAnchor>
    <xdr:from>
      <xdr:col>0</xdr:col>
      <xdr:colOff>63500</xdr:colOff>
      <xdr:row>4</xdr:row>
      <xdr:rowOff>0</xdr:rowOff>
    </xdr:from>
    <xdr:to>
      <xdr:col>2</xdr:col>
      <xdr:colOff>590550</xdr:colOff>
      <xdr:row>8</xdr:row>
      <xdr:rowOff>44450</xdr:rowOff>
    </xdr:to>
    <xdr:sp macro="" textlink="">
      <xdr:nvSpPr>
        <xdr:cNvPr id="3" name="Rectangle 2">
          <a:extLst>
            <a:ext uri="{FF2B5EF4-FFF2-40B4-BE49-F238E27FC236}">
              <a16:creationId xmlns:a16="http://schemas.microsoft.com/office/drawing/2014/main" id="{7F203A75-C550-53FA-FECC-34E747147DBF}"/>
            </a:ext>
          </a:extLst>
        </xdr:cNvPr>
        <xdr:cNvSpPr/>
      </xdr:nvSpPr>
      <xdr:spPr>
        <a:xfrm>
          <a:off x="63500" y="736600"/>
          <a:ext cx="1746250" cy="781050"/>
        </a:xfrm>
        <a:prstGeom prst="rect">
          <a:avLst/>
        </a:prstGeom>
        <a:solidFill>
          <a:schemeClr val="bg1"/>
        </a:solidFill>
        <a:ln w="6350">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i="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rPr>
            <a:t> TOTAL NET AMOUNT</a:t>
          </a:r>
        </a:p>
      </xdr:txBody>
    </xdr:sp>
    <xdr:clientData/>
  </xdr:twoCellAnchor>
  <xdr:twoCellAnchor>
    <xdr:from>
      <xdr:col>3</xdr:col>
      <xdr:colOff>101600</xdr:colOff>
      <xdr:row>4</xdr:row>
      <xdr:rowOff>0</xdr:rowOff>
    </xdr:from>
    <xdr:to>
      <xdr:col>6</xdr:col>
      <xdr:colOff>19050</xdr:colOff>
      <xdr:row>8</xdr:row>
      <xdr:rowOff>44450</xdr:rowOff>
    </xdr:to>
    <xdr:sp macro="" textlink="">
      <xdr:nvSpPr>
        <xdr:cNvPr id="4" name="Rectangle 3">
          <a:extLst>
            <a:ext uri="{FF2B5EF4-FFF2-40B4-BE49-F238E27FC236}">
              <a16:creationId xmlns:a16="http://schemas.microsoft.com/office/drawing/2014/main" id="{C920B91D-DCB2-4043-A3C9-E213EE76FE4E}"/>
            </a:ext>
          </a:extLst>
        </xdr:cNvPr>
        <xdr:cNvSpPr/>
      </xdr:nvSpPr>
      <xdr:spPr>
        <a:xfrm>
          <a:off x="1930400" y="736600"/>
          <a:ext cx="1746250" cy="781050"/>
        </a:xfrm>
        <a:prstGeom prst="rect">
          <a:avLst/>
        </a:prstGeom>
        <a:solidFill>
          <a:sysClr val="window" lastClr="FFFFFF"/>
        </a:solidFill>
        <a:ln w="6350">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rPr>
            <a:t>NO OF TRANSACTION</a:t>
          </a:r>
        </a:p>
        <a:p>
          <a:pPr algn="l"/>
          <a:endParaRPr lang="en-IN" sz="12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endParaRPr>
        </a:p>
        <a:p>
          <a:pPr algn="l"/>
          <a:endParaRPr lang="en-IN" sz="12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endParaRPr>
        </a:p>
        <a:p>
          <a:pPr algn="l"/>
          <a:endParaRPr lang="en-IN" sz="12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endParaRPr>
        </a:p>
        <a:p>
          <a:pPr algn="l"/>
          <a:endParaRPr lang="en-IN" sz="12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endParaRPr>
        </a:p>
        <a:p>
          <a:pPr algn="l"/>
          <a:endParaRPr lang="en-IN" sz="12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endParaRPr>
        </a:p>
      </xdr:txBody>
    </xdr:sp>
    <xdr:clientData/>
  </xdr:twoCellAnchor>
  <xdr:twoCellAnchor>
    <xdr:from>
      <xdr:col>12</xdr:col>
      <xdr:colOff>131324</xdr:colOff>
      <xdr:row>3</xdr:row>
      <xdr:rowOff>161722</xdr:rowOff>
    </xdr:from>
    <xdr:to>
      <xdr:col>15</xdr:col>
      <xdr:colOff>48774</xdr:colOff>
      <xdr:row>8</xdr:row>
      <xdr:rowOff>23779</xdr:rowOff>
    </xdr:to>
    <xdr:sp macro="" textlink="">
      <xdr:nvSpPr>
        <xdr:cNvPr id="5" name="Rectangle 4">
          <a:extLst>
            <a:ext uri="{FF2B5EF4-FFF2-40B4-BE49-F238E27FC236}">
              <a16:creationId xmlns:a16="http://schemas.microsoft.com/office/drawing/2014/main" id="{F24A7995-BF5B-4DEA-83FA-0CFCA519D3F8}"/>
            </a:ext>
          </a:extLst>
        </xdr:cNvPr>
        <xdr:cNvSpPr/>
      </xdr:nvSpPr>
      <xdr:spPr>
        <a:xfrm>
          <a:off x="7427069" y="708903"/>
          <a:ext cx="1741386" cy="774025"/>
        </a:xfrm>
        <a:prstGeom prst="rect">
          <a:avLst/>
        </a:prstGeom>
        <a:solidFill>
          <a:sysClr val="window" lastClr="FFFFFF"/>
        </a:solidFill>
        <a:ln w="6350">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rPr>
            <a:t>   CREDIT SCORE</a:t>
          </a:r>
        </a:p>
      </xdr:txBody>
    </xdr:sp>
    <xdr:clientData/>
  </xdr:twoCellAnchor>
  <xdr:twoCellAnchor>
    <xdr:from>
      <xdr:col>9</xdr:col>
      <xdr:colOff>139295</xdr:colOff>
      <xdr:row>3</xdr:row>
      <xdr:rowOff>168071</xdr:rowOff>
    </xdr:from>
    <xdr:to>
      <xdr:col>12</xdr:col>
      <xdr:colOff>56745</xdr:colOff>
      <xdr:row>8</xdr:row>
      <xdr:rowOff>30128</xdr:rowOff>
    </xdr:to>
    <xdr:sp macro="" textlink="">
      <xdr:nvSpPr>
        <xdr:cNvPr id="6" name="Rectangle 5">
          <a:extLst>
            <a:ext uri="{FF2B5EF4-FFF2-40B4-BE49-F238E27FC236}">
              <a16:creationId xmlns:a16="http://schemas.microsoft.com/office/drawing/2014/main" id="{E2D0F330-4351-4EDB-934C-3A07DFD107A2}"/>
            </a:ext>
          </a:extLst>
        </xdr:cNvPr>
        <xdr:cNvSpPr/>
      </xdr:nvSpPr>
      <xdr:spPr>
        <a:xfrm>
          <a:off x="5611104" y="715252"/>
          <a:ext cx="1741386" cy="774025"/>
        </a:xfrm>
        <a:prstGeom prst="rect">
          <a:avLst/>
        </a:prstGeom>
        <a:solidFill>
          <a:sysClr val="window" lastClr="FFFFFF"/>
        </a:solidFill>
        <a:ln w="6350">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rPr>
            <a:t> ACCOUNT BALANCE</a:t>
          </a:r>
        </a:p>
      </xdr:txBody>
    </xdr:sp>
    <xdr:clientData/>
  </xdr:twoCellAnchor>
  <xdr:twoCellAnchor>
    <xdr:from>
      <xdr:col>6</xdr:col>
      <xdr:colOff>140084</xdr:colOff>
      <xdr:row>3</xdr:row>
      <xdr:rowOff>181917</xdr:rowOff>
    </xdr:from>
    <xdr:to>
      <xdr:col>9</xdr:col>
      <xdr:colOff>57534</xdr:colOff>
      <xdr:row>8</xdr:row>
      <xdr:rowOff>43974</xdr:rowOff>
    </xdr:to>
    <xdr:sp macro="" textlink="">
      <xdr:nvSpPr>
        <xdr:cNvPr id="7" name="Rectangle 6">
          <a:extLst>
            <a:ext uri="{FF2B5EF4-FFF2-40B4-BE49-F238E27FC236}">
              <a16:creationId xmlns:a16="http://schemas.microsoft.com/office/drawing/2014/main" id="{789422B3-441F-4C25-9737-D54DC19AD66D}"/>
            </a:ext>
          </a:extLst>
        </xdr:cNvPr>
        <xdr:cNvSpPr/>
      </xdr:nvSpPr>
      <xdr:spPr>
        <a:xfrm>
          <a:off x="3789663" y="743391"/>
          <a:ext cx="1742239" cy="797846"/>
        </a:xfrm>
        <a:prstGeom prst="rect">
          <a:avLst/>
        </a:prstGeom>
        <a:solidFill>
          <a:sysClr val="window" lastClr="FFFFFF"/>
        </a:solidFill>
        <a:ln w="6350">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rPr>
            <a:t>  TOTAL DEPOSIT</a:t>
          </a:r>
        </a:p>
      </xdr:txBody>
    </xdr:sp>
    <xdr:clientData/>
  </xdr:twoCellAnchor>
  <xdr:twoCellAnchor>
    <xdr:from>
      <xdr:col>1</xdr:col>
      <xdr:colOff>39451</xdr:colOff>
      <xdr:row>5</xdr:row>
      <xdr:rowOff>110246</xdr:rowOff>
    </xdr:from>
    <xdr:to>
      <xdr:col>2</xdr:col>
      <xdr:colOff>364787</xdr:colOff>
      <xdr:row>7</xdr:row>
      <xdr:rowOff>27696</xdr:rowOff>
    </xdr:to>
    <xdr:sp macro="" textlink="'pivot table'!N5">
      <xdr:nvSpPr>
        <xdr:cNvPr id="8" name="TextBox 7">
          <a:extLst>
            <a:ext uri="{FF2B5EF4-FFF2-40B4-BE49-F238E27FC236}">
              <a16:creationId xmlns:a16="http://schemas.microsoft.com/office/drawing/2014/main" id="{ABD9CB67-B4B1-AB23-5284-E7F9F5945046}"/>
            </a:ext>
          </a:extLst>
        </xdr:cNvPr>
        <xdr:cNvSpPr txBox="1"/>
      </xdr:nvSpPr>
      <xdr:spPr>
        <a:xfrm>
          <a:off x="647430" y="1022214"/>
          <a:ext cx="933314" cy="2822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A33887-948E-4C8A-AE05-4FCFF129453A}" type="TxLink">
            <a:rPr lang="en-US" sz="1400" b="1" i="0" u="none" strike="noStrike">
              <a:solidFill>
                <a:srgbClr val="000000"/>
              </a:solidFill>
              <a:latin typeface="Calibri"/>
              <a:ea typeface="Calibri"/>
              <a:cs typeface="Calibri"/>
            </a:rPr>
            <a:pPr/>
            <a:t>99919153.31</a:t>
          </a:fld>
          <a:endParaRPr lang="en-IN" sz="1400" b="1"/>
        </a:p>
      </xdr:txBody>
    </xdr:sp>
    <xdr:clientData/>
  </xdr:twoCellAnchor>
  <xdr:twoCellAnchor>
    <xdr:from>
      <xdr:col>4</xdr:col>
      <xdr:colOff>336009</xdr:colOff>
      <xdr:row>5</xdr:row>
      <xdr:rowOff>97142</xdr:rowOff>
    </xdr:from>
    <xdr:to>
      <xdr:col>5</xdr:col>
      <xdr:colOff>358031</xdr:colOff>
      <xdr:row>7</xdr:row>
      <xdr:rowOff>14592</xdr:rowOff>
    </xdr:to>
    <xdr:sp macro="" textlink="'pivot table'!N6">
      <xdr:nvSpPr>
        <xdr:cNvPr id="10" name="TextBox 9">
          <a:extLst>
            <a:ext uri="{FF2B5EF4-FFF2-40B4-BE49-F238E27FC236}">
              <a16:creationId xmlns:a16="http://schemas.microsoft.com/office/drawing/2014/main" id="{1AE7D144-B516-48F2-BD21-228296765C8D}"/>
            </a:ext>
          </a:extLst>
        </xdr:cNvPr>
        <xdr:cNvSpPr txBox="1"/>
      </xdr:nvSpPr>
      <xdr:spPr>
        <a:xfrm>
          <a:off x="2767924" y="1009110"/>
          <a:ext cx="630001" cy="2822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EBD865-69A3-4B7B-8994-258DE7ECC48D}" type="TxLink">
            <a:rPr lang="en-US" sz="1400" b="1" i="0" u="none" strike="noStrike">
              <a:solidFill>
                <a:srgbClr val="000000"/>
              </a:solidFill>
              <a:latin typeface="Calibri"/>
              <a:ea typeface="Calibri"/>
              <a:cs typeface="Calibri"/>
            </a:rPr>
            <a:pPr/>
            <a:t>1000</a:t>
          </a:fld>
          <a:endParaRPr lang="en-IN" sz="1400" b="1"/>
        </a:p>
      </xdr:txBody>
    </xdr:sp>
    <xdr:clientData/>
  </xdr:twoCellAnchor>
  <xdr:twoCellAnchor>
    <xdr:from>
      <xdr:col>7</xdr:col>
      <xdr:colOff>66201</xdr:colOff>
      <xdr:row>5</xdr:row>
      <xdr:rowOff>168072</xdr:rowOff>
    </xdr:from>
    <xdr:to>
      <xdr:col>8</xdr:col>
      <xdr:colOff>514350</xdr:colOff>
      <xdr:row>7</xdr:row>
      <xdr:rowOff>87278</xdr:rowOff>
    </xdr:to>
    <xdr:sp macro="" textlink="'pivot table'!N7">
      <xdr:nvSpPr>
        <xdr:cNvPr id="11" name="TextBox 10">
          <a:extLst>
            <a:ext uri="{FF2B5EF4-FFF2-40B4-BE49-F238E27FC236}">
              <a16:creationId xmlns:a16="http://schemas.microsoft.com/office/drawing/2014/main" id="{3E12C1E9-2CE9-4C06-A193-11828EE44CB9}"/>
            </a:ext>
          </a:extLst>
        </xdr:cNvPr>
        <xdr:cNvSpPr txBox="1"/>
      </xdr:nvSpPr>
      <xdr:spPr>
        <a:xfrm>
          <a:off x="4333401" y="1088822"/>
          <a:ext cx="1057749" cy="2875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BBEB91-B3F3-456F-AB14-59FE9F4C1A3A}" type="TxLink">
            <a:rPr lang="en-US" sz="1400" b="1" i="0" u="none" strike="noStrike">
              <a:solidFill>
                <a:srgbClr val="000000"/>
              </a:solidFill>
              <a:latin typeface="Calibri"/>
              <a:ea typeface="Calibri"/>
              <a:cs typeface="Calibri"/>
            </a:rPr>
            <a:pPr/>
            <a:t>22850021.21</a:t>
          </a:fld>
          <a:endParaRPr lang="en-IN" sz="1400" b="1"/>
        </a:p>
      </xdr:txBody>
    </xdr:sp>
    <xdr:clientData/>
  </xdr:twoCellAnchor>
  <xdr:twoCellAnchor>
    <xdr:from>
      <xdr:col>13</xdr:col>
      <xdr:colOff>324256</xdr:colOff>
      <xdr:row>5</xdr:row>
      <xdr:rowOff>81062</xdr:rowOff>
    </xdr:from>
    <xdr:to>
      <xdr:col>14</xdr:col>
      <xdr:colOff>189149</xdr:colOff>
      <xdr:row>7</xdr:row>
      <xdr:rowOff>6754</xdr:rowOff>
    </xdr:to>
    <xdr:sp macro="" textlink="'pivot table'!N9">
      <xdr:nvSpPr>
        <xdr:cNvPr id="14" name="TextBox 13">
          <a:extLst>
            <a:ext uri="{FF2B5EF4-FFF2-40B4-BE49-F238E27FC236}">
              <a16:creationId xmlns:a16="http://schemas.microsoft.com/office/drawing/2014/main" id="{CAA94AB2-306C-4879-8755-21CDAA1A31B9}"/>
            </a:ext>
          </a:extLst>
        </xdr:cNvPr>
        <xdr:cNvSpPr txBox="1"/>
      </xdr:nvSpPr>
      <xdr:spPr>
        <a:xfrm>
          <a:off x="8227979" y="993030"/>
          <a:ext cx="472872" cy="290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A54193-84EB-4885-88B0-41EA3B18BFF2}" type="TxLink">
            <a:rPr lang="en-US" sz="1400" b="1" i="0" u="none" strike="noStrike">
              <a:solidFill>
                <a:srgbClr val="000000"/>
              </a:solidFill>
              <a:latin typeface="Calibri"/>
              <a:ea typeface="Calibri"/>
              <a:cs typeface="Calibri"/>
            </a:rPr>
            <a:pPr/>
            <a:t>607.704</a:t>
          </a:fld>
          <a:endParaRPr lang="en-IN" sz="1400" b="1"/>
        </a:p>
      </xdr:txBody>
    </xdr:sp>
    <xdr:clientData/>
  </xdr:twoCellAnchor>
  <xdr:twoCellAnchor>
    <xdr:from>
      <xdr:col>15</xdr:col>
      <xdr:colOff>158750</xdr:colOff>
      <xdr:row>4</xdr:row>
      <xdr:rowOff>0</xdr:rowOff>
    </xdr:from>
    <xdr:to>
      <xdr:col>19</xdr:col>
      <xdr:colOff>146050</xdr:colOff>
      <xdr:row>8</xdr:row>
      <xdr:rowOff>60798</xdr:rowOff>
    </xdr:to>
    <xdr:sp macro="" textlink="">
      <xdr:nvSpPr>
        <xdr:cNvPr id="9" name="Rectangle 8">
          <a:extLst>
            <a:ext uri="{FF2B5EF4-FFF2-40B4-BE49-F238E27FC236}">
              <a16:creationId xmlns:a16="http://schemas.microsoft.com/office/drawing/2014/main" id="{5D7C9ED6-AC62-FDFB-7D65-52D374FF82C5}"/>
            </a:ext>
          </a:extLst>
        </xdr:cNvPr>
        <xdr:cNvSpPr/>
      </xdr:nvSpPr>
      <xdr:spPr>
        <a:xfrm>
          <a:off x="9278431" y="729574"/>
          <a:ext cx="2419215" cy="790373"/>
        </a:xfrm>
        <a:prstGeom prst="rect">
          <a:avLst/>
        </a:prstGeom>
        <a:solidFill>
          <a:sysClr val="window" lastClr="FFFFFF"/>
        </a:solidFill>
        <a:ln w="9525">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177800</xdr:colOff>
      <xdr:row>8</xdr:row>
      <xdr:rowOff>134971</xdr:rowOff>
    </xdr:from>
    <xdr:to>
      <xdr:col>19</xdr:col>
      <xdr:colOff>165100</xdr:colOff>
      <xdr:row>20</xdr:row>
      <xdr:rowOff>128352</xdr:rowOff>
    </xdr:to>
    <xdr:sp macro="" textlink="">
      <xdr:nvSpPr>
        <xdr:cNvPr id="12" name="Rectangle 11">
          <a:extLst>
            <a:ext uri="{FF2B5EF4-FFF2-40B4-BE49-F238E27FC236}">
              <a16:creationId xmlns:a16="http://schemas.microsoft.com/office/drawing/2014/main" id="{83AFBF4F-B836-4FB0-AB65-62712CA786D3}"/>
            </a:ext>
          </a:extLst>
        </xdr:cNvPr>
        <xdr:cNvSpPr/>
      </xdr:nvSpPr>
      <xdr:spPr>
        <a:xfrm>
          <a:off x="9297481" y="1594120"/>
          <a:ext cx="2419215" cy="2182104"/>
        </a:xfrm>
        <a:prstGeom prst="rect">
          <a:avLst/>
        </a:prstGeom>
        <a:solidFill>
          <a:schemeClr val="bg1"/>
        </a:solidFill>
        <a:ln w="9525">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0</xdr:colOff>
      <xdr:row>16</xdr:row>
      <xdr:rowOff>0</xdr:rowOff>
    </xdr:from>
    <xdr:to>
      <xdr:col>18</xdr:col>
      <xdr:colOff>6350</xdr:colOff>
      <xdr:row>17</xdr:row>
      <xdr:rowOff>6350</xdr:rowOff>
    </xdr:to>
    <xdr:pic>
      <xdr:nvPicPr>
        <xdr:cNvPr id="15" name="Picture 14">
          <a:extLst>
            <a:ext uri="{FF2B5EF4-FFF2-40B4-BE49-F238E27FC236}">
              <a16:creationId xmlns:a16="http://schemas.microsoft.com/office/drawing/2014/main" id="{800DD929-B119-6016-C3C7-4DB260C3C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63200" y="2946400"/>
          <a:ext cx="6159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180421</xdr:colOff>
      <xdr:row>21</xdr:row>
      <xdr:rowOff>17191</xdr:rowOff>
    </xdr:from>
    <xdr:to>
      <xdr:col>19</xdr:col>
      <xdr:colOff>167721</xdr:colOff>
      <xdr:row>26</xdr:row>
      <xdr:rowOff>29890</xdr:rowOff>
    </xdr:to>
    <xdr:sp macro="" textlink="">
      <xdr:nvSpPr>
        <xdr:cNvPr id="16" name="Rectangle 15">
          <a:extLst>
            <a:ext uri="{FF2B5EF4-FFF2-40B4-BE49-F238E27FC236}">
              <a16:creationId xmlns:a16="http://schemas.microsoft.com/office/drawing/2014/main" id="{C0CB7FAD-81B0-459C-AF43-1C1722A8808F}"/>
            </a:ext>
          </a:extLst>
        </xdr:cNvPr>
        <xdr:cNvSpPr/>
      </xdr:nvSpPr>
      <xdr:spPr>
        <a:xfrm>
          <a:off x="9300102" y="3847457"/>
          <a:ext cx="2419215" cy="924667"/>
        </a:xfrm>
        <a:prstGeom prst="rect">
          <a:avLst/>
        </a:prstGeom>
        <a:solidFill>
          <a:schemeClr val="bg1"/>
        </a:solidFill>
        <a:ln w="9525">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198769</xdr:colOff>
      <xdr:row>26</xdr:row>
      <xdr:rowOff>101331</xdr:rowOff>
    </xdr:from>
    <xdr:to>
      <xdr:col>19</xdr:col>
      <xdr:colOff>186069</xdr:colOff>
      <xdr:row>33</xdr:row>
      <xdr:rowOff>34777</xdr:rowOff>
    </xdr:to>
    <xdr:sp macro="" textlink="">
      <xdr:nvSpPr>
        <xdr:cNvPr id="17" name="Rectangle 16">
          <a:extLst>
            <a:ext uri="{FF2B5EF4-FFF2-40B4-BE49-F238E27FC236}">
              <a16:creationId xmlns:a16="http://schemas.microsoft.com/office/drawing/2014/main" id="{3CA8971C-E7CE-4B66-A040-7F1F70A85516}"/>
            </a:ext>
          </a:extLst>
        </xdr:cNvPr>
        <xdr:cNvSpPr/>
      </xdr:nvSpPr>
      <xdr:spPr>
        <a:xfrm>
          <a:off x="9318450" y="4843565"/>
          <a:ext cx="2419215" cy="1210201"/>
        </a:xfrm>
        <a:prstGeom prst="rect">
          <a:avLst/>
        </a:prstGeom>
        <a:solidFill>
          <a:schemeClr val="bg1"/>
        </a:solidFill>
        <a:ln w="6350">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210766</xdr:colOff>
      <xdr:row>33</xdr:row>
      <xdr:rowOff>101330</xdr:rowOff>
    </xdr:from>
    <xdr:to>
      <xdr:col>19</xdr:col>
      <xdr:colOff>198066</xdr:colOff>
      <xdr:row>39</xdr:row>
      <xdr:rowOff>74309</xdr:rowOff>
    </xdr:to>
    <xdr:sp macro="" textlink="">
      <xdr:nvSpPr>
        <xdr:cNvPr id="18" name="Rectangle 17">
          <a:extLst>
            <a:ext uri="{FF2B5EF4-FFF2-40B4-BE49-F238E27FC236}">
              <a16:creationId xmlns:a16="http://schemas.microsoft.com/office/drawing/2014/main" id="{37F59A59-278A-4C6F-8A8D-8DB574BE91F9}"/>
            </a:ext>
          </a:extLst>
        </xdr:cNvPr>
        <xdr:cNvSpPr/>
      </xdr:nvSpPr>
      <xdr:spPr>
        <a:xfrm>
          <a:off x="9330447" y="6120319"/>
          <a:ext cx="2419215" cy="1067341"/>
        </a:xfrm>
        <a:prstGeom prst="rect">
          <a:avLst/>
        </a:prstGeom>
        <a:solidFill>
          <a:schemeClr val="bg1"/>
        </a:solidFill>
        <a:ln w="6350">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8</xdr:row>
      <xdr:rowOff>107950</xdr:rowOff>
    </xdr:from>
    <xdr:to>
      <xdr:col>15</xdr:col>
      <xdr:colOff>101600</xdr:colOff>
      <xdr:row>25</xdr:row>
      <xdr:rowOff>114300</xdr:rowOff>
    </xdr:to>
    <xdr:sp macro="" textlink="">
      <xdr:nvSpPr>
        <xdr:cNvPr id="19" name="Rectangle 18">
          <a:extLst>
            <a:ext uri="{FF2B5EF4-FFF2-40B4-BE49-F238E27FC236}">
              <a16:creationId xmlns:a16="http://schemas.microsoft.com/office/drawing/2014/main" id="{55573E7D-BD72-7552-6E12-B22D0EFE6285}"/>
            </a:ext>
          </a:extLst>
        </xdr:cNvPr>
        <xdr:cNvSpPr/>
      </xdr:nvSpPr>
      <xdr:spPr>
        <a:xfrm>
          <a:off x="57150" y="1581150"/>
          <a:ext cx="9188450" cy="3136900"/>
        </a:xfrm>
        <a:prstGeom prst="rect">
          <a:avLst/>
        </a:prstGeom>
        <a:noFill/>
        <a:ln w="12700">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263457</xdr:colOff>
      <xdr:row>11</xdr:row>
      <xdr:rowOff>108085</xdr:rowOff>
    </xdr:from>
    <xdr:to>
      <xdr:col>14</xdr:col>
      <xdr:colOff>594468</xdr:colOff>
      <xdr:row>25</xdr:row>
      <xdr:rowOff>44450</xdr:rowOff>
    </xdr:to>
    <xdr:graphicFrame macro="">
      <xdr:nvGraphicFramePr>
        <xdr:cNvPr id="22" name="Chart 21">
          <a:extLst>
            <a:ext uri="{FF2B5EF4-FFF2-40B4-BE49-F238E27FC236}">
              <a16:creationId xmlns:a16="http://schemas.microsoft.com/office/drawing/2014/main" id="{6AA1DB4F-932D-441B-A505-3A5CCBE8E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89710</xdr:colOff>
      <xdr:row>39</xdr:row>
      <xdr:rowOff>141051</xdr:rowOff>
    </xdr:from>
    <xdr:to>
      <xdr:col>6</xdr:col>
      <xdr:colOff>216170</xdr:colOff>
      <xdr:row>53</xdr:row>
      <xdr:rowOff>41207</xdr:rowOff>
    </xdr:to>
    <xdr:sp macro="" textlink="">
      <xdr:nvSpPr>
        <xdr:cNvPr id="25" name="Rectangle 24">
          <a:extLst>
            <a:ext uri="{FF2B5EF4-FFF2-40B4-BE49-F238E27FC236}">
              <a16:creationId xmlns:a16="http://schemas.microsoft.com/office/drawing/2014/main" id="{7DFEDB44-A376-91EB-9F24-8B1EFCD2CFCE}"/>
            </a:ext>
          </a:extLst>
        </xdr:cNvPr>
        <xdr:cNvSpPr/>
      </xdr:nvSpPr>
      <xdr:spPr>
        <a:xfrm>
          <a:off x="89710" y="7254402"/>
          <a:ext cx="3774332" cy="2453667"/>
        </a:xfrm>
        <a:prstGeom prst="rect">
          <a:avLst/>
        </a:prstGeom>
        <a:solidFill>
          <a:schemeClr val="bg1"/>
        </a:solidFill>
        <a:ln w="6350">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284399</xdr:colOff>
      <xdr:row>39</xdr:row>
      <xdr:rowOff>147806</xdr:rowOff>
    </xdr:from>
    <xdr:to>
      <xdr:col>13</xdr:col>
      <xdr:colOff>0</xdr:colOff>
      <xdr:row>53</xdr:row>
      <xdr:rowOff>41612</xdr:rowOff>
    </xdr:to>
    <xdr:sp macro="" textlink="">
      <xdr:nvSpPr>
        <xdr:cNvPr id="26" name="Rectangle 25">
          <a:extLst>
            <a:ext uri="{FF2B5EF4-FFF2-40B4-BE49-F238E27FC236}">
              <a16:creationId xmlns:a16="http://schemas.microsoft.com/office/drawing/2014/main" id="{48D25834-DB24-A1C5-239B-B0B411C3DC78}"/>
            </a:ext>
          </a:extLst>
        </xdr:cNvPr>
        <xdr:cNvSpPr/>
      </xdr:nvSpPr>
      <xdr:spPr>
        <a:xfrm>
          <a:off x="3932271" y="7261157"/>
          <a:ext cx="3971452" cy="2447317"/>
        </a:xfrm>
        <a:prstGeom prst="rect">
          <a:avLst/>
        </a:prstGeom>
        <a:solidFill>
          <a:schemeClr val="bg1"/>
        </a:solidFill>
        <a:ln w="6350">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74309</xdr:colOff>
      <xdr:row>8</xdr:row>
      <xdr:rowOff>128352</xdr:rowOff>
    </xdr:from>
    <xdr:to>
      <xdr:col>15</xdr:col>
      <xdr:colOff>81063</xdr:colOff>
      <xdr:row>11</xdr:row>
      <xdr:rowOff>20266</xdr:rowOff>
    </xdr:to>
    <xdr:sp macro="" textlink="">
      <xdr:nvSpPr>
        <xdr:cNvPr id="27" name="TextBox 26">
          <a:extLst>
            <a:ext uri="{FF2B5EF4-FFF2-40B4-BE49-F238E27FC236}">
              <a16:creationId xmlns:a16="http://schemas.microsoft.com/office/drawing/2014/main" id="{D12D56B5-C3C9-2BD2-11C0-B5DD8BFCF65E}"/>
            </a:ext>
          </a:extLst>
        </xdr:cNvPr>
        <xdr:cNvSpPr txBox="1"/>
      </xdr:nvSpPr>
      <xdr:spPr>
        <a:xfrm>
          <a:off x="74309" y="1587501"/>
          <a:ext cx="9126435" cy="439095"/>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r>
            <a:rPr lang="en-IN" sz="1800" b="1">
              <a:latin typeface="Consolas" panose="020B0609020204030204" pitchFamily="49" charset="0"/>
            </a:rPr>
            <a:t>                       MONTHLY</a:t>
          </a:r>
          <a:r>
            <a:rPr lang="en-IN" sz="1800" b="1" baseline="0">
              <a:latin typeface="Consolas" panose="020B0609020204030204" pitchFamily="49" charset="0"/>
            </a:rPr>
            <a:t> TRANSACTION DISTRIBUTION</a:t>
          </a:r>
          <a:endParaRPr lang="en-IN" sz="1800" b="1">
            <a:latin typeface="Consolas" panose="020B0609020204030204" pitchFamily="49" charset="0"/>
          </a:endParaRPr>
        </a:p>
      </xdr:txBody>
    </xdr:sp>
    <xdr:clientData/>
  </xdr:twoCellAnchor>
  <xdr:twoCellAnchor editAs="oneCell">
    <xdr:from>
      <xdr:col>15</xdr:col>
      <xdr:colOff>195634</xdr:colOff>
      <xdr:row>4</xdr:row>
      <xdr:rowOff>57420</xdr:rowOff>
    </xdr:from>
    <xdr:to>
      <xdr:col>19</xdr:col>
      <xdr:colOff>68634</xdr:colOff>
      <xdr:row>7</xdr:row>
      <xdr:rowOff>168883</xdr:rowOff>
    </xdr:to>
    <mc:AlternateContent xmlns:mc="http://schemas.openxmlformats.org/markup-compatibility/2006" xmlns:a14="http://schemas.microsoft.com/office/drawing/2010/main">
      <mc:Choice Requires="a14">
        <xdr:graphicFrame macro="">
          <xdr:nvGraphicFramePr>
            <xdr:cNvPr id="28" name="Account_Type 1">
              <a:extLst>
                <a:ext uri="{FF2B5EF4-FFF2-40B4-BE49-F238E27FC236}">
                  <a16:creationId xmlns:a16="http://schemas.microsoft.com/office/drawing/2014/main" id="{A8A00DF0-2752-482B-9604-72058379C5CB}"/>
                </a:ext>
              </a:extLst>
            </xdr:cNvPr>
            <xdr:cNvGraphicFramePr/>
          </xdr:nvGraphicFramePr>
          <xdr:xfrm>
            <a:off x="0" y="0"/>
            <a:ext cx="0" cy="0"/>
          </xdr:xfrm>
          <a:graphic>
            <a:graphicData uri="http://schemas.microsoft.com/office/drawing/2010/slicer">
              <sle:slicer xmlns:sle="http://schemas.microsoft.com/office/drawing/2010/slicer" name="Account_Type 1"/>
            </a:graphicData>
          </a:graphic>
        </xdr:graphicFrame>
      </mc:Choice>
      <mc:Fallback xmlns="">
        <xdr:sp macro="" textlink="">
          <xdr:nvSpPr>
            <xdr:cNvPr id="0" name=""/>
            <xdr:cNvSpPr>
              <a:spLocks noTextEdit="1"/>
            </xdr:cNvSpPr>
          </xdr:nvSpPr>
          <xdr:spPr>
            <a:xfrm>
              <a:off x="9315315" y="786994"/>
              <a:ext cx="2304915" cy="658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196444</xdr:colOff>
      <xdr:row>9</xdr:row>
      <xdr:rowOff>11350</xdr:rowOff>
    </xdr:from>
    <xdr:to>
      <xdr:col>19</xdr:col>
      <xdr:colOff>113894</xdr:colOff>
      <xdr:row>20</xdr:row>
      <xdr:rowOff>40533</xdr:rowOff>
    </xdr:to>
    <mc:AlternateContent xmlns:mc="http://schemas.openxmlformats.org/markup-compatibility/2006" xmlns:a14="http://schemas.microsoft.com/office/drawing/2010/main">
      <mc:Choice Requires="a14">
        <xdr:graphicFrame macro="">
          <xdr:nvGraphicFramePr>
            <xdr:cNvPr id="29" name="month 1">
              <a:extLst>
                <a:ext uri="{FF2B5EF4-FFF2-40B4-BE49-F238E27FC236}">
                  <a16:creationId xmlns:a16="http://schemas.microsoft.com/office/drawing/2014/main" id="{C1CAC8FA-D645-4542-8CD9-8709C6EF653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316125" y="1652893"/>
              <a:ext cx="2349365" cy="2035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218199</xdr:colOff>
      <xdr:row>21</xdr:row>
      <xdr:rowOff>43509</xdr:rowOff>
    </xdr:from>
    <xdr:to>
      <xdr:col>19</xdr:col>
      <xdr:colOff>110249</xdr:colOff>
      <xdr:row>25</xdr:row>
      <xdr:rowOff>181452</xdr:rowOff>
    </xdr:to>
    <mc:AlternateContent xmlns:mc="http://schemas.openxmlformats.org/markup-compatibility/2006" xmlns:a14="http://schemas.microsoft.com/office/drawing/2010/main">
      <mc:Choice Requires="a14">
        <xdr:graphicFrame macro="">
          <xdr:nvGraphicFramePr>
            <xdr:cNvPr id="30" name="Transaction_Type 1">
              <a:extLst>
                <a:ext uri="{FF2B5EF4-FFF2-40B4-BE49-F238E27FC236}">
                  <a16:creationId xmlns:a16="http://schemas.microsoft.com/office/drawing/2014/main" id="{F0F8C2BF-EA80-4565-A122-8D0FA37039D8}"/>
                </a:ext>
              </a:extLst>
            </xdr:cNvPr>
            <xdr:cNvGraphicFramePr/>
          </xdr:nvGraphicFramePr>
          <xdr:xfrm>
            <a:off x="0" y="0"/>
            <a:ext cx="0" cy="0"/>
          </xdr:xfrm>
          <a:graphic>
            <a:graphicData uri="http://schemas.microsoft.com/office/drawing/2010/slicer">
              <sle:slicer xmlns:sle="http://schemas.microsoft.com/office/drawing/2010/slicer" name="Transaction_Type 1"/>
            </a:graphicData>
          </a:graphic>
        </xdr:graphicFrame>
      </mc:Choice>
      <mc:Fallback xmlns="">
        <xdr:sp macro="" textlink="">
          <xdr:nvSpPr>
            <xdr:cNvPr id="0" name=""/>
            <xdr:cNvSpPr>
              <a:spLocks noTextEdit="1"/>
            </xdr:cNvSpPr>
          </xdr:nvSpPr>
          <xdr:spPr>
            <a:xfrm>
              <a:off x="9337880" y="3873775"/>
              <a:ext cx="2323965" cy="867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60798</xdr:colOff>
      <xdr:row>25</xdr:row>
      <xdr:rowOff>175639</xdr:rowOff>
    </xdr:from>
    <xdr:to>
      <xdr:col>7</xdr:col>
      <xdr:colOff>340198</xdr:colOff>
      <xdr:row>39</xdr:row>
      <xdr:rowOff>75795</xdr:rowOff>
    </xdr:to>
    <xdr:sp macro="" textlink="">
      <xdr:nvSpPr>
        <xdr:cNvPr id="31" name="Rectangle 30">
          <a:extLst>
            <a:ext uri="{FF2B5EF4-FFF2-40B4-BE49-F238E27FC236}">
              <a16:creationId xmlns:a16="http://schemas.microsoft.com/office/drawing/2014/main" id="{C18FB31E-040D-4853-AB11-01DE7D1DC558}"/>
            </a:ext>
          </a:extLst>
        </xdr:cNvPr>
        <xdr:cNvSpPr/>
      </xdr:nvSpPr>
      <xdr:spPr>
        <a:xfrm>
          <a:off x="60798" y="4735479"/>
          <a:ext cx="4535251" cy="2453667"/>
        </a:xfrm>
        <a:prstGeom prst="rect">
          <a:avLst/>
        </a:prstGeom>
        <a:solidFill>
          <a:schemeClr val="bg1"/>
        </a:solidFill>
        <a:ln w="6350">
          <a:solidFill>
            <a:schemeClr val="accent6">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422613</xdr:colOff>
      <xdr:row>25</xdr:row>
      <xdr:rowOff>172666</xdr:rowOff>
    </xdr:from>
    <xdr:to>
      <xdr:col>15</xdr:col>
      <xdr:colOff>94034</xdr:colOff>
      <xdr:row>39</xdr:row>
      <xdr:rowOff>72822</xdr:rowOff>
    </xdr:to>
    <xdr:sp macro="" textlink="">
      <xdr:nvSpPr>
        <xdr:cNvPr id="32" name="Rectangle 31">
          <a:extLst>
            <a:ext uri="{FF2B5EF4-FFF2-40B4-BE49-F238E27FC236}">
              <a16:creationId xmlns:a16="http://schemas.microsoft.com/office/drawing/2014/main" id="{BE7B4C48-CDB6-4B4E-A8FC-7D2952081AE6}"/>
            </a:ext>
          </a:extLst>
        </xdr:cNvPr>
        <xdr:cNvSpPr/>
      </xdr:nvSpPr>
      <xdr:spPr>
        <a:xfrm>
          <a:off x="4678464" y="4732506"/>
          <a:ext cx="4535251" cy="2453667"/>
        </a:xfrm>
        <a:prstGeom prst="rect">
          <a:avLst/>
        </a:prstGeom>
        <a:solidFill>
          <a:schemeClr val="bg1"/>
        </a:solidFill>
        <a:ln w="6350">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81065</xdr:colOff>
      <xdr:row>39</xdr:row>
      <xdr:rowOff>155374</xdr:rowOff>
    </xdr:from>
    <xdr:to>
      <xdr:col>19</xdr:col>
      <xdr:colOff>222926</xdr:colOff>
      <xdr:row>53</xdr:row>
      <xdr:rowOff>40533</xdr:rowOff>
    </xdr:to>
    <xdr:sp macro="" textlink="">
      <xdr:nvSpPr>
        <xdr:cNvPr id="33" name="Rectangle 32">
          <a:extLst>
            <a:ext uri="{FF2B5EF4-FFF2-40B4-BE49-F238E27FC236}">
              <a16:creationId xmlns:a16="http://schemas.microsoft.com/office/drawing/2014/main" id="{5D52AE35-4902-49C9-A0E6-B982B2AAFDAC}"/>
            </a:ext>
          </a:extLst>
        </xdr:cNvPr>
        <xdr:cNvSpPr/>
      </xdr:nvSpPr>
      <xdr:spPr>
        <a:xfrm>
          <a:off x="7984788" y="7268725"/>
          <a:ext cx="3789734" cy="2438670"/>
        </a:xfrm>
        <a:prstGeom prst="rect">
          <a:avLst/>
        </a:prstGeom>
        <a:solidFill>
          <a:schemeClr val="bg1"/>
        </a:solidFill>
        <a:ln w="6350">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87819</xdr:colOff>
      <xdr:row>25</xdr:row>
      <xdr:rowOff>175640</xdr:rowOff>
    </xdr:from>
    <xdr:to>
      <xdr:col>7</xdr:col>
      <xdr:colOff>331011</xdr:colOff>
      <xdr:row>28</xdr:row>
      <xdr:rowOff>6757</xdr:rowOff>
    </xdr:to>
    <xdr:sp macro="" textlink="">
      <xdr:nvSpPr>
        <xdr:cNvPr id="34" name="Rectangle 33">
          <a:extLst>
            <a:ext uri="{FF2B5EF4-FFF2-40B4-BE49-F238E27FC236}">
              <a16:creationId xmlns:a16="http://schemas.microsoft.com/office/drawing/2014/main" id="{0CD1878F-A94A-B492-D5AD-268103004823}"/>
            </a:ext>
          </a:extLst>
        </xdr:cNvPr>
        <xdr:cNvSpPr/>
      </xdr:nvSpPr>
      <xdr:spPr>
        <a:xfrm>
          <a:off x="87819" y="4735480"/>
          <a:ext cx="4499043" cy="378298"/>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rPr>
            <a:t>    ACCOUNT WISE</a:t>
          </a:r>
          <a:r>
            <a:rPr lang="en-IN" sz="1600" b="0" cap="none" spc="0" baseline="0">
              <a:ln w="0"/>
              <a:solidFill>
                <a:schemeClr val="tx1"/>
              </a:solidFill>
              <a:effectLst>
                <a:outerShdw blurRad="38100" dist="19050" dir="2700000" algn="tl" rotWithShape="0">
                  <a:schemeClr val="dk1">
                    <a:alpha val="40000"/>
                  </a:schemeClr>
                </a:outerShdw>
              </a:effectLst>
              <a:latin typeface="Consolas" panose="020B0609020204030204" pitchFamily="49" charset="0"/>
            </a:rPr>
            <a:t> PAYMENT ANALYSIS</a:t>
          </a:r>
          <a:endParaRPr lang="en-IN" sz="16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endParaRPr>
        </a:p>
      </xdr:txBody>
    </xdr:sp>
    <xdr:clientData/>
  </xdr:twoCellAnchor>
  <xdr:twoCellAnchor>
    <xdr:from>
      <xdr:col>7</xdr:col>
      <xdr:colOff>422613</xdr:colOff>
      <xdr:row>25</xdr:row>
      <xdr:rowOff>172666</xdr:rowOff>
    </xdr:from>
    <xdr:to>
      <xdr:col>15</xdr:col>
      <xdr:colOff>94574</xdr:colOff>
      <xdr:row>28</xdr:row>
      <xdr:rowOff>3783</xdr:rowOff>
    </xdr:to>
    <xdr:sp macro="" textlink="">
      <xdr:nvSpPr>
        <xdr:cNvPr id="35" name="Rectangle 34">
          <a:extLst>
            <a:ext uri="{FF2B5EF4-FFF2-40B4-BE49-F238E27FC236}">
              <a16:creationId xmlns:a16="http://schemas.microsoft.com/office/drawing/2014/main" id="{AA22679D-701D-4831-8CF0-8C6E1BE2CD42}"/>
            </a:ext>
          </a:extLst>
        </xdr:cNvPr>
        <xdr:cNvSpPr/>
      </xdr:nvSpPr>
      <xdr:spPr>
        <a:xfrm>
          <a:off x="4678464" y="4732506"/>
          <a:ext cx="4535791" cy="37829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rPr>
            <a:t>    CREDIT SCORE</a:t>
          </a:r>
          <a:r>
            <a:rPr lang="en-IN" sz="1600" b="0" cap="none" spc="0" baseline="0">
              <a:ln w="0"/>
              <a:solidFill>
                <a:schemeClr val="tx1"/>
              </a:solidFill>
              <a:effectLst>
                <a:outerShdw blurRad="38100" dist="19050" dir="2700000" algn="tl" rotWithShape="0">
                  <a:schemeClr val="dk1">
                    <a:alpha val="40000"/>
                  </a:schemeClr>
                </a:outerShdw>
              </a:effectLst>
              <a:latin typeface="Consolas" panose="020B0609020204030204" pitchFamily="49" charset="0"/>
            </a:rPr>
            <a:t> BY ACCOUNT TYPE</a:t>
          </a:r>
          <a:endParaRPr lang="en-IN" sz="16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endParaRPr>
        </a:p>
      </xdr:txBody>
    </xdr:sp>
    <xdr:clientData/>
  </xdr:twoCellAnchor>
  <xdr:twoCellAnchor>
    <xdr:from>
      <xdr:col>0</xdr:col>
      <xdr:colOff>108085</xdr:colOff>
      <xdr:row>39</xdr:row>
      <xdr:rowOff>135106</xdr:rowOff>
    </xdr:from>
    <xdr:to>
      <xdr:col>6</xdr:col>
      <xdr:colOff>209415</xdr:colOff>
      <xdr:row>41</xdr:row>
      <xdr:rowOff>155373</xdr:rowOff>
    </xdr:to>
    <xdr:sp macro="" textlink="">
      <xdr:nvSpPr>
        <xdr:cNvPr id="36" name="Rectangle 35">
          <a:extLst>
            <a:ext uri="{FF2B5EF4-FFF2-40B4-BE49-F238E27FC236}">
              <a16:creationId xmlns:a16="http://schemas.microsoft.com/office/drawing/2014/main" id="{61C46A31-6680-A5C9-AC1C-2222E1A4439E}"/>
            </a:ext>
          </a:extLst>
        </xdr:cNvPr>
        <xdr:cNvSpPr/>
      </xdr:nvSpPr>
      <xdr:spPr>
        <a:xfrm>
          <a:off x="108085" y="7248457"/>
          <a:ext cx="3749202" cy="38505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rPr>
            <a:t>      CUSTOMER</a:t>
          </a:r>
          <a:r>
            <a:rPr lang="en-IN" sz="1600" b="0" cap="none" spc="0" baseline="0">
              <a:ln w="0"/>
              <a:solidFill>
                <a:schemeClr val="tx1"/>
              </a:solidFill>
              <a:effectLst>
                <a:outerShdw blurRad="38100" dist="19050" dir="2700000" algn="tl" rotWithShape="0">
                  <a:schemeClr val="dk1">
                    <a:alpha val="40000"/>
                  </a:schemeClr>
                </a:outerShdw>
              </a:effectLst>
              <a:latin typeface="Consolas" panose="020B0609020204030204" pitchFamily="49" charset="0"/>
            </a:rPr>
            <a:t> RISK ANALYSIS</a:t>
          </a:r>
          <a:endParaRPr lang="en-IN" sz="16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endParaRPr>
        </a:p>
      </xdr:txBody>
    </xdr:sp>
    <xdr:clientData/>
  </xdr:twoCellAnchor>
  <xdr:twoCellAnchor>
    <xdr:from>
      <xdr:col>6</xdr:col>
      <xdr:colOff>307773</xdr:colOff>
      <xdr:row>39</xdr:row>
      <xdr:rowOff>159155</xdr:rowOff>
    </xdr:from>
    <xdr:to>
      <xdr:col>13</xdr:col>
      <xdr:colOff>0</xdr:colOff>
      <xdr:row>41</xdr:row>
      <xdr:rowOff>145645</xdr:rowOff>
    </xdr:to>
    <xdr:sp macro="" textlink="">
      <xdr:nvSpPr>
        <xdr:cNvPr id="37" name="Rectangle 36">
          <a:extLst>
            <a:ext uri="{FF2B5EF4-FFF2-40B4-BE49-F238E27FC236}">
              <a16:creationId xmlns:a16="http://schemas.microsoft.com/office/drawing/2014/main" id="{68C9A56C-CEBE-4DA4-A912-6662695FE596}"/>
            </a:ext>
          </a:extLst>
        </xdr:cNvPr>
        <xdr:cNvSpPr/>
      </xdr:nvSpPr>
      <xdr:spPr>
        <a:xfrm>
          <a:off x="3955645" y="7272506"/>
          <a:ext cx="3948078" cy="35127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rPr>
            <a:t> REGION WISE CATEGORY BREAKDOWN</a:t>
          </a:r>
        </a:p>
      </xdr:txBody>
    </xdr:sp>
    <xdr:clientData/>
  </xdr:twoCellAnchor>
  <xdr:twoCellAnchor>
    <xdr:from>
      <xdr:col>13</xdr:col>
      <xdr:colOff>81064</xdr:colOff>
      <xdr:row>39</xdr:row>
      <xdr:rowOff>155373</xdr:rowOff>
    </xdr:from>
    <xdr:to>
      <xdr:col>19</xdr:col>
      <xdr:colOff>209415</xdr:colOff>
      <xdr:row>41</xdr:row>
      <xdr:rowOff>141863</xdr:rowOff>
    </xdr:to>
    <xdr:sp macro="" textlink="">
      <xdr:nvSpPr>
        <xdr:cNvPr id="38" name="Rectangle 37">
          <a:extLst>
            <a:ext uri="{FF2B5EF4-FFF2-40B4-BE49-F238E27FC236}">
              <a16:creationId xmlns:a16="http://schemas.microsoft.com/office/drawing/2014/main" id="{C5A2E737-03FF-4EF2-8F79-06113DFC10AC}"/>
            </a:ext>
          </a:extLst>
        </xdr:cNvPr>
        <xdr:cNvSpPr/>
      </xdr:nvSpPr>
      <xdr:spPr>
        <a:xfrm>
          <a:off x="7984787" y="7268724"/>
          <a:ext cx="3776224" cy="35127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0" cap="none" spc="0">
              <a:ln w="0"/>
              <a:solidFill>
                <a:schemeClr val="tx1"/>
              </a:solidFill>
              <a:effectLst>
                <a:outerShdw blurRad="38100" dist="19050" dir="2700000" algn="tl" rotWithShape="0">
                  <a:schemeClr val="dk1">
                    <a:alpha val="40000"/>
                  </a:schemeClr>
                </a:outerShdw>
              </a:effectLst>
              <a:latin typeface="Consolas" panose="020B0609020204030204" pitchFamily="49" charset="0"/>
            </a:rPr>
            <a:t>     CREDIT SCORE BY CATEGORY</a:t>
          </a:r>
        </a:p>
      </xdr:txBody>
    </xdr:sp>
    <xdr:clientData/>
  </xdr:twoCellAnchor>
  <xdr:twoCellAnchor editAs="oneCell">
    <xdr:from>
      <xdr:col>15</xdr:col>
      <xdr:colOff>239301</xdr:colOff>
      <xdr:row>27</xdr:row>
      <xdr:rowOff>27022</xdr:rowOff>
    </xdr:from>
    <xdr:to>
      <xdr:col>19</xdr:col>
      <xdr:colOff>108085</xdr:colOff>
      <xdr:row>32</xdr:row>
      <xdr:rowOff>101329</xdr:rowOff>
    </xdr:to>
    <mc:AlternateContent xmlns:mc="http://schemas.openxmlformats.org/markup-compatibility/2006" xmlns:a14="http://schemas.microsoft.com/office/drawing/2010/main">
      <mc:Choice Requires="a14">
        <xdr:graphicFrame macro="">
          <xdr:nvGraphicFramePr>
            <xdr:cNvPr id="39" name="Region 1">
              <a:extLst>
                <a:ext uri="{FF2B5EF4-FFF2-40B4-BE49-F238E27FC236}">
                  <a16:creationId xmlns:a16="http://schemas.microsoft.com/office/drawing/2014/main" id="{CCEC29B2-541D-4D86-A65C-25D4CA1A75E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358982" y="4951650"/>
              <a:ext cx="2300699" cy="98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270211</xdr:colOff>
      <xdr:row>33</xdr:row>
      <xdr:rowOff>175638</xdr:rowOff>
    </xdr:from>
    <xdr:to>
      <xdr:col>19</xdr:col>
      <xdr:colOff>114839</xdr:colOff>
      <xdr:row>39</xdr:row>
      <xdr:rowOff>6755</xdr:rowOff>
    </xdr:to>
    <mc:AlternateContent xmlns:mc="http://schemas.openxmlformats.org/markup-compatibility/2006" xmlns:a14="http://schemas.microsoft.com/office/drawing/2010/main">
      <mc:Choice Requires="a14">
        <xdr:graphicFrame macro="">
          <xdr:nvGraphicFramePr>
            <xdr:cNvPr id="40" name="Category 1">
              <a:extLst>
                <a:ext uri="{FF2B5EF4-FFF2-40B4-BE49-F238E27FC236}">
                  <a16:creationId xmlns:a16="http://schemas.microsoft.com/office/drawing/2014/main" id="{4964EB84-02A4-4B89-B319-9AF740404CE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389892" y="6194627"/>
              <a:ext cx="2276543" cy="925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283723</xdr:colOff>
      <xdr:row>28</xdr:row>
      <xdr:rowOff>67553</xdr:rowOff>
    </xdr:from>
    <xdr:to>
      <xdr:col>7</xdr:col>
      <xdr:colOff>182394</xdr:colOff>
      <xdr:row>38</xdr:row>
      <xdr:rowOff>168883</xdr:rowOff>
    </xdr:to>
    <xdr:graphicFrame macro="">
      <xdr:nvGraphicFramePr>
        <xdr:cNvPr id="41" name="Chart 40">
          <a:extLst>
            <a:ext uri="{FF2B5EF4-FFF2-40B4-BE49-F238E27FC236}">
              <a16:creationId xmlns:a16="http://schemas.microsoft.com/office/drawing/2014/main" id="{E642D053-7699-4ACD-9862-39CF47802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297234</xdr:colOff>
      <xdr:row>28</xdr:row>
      <xdr:rowOff>27023</xdr:rowOff>
    </xdr:from>
    <xdr:to>
      <xdr:col>14</xdr:col>
      <xdr:colOff>425585</xdr:colOff>
      <xdr:row>39</xdr:row>
      <xdr:rowOff>54043</xdr:rowOff>
    </xdr:to>
    <xdr:graphicFrame macro="">
      <xdr:nvGraphicFramePr>
        <xdr:cNvPr id="42" name="Chart 41">
          <a:extLst>
            <a:ext uri="{FF2B5EF4-FFF2-40B4-BE49-F238E27FC236}">
              <a16:creationId xmlns:a16="http://schemas.microsoft.com/office/drawing/2014/main" id="{1C6E63C3-3AE0-4830-9CF2-DA3AF4DA7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222926</xdr:colOff>
      <xdr:row>42</xdr:row>
      <xdr:rowOff>108084</xdr:rowOff>
    </xdr:from>
    <xdr:to>
      <xdr:col>6</xdr:col>
      <xdr:colOff>40533</xdr:colOff>
      <xdr:row>52</xdr:row>
      <xdr:rowOff>165909</xdr:rowOff>
    </xdr:to>
    <xdr:graphicFrame macro="">
      <xdr:nvGraphicFramePr>
        <xdr:cNvPr id="43" name="Chart 42">
          <a:extLst>
            <a:ext uri="{FF2B5EF4-FFF2-40B4-BE49-F238E27FC236}">
              <a16:creationId xmlns:a16="http://schemas.microsoft.com/office/drawing/2014/main" id="{27276D4E-C3B8-46DD-9512-197FE3A64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452606</xdr:colOff>
      <xdr:row>42</xdr:row>
      <xdr:rowOff>121597</xdr:rowOff>
    </xdr:from>
    <xdr:to>
      <xdr:col>12</xdr:col>
      <xdr:colOff>532183</xdr:colOff>
      <xdr:row>52</xdr:row>
      <xdr:rowOff>158479</xdr:rowOff>
    </xdr:to>
    <xdr:graphicFrame macro="">
      <xdr:nvGraphicFramePr>
        <xdr:cNvPr id="44" name="Chart 43">
          <a:extLst>
            <a:ext uri="{FF2B5EF4-FFF2-40B4-BE49-F238E27FC236}">
              <a16:creationId xmlns:a16="http://schemas.microsoft.com/office/drawing/2014/main" id="{08EF56CE-8875-4A7E-B95B-1A581E4B3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344521</xdr:colOff>
      <xdr:row>42</xdr:row>
      <xdr:rowOff>33776</xdr:rowOff>
    </xdr:from>
    <xdr:to>
      <xdr:col>19</xdr:col>
      <xdr:colOff>121595</xdr:colOff>
      <xdr:row>53</xdr:row>
      <xdr:rowOff>20401</xdr:rowOff>
    </xdr:to>
    <xdr:graphicFrame macro="">
      <xdr:nvGraphicFramePr>
        <xdr:cNvPr id="45" name="Chart 44">
          <a:extLst>
            <a:ext uri="{FF2B5EF4-FFF2-40B4-BE49-F238E27FC236}">
              <a16:creationId xmlns:a16="http://schemas.microsoft.com/office/drawing/2014/main" id="{90B1D705-A5D0-48F3-A506-774079AF1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249947</xdr:colOff>
      <xdr:row>5</xdr:row>
      <xdr:rowOff>141322</xdr:rowOff>
    </xdr:from>
    <xdr:to>
      <xdr:col>11</xdr:col>
      <xdr:colOff>479628</xdr:colOff>
      <xdr:row>7</xdr:row>
      <xdr:rowOff>54043</xdr:rowOff>
    </xdr:to>
    <xdr:sp macro="" textlink="'pivot table'!N8">
      <xdr:nvSpPr>
        <xdr:cNvPr id="20" name="TextBox 19">
          <a:extLst>
            <a:ext uri="{FF2B5EF4-FFF2-40B4-BE49-F238E27FC236}">
              <a16:creationId xmlns:a16="http://schemas.microsoft.com/office/drawing/2014/main" id="{9D6E2C34-4860-4BAB-9F37-538C24DB4365}"/>
            </a:ext>
          </a:extLst>
        </xdr:cNvPr>
        <xdr:cNvSpPr txBox="1"/>
      </xdr:nvSpPr>
      <xdr:spPr>
        <a:xfrm>
          <a:off x="6329734" y="1053290"/>
          <a:ext cx="837660" cy="2775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247D62-B7A1-490E-98ED-6C0BFBA2E6CE}" type="TxLink">
            <a:rPr lang="en-US" sz="1400" b="1" i="0" u="none" strike="noStrike">
              <a:solidFill>
                <a:srgbClr val="000000"/>
              </a:solidFill>
              <a:latin typeface="Calibri"/>
              <a:ea typeface="Calibri"/>
              <a:cs typeface="Calibri"/>
            </a:rPr>
            <a:pPr/>
            <a:t>1143437.602</a:t>
          </a:fld>
          <a:endParaRPr lang="en-IN" sz="1400" b="1" i="0" u="none" strike="noStrike">
            <a:solidFill>
              <a:srgbClr val="000000"/>
            </a:solidFill>
            <a:latin typeface="Calibri"/>
            <a:ea typeface="Calibri"/>
            <a:cs typeface="Calibri"/>
          </a:endParaRPr>
        </a:p>
      </xdr:txBody>
    </xdr:sp>
    <xdr:clientData/>
  </xdr:twoCellAnchor>
  <xdr:twoCellAnchor editAs="oneCell">
    <xdr:from>
      <xdr:col>0</xdr:col>
      <xdr:colOff>385053</xdr:colOff>
      <xdr:row>5</xdr:row>
      <xdr:rowOff>168884</xdr:rowOff>
    </xdr:from>
    <xdr:to>
      <xdr:col>1</xdr:col>
      <xdr:colOff>76739</xdr:colOff>
      <xdr:row>7</xdr:row>
      <xdr:rowOff>15942</xdr:rowOff>
    </xdr:to>
    <xdr:pic>
      <xdr:nvPicPr>
        <xdr:cNvPr id="21" name="Graphic 20" descr="Rupee">
          <a:extLst>
            <a:ext uri="{FF2B5EF4-FFF2-40B4-BE49-F238E27FC236}">
              <a16:creationId xmlns:a16="http://schemas.microsoft.com/office/drawing/2014/main" id="{D029476C-1E1D-6581-0C91-1C37671BECF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5053" y="1080852"/>
          <a:ext cx="299665" cy="211845"/>
        </a:xfrm>
        <a:prstGeom prst="rect">
          <a:avLst/>
        </a:prstGeom>
      </xdr:spPr>
    </xdr:pic>
    <xdr:clientData/>
  </xdr:twoCellAnchor>
  <xdr:twoCellAnchor editAs="oneCell">
    <xdr:from>
      <xdr:col>3</xdr:col>
      <xdr:colOff>479627</xdr:colOff>
      <xdr:row>5</xdr:row>
      <xdr:rowOff>108086</xdr:rowOff>
    </xdr:from>
    <xdr:to>
      <xdr:col>4</xdr:col>
      <xdr:colOff>162128</xdr:colOff>
      <xdr:row>7</xdr:row>
      <xdr:rowOff>76741</xdr:rowOff>
    </xdr:to>
    <xdr:pic>
      <xdr:nvPicPr>
        <xdr:cNvPr id="24" name="Graphic 23" descr="Coins">
          <a:extLst>
            <a:ext uri="{FF2B5EF4-FFF2-40B4-BE49-F238E27FC236}">
              <a16:creationId xmlns:a16="http://schemas.microsoft.com/office/drawing/2014/main" id="{AF3628DA-28D4-3470-7A19-0AB9CAAC561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303563" y="1020054"/>
          <a:ext cx="290480" cy="333442"/>
        </a:xfrm>
        <a:prstGeom prst="rect">
          <a:avLst/>
        </a:prstGeom>
      </xdr:spPr>
    </xdr:pic>
    <xdr:clientData/>
  </xdr:twoCellAnchor>
  <xdr:twoCellAnchor editAs="oneCell">
    <xdr:from>
      <xdr:col>6</xdr:col>
      <xdr:colOff>368164</xdr:colOff>
      <xdr:row>5</xdr:row>
      <xdr:rowOff>141862</xdr:rowOff>
    </xdr:from>
    <xdr:to>
      <xdr:col>7</xdr:col>
      <xdr:colOff>80116</xdr:colOff>
      <xdr:row>7</xdr:row>
      <xdr:rowOff>97006</xdr:rowOff>
    </xdr:to>
    <xdr:pic>
      <xdr:nvPicPr>
        <xdr:cNvPr id="47" name="Graphic 46" descr="Download">
          <a:extLst>
            <a:ext uri="{FF2B5EF4-FFF2-40B4-BE49-F238E27FC236}">
              <a16:creationId xmlns:a16="http://schemas.microsoft.com/office/drawing/2014/main" id="{8D5593B0-C22C-9957-B7EC-09CBE95D624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025764" y="1062612"/>
          <a:ext cx="321552" cy="323444"/>
        </a:xfrm>
        <a:prstGeom prst="rect">
          <a:avLst/>
        </a:prstGeom>
      </xdr:spPr>
    </xdr:pic>
    <xdr:clientData/>
  </xdr:twoCellAnchor>
  <xdr:twoCellAnchor editAs="oneCell">
    <xdr:from>
      <xdr:col>9</xdr:col>
      <xdr:colOff>560691</xdr:colOff>
      <xdr:row>5</xdr:row>
      <xdr:rowOff>175638</xdr:rowOff>
    </xdr:from>
    <xdr:to>
      <xdr:col>10</xdr:col>
      <xdr:colOff>198333</xdr:colOff>
      <xdr:row>7</xdr:row>
      <xdr:rowOff>56471</xdr:rowOff>
    </xdr:to>
    <xdr:pic>
      <xdr:nvPicPr>
        <xdr:cNvPr id="49" name="Graphic 48" descr="Money">
          <a:extLst>
            <a:ext uri="{FF2B5EF4-FFF2-40B4-BE49-F238E27FC236}">
              <a16:creationId xmlns:a16="http://schemas.microsoft.com/office/drawing/2014/main" id="{14BAD0B4-20CE-2CB2-1D0A-443FAB83709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032500" y="1087606"/>
          <a:ext cx="245620" cy="245620"/>
        </a:xfrm>
        <a:prstGeom prst="rect">
          <a:avLst/>
        </a:prstGeom>
      </xdr:spPr>
    </xdr:pic>
    <xdr:clientData/>
  </xdr:twoCellAnchor>
  <xdr:twoCellAnchor editAs="oneCell">
    <xdr:from>
      <xdr:col>13</xdr:col>
      <xdr:colOff>33776</xdr:colOff>
      <xdr:row>5</xdr:row>
      <xdr:rowOff>135108</xdr:rowOff>
    </xdr:from>
    <xdr:to>
      <xdr:col>13</xdr:col>
      <xdr:colOff>252376</xdr:colOff>
      <xdr:row>6</xdr:row>
      <xdr:rowOff>171314</xdr:rowOff>
    </xdr:to>
    <xdr:pic>
      <xdr:nvPicPr>
        <xdr:cNvPr id="51" name="Graphic 50" descr="Checkmark">
          <a:extLst>
            <a:ext uri="{FF2B5EF4-FFF2-40B4-BE49-F238E27FC236}">
              <a16:creationId xmlns:a16="http://schemas.microsoft.com/office/drawing/2014/main" id="{2231689B-40B0-72AC-A081-74C810D60EF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937499" y="1047076"/>
          <a:ext cx="218600" cy="218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06" refreshedDate="46203.523317361112" createdVersion="8" refreshedVersion="8" minRefreshableVersion="3" recordCount="1000" xr:uid="{85640A96-7FC2-4628-8D20-CE39A99C5481}">
  <cacheSource type="worksheet">
    <worksheetSource ref="A1:U1001" sheet="Finance_Data"/>
  </cacheSource>
  <cacheFields count="23">
    <cacheField name="Transaction_ID" numFmtId="0">
      <sharedItems count="1000">
        <s v="TXN100002"/>
        <s v="TXN100003"/>
        <s v="TXN100004"/>
        <s v="TXN100005"/>
        <s v="TXN100006"/>
        <s v="TXN100007"/>
        <s v="TXN100008"/>
        <s v="TXN100009"/>
        <s v="TXN100010"/>
        <s v="TXN100011"/>
        <s v="TXN100012"/>
        <s v="TXN100013"/>
        <s v="TXN100014"/>
        <s v="TXN100015"/>
        <s v="TXN100016"/>
        <s v="TXN100017"/>
        <s v="TXN100018"/>
        <s v="TXN100019"/>
        <s v="TXN100020"/>
        <s v="TXN100021"/>
        <s v="TXN100022"/>
        <s v="TXN100023"/>
        <s v="TXN100024"/>
        <s v="TXN100025"/>
        <s v="TXN100026"/>
        <s v="TXN100027"/>
        <s v="TXN100028"/>
        <s v="TXN100029"/>
        <s v="TXN100030"/>
        <s v="TXN100031"/>
        <s v="TXN100032"/>
        <s v="TXN100033"/>
        <s v="TXN100034"/>
        <s v="TXN100035"/>
        <s v="TXN100036"/>
        <s v="TXN100037"/>
        <s v="TXN100038"/>
        <s v="TXN100039"/>
        <s v="TXN100040"/>
        <s v="TXN100041"/>
        <s v="TXN100042"/>
        <s v="TXN100043"/>
        <s v="TXN100044"/>
        <s v="TXN100045"/>
        <s v="TXN100046"/>
        <s v="TXN100047"/>
        <s v="TXN100048"/>
        <s v="TXN100049"/>
        <s v="TXN100050"/>
        <s v="TXN100051"/>
        <s v="TXN100052"/>
        <s v="TXN100053"/>
        <s v="TXN100054"/>
        <s v="TXN100055"/>
        <s v="TXN100056"/>
        <s v="TXN100057"/>
        <s v="TXN100058"/>
        <s v="TXN100059"/>
        <s v="TXN100060"/>
        <s v="TXN100061"/>
        <s v="TXN100062"/>
        <s v="TXN100063"/>
        <s v="TXN100064"/>
        <s v="TXN100065"/>
        <s v="TXN100066"/>
        <s v="TXN100067"/>
        <s v="TXN100068"/>
        <s v="TXN100069"/>
        <s v="TXN100070"/>
        <s v="TXN100071"/>
        <s v="TXN100072"/>
        <s v="TXN100073"/>
        <s v="TXN100074"/>
        <s v="TXN100075"/>
        <s v="TXN100076"/>
        <s v="TXN100077"/>
        <s v="TXN100078"/>
        <s v="TXN100079"/>
        <s v="TXN100080"/>
        <s v="TXN100081"/>
        <s v="TXN100082"/>
        <s v="TXN100083"/>
        <s v="TXN100084"/>
        <s v="TXN100085"/>
        <s v="TXN100086"/>
        <s v="TXN100087"/>
        <s v="TXN100088"/>
        <s v="TXN100089"/>
        <s v="TXN100090"/>
        <s v="TXN100091"/>
        <s v="TXN100092"/>
        <s v="TXN100093"/>
        <s v="TXN100094"/>
        <s v="TXN100095"/>
        <s v="TXN100096"/>
        <s v="TXN100097"/>
        <s v="TXN100098"/>
        <s v="TXN100099"/>
        <s v="TXN100100"/>
        <s v="TXN100101"/>
        <s v="TXN100102"/>
        <s v="TXN100103"/>
        <s v="TXN100104"/>
        <s v="TXN100105"/>
        <s v="TXN100106"/>
        <s v="TXN100107"/>
        <s v="TXN100108"/>
        <s v="TXN100109"/>
        <s v="TXN100110"/>
        <s v="TXN100111"/>
        <s v="TXN100112"/>
        <s v="TXN100113"/>
        <s v="TXN100114"/>
        <s v="TXN100115"/>
        <s v="TXN100116"/>
        <s v="TXN100117"/>
        <s v="TXN100118"/>
        <s v="TXN100119"/>
        <s v="TXN100120"/>
        <s v="TXN100121"/>
        <s v="TXN100122"/>
        <s v="TXN100123"/>
        <s v="TXN100124"/>
        <s v="TXN100125"/>
        <s v="TXN100126"/>
        <s v="TXN100127"/>
        <s v="TXN100128"/>
        <s v="TXN100129"/>
        <s v="TXN100130"/>
        <s v="TXN100131"/>
        <s v="TXN100132"/>
        <s v="TXN100133"/>
        <s v="TXN100134"/>
        <s v="TXN100135"/>
        <s v="TXN100136"/>
        <s v="TXN100137"/>
        <s v="TXN100138"/>
        <s v="TXN100139"/>
        <s v="TXN100140"/>
        <s v="TXN100141"/>
        <s v="TXN100142"/>
        <s v="TXN100143"/>
        <s v="TXN100144"/>
        <s v="TXN100145"/>
        <s v="TXN100146"/>
        <s v="TXN100147"/>
        <s v="TXN100148"/>
        <s v="TXN100149"/>
        <s v="TXN100150"/>
        <s v="TXN100151"/>
        <s v="TXN100152"/>
        <s v="TXN100153"/>
        <s v="TXN100154"/>
        <s v="TXN100155"/>
        <s v="TXN100156"/>
        <s v="TXN100157"/>
        <s v="TXN100158"/>
        <s v="TXN100159"/>
        <s v="TXN100160"/>
        <s v="TXN100161"/>
        <s v="TXN100162"/>
        <s v="TXN100163"/>
        <s v="TXN100164"/>
        <s v="TXN100165"/>
        <s v="TXN100166"/>
        <s v="TXN100167"/>
        <s v="TXN100168"/>
        <s v="TXN100169"/>
        <s v="TXN100170"/>
        <s v="TXN100171"/>
        <s v="TXN100172"/>
        <s v="TXN100173"/>
        <s v="TXN100174"/>
        <s v="TXN100175"/>
        <s v="TXN100176"/>
        <s v="TXN100177"/>
        <s v="TXN100178"/>
        <s v="TXN100179"/>
        <s v="TXN100180"/>
        <s v="TXN100181"/>
        <s v="TXN100182"/>
        <s v="TXN100183"/>
        <s v="TXN100184"/>
        <s v="TXN100185"/>
        <s v="TXN100186"/>
        <s v="TXN100187"/>
        <s v="TXN100188"/>
        <s v="TXN100189"/>
        <s v="TXN100190"/>
        <s v="TXN100191"/>
        <s v="TXN100192"/>
        <s v="TXN100193"/>
        <s v="TXN100194"/>
        <s v="TXN100195"/>
        <s v="TXN100196"/>
        <s v="TXN100197"/>
        <s v="TXN100198"/>
        <s v="TXN100199"/>
        <s v="TXN100200"/>
        <s v="TXN100201"/>
        <s v="TXN100202"/>
        <s v="TXN100203"/>
        <s v="TXN100204"/>
        <s v="TXN100205"/>
        <s v="TXN100206"/>
        <s v="TXN100207"/>
        <s v="TXN100208"/>
        <s v="TXN100209"/>
        <s v="TXN100210"/>
        <s v="TXN100211"/>
        <s v="TXN100212"/>
        <s v="TXN100213"/>
        <s v="TXN100214"/>
        <s v="TXN100215"/>
        <s v="TXN100216"/>
        <s v="TXN100217"/>
        <s v="TXN100218"/>
        <s v="TXN100219"/>
        <s v="TXN100220"/>
        <s v="TXN100221"/>
        <s v="TXN100222"/>
        <s v="TXN100223"/>
        <s v="TXN100224"/>
        <s v="TXN100225"/>
        <s v="TXN100226"/>
        <s v="TXN100227"/>
        <s v="TXN100228"/>
        <s v="TXN100229"/>
        <s v="TXN100230"/>
        <s v="TXN100231"/>
        <s v="TXN100232"/>
        <s v="TXN100233"/>
        <s v="TXN100234"/>
        <s v="TXN100235"/>
        <s v="TXN100236"/>
        <s v="TXN100237"/>
        <s v="TXN100238"/>
        <s v="TXN100239"/>
        <s v="TXN100240"/>
        <s v="TXN100241"/>
        <s v="TXN100242"/>
        <s v="TXN100243"/>
        <s v="TXN100244"/>
        <s v="TXN100245"/>
        <s v="TXN100246"/>
        <s v="TXN100247"/>
        <s v="TXN100248"/>
        <s v="TXN100249"/>
        <s v="TXN100250"/>
        <s v="TXN100251"/>
        <s v="TXN100252"/>
        <s v="TXN100253"/>
        <s v="TXN100254"/>
        <s v="TXN100255"/>
        <s v="TXN100256"/>
        <s v="TXN100257"/>
        <s v="TXN100258"/>
        <s v="TXN100259"/>
        <s v="TXN100260"/>
        <s v="TXN100261"/>
        <s v="TXN100262"/>
        <s v="TXN100263"/>
        <s v="TXN100264"/>
        <s v="TXN100265"/>
        <s v="TXN100266"/>
        <s v="TXN100267"/>
        <s v="TXN100268"/>
        <s v="TXN100269"/>
        <s v="TXN100270"/>
        <s v="TXN100271"/>
        <s v="TXN100272"/>
        <s v="TXN100273"/>
        <s v="TXN100274"/>
        <s v="TXN100275"/>
        <s v="TXN100276"/>
        <s v="TXN100277"/>
        <s v="TXN100278"/>
        <s v="TXN100279"/>
        <s v="TXN100280"/>
        <s v="TXN100281"/>
        <s v="TXN100282"/>
        <s v="TXN100283"/>
        <s v="TXN100284"/>
        <s v="TXN100285"/>
        <s v="TXN100286"/>
        <s v="TXN100287"/>
        <s v="TXN100288"/>
        <s v="TXN100289"/>
        <s v="TXN100290"/>
        <s v="TXN100291"/>
        <s v="TXN100292"/>
        <s v="TXN100293"/>
        <s v="TXN100294"/>
        <s v="TXN100295"/>
        <s v="TXN100296"/>
        <s v="TXN100297"/>
        <s v="TXN100298"/>
        <s v="TXN100299"/>
        <s v="TXN100300"/>
        <s v="TXN100301"/>
        <s v="TXN100302"/>
        <s v="TXN100303"/>
        <s v="TXN100304"/>
        <s v="TXN100305"/>
        <s v="TXN100306"/>
        <s v="TXN100307"/>
        <s v="TXN100308"/>
        <s v="TXN100309"/>
        <s v="TXN100310"/>
        <s v="TXN100311"/>
        <s v="TXN100312"/>
        <s v="TXN100313"/>
        <s v="TXN100314"/>
        <s v="TXN100315"/>
        <s v="TXN100316"/>
        <s v="TXN100317"/>
        <s v="TXN100318"/>
        <s v="TXN100319"/>
        <s v="TXN100320"/>
        <s v="TXN100321"/>
        <s v="TXN100322"/>
        <s v="TXN100323"/>
        <s v="TXN100324"/>
        <s v="TXN100325"/>
        <s v="TXN100326"/>
        <s v="TXN100327"/>
        <s v="TXN100328"/>
        <s v="TXN100329"/>
        <s v="TXN100330"/>
        <s v="TXN100331"/>
        <s v="TXN100332"/>
        <s v="TXN100333"/>
        <s v="TXN100334"/>
        <s v="TXN100335"/>
        <s v="TXN100336"/>
        <s v="TXN100337"/>
        <s v="TXN100338"/>
        <s v="TXN100339"/>
        <s v="TXN100340"/>
        <s v="TXN100341"/>
        <s v="TXN100342"/>
        <s v="TXN100343"/>
        <s v="TXN100344"/>
        <s v="TXN100345"/>
        <s v="TXN100346"/>
        <s v="TXN100347"/>
        <s v="TXN100348"/>
        <s v="TXN100349"/>
        <s v="TXN100350"/>
        <s v="TXN100351"/>
        <s v="TXN100352"/>
        <s v="TXN100353"/>
        <s v="TXN100354"/>
        <s v="TXN100355"/>
        <s v="TXN100356"/>
        <s v="TXN100357"/>
        <s v="TXN100358"/>
        <s v="TXN100359"/>
        <s v="TXN100360"/>
        <s v="TXN100361"/>
        <s v="TXN100362"/>
        <s v="TXN100363"/>
        <s v="TXN100364"/>
        <s v="TXN100365"/>
        <s v="TXN100366"/>
        <s v="TXN100367"/>
        <s v="TXN100368"/>
        <s v="TXN100369"/>
        <s v="TXN100370"/>
        <s v="TXN100371"/>
        <s v="TXN100372"/>
        <s v="TXN100373"/>
        <s v="TXN100374"/>
        <s v="TXN100375"/>
        <s v="TXN100376"/>
        <s v="TXN100377"/>
        <s v="TXN100378"/>
        <s v="TXN100379"/>
        <s v="TXN100380"/>
        <s v="TXN100381"/>
        <s v="TXN100382"/>
        <s v="TXN100383"/>
        <s v="TXN100384"/>
        <s v="TXN100385"/>
        <s v="TXN100386"/>
        <s v="TXN100387"/>
        <s v="TXN100388"/>
        <s v="TXN100389"/>
        <s v="TXN100390"/>
        <s v="TXN100391"/>
        <s v="TXN100392"/>
        <s v="TXN100393"/>
        <s v="TXN100394"/>
        <s v="TXN100395"/>
        <s v="TXN100396"/>
        <s v="TXN100397"/>
        <s v="TXN100398"/>
        <s v="TXN100399"/>
        <s v="TXN100400"/>
        <s v="TXN100401"/>
        <s v="TXN100402"/>
        <s v="TXN100403"/>
        <s v="TXN100404"/>
        <s v="TXN100405"/>
        <s v="TXN100406"/>
        <s v="TXN100407"/>
        <s v="TXN100408"/>
        <s v="TXN100409"/>
        <s v="TXN100410"/>
        <s v="TXN100411"/>
        <s v="TXN100412"/>
        <s v="TXN100413"/>
        <s v="TXN100414"/>
        <s v="TXN100415"/>
        <s v="TXN100416"/>
        <s v="TXN100417"/>
        <s v="TXN100418"/>
        <s v="TXN100419"/>
        <s v="TXN100420"/>
        <s v="TXN100421"/>
        <s v="TXN100422"/>
        <s v="TXN100423"/>
        <s v="TXN100424"/>
        <s v="TXN100425"/>
        <s v="TXN100426"/>
        <s v="TXN100427"/>
        <s v="TXN100428"/>
        <s v="TXN100429"/>
        <s v="TXN100430"/>
        <s v="TXN100431"/>
        <s v="TXN100432"/>
        <s v="TXN100433"/>
        <s v="TXN100434"/>
        <s v="TXN100435"/>
        <s v="TXN100436"/>
        <s v="TXN100437"/>
        <s v="TXN100438"/>
        <s v="TXN100439"/>
        <s v="TXN100440"/>
        <s v="TXN100441"/>
        <s v="TXN100442"/>
        <s v="TXN100443"/>
        <s v="TXN100444"/>
        <s v="TXN100445"/>
        <s v="TXN100446"/>
        <s v="TXN100447"/>
        <s v="TXN100448"/>
        <s v="TXN100449"/>
        <s v="TXN100450"/>
        <s v="TXN100451"/>
        <s v="TXN100452"/>
        <s v="TXN100453"/>
        <s v="TXN100454"/>
        <s v="TXN100455"/>
        <s v="TXN100456"/>
        <s v="TXN100457"/>
        <s v="TXN100458"/>
        <s v="TXN100459"/>
        <s v="TXN100460"/>
        <s v="TXN100461"/>
        <s v="TXN100462"/>
        <s v="TXN100463"/>
        <s v="TXN100464"/>
        <s v="TXN100465"/>
        <s v="TXN100466"/>
        <s v="TXN100467"/>
        <s v="TXN100468"/>
        <s v="TXN100469"/>
        <s v="TXN100470"/>
        <s v="TXN100471"/>
        <s v="TXN100472"/>
        <s v="TXN100473"/>
        <s v="TXN100474"/>
        <s v="TXN100475"/>
        <s v="TXN100476"/>
        <s v="TXN100477"/>
        <s v="TXN100478"/>
        <s v="TXN100479"/>
        <s v="TXN100480"/>
        <s v="TXN100481"/>
        <s v="TXN100482"/>
        <s v="TXN100483"/>
        <s v="TXN100484"/>
        <s v="TXN100485"/>
        <s v="TXN100486"/>
        <s v="TXN100487"/>
        <s v="TXN100488"/>
        <s v="TXN100489"/>
        <s v="TXN100490"/>
        <s v="TXN100491"/>
        <s v="TXN100492"/>
        <s v="TXN100493"/>
        <s v="TXN100494"/>
        <s v="TXN100495"/>
        <s v="TXN100496"/>
        <s v="TXN100497"/>
        <s v="TXN100498"/>
        <s v="TXN100499"/>
        <s v="TXN100500"/>
        <s v="TXN100501"/>
        <s v="TXN100502"/>
        <s v="TXN100503"/>
        <s v="TXN100504"/>
        <s v="TXN100505"/>
        <s v="TXN100506"/>
        <s v="TXN100507"/>
        <s v="TXN100508"/>
        <s v="TXN100509"/>
        <s v="TXN100510"/>
        <s v="TXN100511"/>
        <s v="TXN100512"/>
        <s v="TXN100513"/>
        <s v="TXN100514"/>
        <s v="TXN100515"/>
        <s v="TXN100516"/>
        <s v="TXN100517"/>
        <s v="TXN100518"/>
        <s v="TXN100519"/>
        <s v="TXN100520"/>
        <s v="TXN100521"/>
        <s v="TXN100522"/>
        <s v="TXN100523"/>
        <s v="TXN100524"/>
        <s v="TXN100525"/>
        <s v="TXN100526"/>
        <s v="TXN100527"/>
        <s v="TXN100528"/>
        <s v="TXN100529"/>
        <s v="TXN100530"/>
        <s v="TXN100531"/>
        <s v="TXN100532"/>
        <s v="TXN100533"/>
        <s v="TXN100534"/>
        <s v="TXN100535"/>
        <s v="TXN100536"/>
        <s v="TXN100537"/>
        <s v="TXN100538"/>
        <s v="TXN100539"/>
        <s v="TXN100540"/>
        <s v="TXN100541"/>
        <s v="TXN100542"/>
        <s v="TXN100543"/>
        <s v="TXN100544"/>
        <s v="TXN100545"/>
        <s v="TXN100546"/>
        <s v="TXN100547"/>
        <s v="TXN100548"/>
        <s v="TXN100549"/>
        <s v="TXN100550"/>
        <s v="TXN100551"/>
        <s v="TXN100552"/>
        <s v="TXN100553"/>
        <s v="TXN100554"/>
        <s v="TXN100555"/>
        <s v="TXN100556"/>
        <s v="TXN100557"/>
        <s v="TXN100558"/>
        <s v="TXN100559"/>
        <s v="TXN100560"/>
        <s v="TXN100561"/>
        <s v="TXN100562"/>
        <s v="TXN100563"/>
        <s v="TXN100564"/>
        <s v="TXN100565"/>
        <s v="TXN100566"/>
        <s v="TXN100567"/>
        <s v="TXN100568"/>
        <s v="TXN100569"/>
        <s v="TXN100570"/>
        <s v="TXN100571"/>
        <s v="TXN100572"/>
        <s v="TXN100573"/>
        <s v="TXN100574"/>
        <s v="TXN100575"/>
        <s v="TXN100576"/>
        <s v="TXN100577"/>
        <s v="TXN100578"/>
        <s v="TXN100579"/>
        <s v="TXN100580"/>
        <s v="TXN100581"/>
        <s v="TXN100582"/>
        <s v="TXN100583"/>
        <s v="TXN100584"/>
        <s v="TXN100585"/>
        <s v="TXN100586"/>
        <s v="TXN100587"/>
        <s v="TXN100588"/>
        <s v="TXN100589"/>
        <s v="TXN100590"/>
        <s v="TXN100591"/>
        <s v="TXN100592"/>
        <s v="TXN100593"/>
        <s v="TXN100594"/>
        <s v="TXN100595"/>
        <s v="TXN100596"/>
        <s v="TXN100597"/>
        <s v="TXN100598"/>
        <s v="TXN100599"/>
        <s v="TXN100600"/>
        <s v="TXN100601"/>
        <s v="TXN100602"/>
        <s v="TXN100603"/>
        <s v="TXN100604"/>
        <s v="TXN100605"/>
        <s v="TXN100606"/>
        <s v="TXN100607"/>
        <s v="TXN100608"/>
        <s v="TXN100609"/>
        <s v="TXN100610"/>
        <s v="TXN100611"/>
        <s v="TXN100612"/>
        <s v="TXN100613"/>
        <s v="TXN100614"/>
        <s v="TXN100615"/>
        <s v="TXN100616"/>
        <s v="TXN100617"/>
        <s v="TXN100618"/>
        <s v="TXN100619"/>
        <s v="TXN100620"/>
        <s v="TXN100621"/>
        <s v="TXN100622"/>
        <s v="TXN100623"/>
        <s v="TXN100624"/>
        <s v="TXN100625"/>
        <s v="TXN100626"/>
        <s v="TXN100627"/>
        <s v="TXN100628"/>
        <s v="TXN100629"/>
        <s v="TXN100630"/>
        <s v="TXN100631"/>
        <s v="TXN100632"/>
        <s v="TXN100633"/>
        <s v="TXN100634"/>
        <s v="TXN100635"/>
        <s v="TXN100636"/>
        <s v="TXN100637"/>
        <s v="TXN100638"/>
        <s v="TXN100639"/>
        <s v="TXN100640"/>
        <s v="TXN100641"/>
        <s v="TXN100642"/>
        <s v="TXN100643"/>
        <s v="TXN100644"/>
        <s v="TXN100645"/>
        <s v="TXN100646"/>
        <s v="TXN100647"/>
        <s v="TXN100648"/>
        <s v="TXN100649"/>
        <s v="TXN100650"/>
        <s v="TXN100651"/>
        <s v="TXN100652"/>
        <s v="TXN100653"/>
        <s v="TXN100654"/>
        <s v="TXN100655"/>
        <s v="TXN100656"/>
        <s v="TXN100657"/>
        <s v="TXN100658"/>
        <s v="TXN100659"/>
        <s v="TXN100660"/>
        <s v="TXN100661"/>
        <s v="TXN100662"/>
        <s v="TXN100663"/>
        <s v="TXN100664"/>
        <s v="TXN100665"/>
        <s v="TXN100666"/>
        <s v="TXN100667"/>
        <s v="TXN100668"/>
        <s v="TXN100669"/>
        <s v="TXN100670"/>
        <s v="TXN100671"/>
        <s v="TXN100672"/>
        <s v="TXN100673"/>
        <s v="TXN100674"/>
        <s v="TXN100675"/>
        <s v="TXN100676"/>
        <s v="TXN100677"/>
        <s v="TXN100678"/>
        <s v="TXN100679"/>
        <s v="TXN100680"/>
        <s v="TXN100681"/>
        <s v="TXN100682"/>
        <s v="TXN100683"/>
        <s v="TXN100684"/>
        <s v="TXN100685"/>
        <s v="TXN100686"/>
        <s v="TXN100687"/>
        <s v="TXN100688"/>
        <s v="TXN100689"/>
        <s v="TXN100690"/>
        <s v="TXN100691"/>
        <s v="TXN100692"/>
        <s v="TXN100693"/>
        <s v="TXN100694"/>
        <s v="TXN100695"/>
        <s v="TXN100696"/>
        <s v="TXN100697"/>
        <s v="TXN100698"/>
        <s v="TXN100699"/>
        <s v="TXN100700"/>
        <s v="TXN100701"/>
        <s v="TXN100702"/>
        <s v="TXN100703"/>
        <s v="TXN100704"/>
        <s v="TXN100705"/>
        <s v="TXN100706"/>
        <s v="TXN100707"/>
        <s v="TXN100708"/>
        <s v="TXN100709"/>
        <s v="TXN100710"/>
        <s v="TXN100711"/>
        <s v="TXN100712"/>
        <s v="TXN100713"/>
        <s v="TXN100714"/>
        <s v="TXN100715"/>
        <s v="TXN100716"/>
        <s v="TXN100717"/>
        <s v="TXN100718"/>
        <s v="TXN100719"/>
        <s v="TXN100720"/>
        <s v="TXN100721"/>
        <s v="TXN100722"/>
        <s v="TXN100723"/>
        <s v="TXN100724"/>
        <s v="TXN100725"/>
        <s v="TXN100726"/>
        <s v="TXN100727"/>
        <s v="TXN100728"/>
        <s v="TXN100729"/>
        <s v="TXN100730"/>
        <s v="TXN100731"/>
        <s v="TXN100732"/>
        <s v="TXN100733"/>
        <s v="TXN100734"/>
        <s v="TXN100735"/>
        <s v="TXN100736"/>
        <s v="TXN100737"/>
        <s v="TXN100738"/>
        <s v="TXN100739"/>
        <s v="TXN100740"/>
        <s v="TXN100741"/>
        <s v="TXN100742"/>
        <s v="TXN100743"/>
        <s v="TXN100744"/>
        <s v="TXN100745"/>
        <s v="TXN100746"/>
        <s v="TXN100747"/>
        <s v="TXN100748"/>
        <s v="TXN100749"/>
        <s v="TXN100750"/>
        <s v="TXN100751"/>
        <s v="TXN100752"/>
        <s v="TXN100753"/>
        <s v="TXN100754"/>
        <s v="TXN100755"/>
        <s v="TXN100756"/>
        <s v="TXN100757"/>
        <s v="TXN100758"/>
        <s v="TXN100759"/>
        <s v="TXN100760"/>
        <s v="TXN100761"/>
        <s v="TXN100762"/>
        <s v="TXN100763"/>
        <s v="TXN100764"/>
        <s v="TXN100765"/>
        <s v="TXN100766"/>
        <s v="TXN100767"/>
        <s v="TXN100768"/>
        <s v="TXN100769"/>
        <s v="TXN100770"/>
        <s v="TXN100771"/>
        <s v="TXN100772"/>
        <s v="TXN100773"/>
        <s v="TXN100774"/>
        <s v="TXN100775"/>
        <s v="TXN100776"/>
        <s v="TXN100777"/>
        <s v="TXN100778"/>
        <s v="TXN100779"/>
        <s v="TXN100780"/>
        <s v="TXN100781"/>
        <s v="TXN100782"/>
        <s v="TXN100783"/>
        <s v="TXN100784"/>
        <s v="TXN100785"/>
        <s v="TXN100786"/>
        <s v="TXN100787"/>
        <s v="TXN100788"/>
        <s v="TXN100789"/>
        <s v="TXN100790"/>
        <s v="TXN100791"/>
        <s v="TXN100792"/>
        <s v="TXN100793"/>
        <s v="TXN100794"/>
        <s v="TXN100795"/>
        <s v="TXN100796"/>
        <s v="TXN100797"/>
        <s v="TXN100798"/>
        <s v="TXN100799"/>
        <s v="TXN100800"/>
        <s v="TXN100801"/>
        <s v="TXN100802"/>
        <s v="TXN100803"/>
        <s v="TXN100804"/>
        <s v="TXN100805"/>
        <s v="TXN100806"/>
        <s v="TXN100807"/>
        <s v="TXN100808"/>
        <s v="TXN100809"/>
        <s v="TXN100810"/>
        <s v="TXN100811"/>
        <s v="TXN100812"/>
        <s v="TXN100813"/>
        <s v="TXN100814"/>
        <s v="TXN100815"/>
        <s v="TXN100816"/>
        <s v="TXN100817"/>
        <s v="TXN100818"/>
        <s v="TXN100819"/>
        <s v="TXN100820"/>
        <s v="TXN100821"/>
        <s v="TXN100822"/>
        <s v="TXN100823"/>
        <s v="TXN100824"/>
        <s v="TXN100825"/>
        <s v="TXN100826"/>
        <s v="TXN100827"/>
        <s v="TXN100828"/>
        <s v="TXN100829"/>
        <s v="TXN100830"/>
        <s v="TXN100831"/>
        <s v="TXN100832"/>
        <s v="TXN100833"/>
        <s v="TXN100834"/>
        <s v="TXN100835"/>
        <s v="TXN100836"/>
        <s v="TXN100837"/>
        <s v="TXN100838"/>
        <s v="TXN100839"/>
        <s v="TXN100840"/>
        <s v="TXN100841"/>
        <s v="TXN100842"/>
        <s v="TXN100843"/>
        <s v="TXN100844"/>
        <s v="TXN100845"/>
        <s v="TXN100846"/>
        <s v="TXN100847"/>
        <s v="TXN100848"/>
        <s v="TXN100849"/>
        <s v="TXN100850"/>
        <s v="TXN100851"/>
        <s v="TXN100852"/>
        <s v="TXN100853"/>
        <s v="TXN100854"/>
        <s v="TXN100855"/>
        <s v="TXN100856"/>
        <s v="TXN100857"/>
        <s v="TXN100858"/>
        <s v="TXN100859"/>
        <s v="TXN100860"/>
        <s v="TXN100861"/>
        <s v="TXN100862"/>
        <s v="TXN100863"/>
        <s v="TXN100864"/>
        <s v="TXN100865"/>
        <s v="TXN100866"/>
        <s v="TXN100867"/>
        <s v="TXN100868"/>
        <s v="TXN100869"/>
        <s v="TXN100870"/>
        <s v="TXN100871"/>
        <s v="TXN100872"/>
        <s v="TXN100873"/>
        <s v="TXN100874"/>
        <s v="TXN100875"/>
        <s v="TXN100876"/>
        <s v="TXN100877"/>
        <s v="TXN100878"/>
        <s v="TXN100879"/>
        <s v="TXN100880"/>
        <s v="TXN100881"/>
        <s v="TXN100882"/>
        <s v="TXN100883"/>
        <s v="TXN100884"/>
        <s v="TXN100885"/>
        <s v="TXN100886"/>
        <s v="TXN100887"/>
        <s v="TXN100888"/>
        <s v="TXN100889"/>
        <s v="TXN100890"/>
        <s v="TXN100891"/>
        <s v="TXN100892"/>
        <s v="TXN100893"/>
        <s v="TXN100894"/>
        <s v="TXN100895"/>
        <s v="TXN100896"/>
        <s v="TXN100897"/>
        <s v="TXN100898"/>
        <s v="TXN100899"/>
        <s v="TXN100900"/>
        <s v="TXN100901"/>
        <s v="TXN100902"/>
        <s v="TXN100903"/>
        <s v="TXN100904"/>
        <s v="TXN100905"/>
        <s v="TXN100906"/>
        <s v="TXN100907"/>
        <s v="TXN100908"/>
        <s v="TXN100909"/>
        <s v="TXN100910"/>
        <s v="TXN100911"/>
        <s v="TXN100912"/>
        <s v="TXN100913"/>
        <s v="TXN100914"/>
        <s v="TXN100915"/>
        <s v="TXN100916"/>
        <s v="TXN100917"/>
        <s v="TXN100918"/>
        <s v="TXN100919"/>
        <s v="TXN100920"/>
        <s v="TXN100921"/>
        <s v="TXN100922"/>
        <s v="TXN100923"/>
        <s v="TXN100924"/>
        <s v="TXN100925"/>
        <s v="TXN100926"/>
        <s v="TXN100927"/>
        <s v="TXN100928"/>
        <s v="TXN100929"/>
        <s v="TXN100930"/>
        <s v="TXN100931"/>
        <s v="TXN100932"/>
        <s v="TXN100933"/>
        <s v="TXN100934"/>
        <s v="TXN100935"/>
        <s v="TXN100936"/>
        <s v="TXN100937"/>
        <s v="TXN100938"/>
        <s v="TXN100939"/>
        <s v="TXN100940"/>
        <s v="TXN100941"/>
        <s v="TXN100942"/>
        <s v="TXN100943"/>
        <s v="TXN100944"/>
        <s v="TXN100945"/>
        <s v="TXN100946"/>
        <s v="TXN100947"/>
        <s v="TXN100948"/>
        <s v="TXN100949"/>
        <s v="TXN100950"/>
        <s v="TXN100951"/>
        <s v="TXN100952"/>
        <s v="TXN100953"/>
        <s v="TXN100954"/>
        <s v="TXN100955"/>
        <s v="TXN100956"/>
        <s v="TXN100957"/>
        <s v="TXN100958"/>
        <s v="TXN100959"/>
        <s v="TXN100960"/>
        <s v="TXN100961"/>
        <s v="TXN100962"/>
        <s v="TXN100963"/>
        <s v="TXN100964"/>
        <s v="TXN100965"/>
        <s v="TXN100966"/>
        <s v="TXN100967"/>
        <s v="TXN100968"/>
        <s v="TXN100969"/>
        <s v="TXN100970"/>
        <s v="TXN100971"/>
        <s v="TXN100972"/>
        <s v="TXN100973"/>
        <s v="TXN100974"/>
        <s v="TXN100975"/>
        <s v="TXN100976"/>
        <s v="TXN100977"/>
        <s v="TXN100978"/>
        <s v="TXN100979"/>
        <s v="TXN100980"/>
        <s v="TXN100981"/>
        <s v="TXN100982"/>
        <s v="TXN100983"/>
        <s v="TXN100984"/>
        <s v="TXN100985"/>
        <s v="TXN100986"/>
        <s v="TXN100987"/>
        <s v="TXN100988"/>
        <s v="TXN100989"/>
        <s v="TXN100990"/>
        <s v="TXN100991"/>
        <s v="TXN100992"/>
        <s v="TXN100993"/>
        <s v="TXN100994"/>
        <s v="TXN100995"/>
        <s v="TXN100996"/>
        <s v="TXN100997"/>
        <s v="TXN100998"/>
        <s v="TXN100999"/>
        <s v="TXN101000"/>
        <s v="TXN101001"/>
      </sharedItems>
    </cacheField>
    <cacheField name="Date" numFmtId="0">
      <sharedItems/>
    </cacheField>
    <cacheField name="Account_Type" numFmtId="0">
      <sharedItems count="3">
        <s v="Current"/>
        <s v="Business"/>
        <s v="Savings"/>
      </sharedItems>
    </cacheField>
    <cacheField name="Customer_ID" numFmtId="0">
      <sharedItems count="943">
        <s v="CUST7423"/>
        <s v="CUST5048"/>
        <s v="CUST8210"/>
        <s v="CUST6383"/>
        <s v="CUST2889"/>
        <s v="CUST3946"/>
        <s v="CUST6497"/>
        <s v="CUST7194"/>
        <s v="CUST3236"/>
        <s v="CUST5478"/>
        <s v="CUST9219"/>
        <s v="CUST2267"/>
        <s v="CUST5520"/>
        <s v="CUST4931"/>
        <s v="CUST7642"/>
        <s v="CUST1594"/>
        <s v="CUST8715"/>
        <s v="CUST6128"/>
        <s v="CUST5530"/>
        <s v="CUST8449"/>
        <s v="CUST6512"/>
        <s v="CUST2794"/>
        <s v="CUST2830"/>
        <s v="CUST2965"/>
        <s v="CUST1257"/>
        <s v="CUST2274"/>
        <s v="CUST2611"/>
        <s v="CUST2561"/>
        <s v="CUST4319"/>
        <s v="CUST8105"/>
        <s v="CUST4706"/>
        <s v="CUST6486"/>
        <s v="CUST2110"/>
        <s v="CUST3252"/>
        <s v="CUST1985"/>
        <s v="CUST1527"/>
        <s v="CUST6826"/>
        <s v="CUST7728"/>
        <s v="CUST5473"/>
        <s v="CUST4731"/>
        <s v="CUST1909"/>
        <s v="CUST2841"/>
        <s v="CUST6520"/>
        <s v="CUST5281"/>
        <s v="CUST1154"/>
        <s v="CUST2505"/>
        <s v="CUST7440"/>
        <s v="CUST4002"/>
        <s v="CUST9111"/>
        <s v="CUST3074"/>
        <s v="CUST9205"/>
        <s v="CUST9043"/>
        <s v="CUST5294"/>
        <s v="CUST3472"/>
        <s v="CUST7174"/>
        <s v="CUST1063"/>
        <s v="CUST2086"/>
        <s v="CUST9224"/>
        <s v="CUST2354"/>
        <s v="CUST4840"/>
        <s v="CUST8004"/>
        <s v="CUST9031"/>
        <s v="CUST9609"/>
        <s v="CUST6458"/>
        <s v="CUST3929"/>
        <s v="CUST9920"/>
        <s v="CUST6865"/>
        <s v="CUST5333"/>
        <s v="CUST2902"/>
        <s v="CUST5582"/>
        <s v="CUST5904"/>
        <s v="CUST4799"/>
        <s v="CUST2186"/>
        <s v="CUST7999"/>
        <s v="CUST5317"/>
        <s v="CUST8174"/>
        <s v="CUST4934"/>
        <s v="CUST3071"/>
        <s v="CUST3069"/>
        <s v="CUST3086"/>
        <s v="CUST7189"/>
        <s v="CUST8676"/>
        <s v="CUST6948"/>
        <s v="CUST1069"/>
        <s v="CUST7430"/>
        <s v="CUST4227"/>
        <s v="CUST7988"/>
        <s v="CUST1058"/>
        <s v="CUST4648"/>
        <s v="CUST8577"/>
        <s v="CUST5781"/>
        <s v="CUST5475"/>
        <s v="CUST2480"/>
        <s v="CUST8693"/>
        <s v="CUST1207"/>
        <s v="CUST7684"/>
        <s v="CUST6740"/>
        <s v="CUST9850"/>
        <s v="CUST6226"/>
        <s v="CUST7507"/>
        <s v="CUST6576"/>
        <s v="CUST9221"/>
        <s v="CUST3433"/>
        <s v="CUST9570"/>
        <s v="CUST5662"/>
        <s v="CUST6734"/>
        <s v="CUST4506"/>
        <s v="CUST3717"/>
        <s v="CUST7048"/>
        <s v="CUST8515"/>
        <s v="CUST3246"/>
        <s v="CUST8434"/>
        <s v="CUST5323"/>
        <s v="CUST7584"/>
        <s v="CUST6787"/>
        <s v="CUST4567"/>
        <s v="CUST8535"/>
        <s v="CUST9901"/>
        <s v="CUST9963"/>
        <s v="CUST9148"/>
        <s v="CUST8331"/>
        <s v="CUST1961"/>
        <s v="CUST2221"/>
        <s v="CUST1404"/>
        <s v="CUST9583"/>
        <s v="CUST1407"/>
        <s v="CUST5302"/>
        <s v="CUST3079"/>
        <s v="CUST7961"/>
        <s v="CUST7404"/>
        <s v="CUST5500"/>
        <s v="CUST2422"/>
        <s v="CUST9644"/>
        <s v="CUST5943"/>
        <s v="CUST8321"/>
        <s v="CUST4612"/>
        <s v="CUST1171"/>
        <s v="CUST3401"/>
        <s v="CUST2232"/>
        <s v="CUST3378"/>
        <s v="CUST7209"/>
        <s v="CUST5644"/>
        <s v="CUST5849"/>
        <s v="CUST3100"/>
        <s v="CUST9936"/>
        <s v="CUST1670"/>
        <s v="CUST9483"/>
        <s v="CUST8898"/>
        <s v="CUST8876"/>
        <s v="CUST2453"/>
        <s v="CUST4110"/>
        <s v="CUST8327"/>
        <s v="CUST7543"/>
        <s v="CUST9126"/>
        <s v="CUST6201"/>
        <s v="CUST9575"/>
        <s v="CUST2089"/>
        <s v="CUST3304"/>
        <s v="CUST5775"/>
        <s v="CUST6860"/>
        <s v="CUST2287"/>
        <s v="CUST8534"/>
        <s v="CUST1782"/>
        <s v="CUST5950"/>
        <s v="CUST6083"/>
        <s v="CUST3352"/>
        <s v="CUST6752"/>
        <s v="CUST5417"/>
        <s v="CUST6926"/>
        <s v="CUST2560"/>
        <s v="CUST4522"/>
        <s v="CUST3324"/>
        <s v="CUST5665"/>
        <s v="CUST5622"/>
        <s v="CUST2278"/>
        <s v="CUST4995"/>
        <s v="CUST4378"/>
        <s v="CUST3019"/>
        <s v="CUST9278"/>
        <s v="CUST5354"/>
        <s v="CUST7981"/>
        <s v="CUST1091"/>
        <s v="CUST5607"/>
        <s v="CUST9195"/>
        <s v="CUST5610"/>
        <s v="CUST1548"/>
        <s v="CUST6494"/>
        <s v="CUST9900"/>
        <s v="CUST9241"/>
        <s v="CUST9006"/>
        <s v="CUST3805"/>
        <s v="CUST2355"/>
        <s v="CUST3615"/>
        <s v="CUST1335"/>
        <s v="CUST8773"/>
        <s v="CUST2489"/>
        <s v="CUST8818"/>
        <s v="CUST3221"/>
        <s v="CUST5576"/>
        <s v="CUST8551"/>
        <s v="CUST9696"/>
        <s v="CUST1602"/>
        <s v="CUST6649"/>
        <s v="CUST4211"/>
        <s v="CUST2988"/>
        <s v="CUST4464"/>
        <s v="CUST1884"/>
        <s v="CUST7772"/>
        <s v="CUST2447"/>
        <s v="CUST8122"/>
        <s v="CUST3462"/>
        <s v="CUST5327"/>
        <s v="CUST3241"/>
        <s v="CUST3256"/>
        <s v="CUST1481"/>
        <s v="CUST5291"/>
        <s v="CUST4230"/>
        <s v="CUST4539"/>
        <s v="CUST4624"/>
        <s v="CUST8300"/>
        <s v="CUST4412"/>
        <s v="CUST6077"/>
        <s v="CUST3421"/>
        <s v="CUST8570"/>
        <s v="CUST4457"/>
        <s v="CUST3645"/>
        <s v="CUST5634"/>
        <s v="CUST9930"/>
        <s v="CUST5083"/>
        <s v="CUST9142"/>
        <s v="CUST6218"/>
        <s v="CUST4927"/>
        <s v="CUST8976"/>
        <s v="CUST2160"/>
        <s v="CUST9084"/>
        <s v="CUST6378"/>
        <s v="CUST3099"/>
        <s v="CUST7210"/>
        <s v="CUST9183"/>
        <s v="CUST2459"/>
        <s v="CUST5780"/>
        <s v="CUST4234"/>
        <s v="CUST1285"/>
        <s v="CUST2037"/>
        <s v="CUST7674"/>
        <s v="CUST7982"/>
        <s v="CUST6367"/>
        <s v="CUST7683"/>
        <s v="CUST9395"/>
        <s v="CUST9484"/>
        <s v="CUST7076"/>
        <s v="CUST5310"/>
        <s v="CUST1941"/>
        <s v="CUST1928"/>
        <s v="CUST2277"/>
        <s v="CUST7998"/>
        <s v="CUST3393"/>
        <s v="CUST1312"/>
        <s v="CUST8089"/>
        <s v="CUST1290"/>
        <s v="CUST2035"/>
        <s v="CUST4742"/>
        <s v="CUST4170"/>
        <s v="CUST1561"/>
        <s v="CUST1950"/>
        <s v="CUST4183"/>
        <s v="CUST2055"/>
        <s v="CUST3031"/>
        <s v="CUST2600"/>
        <s v="CUST7652"/>
        <s v="CUST3204"/>
        <s v="CUST2880"/>
        <s v="CUST4093"/>
        <s v="CUST9990"/>
        <s v="CUST4146"/>
        <s v="CUST4322"/>
        <s v="CUST4431"/>
        <s v="CUST6454"/>
        <s v="CUST4898"/>
        <s v="CUST8564"/>
        <s v="CUST5835"/>
        <s v="CUST1003"/>
        <s v="CUST8027"/>
        <s v="CUST3038"/>
        <s v="CUST8505"/>
        <s v="CUST6925"/>
        <s v="CUST8916"/>
        <s v="CUST2829"/>
        <s v="CUST1213"/>
        <s v="CUST1190"/>
        <s v="CUST2322"/>
        <s v="CUST9576"/>
        <s v="CUST7106"/>
        <s v="CUST7638"/>
        <s v="CUST3738"/>
        <s v="CUST2176"/>
        <s v="CUST3881"/>
        <s v="CUST5851"/>
        <s v="CUST8067"/>
        <s v="CUST9677"/>
        <s v="CUST6959"/>
        <s v="CUST6637"/>
        <s v="CUST1368"/>
        <s v="CUST6821"/>
        <s v="CUST8602"/>
        <s v="CUST1949"/>
        <s v="CUST1703"/>
        <s v="CUST2295"/>
        <s v="CUST7383"/>
        <s v="CUST7283"/>
        <s v="CUST6843"/>
        <s v="CUST6120"/>
        <s v="CUST4225"/>
        <s v="CUST3206"/>
        <s v="CUST7459"/>
        <s v="CUST3090"/>
        <s v="CUST2518"/>
        <s v="CUST1860"/>
        <s v="CUST3618"/>
        <s v="CUST4388"/>
        <s v="CUST6566"/>
        <s v="CUST2414"/>
        <s v="CUST7497"/>
        <s v="CUST5119"/>
        <s v="CUST2989"/>
        <s v="CUST9913"/>
        <s v="CUST5533"/>
        <s v="CUST1436"/>
        <s v="CUST2236"/>
        <s v="CUST9601"/>
        <s v="CUST6326"/>
        <s v="CUST5633"/>
        <s v="CUST1937"/>
        <s v="CUST1702"/>
        <s v="CUST5729"/>
        <s v="CUST3984"/>
        <s v="CUST7431"/>
        <s v="CUST1186"/>
        <s v="CUST4101"/>
        <s v="CUST2823"/>
        <s v="CUST7131"/>
        <s v="CUST2848"/>
        <s v="CUST8370"/>
        <s v="CUST9144"/>
        <s v="CUST7672"/>
        <s v="CUST2206"/>
        <s v="CUST5827"/>
        <s v="CUST9988"/>
        <s v="CUST9848"/>
        <s v="CUST2915"/>
        <s v="CUST5101"/>
        <s v="CUST5787"/>
        <s v="CUST2216"/>
        <s v="CUST7059"/>
        <s v="CUST3812"/>
        <s v="CUST5870"/>
        <s v="CUST2297"/>
        <s v="CUST7756"/>
        <s v="CUST4676"/>
        <s v="CUST8782"/>
        <s v="CUST4441"/>
        <s v="CUST6365"/>
        <s v="CUST4112"/>
        <s v="CUST4528"/>
        <s v="CUST1657"/>
        <s v="CUST1554"/>
        <s v="CUST4859"/>
        <s v="CUST5532"/>
        <s v="CUST8622"/>
        <s v="CUST7436"/>
        <s v="CUST3420"/>
        <s v="CUST4918"/>
        <s v="CUST7816"/>
        <s v="CUST6851"/>
        <s v="CUST5854"/>
        <s v="CUST5540"/>
        <s v="CUST5660"/>
        <s v="CUST6341"/>
        <s v="CUST6467"/>
        <s v="CUST5637"/>
        <s v="CUST4991"/>
        <s v="CUST8599"/>
        <s v="CUST7021"/>
        <s v="CUST1181"/>
        <s v="CUST2695"/>
        <s v="CUST9440"/>
        <s v="CUST5581"/>
        <s v="CUST7824"/>
        <s v="CUST8781"/>
        <s v="CUST1015"/>
        <s v="CUST4696"/>
        <s v="CUST6664"/>
        <s v="CUST4568"/>
        <s v="CUST6720"/>
        <s v="CUST6519"/>
        <s v="CUST2272"/>
        <s v="CUST2193"/>
        <s v="CUST8245"/>
        <s v="CUST6081"/>
        <s v="CUST4672"/>
        <s v="CUST6638"/>
        <s v="CUST6177"/>
        <s v="CUST8135"/>
        <s v="CUST8991"/>
        <s v="CUST7429"/>
        <s v="CUST2452"/>
        <s v="CUST9803"/>
        <s v="CUST2648"/>
        <s v="CUST3973"/>
        <s v="CUST5948"/>
        <s v="CUST7316"/>
        <s v="CUST7452"/>
        <s v="CUST6987"/>
        <s v="CUST2672"/>
        <s v="CUST3668"/>
        <s v="CUST3478"/>
        <s v="CUST5587"/>
        <s v="CUST8288"/>
        <s v="CUST8948"/>
        <s v="CUST7579"/>
        <s v="CUST6364"/>
        <s v="CUST7458"/>
        <s v="CUST7472"/>
        <s v="CUST2559"/>
        <s v="CUST5343"/>
        <s v="CUST7509"/>
        <s v="CUST4090"/>
        <s v="CUST9472"/>
        <s v="CUST6457"/>
        <s v="CUST5806"/>
        <s v="CUST4354"/>
        <s v="CUST9845"/>
        <s v="CUST3774"/>
        <s v="CUST1906"/>
        <s v="CUST1322"/>
        <s v="CUST8738"/>
        <s v="CUST2435"/>
        <s v="CUST8537"/>
        <s v="CUST3573"/>
        <s v="CUST6301"/>
        <s v="CUST1772"/>
        <s v="CUST3526"/>
        <s v="CUST3679"/>
        <s v="CUST9430"/>
        <s v="CUST2992"/>
        <s v="CUST9460"/>
        <s v="CUST2573"/>
        <s v="CUST8399"/>
        <s v="CUST5028"/>
        <s v="CUST8308"/>
        <s v="CUST8992"/>
        <s v="CUST9783"/>
        <s v="CUST9508"/>
        <s v="CUST7141"/>
        <s v="CUST9125"/>
        <s v="CUST3667"/>
        <s v="CUST5385"/>
        <s v="CUST9332"/>
        <s v="CUST4575"/>
        <s v="CUST6252"/>
        <s v="CUST7222"/>
        <s v="CUST4085"/>
        <s v="CUST3481"/>
        <s v="CUST4629"/>
        <s v="CUST2015"/>
        <s v="CUST3027"/>
        <s v="CUST3841"/>
        <s v="CUST5185"/>
        <s v="CUST6548"/>
        <s v="CUST1156"/>
        <s v="CUST4214"/>
        <s v="CUST4883"/>
        <s v="CUST8250"/>
        <s v="CUST1943"/>
        <s v="CUST8403"/>
        <s v="CUST7338"/>
        <s v="CUST9534"/>
        <s v="CUST2332"/>
        <s v="CUST3751"/>
        <s v="CUST2556"/>
        <s v="CUST1959"/>
        <s v="CUST8207"/>
        <s v="CUST4482"/>
        <s v="CUST6037"/>
        <s v="CUST2926"/>
        <s v="CUST8573"/>
        <s v="CUST4115"/>
        <s v="CUST9132"/>
        <s v="CUST1820"/>
        <s v="CUST4042"/>
        <s v="CUST2661"/>
        <s v="CUST1894"/>
        <s v="CUST7326"/>
        <s v="CUST3580"/>
        <s v="CUST7799"/>
        <s v="CUST9726"/>
        <s v="CUST7614"/>
        <s v="CUST5300"/>
        <s v="CUST2344"/>
        <s v="CUST8680"/>
        <s v="CUST5123"/>
        <s v="CUST3866"/>
        <s v="CUST4848"/>
        <s v="CUST3336"/>
        <s v="CUST4151"/>
        <s v="CUST3270"/>
        <s v="CUST5868"/>
        <s v="CUST1152"/>
        <s v="CUST8257"/>
        <s v="CUST6908"/>
        <s v="CUST7201"/>
        <s v="CUST6144"/>
        <s v="CUST9602"/>
        <s v="CUST8833"/>
        <s v="CUST8589"/>
        <s v="CUST6642"/>
        <s v="CUST7975"/>
        <s v="CUST2427"/>
        <s v="CUST7364"/>
        <s v="CUST2564"/>
        <s v="CUST2956"/>
        <s v="CUST4802"/>
        <s v="CUST2446"/>
        <s v="CUST2620"/>
        <s v="CUST4555"/>
        <s v="CUST2454"/>
        <s v="CUST8596"/>
        <s v="CUST4284"/>
        <s v="CUST1802"/>
        <s v="CUST4800"/>
        <s v="CUST7032"/>
        <s v="CUST6209"/>
        <s v="CUST3897"/>
        <s v="CUST5963"/>
        <s v="CUST4329"/>
        <s v="CUST1843"/>
        <s v="CUST9926"/>
        <s v="CUST2515"/>
        <s v="CUST9236"/>
        <s v="CUST6157"/>
        <s v="CUST9577"/>
        <s v="CUST9388"/>
        <s v="CUST7072"/>
        <s v="CUST9173"/>
        <s v="CUST9423"/>
        <s v="CUST1087"/>
        <s v="CUST3225"/>
        <s v="CUST3443"/>
        <s v="CUST7602"/>
        <s v="CUST3816"/>
        <s v="CUST3537"/>
        <s v="CUST6756"/>
        <s v="CUST1709"/>
        <s v="CUST8789"/>
        <s v="CUST6312"/>
        <s v="CUST4599"/>
        <s v="CUST7033"/>
        <s v="CUST3843"/>
        <s v="CUST9321"/>
        <s v="CUST5194"/>
        <s v="CUST5455"/>
        <s v="CUST6788"/>
        <s v="CUST4858"/>
        <s v="CUST7516"/>
        <s v="CUST4792"/>
        <s v="CUST9808"/>
        <s v="CUST9883"/>
        <s v="CUST7039"/>
        <s v="CUST8127"/>
        <s v="CUST8489"/>
        <s v="CUST5558"/>
        <s v="CUST5504"/>
        <s v="CUST7805"/>
        <s v="CUST5894"/>
        <s v="CUST9281"/>
        <s v="CUST2217"/>
        <s v="CUST4855"/>
        <s v="CUST7678"/>
        <s v="CUST5682"/>
        <s v="CUST5301"/>
        <s v="CUST3040"/>
        <s v="CUST3316"/>
        <s v="CUST4844"/>
        <s v="CUST3942"/>
        <s v="CUST3064"/>
        <s v="CUST1920"/>
        <s v="CUST5503"/>
        <s v="CUST8208"/>
        <s v="CUST5431"/>
        <s v="CUST9150"/>
        <s v="CUST1454"/>
        <s v="CUST8633"/>
        <s v="CUST5485"/>
        <s v="CUST1107"/>
        <s v="CUST8612"/>
        <s v="CUST7563"/>
        <s v="CUST2769"/>
        <s v="CUST6463"/>
        <s v="CUST2383"/>
        <s v="CUST4711"/>
        <s v="CUST1124"/>
        <s v="CUST2069"/>
        <s v="CUST1549"/>
        <s v="CUST5072"/>
        <s v="CUST4914"/>
        <s v="CUST7717"/>
        <s v="CUST4424"/>
        <s v="CUST4261"/>
        <s v="CUST3970"/>
        <s v="CUST4007"/>
        <s v="CUST5381"/>
        <s v="CUST8677"/>
        <s v="CUST9082"/>
        <s v="CUST8883"/>
        <s v="CUST5187"/>
        <s v="CUST1142"/>
        <s v="CUST4186"/>
        <s v="CUST5172"/>
        <s v="CUST2101"/>
        <s v="CUST9855"/>
        <s v="CUST8583"/>
        <s v="CUST3559"/>
        <s v="CUST4175"/>
        <s v="CUST4769"/>
        <s v="CUST8435"/>
        <s v="CUST4578"/>
        <s v="CUST3832"/>
        <s v="CUST7575"/>
        <s v="CUST4662"/>
        <s v="CUST1049"/>
        <s v="CUST6936"/>
        <s v="CUST3275"/>
        <s v="CUST4866"/>
        <s v="CUST9544"/>
        <s v="CUST4913"/>
        <s v="CUST2955"/>
        <s v="CUST8156"/>
        <s v="CUST2450"/>
        <s v="CUST7989"/>
        <s v="CUST7449"/>
        <s v="CUST9625"/>
        <s v="CUST8412"/>
        <s v="CUST6398"/>
        <s v="CUST5564"/>
        <s v="CUST6771"/>
        <s v="CUST6159"/>
        <s v="CUST1099"/>
        <s v="CUST6161"/>
        <s v="CUST9942"/>
        <s v="CUST6762"/>
        <s v="CUST3012"/>
        <s v="CUST7870"/>
        <s v="CUST8092"/>
        <s v="CUST3152"/>
        <s v="CUST6086"/>
        <s v="CUST6675"/>
        <s v="CUST5668"/>
        <s v="CUST6413"/>
        <s v="CUST3041"/>
        <s v="CUST8116"/>
        <s v="CUST8615"/>
        <s v="CUST4116"/>
        <s v="CUST5828"/>
        <s v="CUST9671"/>
        <s v="CUST6498"/>
        <s v="CUST1056"/>
        <s v="CUST5979"/>
        <s v="CUST4595"/>
        <s v="CUST6182"/>
        <s v="CUST6087"/>
        <s v="CUST9925"/>
        <s v="CUST5453"/>
        <s v="CUST4570"/>
        <s v="CUST3356"/>
        <s v="CUST5186"/>
        <s v="CUST4983"/>
        <s v="CUST9898"/>
        <s v="CUST1070"/>
        <s v="CUST3299"/>
        <s v="CUST3374"/>
        <s v="CUST2181"/>
        <s v="CUST6112"/>
        <s v="CUST2707"/>
        <s v="CUST6188"/>
        <s v="CUST5200"/>
        <s v="CUST4667"/>
        <s v="CUST5078"/>
        <s v="CUST5700"/>
        <s v="CUST4299"/>
        <s v="CUST3402"/>
        <s v="CUST5204"/>
        <s v="CUST5864"/>
        <s v="CUST8510"/>
        <s v="CUST7780"/>
        <s v="CUST8706"/>
        <s v="CUST4887"/>
        <s v="CUST8524"/>
        <s v="CUST1710"/>
        <s v="CUST4244"/>
        <s v="CUST1889"/>
        <s v="CUST8862"/>
        <s v="CUST7613"/>
        <s v="CUST2998"/>
        <s v="CUST8273"/>
        <s v="CUST9347"/>
        <s v="CUST1882"/>
        <s v="CUST1048"/>
        <s v="CUST7601"/>
        <s v="CUST5992"/>
        <s v="CUST3777"/>
        <s v="CUST7992"/>
        <s v="CUST8823"/>
        <s v="CUST5426"/>
        <s v="CUST1360"/>
        <s v="CUST4523"/>
        <s v="CUST5924"/>
        <s v="CUST1713"/>
        <s v="CUST6114"/>
        <s v="CUST5438"/>
        <s v="CUST2884"/>
        <s v="CUST2222"/>
        <s v="CUST7297"/>
        <s v="CUST5732"/>
        <s v="CUST3108"/>
        <s v="CUST7958"/>
        <s v="CUST1587"/>
        <s v="CUST5369"/>
        <s v="CUST8095"/>
        <s v="CUST1624"/>
        <s v="CUST6315"/>
        <s v="CUST8386"/>
        <s v="CUST9844"/>
        <s v="CUST9190"/>
        <s v="CUST7821"/>
        <s v="CUST4694"/>
        <s v="CUST8611"/>
        <s v="CUST2927"/>
        <s v="CUST7748"/>
        <s v="CUST3534"/>
        <s v="CUST1428"/>
        <s v="CUST2671"/>
        <s v="CUST9284"/>
        <s v="CUST5282"/>
        <s v="CUST8917"/>
        <s v="CUST4239"/>
        <s v="CUST1856"/>
        <s v="CUST8902"/>
        <s v="CUST4976"/>
        <s v="CUST1812"/>
        <s v="CUST4534"/>
        <s v="CUST6040"/>
        <s v="CUST1974"/>
        <s v="CUST1079"/>
        <s v="CUST5897"/>
        <s v="CUST6706"/>
        <s v="CUST3744"/>
        <s v="CUST3218"/>
        <s v="CUST7686"/>
        <s v="CUST8514"/>
        <s v="CUST9511"/>
        <s v="CUST6855"/>
        <s v="CUST8851"/>
        <s v="CUST3202"/>
        <s v="CUST5371"/>
        <s v="CUST3664"/>
        <s v="CUST8211"/>
        <s v="CUST3010"/>
        <s v="CUST8787"/>
        <s v="CUST8687"/>
        <s v="CUST9373"/>
        <s v="CUST4049"/>
        <s v="CUST2961"/>
        <s v="CUST7405"/>
        <s v="CUST6488"/>
        <s v="CUST7258"/>
        <s v="CUST7949"/>
        <s v="CUST7990"/>
        <s v="CUST1734"/>
        <s v="CUST1751"/>
        <s v="CUST7355"/>
        <s v="CUST7367"/>
        <s v="CUST2230"/>
        <s v="CUST3553"/>
        <s v="CUST4118"/>
        <s v="CUST2608"/>
        <s v="CUST3868"/>
        <s v="CUST8252"/>
        <s v="CUST6346"/>
        <s v="CUST7232"/>
        <s v="CUST5137"/>
        <s v="CUST7605"/>
        <s v="CUST3879"/>
        <s v="CUST4598"/>
        <s v="CUST4750"/>
        <s v="CUST3473"/>
        <s v="CUST2711"/>
        <s v="CUST3368"/>
        <s v="CUST1359"/>
        <s v="CUST6596"/>
        <s v="CUST1725"/>
        <s v="CUST8810"/>
        <s v="CUST5909"/>
        <s v="CUST4460"/>
        <s v="CUST6249"/>
        <s v="CUST5254"/>
        <s v="CUST1568"/>
        <s v="CUST4177"/>
        <s v="CUST9182"/>
        <s v="CUST8858"/>
        <s v="CUST5638"/>
        <s v="CUST8508"/>
        <s v="CUST2542"/>
        <s v="CUST6119"/>
        <s v="CUST9934"/>
        <s v="CUST9510"/>
        <s v="CUST7356"/>
        <s v="CUST1367"/>
        <s v="CUST3407"/>
        <s v="CUST1753"/>
        <s v="CUST1298"/>
        <s v="CUST2662"/>
        <s v="CUST6912"/>
        <s v="CUST6266"/>
        <s v="CUST4137"/>
        <s v="CUST5848"/>
        <s v="CUST2365"/>
        <s v="CUST5253"/>
        <s v="CUST2121"/>
        <s v="CUST2479"/>
        <s v="CUST5005"/>
        <s v="CUST7489"/>
        <s v="CUST9461"/>
        <s v="CUST7857"/>
        <s v="CUST9161"/>
        <s v="CUST1625"/>
        <s v="CUST4772"/>
        <s v="CUST6435"/>
        <s v="CUST3935"/>
        <s v="CUST7239"/>
        <s v="CUST3436"/>
        <s v="CUST7115"/>
        <s v="CUST5054"/>
        <s v="CUST3502"/>
        <s v="CUST6281"/>
        <s v="CUST1690"/>
        <s v="CUST7796"/>
        <s v="CUST5867"/>
        <s v="CUST4142"/>
        <s v="CUST5009"/>
        <s v="CUST5529"/>
        <s v="CUST1733"/>
        <s v="CUST4323"/>
        <s v="CUST1638"/>
        <s v="CUST6390"/>
        <s v="CUST7358"/>
        <s v="CUST7536"/>
        <s v="CUST8081"/>
        <s v="CUST2337"/>
        <s v="CUST7331"/>
        <s v="CUST4259"/>
        <s v="CUST5209"/>
        <s v="CUST8090"/>
        <s v="CUST2660"/>
        <s v="CUST9159"/>
        <s v="CUST7251"/>
        <s v="CUST7840"/>
        <s v="CUST2401"/>
        <s v="CUST9767"/>
        <s v="CUST8363"/>
        <s v="CUST5468"/>
        <s v="CUST5441"/>
        <s v="CUST4249"/>
        <s v="CUST1825"/>
        <s v="CUST9852"/>
        <s v="CUST3742"/>
        <s v="CUST5741"/>
        <s v="CUST4471"/>
        <s v="CUST9201"/>
        <s v="CUST8859"/>
        <s v="CUST9448"/>
        <s v="CUST4296"/>
        <s v="CUST8921"/>
        <s v="CUST7675"/>
        <s v="CUST9139"/>
        <s v="CUST8911"/>
        <s v="CUST4128"/>
        <s v="CUST6797"/>
        <s v="CUST6353"/>
        <s v="CUST8618"/>
        <s v="CUST1834"/>
        <s v="CUST9239"/>
        <s v="CUST6751"/>
        <s v="CUST3886"/>
        <s v="CUST2953"/>
        <s v="CUST3960"/>
        <s v="CUST9587"/>
        <s v="CUST5824"/>
        <s v="CUST4621"/>
        <s v="CUST1111"/>
        <s v="CUST8644"/>
        <s v="CUST9996"/>
        <s v="CUST8997"/>
        <s v="CUST1707"/>
        <s v="CUST6593"/>
        <s v="CUST4199"/>
        <s v="CUST2125"/>
        <s v="CUST5514"/>
        <s v="CUST9526"/>
        <s v="CUST1221"/>
        <s v="CUST7762"/>
        <s v="CUST3636"/>
        <s v="CUST1067"/>
        <s v="CUST2104"/>
        <s v="CUST9805"/>
        <s v="CUST6090"/>
        <s v="CUST7323"/>
        <s v="CUST5810"/>
        <s v="CUST7312"/>
        <s v="CUST4519"/>
        <s v="CUST4899"/>
        <s v="CUST9631"/>
        <s v="CUST1018"/>
        <s v="CUST2461"/>
        <s v="CUST8557"/>
        <s v="CUST3029"/>
        <s v="CUST3140"/>
        <s v="CUST3637"/>
        <s v="CUST9806"/>
        <s v="CUST6895"/>
        <s v="CUST9632"/>
        <s v="CUST6754"/>
        <s v="CUST7769"/>
        <s v="CUST3158"/>
        <s v="CUST2441"/>
        <s v="CUST3126"/>
        <s v="CUST8712"/>
        <s v="CUST8937"/>
        <s v="CUST2966"/>
        <s v="CUST1024"/>
        <s v="CUST1596"/>
        <s v="CUST5597"/>
        <s v="CUST3109"/>
        <s v="CUST1328"/>
      </sharedItems>
    </cacheField>
    <cacheField name="Region" numFmtId="0">
      <sharedItems count="4">
        <s v="South"/>
        <s v="West"/>
        <s v="North"/>
        <s v="East"/>
      </sharedItems>
    </cacheField>
    <cacheField name="Branch" numFmtId="0">
      <sharedItems/>
    </cacheField>
    <cacheField name="Transaction_Type" numFmtId="0">
      <sharedItems count="4">
        <s v="Payment"/>
        <s v="Deposit"/>
        <s v="Transfer"/>
        <s v="Withdrawal"/>
      </sharedItems>
    </cacheField>
    <cacheField name="Payment_Method" numFmtId="0">
      <sharedItems count="5">
        <s v="RTGS"/>
        <s v="UPI"/>
        <s v="NEFT"/>
        <s v="Cash"/>
        <s v="Card"/>
      </sharedItems>
    </cacheField>
    <cacheField name="Currency" numFmtId="0">
      <sharedItems/>
    </cacheField>
    <cacheField name="Amount" numFmtId="0">
      <sharedItems containsSemiMixedTypes="0" containsString="0" containsNumber="1" minValue="1145.4000000000001" maxValue="199865.12"/>
    </cacheField>
    <cacheField name="Fee" numFmtId="0">
      <sharedItems containsSemiMixedTypes="0" containsString="0" containsNumber="1" minValue="3.41" maxValue="3720.58"/>
    </cacheField>
    <cacheField name="Tax" numFmtId="0">
      <sharedItems containsSemiMixedTypes="0" containsString="0" containsNumber="1" minValue="0.61" maxValue="669.7"/>
    </cacheField>
    <cacheField name="Discount" numFmtId="0">
      <sharedItems containsSemiMixedTypes="0" containsString="0" containsNumber="1" minValue="0.5" maxValue="497.36"/>
    </cacheField>
    <cacheField name="Net_Amount" numFmtId="0">
      <sharedItems containsSemiMixedTypes="0" containsString="0" containsNumber="1" minValue="814.34" maxValue="203349.06"/>
    </cacheField>
    <cacheField name="Balance" numFmtId="0">
      <sharedItems containsSemiMixedTypes="0" containsString="0" containsNumber="1" minValue="45336.61" maxValue="2356477.46"/>
    </cacheField>
    <cacheField name="Credit_Score" numFmtId="0">
      <sharedItems containsSemiMixedTypes="0" containsString="0" containsNumber="1" containsInteger="1" minValue="300" maxValue="900"/>
    </cacheField>
    <cacheField name="Risk_Level" numFmtId="0">
      <sharedItems count="3">
        <s v="Low"/>
        <s v="Medium"/>
        <s v="High"/>
      </sharedItems>
    </cacheField>
    <cacheField name="Status" numFmtId="0">
      <sharedItems/>
    </cacheField>
    <cacheField name="Category" numFmtId="0">
      <sharedItems count="4">
        <s v="Investment"/>
        <s v="Retail"/>
        <s v="Insurance"/>
        <s v="Loan"/>
      </sharedItems>
    </cacheField>
    <cacheField name="Remarks" numFmtId="0">
      <sharedItems/>
    </cacheField>
    <cacheField name="month" numFmtId="164">
      <sharedItems containsSemiMixedTypes="0" containsNonDate="0" containsDate="1" containsString="0" minDate="2025-01-01T00:00:00" maxDate="2025-12-02T00:00:00" count="12">
        <d v="2025-02-01T00:00:00"/>
        <d v="2025-11-01T00:00:00"/>
        <d v="2025-04-01T00:00:00"/>
        <d v="2025-03-01T00:00:00"/>
        <d v="2025-01-01T00:00:00"/>
        <d v="2025-05-01T00:00:00"/>
        <d v="2025-10-01T00:00:00"/>
        <d v="2025-07-01T00:00:00"/>
        <d v="2025-08-01T00:00:00"/>
        <d v="2025-12-01T00:00:00"/>
        <d v="2025-06-01T00:00:00"/>
        <d v="2025-09-01T00:00:00"/>
      </sharedItems>
      <fieldGroup par="22"/>
    </cacheField>
    <cacheField name="Days (month)" numFmtId="0" databaseField="0">
      <fieldGroup base="20">
        <rangePr groupBy="days" startDate="2025-01-01T00:00:00" endDate="2025-12-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5"/>
        </groupItems>
      </fieldGroup>
    </cacheField>
    <cacheField name="Months (month)" numFmtId="0" databaseField="0">
      <fieldGroup base="20">
        <rangePr groupBy="months" startDate="2025-01-01T00:00:00" endDate="2025-12-02T00:00:00"/>
        <groupItems count="14">
          <s v="&lt;01-01-2025"/>
          <s v="Jan"/>
          <s v="Feb"/>
          <s v="Mar"/>
          <s v="Apr"/>
          <s v="May"/>
          <s v="Jun"/>
          <s v="Jul"/>
          <s v="Aug"/>
          <s v="Sep"/>
          <s v="Oct"/>
          <s v="Nov"/>
          <s v="Dec"/>
          <s v="&gt;02-12-2025"/>
        </groupItems>
      </fieldGroup>
    </cacheField>
  </cacheFields>
  <extLst>
    <ext xmlns:x14="http://schemas.microsoft.com/office/spreadsheetml/2009/9/main" uri="{725AE2AE-9491-48be-B2B4-4EB974FC3084}">
      <x14:pivotCacheDefinition pivotCacheId="1111651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2025-02-13"/>
    <x v="0"/>
    <x v="0"/>
    <x v="0"/>
    <s v="D"/>
    <x v="0"/>
    <x v="0"/>
    <s v="USD"/>
    <n v="157072.88"/>
    <n v="2853.74"/>
    <n v="513.66999999999996"/>
    <n v="48.21"/>
    <n v="160392.07999999999"/>
    <n v="45650.84"/>
    <n v="738"/>
    <x v="0"/>
    <s v="Pending"/>
    <x v="0"/>
    <s v="None"/>
    <x v="0"/>
  </r>
  <r>
    <x v="1"/>
    <s v="2025-11-24"/>
    <x v="1"/>
    <x v="1"/>
    <x v="1"/>
    <s v="C"/>
    <x v="0"/>
    <x v="1"/>
    <s v="INR"/>
    <n v="65228.78"/>
    <n v="930"/>
    <n v="167.4"/>
    <n v="206.92"/>
    <n v="66119.259999999995"/>
    <n v="47376.39"/>
    <n v="444"/>
    <x v="0"/>
    <s v="Pending"/>
    <x v="0"/>
    <s v="Verified"/>
    <x v="1"/>
  </r>
  <r>
    <x v="2"/>
    <s v="2025-04-05"/>
    <x v="0"/>
    <x v="2"/>
    <x v="2"/>
    <s v="A"/>
    <x v="1"/>
    <x v="2"/>
    <s v="INR"/>
    <n v="144421.21"/>
    <n v="675.02"/>
    <n v="121.5"/>
    <n v="380.78"/>
    <n v="144836.95000000001"/>
    <n v="45408.24"/>
    <n v="643"/>
    <x v="0"/>
    <s v="Pending"/>
    <x v="0"/>
    <s v="None"/>
    <x v="2"/>
  </r>
  <r>
    <x v="3"/>
    <s v="2025-11-08"/>
    <x v="0"/>
    <x v="3"/>
    <x v="2"/>
    <s v="A"/>
    <x v="0"/>
    <x v="3"/>
    <s v="INR"/>
    <n v="137553.99"/>
    <n v="246.66"/>
    <n v="44.4"/>
    <n v="90.29"/>
    <n v="137754.76"/>
    <n v="50837.48"/>
    <n v="820"/>
    <x v="1"/>
    <s v="Failed"/>
    <x v="0"/>
    <s v="Review"/>
    <x v="1"/>
  </r>
  <r>
    <x v="4"/>
    <s v="2025-04-13"/>
    <x v="1"/>
    <x v="4"/>
    <x v="0"/>
    <s v="B"/>
    <x v="2"/>
    <x v="3"/>
    <s v="EUR"/>
    <n v="154900.13"/>
    <n v="3079.35"/>
    <n v="554.28"/>
    <n v="28.53"/>
    <n v="158505.23000000001"/>
    <n v="49010.33"/>
    <n v="613"/>
    <x v="0"/>
    <s v="Pending"/>
    <x v="1"/>
    <s v="Verified"/>
    <x v="2"/>
  </r>
  <r>
    <x v="5"/>
    <s v="2025-03-28"/>
    <x v="0"/>
    <x v="5"/>
    <x v="2"/>
    <s v="A"/>
    <x v="2"/>
    <x v="4"/>
    <s v="USD"/>
    <n v="39868.35"/>
    <n v="308.19"/>
    <n v="55.47"/>
    <n v="385.61"/>
    <n v="39846.400000000001"/>
    <n v="45336.61"/>
    <n v="603"/>
    <x v="0"/>
    <s v="Failed"/>
    <x v="1"/>
    <s v="Review"/>
    <x v="3"/>
  </r>
  <r>
    <x v="6"/>
    <s v="2025-11-27"/>
    <x v="0"/>
    <x v="6"/>
    <x v="3"/>
    <s v="D"/>
    <x v="0"/>
    <x v="4"/>
    <s v="USD"/>
    <n v="73225.13"/>
    <n v="1057.1099999999999"/>
    <n v="190.28"/>
    <n v="343.15"/>
    <n v="74129.37"/>
    <n v="47384.83"/>
    <n v="872"/>
    <x v="1"/>
    <s v="Pending"/>
    <x v="0"/>
    <s v="Review"/>
    <x v="1"/>
  </r>
  <r>
    <x v="7"/>
    <s v="2025-01-17"/>
    <x v="1"/>
    <x v="7"/>
    <x v="1"/>
    <s v="A"/>
    <x v="2"/>
    <x v="1"/>
    <s v="INR"/>
    <n v="25132.98"/>
    <n v="374.12"/>
    <n v="67.34"/>
    <n v="169.26"/>
    <n v="25405.18"/>
    <n v="50510.07"/>
    <n v="728"/>
    <x v="2"/>
    <s v="Completed"/>
    <x v="0"/>
    <s v="None"/>
    <x v="4"/>
  </r>
  <r>
    <x v="8"/>
    <s v="2025-05-19"/>
    <x v="0"/>
    <x v="8"/>
    <x v="0"/>
    <s v="D"/>
    <x v="2"/>
    <x v="0"/>
    <s v="INR"/>
    <n v="156654.53"/>
    <n v="1972.55"/>
    <n v="355.06"/>
    <n v="151.74"/>
    <n v="158830.39999999999"/>
    <n v="48565.2"/>
    <n v="854"/>
    <x v="1"/>
    <s v="Completed"/>
    <x v="2"/>
    <s v="None"/>
    <x v="5"/>
  </r>
  <r>
    <x v="9"/>
    <s v="2025-10-17"/>
    <x v="1"/>
    <x v="9"/>
    <x v="1"/>
    <s v="B"/>
    <x v="0"/>
    <x v="3"/>
    <s v="USD"/>
    <n v="51088.54"/>
    <n v="117.38"/>
    <n v="21.13"/>
    <n v="484.56"/>
    <n v="50742.49"/>
    <n v="50208.639999999999"/>
    <n v="648"/>
    <x v="0"/>
    <s v="Failed"/>
    <x v="0"/>
    <s v="None"/>
    <x v="6"/>
  </r>
  <r>
    <x v="10"/>
    <s v="2025-11-30"/>
    <x v="1"/>
    <x v="10"/>
    <x v="0"/>
    <s v="C"/>
    <x v="0"/>
    <x v="2"/>
    <s v="INR"/>
    <n v="49529"/>
    <n v="211.15"/>
    <n v="38.01"/>
    <n v="217.32"/>
    <n v="49560.84"/>
    <n v="55293.73"/>
    <n v="887"/>
    <x v="2"/>
    <s v="Pending"/>
    <x v="3"/>
    <s v="Review"/>
    <x v="1"/>
  </r>
  <r>
    <x v="11"/>
    <s v="2025-07-16"/>
    <x v="1"/>
    <x v="11"/>
    <x v="3"/>
    <s v="B"/>
    <x v="1"/>
    <x v="2"/>
    <s v="INR"/>
    <n v="196136.5"/>
    <n v="2560.5"/>
    <n v="460.89"/>
    <n v="122.87"/>
    <n v="199035.02"/>
    <n v="50628.55"/>
    <n v="741"/>
    <x v="2"/>
    <s v="Pending"/>
    <x v="1"/>
    <s v="Review"/>
    <x v="7"/>
  </r>
  <r>
    <x v="12"/>
    <s v="2025-10-31"/>
    <x v="1"/>
    <x v="12"/>
    <x v="3"/>
    <s v="D"/>
    <x v="2"/>
    <x v="0"/>
    <s v="EUR"/>
    <n v="45787.35"/>
    <n v="494.94"/>
    <n v="89.09"/>
    <n v="117.53"/>
    <n v="46253.85"/>
    <n v="55657.04"/>
    <n v="863"/>
    <x v="0"/>
    <s v="Completed"/>
    <x v="0"/>
    <s v="Review"/>
    <x v="6"/>
  </r>
  <r>
    <x v="13"/>
    <s v="2025-07-06"/>
    <x v="2"/>
    <x v="13"/>
    <x v="0"/>
    <s v="B"/>
    <x v="2"/>
    <x v="1"/>
    <s v="EUR"/>
    <n v="92618.63"/>
    <n v="526.23"/>
    <n v="94.72"/>
    <n v="484.32"/>
    <n v="92755.26"/>
    <n v="54001.15"/>
    <n v="898"/>
    <x v="1"/>
    <s v="Failed"/>
    <x v="3"/>
    <s v="Review"/>
    <x v="7"/>
  </r>
  <r>
    <x v="14"/>
    <s v="2025-07-22"/>
    <x v="1"/>
    <x v="14"/>
    <x v="2"/>
    <s v="D"/>
    <x v="0"/>
    <x v="2"/>
    <s v="USD"/>
    <n v="168342.39"/>
    <n v="695.64"/>
    <n v="125.22"/>
    <n v="279.60000000000002"/>
    <n v="168883.65"/>
    <n v="56998.43"/>
    <n v="531"/>
    <x v="1"/>
    <s v="Pending"/>
    <x v="2"/>
    <s v="Review"/>
    <x v="7"/>
  </r>
  <r>
    <x v="15"/>
    <s v="2025-08-19"/>
    <x v="0"/>
    <x v="15"/>
    <x v="1"/>
    <s v="C"/>
    <x v="3"/>
    <x v="2"/>
    <s v="INR"/>
    <n v="184802.2"/>
    <n v="527.26"/>
    <n v="94.91"/>
    <n v="469.75"/>
    <n v="184954.62"/>
    <n v="63242.74"/>
    <n v="830"/>
    <x v="0"/>
    <s v="Pending"/>
    <x v="0"/>
    <s v="Review"/>
    <x v="8"/>
  </r>
  <r>
    <x v="16"/>
    <s v="2025-01-17"/>
    <x v="2"/>
    <x v="16"/>
    <x v="1"/>
    <s v="B"/>
    <x v="3"/>
    <x v="1"/>
    <s v="EUR"/>
    <n v="142070.69"/>
    <n v="1578.21"/>
    <n v="284.08"/>
    <n v="196.9"/>
    <n v="143736.07999999999"/>
    <n v="71599.22"/>
    <n v="838"/>
    <x v="0"/>
    <s v="Pending"/>
    <x v="3"/>
    <s v="None"/>
    <x v="4"/>
  </r>
  <r>
    <x v="17"/>
    <s v="2025-08-15"/>
    <x v="1"/>
    <x v="17"/>
    <x v="1"/>
    <s v="C"/>
    <x v="1"/>
    <x v="1"/>
    <s v="EUR"/>
    <n v="37708.699999999997"/>
    <n v="70.349999999999994"/>
    <n v="12.66"/>
    <n v="445.72"/>
    <n v="37345.99"/>
    <n v="81493.48"/>
    <n v="790"/>
    <x v="2"/>
    <s v="Failed"/>
    <x v="3"/>
    <s v="None"/>
    <x v="8"/>
  </r>
  <r>
    <x v="18"/>
    <s v="2025-12-03"/>
    <x v="0"/>
    <x v="18"/>
    <x v="3"/>
    <s v="C"/>
    <x v="3"/>
    <x v="1"/>
    <s v="INR"/>
    <n v="47880.18"/>
    <n v="688.2"/>
    <n v="123.88"/>
    <n v="198.29"/>
    <n v="48493.97"/>
    <n v="88246"/>
    <n v="632"/>
    <x v="1"/>
    <s v="Failed"/>
    <x v="2"/>
    <s v="None"/>
    <x v="9"/>
  </r>
  <r>
    <x v="19"/>
    <s v="2025-07-29"/>
    <x v="2"/>
    <x v="19"/>
    <x v="3"/>
    <s v="A"/>
    <x v="0"/>
    <x v="2"/>
    <s v="INR"/>
    <n v="198325.06"/>
    <n v="3308.26"/>
    <n v="595.49"/>
    <n v="450.84"/>
    <n v="201777.97"/>
    <n v="88600.88"/>
    <n v="865"/>
    <x v="1"/>
    <s v="Pending"/>
    <x v="1"/>
    <s v="Verified"/>
    <x v="7"/>
  </r>
  <r>
    <x v="20"/>
    <s v="2025-02-01"/>
    <x v="0"/>
    <x v="20"/>
    <x v="3"/>
    <s v="C"/>
    <x v="1"/>
    <x v="1"/>
    <s v="INR"/>
    <n v="190523.34"/>
    <n v="2435.9299999999998"/>
    <n v="438.47"/>
    <n v="273.18"/>
    <n v="193124.56"/>
    <n v="97713.58"/>
    <n v="404"/>
    <x v="1"/>
    <s v="Completed"/>
    <x v="0"/>
    <s v="Review"/>
    <x v="0"/>
  </r>
  <r>
    <x v="21"/>
    <s v="2025-11-16"/>
    <x v="0"/>
    <x v="21"/>
    <x v="3"/>
    <s v="A"/>
    <x v="3"/>
    <x v="3"/>
    <s v="USD"/>
    <n v="63587.97"/>
    <n v="550.38"/>
    <n v="99.07"/>
    <n v="213.88"/>
    <n v="64023.54"/>
    <n v="97657.74"/>
    <n v="428"/>
    <x v="0"/>
    <s v="Completed"/>
    <x v="0"/>
    <s v="None"/>
    <x v="1"/>
  </r>
  <r>
    <x v="22"/>
    <s v="2025-11-06"/>
    <x v="1"/>
    <x v="22"/>
    <x v="3"/>
    <s v="B"/>
    <x v="3"/>
    <x v="1"/>
    <s v="EUR"/>
    <n v="24785"/>
    <n v="308.07"/>
    <n v="55.45"/>
    <n v="237.87"/>
    <n v="24910.65"/>
    <n v="97988.19"/>
    <n v="875"/>
    <x v="2"/>
    <s v="Failed"/>
    <x v="1"/>
    <s v="Review"/>
    <x v="1"/>
  </r>
  <r>
    <x v="23"/>
    <s v="2025-05-31"/>
    <x v="2"/>
    <x v="23"/>
    <x v="2"/>
    <s v="D"/>
    <x v="1"/>
    <x v="1"/>
    <s v="USD"/>
    <n v="177373.5"/>
    <n v="308.11"/>
    <n v="55.46"/>
    <n v="360.36"/>
    <n v="177376.71"/>
    <n v="103468.6"/>
    <n v="422"/>
    <x v="2"/>
    <s v="Completed"/>
    <x v="0"/>
    <s v="Verified"/>
    <x v="5"/>
  </r>
  <r>
    <x v="24"/>
    <s v="2025-04-23"/>
    <x v="2"/>
    <x v="24"/>
    <x v="2"/>
    <s v="C"/>
    <x v="0"/>
    <x v="4"/>
    <s v="EUR"/>
    <n v="110540.29"/>
    <n v="1082.8800000000001"/>
    <n v="194.92"/>
    <n v="490.61"/>
    <n v="111327.48"/>
    <n v="99572.52"/>
    <n v="805"/>
    <x v="0"/>
    <s v="Pending"/>
    <x v="2"/>
    <s v="Review"/>
    <x v="2"/>
  </r>
  <r>
    <x v="25"/>
    <s v="2025-10-22"/>
    <x v="1"/>
    <x v="25"/>
    <x v="0"/>
    <s v="B"/>
    <x v="1"/>
    <x v="0"/>
    <s v="EUR"/>
    <n v="119263.55"/>
    <n v="276.16000000000003"/>
    <n v="49.71"/>
    <n v="92.29"/>
    <n v="119497.13"/>
    <n v="96762.15"/>
    <n v="334"/>
    <x v="0"/>
    <s v="Pending"/>
    <x v="0"/>
    <s v="Verified"/>
    <x v="6"/>
  </r>
  <r>
    <x v="26"/>
    <s v="2025-03-19"/>
    <x v="0"/>
    <x v="26"/>
    <x v="2"/>
    <s v="C"/>
    <x v="3"/>
    <x v="1"/>
    <s v="USD"/>
    <n v="10043.49"/>
    <n v="52.98"/>
    <n v="9.5399999999999991"/>
    <n v="20.13"/>
    <n v="10085.879999999999"/>
    <n v="93687.87"/>
    <n v="621"/>
    <x v="0"/>
    <s v="Completed"/>
    <x v="0"/>
    <s v="Review"/>
    <x v="3"/>
  </r>
  <r>
    <x v="27"/>
    <s v="2025-04-14"/>
    <x v="2"/>
    <x v="27"/>
    <x v="3"/>
    <s v="A"/>
    <x v="1"/>
    <x v="2"/>
    <s v="USD"/>
    <n v="72934.080000000002"/>
    <n v="476.08"/>
    <n v="85.69"/>
    <n v="172.2"/>
    <n v="73323.649999999994"/>
    <n v="90116.4"/>
    <n v="384"/>
    <x v="0"/>
    <s v="Failed"/>
    <x v="2"/>
    <s v="Verified"/>
    <x v="2"/>
  </r>
  <r>
    <x v="28"/>
    <s v="2025-12-24"/>
    <x v="2"/>
    <x v="28"/>
    <x v="1"/>
    <s v="B"/>
    <x v="1"/>
    <x v="1"/>
    <s v="INR"/>
    <n v="66579.37"/>
    <n v="546.38"/>
    <n v="98.35"/>
    <n v="347.19"/>
    <n v="66876.91"/>
    <n v="99860.21"/>
    <n v="705"/>
    <x v="2"/>
    <s v="Failed"/>
    <x v="1"/>
    <s v="None"/>
    <x v="9"/>
  </r>
  <r>
    <x v="29"/>
    <s v="2025-06-28"/>
    <x v="0"/>
    <x v="29"/>
    <x v="3"/>
    <s v="B"/>
    <x v="1"/>
    <x v="3"/>
    <s v="INR"/>
    <n v="128877.27"/>
    <n v="434.56"/>
    <n v="78.22"/>
    <n v="246.14"/>
    <n v="129143.91"/>
    <n v="101124.39"/>
    <n v="477"/>
    <x v="1"/>
    <s v="Completed"/>
    <x v="1"/>
    <s v="None"/>
    <x v="10"/>
  </r>
  <r>
    <x v="30"/>
    <s v="2025-08-17"/>
    <x v="1"/>
    <x v="30"/>
    <x v="3"/>
    <s v="A"/>
    <x v="0"/>
    <x v="4"/>
    <s v="USD"/>
    <n v="153020.94"/>
    <n v="2257.2800000000002"/>
    <n v="406.31"/>
    <n v="80.739999999999995"/>
    <n v="155603.79"/>
    <n v="100550.94"/>
    <n v="697"/>
    <x v="1"/>
    <s v="Pending"/>
    <x v="2"/>
    <s v="None"/>
    <x v="8"/>
  </r>
  <r>
    <x v="31"/>
    <s v="2025-02-19"/>
    <x v="2"/>
    <x v="31"/>
    <x v="1"/>
    <s v="C"/>
    <x v="0"/>
    <x v="3"/>
    <s v="EUR"/>
    <n v="52989.06"/>
    <n v="659.91"/>
    <n v="118.78"/>
    <n v="101.9"/>
    <n v="53665.85"/>
    <n v="98461.4"/>
    <n v="882"/>
    <x v="1"/>
    <s v="Completed"/>
    <x v="0"/>
    <s v="Verified"/>
    <x v="0"/>
  </r>
  <r>
    <x v="32"/>
    <s v="2025-02-10"/>
    <x v="0"/>
    <x v="32"/>
    <x v="2"/>
    <s v="B"/>
    <x v="2"/>
    <x v="0"/>
    <s v="INR"/>
    <n v="74472.649999999994"/>
    <n v="1040.55"/>
    <n v="187.3"/>
    <n v="406.28"/>
    <n v="75294.22"/>
    <n v="98892.1"/>
    <n v="570"/>
    <x v="2"/>
    <s v="Completed"/>
    <x v="1"/>
    <s v="Verified"/>
    <x v="0"/>
  </r>
  <r>
    <x v="33"/>
    <s v="2025-03-27"/>
    <x v="2"/>
    <x v="33"/>
    <x v="2"/>
    <s v="D"/>
    <x v="2"/>
    <x v="3"/>
    <s v="USD"/>
    <n v="8849.9699999999993"/>
    <n v="51.44"/>
    <n v="9.26"/>
    <n v="33.159999999999997"/>
    <n v="8877.51"/>
    <n v="100946.73"/>
    <n v="585"/>
    <x v="1"/>
    <s v="Pending"/>
    <x v="2"/>
    <s v="None"/>
    <x v="3"/>
  </r>
  <r>
    <x v="34"/>
    <s v="2025-12-06"/>
    <x v="1"/>
    <x v="34"/>
    <x v="3"/>
    <s v="A"/>
    <x v="1"/>
    <x v="3"/>
    <s v="INR"/>
    <n v="58227.93"/>
    <n v="218.5"/>
    <n v="39.33"/>
    <n v="371.26"/>
    <n v="58114.5"/>
    <n v="104532.75"/>
    <n v="398"/>
    <x v="2"/>
    <s v="Completed"/>
    <x v="2"/>
    <s v="Verified"/>
    <x v="9"/>
  </r>
  <r>
    <x v="35"/>
    <s v="2025-12-06"/>
    <x v="0"/>
    <x v="35"/>
    <x v="0"/>
    <s v="A"/>
    <x v="0"/>
    <x v="3"/>
    <s v="USD"/>
    <n v="63143.39"/>
    <n v="676.98"/>
    <n v="121.86"/>
    <n v="379.86"/>
    <n v="63562.37"/>
    <n v="102973.86"/>
    <n v="863"/>
    <x v="1"/>
    <s v="Pending"/>
    <x v="0"/>
    <s v="Review"/>
    <x v="9"/>
  </r>
  <r>
    <x v="36"/>
    <s v="2025-08-04"/>
    <x v="0"/>
    <x v="36"/>
    <x v="2"/>
    <s v="C"/>
    <x v="1"/>
    <x v="4"/>
    <s v="EUR"/>
    <n v="100540.45"/>
    <n v="798.63"/>
    <n v="143.75"/>
    <n v="246.34"/>
    <n v="101236.49"/>
    <n v="104355.74"/>
    <n v="673"/>
    <x v="2"/>
    <s v="Pending"/>
    <x v="3"/>
    <s v="Verified"/>
    <x v="8"/>
  </r>
  <r>
    <x v="37"/>
    <s v="2025-02-14"/>
    <x v="0"/>
    <x v="37"/>
    <x v="3"/>
    <s v="B"/>
    <x v="1"/>
    <x v="1"/>
    <s v="EUR"/>
    <n v="45769.279999999999"/>
    <n v="205.64"/>
    <n v="37.020000000000003"/>
    <n v="458.65"/>
    <n v="45553.29"/>
    <n v="102098.36"/>
    <n v="461"/>
    <x v="1"/>
    <s v="Completed"/>
    <x v="0"/>
    <s v="Verified"/>
    <x v="0"/>
  </r>
  <r>
    <x v="38"/>
    <s v="2025-01-06"/>
    <x v="1"/>
    <x v="38"/>
    <x v="2"/>
    <s v="A"/>
    <x v="1"/>
    <x v="1"/>
    <s v="INR"/>
    <n v="42838.38"/>
    <n v="527.34"/>
    <n v="94.92"/>
    <n v="61.49"/>
    <n v="43399.15"/>
    <n v="99169.61"/>
    <n v="783"/>
    <x v="2"/>
    <s v="Pending"/>
    <x v="1"/>
    <s v="Verified"/>
    <x v="4"/>
  </r>
  <r>
    <x v="39"/>
    <s v="2025-03-21"/>
    <x v="0"/>
    <x v="39"/>
    <x v="3"/>
    <s v="B"/>
    <x v="1"/>
    <x v="0"/>
    <s v="INR"/>
    <n v="81175.259999999995"/>
    <n v="283.12"/>
    <n v="50.96"/>
    <n v="67.040000000000006"/>
    <n v="81442.3"/>
    <n v="106282.55"/>
    <n v="575"/>
    <x v="0"/>
    <s v="Completed"/>
    <x v="3"/>
    <s v="Review"/>
    <x v="3"/>
  </r>
  <r>
    <x v="40"/>
    <s v="2025-03-14"/>
    <x v="2"/>
    <x v="40"/>
    <x v="3"/>
    <s v="B"/>
    <x v="0"/>
    <x v="1"/>
    <s v="USD"/>
    <n v="116158.85"/>
    <n v="979.26"/>
    <n v="176.27"/>
    <n v="351.5"/>
    <n v="116962.88"/>
    <n v="101648.58"/>
    <n v="686"/>
    <x v="2"/>
    <s v="Pending"/>
    <x v="0"/>
    <s v="Review"/>
    <x v="3"/>
  </r>
  <r>
    <x v="41"/>
    <s v="2025-02-20"/>
    <x v="0"/>
    <x v="41"/>
    <x v="3"/>
    <s v="B"/>
    <x v="1"/>
    <x v="3"/>
    <s v="EUR"/>
    <n v="71403.28"/>
    <n v="1280.0999999999999"/>
    <n v="230.42"/>
    <n v="86.79"/>
    <n v="72827.009999999995"/>
    <n v="102289.71"/>
    <n v="879"/>
    <x v="2"/>
    <s v="Pending"/>
    <x v="0"/>
    <s v="Review"/>
    <x v="0"/>
  </r>
  <r>
    <x v="42"/>
    <s v="2025-05-06"/>
    <x v="0"/>
    <x v="42"/>
    <x v="0"/>
    <s v="C"/>
    <x v="2"/>
    <x v="4"/>
    <s v="USD"/>
    <n v="47808.99"/>
    <n v="513.83000000000004"/>
    <n v="92.49"/>
    <n v="238.09"/>
    <n v="48177.22"/>
    <n v="108207.9"/>
    <n v="572"/>
    <x v="2"/>
    <s v="Completed"/>
    <x v="2"/>
    <s v="None"/>
    <x v="5"/>
  </r>
  <r>
    <x v="43"/>
    <s v="2025-05-25"/>
    <x v="0"/>
    <x v="43"/>
    <x v="3"/>
    <s v="B"/>
    <x v="0"/>
    <x v="1"/>
    <s v="INR"/>
    <n v="109468.38"/>
    <n v="931.31"/>
    <n v="167.64"/>
    <n v="287.75"/>
    <n v="110279.58"/>
    <n v="104894.15"/>
    <n v="553"/>
    <x v="1"/>
    <s v="Failed"/>
    <x v="2"/>
    <s v="Verified"/>
    <x v="5"/>
  </r>
  <r>
    <x v="44"/>
    <s v="2025-03-05"/>
    <x v="0"/>
    <x v="44"/>
    <x v="1"/>
    <s v="C"/>
    <x v="3"/>
    <x v="3"/>
    <s v="INR"/>
    <n v="18819.63"/>
    <n v="137.44"/>
    <n v="24.74"/>
    <n v="24"/>
    <n v="18957.810000000001"/>
    <n v="107623.46"/>
    <n v="803"/>
    <x v="0"/>
    <s v="Pending"/>
    <x v="2"/>
    <s v="Verified"/>
    <x v="3"/>
  </r>
  <r>
    <x v="45"/>
    <s v="2025-03-26"/>
    <x v="0"/>
    <x v="45"/>
    <x v="2"/>
    <s v="B"/>
    <x v="1"/>
    <x v="1"/>
    <s v="EUR"/>
    <n v="162776.21"/>
    <n v="2171.91"/>
    <n v="390.94"/>
    <n v="92.69"/>
    <n v="165246.37"/>
    <n v="112055.45"/>
    <n v="601"/>
    <x v="1"/>
    <s v="Failed"/>
    <x v="2"/>
    <s v="Verified"/>
    <x v="3"/>
  </r>
  <r>
    <x v="46"/>
    <s v="2025-02-05"/>
    <x v="2"/>
    <x v="46"/>
    <x v="3"/>
    <s v="B"/>
    <x v="0"/>
    <x v="1"/>
    <s v="EUR"/>
    <n v="36165.71"/>
    <n v="553.08000000000004"/>
    <n v="99.55"/>
    <n v="13.3"/>
    <n v="36805.040000000001"/>
    <n v="107819.37"/>
    <n v="884"/>
    <x v="2"/>
    <s v="Failed"/>
    <x v="0"/>
    <s v="Review"/>
    <x v="0"/>
  </r>
  <r>
    <x v="47"/>
    <s v="2025-08-31"/>
    <x v="1"/>
    <x v="47"/>
    <x v="3"/>
    <s v="A"/>
    <x v="1"/>
    <x v="2"/>
    <s v="INR"/>
    <n v="34867.11"/>
    <n v="308.83"/>
    <n v="55.59"/>
    <n v="158.26"/>
    <n v="35073.269999999997"/>
    <n v="113945.94"/>
    <n v="450"/>
    <x v="1"/>
    <s v="Failed"/>
    <x v="0"/>
    <s v="Verified"/>
    <x v="8"/>
  </r>
  <r>
    <x v="48"/>
    <s v="2025-10-29"/>
    <x v="0"/>
    <x v="48"/>
    <x v="3"/>
    <s v="C"/>
    <x v="0"/>
    <x v="0"/>
    <s v="INR"/>
    <n v="152203.29"/>
    <n v="1206.43"/>
    <n v="217.16"/>
    <n v="205.65"/>
    <n v="153421.23000000001"/>
    <n v="110715.83"/>
    <n v="750"/>
    <x v="1"/>
    <s v="Pending"/>
    <x v="3"/>
    <s v="Verified"/>
    <x v="6"/>
  </r>
  <r>
    <x v="49"/>
    <s v="2025-06-15"/>
    <x v="2"/>
    <x v="49"/>
    <x v="2"/>
    <s v="B"/>
    <x v="0"/>
    <x v="2"/>
    <s v="INR"/>
    <n v="86670.18"/>
    <n v="1237.67"/>
    <n v="222.78"/>
    <n v="169.18"/>
    <n v="87961.45"/>
    <n v="120290.58"/>
    <n v="314"/>
    <x v="1"/>
    <s v="Completed"/>
    <x v="2"/>
    <s v="None"/>
    <x v="10"/>
  </r>
  <r>
    <x v="50"/>
    <s v="2025-06-23"/>
    <x v="2"/>
    <x v="50"/>
    <x v="0"/>
    <s v="D"/>
    <x v="1"/>
    <x v="1"/>
    <s v="EUR"/>
    <n v="25765.47"/>
    <n v="246.36"/>
    <n v="44.34"/>
    <n v="109.81"/>
    <n v="25946.36"/>
    <n v="117692.87"/>
    <n v="840"/>
    <x v="0"/>
    <s v="Failed"/>
    <x v="3"/>
    <s v="None"/>
    <x v="10"/>
  </r>
  <r>
    <x v="51"/>
    <s v="2025-10-13"/>
    <x v="0"/>
    <x v="51"/>
    <x v="0"/>
    <s v="B"/>
    <x v="3"/>
    <x v="4"/>
    <s v="EUR"/>
    <n v="185317.26"/>
    <n v="1259.73"/>
    <n v="226.75"/>
    <n v="161.77000000000001"/>
    <n v="186641.97"/>
    <n v="121879.45"/>
    <n v="337"/>
    <x v="2"/>
    <s v="Pending"/>
    <x v="3"/>
    <s v="Review"/>
    <x v="6"/>
  </r>
  <r>
    <x v="52"/>
    <s v="2025-02-09"/>
    <x v="0"/>
    <x v="52"/>
    <x v="0"/>
    <s v="A"/>
    <x v="3"/>
    <x v="2"/>
    <s v="USD"/>
    <n v="139839.51999999999"/>
    <n v="849.66"/>
    <n v="152.94"/>
    <n v="221.66"/>
    <n v="140620.46"/>
    <n v="124741.79"/>
    <n v="718"/>
    <x v="0"/>
    <s v="Pending"/>
    <x v="0"/>
    <s v="None"/>
    <x v="0"/>
  </r>
  <r>
    <x v="53"/>
    <s v="2025-07-13"/>
    <x v="0"/>
    <x v="53"/>
    <x v="1"/>
    <s v="B"/>
    <x v="1"/>
    <x v="1"/>
    <s v="EUR"/>
    <n v="187426.05"/>
    <n v="3704.26"/>
    <n v="666.77"/>
    <n v="67.38"/>
    <n v="191729.7"/>
    <n v="121125.77"/>
    <n v="530"/>
    <x v="1"/>
    <s v="Completed"/>
    <x v="0"/>
    <s v="Verified"/>
    <x v="7"/>
  </r>
  <r>
    <x v="54"/>
    <s v="2025-04-05"/>
    <x v="2"/>
    <x v="54"/>
    <x v="1"/>
    <s v="D"/>
    <x v="2"/>
    <x v="3"/>
    <s v="INR"/>
    <n v="110613.7"/>
    <n v="1989.21"/>
    <n v="358.06"/>
    <n v="371.96"/>
    <n v="112589.01"/>
    <n v="126094.94"/>
    <n v="385"/>
    <x v="1"/>
    <s v="Failed"/>
    <x v="2"/>
    <s v="None"/>
    <x v="2"/>
  </r>
  <r>
    <x v="55"/>
    <s v="2025-12-05"/>
    <x v="1"/>
    <x v="55"/>
    <x v="3"/>
    <s v="A"/>
    <x v="0"/>
    <x v="3"/>
    <s v="EUR"/>
    <n v="143096.60999999999"/>
    <n v="1514.94"/>
    <n v="272.69"/>
    <n v="140.77000000000001"/>
    <n v="144743.47"/>
    <n v="125133.11"/>
    <n v="466"/>
    <x v="2"/>
    <s v="Failed"/>
    <x v="1"/>
    <s v="None"/>
    <x v="9"/>
  </r>
  <r>
    <x v="56"/>
    <s v="2025-01-09"/>
    <x v="2"/>
    <x v="56"/>
    <x v="1"/>
    <s v="A"/>
    <x v="1"/>
    <x v="4"/>
    <s v="EUR"/>
    <n v="78960.06"/>
    <n v="1442.83"/>
    <n v="259.70999999999998"/>
    <n v="364.85"/>
    <n v="80297.75"/>
    <n v="124266.9"/>
    <n v="644"/>
    <x v="2"/>
    <s v="Completed"/>
    <x v="3"/>
    <s v="None"/>
    <x v="4"/>
  </r>
  <r>
    <x v="57"/>
    <s v="2025-02-24"/>
    <x v="2"/>
    <x v="57"/>
    <x v="3"/>
    <s v="D"/>
    <x v="0"/>
    <x v="4"/>
    <s v="EUR"/>
    <n v="53127.45"/>
    <n v="433.1"/>
    <n v="77.959999999999994"/>
    <n v="446.24"/>
    <n v="53192.27"/>
    <n v="128276.92"/>
    <n v="560"/>
    <x v="2"/>
    <s v="Pending"/>
    <x v="2"/>
    <s v="Verified"/>
    <x v="0"/>
  </r>
  <r>
    <x v="58"/>
    <s v="2025-12-28"/>
    <x v="0"/>
    <x v="58"/>
    <x v="1"/>
    <s v="A"/>
    <x v="2"/>
    <x v="4"/>
    <s v="INR"/>
    <n v="18582.75"/>
    <n v="48.92"/>
    <n v="8.81"/>
    <n v="335.69"/>
    <n v="18304.79"/>
    <n v="127081.92"/>
    <n v="412"/>
    <x v="1"/>
    <s v="Pending"/>
    <x v="3"/>
    <s v="Review"/>
    <x v="9"/>
  </r>
  <r>
    <x v="59"/>
    <s v="2025-01-20"/>
    <x v="2"/>
    <x v="59"/>
    <x v="3"/>
    <s v="D"/>
    <x v="1"/>
    <x v="4"/>
    <s v="INR"/>
    <n v="121132.45"/>
    <n v="1963.53"/>
    <n v="353.44"/>
    <n v="461.13"/>
    <n v="122988.29"/>
    <n v="129559.08"/>
    <n v="900"/>
    <x v="1"/>
    <s v="Failed"/>
    <x v="1"/>
    <s v="None"/>
    <x v="4"/>
  </r>
  <r>
    <x v="60"/>
    <s v="2025-07-24"/>
    <x v="0"/>
    <x v="60"/>
    <x v="0"/>
    <s v="B"/>
    <x v="2"/>
    <x v="4"/>
    <s v="USD"/>
    <n v="155376.26"/>
    <n v="377.38"/>
    <n v="67.930000000000007"/>
    <n v="272.94"/>
    <n v="155548.63"/>
    <n v="131082.01999999999"/>
    <n v="586"/>
    <x v="1"/>
    <s v="Failed"/>
    <x v="0"/>
    <s v="Verified"/>
    <x v="7"/>
  </r>
  <r>
    <x v="61"/>
    <s v="2025-08-10"/>
    <x v="1"/>
    <x v="61"/>
    <x v="2"/>
    <s v="B"/>
    <x v="0"/>
    <x v="0"/>
    <s v="USD"/>
    <n v="153621.6"/>
    <n v="491.76"/>
    <n v="88.52"/>
    <n v="116.09"/>
    <n v="154085.79"/>
    <n v="133833.35"/>
    <n v="584"/>
    <x v="2"/>
    <s v="Pending"/>
    <x v="3"/>
    <s v="None"/>
    <x v="8"/>
  </r>
  <r>
    <x v="62"/>
    <s v="2025-10-11"/>
    <x v="2"/>
    <x v="62"/>
    <x v="3"/>
    <s v="B"/>
    <x v="1"/>
    <x v="0"/>
    <s v="EUR"/>
    <n v="139152.12"/>
    <n v="913.37"/>
    <n v="164.41"/>
    <n v="70.13"/>
    <n v="140159.76999999999"/>
    <n v="141710.53"/>
    <n v="826"/>
    <x v="0"/>
    <s v="Failed"/>
    <x v="2"/>
    <s v="Verified"/>
    <x v="6"/>
  </r>
  <r>
    <x v="63"/>
    <s v="2025-11-06"/>
    <x v="2"/>
    <x v="63"/>
    <x v="3"/>
    <s v="A"/>
    <x v="3"/>
    <x v="4"/>
    <s v="EUR"/>
    <n v="112625.82"/>
    <n v="1376.96"/>
    <n v="247.85"/>
    <n v="203.63"/>
    <n v="114047"/>
    <n v="146090.13"/>
    <n v="461"/>
    <x v="2"/>
    <s v="Failed"/>
    <x v="2"/>
    <s v="None"/>
    <x v="1"/>
  </r>
  <r>
    <x v="64"/>
    <s v="2025-05-16"/>
    <x v="1"/>
    <x v="64"/>
    <x v="2"/>
    <s v="A"/>
    <x v="0"/>
    <x v="2"/>
    <s v="EUR"/>
    <n v="192716.78"/>
    <n v="1360.85"/>
    <n v="244.95"/>
    <n v="475.02"/>
    <n v="193847.56"/>
    <n v="142842.81"/>
    <n v="870"/>
    <x v="2"/>
    <s v="Failed"/>
    <x v="1"/>
    <s v="Review"/>
    <x v="5"/>
  </r>
  <r>
    <x v="65"/>
    <s v="2025-10-23"/>
    <x v="0"/>
    <x v="65"/>
    <x v="0"/>
    <s v="B"/>
    <x v="1"/>
    <x v="0"/>
    <s v="USD"/>
    <n v="43075.1"/>
    <n v="213.82"/>
    <n v="38.49"/>
    <n v="326.67"/>
    <n v="43000.74"/>
    <n v="144600.04"/>
    <n v="306"/>
    <x v="2"/>
    <s v="Completed"/>
    <x v="1"/>
    <s v="Review"/>
    <x v="6"/>
  </r>
  <r>
    <x v="66"/>
    <s v="2025-12-20"/>
    <x v="1"/>
    <x v="66"/>
    <x v="3"/>
    <s v="D"/>
    <x v="2"/>
    <x v="2"/>
    <s v="USD"/>
    <n v="148755.9"/>
    <n v="2600.89"/>
    <n v="468.16"/>
    <n v="131.05000000000001"/>
    <n v="151693.9"/>
    <n v="144110.92000000001"/>
    <n v="640"/>
    <x v="2"/>
    <s v="Failed"/>
    <x v="3"/>
    <s v="Review"/>
    <x v="9"/>
  </r>
  <r>
    <x v="67"/>
    <s v="2025-06-20"/>
    <x v="1"/>
    <x v="67"/>
    <x v="2"/>
    <s v="A"/>
    <x v="1"/>
    <x v="0"/>
    <s v="EUR"/>
    <n v="162952.07999999999"/>
    <n v="2389.4"/>
    <n v="430.09"/>
    <n v="428.88"/>
    <n v="165342.69"/>
    <n v="143325.49"/>
    <n v="379"/>
    <x v="2"/>
    <s v="Pending"/>
    <x v="0"/>
    <s v="Review"/>
    <x v="10"/>
  </r>
  <r>
    <x v="68"/>
    <s v="2025-05-19"/>
    <x v="2"/>
    <x v="68"/>
    <x v="1"/>
    <s v="B"/>
    <x v="2"/>
    <x v="0"/>
    <s v="EUR"/>
    <n v="86438.27"/>
    <n v="1001.99"/>
    <n v="180.36"/>
    <n v="323.08999999999997"/>
    <n v="87297.53"/>
    <n v="139254.51999999999"/>
    <n v="882"/>
    <x v="2"/>
    <s v="Pending"/>
    <x v="1"/>
    <s v="Verified"/>
    <x v="5"/>
  </r>
  <r>
    <x v="69"/>
    <s v="2025-05-21"/>
    <x v="0"/>
    <x v="69"/>
    <x v="3"/>
    <s v="A"/>
    <x v="0"/>
    <x v="4"/>
    <s v="INR"/>
    <n v="123122.24000000001"/>
    <n v="719.43"/>
    <n v="129.5"/>
    <n v="335.12"/>
    <n v="123636.05"/>
    <n v="144897.32"/>
    <n v="872"/>
    <x v="2"/>
    <s v="Pending"/>
    <x v="2"/>
    <s v="Review"/>
    <x v="5"/>
  </r>
  <r>
    <x v="70"/>
    <s v="2025-05-31"/>
    <x v="0"/>
    <x v="70"/>
    <x v="3"/>
    <s v="C"/>
    <x v="1"/>
    <x v="0"/>
    <s v="INR"/>
    <n v="49754.400000000001"/>
    <n v="993.49"/>
    <n v="178.83"/>
    <n v="454.96"/>
    <n v="50471.76"/>
    <n v="152670.68"/>
    <n v="896"/>
    <x v="1"/>
    <s v="Completed"/>
    <x v="3"/>
    <s v="Review"/>
    <x v="5"/>
  </r>
  <r>
    <x v="71"/>
    <s v="2025-12-31"/>
    <x v="1"/>
    <x v="71"/>
    <x v="2"/>
    <s v="C"/>
    <x v="0"/>
    <x v="0"/>
    <s v="EUR"/>
    <n v="36900.58"/>
    <n v="295.31"/>
    <n v="53.16"/>
    <n v="305.64"/>
    <n v="36943.410000000003"/>
    <n v="160829.31"/>
    <n v="692"/>
    <x v="2"/>
    <s v="Completed"/>
    <x v="0"/>
    <s v="Verified"/>
    <x v="9"/>
  </r>
  <r>
    <x v="72"/>
    <s v="2025-10-26"/>
    <x v="2"/>
    <x v="72"/>
    <x v="2"/>
    <s v="A"/>
    <x v="1"/>
    <x v="2"/>
    <s v="EUR"/>
    <n v="199865.12"/>
    <n v="3353.5"/>
    <n v="603.63"/>
    <n v="473.19"/>
    <n v="203349.06"/>
    <n v="169939.95"/>
    <n v="741"/>
    <x v="2"/>
    <s v="Pending"/>
    <x v="1"/>
    <s v="None"/>
    <x v="6"/>
  </r>
  <r>
    <x v="73"/>
    <s v="2025-03-02"/>
    <x v="2"/>
    <x v="73"/>
    <x v="2"/>
    <s v="D"/>
    <x v="0"/>
    <x v="2"/>
    <s v="USD"/>
    <n v="62709.82"/>
    <n v="569.71"/>
    <n v="102.55"/>
    <n v="487.8"/>
    <n v="62894.28"/>
    <n v="178737.98"/>
    <n v="601"/>
    <x v="1"/>
    <s v="Pending"/>
    <x v="3"/>
    <s v="Verified"/>
    <x v="3"/>
  </r>
  <r>
    <x v="74"/>
    <s v="2025-07-11"/>
    <x v="1"/>
    <x v="74"/>
    <x v="3"/>
    <s v="C"/>
    <x v="1"/>
    <x v="4"/>
    <s v="INR"/>
    <n v="149427.37"/>
    <n v="163.92"/>
    <n v="29.51"/>
    <n v="252.73"/>
    <n v="149368.07"/>
    <n v="175744.96"/>
    <n v="893"/>
    <x v="2"/>
    <s v="Pending"/>
    <x v="1"/>
    <s v="None"/>
    <x v="7"/>
  </r>
  <r>
    <x v="75"/>
    <s v="2025-08-09"/>
    <x v="0"/>
    <x v="75"/>
    <x v="3"/>
    <s v="A"/>
    <x v="3"/>
    <x v="2"/>
    <s v="EUR"/>
    <n v="138597.13"/>
    <n v="2665.22"/>
    <n v="479.74"/>
    <n v="368.34"/>
    <n v="141373.75"/>
    <n v="184047.04"/>
    <n v="472"/>
    <x v="1"/>
    <s v="Completed"/>
    <x v="3"/>
    <s v="Verified"/>
    <x v="8"/>
  </r>
  <r>
    <x v="76"/>
    <s v="2025-08-21"/>
    <x v="2"/>
    <x v="76"/>
    <x v="2"/>
    <s v="A"/>
    <x v="0"/>
    <x v="1"/>
    <s v="EUR"/>
    <n v="165736.82999999999"/>
    <n v="2136.1999999999998"/>
    <n v="384.52"/>
    <n v="306.83"/>
    <n v="167950.72"/>
    <n v="188055.46"/>
    <n v="667"/>
    <x v="1"/>
    <s v="Failed"/>
    <x v="3"/>
    <s v="Review"/>
    <x v="8"/>
  </r>
  <r>
    <x v="77"/>
    <s v="2025-12-25"/>
    <x v="0"/>
    <x v="77"/>
    <x v="0"/>
    <s v="A"/>
    <x v="2"/>
    <x v="1"/>
    <s v="EUR"/>
    <n v="25977.37"/>
    <n v="435.81"/>
    <n v="78.45"/>
    <n v="99.02"/>
    <n v="26392.61"/>
    <n v="188934.69"/>
    <n v="340"/>
    <x v="1"/>
    <s v="Failed"/>
    <x v="2"/>
    <s v="None"/>
    <x v="9"/>
  </r>
  <r>
    <x v="78"/>
    <s v="2025-06-29"/>
    <x v="1"/>
    <x v="78"/>
    <x v="1"/>
    <s v="B"/>
    <x v="0"/>
    <x v="1"/>
    <s v="USD"/>
    <n v="121973.16"/>
    <n v="982.52"/>
    <n v="176.85"/>
    <n v="468.91"/>
    <n v="122663.62"/>
    <n v="185936.21"/>
    <n v="626"/>
    <x v="0"/>
    <s v="Pending"/>
    <x v="2"/>
    <s v="None"/>
    <x v="10"/>
  </r>
  <r>
    <x v="79"/>
    <s v="2025-06-06"/>
    <x v="2"/>
    <x v="79"/>
    <x v="2"/>
    <s v="D"/>
    <x v="0"/>
    <x v="3"/>
    <s v="USD"/>
    <n v="77154.53"/>
    <n v="912.01"/>
    <n v="164.16"/>
    <n v="397.76"/>
    <n v="77832.94"/>
    <n v="190445.52"/>
    <n v="372"/>
    <x v="2"/>
    <s v="Pending"/>
    <x v="1"/>
    <s v="Verified"/>
    <x v="10"/>
  </r>
  <r>
    <x v="80"/>
    <s v="2025-12-07"/>
    <x v="0"/>
    <x v="80"/>
    <x v="3"/>
    <s v="C"/>
    <x v="0"/>
    <x v="0"/>
    <s v="INR"/>
    <n v="189696.57"/>
    <n v="1845.42"/>
    <n v="332.18"/>
    <n v="445.5"/>
    <n v="191428.67"/>
    <n v="197575.95"/>
    <n v="350"/>
    <x v="1"/>
    <s v="Failed"/>
    <x v="2"/>
    <s v="Verified"/>
    <x v="9"/>
  </r>
  <r>
    <x v="81"/>
    <s v="2025-08-29"/>
    <x v="2"/>
    <x v="81"/>
    <x v="3"/>
    <s v="A"/>
    <x v="1"/>
    <x v="0"/>
    <s v="EUR"/>
    <n v="176749.58"/>
    <n v="2140.1799999999998"/>
    <n v="385.23"/>
    <n v="375.62"/>
    <n v="178899.37"/>
    <n v="204169.74"/>
    <n v="448"/>
    <x v="1"/>
    <s v="Completed"/>
    <x v="2"/>
    <s v="Review"/>
    <x v="8"/>
  </r>
  <r>
    <x v="82"/>
    <s v="2025-06-10"/>
    <x v="0"/>
    <x v="82"/>
    <x v="0"/>
    <s v="C"/>
    <x v="0"/>
    <x v="3"/>
    <s v="USD"/>
    <n v="84129.74"/>
    <n v="710.32"/>
    <n v="127.86"/>
    <n v="86.36"/>
    <n v="84881.56"/>
    <n v="202384.03"/>
    <n v="600"/>
    <x v="0"/>
    <s v="Pending"/>
    <x v="3"/>
    <s v="Verified"/>
    <x v="10"/>
  </r>
  <r>
    <x v="83"/>
    <s v="2025-07-15"/>
    <x v="0"/>
    <x v="83"/>
    <x v="0"/>
    <s v="C"/>
    <x v="1"/>
    <x v="2"/>
    <s v="EUR"/>
    <n v="168357.55"/>
    <n v="1900.65"/>
    <n v="342.12"/>
    <n v="50.71"/>
    <n v="170549.61"/>
    <n v="207628.89"/>
    <n v="368"/>
    <x v="0"/>
    <s v="Failed"/>
    <x v="3"/>
    <s v="Verified"/>
    <x v="7"/>
  </r>
  <r>
    <x v="84"/>
    <s v="2025-04-24"/>
    <x v="1"/>
    <x v="84"/>
    <x v="0"/>
    <s v="D"/>
    <x v="0"/>
    <x v="2"/>
    <s v="INR"/>
    <n v="35850.720000000001"/>
    <n v="484.95"/>
    <n v="87.29"/>
    <n v="383.05"/>
    <n v="36039.910000000003"/>
    <n v="204022.79"/>
    <n v="743"/>
    <x v="1"/>
    <s v="Completed"/>
    <x v="0"/>
    <s v="Verified"/>
    <x v="2"/>
  </r>
  <r>
    <x v="85"/>
    <s v="2025-03-29"/>
    <x v="1"/>
    <x v="85"/>
    <x v="0"/>
    <s v="D"/>
    <x v="3"/>
    <x v="1"/>
    <s v="INR"/>
    <n v="164801.92000000001"/>
    <n v="2632.93"/>
    <n v="473.93"/>
    <n v="96.72"/>
    <n v="167812.06"/>
    <n v="212869.69"/>
    <n v="881"/>
    <x v="1"/>
    <s v="Failed"/>
    <x v="3"/>
    <s v="Verified"/>
    <x v="3"/>
  </r>
  <r>
    <x v="86"/>
    <s v="2025-01-27"/>
    <x v="1"/>
    <x v="86"/>
    <x v="2"/>
    <s v="D"/>
    <x v="0"/>
    <x v="2"/>
    <s v="USD"/>
    <n v="184051.20000000001"/>
    <n v="422.99"/>
    <n v="76.14"/>
    <n v="3.33"/>
    <n v="184547"/>
    <n v="218014.68"/>
    <n v="429"/>
    <x v="2"/>
    <s v="Completed"/>
    <x v="0"/>
    <s v="Review"/>
    <x v="4"/>
  </r>
  <r>
    <x v="87"/>
    <s v="2025-04-16"/>
    <x v="2"/>
    <x v="87"/>
    <x v="0"/>
    <s v="D"/>
    <x v="2"/>
    <x v="4"/>
    <s v="USD"/>
    <n v="9241.6"/>
    <n v="46.43"/>
    <n v="8.36"/>
    <n v="175.2"/>
    <n v="9121.19"/>
    <n v="217220.88"/>
    <n v="572"/>
    <x v="0"/>
    <s v="Failed"/>
    <x v="0"/>
    <s v="None"/>
    <x v="2"/>
  </r>
  <r>
    <x v="88"/>
    <s v="2025-06-06"/>
    <x v="1"/>
    <x v="88"/>
    <x v="0"/>
    <s v="A"/>
    <x v="1"/>
    <x v="2"/>
    <s v="USD"/>
    <n v="141314.92000000001"/>
    <n v="855.21"/>
    <n v="153.94"/>
    <n v="298.18"/>
    <n v="142025.89000000001"/>
    <n v="216724.33"/>
    <n v="675"/>
    <x v="1"/>
    <s v="Completed"/>
    <x v="2"/>
    <s v="None"/>
    <x v="10"/>
  </r>
  <r>
    <x v="89"/>
    <s v="2025-10-16"/>
    <x v="0"/>
    <x v="12"/>
    <x v="0"/>
    <s v="B"/>
    <x v="3"/>
    <x v="3"/>
    <s v="USD"/>
    <n v="97093.51"/>
    <n v="158.80000000000001"/>
    <n v="28.58"/>
    <n v="78.52"/>
    <n v="97202.37"/>
    <n v="218313.59"/>
    <n v="421"/>
    <x v="2"/>
    <s v="Pending"/>
    <x v="2"/>
    <s v="Verified"/>
    <x v="6"/>
  </r>
  <r>
    <x v="90"/>
    <s v="2025-10-04"/>
    <x v="1"/>
    <x v="89"/>
    <x v="3"/>
    <s v="B"/>
    <x v="3"/>
    <x v="4"/>
    <s v="INR"/>
    <n v="101296.49"/>
    <n v="586.83000000000004"/>
    <n v="105.63"/>
    <n v="317.70999999999998"/>
    <n v="101671.24"/>
    <n v="218405.09"/>
    <n v="448"/>
    <x v="2"/>
    <s v="Completed"/>
    <x v="2"/>
    <s v="None"/>
    <x v="6"/>
  </r>
  <r>
    <x v="91"/>
    <s v="2025-02-07"/>
    <x v="2"/>
    <x v="90"/>
    <x v="2"/>
    <s v="B"/>
    <x v="0"/>
    <x v="4"/>
    <s v="USD"/>
    <n v="193282.28"/>
    <n v="3127.59"/>
    <n v="562.97"/>
    <n v="100.31"/>
    <n v="196872.53"/>
    <n v="223919.58"/>
    <n v="701"/>
    <x v="1"/>
    <s v="Completed"/>
    <x v="0"/>
    <s v="Verified"/>
    <x v="0"/>
  </r>
  <r>
    <x v="92"/>
    <s v="2025-11-05"/>
    <x v="2"/>
    <x v="91"/>
    <x v="2"/>
    <s v="A"/>
    <x v="0"/>
    <x v="0"/>
    <s v="EUR"/>
    <n v="75391.259999999995"/>
    <n v="927.3"/>
    <n v="166.91"/>
    <n v="149.35"/>
    <n v="76336.12"/>
    <n v="224744.46"/>
    <n v="850"/>
    <x v="2"/>
    <s v="Pending"/>
    <x v="0"/>
    <s v="Verified"/>
    <x v="1"/>
  </r>
  <r>
    <x v="93"/>
    <s v="2025-04-07"/>
    <x v="0"/>
    <x v="92"/>
    <x v="3"/>
    <s v="C"/>
    <x v="0"/>
    <x v="3"/>
    <s v="EUR"/>
    <n v="134799.70000000001"/>
    <n v="1838.67"/>
    <n v="330.96"/>
    <n v="388.54"/>
    <n v="136580.79"/>
    <n v="221414"/>
    <n v="734"/>
    <x v="0"/>
    <s v="Failed"/>
    <x v="2"/>
    <s v="None"/>
    <x v="2"/>
  </r>
  <r>
    <x v="94"/>
    <s v="2025-07-20"/>
    <x v="0"/>
    <x v="93"/>
    <x v="2"/>
    <s v="B"/>
    <x v="2"/>
    <x v="4"/>
    <s v="USD"/>
    <n v="87038.720000000001"/>
    <n v="193.28"/>
    <n v="34.79"/>
    <n v="434.34"/>
    <n v="86832.45"/>
    <n v="222790.81"/>
    <n v="338"/>
    <x v="1"/>
    <s v="Completed"/>
    <x v="0"/>
    <s v="Review"/>
    <x v="7"/>
  </r>
  <r>
    <x v="95"/>
    <s v="2025-01-27"/>
    <x v="0"/>
    <x v="94"/>
    <x v="2"/>
    <s v="B"/>
    <x v="0"/>
    <x v="2"/>
    <s v="USD"/>
    <n v="128637.47"/>
    <n v="2173.37"/>
    <n v="391.21"/>
    <n v="98.55"/>
    <n v="131103.5"/>
    <n v="232123.83"/>
    <n v="422"/>
    <x v="0"/>
    <s v="Failed"/>
    <x v="0"/>
    <s v="None"/>
    <x v="4"/>
  </r>
  <r>
    <x v="96"/>
    <s v="2025-07-03"/>
    <x v="0"/>
    <x v="95"/>
    <x v="0"/>
    <s v="B"/>
    <x v="0"/>
    <x v="3"/>
    <s v="EUR"/>
    <n v="184675.56"/>
    <n v="2773.58"/>
    <n v="499.24"/>
    <n v="257.02999999999997"/>
    <n v="187691.35"/>
    <n v="230562.44"/>
    <n v="799"/>
    <x v="1"/>
    <s v="Completed"/>
    <x v="2"/>
    <s v="None"/>
    <x v="7"/>
  </r>
  <r>
    <x v="97"/>
    <s v="2025-01-23"/>
    <x v="1"/>
    <x v="96"/>
    <x v="1"/>
    <s v="C"/>
    <x v="1"/>
    <x v="2"/>
    <s v="EUR"/>
    <n v="71980.52"/>
    <n v="751.32"/>
    <n v="135.24"/>
    <n v="227.97"/>
    <n v="72639.11"/>
    <n v="232695.66"/>
    <n v="710"/>
    <x v="0"/>
    <s v="Failed"/>
    <x v="2"/>
    <s v="Review"/>
    <x v="4"/>
  </r>
  <r>
    <x v="98"/>
    <s v="2025-07-15"/>
    <x v="0"/>
    <x v="97"/>
    <x v="3"/>
    <s v="C"/>
    <x v="2"/>
    <x v="2"/>
    <s v="USD"/>
    <n v="113951.24"/>
    <n v="378.23"/>
    <n v="68.08"/>
    <n v="153.53"/>
    <n v="114244.02"/>
    <n v="241509.35"/>
    <n v="347"/>
    <x v="2"/>
    <s v="Failed"/>
    <x v="3"/>
    <s v="Verified"/>
    <x v="7"/>
  </r>
  <r>
    <x v="99"/>
    <s v="2025-04-22"/>
    <x v="0"/>
    <x v="98"/>
    <x v="3"/>
    <s v="D"/>
    <x v="3"/>
    <x v="1"/>
    <s v="INR"/>
    <n v="12199.68"/>
    <n v="14.17"/>
    <n v="2.5499999999999998"/>
    <n v="364.24"/>
    <n v="11852.16"/>
    <n v="247918.87"/>
    <n v="438"/>
    <x v="2"/>
    <s v="Failed"/>
    <x v="1"/>
    <s v="Review"/>
    <x v="2"/>
  </r>
  <r>
    <x v="100"/>
    <s v="2025-04-03"/>
    <x v="1"/>
    <x v="99"/>
    <x v="1"/>
    <s v="D"/>
    <x v="3"/>
    <x v="4"/>
    <s v="USD"/>
    <n v="108838.99"/>
    <n v="176.57"/>
    <n v="31.78"/>
    <n v="434.13"/>
    <n v="108613.21"/>
    <n v="246445.76"/>
    <n v="691"/>
    <x v="1"/>
    <s v="Failed"/>
    <x v="2"/>
    <s v="None"/>
    <x v="2"/>
  </r>
  <r>
    <x v="101"/>
    <s v="2025-03-25"/>
    <x v="2"/>
    <x v="100"/>
    <x v="3"/>
    <s v="A"/>
    <x v="1"/>
    <x v="2"/>
    <s v="INR"/>
    <n v="11253.82"/>
    <n v="67.86"/>
    <n v="12.21"/>
    <n v="0.5"/>
    <n v="11333.39"/>
    <n v="245860.08"/>
    <n v="884"/>
    <x v="1"/>
    <s v="Failed"/>
    <x v="0"/>
    <s v="Verified"/>
    <x v="3"/>
  </r>
  <r>
    <x v="102"/>
    <s v="2025-12-29"/>
    <x v="0"/>
    <x v="101"/>
    <x v="2"/>
    <s v="A"/>
    <x v="2"/>
    <x v="2"/>
    <s v="INR"/>
    <n v="40040.300000000003"/>
    <n v="238.7"/>
    <n v="42.97"/>
    <n v="179.97"/>
    <n v="40142"/>
    <n v="251902.44"/>
    <n v="856"/>
    <x v="0"/>
    <s v="Completed"/>
    <x v="3"/>
    <s v="None"/>
    <x v="9"/>
  </r>
  <r>
    <x v="103"/>
    <s v="2025-11-15"/>
    <x v="1"/>
    <x v="102"/>
    <x v="3"/>
    <s v="C"/>
    <x v="0"/>
    <x v="4"/>
    <s v="USD"/>
    <n v="8409.75"/>
    <n v="45.89"/>
    <n v="8.26"/>
    <n v="294.47000000000003"/>
    <n v="8169.43"/>
    <n v="259327"/>
    <n v="887"/>
    <x v="1"/>
    <s v="Failed"/>
    <x v="0"/>
    <s v="Review"/>
    <x v="1"/>
  </r>
  <r>
    <x v="104"/>
    <s v="2025-09-23"/>
    <x v="1"/>
    <x v="103"/>
    <x v="0"/>
    <s v="D"/>
    <x v="2"/>
    <x v="1"/>
    <s v="EUR"/>
    <n v="85671.17"/>
    <n v="1056.9100000000001"/>
    <n v="190.24"/>
    <n v="328.14"/>
    <n v="86590.18"/>
    <n v="258670.72"/>
    <n v="827"/>
    <x v="2"/>
    <s v="Completed"/>
    <x v="0"/>
    <s v="Verified"/>
    <x v="11"/>
  </r>
  <r>
    <x v="105"/>
    <s v="2025-04-20"/>
    <x v="2"/>
    <x v="104"/>
    <x v="2"/>
    <s v="D"/>
    <x v="0"/>
    <x v="1"/>
    <s v="INR"/>
    <n v="114874.92"/>
    <n v="1819.79"/>
    <n v="327.56"/>
    <n v="59.49"/>
    <n v="116962.78"/>
    <n v="257464.15"/>
    <n v="881"/>
    <x v="2"/>
    <s v="Pending"/>
    <x v="1"/>
    <s v="Review"/>
    <x v="2"/>
  </r>
  <r>
    <x v="106"/>
    <s v="2025-03-29"/>
    <x v="2"/>
    <x v="105"/>
    <x v="3"/>
    <s v="B"/>
    <x v="2"/>
    <x v="2"/>
    <s v="USD"/>
    <n v="151582.41"/>
    <n v="792.88"/>
    <n v="142.72"/>
    <n v="353.17"/>
    <n v="152164.84"/>
    <n v="261865.85"/>
    <n v="433"/>
    <x v="0"/>
    <s v="Completed"/>
    <x v="2"/>
    <s v="Verified"/>
    <x v="3"/>
  </r>
  <r>
    <x v="107"/>
    <s v="2025-03-10"/>
    <x v="1"/>
    <x v="106"/>
    <x v="2"/>
    <s v="D"/>
    <x v="1"/>
    <x v="2"/>
    <s v="USD"/>
    <n v="133272.51"/>
    <n v="2073.9899999999998"/>
    <n v="373.32"/>
    <n v="109.81"/>
    <n v="135610.01"/>
    <n v="269355.32"/>
    <n v="837"/>
    <x v="2"/>
    <s v="Completed"/>
    <x v="0"/>
    <s v="Review"/>
    <x v="3"/>
  </r>
  <r>
    <x v="108"/>
    <s v="2025-05-09"/>
    <x v="1"/>
    <x v="107"/>
    <x v="2"/>
    <s v="B"/>
    <x v="0"/>
    <x v="0"/>
    <s v="INR"/>
    <n v="1769.17"/>
    <n v="13.95"/>
    <n v="2.5099999999999998"/>
    <n v="268.70999999999998"/>
    <n v="1516.92"/>
    <n v="276432.33"/>
    <n v="424"/>
    <x v="2"/>
    <s v="Pending"/>
    <x v="3"/>
    <s v="Verified"/>
    <x v="5"/>
  </r>
  <r>
    <x v="109"/>
    <s v="2025-06-25"/>
    <x v="1"/>
    <x v="108"/>
    <x v="0"/>
    <s v="B"/>
    <x v="3"/>
    <x v="1"/>
    <s v="USD"/>
    <n v="154617.01"/>
    <n v="1045.49"/>
    <n v="188.19"/>
    <n v="169.19"/>
    <n v="155681.5"/>
    <n v="282671.44"/>
    <n v="444"/>
    <x v="2"/>
    <s v="Pending"/>
    <x v="2"/>
    <s v="Verified"/>
    <x v="10"/>
  </r>
  <r>
    <x v="110"/>
    <s v="2025-07-07"/>
    <x v="0"/>
    <x v="109"/>
    <x v="0"/>
    <s v="D"/>
    <x v="2"/>
    <x v="1"/>
    <s v="INR"/>
    <n v="119179.7"/>
    <n v="1974.98"/>
    <n v="355.5"/>
    <n v="477.69"/>
    <n v="121032.49"/>
    <n v="284843.18"/>
    <n v="661"/>
    <x v="0"/>
    <s v="Pending"/>
    <x v="1"/>
    <s v="Verified"/>
    <x v="7"/>
  </r>
  <r>
    <x v="111"/>
    <s v="2025-03-05"/>
    <x v="1"/>
    <x v="110"/>
    <x v="0"/>
    <s v="C"/>
    <x v="3"/>
    <x v="2"/>
    <s v="USD"/>
    <n v="31438.63"/>
    <n v="622.30999999999995"/>
    <n v="112.02"/>
    <n v="189.27"/>
    <n v="31983.69"/>
    <n v="286532.03000000003"/>
    <n v="446"/>
    <x v="0"/>
    <s v="Failed"/>
    <x v="0"/>
    <s v="Review"/>
    <x v="3"/>
  </r>
  <r>
    <x v="112"/>
    <s v="2025-11-01"/>
    <x v="0"/>
    <x v="111"/>
    <x v="0"/>
    <s v="B"/>
    <x v="3"/>
    <x v="4"/>
    <s v="EUR"/>
    <n v="128995.51"/>
    <n v="798.98"/>
    <n v="143.82"/>
    <n v="50.01"/>
    <n v="129888.3"/>
    <n v="286118.02"/>
    <n v="430"/>
    <x v="1"/>
    <s v="Completed"/>
    <x v="2"/>
    <s v="Verified"/>
    <x v="1"/>
  </r>
  <r>
    <x v="113"/>
    <s v="2025-12-31"/>
    <x v="2"/>
    <x v="112"/>
    <x v="2"/>
    <s v="B"/>
    <x v="0"/>
    <x v="4"/>
    <s v="INR"/>
    <n v="64433.14"/>
    <n v="290.33999999999997"/>
    <n v="52.26"/>
    <n v="241.4"/>
    <n v="64534.34"/>
    <n v="290431.99"/>
    <n v="856"/>
    <x v="0"/>
    <s v="Failed"/>
    <x v="1"/>
    <s v="None"/>
    <x v="9"/>
  </r>
  <r>
    <x v="114"/>
    <s v="2025-10-13"/>
    <x v="1"/>
    <x v="113"/>
    <x v="3"/>
    <s v="C"/>
    <x v="0"/>
    <x v="4"/>
    <s v="INR"/>
    <n v="79244.63"/>
    <n v="821.88"/>
    <n v="147.94"/>
    <n v="359.56"/>
    <n v="79854.89"/>
    <n v="288345.40000000002"/>
    <n v="703"/>
    <x v="0"/>
    <s v="Pending"/>
    <x v="1"/>
    <s v="Review"/>
    <x v="6"/>
  </r>
  <r>
    <x v="115"/>
    <s v="2025-05-08"/>
    <x v="1"/>
    <x v="114"/>
    <x v="0"/>
    <s v="B"/>
    <x v="1"/>
    <x v="0"/>
    <s v="USD"/>
    <n v="165050.34"/>
    <n v="2519.33"/>
    <n v="453.48"/>
    <n v="105.77"/>
    <n v="167917.38"/>
    <n v="292128.98"/>
    <n v="504"/>
    <x v="0"/>
    <s v="Pending"/>
    <x v="0"/>
    <s v="None"/>
    <x v="5"/>
  </r>
  <r>
    <x v="116"/>
    <s v="2025-06-19"/>
    <x v="1"/>
    <x v="115"/>
    <x v="0"/>
    <s v="D"/>
    <x v="2"/>
    <x v="0"/>
    <s v="INR"/>
    <n v="115892.89"/>
    <n v="518.82000000000005"/>
    <n v="93.39"/>
    <n v="489.9"/>
    <n v="116015.2"/>
    <n v="293408.73"/>
    <n v="398"/>
    <x v="0"/>
    <s v="Failed"/>
    <x v="3"/>
    <s v="None"/>
    <x v="10"/>
  </r>
  <r>
    <x v="117"/>
    <s v="2025-09-25"/>
    <x v="0"/>
    <x v="116"/>
    <x v="0"/>
    <s v="A"/>
    <x v="3"/>
    <x v="2"/>
    <s v="USD"/>
    <n v="76327.97"/>
    <n v="1058.08"/>
    <n v="190.45"/>
    <n v="152.44999999999999"/>
    <n v="77424.05"/>
    <n v="288570.34000000003"/>
    <n v="419"/>
    <x v="1"/>
    <s v="Completed"/>
    <x v="3"/>
    <s v="Verified"/>
    <x v="11"/>
  </r>
  <r>
    <x v="118"/>
    <s v="2025-09-20"/>
    <x v="1"/>
    <x v="117"/>
    <x v="0"/>
    <s v="D"/>
    <x v="0"/>
    <x v="0"/>
    <s v="EUR"/>
    <n v="100936.55"/>
    <n v="1698.25"/>
    <n v="305.69"/>
    <n v="109.32"/>
    <n v="102831.17"/>
    <n v="287268.33"/>
    <n v="577"/>
    <x v="0"/>
    <s v="Failed"/>
    <x v="3"/>
    <s v="Review"/>
    <x v="11"/>
  </r>
  <r>
    <x v="119"/>
    <s v="2025-09-12"/>
    <x v="2"/>
    <x v="118"/>
    <x v="1"/>
    <s v="D"/>
    <x v="0"/>
    <x v="1"/>
    <s v="USD"/>
    <n v="99864.1"/>
    <n v="1228.67"/>
    <n v="221.16"/>
    <n v="119.03"/>
    <n v="101194.9"/>
    <n v="283342.43"/>
    <n v="811"/>
    <x v="2"/>
    <s v="Failed"/>
    <x v="3"/>
    <s v="Verified"/>
    <x v="11"/>
  </r>
  <r>
    <x v="120"/>
    <s v="2025-02-19"/>
    <x v="0"/>
    <x v="119"/>
    <x v="2"/>
    <s v="C"/>
    <x v="2"/>
    <x v="1"/>
    <s v="EUR"/>
    <n v="44725.32"/>
    <n v="499.46"/>
    <n v="89.9"/>
    <n v="101.58"/>
    <n v="45213.1"/>
    <n v="289207.51"/>
    <n v="585"/>
    <x v="2"/>
    <s v="Completed"/>
    <x v="0"/>
    <s v="None"/>
    <x v="0"/>
  </r>
  <r>
    <x v="121"/>
    <s v="2025-01-18"/>
    <x v="0"/>
    <x v="120"/>
    <x v="3"/>
    <s v="D"/>
    <x v="3"/>
    <x v="2"/>
    <s v="USD"/>
    <n v="31819.65"/>
    <n v="301.92"/>
    <n v="54.35"/>
    <n v="217.46"/>
    <n v="31958.46"/>
    <n v="298597.5"/>
    <n v="529"/>
    <x v="2"/>
    <s v="Completed"/>
    <x v="3"/>
    <s v="Review"/>
    <x v="4"/>
  </r>
  <r>
    <x v="122"/>
    <s v="2025-08-25"/>
    <x v="1"/>
    <x v="121"/>
    <x v="1"/>
    <s v="A"/>
    <x v="2"/>
    <x v="3"/>
    <s v="INR"/>
    <n v="52706.63"/>
    <n v="174.4"/>
    <n v="31.39"/>
    <n v="325.97000000000003"/>
    <n v="52586.45"/>
    <n v="297643.13"/>
    <n v="784"/>
    <x v="0"/>
    <s v="Pending"/>
    <x v="0"/>
    <s v="Verified"/>
    <x v="8"/>
  </r>
  <r>
    <x v="123"/>
    <s v="2025-01-10"/>
    <x v="1"/>
    <x v="122"/>
    <x v="1"/>
    <s v="D"/>
    <x v="2"/>
    <x v="2"/>
    <s v="USD"/>
    <n v="199672.54"/>
    <n v="3171.98"/>
    <n v="570.96"/>
    <n v="240.6"/>
    <n v="203174.88"/>
    <n v="300589.77"/>
    <n v="372"/>
    <x v="0"/>
    <s v="Pending"/>
    <x v="1"/>
    <s v="None"/>
    <x v="4"/>
  </r>
  <r>
    <x v="124"/>
    <s v="2025-09-17"/>
    <x v="0"/>
    <x v="123"/>
    <x v="2"/>
    <s v="C"/>
    <x v="2"/>
    <x v="0"/>
    <s v="EUR"/>
    <n v="39666.21"/>
    <n v="228.08"/>
    <n v="41.05"/>
    <n v="442.75"/>
    <n v="39492.589999999997"/>
    <n v="310487.06"/>
    <n v="592"/>
    <x v="0"/>
    <s v="Completed"/>
    <x v="0"/>
    <s v="Verified"/>
    <x v="11"/>
  </r>
  <r>
    <x v="125"/>
    <s v="2025-04-30"/>
    <x v="1"/>
    <x v="124"/>
    <x v="0"/>
    <s v="D"/>
    <x v="0"/>
    <x v="3"/>
    <s v="INR"/>
    <n v="58007.38"/>
    <n v="368.08"/>
    <n v="66.25"/>
    <n v="373.96"/>
    <n v="58067.75"/>
    <n v="310674.21000000002"/>
    <n v="745"/>
    <x v="0"/>
    <s v="Failed"/>
    <x v="3"/>
    <s v="Review"/>
    <x v="2"/>
  </r>
  <r>
    <x v="126"/>
    <s v="2025-01-06"/>
    <x v="2"/>
    <x v="125"/>
    <x v="3"/>
    <s v="D"/>
    <x v="2"/>
    <x v="4"/>
    <s v="INR"/>
    <n v="29298.57"/>
    <n v="332.25"/>
    <n v="59.8"/>
    <n v="345.16"/>
    <n v="29345.46"/>
    <n v="314906.23"/>
    <n v="547"/>
    <x v="0"/>
    <s v="Pending"/>
    <x v="2"/>
    <s v="Verified"/>
    <x v="4"/>
  </r>
  <r>
    <x v="127"/>
    <s v="2025-03-20"/>
    <x v="0"/>
    <x v="126"/>
    <x v="0"/>
    <s v="D"/>
    <x v="3"/>
    <x v="1"/>
    <s v="INR"/>
    <n v="178297.35"/>
    <n v="1809.29"/>
    <n v="325.67"/>
    <n v="232.17"/>
    <n v="180200.14"/>
    <n v="316247.93"/>
    <n v="659"/>
    <x v="1"/>
    <s v="Failed"/>
    <x v="1"/>
    <s v="Review"/>
    <x v="3"/>
  </r>
  <r>
    <x v="128"/>
    <s v="2025-05-04"/>
    <x v="1"/>
    <x v="127"/>
    <x v="2"/>
    <s v="B"/>
    <x v="0"/>
    <x v="0"/>
    <s v="EUR"/>
    <n v="57805.53"/>
    <n v="588.64"/>
    <n v="105.96"/>
    <n v="191.32"/>
    <n v="58308.81"/>
    <n v="321443.76"/>
    <n v="582"/>
    <x v="2"/>
    <s v="Failed"/>
    <x v="1"/>
    <s v="None"/>
    <x v="5"/>
  </r>
  <r>
    <x v="129"/>
    <s v="2025-05-13"/>
    <x v="2"/>
    <x v="128"/>
    <x v="0"/>
    <s v="B"/>
    <x v="0"/>
    <x v="2"/>
    <s v="INR"/>
    <n v="169661.25"/>
    <n v="1387.24"/>
    <n v="249.7"/>
    <n v="357.96"/>
    <n v="170940.23"/>
    <n v="323038.62"/>
    <n v="713"/>
    <x v="1"/>
    <s v="Completed"/>
    <x v="2"/>
    <s v="None"/>
    <x v="5"/>
  </r>
  <r>
    <x v="130"/>
    <s v="2025-08-28"/>
    <x v="2"/>
    <x v="129"/>
    <x v="1"/>
    <s v="B"/>
    <x v="2"/>
    <x v="2"/>
    <s v="EUR"/>
    <n v="2248.4899999999998"/>
    <n v="40.97"/>
    <n v="7.37"/>
    <n v="4.6100000000000003"/>
    <n v="2292.2199999999998"/>
    <n v="331651.5"/>
    <n v="643"/>
    <x v="0"/>
    <s v="Failed"/>
    <x v="3"/>
    <s v="None"/>
    <x v="8"/>
  </r>
  <r>
    <x v="131"/>
    <s v="2025-03-11"/>
    <x v="0"/>
    <x v="130"/>
    <x v="2"/>
    <s v="B"/>
    <x v="3"/>
    <x v="1"/>
    <s v="INR"/>
    <n v="102362.74"/>
    <n v="520.77"/>
    <n v="93.74"/>
    <n v="233.92"/>
    <n v="102743.33"/>
    <n v="337030.67"/>
    <n v="307"/>
    <x v="2"/>
    <s v="Failed"/>
    <x v="2"/>
    <s v="Review"/>
    <x v="3"/>
  </r>
  <r>
    <x v="132"/>
    <s v="2025-07-15"/>
    <x v="1"/>
    <x v="131"/>
    <x v="0"/>
    <s v="D"/>
    <x v="1"/>
    <x v="1"/>
    <s v="USD"/>
    <n v="14588.2"/>
    <n v="139.69"/>
    <n v="25.14"/>
    <n v="293.33999999999997"/>
    <n v="14459.69"/>
    <n v="333827.11"/>
    <n v="793"/>
    <x v="2"/>
    <s v="Pending"/>
    <x v="3"/>
    <s v="None"/>
    <x v="7"/>
  </r>
  <r>
    <x v="133"/>
    <s v="2025-09-27"/>
    <x v="1"/>
    <x v="132"/>
    <x v="3"/>
    <s v="C"/>
    <x v="2"/>
    <x v="4"/>
    <s v="USD"/>
    <n v="164595.99"/>
    <n v="2892.05"/>
    <n v="520.57000000000005"/>
    <n v="42.5"/>
    <n v="167966.11"/>
    <n v="335529.89"/>
    <n v="440"/>
    <x v="1"/>
    <s v="Failed"/>
    <x v="0"/>
    <s v="Verified"/>
    <x v="11"/>
  </r>
  <r>
    <x v="134"/>
    <s v="2025-09-25"/>
    <x v="1"/>
    <x v="133"/>
    <x v="2"/>
    <s v="C"/>
    <x v="3"/>
    <x v="1"/>
    <s v="EUR"/>
    <n v="121559.16"/>
    <n v="1478.03"/>
    <n v="266.05"/>
    <n v="298.68"/>
    <n v="123004.56"/>
    <n v="336054.18"/>
    <n v="326"/>
    <x v="1"/>
    <s v="Pending"/>
    <x v="2"/>
    <s v="None"/>
    <x v="11"/>
  </r>
  <r>
    <x v="135"/>
    <s v="2025-11-11"/>
    <x v="1"/>
    <x v="134"/>
    <x v="1"/>
    <s v="C"/>
    <x v="3"/>
    <x v="3"/>
    <s v="EUR"/>
    <n v="84746.64"/>
    <n v="952.93"/>
    <n v="171.53"/>
    <n v="230.49"/>
    <n v="85640.61"/>
    <n v="337652.56"/>
    <n v="531"/>
    <x v="1"/>
    <s v="Pending"/>
    <x v="0"/>
    <s v="Verified"/>
    <x v="1"/>
  </r>
  <r>
    <x v="136"/>
    <s v="2025-04-11"/>
    <x v="1"/>
    <x v="135"/>
    <x v="1"/>
    <s v="A"/>
    <x v="0"/>
    <x v="2"/>
    <s v="EUR"/>
    <n v="94329.53"/>
    <n v="1001.73"/>
    <n v="180.31"/>
    <n v="104.27"/>
    <n v="95407.3"/>
    <n v="337732.73"/>
    <n v="395"/>
    <x v="0"/>
    <s v="Failed"/>
    <x v="1"/>
    <s v="None"/>
    <x v="2"/>
  </r>
  <r>
    <x v="137"/>
    <s v="2025-12-01"/>
    <x v="0"/>
    <x v="136"/>
    <x v="3"/>
    <s v="D"/>
    <x v="2"/>
    <x v="2"/>
    <s v="USD"/>
    <n v="139188.63"/>
    <n v="2058.9299999999998"/>
    <n v="370.61"/>
    <n v="25.14"/>
    <n v="141593.03"/>
    <n v="339684.72"/>
    <n v="827"/>
    <x v="1"/>
    <s v="Completed"/>
    <x v="3"/>
    <s v="Verified"/>
    <x v="9"/>
  </r>
  <r>
    <x v="138"/>
    <s v="2025-07-18"/>
    <x v="0"/>
    <x v="137"/>
    <x v="3"/>
    <s v="D"/>
    <x v="1"/>
    <x v="4"/>
    <s v="USD"/>
    <n v="145949.6"/>
    <n v="1475.07"/>
    <n v="265.51"/>
    <n v="142.74"/>
    <n v="147547.44"/>
    <n v="345026.61"/>
    <n v="736"/>
    <x v="1"/>
    <s v="Failed"/>
    <x v="2"/>
    <s v="None"/>
    <x v="7"/>
  </r>
  <r>
    <x v="139"/>
    <s v="2025-07-21"/>
    <x v="1"/>
    <x v="138"/>
    <x v="0"/>
    <s v="A"/>
    <x v="1"/>
    <x v="0"/>
    <s v="EUR"/>
    <n v="86080.11"/>
    <n v="1140.57"/>
    <n v="205.3"/>
    <n v="303.89"/>
    <n v="87122.09"/>
    <n v="348018.91"/>
    <n v="426"/>
    <x v="0"/>
    <s v="Completed"/>
    <x v="0"/>
    <s v="Verified"/>
    <x v="7"/>
  </r>
  <r>
    <x v="140"/>
    <s v="2025-06-24"/>
    <x v="2"/>
    <x v="139"/>
    <x v="1"/>
    <s v="A"/>
    <x v="1"/>
    <x v="1"/>
    <s v="INR"/>
    <n v="178242.35"/>
    <n v="2522.29"/>
    <n v="454.01"/>
    <n v="266.63"/>
    <n v="180952.02"/>
    <n v="349576.77"/>
    <n v="333"/>
    <x v="0"/>
    <s v="Completed"/>
    <x v="1"/>
    <s v="None"/>
    <x v="10"/>
  </r>
  <r>
    <x v="141"/>
    <s v="2025-11-15"/>
    <x v="0"/>
    <x v="140"/>
    <x v="0"/>
    <s v="C"/>
    <x v="0"/>
    <x v="0"/>
    <s v="USD"/>
    <n v="83486.880000000005"/>
    <n v="1034.18"/>
    <n v="186.15"/>
    <n v="133.15"/>
    <n v="84574.06"/>
    <n v="346974.29"/>
    <n v="803"/>
    <x v="1"/>
    <s v="Pending"/>
    <x v="3"/>
    <s v="Review"/>
    <x v="1"/>
  </r>
  <r>
    <x v="142"/>
    <s v="2025-08-25"/>
    <x v="1"/>
    <x v="141"/>
    <x v="0"/>
    <s v="B"/>
    <x v="2"/>
    <x v="3"/>
    <s v="EUR"/>
    <n v="191714.56"/>
    <n v="1725.51"/>
    <n v="310.58999999999997"/>
    <n v="489.6"/>
    <n v="193261.06"/>
    <n v="350004.91"/>
    <n v="728"/>
    <x v="2"/>
    <s v="Completed"/>
    <x v="3"/>
    <s v="Verified"/>
    <x v="8"/>
  </r>
  <r>
    <x v="143"/>
    <s v="2025-07-07"/>
    <x v="2"/>
    <x v="142"/>
    <x v="1"/>
    <s v="D"/>
    <x v="1"/>
    <x v="4"/>
    <s v="USD"/>
    <n v="198829.24"/>
    <n v="2066.56"/>
    <n v="371.98"/>
    <n v="162.59"/>
    <n v="201105.19"/>
    <n v="351519.56"/>
    <n v="380"/>
    <x v="2"/>
    <s v="Failed"/>
    <x v="0"/>
    <s v="None"/>
    <x v="7"/>
  </r>
  <r>
    <x v="144"/>
    <s v="2025-10-27"/>
    <x v="2"/>
    <x v="143"/>
    <x v="3"/>
    <s v="A"/>
    <x v="1"/>
    <x v="2"/>
    <s v="USD"/>
    <n v="177150.85"/>
    <n v="2839.29"/>
    <n v="511.07"/>
    <n v="172.26"/>
    <n v="180328.95"/>
    <n v="348089.24"/>
    <n v="760"/>
    <x v="2"/>
    <s v="Failed"/>
    <x v="2"/>
    <s v="Verified"/>
    <x v="6"/>
  </r>
  <r>
    <x v="145"/>
    <s v="2025-12-02"/>
    <x v="0"/>
    <x v="144"/>
    <x v="0"/>
    <s v="C"/>
    <x v="2"/>
    <x v="0"/>
    <s v="INR"/>
    <n v="21499.16"/>
    <n v="241.98"/>
    <n v="43.56"/>
    <n v="492.72"/>
    <n v="21291.98"/>
    <n v="343606.83"/>
    <n v="712"/>
    <x v="2"/>
    <s v="Pending"/>
    <x v="1"/>
    <s v="Verified"/>
    <x v="9"/>
  </r>
  <r>
    <x v="146"/>
    <s v="2025-12-30"/>
    <x v="2"/>
    <x v="145"/>
    <x v="3"/>
    <s v="C"/>
    <x v="3"/>
    <x v="3"/>
    <s v="USD"/>
    <n v="93930.78"/>
    <n v="208.82"/>
    <n v="37.590000000000003"/>
    <n v="290.33"/>
    <n v="93886.86"/>
    <n v="344993.96"/>
    <n v="518"/>
    <x v="1"/>
    <s v="Pending"/>
    <x v="3"/>
    <s v="None"/>
    <x v="9"/>
  </r>
  <r>
    <x v="147"/>
    <s v="2025-11-09"/>
    <x v="1"/>
    <x v="146"/>
    <x v="1"/>
    <s v="D"/>
    <x v="0"/>
    <x v="1"/>
    <s v="EUR"/>
    <n v="187805.58"/>
    <n v="2114.15"/>
    <n v="380.55"/>
    <n v="113.67"/>
    <n v="190186.61"/>
    <n v="350042.13"/>
    <n v="799"/>
    <x v="0"/>
    <s v="Failed"/>
    <x v="3"/>
    <s v="Review"/>
    <x v="1"/>
  </r>
  <r>
    <x v="148"/>
    <s v="2025-06-10"/>
    <x v="2"/>
    <x v="147"/>
    <x v="1"/>
    <s v="A"/>
    <x v="1"/>
    <x v="1"/>
    <s v="EUR"/>
    <n v="165983.91"/>
    <n v="687"/>
    <n v="123.66"/>
    <n v="7.13"/>
    <n v="166787.44"/>
    <n v="347134.57"/>
    <n v="769"/>
    <x v="2"/>
    <s v="Completed"/>
    <x v="2"/>
    <s v="Verified"/>
    <x v="10"/>
  </r>
  <r>
    <x v="149"/>
    <s v="2025-06-04"/>
    <x v="0"/>
    <x v="148"/>
    <x v="0"/>
    <s v="A"/>
    <x v="2"/>
    <x v="2"/>
    <s v="EUR"/>
    <n v="156691.32999999999"/>
    <n v="2508.8200000000002"/>
    <n v="451.59"/>
    <n v="311.52999999999997"/>
    <n v="159340.21"/>
    <n v="350510.37"/>
    <n v="570"/>
    <x v="2"/>
    <s v="Failed"/>
    <x v="2"/>
    <s v="Review"/>
    <x v="10"/>
  </r>
  <r>
    <x v="150"/>
    <s v="2025-01-04"/>
    <x v="1"/>
    <x v="149"/>
    <x v="0"/>
    <s v="C"/>
    <x v="3"/>
    <x v="4"/>
    <s v="INR"/>
    <n v="78213.279999999999"/>
    <n v="1102.95"/>
    <n v="198.53"/>
    <n v="212.78"/>
    <n v="79301.98"/>
    <n v="351804.38"/>
    <n v="818"/>
    <x v="0"/>
    <s v="Pending"/>
    <x v="2"/>
    <s v="Review"/>
    <x v="4"/>
  </r>
  <r>
    <x v="151"/>
    <s v="2025-06-20"/>
    <x v="2"/>
    <x v="150"/>
    <x v="3"/>
    <s v="D"/>
    <x v="2"/>
    <x v="2"/>
    <s v="USD"/>
    <n v="12558.63"/>
    <n v="88.1"/>
    <n v="15.86"/>
    <n v="171.59"/>
    <n v="12491"/>
    <n v="356147.6"/>
    <n v="411"/>
    <x v="0"/>
    <s v="Completed"/>
    <x v="1"/>
    <s v="None"/>
    <x v="10"/>
  </r>
  <r>
    <x v="152"/>
    <s v="2025-01-13"/>
    <x v="1"/>
    <x v="151"/>
    <x v="0"/>
    <s v="B"/>
    <x v="3"/>
    <x v="0"/>
    <s v="EUR"/>
    <n v="189402.71"/>
    <n v="2165.7399999999998"/>
    <n v="389.83"/>
    <n v="217.5"/>
    <n v="191740.78"/>
    <n v="356395.41"/>
    <n v="843"/>
    <x v="0"/>
    <s v="Completed"/>
    <x v="1"/>
    <s v="Verified"/>
    <x v="4"/>
  </r>
  <r>
    <x v="153"/>
    <s v="2025-10-03"/>
    <x v="1"/>
    <x v="152"/>
    <x v="3"/>
    <s v="B"/>
    <x v="3"/>
    <x v="0"/>
    <s v="USD"/>
    <n v="169283.61"/>
    <n v="2640.07"/>
    <n v="475.21"/>
    <n v="161.22"/>
    <n v="172237.67"/>
    <n v="360071.26"/>
    <n v="655"/>
    <x v="2"/>
    <s v="Pending"/>
    <x v="2"/>
    <s v="Verified"/>
    <x v="6"/>
  </r>
  <r>
    <x v="154"/>
    <s v="2025-09-28"/>
    <x v="2"/>
    <x v="153"/>
    <x v="0"/>
    <s v="D"/>
    <x v="2"/>
    <x v="0"/>
    <s v="USD"/>
    <n v="81681.14"/>
    <n v="1127.45"/>
    <n v="202.94"/>
    <n v="486.6"/>
    <n v="82524.929999999993"/>
    <n v="363399.72"/>
    <n v="382"/>
    <x v="1"/>
    <s v="Pending"/>
    <x v="1"/>
    <s v="Review"/>
    <x v="11"/>
  </r>
  <r>
    <x v="155"/>
    <s v="2025-04-15"/>
    <x v="1"/>
    <x v="154"/>
    <x v="3"/>
    <s v="B"/>
    <x v="3"/>
    <x v="2"/>
    <s v="EUR"/>
    <n v="24517.919999999998"/>
    <n v="413.98"/>
    <n v="74.52"/>
    <n v="73.95"/>
    <n v="24932.47"/>
    <n v="361894.02"/>
    <n v="832"/>
    <x v="2"/>
    <s v="Completed"/>
    <x v="1"/>
    <s v="None"/>
    <x v="2"/>
  </r>
  <r>
    <x v="156"/>
    <s v="2025-10-22"/>
    <x v="0"/>
    <x v="155"/>
    <x v="1"/>
    <s v="D"/>
    <x v="0"/>
    <x v="3"/>
    <s v="EUR"/>
    <n v="55106.93"/>
    <n v="325.07"/>
    <n v="58.51"/>
    <n v="344.31"/>
    <n v="55146.2"/>
    <n v="365451.61"/>
    <n v="349"/>
    <x v="2"/>
    <s v="Failed"/>
    <x v="0"/>
    <s v="Review"/>
    <x v="6"/>
  </r>
  <r>
    <x v="157"/>
    <s v="2025-10-18"/>
    <x v="1"/>
    <x v="156"/>
    <x v="1"/>
    <s v="C"/>
    <x v="2"/>
    <x v="4"/>
    <s v="INR"/>
    <n v="29059.99"/>
    <n v="55.78"/>
    <n v="10.039999999999999"/>
    <n v="355.28"/>
    <n v="28770.53"/>
    <n v="373054.36"/>
    <n v="528"/>
    <x v="1"/>
    <s v="Pending"/>
    <x v="0"/>
    <s v="None"/>
    <x v="6"/>
  </r>
  <r>
    <x v="158"/>
    <s v="2025-08-04"/>
    <x v="1"/>
    <x v="157"/>
    <x v="1"/>
    <s v="A"/>
    <x v="3"/>
    <x v="1"/>
    <s v="INR"/>
    <n v="12818.46"/>
    <n v="159.59"/>
    <n v="28.73"/>
    <n v="82.62"/>
    <n v="12924.16"/>
    <n v="377149.31"/>
    <n v="888"/>
    <x v="2"/>
    <s v="Failed"/>
    <x v="2"/>
    <s v="Review"/>
    <x v="8"/>
  </r>
  <r>
    <x v="159"/>
    <s v="2025-05-20"/>
    <x v="1"/>
    <x v="158"/>
    <x v="3"/>
    <s v="B"/>
    <x v="2"/>
    <x v="3"/>
    <s v="INR"/>
    <n v="51308.37"/>
    <n v="575.73"/>
    <n v="103.63"/>
    <n v="127.01"/>
    <n v="51860.72"/>
    <n v="376497.9"/>
    <n v="411"/>
    <x v="0"/>
    <s v="Failed"/>
    <x v="1"/>
    <s v="Review"/>
    <x v="5"/>
  </r>
  <r>
    <x v="160"/>
    <s v="2025-11-14"/>
    <x v="1"/>
    <x v="159"/>
    <x v="2"/>
    <s v="D"/>
    <x v="0"/>
    <x v="0"/>
    <s v="INR"/>
    <n v="29830.17"/>
    <n v="379.55"/>
    <n v="68.319999999999993"/>
    <n v="348.3"/>
    <n v="29929.74"/>
    <n v="374853.37"/>
    <n v="602"/>
    <x v="2"/>
    <s v="Completed"/>
    <x v="1"/>
    <s v="Review"/>
    <x v="1"/>
  </r>
  <r>
    <x v="161"/>
    <s v="2025-07-10"/>
    <x v="0"/>
    <x v="160"/>
    <x v="3"/>
    <s v="B"/>
    <x v="0"/>
    <x v="4"/>
    <s v="EUR"/>
    <n v="64271.31"/>
    <n v="621.72"/>
    <n v="111.91"/>
    <n v="370.23"/>
    <n v="64634.71"/>
    <n v="370194.91"/>
    <n v="468"/>
    <x v="0"/>
    <s v="Pending"/>
    <x v="0"/>
    <s v="Verified"/>
    <x v="7"/>
  </r>
  <r>
    <x v="162"/>
    <s v="2025-07-17"/>
    <x v="2"/>
    <x v="161"/>
    <x v="2"/>
    <s v="C"/>
    <x v="2"/>
    <x v="4"/>
    <s v="INR"/>
    <n v="24428.7"/>
    <n v="272.52999999999997"/>
    <n v="49.06"/>
    <n v="286.81"/>
    <n v="24463.48"/>
    <n v="373385.29"/>
    <n v="717"/>
    <x v="2"/>
    <s v="Completed"/>
    <x v="2"/>
    <s v="None"/>
    <x v="7"/>
  </r>
  <r>
    <x v="163"/>
    <s v="2025-05-05"/>
    <x v="0"/>
    <x v="162"/>
    <x v="0"/>
    <s v="B"/>
    <x v="3"/>
    <x v="0"/>
    <s v="EUR"/>
    <n v="123015.13"/>
    <n v="2153.79"/>
    <n v="387.68"/>
    <n v="11.36"/>
    <n v="125545.24"/>
    <n v="373615.62"/>
    <n v="456"/>
    <x v="1"/>
    <s v="Completed"/>
    <x v="2"/>
    <s v="None"/>
    <x v="5"/>
  </r>
  <r>
    <x v="164"/>
    <s v="2025-04-22"/>
    <x v="0"/>
    <x v="163"/>
    <x v="1"/>
    <s v="A"/>
    <x v="1"/>
    <x v="0"/>
    <s v="USD"/>
    <n v="12660.7"/>
    <n v="76.430000000000007"/>
    <n v="13.76"/>
    <n v="22.99"/>
    <n v="12727.9"/>
    <n v="380132.53"/>
    <n v="403"/>
    <x v="1"/>
    <s v="Failed"/>
    <x v="3"/>
    <s v="Verified"/>
    <x v="2"/>
  </r>
  <r>
    <x v="165"/>
    <s v="2025-03-31"/>
    <x v="0"/>
    <x v="164"/>
    <x v="1"/>
    <s v="B"/>
    <x v="3"/>
    <x v="4"/>
    <s v="INR"/>
    <n v="199460.14"/>
    <n v="1781.95"/>
    <n v="320.75"/>
    <n v="314.73"/>
    <n v="201248.11"/>
    <n v="376233.76"/>
    <n v="442"/>
    <x v="1"/>
    <s v="Pending"/>
    <x v="3"/>
    <s v="Review"/>
    <x v="3"/>
  </r>
  <r>
    <x v="166"/>
    <s v="2025-06-16"/>
    <x v="1"/>
    <x v="165"/>
    <x v="3"/>
    <s v="B"/>
    <x v="3"/>
    <x v="1"/>
    <s v="EUR"/>
    <n v="191006.06"/>
    <n v="1489.21"/>
    <n v="268.06"/>
    <n v="223.29"/>
    <n v="192540.04"/>
    <n v="374471.22"/>
    <n v="516"/>
    <x v="2"/>
    <s v="Completed"/>
    <x v="3"/>
    <s v="Review"/>
    <x v="10"/>
  </r>
  <r>
    <x v="167"/>
    <s v="2025-12-24"/>
    <x v="0"/>
    <x v="166"/>
    <x v="0"/>
    <s v="D"/>
    <x v="0"/>
    <x v="1"/>
    <s v="EUR"/>
    <n v="190280.61"/>
    <n v="272.51"/>
    <n v="49.05"/>
    <n v="415.15"/>
    <n v="190187.02"/>
    <n v="372589.03"/>
    <n v="502"/>
    <x v="2"/>
    <s v="Failed"/>
    <x v="1"/>
    <s v="Verified"/>
    <x v="9"/>
  </r>
  <r>
    <x v="168"/>
    <s v="2025-11-12"/>
    <x v="0"/>
    <x v="167"/>
    <x v="3"/>
    <s v="B"/>
    <x v="3"/>
    <x v="1"/>
    <s v="INR"/>
    <n v="97662.43"/>
    <n v="178.86"/>
    <n v="32.19"/>
    <n v="305.36"/>
    <n v="97568.12"/>
    <n v="369812.97"/>
    <n v="846"/>
    <x v="0"/>
    <s v="Completed"/>
    <x v="1"/>
    <s v="None"/>
    <x v="1"/>
  </r>
  <r>
    <x v="169"/>
    <s v="2025-11-22"/>
    <x v="0"/>
    <x v="168"/>
    <x v="2"/>
    <s v="C"/>
    <x v="3"/>
    <x v="0"/>
    <s v="EUR"/>
    <n v="57402.35"/>
    <n v="923.74"/>
    <n v="166.27"/>
    <n v="486.05"/>
    <n v="58006.31"/>
    <n v="369749.02"/>
    <n v="617"/>
    <x v="0"/>
    <s v="Failed"/>
    <x v="0"/>
    <s v="Verified"/>
    <x v="1"/>
  </r>
  <r>
    <x v="170"/>
    <s v="2025-12-27"/>
    <x v="0"/>
    <x v="169"/>
    <x v="1"/>
    <s v="D"/>
    <x v="3"/>
    <x v="4"/>
    <s v="USD"/>
    <n v="103811.45"/>
    <n v="1418.09"/>
    <n v="255.26"/>
    <n v="3.57"/>
    <n v="105481.23"/>
    <n v="371939.27"/>
    <n v="474"/>
    <x v="2"/>
    <s v="Completed"/>
    <x v="0"/>
    <s v="Review"/>
    <x v="9"/>
  </r>
  <r>
    <x v="171"/>
    <s v="2025-12-09"/>
    <x v="0"/>
    <x v="45"/>
    <x v="3"/>
    <s v="C"/>
    <x v="2"/>
    <x v="1"/>
    <s v="INR"/>
    <n v="158186"/>
    <n v="1918.92"/>
    <n v="345.41"/>
    <n v="367.06"/>
    <n v="160083.26999999999"/>
    <n v="374701.85"/>
    <n v="594"/>
    <x v="1"/>
    <s v="Completed"/>
    <x v="0"/>
    <s v="Review"/>
    <x v="9"/>
  </r>
  <r>
    <x v="172"/>
    <s v="2025-02-28"/>
    <x v="0"/>
    <x v="170"/>
    <x v="0"/>
    <s v="B"/>
    <x v="0"/>
    <x v="0"/>
    <s v="INR"/>
    <n v="183309.11"/>
    <n v="3039.77"/>
    <n v="547.16"/>
    <n v="427.44"/>
    <n v="186468.6"/>
    <n v="381907.86"/>
    <n v="345"/>
    <x v="1"/>
    <s v="Completed"/>
    <x v="3"/>
    <s v="Review"/>
    <x v="0"/>
  </r>
  <r>
    <x v="173"/>
    <s v="2025-10-26"/>
    <x v="2"/>
    <x v="171"/>
    <x v="1"/>
    <s v="D"/>
    <x v="0"/>
    <x v="4"/>
    <s v="USD"/>
    <n v="162444.04999999999"/>
    <n v="1598.17"/>
    <n v="287.67"/>
    <n v="225.68"/>
    <n v="164104.21"/>
    <n v="389298.24"/>
    <n v="860"/>
    <x v="2"/>
    <s v="Failed"/>
    <x v="3"/>
    <s v="Review"/>
    <x v="6"/>
  </r>
  <r>
    <x v="174"/>
    <s v="2025-03-29"/>
    <x v="2"/>
    <x v="172"/>
    <x v="2"/>
    <s v="D"/>
    <x v="1"/>
    <x v="0"/>
    <s v="INR"/>
    <n v="98379.14"/>
    <n v="1399.45"/>
    <n v="251.9"/>
    <n v="376.98"/>
    <n v="99653.51"/>
    <n v="396164.29"/>
    <n v="487"/>
    <x v="0"/>
    <s v="Pending"/>
    <x v="2"/>
    <s v="None"/>
    <x v="3"/>
  </r>
  <r>
    <x v="175"/>
    <s v="2025-06-28"/>
    <x v="1"/>
    <x v="173"/>
    <x v="0"/>
    <s v="D"/>
    <x v="2"/>
    <x v="3"/>
    <s v="EUR"/>
    <n v="144933.82"/>
    <n v="447.06"/>
    <n v="80.47"/>
    <n v="25.81"/>
    <n v="145435.54"/>
    <n v="398910.56"/>
    <n v="452"/>
    <x v="0"/>
    <s v="Failed"/>
    <x v="3"/>
    <s v="Review"/>
    <x v="10"/>
  </r>
  <r>
    <x v="176"/>
    <s v="2025-02-13"/>
    <x v="1"/>
    <x v="174"/>
    <x v="2"/>
    <s v="D"/>
    <x v="1"/>
    <x v="3"/>
    <s v="USD"/>
    <n v="134643.51"/>
    <n v="1975.45"/>
    <n v="355.58"/>
    <n v="204.37"/>
    <n v="136770.17000000001"/>
    <n v="404552.15"/>
    <n v="678"/>
    <x v="2"/>
    <s v="Failed"/>
    <x v="1"/>
    <s v="None"/>
    <x v="0"/>
  </r>
  <r>
    <x v="177"/>
    <s v="2025-10-18"/>
    <x v="1"/>
    <x v="175"/>
    <x v="3"/>
    <s v="B"/>
    <x v="2"/>
    <x v="0"/>
    <s v="USD"/>
    <n v="95584.69"/>
    <n v="769.43"/>
    <n v="138.5"/>
    <n v="294.82"/>
    <n v="96197.8"/>
    <n v="404702.63"/>
    <n v="689"/>
    <x v="2"/>
    <s v="Pending"/>
    <x v="2"/>
    <s v="None"/>
    <x v="6"/>
  </r>
  <r>
    <x v="178"/>
    <s v="2025-04-06"/>
    <x v="1"/>
    <x v="176"/>
    <x v="1"/>
    <s v="D"/>
    <x v="0"/>
    <x v="4"/>
    <s v="INR"/>
    <n v="64316.3"/>
    <n v="1144.04"/>
    <n v="205.93"/>
    <n v="84.37"/>
    <n v="65581.899999999994"/>
    <n v="414524.3"/>
    <n v="821"/>
    <x v="1"/>
    <s v="Pending"/>
    <x v="3"/>
    <s v="Verified"/>
    <x v="2"/>
  </r>
  <r>
    <x v="179"/>
    <s v="2025-06-06"/>
    <x v="0"/>
    <x v="177"/>
    <x v="0"/>
    <s v="C"/>
    <x v="1"/>
    <x v="3"/>
    <s v="INR"/>
    <n v="160919.47"/>
    <n v="475.54"/>
    <n v="85.6"/>
    <n v="445.37"/>
    <n v="161035.24"/>
    <n v="420578.48"/>
    <n v="689"/>
    <x v="2"/>
    <s v="Completed"/>
    <x v="0"/>
    <s v="Review"/>
    <x v="10"/>
  </r>
  <r>
    <x v="180"/>
    <s v="2025-08-09"/>
    <x v="1"/>
    <x v="178"/>
    <x v="3"/>
    <s v="A"/>
    <x v="2"/>
    <x v="1"/>
    <s v="EUR"/>
    <n v="97006.74"/>
    <n v="1377.45"/>
    <n v="247.94"/>
    <n v="198.66"/>
    <n v="98433.47"/>
    <n v="426271.73"/>
    <n v="575"/>
    <x v="2"/>
    <s v="Failed"/>
    <x v="2"/>
    <s v="Verified"/>
    <x v="8"/>
  </r>
  <r>
    <x v="181"/>
    <s v="2025-08-31"/>
    <x v="0"/>
    <x v="179"/>
    <x v="3"/>
    <s v="A"/>
    <x v="1"/>
    <x v="4"/>
    <s v="INR"/>
    <n v="37081.42"/>
    <n v="631.42999999999995"/>
    <n v="113.66"/>
    <n v="103.28"/>
    <n v="37723.230000000003"/>
    <n v="422900.82"/>
    <n v="674"/>
    <x v="0"/>
    <s v="Pending"/>
    <x v="0"/>
    <s v="Verified"/>
    <x v="8"/>
  </r>
  <r>
    <x v="182"/>
    <s v="2025-08-23"/>
    <x v="2"/>
    <x v="180"/>
    <x v="0"/>
    <s v="C"/>
    <x v="0"/>
    <x v="2"/>
    <s v="EUR"/>
    <n v="142715.70000000001"/>
    <n v="2539.46"/>
    <n v="457.1"/>
    <n v="299.58999999999997"/>
    <n v="145412.67000000001"/>
    <n v="423674.28"/>
    <n v="481"/>
    <x v="1"/>
    <s v="Failed"/>
    <x v="3"/>
    <s v="Review"/>
    <x v="8"/>
  </r>
  <r>
    <x v="183"/>
    <s v="2025-09-23"/>
    <x v="0"/>
    <x v="181"/>
    <x v="0"/>
    <s v="A"/>
    <x v="3"/>
    <x v="1"/>
    <s v="USD"/>
    <n v="163633.48000000001"/>
    <n v="2791.64"/>
    <n v="502.5"/>
    <n v="335.5"/>
    <n v="166592.12"/>
    <n v="423869.38"/>
    <n v="776"/>
    <x v="0"/>
    <s v="Pending"/>
    <x v="1"/>
    <s v="Verified"/>
    <x v="11"/>
  </r>
  <r>
    <x v="184"/>
    <s v="2025-07-11"/>
    <x v="2"/>
    <x v="182"/>
    <x v="3"/>
    <s v="A"/>
    <x v="3"/>
    <x v="3"/>
    <s v="USD"/>
    <n v="122156.56"/>
    <n v="971.04"/>
    <n v="174.79"/>
    <n v="106.36"/>
    <n v="123196.03"/>
    <n v="425569.36"/>
    <n v="398"/>
    <x v="1"/>
    <s v="Pending"/>
    <x v="1"/>
    <s v="Verified"/>
    <x v="7"/>
  </r>
  <r>
    <x v="185"/>
    <s v="2025-06-24"/>
    <x v="0"/>
    <x v="183"/>
    <x v="2"/>
    <s v="A"/>
    <x v="2"/>
    <x v="0"/>
    <s v="INR"/>
    <n v="160305.17000000001"/>
    <n v="2579.8000000000002"/>
    <n v="464.36"/>
    <n v="188.39"/>
    <n v="163160.94"/>
    <n v="433407.41"/>
    <n v="540"/>
    <x v="2"/>
    <s v="Failed"/>
    <x v="0"/>
    <s v="None"/>
    <x v="10"/>
  </r>
  <r>
    <x v="186"/>
    <s v="2025-02-16"/>
    <x v="2"/>
    <x v="184"/>
    <x v="2"/>
    <s v="B"/>
    <x v="2"/>
    <x v="0"/>
    <s v="EUR"/>
    <n v="113522.1"/>
    <n v="883.21"/>
    <n v="158.97999999999999"/>
    <n v="274.8"/>
    <n v="114289.49"/>
    <n v="429591.21"/>
    <n v="440"/>
    <x v="0"/>
    <s v="Failed"/>
    <x v="3"/>
    <s v="Review"/>
    <x v="0"/>
  </r>
  <r>
    <x v="187"/>
    <s v="2025-01-22"/>
    <x v="2"/>
    <x v="185"/>
    <x v="3"/>
    <s v="A"/>
    <x v="2"/>
    <x v="3"/>
    <s v="EUR"/>
    <n v="117895.12"/>
    <n v="1491.48"/>
    <n v="268.47000000000003"/>
    <n v="50.07"/>
    <n v="119605"/>
    <n v="439558.67"/>
    <n v="433"/>
    <x v="0"/>
    <s v="Completed"/>
    <x v="3"/>
    <s v="Review"/>
    <x v="4"/>
  </r>
  <r>
    <x v="188"/>
    <s v="2025-12-20"/>
    <x v="0"/>
    <x v="186"/>
    <x v="3"/>
    <s v="B"/>
    <x v="1"/>
    <x v="4"/>
    <s v="USD"/>
    <n v="108725.89"/>
    <n v="1760.22"/>
    <n v="316.83999999999997"/>
    <n v="57.79"/>
    <n v="110745.16"/>
    <n v="437947.92"/>
    <n v="324"/>
    <x v="2"/>
    <s v="Pending"/>
    <x v="1"/>
    <s v="Review"/>
    <x v="9"/>
  </r>
  <r>
    <x v="189"/>
    <s v="2025-05-17"/>
    <x v="2"/>
    <x v="187"/>
    <x v="1"/>
    <s v="A"/>
    <x v="0"/>
    <x v="0"/>
    <s v="INR"/>
    <n v="138417.5"/>
    <n v="633.79"/>
    <n v="114.08"/>
    <n v="447.39"/>
    <n v="138717.98000000001"/>
    <n v="433997.69"/>
    <n v="449"/>
    <x v="0"/>
    <s v="Completed"/>
    <x v="1"/>
    <s v="Verified"/>
    <x v="5"/>
  </r>
  <r>
    <x v="190"/>
    <s v="2025-02-20"/>
    <x v="2"/>
    <x v="188"/>
    <x v="3"/>
    <s v="C"/>
    <x v="1"/>
    <x v="4"/>
    <s v="USD"/>
    <n v="132656.63"/>
    <n v="508.26"/>
    <n v="91.49"/>
    <n v="99.08"/>
    <n v="133157.29999999999"/>
    <n v="435266.88"/>
    <n v="540"/>
    <x v="0"/>
    <s v="Failed"/>
    <x v="1"/>
    <s v="Review"/>
    <x v="0"/>
  </r>
  <r>
    <x v="191"/>
    <s v="2025-11-05"/>
    <x v="2"/>
    <x v="189"/>
    <x v="0"/>
    <s v="D"/>
    <x v="2"/>
    <x v="4"/>
    <s v="USD"/>
    <n v="43930.57"/>
    <n v="530"/>
    <n v="95.4"/>
    <n v="402.99"/>
    <n v="44152.98"/>
    <n v="441122.42"/>
    <n v="876"/>
    <x v="1"/>
    <s v="Failed"/>
    <x v="1"/>
    <s v="Verified"/>
    <x v="1"/>
  </r>
  <r>
    <x v="192"/>
    <s v="2025-08-15"/>
    <x v="0"/>
    <x v="190"/>
    <x v="2"/>
    <s v="C"/>
    <x v="3"/>
    <x v="0"/>
    <s v="INR"/>
    <n v="76411.839999999997"/>
    <n v="1030.08"/>
    <n v="185.41"/>
    <n v="263.52"/>
    <n v="77363.81"/>
    <n v="450486.04"/>
    <n v="787"/>
    <x v="2"/>
    <s v="Completed"/>
    <x v="2"/>
    <s v="Verified"/>
    <x v="8"/>
  </r>
  <r>
    <x v="193"/>
    <s v="2025-02-02"/>
    <x v="2"/>
    <x v="191"/>
    <x v="3"/>
    <s v="B"/>
    <x v="0"/>
    <x v="2"/>
    <s v="EUR"/>
    <n v="13789.3"/>
    <n v="22.35"/>
    <n v="4.0199999999999996"/>
    <n v="471.02"/>
    <n v="13344.65"/>
    <n v="449080.84"/>
    <n v="871"/>
    <x v="2"/>
    <s v="Completed"/>
    <x v="0"/>
    <s v="Verified"/>
    <x v="0"/>
  </r>
  <r>
    <x v="194"/>
    <s v="2025-03-16"/>
    <x v="1"/>
    <x v="192"/>
    <x v="3"/>
    <s v="C"/>
    <x v="2"/>
    <x v="1"/>
    <s v="USD"/>
    <n v="154476.78"/>
    <n v="2137.21"/>
    <n v="384.7"/>
    <n v="23.67"/>
    <n v="156975.01999999999"/>
    <n v="452287.03"/>
    <n v="637"/>
    <x v="1"/>
    <s v="Pending"/>
    <x v="3"/>
    <s v="None"/>
    <x v="3"/>
  </r>
  <r>
    <x v="195"/>
    <s v="2025-06-15"/>
    <x v="0"/>
    <x v="193"/>
    <x v="0"/>
    <s v="A"/>
    <x v="2"/>
    <x v="4"/>
    <s v="INR"/>
    <n v="15554.15"/>
    <n v="146.27000000000001"/>
    <n v="26.33"/>
    <n v="32.74"/>
    <n v="15694.01"/>
    <n v="451592.29"/>
    <n v="372"/>
    <x v="2"/>
    <s v="Completed"/>
    <x v="0"/>
    <s v="Review"/>
    <x v="10"/>
  </r>
  <r>
    <x v="196"/>
    <s v="2025-04-21"/>
    <x v="2"/>
    <x v="194"/>
    <x v="3"/>
    <s v="B"/>
    <x v="1"/>
    <x v="2"/>
    <s v="INR"/>
    <n v="27377.99"/>
    <n v="136.68"/>
    <n v="24.6"/>
    <n v="53.76"/>
    <n v="27485.51"/>
    <n v="451511.24"/>
    <n v="711"/>
    <x v="1"/>
    <s v="Completed"/>
    <x v="3"/>
    <s v="Review"/>
    <x v="2"/>
  </r>
  <r>
    <x v="197"/>
    <s v="2025-03-26"/>
    <x v="1"/>
    <x v="195"/>
    <x v="0"/>
    <s v="D"/>
    <x v="2"/>
    <x v="4"/>
    <s v="INR"/>
    <n v="97467.81"/>
    <n v="1748.81"/>
    <n v="314.79000000000002"/>
    <n v="428.28"/>
    <n v="99103.13"/>
    <n v="459738.76"/>
    <n v="322"/>
    <x v="0"/>
    <s v="Completed"/>
    <x v="0"/>
    <s v="Verified"/>
    <x v="3"/>
  </r>
  <r>
    <x v="198"/>
    <s v="2025-12-06"/>
    <x v="0"/>
    <x v="196"/>
    <x v="2"/>
    <s v="A"/>
    <x v="3"/>
    <x v="2"/>
    <s v="EUR"/>
    <n v="33978.58"/>
    <n v="598.72"/>
    <n v="107.77"/>
    <n v="366.56"/>
    <n v="34318.51"/>
    <n v="457289.26"/>
    <n v="449"/>
    <x v="0"/>
    <s v="Completed"/>
    <x v="1"/>
    <s v="Verified"/>
    <x v="9"/>
  </r>
  <r>
    <x v="199"/>
    <s v="2025-09-21"/>
    <x v="1"/>
    <x v="197"/>
    <x v="1"/>
    <s v="A"/>
    <x v="1"/>
    <x v="0"/>
    <s v="INR"/>
    <n v="112014.72"/>
    <n v="248.86"/>
    <n v="44.79"/>
    <n v="295.05"/>
    <n v="112013.32"/>
    <n v="466332.36"/>
    <n v="534"/>
    <x v="1"/>
    <s v="Failed"/>
    <x v="1"/>
    <s v="Review"/>
    <x v="11"/>
  </r>
  <r>
    <x v="200"/>
    <s v="2025-10-04"/>
    <x v="1"/>
    <x v="198"/>
    <x v="0"/>
    <s v="D"/>
    <x v="0"/>
    <x v="0"/>
    <s v="USD"/>
    <n v="76213.429999999993"/>
    <n v="415.31"/>
    <n v="74.760000000000005"/>
    <n v="22.03"/>
    <n v="76681.47"/>
    <n v="463637.61"/>
    <n v="752"/>
    <x v="1"/>
    <s v="Pending"/>
    <x v="2"/>
    <s v="Verified"/>
    <x v="6"/>
  </r>
  <r>
    <x v="201"/>
    <s v="2025-08-27"/>
    <x v="1"/>
    <x v="199"/>
    <x v="3"/>
    <s v="B"/>
    <x v="2"/>
    <x v="0"/>
    <s v="INR"/>
    <n v="76295.240000000005"/>
    <n v="785.86"/>
    <n v="141.44999999999999"/>
    <n v="340.59"/>
    <n v="76881.960000000006"/>
    <n v="470158.54"/>
    <n v="455"/>
    <x v="2"/>
    <s v="Pending"/>
    <x v="0"/>
    <s v="Review"/>
    <x v="8"/>
  </r>
  <r>
    <x v="202"/>
    <s v="2025-08-29"/>
    <x v="0"/>
    <x v="200"/>
    <x v="2"/>
    <s v="D"/>
    <x v="3"/>
    <x v="2"/>
    <s v="EUR"/>
    <n v="171891.88"/>
    <n v="885.83"/>
    <n v="159.44999999999999"/>
    <n v="132.65"/>
    <n v="172804.51"/>
    <n v="468453.32"/>
    <n v="363"/>
    <x v="1"/>
    <s v="Completed"/>
    <x v="3"/>
    <s v="Review"/>
    <x v="8"/>
  </r>
  <r>
    <x v="203"/>
    <s v="2025-04-25"/>
    <x v="0"/>
    <x v="201"/>
    <x v="3"/>
    <s v="D"/>
    <x v="2"/>
    <x v="2"/>
    <s v="USD"/>
    <n v="16177.71"/>
    <n v="297.32"/>
    <n v="53.52"/>
    <n v="225.41"/>
    <n v="16303.14"/>
    <n v="467113.45"/>
    <n v="895"/>
    <x v="0"/>
    <s v="Failed"/>
    <x v="3"/>
    <s v="Verified"/>
    <x v="2"/>
  </r>
  <r>
    <x v="204"/>
    <s v="2025-08-21"/>
    <x v="2"/>
    <x v="202"/>
    <x v="0"/>
    <s v="D"/>
    <x v="1"/>
    <x v="1"/>
    <s v="USD"/>
    <n v="18615.560000000001"/>
    <n v="154.99"/>
    <n v="27.9"/>
    <n v="483.91"/>
    <n v="18314.54"/>
    <n v="468392.05"/>
    <n v="300"/>
    <x v="0"/>
    <s v="Pending"/>
    <x v="1"/>
    <s v="None"/>
    <x v="8"/>
  </r>
  <r>
    <x v="205"/>
    <s v="2025-01-20"/>
    <x v="1"/>
    <x v="203"/>
    <x v="3"/>
    <s v="A"/>
    <x v="0"/>
    <x v="1"/>
    <s v="EUR"/>
    <n v="57301.279999999999"/>
    <n v="159.41"/>
    <n v="28.69"/>
    <n v="276.63"/>
    <n v="57212.75"/>
    <n v="476146.15"/>
    <n v="856"/>
    <x v="1"/>
    <s v="Pending"/>
    <x v="0"/>
    <s v="None"/>
    <x v="4"/>
  </r>
  <r>
    <x v="206"/>
    <s v="2025-08-29"/>
    <x v="2"/>
    <x v="204"/>
    <x v="2"/>
    <s v="C"/>
    <x v="1"/>
    <x v="4"/>
    <s v="INR"/>
    <n v="117182"/>
    <n v="1834.03"/>
    <n v="330.13"/>
    <n v="150.36000000000001"/>
    <n v="119195.8"/>
    <n v="475432.62"/>
    <n v="542"/>
    <x v="2"/>
    <s v="Completed"/>
    <x v="2"/>
    <s v="Review"/>
    <x v="8"/>
  </r>
  <r>
    <x v="207"/>
    <s v="2025-01-14"/>
    <x v="1"/>
    <x v="205"/>
    <x v="3"/>
    <s v="D"/>
    <x v="3"/>
    <x v="2"/>
    <s v="EUR"/>
    <n v="55020.46"/>
    <n v="560.42999999999995"/>
    <n v="100.88"/>
    <n v="409.81"/>
    <n v="55271.96"/>
    <n v="482171.89"/>
    <n v="538"/>
    <x v="2"/>
    <s v="Pending"/>
    <x v="0"/>
    <s v="Review"/>
    <x v="4"/>
  </r>
  <r>
    <x v="208"/>
    <s v="2025-12-08"/>
    <x v="0"/>
    <x v="206"/>
    <x v="3"/>
    <s v="D"/>
    <x v="2"/>
    <x v="3"/>
    <s v="INR"/>
    <n v="186688.91"/>
    <n v="3720.58"/>
    <n v="669.7"/>
    <n v="412.29"/>
    <n v="190666.9"/>
    <n v="491503.3"/>
    <n v="534"/>
    <x v="2"/>
    <s v="Completed"/>
    <x v="0"/>
    <s v="Verified"/>
    <x v="9"/>
  </r>
  <r>
    <x v="209"/>
    <s v="2025-07-06"/>
    <x v="1"/>
    <x v="207"/>
    <x v="3"/>
    <s v="C"/>
    <x v="2"/>
    <x v="4"/>
    <s v="EUR"/>
    <n v="131460.59"/>
    <n v="1024.0899999999999"/>
    <n v="184.34"/>
    <n v="404.05"/>
    <n v="132264.97"/>
    <n v="489387.05"/>
    <n v="326"/>
    <x v="1"/>
    <s v="Pending"/>
    <x v="2"/>
    <s v="Verified"/>
    <x v="7"/>
  </r>
  <r>
    <x v="210"/>
    <s v="2025-04-12"/>
    <x v="2"/>
    <x v="208"/>
    <x v="3"/>
    <s v="B"/>
    <x v="0"/>
    <x v="3"/>
    <s v="EUR"/>
    <n v="162800.49"/>
    <n v="2516.1"/>
    <n v="452.9"/>
    <n v="254.31"/>
    <n v="165515.18"/>
    <n v="488191.34"/>
    <n v="772"/>
    <x v="0"/>
    <s v="Failed"/>
    <x v="3"/>
    <s v="Review"/>
    <x v="2"/>
  </r>
  <r>
    <x v="211"/>
    <s v="2025-05-27"/>
    <x v="1"/>
    <x v="209"/>
    <x v="0"/>
    <s v="A"/>
    <x v="1"/>
    <x v="2"/>
    <s v="INR"/>
    <n v="77091.63"/>
    <n v="637.87"/>
    <n v="114.82"/>
    <n v="234.08"/>
    <n v="77610.240000000005"/>
    <n v="485048.02"/>
    <n v="884"/>
    <x v="0"/>
    <s v="Failed"/>
    <x v="2"/>
    <s v="Verified"/>
    <x v="5"/>
  </r>
  <r>
    <x v="212"/>
    <s v="2025-10-05"/>
    <x v="1"/>
    <x v="210"/>
    <x v="3"/>
    <s v="D"/>
    <x v="2"/>
    <x v="0"/>
    <s v="EUR"/>
    <n v="186453.21"/>
    <n v="626.04999999999995"/>
    <n v="112.69"/>
    <n v="476.16"/>
    <n v="186715.79"/>
    <n v="490548.74"/>
    <n v="497"/>
    <x v="2"/>
    <s v="Completed"/>
    <x v="0"/>
    <s v="None"/>
    <x v="6"/>
  </r>
  <r>
    <x v="213"/>
    <s v="2025-12-08"/>
    <x v="2"/>
    <x v="211"/>
    <x v="1"/>
    <s v="B"/>
    <x v="0"/>
    <x v="0"/>
    <s v="INR"/>
    <n v="171705.87"/>
    <n v="1604.74"/>
    <n v="288.85000000000002"/>
    <n v="325.14999999999998"/>
    <n v="173274.31"/>
    <n v="490780.06"/>
    <n v="853"/>
    <x v="2"/>
    <s v="Failed"/>
    <x v="2"/>
    <s v="Review"/>
    <x v="9"/>
  </r>
  <r>
    <x v="214"/>
    <s v="2025-08-15"/>
    <x v="2"/>
    <x v="212"/>
    <x v="0"/>
    <s v="D"/>
    <x v="0"/>
    <x v="4"/>
    <s v="EUR"/>
    <n v="67810.97"/>
    <n v="278.85000000000002"/>
    <n v="50.19"/>
    <n v="407.78"/>
    <n v="67732.23"/>
    <n v="499339.74"/>
    <n v="721"/>
    <x v="1"/>
    <s v="Pending"/>
    <x v="2"/>
    <s v="None"/>
    <x v="8"/>
  </r>
  <r>
    <x v="215"/>
    <s v="2025-10-13"/>
    <x v="2"/>
    <x v="213"/>
    <x v="3"/>
    <s v="D"/>
    <x v="1"/>
    <x v="2"/>
    <s v="INR"/>
    <n v="9473.4699999999993"/>
    <n v="116.22"/>
    <n v="20.92"/>
    <n v="467.5"/>
    <n v="9143.11"/>
    <n v="506498.88"/>
    <n v="631"/>
    <x v="0"/>
    <s v="Pending"/>
    <x v="1"/>
    <s v="Verified"/>
    <x v="6"/>
  </r>
  <r>
    <x v="216"/>
    <s v="2025-06-18"/>
    <x v="1"/>
    <x v="214"/>
    <x v="1"/>
    <s v="B"/>
    <x v="1"/>
    <x v="2"/>
    <s v="USD"/>
    <n v="56469.37"/>
    <n v="375.27"/>
    <n v="67.55"/>
    <n v="477.71"/>
    <n v="56434.48"/>
    <n v="511205.21"/>
    <n v="865"/>
    <x v="2"/>
    <s v="Failed"/>
    <x v="2"/>
    <s v="Verified"/>
    <x v="10"/>
  </r>
  <r>
    <x v="217"/>
    <s v="2025-10-17"/>
    <x v="2"/>
    <x v="215"/>
    <x v="0"/>
    <s v="D"/>
    <x v="2"/>
    <x v="2"/>
    <s v="INR"/>
    <n v="129164.59"/>
    <n v="163.63"/>
    <n v="29.45"/>
    <n v="322.48"/>
    <n v="129035.19"/>
    <n v="518702.63"/>
    <n v="610"/>
    <x v="0"/>
    <s v="Failed"/>
    <x v="1"/>
    <s v="Verified"/>
    <x v="6"/>
  </r>
  <r>
    <x v="218"/>
    <s v="2025-05-04"/>
    <x v="1"/>
    <x v="216"/>
    <x v="2"/>
    <s v="C"/>
    <x v="2"/>
    <x v="0"/>
    <s v="EUR"/>
    <n v="15660.82"/>
    <n v="127.31"/>
    <n v="22.92"/>
    <n v="357.92"/>
    <n v="15453.13"/>
    <n v="523435.58"/>
    <n v="429"/>
    <x v="1"/>
    <s v="Completed"/>
    <x v="1"/>
    <s v="Verified"/>
    <x v="5"/>
  </r>
  <r>
    <x v="219"/>
    <s v="2025-05-30"/>
    <x v="2"/>
    <x v="217"/>
    <x v="1"/>
    <s v="B"/>
    <x v="3"/>
    <x v="2"/>
    <s v="USD"/>
    <n v="162330.94"/>
    <n v="165.92"/>
    <n v="29.87"/>
    <n v="421.89"/>
    <n v="162104.84"/>
    <n v="519453.37"/>
    <n v="882"/>
    <x v="0"/>
    <s v="Failed"/>
    <x v="3"/>
    <s v="Review"/>
    <x v="5"/>
  </r>
  <r>
    <x v="220"/>
    <s v="2025-12-10"/>
    <x v="0"/>
    <x v="3"/>
    <x v="0"/>
    <s v="D"/>
    <x v="2"/>
    <x v="4"/>
    <s v="INR"/>
    <n v="13166.43"/>
    <n v="172.25"/>
    <n v="31"/>
    <n v="393.9"/>
    <n v="12975.78"/>
    <n v="527934.64"/>
    <n v="348"/>
    <x v="2"/>
    <s v="Pending"/>
    <x v="2"/>
    <s v="Review"/>
    <x v="9"/>
  </r>
  <r>
    <x v="221"/>
    <s v="2025-08-05"/>
    <x v="0"/>
    <x v="218"/>
    <x v="2"/>
    <s v="A"/>
    <x v="0"/>
    <x v="1"/>
    <s v="USD"/>
    <n v="104251.5"/>
    <n v="614.97"/>
    <n v="110.69"/>
    <n v="388.03"/>
    <n v="104589.13"/>
    <n v="525304.86"/>
    <n v="572"/>
    <x v="0"/>
    <s v="Failed"/>
    <x v="1"/>
    <s v="None"/>
    <x v="8"/>
  </r>
  <r>
    <x v="222"/>
    <s v="2025-01-22"/>
    <x v="2"/>
    <x v="219"/>
    <x v="1"/>
    <s v="C"/>
    <x v="3"/>
    <x v="4"/>
    <s v="USD"/>
    <n v="37712.410000000003"/>
    <n v="510.58"/>
    <n v="91.9"/>
    <n v="51.58"/>
    <n v="38263.31"/>
    <n v="524388.12"/>
    <n v="356"/>
    <x v="2"/>
    <s v="Completed"/>
    <x v="0"/>
    <s v="None"/>
    <x v="4"/>
  </r>
  <r>
    <x v="223"/>
    <s v="2025-03-03"/>
    <x v="0"/>
    <x v="220"/>
    <x v="0"/>
    <s v="A"/>
    <x v="1"/>
    <x v="2"/>
    <s v="EUR"/>
    <n v="127402.45"/>
    <n v="2338.2199999999998"/>
    <n v="420.88"/>
    <n v="105.83"/>
    <n v="130055.72"/>
    <n v="525291.9"/>
    <n v="816"/>
    <x v="1"/>
    <s v="Completed"/>
    <x v="3"/>
    <s v="Verified"/>
    <x v="3"/>
  </r>
  <r>
    <x v="224"/>
    <s v="2025-08-09"/>
    <x v="1"/>
    <x v="221"/>
    <x v="3"/>
    <s v="A"/>
    <x v="2"/>
    <x v="2"/>
    <s v="EUR"/>
    <n v="80472.84"/>
    <n v="1574.64"/>
    <n v="283.44"/>
    <n v="472.23"/>
    <n v="81858.69"/>
    <n v="521379.48"/>
    <n v="423"/>
    <x v="1"/>
    <s v="Completed"/>
    <x v="0"/>
    <s v="Verified"/>
    <x v="8"/>
  </r>
  <r>
    <x v="225"/>
    <s v="2025-07-17"/>
    <x v="0"/>
    <x v="222"/>
    <x v="0"/>
    <s v="C"/>
    <x v="0"/>
    <x v="1"/>
    <s v="EUR"/>
    <n v="36272.31"/>
    <n v="686.37"/>
    <n v="123.55"/>
    <n v="23.09"/>
    <n v="37059.14"/>
    <n v="520064.64"/>
    <n v="634"/>
    <x v="1"/>
    <s v="Completed"/>
    <x v="3"/>
    <s v="Review"/>
    <x v="7"/>
  </r>
  <r>
    <x v="226"/>
    <s v="2025-10-15"/>
    <x v="2"/>
    <x v="223"/>
    <x v="3"/>
    <s v="A"/>
    <x v="0"/>
    <x v="1"/>
    <s v="INR"/>
    <n v="20545.78"/>
    <n v="365.62"/>
    <n v="65.81"/>
    <n v="389.35"/>
    <n v="20587.86"/>
    <n v="523818.62"/>
    <n v="382"/>
    <x v="1"/>
    <s v="Failed"/>
    <x v="2"/>
    <s v="Verified"/>
    <x v="6"/>
  </r>
  <r>
    <x v="227"/>
    <s v="2025-10-17"/>
    <x v="1"/>
    <x v="224"/>
    <x v="2"/>
    <s v="C"/>
    <x v="0"/>
    <x v="3"/>
    <s v="USD"/>
    <n v="187628.47"/>
    <n v="2304.08"/>
    <n v="414.73"/>
    <n v="145.97999999999999"/>
    <n v="190201.3"/>
    <n v="532386.92000000004"/>
    <n v="488"/>
    <x v="2"/>
    <s v="Failed"/>
    <x v="1"/>
    <s v="None"/>
    <x v="6"/>
  </r>
  <r>
    <x v="228"/>
    <s v="2025-03-10"/>
    <x v="0"/>
    <x v="225"/>
    <x v="2"/>
    <s v="B"/>
    <x v="2"/>
    <x v="3"/>
    <s v="INR"/>
    <n v="113266.72"/>
    <n v="906.6"/>
    <n v="163.19"/>
    <n v="285.27"/>
    <n v="114051.24"/>
    <n v="536793.09"/>
    <n v="526"/>
    <x v="0"/>
    <s v="Failed"/>
    <x v="1"/>
    <s v="Review"/>
    <x v="3"/>
  </r>
  <r>
    <x v="229"/>
    <s v="2025-03-31"/>
    <x v="1"/>
    <x v="226"/>
    <x v="1"/>
    <s v="B"/>
    <x v="0"/>
    <x v="3"/>
    <s v="USD"/>
    <n v="169066.83"/>
    <n v="2252.5300000000002"/>
    <n v="405.46"/>
    <n v="182.35"/>
    <n v="171542.47"/>
    <n v="532366.88"/>
    <n v="845"/>
    <x v="2"/>
    <s v="Completed"/>
    <x v="1"/>
    <s v="None"/>
    <x v="3"/>
  </r>
  <r>
    <x v="230"/>
    <s v="2025-08-26"/>
    <x v="0"/>
    <x v="227"/>
    <x v="2"/>
    <s v="C"/>
    <x v="0"/>
    <x v="1"/>
    <s v="EUR"/>
    <n v="128309.22"/>
    <n v="1530.45"/>
    <n v="275.48"/>
    <n v="109.61"/>
    <n v="130005.54"/>
    <n v="540922.54"/>
    <n v="614"/>
    <x v="0"/>
    <s v="Failed"/>
    <x v="2"/>
    <s v="Review"/>
    <x v="8"/>
  </r>
  <r>
    <x v="231"/>
    <s v="2025-09-24"/>
    <x v="1"/>
    <x v="228"/>
    <x v="3"/>
    <s v="D"/>
    <x v="3"/>
    <x v="1"/>
    <s v="INR"/>
    <n v="16187.99"/>
    <n v="30.98"/>
    <n v="5.58"/>
    <n v="81.63"/>
    <n v="16142.92"/>
    <n v="546144.56999999995"/>
    <n v="523"/>
    <x v="0"/>
    <s v="Failed"/>
    <x v="2"/>
    <s v="Review"/>
    <x v="11"/>
  </r>
  <r>
    <x v="232"/>
    <s v="2025-07-29"/>
    <x v="1"/>
    <x v="229"/>
    <x v="3"/>
    <s v="B"/>
    <x v="1"/>
    <x v="2"/>
    <s v="USD"/>
    <n v="53377.26"/>
    <n v="663.2"/>
    <n v="119.38"/>
    <n v="314.35000000000002"/>
    <n v="53845.49"/>
    <n v="542054.67000000004"/>
    <n v="707"/>
    <x v="1"/>
    <s v="Completed"/>
    <x v="1"/>
    <s v="Review"/>
    <x v="7"/>
  </r>
  <r>
    <x v="233"/>
    <s v="2025-12-23"/>
    <x v="2"/>
    <x v="230"/>
    <x v="2"/>
    <s v="A"/>
    <x v="0"/>
    <x v="2"/>
    <s v="EUR"/>
    <n v="194566.44"/>
    <n v="764.7"/>
    <n v="137.65"/>
    <n v="299.27"/>
    <n v="195169.52"/>
    <n v="538009.86"/>
    <n v="771"/>
    <x v="2"/>
    <s v="Completed"/>
    <x v="0"/>
    <s v="Verified"/>
    <x v="9"/>
  </r>
  <r>
    <x v="234"/>
    <s v="2025-05-04"/>
    <x v="0"/>
    <x v="231"/>
    <x v="1"/>
    <s v="A"/>
    <x v="3"/>
    <x v="1"/>
    <s v="INR"/>
    <n v="87039.37"/>
    <n v="1637.66"/>
    <n v="294.77999999999997"/>
    <n v="28.53"/>
    <n v="88943.28"/>
    <n v="536727.68000000005"/>
    <n v="820"/>
    <x v="1"/>
    <s v="Completed"/>
    <x v="2"/>
    <s v="Review"/>
    <x v="5"/>
  </r>
  <r>
    <x v="235"/>
    <s v="2025-06-25"/>
    <x v="0"/>
    <x v="232"/>
    <x v="2"/>
    <s v="C"/>
    <x v="2"/>
    <x v="0"/>
    <s v="USD"/>
    <n v="48964.57"/>
    <n v="526.9"/>
    <n v="94.84"/>
    <n v="468.99"/>
    <n v="49117.32"/>
    <n v="543313.18999999994"/>
    <n v="619"/>
    <x v="0"/>
    <s v="Pending"/>
    <x v="2"/>
    <s v="Verified"/>
    <x v="10"/>
  </r>
  <r>
    <x v="236"/>
    <s v="2025-05-18"/>
    <x v="0"/>
    <x v="233"/>
    <x v="1"/>
    <s v="C"/>
    <x v="1"/>
    <x v="0"/>
    <s v="USD"/>
    <n v="115737.53"/>
    <n v="1008.75"/>
    <n v="181.57"/>
    <n v="308.16000000000003"/>
    <n v="116619.69"/>
    <n v="539984.56000000006"/>
    <n v="889"/>
    <x v="2"/>
    <s v="Completed"/>
    <x v="0"/>
    <s v="Verified"/>
    <x v="5"/>
  </r>
  <r>
    <x v="237"/>
    <s v="2025-06-10"/>
    <x v="1"/>
    <x v="234"/>
    <x v="2"/>
    <s v="B"/>
    <x v="0"/>
    <x v="1"/>
    <s v="USD"/>
    <n v="97766.27"/>
    <n v="337.3"/>
    <n v="60.71"/>
    <n v="364.67"/>
    <n v="97799.61"/>
    <n v="545486.64"/>
    <n v="754"/>
    <x v="0"/>
    <s v="Pending"/>
    <x v="1"/>
    <s v="Review"/>
    <x v="10"/>
  </r>
  <r>
    <x v="238"/>
    <s v="2025-08-30"/>
    <x v="2"/>
    <x v="235"/>
    <x v="3"/>
    <s v="A"/>
    <x v="3"/>
    <x v="0"/>
    <s v="INR"/>
    <n v="7572.28"/>
    <n v="9.2899999999999991"/>
    <n v="1.67"/>
    <n v="52.67"/>
    <n v="7530.57"/>
    <n v="545755.78"/>
    <n v="609"/>
    <x v="2"/>
    <s v="Completed"/>
    <x v="2"/>
    <s v="Review"/>
    <x v="8"/>
  </r>
  <r>
    <x v="239"/>
    <s v="2025-01-11"/>
    <x v="0"/>
    <x v="236"/>
    <x v="2"/>
    <s v="A"/>
    <x v="0"/>
    <x v="3"/>
    <s v="EUR"/>
    <n v="9013.9599999999991"/>
    <n v="130.19"/>
    <n v="23.43"/>
    <n v="402"/>
    <n v="8765.58"/>
    <n v="553132.82999999996"/>
    <n v="573"/>
    <x v="2"/>
    <s v="Completed"/>
    <x v="2"/>
    <s v="Review"/>
    <x v="4"/>
  </r>
  <r>
    <x v="240"/>
    <s v="2025-11-05"/>
    <x v="0"/>
    <x v="237"/>
    <x v="3"/>
    <s v="A"/>
    <x v="1"/>
    <x v="2"/>
    <s v="EUR"/>
    <n v="95606.47"/>
    <n v="1846.34"/>
    <n v="332.34"/>
    <n v="124.67"/>
    <n v="97660.479999999996"/>
    <n v="561008.30000000005"/>
    <n v="355"/>
    <x v="1"/>
    <s v="Failed"/>
    <x v="1"/>
    <s v="None"/>
    <x v="1"/>
  </r>
  <r>
    <x v="241"/>
    <s v="2025-12-29"/>
    <x v="1"/>
    <x v="238"/>
    <x v="2"/>
    <s v="B"/>
    <x v="1"/>
    <x v="4"/>
    <s v="USD"/>
    <n v="151717.82999999999"/>
    <n v="3025.04"/>
    <n v="544.51"/>
    <n v="487.5"/>
    <n v="154799.88"/>
    <n v="562330.62"/>
    <n v="806"/>
    <x v="2"/>
    <s v="Pending"/>
    <x v="0"/>
    <s v="None"/>
    <x v="9"/>
  </r>
  <r>
    <x v="242"/>
    <s v="2025-01-06"/>
    <x v="2"/>
    <x v="239"/>
    <x v="2"/>
    <s v="B"/>
    <x v="0"/>
    <x v="0"/>
    <s v="USD"/>
    <n v="97454.05"/>
    <n v="219.73"/>
    <n v="39.549999999999997"/>
    <n v="38.64"/>
    <n v="97674.69"/>
    <n v="568639.4"/>
    <n v="581"/>
    <x v="2"/>
    <s v="Pending"/>
    <x v="0"/>
    <s v="Review"/>
    <x v="4"/>
  </r>
  <r>
    <x v="243"/>
    <s v="2025-08-20"/>
    <x v="0"/>
    <x v="240"/>
    <x v="2"/>
    <s v="B"/>
    <x v="3"/>
    <x v="4"/>
    <s v="USD"/>
    <n v="150276.76"/>
    <n v="929.98"/>
    <n v="167.4"/>
    <n v="438.38"/>
    <n v="150935.76"/>
    <n v="572692.71"/>
    <n v="876"/>
    <x v="0"/>
    <s v="Failed"/>
    <x v="2"/>
    <s v="None"/>
    <x v="8"/>
  </r>
  <r>
    <x v="244"/>
    <s v="2025-04-21"/>
    <x v="0"/>
    <x v="241"/>
    <x v="2"/>
    <s v="C"/>
    <x v="2"/>
    <x v="1"/>
    <s v="INR"/>
    <n v="92299.41"/>
    <n v="885.75"/>
    <n v="159.44"/>
    <n v="448.65"/>
    <n v="92895.95"/>
    <n v="574958.22"/>
    <n v="892"/>
    <x v="0"/>
    <s v="Completed"/>
    <x v="0"/>
    <s v="Verified"/>
    <x v="2"/>
  </r>
  <r>
    <x v="245"/>
    <s v="2025-10-17"/>
    <x v="2"/>
    <x v="39"/>
    <x v="0"/>
    <s v="A"/>
    <x v="2"/>
    <x v="4"/>
    <s v="EUR"/>
    <n v="166284.57999999999"/>
    <n v="2876.69"/>
    <n v="517.79999999999995"/>
    <n v="438.66"/>
    <n v="169240.41"/>
    <n v="581019.1"/>
    <n v="442"/>
    <x v="2"/>
    <s v="Failed"/>
    <x v="2"/>
    <s v="None"/>
    <x v="6"/>
  </r>
  <r>
    <x v="246"/>
    <s v="2025-08-31"/>
    <x v="0"/>
    <x v="242"/>
    <x v="1"/>
    <s v="A"/>
    <x v="0"/>
    <x v="0"/>
    <s v="USD"/>
    <n v="199150.19"/>
    <n v="2577.5700000000002"/>
    <n v="463.96"/>
    <n v="130.47"/>
    <n v="202061.25"/>
    <n v="590602.74"/>
    <n v="407"/>
    <x v="2"/>
    <s v="Failed"/>
    <x v="2"/>
    <s v="Review"/>
    <x v="8"/>
  </r>
  <r>
    <x v="247"/>
    <s v="2025-12-03"/>
    <x v="1"/>
    <x v="243"/>
    <x v="0"/>
    <s v="A"/>
    <x v="3"/>
    <x v="3"/>
    <s v="INR"/>
    <n v="107156.98"/>
    <n v="1865.93"/>
    <n v="335.87"/>
    <n v="275.54000000000002"/>
    <n v="109083.24"/>
    <n v="585702.91"/>
    <n v="470"/>
    <x v="2"/>
    <s v="Completed"/>
    <x v="3"/>
    <s v="None"/>
    <x v="9"/>
  </r>
  <r>
    <x v="248"/>
    <s v="2025-01-15"/>
    <x v="0"/>
    <x v="244"/>
    <x v="3"/>
    <s v="B"/>
    <x v="3"/>
    <x v="3"/>
    <s v="INR"/>
    <n v="152628.04999999999"/>
    <n v="1042.3499999999999"/>
    <n v="187.62"/>
    <n v="445"/>
    <n v="153413.01999999999"/>
    <n v="584315.57999999996"/>
    <n v="596"/>
    <x v="0"/>
    <s v="Failed"/>
    <x v="1"/>
    <s v="Verified"/>
    <x v="4"/>
  </r>
  <r>
    <x v="249"/>
    <s v="2025-01-21"/>
    <x v="2"/>
    <x v="245"/>
    <x v="2"/>
    <s v="C"/>
    <x v="1"/>
    <x v="2"/>
    <s v="USD"/>
    <n v="88148.77"/>
    <n v="1048.17"/>
    <n v="188.67"/>
    <n v="359.64"/>
    <n v="89025.97"/>
    <n v="586639.92000000004"/>
    <n v="854"/>
    <x v="0"/>
    <s v="Failed"/>
    <x v="1"/>
    <s v="Verified"/>
    <x v="4"/>
  </r>
  <r>
    <x v="250"/>
    <s v="2025-08-01"/>
    <x v="2"/>
    <x v="246"/>
    <x v="1"/>
    <s v="C"/>
    <x v="2"/>
    <x v="2"/>
    <s v="INR"/>
    <n v="144402.31"/>
    <n v="2645.13"/>
    <n v="476.12"/>
    <n v="115.02"/>
    <n v="147408.54"/>
    <n v="590881.68000000005"/>
    <n v="684"/>
    <x v="0"/>
    <s v="Failed"/>
    <x v="1"/>
    <s v="None"/>
    <x v="8"/>
  </r>
  <r>
    <x v="251"/>
    <s v="2025-05-20"/>
    <x v="0"/>
    <x v="247"/>
    <x v="2"/>
    <s v="A"/>
    <x v="0"/>
    <x v="3"/>
    <s v="USD"/>
    <n v="195054.22"/>
    <n v="2372.92"/>
    <n v="427.13"/>
    <n v="91.51"/>
    <n v="197762.76"/>
    <n v="600030.96"/>
    <n v="389"/>
    <x v="2"/>
    <s v="Pending"/>
    <x v="0"/>
    <s v="Review"/>
    <x v="5"/>
  </r>
  <r>
    <x v="252"/>
    <s v="2025-08-10"/>
    <x v="0"/>
    <x v="248"/>
    <x v="2"/>
    <s v="C"/>
    <x v="2"/>
    <x v="1"/>
    <s v="USD"/>
    <n v="41629.699999999997"/>
    <n v="542.67999999999995"/>
    <n v="97.68"/>
    <n v="57.12"/>
    <n v="42212.94"/>
    <n v="603104.18000000005"/>
    <n v="595"/>
    <x v="1"/>
    <s v="Completed"/>
    <x v="0"/>
    <s v="Review"/>
    <x v="8"/>
  </r>
  <r>
    <x v="253"/>
    <s v="2025-04-28"/>
    <x v="0"/>
    <x v="249"/>
    <x v="0"/>
    <s v="C"/>
    <x v="3"/>
    <x v="2"/>
    <s v="EUR"/>
    <n v="1145.4000000000001"/>
    <n v="20.47"/>
    <n v="3.68"/>
    <n v="355.21"/>
    <n v="814.34"/>
    <n v="602293.31000000006"/>
    <n v="480"/>
    <x v="0"/>
    <s v="Completed"/>
    <x v="1"/>
    <s v="Review"/>
    <x v="2"/>
  </r>
  <r>
    <x v="254"/>
    <s v="2025-12-23"/>
    <x v="0"/>
    <x v="250"/>
    <x v="3"/>
    <s v="A"/>
    <x v="0"/>
    <x v="0"/>
    <s v="EUR"/>
    <n v="97290.3"/>
    <n v="434.61"/>
    <n v="78.23"/>
    <n v="256.91000000000003"/>
    <n v="97546.23"/>
    <n v="600890.47"/>
    <n v="729"/>
    <x v="2"/>
    <s v="Failed"/>
    <x v="1"/>
    <s v="Review"/>
    <x v="9"/>
  </r>
  <r>
    <x v="255"/>
    <s v="2025-11-10"/>
    <x v="2"/>
    <x v="251"/>
    <x v="0"/>
    <s v="B"/>
    <x v="3"/>
    <x v="2"/>
    <s v="USD"/>
    <n v="43603.14"/>
    <n v="848.66"/>
    <n v="152.76"/>
    <n v="332"/>
    <n v="44272.56"/>
    <n v="599206.36"/>
    <n v="465"/>
    <x v="1"/>
    <s v="Completed"/>
    <x v="1"/>
    <s v="None"/>
    <x v="1"/>
  </r>
  <r>
    <x v="256"/>
    <s v="2025-05-02"/>
    <x v="0"/>
    <x v="252"/>
    <x v="2"/>
    <s v="A"/>
    <x v="0"/>
    <x v="4"/>
    <s v="EUR"/>
    <n v="187748.35"/>
    <n v="1007.48"/>
    <n v="181.35"/>
    <n v="343.67"/>
    <n v="188593.51"/>
    <n v="604209.77"/>
    <n v="342"/>
    <x v="0"/>
    <s v="Completed"/>
    <x v="0"/>
    <s v="Verified"/>
    <x v="5"/>
  </r>
  <r>
    <x v="257"/>
    <s v="2025-01-23"/>
    <x v="0"/>
    <x v="253"/>
    <x v="3"/>
    <s v="D"/>
    <x v="0"/>
    <x v="2"/>
    <s v="USD"/>
    <n v="9897.43"/>
    <n v="45.85"/>
    <n v="8.25"/>
    <n v="365.58"/>
    <n v="9585.9500000000007"/>
    <n v="600309.80000000005"/>
    <n v="591"/>
    <x v="2"/>
    <s v="Failed"/>
    <x v="0"/>
    <s v="None"/>
    <x v="4"/>
  </r>
  <r>
    <x v="258"/>
    <s v="2025-08-19"/>
    <x v="2"/>
    <x v="254"/>
    <x v="1"/>
    <s v="A"/>
    <x v="2"/>
    <x v="1"/>
    <s v="EUR"/>
    <n v="198130.94"/>
    <n v="1219.74"/>
    <n v="219.55"/>
    <n v="367.54"/>
    <n v="199202.69"/>
    <n v="607300.41"/>
    <n v="549"/>
    <x v="2"/>
    <s v="Pending"/>
    <x v="3"/>
    <s v="None"/>
    <x v="8"/>
  </r>
  <r>
    <x v="259"/>
    <s v="2025-11-01"/>
    <x v="1"/>
    <x v="255"/>
    <x v="2"/>
    <s v="B"/>
    <x v="2"/>
    <x v="0"/>
    <s v="USD"/>
    <n v="22002.400000000001"/>
    <n v="354.77"/>
    <n v="63.86"/>
    <n v="79.67"/>
    <n v="22341.360000000001"/>
    <n v="608312.43000000005"/>
    <n v="841"/>
    <x v="1"/>
    <s v="Pending"/>
    <x v="1"/>
    <s v="Review"/>
    <x v="1"/>
  </r>
  <r>
    <x v="260"/>
    <s v="2025-08-26"/>
    <x v="0"/>
    <x v="256"/>
    <x v="0"/>
    <s v="A"/>
    <x v="0"/>
    <x v="0"/>
    <s v="INR"/>
    <n v="85481.95"/>
    <n v="301.79000000000002"/>
    <n v="54.32"/>
    <n v="347.5"/>
    <n v="85490.559999999998"/>
    <n v="613328.63"/>
    <n v="524"/>
    <x v="1"/>
    <s v="Completed"/>
    <x v="2"/>
    <s v="None"/>
    <x v="8"/>
  </r>
  <r>
    <x v="261"/>
    <s v="2025-02-20"/>
    <x v="0"/>
    <x v="257"/>
    <x v="3"/>
    <s v="B"/>
    <x v="2"/>
    <x v="1"/>
    <s v="EUR"/>
    <n v="166478.15"/>
    <n v="1469.29"/>
    <n v="264.47000000000003"/>
    <n v="317.42"/>
    <n v="167894.49"/>
    <n v="618413.6"/>
    <n v="545"/>
    <x v="2"/>
    <s v="Completed"/>
    <x v="1"/>
    <s v="Review"/>
    <x v="0"/>
  </r>
  <r>
    <x v="262"/>
    <s v="2025-05-18"/>
    <x v="1"/>
    <x v="258"/>
    <x v="1"/>
    <s v="D"/>
    <x v="1"/>
    <x v="1"/>
    <s v="USD"/>
    <n v="19239.650000000001"/>
    <n v="147.27000000000001"/>
    <n v="26.51"/>
    <n v="194.82"/>
    <n v="19218.61"/>
    <n v="615746"/>
    <n v="443"/>
    <x v="1"/>
    <s v="Pending"/>
    <x v="0"/>
    <s v="Review"/>
    <x v="5"/>
  </r>
  <r>
    <x v="263"/>
    <s v="2025-01-29"/>
    <x v="1"/>
    <x v="259"/>
    <x v="3"/>
    <s v="A"/>
    <x v="1"/>
    <x v="3"/>
    <s v="USD"/>
    <n v="54144.01"/>
    <n v="1030.28"/>
    <n v="185.45"/>
    <n v="291.01"/>
    <n v="55068.73"/>
    <n v="617660.22"/>
    <n v="518"/>
    <x v="2"/>
    <s v="Failed"/>
    <x v="0"/>
    <s v="None"/>
    <x v="4"/>
  </r>
  <r>
    <x v="264"/>
    <s v="2025-01-20"/>
    <x v="0"/>
    <x v="60"/>
    <x v="1"/>
    <s v="C"/>
    <x v="0"/>
    <x v="1"/>
    <s v="USD"/>
    <n v="151570.43"/>
    <n v="2586.52"/>
    <n v="465.57"/>
    <n v="210.63"/>
    <n v="154411.89000000001"/>
    <n v="616366.77"/>
    <n v="665"/>
    <x v="2"/>
    <s v="Pending"/>
    <x v="2"/>
    <s v="Review"/>
    <x v="4"/>
  </r>
  <r>
    <x v="265"/>
    <s v="2025-12-10"/>
    <x v="2"/>
    <x v="260"/>
    <x v="0"/>
    <s v="C"/>
    <x v="1"/>
    <x v="2"/>
    <s v="INR"/>
    <n v="167562.04"/>
    <n v="3047.38"/>
    <n v="548.53"/>
    <n v="17.920000000000002"/>
    <n v="171140.03"/>
    <n v="613655.82999999996"/>
    <n v="377"/>
    <x v="1"/>
    <s v="Failed"/>
    <x v="3"/>
    <s v="Verified"/>
    <x v="9"/>
  </r>
  <r>
    <x v="266"/>
    <s v="2025-06-20"/>
    <x v="1"/>
    <x v="261"/>
    <x v="3"/>
    <s v="A"/>
    <x v="1"/>
    <x v="1"/>
    <s v="EUR"/>
    <n v="20985.53"/>
    <n v="311.02"/>
    <n v="55.98"/>
    <n v="316.75"/>
    <n v="21035.78"/>
    <n v="611095.35"/>
    <n v="662"/>
    <x v="1"/>
    <s v="Completed"/>
    <x v="1"/>
    <s v="None"/>
    <x v="10"/>
  </r>
  <r>
    <x v="267"/>
    <s v="2025-04-06"/>
    <x v="2"/>
    <x v="148"/>
    <x v="2"/>
    <s v="B"/>
    <x v="1"/>
    <x v="1"/>
    <s v="INR"/>
    <n v="20677.849999999999"/>
    <n v="405.29"/>
    <n v="72.95"/>
    <n v="290.27999999999997"/>
    <n v="20865.810000000001"/>
    <n v="614363.36"/>
    <n v="595"/>
    <x v="0"/>
    <s v="Completed"/>
    <x v="0"/>
    <s v="None"/>
    <x v="2"/>
  </r>
  <r>
    <x v="268"/>
    <s v="2025-02-05"/>
    <x v="2"/>
    <x v="262"/>
    <x v="0"/>
    <s v="A"/>
    <x v="0"/>
    <x v="2"/>
    <s v="INR"/>
    <n v="76284.63"/>
    <n v="433.96"/>
    <n v="78.11"/>
    <n v="459.71"/>
    <n v="76336.990000000005"/>
    <n v="620395.14"/>
    <n v="826"/>
    <x v="0"/>
    <s v="Completed"/>
    <x v="3"/>
    <s v="None"/>
    <x v="0"/>
  </r>
  <r>
    <x v="269"/>
    <s v="2025-03-03"/>
    <x v="0"/>
    <x v="263"/>
    <x v="0"/>
    <s v="C"/>
    <x v="3"/>
    <x v="0"/>
    <s v="INR"/>
    <n v="185421.51"/>
    <n v="2832.85"/>
    <n v="509.91"/>
    <n v="122.32"/>
    <n v="188641.95"/>
    <n v="626519.31000000006"/>
    <n v="777"/>
    <x v="2"/>
    <s v="Completed"/>
    <x v="1"/>
    <s v="Review"/>
    <x v="3"/>
  </r>
  <r>
    <x v="270"/>
    <s v="2025-07-20"/>
    <x v="0"/>
    <x v="264"/>
    <x v="1"/>
    <s v="B"/>
    <x v="1"/>
    <x v="2"/>
    <s v="INR"/>
    <n v="2322.0100000000002"/>
    <n v="45.43"/>
    <n v="8.18"/>
    <n v="180.06"/>
    <n v="2195.56"/>
    <n v="621770.01"/>
    <n v="674"/>
    <x v="1"/>
    <s v="Completed"/>
    <x v="2"/>
    <s v="Verified"/>
    <x v="7"/>
  </r>
  <r>
    <x v="271"/>
    <s v="2025-07-31"/>
    <x v="0"/>
    <x v="265"/>
    <x v="1"/>
    <s v="C"/>
    <x v="1"/>
    <x v="0"/>
    <s v="EUR"/>
    <n v="85665.7"/>
    <n v="649.46"/>
    <n v="116.9"/>
    <n v="270.2"/>
    <n v="86161.86"/>
    <n v="631127.32999999996"/>
    <n v="546"/>
    <x v="1"/>
    <s v="Pending"/>
    <x v="0"/>
    <s v="Verified"/>
    <x v="7"/>
  </r>
  <r>
    <x v="272"/>
    <s v="2025-01-31"/>
    <x v="2"/>
    <x v="266"/>
    <x v="3"/>
    <s v="C"/>
    <x v="0"/>
    <x v="4"/>
    <s v="EUR"/>
    <n v="24044.29"/>
    <n v="233.06"/>
    <n v="41.95"/>
    <n v="48.26"/>
    <n v="24271.040000000001"/>
    <n v="627361.62"/>
    <n v="781"/>
    <x v="1"/>
    <s v="Completed"/>
    <x v="0"/>
    <s v="Review"/>
    <x v="4"/>
  </r>
  <r>
    <x v="273"/>
    <s v="2025-05-27"/>
    <x v="0"/>
    <x v="267"/>
    <x v="3"/>
    <s v="D"/>
    <x v="0"/>
    <x v="0"/>
    <s v="INR"/>
    <n v="8292.06"/>
    <n v="129.66999999999999"/>
    <n v="23.34"/>
    <n v="373.16"/>
    <n v="8071.91"/>
    <n v="627256.43000000005"/>
    <n v="704"/>
    <x v="0"/>
    <s v="Pending"/>
    <x v="2"/>
    <s v="Verified"/>
    <x v="5"/>
  </r>
  <r>
    <x v="274"/>
    <s v="2025-09-02"/>
    <x v="0"/>
    <x v="268"/>
    <x v="2"/>
    <s v="B"/>
    <x v="3"/>
    <x v="2"/>
    <s v="EUR"/>
    <n v="114381.3"/>
    <n v="1110.75"/>
    <n v="199.94"/>
    <n v="103.21"/>
    <n v="115588.78"/>
    <n v="623495.53"/>
    <n v="559"/>
    <x v="2"/>
    <s v="Completed"/>
    <x v="3"/>
    <s v="Verified"/>
    <x v="11"/>
  </r>
  <r>
    <x v="275"/>
    <s v="2025-10-08"/>
    <x v="0"/>
    <x v="269"/>
    <x v="1"/>
    <s v="C"/>
    <x v="1"/>
    <x v="3"/>
    <s v="EUR"/>
    <n v="75252.62"/>
    <n v="999.65"/>
    <n v="179.94"/>
    <n v="436.49"/>
    <n v="75995.72"/>
    <n v="620743.25"/>
    <n v="312"/>
    <x v="1"/>
    <s v="Pending"/>
    <x v="0"/>
    <s v="None"/>
    <x v="6"/>
  </r>
  <r>
    <x v="276"/>
    <s v="2025-03-30"/>
    <x v="1"/>
    <x v="270"/>
    <x v="1"/>
    <s v="D"/>
    <x v="0"/>
    <x v="1"/>
    <s v="USD"/>
    <n v="56871.78"/>
    <n v="325.54000000000002"/>
    <n v="58.6"/>
    <n v="171.29"/>
    <n v="57084.63"/>
    <n v="630472.19999999995"/>
    <n v="316"/>
    <x v="2"/>
    <s v="Failed"/>
    <x v="2"/>
    <s v="None"/>
    <x v="3"/>
  </r>
  <r>
    <x v="277"/>
    <s v="2025-02-28"/>
    <x v="1"/>
    <x v="271"/>
    <x v="0"/>
    <s v="B"/>
    <x v="3"/>
    <x v="3"/>
    <s v="USD"/>
    <n v="129122.2"/>
    <n v="1752.57"/>
    <n v="315.45999999999998"/>
    <n v="307.83999999999997"/>
    <n v="130882.39"/>
    <n v="626349.93999999994"/>
    <n v="757"/>
    <x v="0"/>
    <s v="Failed"/>
    <x v="1"/>
    <s v="Review"/>
    <x v="0"/>
  </r>
  <r>
    <x v="278"/>
    <s v="2025-06-13"/>
    <x v="1"/>
    <x v="272"/>
    <x v="3"/>
    <s v="C"/>
    <x v="2"/>
    <x v="1"/>
    <s v="INR"/>
    <n v="107464.17"/>
    <n v="2005.82"/>
    <n v="361.05"/>
    <n v="94.46"/>
    <n v="109736.58"/>
    <n v="621827.83999999997"/>
    <n v="586"/>
    <x v="2"/>
    <s v="Pending"/>
    <x v="1"/>
    <s v="Verified"/>
    <x v="10"/>
  </r>
  <r>
    <x v="279"/>
    <s v="2025-05-22"/>
    <x v="1"/>
    <x v="273"/>
    <x v="3"/>
    <s v="B"/>
    <x v="0"/>
    <x v="3"/>
    <s v="INR"/>
    <n v="36290.199999999997"/>
    <n v="212.37"/>
    <n v="38.229999999999997"/>
    <n v="196.73"/>
    <n v="36344.07"/>
    <n v="620868.73"/>
    <n v="431"/>
    <x v="2"/>
    <s v="Completed"/>
    <x v="3"/>
    <s v="Verified"/>
    <x v="5"/>
  </r>
  <r>
    <x v="280"/>
    <s v="2025-05-01"/>
    <x v="2"/>
    <x v="191"/>
    <x v="1"/>
    <s v="C"/>
    <x v="0"/>
    <x v="3"/>
    <s v="INR"/>
    <n v="3321.6"/>
    <n v="41.08"/>
    <n v="7.39"/>
    <n v="497.36"/>
    <n v="2872.71"/>
    <n v="617783.96"/>
    <n v="336"/>
    <x v="0"/>
    <s v="Completed"/>
    <x v="0"/>
    <s v="Review"/>
    <x v="5"/>
  </r>
  <r>
    <x v="281"/>
    <s v="2025-04-23"/>
    <x v="2"/>
    <x v="274"/>
    <x v="3"/>
    <s v="B"/>
    <x v="1"/>
    <x v="4"/>
    <s v="INR"/>
    <n v="126643.31"/>
    <n v="1808.41"/>
    <n v="325.51"/>
    <n v="327.38"/>
    <n v="128449.85"/>
    <n v="617328.38"/>
    <n v="599"/>
    <x v="0"/>
    <s v="Failed"/>
    <x v="0"/>
    <s v="Verified"/>
    <x v="2"/>
  </r>
  <r>
    <x v="282"/>
    <s v="2025-12-01"/>
    <x v="0"/>
    <x v="275"/>
    <x v="0"/>
    <s v="A"/>
    <x v="3"/>
    <x v="0"/>
    <s v="USD"/>
    <n v="1805.63"/>
    <n v="11.84"/>
    <n v="2.13"/>
    <n v="335.24"/>
    <n v="1484.36"/>
    <n v="614966.97"/>
    <n v="432"/>
    <x v="0"/>
    <s v="Pending"/>
    <x v="2"/>
    <s v="Verified"/>
    <x v="9"/>
  </r>
  <r>
    <x v="283"/>
    <s v="2025-07-12"/>
    <x v="0"/>
    <x v="276"/>
    <x v="2"/>
    <s v="D"/>
    <x v="1"/>
    <x v="3"/>
    <s v="EUR"/>
    <n v="143815.65"/>
    <n v="1986.96"/>
    <n v="357.65"/>
    <n v="407.14"/>
    <n v="145753.12"/>
    <n v="614706.23"/>
    <n v="654"/>
    <x v="1"/>
    <s v="Pending"/>
    <x v="2"/>
    <s v="Review"/>
    <x v="7"/>
  </r>
  <r>
    <x v="284"/>
    <s v="2025-09-23"/>
    <x v="1"/>
    <x v="277"/>
    <x v="3"/>
    <s v="C"/>
    <x v="0"/>
    <x v="0"/>
    <s v="USD"/>
    <n v="104387.68"/>
    <n v="872.48"/>
    <n v="157.05000000000001"/>
    <n v="95.54"/>
    <n v="105321.67"/>
    <n v="622118.51"/>
    <n v="751"/>
    <x v="0"/>
    <s v="Completed"/>
    <x v="3"/>
    <s v="Review"/>
    <x v="11"/>
  </r>
  <r>
    <x v="285"/>
    <s v="2025-05-02"/>
    <x v="2"/>
    <x v="278"/>
    <x v="0"/>
    <s v="A"/>
    <x v="3"/>
    <x v="3"/>
    <s v="INR"/>
    <n v="61965.99"/>
    <n v="675.32"/>
    <n v="121.56"/>
    <n v="4.2699999999999996"/>
    <n v="62758.6"/>
    <n v="623523.68999999994"/>
    <n v="622"/>
    <x v="1"/>
    <s v="Failed"/>
    <x v="1"/>
    <s v="Verified"/>
    <x v="5"/>
  </r>
  <r>
    <x v="286"/>
    <s v="2025-12-06"/>
    <x v="2"/>
    <x v="279"/>
    <x v="1"/>
    <s v="A"/>
    <x v="1"/>
    <x v="2"/>
    <s v="USD"/>
    <n v="152242.12"/>
    <n v="2887.14"/>
    <n v="519.69000000000005"/>
    <n v="305.41000000000003"/>
    <n v="155343.54"/>
    <n v="621183.13"/>
    <n v="589"/>
    <x v="0"/>
    <s v="Pending"/>
    <x v="2"/>
    <s v="None"/>
    <x v="9"/>
  </r>
  <r>
    <x v="287"/>
    <s v="2025-03-01"/>
    <x v="1"/>
    <x v="280"/>
    <x v="0"/>
    <s v="A"/>
    <x v="3"/>
    <x v="4"/>
    <s v="INR"/>
    <n v="5919.65"/>
    <n v="96.99"/>
    <n v="17.46"/>
    <n v="485.45"/>
    <n v="5548.65"/>
    <n v="619203.44999999995"/>
    <n v="835"/>
    <x v="0"/>
    <s v="Pending"/>
    <x v="3"/>
    <s v="Review"/>
    <x v="3"/>
  </r>
  <r>
    <x v="288"/>
    <s v="2025-03-04"/>
    <x v="0"/>
    <x v="105"/>
    <x v="3"/>
    <s v="C"/>
    <x v="2"/>
    <x v="0"/>
    <s v="INR"/>
    <n v="15351.43"/>
    <n v="261.60000000000002"/>
    <n v="47.09"/>
    <n v="331.67"/>
    <n v="15328.45"/>
    <n v="623754.99"/>
    <n v="515"/>
    <x v="2"/>
    <s v="Failed"/>
    <x v="3"/>
    <s v="None"/>
    <x v="3"/>
  </r>
  <r>
    <x v="289"/>
    <s v="2025-04-14"/>
    <x v="1"/>
    <x v="281"/>
    <x v="1"/>
    <s v="A"/>
    <x v="2"/>
    <x v="3"/>
    <s v="EUR"/>
    <n v="150517.54"/>
    <n v="1510.52"/>
    <n v="271.89"/>
    <n v="156.66999999999999"/>
    <n v="152143.28"/>
    <n v="625547.04"/>
    <n v="678"/>
    <x v="2"/>
    <s v="Pending"/>
    <x v="1"/>
    <s v="Review"/>
    <x v="2"/>
  </r>
  <r>
    <x v="290"/>
    <s v="2025-04-19"/>
    <x v="2"/>
    <x v="282"/>
    <x v="3"/>
    <s v="D"/>
    <x v="1"/>
    <x v="4"/>
    <s v="USD"/>
    <n v="171217.25"/>
    <n v="1045.42"/>
    <n v="188.18"/>
    <n v="176.22"/>
    <n v="172274.63"/>
    <n v="633679.48"/>
    <n v="356"/>
    <x v="0"/>
    <s v="Failed"/>
    <x v="1"/>
    <s v="Review"/>
    <x v="2"/>
  </r>
  <r>
    <x v="291"/>
    <s v="2025-06-16"/>
    <x v="0"/>
    <x v="283"/>
    <x v="0"/>
    <s v="C"/>
    <x v="2"/>
    <x v="1"/>
    <s v="EUR"/>
    <n v="122678.06"/>
    <n v="1751.32"/>
    <n v="315.24"/>
    <n v="1.84"/>
    <n v="124742.78"/>
    <n v="631534.51"/>
    <n v="406"/>
    <x v="0"/>
    <s v="Completed"/>
    <x v="2"/>
    <s v="None"/>
    <x v="10"/>
  </r>
  <r>
    <x v="292"/>
    <s v="2025-08-12"/>
    <x v="2"/>
    <x v="284"/>
    <x v="3"/>
    <s v="A"/>
    <x v="0"/>
    <x v="3"/>
    <s v="EUR"/>
    <n v="29221.91"/>
    <n v="51.33"/>
    <n v="9.24"/>
    <n v="28.05"/>
    <n v="29254.43"/>
    <n v="636538.62"/>
    <n v="454"/>
    <x v="1"/>
    <s v="Pending"/>
    <x v="1"/>
    <s v="Review"/>
    <x v="8"/>
  </r>
  <r>
    <x v="293"/>
    <s v="2025-06-01"/>
    <x v="1"/>
    <x v="285"/>
    <x v="0"/>
    <s v="D"/>
    <x v="0"/>
    <x v="2"/>
    <s v="EUR"/>
    <n v="179736.43"/>
    <n v="1324.76"/>
    <n v="238.46"/>
    <n v="24.01"/>
    <n v="181275.64"/>
    <n v="632861.19999999995"/>
    <n v="476"/>
    <x v="1"/>
    <s v="Failed"/>
    <x v="3"/>
    <s v="Verified"/>
    <x v="10"/>
  </r>
  <r>
    <x v="294"/>
    <s v="2025-02-27"/>
    <x v="1"/>
    <x v="286"/>
    <x v="0"/>
    <s v="C"/>
    <x v="0"/>
    <x v="0"/>
    <s v="EUR"/>
    <n v="54244.08"/>
    <n v="333.68"/>
    <n v="60.06"/>
    <n v="138.22999999999999"/>
    <n v="54499.59"/>
    <n v="631719.68999999994"/>
    <n v="855"/>
    <x v="2"/>
    <s v="Completed"/>
    <x v="0"/>
    <s v="None"/>
    <x v="0"/>
  </r>
  <r>
    <x v="295"/>
    <s v="2025-12-14"/>
    <x v="1"/>
    <x v="287"/>
    <x v="1"/>
    <s v="D"/>
    <x v="2"/>
    <x v="2"/>
    <s v="INR"/>
    <n v="166885.29"/>
    <n v="703.7"/>
    <n v="126.67"/>
    <n v="163.66999999999999"/>
    <n v="167551.99"/>
    <n v="631712.49"/>
    <n v="651"/>
    <x v="0"/>
    <s v="Pending"/>
    <x v="0"/>
    <s v="Verified"/>
    <x v="9"/>
  </r>
  <r>
    <x v="296"/>
    <s v="2025-10-16"/>
    <x v="2"/>
    <x v="288"/>
    <x v="3"/>
    <s v="D"/>
    <x v="3"/>
    <x v="3"/>
    <s v="EUR"/>
    <n v="174122.96"/>
    <n v="1595.02"/>
    <n v="287.10000000000002"/>
    <n v="166.29"/>
    <n v="175838.79"/>
    <n v="633163.86"/>
    <n v="719"/>
    <x v="0"/>
    <s v="Completed"/>
    <x v="0"/>
    <s v="None"/>
    <x v="6"/>
  </r>
  <r>
    <x v="297"/>
    <s v="2025-08-26"/>
    <x v="0"/>
    <x v="289"/>
    <x v="1"/>
    <s v="D"/>
    <x v="0"/>
    <x v="2"/>
    <s v="EUR"/>
    <n v="146746.34"/>
    <n v="961.98"/>
    <n v="173.16"/>
    <n v="411.24"/>
    <n v="147470.24"/>
    <n v="637975.69999999995"/>
    <n v="702"/>
    <x v="2"/>
    <s v="Completed"/>
    <x v="1"/>
    <s v="Review"/>
    <x v="8"/>
  </r>
  <r>
    <x v="298"/>
    <s v="2025-12-11"/>
    <x v="2"/>
    <x v="290"/>
    <x v="0"/>
    <s v="A"/>
    <x v="0"/>
    <x v="0"/>
    <s v="EUR"/>
    <n v="44994.43"/>
    <n v="259.73"/>
    <n v="46.75"/>
    <n v="482.74"/>
    <n v="44818.17"/>
    <n v="647055.35999999999"/>
    <n v="433"/>
    <x v="0"/>
    <s v="Completed"/>
    <x v="2"/>
    <s v="Verified"/>
    <x v="9"/>
  </r>
  <r>
    <x v="299"/>
    <s v="2025-09-14"/>
    <x v="0"/>
    <x v="291"/>
    <x v="2"/>
    <s v="B"/>
    <x v="3"/>
    <x v="4"/>
    <s v="INR"/>
    <n v="89000.36"/>
    <n v="257.52999999999997"/>
    <n v="46.36"/>
    <n v="11.96"/>
    <n v="89292.29"/>
    <n v="654086.19999999995"/>
    <n v="395"/>
    <x v="2"/>
    <s v="Failed"/>
    <x v="1"/>
    <s v="Verified"/>
    <x v="11"/>
  </r>
  <r>
    <x v="300"/>
    <s v="2025-06-17"/>
    <x v="2"/>
    <x v="292"/>
    <x v="1"/>
    <s v="C"/>
    <x v="3"/>
    <x v="1"/>
    <s v="EUR"/>
    <n v="129936.03"/>
    <n v="1475.25"/>
    <n v="265.55"/>
    <n v="432.25"/>
    <n v="131244.57999999999"/>
    <n v="654796.44999999995"/>
    <n v="865"/>
    <x v="1"/>
    <s v="Completed"/>
    <x v="0"/>
    <s v="None"/>
    <x v="10"/>
  </r>
  <r>
    <x v="301"/>
    <s v="2025-06-07"/>
    <x v="1"/>
    <x v="293"/>
    <x v="2"/>
    <s v="C"/>
    <x v="2"/>
    <x v="2"/>
    <s v="INR"/>
    <n v="104466.82"/>
    <n v="1755.52"/>
    <n v="315.99"/>
    <n v="238.93"/>
    <n v="106299.4"/>
    <n v="650102.06000000006"/>
    <n v="900"/>
    <x v="1"/>
    <s v="Completed"/>
    <x v="0"/>
    <s v="None"/>
    <x v="10"/>
  </r>
  <r>
    <x v="302"/>
    <s v="2025-08-24"/>
    <x v="2"/>
    <x v="294"/>
    <x v="2"/>
    <s v="B"/>
    <x v="0"/>
    <x v="1"/>
    <s v="USD"/>
    <n v="123620.34"/>
    <n v="1848.88"/>
    <n v="332.8"/>
    <n v="448.9"/>
    <n v="125353.12"/>
    <n v="649349.15"/>
    <n v="772"/>
    <x v="1"/>
    <s v="Completed"/>
    <x v="1"/>
    <s v="Review"/>
    <x v="8"/>
  </r>
  <r>
    <x v="303"/>
    <s v="2025-01-05"/>
    <x v="2"/>
    <x v="295"/>
    <x v="3"/>
    <s v="D"/>
    <x v="3"/>
    <x v="2"/>
    <s v="EUR"/>
    <n v="146268.82"/>
    <n v="460.45"/>
    <n v="82.88"/>
    <n v="174.02"/>
    <n v="146638.13"/>
    <n v="650129.6"/>
    <n v="538"/>
    <x v="0"/>
    <s v="Pending"/>
    <x v="0"/>
    <s v="Review"/>
    <x v="4"/>
  </r>
  <r>
    <x v="304"/>
    <s v="2025-04-11"/>
    <x v="2"/>
    <x v="296"/>
    <x v="2"/>
    <s v="A"/>
    <x v="2"/>
    <x v="1"/>
    <s v="INR"/>
    <n v="34997.279999999999"/>
    <n v="255.71"/>
    <n v="46.03"/>
    <n v="250.7"/>
    <n v="35048.32"/>
    <n v="654232.05000000005"/>
    <n v="854"/>
    <x v="1"/>
    <s v="Failed"/>
    <x v="3"/>
    <s v="Review"/>
    <x v="2"/>
  </r>
  <r>
    <x v="305"/>
    <s v="2025-03-10"/>
    <x v="1"/>
    <x v="297"/>
    <x v="3"/>
    <s v="A"/>
    <x v="2"/>
    <x v="2"/>
    <s v="EUR"/>
    <n v="101156.79"/>
    <n v="977.39"/>
    <n v="175.93"/>
    <n v="286.42"/>
    <n v="102023.69"/>
    <n v="650462.66"/>
    <n v="837"/>
    <x v="1"/>
    <s v="Failed"/>
    <x v="1"/>
    <s v="Verified"/>
    <x v="3"/>
  </r>
  <r>
    <x v="306"/>
    <s v="2025-03-02"/>
    <x v="1"/>
    <x v="298"/>
    <x v="2"/>
    <s v="C"/>
    <x v="0"/>
    <x v="0"/>
    <s v="INR"/>
    <n v="123820.35"/>
    <n v="2067.56"/>
    <n v="372.16"/>
    <n v="325.69"/>
    <n v="125934.38"/>
    <n v="646421.28"/>
    <n v="465"/>
    <x v="1"/>
    <s v="Completed"/>
    <x v="1"/>
    <s v="Verified"/>
    <x v="3"/>
  </r>
  <r>
    <x v="307"/>
    <s v="2025-04-15"/>
    <x v="0"/>
    <x v="299"/>
    <x v="0"/>
    <s v="C"/>
    <x v="1"/>
    <x v="0"/>
    <s v="EUR"/>
    <n v="25565.96"/>
    <n v="408.74"/>
    <n v="73.569999999999993"/>
    <n v="253.57"/>
    <n v="25794.7"/>
    <n v="648716.52"/>
    <n v="434"/>
    <x v="1"/>
    <s v="Completed"/>
    <x v="2"/>
    <s v="Review"/>
    <x v="2"/>
  </r>
  <r>
    <x v="308"/>
    <s v="2025-07-28"/>
    <x v="1"/>
    <x v="300"/>
    <x v="2"/>
    <s v="C"/>
    <x v="1"/>
    <x v="4"/>
    <s v="INR"/>
    <n v="87663.03"/>
    <n v="1678.68"/>
    <n v="302.16000000000003"/>
    <n v="141.61000000000001"/>
    <n v="89502.26"/>
    <n v="652167.64"/>
    <n v="895"/>
    <x v="0"/>
    <s v="Completed"/>
    <x v="1"/>
    <s v="Verified"/>
    <x v="7"/>
  </r>
  <r>
    <x v="309"/>
    <s v="2025-09-14"/>
    <x v="2"/>
    <x v="301"/>
    <x v="0"/>
    <s v="D"/>
    <x v="2"/>
    <x v="4"/>
    <s v="USD"/>
    <n v="105935.94"/>
    <n v="1128.73"/>
    <n v="203.17"/>
    <n v="445.99"/>
    <n v="106821.85"/>
    <n v="657688.17000000004"/>
    <n v="595"/>
    <x v="2"/>
    <s v="Failed"/>
    <x v="1"/>
    <s v="None"/>
    <x v="11"/>
  </r>
  <r>
    <x v="310"/>
    <s v="2025-01-26"/>
    <x v="1"/>
    <x v="302"/>
    <x v="3"/>
    <s v="A"/>
    <x v="2"/>
    <x v="2"/>
    <s v="EUR"/>
    <n v="131943.03"/>
    <n v="2083.88"/>
    <n v="375.1"/>
    <n v="288.64999999999998"/>
    <n v="134113.35999999999"/>
    <n v="657761.43000000005"/>
    <n v="872"/>
    <x v="2"/>
    <s v="Pending"/>
    <x v="2"/>
    <s v="Review"/>
    <x v="4"/>
  </r>
  <r>
    <x v="311"/>
    <s v="2025-03-05"/>
    <x v="2"/>
    <x v="303"/>
    <x v="1"/>
    <s v="D"/>
    <x v="3"/>
    <x v="3"/>
    <s v="INR"/>
    <n v="179549.61"/>
    <n v="2107.52"/>
    <n v="379.35"/>
    <n v="6.14"/>
    <n v="182030.34"/>
    <n v="657903.27"/>
    <n v="471"/>
    <x v="2"/>
    <s v="Pending"/>
    <x v="2"/>
    <s v="Review"/>
    <x v="3"/>
  </r>
  <r>
    <x v="312"/>
    <s v="2025-11-06"/>
    <x v="2"/>
    <x v="304"/>
    <x v="1"/>
    <s v="A"/>
    <x v="2"/>
    <x v="4"/>
    <s v="EUR"/>
    <n v="15560.91"/>
    <n v="50.93"/>
    <n v="9.17"/>
    <n v="209.97"/>
    <n v="15411.04"/>
    <n v="662685.64"/>
    <n v="875"/>
    <x v="2"/>
    <s v="Failed"/>
    <x v="3"/>
    <s v="None"/>
    <x v="1"/>
  </r>
  <r>
    <x v="313"/>
    <s v="2025-06-15"/>
    <x v="1"/>
    <x v="305"/>
    <x v="1"/>
    <s v="A"/>
    <x v="1"/>
    <x v="2"/>
    <s v="INR"/>
    <n v="21791.9"/>
    <n v="156.72999999999999"/>
    <n v="28.21"/>
    <n v="143.61000000000001"/>
    <n v="21833.23"/>
    <n v="658924.19999999995"/>
    <n v="302"/>
    <x v="2"/>
    <s v="Failed"/>
    <x v="2"/>
    <s v="Verified"/>
    <x v="10"/>
  </r>
  <r>
    <x v="314"/>
    <s v="2025-03-29"/>
    <x v="0"/>
    <x v="306"/>
    <x v="0"/>
    <s v="A"/>
    <x v="0"/>
    <x v="3"/>
    <s v="INR"/>
    <n v="62982.87"/>
    <n v="82.41"/>
    <n v="14.83"/>
    <n v="124.49"/>
    <n v="62955.62"/>
    <n v="659148.68000000005"/>
    <n v="810"/>
    <x v="0"/>
    <s v="Completed"/>
    <x v="3"/>
    <s v="Review"/>
    <x v="3"/>
  </r>
  <r>
    <x v="315"/>
    <s v="2025-09-02"/>
    <x v="2"/>
    <x v="307"/>
    <x v="1"/>
    <s v="C"/>
    <x v="2"/>
    <x v="1"/>
    <s v="INR"/>
    <n v="97361.59"/>
    <n v="1071.6300000000001"/>
    <n v="192.89"/>
    <n v="470.06"/>
    <n v="98156.05"/>
    <n v="655821.14"/>
    <n v="656"/>
    <x v="0"/>
    <s v="Failed"/>
    <x v="1"/>
    <s v="Verified"/>
    <x v="11"/>
  </r>
  <r>
    <x v="316"/>
    <s v="2025-11-03"/>
    <x v="1"/>
    <x v="308"/>
    <x v="1"/>
    <s v="B"/>
    <x v="2"/>
    <x v="2"/>
    <s v="EUR"/>
    <n v="51679.9"/>
    <n v="981.61"/>
    <n v="176.69"/>
    <n v="393.36"/>
    <n v="52444.84"/>
    <n v="662715.72"/>
    <n v="834"/>
    <x v="0"/>
    <s v="Failed"/>
    <x v="2"/>
    <s v="Review"/>
    <x v="1"/>
  </r>
  <r>
    <x v="317"/>
    <s v="2025-01-12"/>
    <x v="0"/>
    <x v="309"/>
    <x v="3"/>
    <s v="A"/>
    <x v="3"/>
    <x v="3"/>
    <s v="INR"/>
    <n v="71738.070000000007"/>
    <n v="700.04"/>
    <n v="126.01"/>
    <n v="381.6"/>
    <n v="72182.52"/>
    <n v="660652.46"/>
    <n v="605"/>
    <x v="2"/>
    <s v="Completed"/>
    <x v="3"/>
    <s v="Verified"/>
    <x v="4"/>
  </r>
  <r>
    <x v="318"/>
    <s v="2025-06-22"/>
    <x v="2"/>
    <x v="310"/>
    <x v="3"/>
    <s v="A"/>
    <x v="0"/>
    <x v="2"/>
    <s v="EUR"/>
    <n v="188781.94"/>
    <n v="3514.62"/>
    <n v="632.63"/>
    <n v="431.46"/>
    <n v="192497.73"/>
    <n v="657381.39"/>
    <n v="610"/>
    <x v="0"/>
    <s v="Pending"/>
    <x v="3"/>
    <s v="None"/>
    <x v="10"/>
  </r>
  <r>
    <x v="319"/>
    <s v="2025-12-09"/>
    <x v="1"/>
    <x v="311"/>
    <x v="1"/>
    <s v="C"/>
    <x v="2"/>
    <x v="1"/>
    <s v="EUR"/>
    <n v="38202.550000000003"/>
    <n v="427.15"/>
    <n v="76.89"/>
    <n v="476.91"/>
    <n v="38229.68"/>
    <n v="657020.1"/>
    <n v="301"/>
    <x v="0"/>
    <s v="Completed"/>
    <x v="0"/>
    <s v="Verified"/>
    <x v="9"/>
  </r>
  <r>
    <x v="320"/>
    <s v="2025-01-03"/>
    <x v="1"/>
    <x v="312"/>
    <x v="3"/>
    <s v="D"/>
    <x v="1"/>
    <x v="1"/>
    <s v="USD"/>
    <n v="88849.53"/>
    <n v="655.58"/>
    <n v="118"/>
    <n v="174.58"/>
    <n v="89448.53"/>
    <n v="652399.79"/>
    <n v="732"/>
    <x v="0"/>
    <s v="Pending"/>
    <x v="0"/>
    <s v="Review"/>
    <x v="4"/>
  </r>
  <r>
    <x v="321"/>
    <s v="2025-12-06"/>
    <x v="0"/>
    <x v="313"/>
    <x v="2"/>
    <s v="C"/>
    <x v="2"/>
    <x v="1"/>
    <s v="USD"/>
    <n v="124176.11"/>
    <n v="1039.6300000000001"/>
    <n v="187.13"/>
    <n v="416.01"/>
    <n v="124986.86"/>
    <n v="652390.65"/>
    <n v="492"/>
    <x v="2"/>
    <s v="Failed"/>
    <x v="1"/>
    <s v="Review"/>
    <x v="9"/>
  </r>
  <r>
    <x v="322"/>
    <s v="2025-05-25"/>
    <x v="2"/>
    <x v="314"/>
    <x v="2"/>
    <s v="B"/>
    <x v="2"/>
    <x v="1"/>
    <s v="EUR"/>
    <n v="13322.56"/>
    <n v="264.91000000000003"/>
    <n v="47.68"/>
    <n v="464.35"/>
    <n v="13170.8"/>
    <n v="652322.96"/>
    <n v="520"/>
    <x v="0"/>
    <s v="Pending"/>
    <x v="0"/>
    <s v="Verified"/>
    <x v="5"/>
  </r>
  <r>
    <x v="323"/>
    <s v="2025-05-16"/>
    <x v="0"/>
    <x v="315"/>
    <x v="3"/>
    <s v="C"/>
    <x v="0"/>
    <x v="1"/>
    <s v="INR"/>
    <n v="31224.31"/>
    <n v="515.17999999999995"/>
    <n v="92.73"/>
    <n v="143.18"/>
    <n v="31689.040000000001"/>
    <n v="654098.06999999995"/>
    <n v="314"/>
    <x v="0"/>
    <s v="Failed"/>
    <x v="0"/>
    <s v="None"/>
    <x v="5"/>
  </r>
  <r>
    <x v="324"/>
    <s v="2025-08-14"/>
    <x v="1"/>
    <x v="316"/>
    <x v="2"/>
    <s v="C"/>
    <x v="2"/>
    <x v="2"/>
    <s v="USD"/>
    <n v="14732.71"/>
    <n v="157.29"/>
    <n v="28.31"/>
    <n v="249.06"/>
    <n v="14669.25"/>
    <n v="650903.47"/>
    <n v="547"/>
    <x v="0"/>
    <s v="Completed"/>
    <x v="3"/>
    <s v="Review"/>
    <x v="8"/>
  </r>
  <r>
    <x v="325"/>
    <s v="2025-10-24"/>
    <x v="0"/>
    <x v="317"/>
    <x v="1"/>
    <s v="B"/>
    <x v="3"/>
    <x v="3"/>
    <s v="INR"/>
    <n v="51739.77"/>
    <n v="465.46"/>
    <n v="83.78"/>
    <n v="269.2"/>
    <n v="52019.81"/>
    <n v="653344.84"/>
    <n v="500"/>
    <x v="0"/>
    <s v="Completed"/>
    <x v="3"/>
    <s v="Verified"/>
    <x v="6"/>
  </r>
  <r>
    <x v="326"/>
    <s v="2025-12-13"/>
    <x v="2"/>
    <x v="318"/>
    <x v="3"/>
    <s v="B"/>
    <x v="2"/>
    <x v="1"/>
    <s v="INR"/>
    <n v="159040.01999999999"/>
    <n v="1433.86"/>
    <n v="258.08999999999997"/>
    <n v="39.119999999999997"/>
    <n v="160692.85"/>
    <n v="653048.63"/>
    <n v="622"/>
    <x v="1"/>
    <s v="Pending"/>
    <x v="2"/>
    <s v="Verified"/>
    <x v="9"/>
  </r>
  <r>
    <x v="327"/>
    <s v="2025-08-02"/>
    <x v="1"/>
    <x v="319"/>
    <x v="3"/>
    <s v="C"/>
    <x v="0"/>
    <x v="3"/>
    <s v="EUR"/>
    <n v="189166.04"/>
    <n v="2676.35"/>
    <n v="481.74"/>
    <n v="86.44"/>
    <n v="192237.69"/>
    <n v="662741.74"/>
    <n v="800"/>
    <x v="0"/>
    <s v="Completed"/>
    <x v="0"/>
    <s v="None"/>
    <x v="8"/>
  </r>
  <r>
    <x v="328"/>
    <s v="2025-05-16"/>
    <x v="2"/>
    <x v="320"/>
    <x v="2"/>
    <s v="B"/>
    <x v="1"/>
    <x v="1"/>
    <s v="EUR"/>
    <n v="188161.76"/>
    <n v="2647.6"/>
    <n v="476.57"/>
    <n v="128.66999999999999"/>
    <n v="191157.26"/>
    <n v="660328.57999999996"/>
    <n v="569"/>
    <x v="2"/>
    <s v="Failed"/>
    <x v="3"/>
    <s v="None"/>
    <x v="5"/>
  </r>
  <r>
    <x v="329"/>
    <s v="2025-04-14"/>
    <x v="0"/>
    <x v="321"/>
    <x v="0"/>
    <s v="A"/>
    <x v="3"/>
    <x v="1"/>
    <s v="USD"/>
    <n v="142322.54999999999"/>
    <n v="2510.06"/>
    <n v="451.81"/>
    <n v="92.53"/>
    <n v="145191.89000000001"/>
    <n v="659765.91"/>
    <n v="398"/>
    <x v="1"/>
    <s v="Completed"/>
    <x v="2"/>
    <s v="Review"/>
    <x v="2"/>
  </r>
  <r>
    <x v="330"/>
    <s v="2025-04-29"/>
    <x v="2"/>
    <x v="322"/>
    <x v="0"/>
    <s v="B"/>
    <x v="2"/>
    <x v="3"/>
    <s v="EUR"/>
    <n v="105125.81"/>
    <n v="1864.65"/>
    <n v="335.64"/>
    <n v="489.82"/>
    <n v="106836.28"/>
    <n v="666853.99"/>
    <n v="787"/>
    <x v="0"/>
    <s v="Pending"/>
    <x v="2"/>
    <s v="Review"/>
    <x v="2"/>
  </r>
  <r>
    <x v="331"/>
    <s v="2025-04-08"/>
    <x v="0"/>
    <x v="323"/>
    <x v="3"/>
    <s v="B"/>
    <x v="0"/>
    <x v="3"/>
    <s v="USD"/>
    <n v="129331.53"/>
    <n v="516.69000000000005"/>
    <n v="93"/>
    <n v="473.61"/>
    <n v="129467.61"/>
    <n v="666878.74"/>
    <n v="619"/>
    <x v="2"/>
    <s v="Failed"/>
    <x v="1"/>
    <s v="Verified"/>
    <x v="2"/>
  </r>
  <r>
    <x v="332"/>
    <s v="2025-01-13"/>
    <x v="0"/>
    <x v="324"/>
    <x v="1"/>
    <s v="C"/>
    <x v="0"/>
    <x v="4"/>
    <s v="USD"/>
    <n v="126618.89"/>
    <n v="2418.38"/>
    <n v="435.31"/>
    <n v="322.49"/>
    <n v="129150.09"/>
    <n v="667315.36"/>
    <n v="754"/>
    <x v="0"/>
    <s v="Pending"/>
    <x v="0"/>
    <s v="None"/>
    <x v="4"/>
  </r>
  <r>
    <x v="333"/>
    <s v="2025-09-13"/>
    <x v="2"/>
    <x v="325"/>
    <x v="3"/>
    <s v="C"/>
    <x v="1"/>
    <x v="3"/>
    <s v="INR"/>
    <n v="80871.94"/>
    <n v="374.21"/>
    <n v="67.36"/>
    <n v="205.29"/>
    <n v="81108.22"/>
    <n v="665092.06999999995"/>
    <n v="510"/>
    <x v="2"/>
    <s v="Pending"/>
    <x v="0"/>
    <s v="Review"/>
    <x v="11"/>
  </r>
  <r>
    <x v="334"/>
    <s v="2025-09-19"/>
    <x v="2"/>
    <x v="326"/>
    <x v="0"/>
    <s v="C"/>
    <x v="3"/>
    <x v="4"/>
    <s v="INR"/>
    <n v="55962.98"/>
    <n v="323.89999999999998"/>
    <n v="58.3"/>
    <n v="219.16"/>
    <n v="56126.02"/>
    <n v="662480.15"/>
    <n v="764"/>
    <x v="1"/>
    <s v="Failed"/>
    <x v="0"/>
    <s v="Verified"/>
    <x v="11"/>
  </r>
  <r>
    <x v="335"/>
    <s v="2025-11-07"/>
    <x v="0"/>
    <x v="327"/>
    <x v="1"/>
    <s v="A"/>
    <x v="3"/>
    <x v="1"/>
    <s v="EUR"/>
    <n v="133213.07999999999"/>
    <n v="1900.44"/>
    <n v="342.08"/>
    <n v="57.26"/>
    <n v="135398.34"/>
    <n v="658225.09"/>
    <n v="795"/>
    <x v="1"/>
    <s v="Completed"/>
    <x v="2"/>
    <s v="Review"/>
    <x v="1"/>
  </r>
  <r>
    <x v="336"/>
    <s v="2025-07-15"/>
    <x v="0"/>
    <x v="328"/>
    <x v="3"/>
    <s v="C"/>
    <x v="1"/>
    <x v="2"/>
    <s v="EUR"/>
    <n v="43465.62"/>
    <n v="582.08000000000004"/>
    <n v="104.77"/>
    <n v="456.78"/>
    <n v="43695.69"/>
    <n v="656786.24"/>
    <n v="838"/>
    <x v="0"/>
    <s v="Completed"/>
    <x v="0"/>
    <s v="None"/>
    <x v="7"/>
  </r>
  <r>
    <x v="337"/>
    <s v="2025-05-06"/>
    <x v="2"/>
    <x v="329"/>
    <x v="0"/>
    <s v="A"/>
    <x v="0"/>
    <x v="3"/>
    <s v="EUR"/>
    <n v="80640.350000000006"/>
    <n v="1275.24"/>
    <n v="229.54"/>
    <n v="40.799999999999997"/>
    <n v="82104.33"/>
    <n v="664747.43000000005"/>
    <n v="776"/>
    <x v="2"/>
    <s v="Pending"/>
    <x v="0"/>
    <s v="Verified"/>
    <x v="5"/>
  </r>
  <r>
    <x v="338"/>
    <s v="2025-04-23"/>
    <x v="0"/>
    <x v="330"/>
    <x v="2"/>
    <s v="B"/>
    <x v="3"/>
    <x v="2"/>
    <s v="EUR"/>
    <n v="169357.67"/>
    <n v="1811.52"/>
    <n v="326.07"/>
    <n v="43.17"/>
    <n v="171452.09"/>
    <n v="664848.31000000006"/>
    <n v="369"/>
    <x v="0"/>
    <s v="Pending"/>
    <x v="1"/>
    <s v="None"/>
    <x v="2"/>
  </r>
  <r>
    <x v="339"/>
    <s v="2025-10-24"/>
    <x v="2"/>
    <x v="331"/>
    <x v="0"/>
    <s v="A"/>
    <x v="0"/>
    <x v="3"/>
    <s v="INR"/>
    <n v="155682.97"/>
    <n v="2587.77"/>
    <n v="465.8"/>
    <n v="139.37"/>
    <n v="158597.17000000001"/>
    <n v="664884.74"/>
    <n v="387"/>
    <x v="2"/>
    <s v="Completed"/>
    <x v="3"/>
    <s v="Review"/>
    <x v="6"/>
  </r>
  <r>
    <x v="340"/>
    <s v="2025-01-16"/>
    <x v="2"/>
    <x v="332"/>
    <x v="2"/>
    <s v="C"/>
    <x v="3"/>
    <x v="3"/>
    <s v="EUR"/>
    <n v="133485.35"/>
    <n v="1086.3699999999999"/>
    <n v="195.55"/>
    <n v="94.69"/>
    <n v="134672.57999999999"/>
    <n v="674675.73"/>
    <n v="735"/>
    <x v="0"/>
    <s v="Pending"/>
    <x v="2"/>
    <s v="None"/>
    <x v="4"/>
  </r>
  <r>
    <x v="341"/>
    <s v="2025-06-01"/>
    <x v="1"/>
    <x v="333"/>
    <x v="3"/>
    <s v="D"/>
    <x v="1"/>
    <x v="3"/>
    <s v="USD"/>
    <n v="140161.09"/>
    <n v="2590.38"/>
    <n v="466.27"/>
    <n v="2.25"/>
    <n v="143215.49"/>
    <n v="682222.91"/>
    <n v="801"/>
    <x v="2"/>
    <s v="Completed"/>
    <x v="2"/>
    <s v="None"/>
    <x v="10"/>
  </r>
  <r>
    <x v="342"/>
    <s v="2025-10-27"/>
    <x v="1"/>
    <x v="334"/>
    <x v="3"/>
    <s v="A"/>
    <x v="1"/>
    <x v="2"/>
    <s v="EUR"/>
    <n v="117147.91"/>
    <n v="922.65"/>
    <n v="166.08"/>
    <n v="446.9"/>
    <n v="117789.74"/>
    <n v="682989.35"/>
    <n v="320"/>
    <x v="2"/>
    <s v="Pending"/>
    <x v="3"/>
    <s v="None"/>
    <x v="6"/>
  </r>
  <r>
    <x v="343"/>
    <s v="2025-08-28"/>
    <x v="2"/>
    <x v="335"/>
    <x v="0"/>
    <s v="D"/>
    <x v="1"/>
    <x v="4"/>
    <s v="USD"/>
    <n v="90770.32"/>
    <n v="1790.25"/>
    <n v="322.25"/>
    <n v="100.19"/>
    <n v="92782.63"/>
    <n v="689799.93"/>
    <n v="839"/>
    <x v="1"/>
    <s v="Failed"/>
    <x v="3"/>
    <s v="Review"/>
    <x v="8"/>
  </r>
  <r>
    <x v="344"/>
    <s v="2025-12-24"/>
    <x v="0"/>
    <x v="336"/>
    <x v="2"/>
    <s v="B"/>
    <x v="3"/>
    <x v="4"/>
    <s v="EUR"/>
    <n v="66627.13"/>
    <n v="1023.69"/>
    <n v="184.26"/>
    <n v="379.72"/>
    <n v="67455.360000000001"/>
    <n v="689750.45"/>
    <n v="616"/>
    <x v="1"/>
    <s v="Failed"/>
    <x v="2"/>
    <s v="Review"/>
    <x v="9"/>
  </r>
  <r>
    <x v="345"/>
    <s v="2025-03-30"/>
    <x v="2"/>
    <x v="337"/>
    <x v="0"/>
    <s v="A"/>
    <x v="2"/>
    <x v="2"/>
    <s v="EUR"/>
    <n v="147488.31"/>
    <n v="397.63"/>
    <n v="71.569999999999993"/>
    <n v="364.96"/>
    <n v="147592.54999999999"/>
    <n v="685216.02"/>
    <n v="898"/>
    <x v="2"/>
    <s v="Completed"/>
    <x v="0"/>
    <s v="Verified"/>
    <x v="3"/>
  </r>
  <r>
    <x v="346"/>
    <s v="2025-08-08"/>
    <x v="0"/>
    <x v="338"/>
    <x v="3"/>
    <s v="B"/>
    <x v="2"/>
    <x v="1"/>
    <s v="INR"/>
    <n v="189878.56"/>
    <n v="1872.86"/>
    <n v="337.11"/>
    <n v="301.3"/>
    <n v="191787.23"/>
    <n v="692217.63"/>
    <n v="539"/>
    <x v="1"/>
    <s v="Completed"/>
    <x v="2"/>
    <s v="Review"/>
    <x v="8"/>
  </r>
  <r>
    <x v="347"/>
    <s v="2025-01-01"/>
    <x v="1"/>
    <x v="339"/>
    <x v="1"/>
    <s v="A"/>
    <x v="0"/>
    <x v="1"/>
    <s v="USD"/>
    <n v="35007.050000000003"/>
    <n v="603.80999999999995"/>
    <n v="108.69"/>
    <n v="87.06"/>
    <n v="35632.49"/>
    <n v="690222.58"/>
    <n v="853"/>
    <x v="0"/>
    <s v="Failed"/>
    <x v="0"/>
    <s v="Review"/>
    <x v="4"/>
  </r>
  <r>
    <x v="348"/>
    <s v="2025-12-20"/>
    <x v="0"/>
    <x v="340"/>
    <x v="0"/>
    <s v="D"/>
    <x v="0"/>
    <x v="3"/>
    <s v="INR"/>
    <n v="181783.38"/>
    <n v="683.9"/>
    <n v="123.1"/>
    <n v="114.76"/>
    <n v="182475.62"/>
    <n v="694289.41"/>
    <n v="546"/>
    <x v="0"/>
    <s v="Failed"/>
    <x v="1"/>
    <s v="Verified"/>
    <x v="9"/>
  </r>
  <r>
    <x v="349"/>
    <s v="2025-10-17"/>
    <x v="0"/>
    <x v="341"/>
    <x v="2"/>
    <s v="B"/>
    <x v="0"/>
    <x v="1"/>
    <s v="EUR"/>
    <n v="13654.89"/>
    <n v="64.739999999999995"/>
    <n v="11.65"/>
    <n v="447.5"/>
    <n v="13283.78"/>
    <n v="699649.79"/>
    <n v="527"/>
    <x v="0"/>
    <s v="Completed"/>
    <x v="0"/>
    <s v="Review"/>
    <x v="6"/>
  </r>
  <r>
    <x v="350"/>
    <s v="2025-08-06"/>
    <x v="2"/>
    <x v="342"/>
    <x v="0"/>
    <s v="B"/>
    <x v="2"/>
    <x v="4"/>
    <s v="EUR"/>
    <n v="166530.82999999999"/>
    <n v="2397.13"/>
    <n v="431.48"/>
    <n v="60.28"/>
    <n v="169299.16"/>
    <n v="700052.91"/>
    <n v="797"/>
    <x v="0"/>
    <s v="Completed"/>
    <x v="1"/>
    <s v="Verified"/>
    <x v="8"/>
  </r>
  <r>
    <x v="351"/>
    <s v="2025-08-25"/>
    <x v="1"/>
    <x v="343"/>
    <x v="1"/>
    <s v="D"/>
    <x v="2"/>
    <x v="1"/>
    <s v="INR"/>
    <n v="100978.28"/>
    <n v="233.23"/>
    <n v="41.98"/>
    <n v="49.18"/>
    <n v="101204.31"/>
    <n v="702506.83"/>
    <n v="716"/>
    <x v="2"/>
    <s v="Pending"/>
    <x v="2"/>
    <s v="None"/>
    <x v="8"/>
  </r>
  <r>
    <x v="352"/>
    <s v="2025-05-08"/>
    <x v="1"/>
    <x v="344"/>
    <x v="3"/>
    <s v="D"/>
    <x v="1"/>
    <x v="0"/>
    <s v="USD"/>
    <n v="126378.44"/>
    <n v="1462.54"/>
    <n v="263.26"/>
    <n v="165.13"/>
    <n v="127939.11"/>
    <n v="699241.08"/>
    <n v="728"/>
    <x v="1"/>
    <s v="Pending"/>
    <x v="1"/>
    <s v="Verified"/>
    <x v="5"/>
  </r>
  <r>
    <x v="353"/>
    <s v="2025-03-20"/>
    <x v="1"/>
    <x v="345"/>
    <x v="0"/>
    <s v="D"/>
    <x v="2"/>
    <x v="0"/>
    <s v="EUR"/>
    <n v="21424.38"/>
    <n v="367.13"/>
    <n v="66.08"/>
    <n v="182.2"/>
    <n v="21675.39"/>
    <n v="703880.23"/>
    <n v="485"/>
    <x v="1"/>
    <s v="Pending"/>
    <x v="1"/>
    <s v="Review"/>
    <x v="3"/>
  </r>
  <r>
    <x v="354"/>
    <s v="2025-11-13"/>
    <x v="1"/>
    <x v="346"/>
    <x v="1"/>
    <s v="A"/>
    <x v="0"/>
    <x v="0"/>
    <s v="USD"/>
    <n v="32125.81"/>
    <n v="136.93"/>
    <n v="24.65"/>
    <n v="457.47"/>
    <n v="31829.919999999998"/>
    <n v="708701.43"/>
    <n v="360"/>
    <x v="1"/>
    <s v="Completed"/>
    <x v="1"/>
    <s v="Verified"/>
    <x v="1"/>
  </r>
  <r>
    <x v="355"/>
    <s v="2025-02-13"/>
    <x v="2"/>
    <x v="347"/>
    <x v="2"/>
    <s v="C"/>
    <x v="1"/>
    <x v="3"/>
    <s v="EUR"/>
    <n v="118956.27"/>
    <n v="1004.67"/>
    <n v="180.84"/>
    <n v="435.53"/>
    <n v="119706.25"/>
    <n v="706551.73"/>
    <n v="709"/>
    <x v="1"/>
    <s v="Pending"/>
    <x v="2"/>
    <s v="None"/>
    <x v="0"/>
  </r>
  <r>
    <x v="356"/>
    <s v="2025-08-09"/>
    <x v="0"/>
    <x v="348"/>
    <x v="0"/>
    <s v="C"/>
    <x v="0"/>
    <x v="2"/>
    <s v="USD"/>
    <n v="92311.67"/>
    <n v="603"/>
    <n v="108.54"/>
    <n v="33.42"/>
    <n v="92989.79"/>
    <n v="706992.9"/>
    <n v="340"/>
    <x v="0"/>
    <s v="Failed"/>
    <x v="0"/>
    <s v="Review"/>
    <x v="8"/>
  </r>
  <r>
    <x v="357"/>
    <s v="2025-08-29"/>
    <x v="2"/>
    <x v="349"/>
    <x v="2"/>
    <s v="C"/>
    <x v="0"/>
    <x v="2"/>
    <s v="EUR"/>
    <n v="199394.71"/>
    <n v="2567.19"/>
    <n v="462.09"/>
    <n v="362.41"/>
    <n v="202061.58"/>
    <n v="716025.91"/>
    <n v="706"/>
    <x v="1"/>
    <s v="Pending"/>
    <x v="0"/>
    <s v="Review"/>
    <x v="8"/>
  </r>
  <r>
    <x v="358"/>
    <s v="2025-11-07"/>
    <x v="1"/>
    <x v="350"/>
    <x v="3"/>
    <s v="A"/>
    <x v="1"/>
    <x v="0"/>
    <s v="INR"/>
    <n v="154306.06"/>
    <n v="2749.03"/>
    <n v="494.83"/>
    <n v="179.61"/>
    <n v="157370.31"/>
    <n v="713808.63"/>
    <n v="696"/>
    <x v="2"/>
    <s v="Completed"/>
    <x v="3"/>
    <s v="Verified"/>
    <x v="1"/>
  </r>
  <r>
    <x v="359"/>
    <s v="2025-11-26"/>
    <x v="1"/>
    <x v="351"/>
    <x v="1"/>
    <s v="B"/>
    <x v="2"/>
    <x v="0"/>
    <s v="USD"/>
    <n v="102954.43"/>
    <n v="669.84"/>
    <n v="120.57"/>
    <n v="239.47"/>
    <n v="103505.37"/>
    <n v="719069.74"/>
    <n v="756"/>
    <x v="1"/>
    <s v="Completed"/>
    <x v="2"/>
    <s v="Review"/>
    <x v="1"/>
  </r>
  <r>
    <x v="360"/>
    <s v="2025-12-28"/>
    <x v="0"/>
    <x v="352"/>
    <x v="3"/>
    <s v="A"/>
    <x v="3"/>
    <x v="1"/>
    <s v="USD"/>
    <n v="5552.03"/>
    <n v="67.349999999999994"/>
    <n v="12.12"/>
    <n v="211.7"/>
    <n v="5419.8"/>
    <n v="728361.74"/>
    <n v="369"/>
    <x v="2"/>
    <s v="Pending"/>
    <x v="1"/>
    <s v="None"/>
    <x v="9"/>
  </r>
  <r>
    <x v="361"/>
    <s v="2025-12-11"/>
    <x v="1"/>
    <x v="353"/>
    <x v="2"/>
    <s v="D"/>
    <x v="0"/>
    <x v="4"/>
    <s v="EUR"/>
    <n v="161527.39000000001"/>
    <n v="1619.59"/>
    <n v="291.52999999999997"/>
    <n v="267.24"/>
    <n v="163171.26999999999"/>
    <n v="737482.26"/>
    <n v="382"/>
    <x v="0"/>
    <s v="Failed"/>
    <x v="3"/>
    <s v="Review"/>
    <x v="9"/>
  </r>
  <r>
    <x v="362"/>
    <s v="2025-05-02"/>
    <x v="1"/>
    <x v="354"/>
    <x v="1"/>
    <s v="C"/>
    <x v="3"/>
    <x v="4"/>
    <s v="USD"/>
    <n v="99366.41"/>
    <n v="630.24"/>
    <n v="113.44"/>
    <n v="327.47000000000003"/>
    <n v="99782.62"/>
    <n v="732589.58"/>
    <n v="354"/>
    <x v="2"/>
    <s v="Completed"/>
    <x v="1"/>
    <s v="None"/>
    <x v="5"/>
  </r>
  <r>
    <x v="363"/>
    <s v="2025-12-24"/>
    <x v="1"/>
    <x v="355"/>
    <x v="3"/>
    <s v="B"/>
    <x v="3"/>
    <x v="4"/>
    <s v="INR"/>
    <n v="102834.27"/>
    <n v="1925.26"/>
    <n v="346.55"/>
    <n v="33.46"/>
    <n v="105072.62"/>
    <n v="736238.39"/>
    <n v="519"/>
    <x v="0"/>
    <s v="Failed"/>
    <x v="2"/>
    <s v="Review"/>
    <x v="9"/>
  </r>
  <r>
    <x v="364"/>
    <s v="2025-03-21"/>
    <x v="1"/>
    <x v="356"/>
    <x v="2"/>
    <s v="D"/>
    <x v="2"/>
    <x v="3"/>
    <s v="INR"/>
    <n v="194790.92"/>
    <n v="819.37"/>
    <n v="147.49"/>
    <n v="15.78"/>
    <n v="195742"/>
    <n v="742027.85"/>
    <n v="520"/>
    <x v="0"/>
    <s v="Failed"/>
    <x v="0"/>
    <s v="None"/>
    <x v="3"/>
  </r>
  <r>
    <x v="365"/>
    <s v="2025-09-01"/>
    <x v="1"/>
    <x v="357"/>
    <x v="3"/>
    <s v="C"/>
    <x v="1"/>
    <x v="1"/>
    <s v="USD"/>
    <n v="157108.22"/>
    <n v="2148.42"/>
    <n v="386.72"/>
    <n v="192.6"/>
    <n v="159450.76"/>
    <n v="740893.68"/>
    <n v="593"/>
    <x v="0"/>
    <s v="Pending"/>
    <x v="0"/>
    <s v="None"/>
    <x v="11"/>
  </r>
  <r>
    <x v="366"/>
    <s v="2025-08-21"/>
    <x v="2"/>
    <x v="358"/>
    <x v="2"/>
    <s v="D"/>
    <x v="2"/>
    <x v="0"/>
    <s v="USD"/>
    <n v="127932.44"/>
    <n v="1084.67"/>
    <n v="195.24"/>
    <n v="175.98"/>
    <n v="129036.37"/>
    <n v="743812.35"/>
    <n v="726"/>
    <x v="0"/>
    <s v="Pending"/>
    <x v="0"/>
    <s v="Verified"/>
    <x v="8"/>
  </r>
  <r>
    <x v="367"/>
    <s v="2025-10-08"/>
    <x v="1"/>
    <x v="359"/>
    <x v="1"/>
    <s v="B"/>
    <x v="1"/>
    <x v="0"/>
    <s v="EUR"/>
    <n v="33459.040000000001"/>
    <n v="390.9"/>
    <n v="70.36"/>
    <n v="365.44"/>
    <n v="33554.86"/>
    <n v="744253.9"/>
    <n v="523"/>
    <x v="1"/>
    <s v="Pending"/>
    <x v="0"/>
    <s v="Verified"/>
    <x v="6"/>
  </r>
  <r>
    <x v="368"/>
    <s v="2025-01-04"/>
    <x v="1"/>
    <x v="360"/>
    <x v="2"/>
    <s v="C"/>
    <x v="0"/>
    <x v="4"/>
    <s v="INR"/>
    <n v="107274.83"/>
    <n v="2144.65"/>
    <n v="386.04"/>
    <n v="32.01"/>
    <n v="109773.51"/>
    <n v="739947.04"/>
    <n v="736"/>
    <x v="1"/>
    <s v="Completed"/>
    <x v="1"/>
    <s v="Verified"/>
    <x v="4"/>
  </r>
  <r>
    <x v="369"/>
    <s v="2025-04-19"/>
    <x v="2"/>
    <x v="361"/>
    <x v="0"/>
    <s v="C"/>
    <x v="0"/>
    <x v="0"/>
    <s v="EUR"/>
    <n v="95415.55"/>
    <n v="1448.97"/>
    <n v="260.81"/>
    <n v="115.47"/>
    <n v="97009.86"/>
    <n v="743417.14"/>
    <n v="794"/>
    <x v="0"/>
    <s v="Completed"/>
    <x v="0"/>
    <s v="Verified"/>
    <x v="2"/>
  </r>
  <r>
    <x v="370"/>
    <s v="2025-10-14"/>
    <x v="0"/>
    <x v="362"/>
    <x v="3"/>
    <s v="A"/>
    <x v="2"/>
    <x v="3"/>
    <s v="USD"/>
    <n v="199334.98"/>
    <n v="2464.11"/>
    <n v="443.54"/>
    <n v="325.5"/>
    <n v="201917.13"/>
    <n v="743204.21"/>
    <n v="831"/>
    <x v="2"/>
    <s v="Completed"/>
    <x v="1"/>
    <s v="Verified"/>
    <x v="6"/>
  </r>
  <r>
    <x v="371"/>
    <s v="2025-05-31"/>
    <x v="1"/>
    <x v="363"/>
    <x v="2"/>
    <s v="D"/>
    <x v="1"/>
    <x v="4"/>
    <s v="USD"/>
    <n v="143975.03"/>
    <n v="1835.27"/>
    <n v="330.35"/>
    <n v="487.07"/>
    <n v="145653.57999999999"/>
    <n v="742193.45"/>
    <n v="382"/>
    <x v="0"/>
    <s v="Pending"/>
    <x v="1"/>
    <s v="Verified"/>
    <x v="5"/>
  </r>
  <r>
    <x v="372"/>
    <s v="2025-07-13"/>
    <x v="1"/>
    <x v="364"/>
    <x v="0"/>
    <s v="C"/>
    <x v="0"/>
    <x v="4"/>
    <s v="USD"/>
    <n v="1964.65"/>
    <n v="8.0299999999999994"/>
    <n v="1.45"/>
    <n v="130.85"/>
    <n v="1843.28"/>
    <n v="751217.98"/>
    <n v="678"/>
    <x v="1"/>
    <s v="Failed"/>
    <x v="2"/>
    <s v="None"/>
    <x v="7"/>
  </r>
  <r>
    <x v="373"/>
    <s v="2025-03-19"/>
    <x v="2"/>
    <x v="365"/>
    <x v="2"/>
    <s v="D"/>
    <x v="2"/>
    <x v="1"/>
    <s v="USD"/>
    <n v="27432.3"/>
    <n v="522.33000000000004"/>
    <n v="94.02"/>
    <n v="399.65"/>
    <n v="27649"/>
    <n v="759926.79"/>
    <n v="625"/>
    <x v="0"/>
    <s v="Failed"/>
    <x v="1"/>
    <s v="Review"/>
    <x v="3"/>
  </r>
  <r>
    <x v="374"/>
    <s v="2025-01-06"/>
    <x v="2"/>
    <x v="366"/>
    <x v="2"/>
    <s v="B"/>
    <x v="2"/>
    <x v="1"/>
    <s v="INR"/>
    <n v="139014.32999999999"/>
    <n v="2594.21"/>
    <n v="466.96"/>
    <n v="123.32"/>
    <n v="141952.18"/>
    <n v="767021.35"/>
    <n v="725"/>
    <x v="1"/>
    <s v="Failed"/>
    <x v="0"/>
    <s v="Review"/>
    <x v="4"/>
  </r>
  <r>
    <x v="375"/>
    <s v="2025-09-05"/>
    <x v="1"/>
    <x v="367"/>
    <x v="3"/>
    <s v="A"/>
    <x v="2"/>
    <x v="1"/>
    <s v="INR"/>
    <n v="37702.730000000003"/>
    <n v="63.29"/>
    <n v="11.39"/>
    <n v="62.98"/>
    <n v="37714.43"/>
    <n v="774360.19"/>
    <n v="537"/>
    <x v="2"/>
    <s v="Failed"/>
    <x v="1"/>
    <s v="Verified"/>
    <x v="11"/>
  </r>
  <r>
    <x v="376"/>
    <s v="2025-05-22"/>
    <x v="0"/>
    <x v="368"/>
    <x v="3"/>
    <s v="A"/>
    <x v="2"/>
    <x v="0"/>
    <s v="EUR"/>
    <n v="13773.66"/>
    <n v="72.02"/>
    <n v="12.96"/>
    <n v="445.4"/>
    <n v="13413.24"/>
    <n v="774478.38"/>
    <n v="791"/>
    <x v="0"/>
    <s v="Failed"/>
    <x v="3"/>
    <s v="None"/>
    <x v="5"/>
  </r>
  <r>
    <x v="377"/>
    <s v="2025-11-07"/>
    <x v="2"/>
    <x v="369"/>
    <x v="2"/>
    <s v="D"/>
    <x v="1"/>
    <x v="2"/>
    <s v="USD"/>
    <n v="61701.81"/>
    <n v="1081.22"/>
    <n v="194.62"/>
    <n v="261.07"/>
    <n v="62716.58"/>
    <n v="781823.87"/>
    <n v="658"/>
    <x v="0"/>
    <s v="Pending"/>
    <x v="2"/>
    <s v="Verified"/>
    <x v="1"/>
  </r>
  <r>
    <x v="378"/>
    <s v="2025-07-10"/>
    <x v="2"/>
    <x v="370"/>
    <x v="1"/>
    <s v="C"/>
    <x v="0"/>
    <x v="1"/>
    <s v="USD"/>
    <n v="108108.43"/>
    <n v="2018.38"/>
    <n v="363.31"/>
    <n v="232.21"/>
    <n v="110257.91"/>
    <n v="790968.07"/>
    <n v="558"/>
    <x v="1"/>
    <s v="Failed"/>
    <x v="0"/>
    <s v="Verified"/>
    <x v="7"/>
  </r>
  <r>
    <x v="379"/>
    <s v="2025-01-25"/>
    <x v="1"/>
    <x v="371"/>
    <x v="0"/>
    <s v="B"/>
    <x v="3"/>
    <x v="4"/>
    <s v="EUR"/>
    <n v="49265.63"/>
    <n v="971.18"/>
    <n v="174.81"/>
    <n v="325.86"/>
    <n v="50085.760000000002"/>
    <n v="787129.9"/>
    <n v="829"/>
    <x v="0"/>
    <s v="Completed"/>
    <x v="0"/>
    <s v="None"/>
    <x v="4"/>
  </r>
  <r>
    <x v="380"/>
    <s v="2025-06-03"/>
    <x v="1"/>
    <x v="372"/>
    <x v="0"/>
    <s v="A"/>
    <x v="3"/>
    <x v="1"/>
    <s v="INR"/>
    <n v="109426.05"/>
    <n v="175.45"/>
    <n v="31.58"/>
    <n v="185.61"/>
    <n v="109447.47"/>
    <n v="792608.73"/>
    <n v="746"/>
    <x v="1"/>
    <s v="Completed"/>
    <x v="3"/>
    <s v="Review"/>
    <x v="10"/>
  </r>
  <r>
    <x v="381"/>
    <s v="2025-06-11"/>
    <x v="2"/>
    <x v="373"/>
    <x v="0"/>
    <s v="C"/>
    <x v="3"/>
    <x v="1"/>
    <s v="USD"/>
    <n v="184092.58"/>
    <n v="864.51"/>
    <n v="155.61000000000001"/>
    <n v="461.2"/>
    <n v="184651.5"/>
    <n v="799377.36"/>
    <n v="879"/>
    <x v="2"/>
    <s v="Completed"/>
    <x v="1"/>
    <s v="None"/>
    <x v="10"/>
  </r>
  <r>
    <x v="382"/>
    <s v="2025-05-02"/>
    <x v="1"/>
    <x v="374"/>
    <x v="0"/>
    <s v="C"/>
    <x v="3"/>
    <x v="4"/>
    <s v="USD"/>
    <n v="57962.720000000001"/>
    <n v="955.98"/>
    <n v="172.08"/>
    <n v="448.52"/>
    <n v="58642.26"/>
    <n v="799326.15"/>
    <n v="710"/>
    <x v="1"/>
    <s v="Pending"/>
    <x v="3"/>
    <s v="Verified"/>
    <x v="5"/>
  </r>
  <r>
    <x v="383"/>
    <s v="2025-03-20"/>
    <x v="1"/>
    <x v="375"/>
    <x v="1"/>
    <s v="C"/>
    <x v="3"/>
    <x v="1"/>
    <s v="USD"/>
    <n v="41994.559999999998"/>
    <n v="260.72000000000003"/>
    <n v="46.93"/>
    <n v="477.19"/>
    <n v="41825.019999999997"/>
    <n v="806396.07"/>
    <n v="856"/>
    <x v="0"/>
    <s v="Failed"/>
    <x v="3"/>
    <s v="Verified"/>
    <x v="3"/>
  </r>
  <r>
    <x v="384"/>
    <s v="2025-12-12"/>
    <x v="0"/>
    <x v="376"/>
    <x v="0"/>
    <s v="A"/>
    <x v="1"/>
    <x v="1"/>
    <s v="EUR"/>
    <n v="172133.44"/>
    <n v="2361.37"/>
    <n v="425.05"/>
    <n v="173.47"/>
    <n v="174746.39"/>
    <n v="809445.6"/>
    <n v="444"/>
    <x v="1"/>
    <s v="Pending"/>
    <x v="2"/>
    <s v="Review"/>
    <x v="9"/>
  </r>
  <r>
    <x v="385"/>
    <s v="2025-01-27"/>
    <x v="2"/>
    <x v="377"/>
    <x v="3"/>
    <s v="C"/>
    <x v="0"/>
    <x v="1"/>
    <s v="EUR"/>
    <n v="65590.97"/>
    <n v="924.34"/>
    <n v="166.38"/>
    <n v="288.31"/>
    <n v="66393.38"/>
    <n v="811127.51"/>
    <n v="781"/>
    <x v="0"/>
    <s v="Pending"/>
    <x v="0"/>
    <s v="Verified"/>
    <x v="4"/>
  </r>
  <r>
    <x v="386"/>
    <s v="2025-08-29"/>
    <x v="2"/>
    <x v="378"/>
    <x v="3"/>
    <s v="A"/>
    <x v="0"/>
    <x v="0"/>
    <s v="EUR"/>
    <n v="98174.31"/>
    <n v="575.17999999999995"/>
    <n v="103.53"/>
    <n v="415.37"/>
    <n v="98437.65"/>
    <n v="815001.41"/>
    <n v="335"/>
    <x v="0"/>
    <s v="Completed"/>
    <x v="3"/>
    <s v="Verified"/>
    <x v="8"/>
  </r>
  <r>
    <x v="387"/>
    <s v="2025-10-31"/>
    <x v="0"/>
    <x v="379"/>
    <x v="3"/>
    <s v="B"/>
    <x v="2"/>
    <x v="4"/>
    <s v="INR"/>
    <n v="43849.27"/>
    <n v="386.38"/>
    <n v="69.55"/>
    <n v="352.39"/>
    <n v="43952.81"/>
    <n v="822308.8"/>
    <n v="854"/>
    <x v="2"/>
    <s v="Failed"/>
    <x v="1"/>
    <s v="Review"/>
    <x v="6"/>
  </r>
  <r>
    <x v="388"/>
    <s v="2025-12-29"/>
    <x v="2"/>
    <x v="380"/>
    <x v="2"/>
    <s v="B"/>
    <x v="0"/>
    <x v="2"/>
    <s v="INR"/>
    <n v="41290.089999999997"/>
    <n v="446.23"/>
    <n v="80.319999999999993"/>
    <n v="123.87"/>
    <n v="41692.769999999997"/>
    <n v="820911.22"/>
    <n v="814"/>
    <x v="2"/>
    <s v="Completed"/>
    <x v="0"/>
    <s v="None"/>
    <x v="9"/>
  </r>
  <r>
    <x v="389"/>
    <s v="2025-02-16"/>
    <x v="0"/>
    <x v="381"/>
    <x v="0"/>
    <s v="B"/>
    <x v="1"/>
    <x v="3"/>
    <s v="USD"/>
    <n v="114819.96"/>
    <n v="375.73"/>
    <n v="67.63"/>
    <n v="162.5"/>
    <n v="115100.82"/>
    <n v="827744.62"/>
    <n v="501"/>
    <x v="2"/>
    <s v="Completed"/>
    <x v="3"/>
    <s v="Verified"/>
    <x v="0"/>
  </r>
  <r>
    <x v="390"/>
    <s v="2025-11-26"/>
    <x v="1"/>
    <x v="382"/>
    <x v="2"/>
    <s v="B"/>
    <x v="1"/>
    <x v="2"/>
    <s v="EUR"/>
    <n v="10148.44"/>
    <n v="153.09"/>
    <n v="27.56"/>
    <n v="388.48"/>
    <n v="9940.61"/>
    <n v="827311.48"/>
    <n v="771"/>
    <x v="1"/>
    <s v="Failed"/>
    <x v="3"/>
    <s v="None"/>
    <x v="1"/>
  </r>
  <r>
    <x v="391"/>
    <s v="2025-09-21"/>
    <x v="1"/>
    <x v="383"/>
    <x v="3"/>
    <s v="A"/>
    <x v="3"/>
    <x v="2"/>
    <s v="USD"/>
    <n v="182828.86"/>
    <n v="3479.24"/>
    <n v="626.26"/>
    <n v="132.74"/>
    <n v="186801.62"/>
    <n v="829233.93"/>
    <n v="843"/>
    <x v="1"/>
    <s v="Completed"/>
    <x v="2"/>
    <s v="None"/>
    <x v="11"/>
  </r>
  <r>
    <x v="392"/>
    <s v="2025-08-07"/>
    <x v="0"/>
    <x v="384"/>
    <x v="2"/>
    <s v="B"/>
    <x v="0"/>
    <x v="3"/>
    <s v="USD"/>
    <n v="31952.49"/>
    <n v="196.57"/>
    <n v="35.380000000000003"/>
    <n v="363.79"/>
    <n v="31820.65"/>
    <n v="828261.09"/>
    <n v="775"/>
    <x v="0"/>
    <s v="Pending"/>
    <x v="0"/>
    <s v="Verified"/>
    <x v="8"/>
  </r>
  <r>
    <x v="393"/>
    <s v="2025-05-20"/>
    <x v="2"/>
    <x v="385"/>
    <x v="3"/>
    <s v="A"/>
    <x v="2"/>
    <x v="3"/>
    <s v="USD"/>
    <n v="53260.46"/>
    <n v="975.33"/>
    <n v="175.56"/>
    <n v="128.85"/>
    <n v="54282.5"/>
    <n v="834435.84"/>
    <n v="716"/>
    <x v="1"/>
    <s v="Completed"/>
    <x v="3"/>
    <s v="None"/>
    <x v="5"/>
  </r>
  <r>
    <x v="394"/>
    <s v="2025-11-05"/>
    <x v="1"/>
    <x v="386"/>
    <x v="2"/>
    <s v="D"/>
    <x v="1"/>
    <x v="4"/>
    <s v="EUR"/>
    <n v="89752.54"/>
    <n v="1123.9000000000001"/>
    <n v="202.3"/>
    <n v="6.02"/>
    <n v="91072.72"/>
    <n v="832186.66"/>
    <n v="595"/>
    <x v="0"/>
    <s v="Failed"/>
    <x v="3"/>
    <s v="None"/>
    <x v="1"/>
  </r>
  <r>
    <x v="395"/>
    <s v="2025-06-20"/>
    <x v="1"/>
    <x v="387"/>
    <x v="0"/>
    <s v="C"/>
    <x v="0"/>
    <x v="4"/>
    <s v="EUR"/>
    <n v="141757.53"/>
    <n v="1722.43"/>
    <n v="310.04000000000002"/>
    <n v="183.83"/>
    <n v="143606.17000000001"/>
    <n v="840535.91"/>
    <n v="622"/>
    <x v="1"/>
    <s v="Completed"/>
    <x v="1"/>
    <s v="None"/>
    <x v="10"/>
  </r>
  <r>
    <x v="396"/>
    <s v="2025-09-08"/>
    <x v="0"/>
    <x v="388"/>
    <x v="0"/>
    <s v="C"/>
    <x v="0"/>
    <x v="2"/>
    <s v="EUR"/>
    <n v="150634.72"/>
    <n v="511.54"/>
    <n v="92.08"/>
    <n v="182.96"/>
    <n v="151055.38"/>
    <n v="842378.23999999999"/>
    <n v="891"/>
    <x v="1"/>
    <s v="Pending"/>
    <x v="3"/>
    <s v="Verified"/>
    <x v="11"/>
  </r>
  <r>
    <x v="397"/>
    <s v="2025-07-17"/>
    <x v="1"/>
    <x v="389"/>
    <x v="3"/>
    <s v="C"/>
    <x v="1"/>
    <x v="1"/>
    <s v="EUR"/>
    <n v="13330.13"/>
    <n v="67.040000000000006"/>
    <n v="12.07"/>
    <n v="211.34"/>
    <n v="13197.9"/>
    <n v="844981.87"/>
    <n v="358"/>
    <x v="1"/>
    <s v="Completed"/>
    <x v="2"/>
    <s v="Verified"/>
    <x v="7"/>
  </r>
  <r>
    <x v="398"/>
    <s v="2025-10-26"/>
    <x v="2"/>
    <x v="390"/>
    <x v="3"/>
    <s v="D"/>
    <x v="2"/>
    <x v="0"/>
    <s v="INR"/>
    <n v="97626.03"/>
    <n v="272.52"/>
    <n v="49.05"/>
    <n v="64.459999999999994"/>
    <n v="97883.14"/>
    <n v="841960.57"/>
    <n v="741"/>
    <x v="0"/>
    <s v="Completed"/>
    <x v="0"/>
    <s v="None"/>
    <x v="6"/>
  </r>
  <r>
    <x v="399"/>
    <s v="2025-01-22"/>
    <x v="2"/>
    <x v="391"/>
    <x v="3"/>
    <s v="C"/>
    <x v="2"/>
    <x v="0"/>
    <s v="INR"/>
    <n v="25747.68"/>
    <n v="134.4"/>
    <n v="24.19"/>
    <n v="12.6"/>
    <n v="25893.67"/>
    <n v="839904.6"/>
    <n v="531"/>
    <x v="1"/>
    <s v="Completed"/>
    <x v="1"/>
    <s v="None"/>
    <x v="4"/>
  </r>
  <r>
    <x v="400"/>
    <s v="2025-09-24"/>
    <x v="0"/>
    <x v="392"/>
    <x v="2"/>
    <s v="A"/>
    <x v="1"/>
    <x v="0"/>
    <s v="USD"/>
    <n v="36136.089999999997"/>
    <n v="378.19"/>
    <n v="68.069999999999993"/>
    <n v="252.96"/>
    <n v="36329.39"/>
    <n v="838081.67"/>
    <n v="595"/>
    <x v="1"/>
    <s v="Failed"/>
    <x v="0"/>
    <s v="Review"/>
    <x v="11"/>
  </r>
  <r>
    <x v="401"/>
    <s v="2025-01-31"/>
    <x v="0"/>
    <x v="393"/>
    <x v="2"/>
    <s v="C"/>
    <x v="0"/>
    <x v="2"/>
    <s v="USD"/>
    <n v="17406.689999999999"/>
    <n v="251.12"/>
    <n v="45.2"/>
    <n v="4.74"/>
    <n v="17698.27"/>
    <n v="841952.11"/>
    <n v="808"/>
    <x v="1"/>
    <s v="Completed"/>
    <x v="3"/>
    <s v="None"/>
    <x v="4"/>
  </r>
  <r>
    <x v="402"/>
    <s v="2025-01-31"/>
    <x v="2"/>
    <x v="394"/>
    <x v="0"/>
    <s v="D"/>
    <x v="0"/>
    <x v="3"/>
    <s v="USD"/>
    <n v="152927.66"/>
    <n v="780.67"/>
    <n v="140.52000000000001"/>
    <n v="128.09"/>
    <n v="153720.76"/>
    <n v="844486.75"/>
    <n v="316"/>
    <x v="1"/>
    <s v="Pending"/>
    <x v="3"/>
    <s v="Verified"/>
    <x v="4"/>
  </r>
  <r>
    <x v="403"/>
    <s v="2025-11-11"/>
    <x v="2"/>
    <x v="395"/>
    <x v="2"/>
    <s v="D"/>
    <x v="2"/>
    <x v="1"/>
    <s v="INR"/>
    <n v="57658.21"/>
    <n v="624.79"/>
    <n v="112.46"/>
    <n v="449.21"/>
    <n v="57946.25"/>
    <n v="847246.36"/>
    <n v="829"/>
    <x v="0"/>
    <s v="Failed"/>
    <x v="0"/>
    <s v="Review"/>
    <x v="1"/>
  </r>
  <r>
    <x v="404"/>
    <s v="2025-04-02"/>
    <x v="2"/>
    <x v="396"/>
    <x v="3"/>
    <s v="A"/>
    <x v="1"/>
    <x v="2"/>
    <s v="INR"/>
    <n v="158444.94"/>
    <n v="382.34"/>
    <n v="68.819999999999993"/>
    <n v="259.49"/>
    <n v="158636.60999999999"/>
    <n v="843692.09"/>
    <n v="367"/>
    <x v="1"/>
    <s v="Pending"/>
    <x v="3"/>
    <s v="Verified"/>
    <x v="2"/>
  </r>
  <r>
    <x v="405"/>
    <s v="2025-05-16"/>
    <x v="0"/>
    <x v="397"/>
    <x v="3"/>
    <s v="C"/>
    <x v="3"/>
    <x v="3"/>
    <s v="INR"/>
    <n v="96171.55"/>
    <n v="573.21"/>
    <n v="103.18"/>
    <n v="340.4"/>
    <n v="96507.54"/>
    <n v="848943.12"/>
    <n v="823"/>
    <x v="2"/>
    <s v="Pending"/>
    <x v="0"/>
    <s v="None"/>
    <x v="5"/>
  </r>
  <r>
    <x v="406"/>
    <s v="2025-08-28"/>
    <x v="0"/>
    <x v="339"/>
    <x v="3"/>
    <s v="D"/>
    <x v="1"/>
    <x v="3"/>
    <s v="USD"/>
    <n v="142072.01999999999"/>
    <n v="1717.14"/>
    <n v="309.08999999999997"/>
    <n v="13.11"/>
    <n v="144085.14000000001"/>
    <n v="850141.24"/>
    <n v="457"/>
    <x v="0"/>
    <s v="Failed"/>
    <x v="0"/>
    <s v="Review"/>
    <x v="8"/>
  </r>
  <r>
    <x v="407"/>
    <s v="2025-02-02"/>
    <x v="1"/>
    <x v="398"/>
    <x v="0"/>
    <s v="D"/>
    <x v="0"/>
    <x v="1"/>
    <s v="EUR"/>
    <n v="5777.13"/>
    <n v="88.97"/>
    <n v="16.010000000000002"/>
    <n v="356.73"/>
    <n v="5525.38"/>
    <n v="856633.01"/>
    <n v="652"/>
    <x v="1"/>
    <s v="Completed"/>
    <x v="0"/>
    <s v="None"/>
    <x v="0"/>
  </r>
  <r>
    <x v="408"/>
    <s v="2025-09-15"/>
    <x v="2"/>
    <x v="399"/>
    <x v="3"/>
    <s v="D"/>
    <x v="1"/>
    <x v="3"/>
    <s v="EUR"/>
    <n v="108930.7"/>
    <n v="1308.83"/>
    <n v="235.59"/>
    <n v="138.88"/>
    <n v="110336.24"/>
    <n v="858765.29"/>
    <n v="878"/>
    <x v="1"/>
    <s v="Completed"/>
    <x v="1"/>
    <s v="Verified"/>
    <x v="11"/>
  </r>
  <r>
    <x v="409"/>
    <s v="2025-03-01"/>
    <x v="1"/>
    <x v="400"/>
    <x v="1"/>
    <s v="D"/>
    <x v="2"/>
    <x v="2"/>
    <s v="INR"/>
    <n v="134197.6"/>
    <n v="1795.43"/>
    <n v="323.18"/>
    <n v="199.78"/>
    <n v="136116.43"/>
    <n v="858686.5"/>
    <n v="519"/>
    <x v="0"/>
    <s v="Completed"/>
    <x v="2"/>
    <s v="None"/>
    <x v="3"/>
  </r>
  <r>
    <x v="410"/>
    <s v="2025-03-12"/>
    <x v="1"/>
    <x v="401"/>
    <x v="0"/>
    <s v="D"/>
    <x v="2"/>
    <x v="2"/>
    <s v="INR"/>
    <n v="125418.7"/>
    <n v="1152.48"/>
    <n v="207.45"/>
    <n v="262.48"/>
    <n v="126516.15"/>
    <n v="859721.91"/>
    <n v="644"/>
    <x v="1"/>
    <s v="Pending"/>
    <x v="3"/>
    <s v="None"/>
    <x v="3"/>
  </r>
  <r>
    <x v="411"/>
    <s v="2025-11-15"/>
    <x v="0"/>
    <x v="402"/>
    <x v="1"/>
    <s v="B"/>
    <x v="3"/>
    <x v="4"/>
    <s v="USD"/>
    <n v="190370.36"/>
    <n v="659.9"/>
    <n v="118.78"/>
    <n v="286.70999999999998"/>
    <n v="190862.33"/>
    <n v="861527.17"/>
    <n v="794"/>
    <x v="0"/>
    <s v="Pending"/>
    <x v="2"/>
    <s v="Review"/>
    <x v="1"/>
  </r>
  <r>
    <x v="412"/>
    <s v="2025-04-29"/>
    <x v="2"/>
    <x v="403"/>
    <x v="1"/>
    <s v="C"/>
    <x v="3"/>
    <x v="4"/>
    <s v="USD"/>
    <n v="114454.9"/>
    <n v="520.96"/>
    <n v="93.77"/>
    <n v="125.02"/>
    <n v="114944.61"/>
    <n v="868864.58"/>
    <n v="668"/>
    <x v="0"/>
    <s v="Pending"/>
    <x v="2"/>
    <s v="Verified"/>
    <x v="2"/>
  </r>
  <r>
    <x v="413"/>
    <s v="2025-11-04"/>
    <x v="2"/>
    <x v="404"/>
    <x v="0"/>
    <s v="D"/>
    <x v="0"/>
    <x v="1"/>
    <s v="EUR"/>
    <n v="129485.19"/>
    <n v="1270.0899999999999"/>
    <n v="228.62"/>
    <n v="394.78"/>
    <n v="130589.12"/>
    <n v="865459.93"/>
    <n v="661"/>
    <x v="0"/>
    <s v="Pending"/>
    <x v="2"/>
    <s v="None"/>
    <x v="1"/>
  </r>
  <r>
    <x v="414"/>
    <s v="2025-07-05"/>
    <x v="2"/>
    <x v="405"/>
    <x v="1"/>
    <s v="C"/>
    <x v="1"/>
    <x v="0"/>
    <s v="USD"/>
    <n v="184852.84"/>
    <n v="1192.06"/>
    <n v="214.57"/>
    <n v="299.94"/>
    <n v="185959.53"/>
    <n v="868110.68"/>
    <n v="642"/>
    <x v="2"/>
    <s v="Pending"/>
    <x v="0"/>
    <s v="Verified"/>
    <x v="7"/>
  </r>
  <r>
    <x v="415"/>
    <s v="2025-05-18"/>
    <x v="0"/>
    <x v="406"/>
    <x v="2"/>
    <s v="C"/>
    <x v="1"/>
    <x v="1"/>
    <s v="INR"/>
    <n v="95534.24"/>
    <n v="282.44"/>
    <n v="50.84"/>
    <n v="255.32"/>
    <n v="95612.2"/>
    <n v="875899.48"/>
    <n v="872"/>
    <x v="0"/>
    <s v="Failed"/>
    <x v="3"/>
    <s v="None"/>
    <x v="5"/>
  </r>
  <r>
    <x v="416"/>
    <s v="2025-12-23"/>
    <x v="0"/>
    <x v="407"/>
    <x v="1"/>
    <s v="D"/>
    <x v="0"/>
    <x v="0"/>
    <s v="USD"/>
    <n v="2321.1999999999998"/>
    <n v="25.6"/>
    <n v="4.6100000000000003"/>
    <n v="230.21"/>
    <n v="2121.1999999999998"/>
    <n v="884140.87"/>
    <n v="639"/>
    <x v="1"/>
    <s v="Pending"/>
    <x v="2"/>
    <s v="Verified"/>
    <x v="9"/>
  </r>
  <r>
    <x v="417"/>
    <s v="2025-11-01"/>
    <x v="1"/>
    <x v="408"/>
    <x v="0"/>
    <s v="B"/>
    <x v="3"/>
    <x v="1"/>
    <s v="EUR"/>
    <n v="72788.009999999995"/>
    <n v="478.38"/>
    <n v="86.11"/>
    <n v="456.89"/>
    <n v="72895.61"/>
    <n v="889010.36"/>
    <n v="674"/>
    <x v="1"/>
    <s v="Completed"/>
    <x v="0"/>
    <s v="Review"/>
    <x v="1"/>
  </r>
  <r>
    <x v="418"/>
    <s v="2025-12-14"/>
    <x v="0"/>
    <x v="409"/>
    <x v="0"/>
    <s v="C"/>
    <x v="2"/>
    <x v="3"/>
    <s v="INR"/>
    <n v="168190.03"/>
    <n v="2741.1"/>
    <n v="493.4"/>
    <n v="339.78"/>
    <n v="171084.75"/>
    <n v="892623.47"/>
    <n v="830"/>
    <x v="0"/>
    <s v="Pending"/>
    <x v="1"/>
    <s v="Verified"/>
    <x v="9"/>
  </r>
  <r>
    <x v="419"/>
    <s v="2025-03-25"/>
    <x v="1"/>
    <x v="410"/>
    <x v="0"/>
    <s v="D"/>
    <x v="0"/>
    <x v="1"/>
    <s v="EUR"/>
    <n v="78898.75"/>
    <n v="1031.25"/>
    <n v="185.62"/>
    <n v="382.31"/>
    <n v="79733.31"/>
    <n v="894406.42"/>
    <n v="540"/>
    <x v="2"/>
    <s v="Pending"/>
    <x v="1"/>
    <s v="None"/>
    <x v="3"/>
  </r>
  <r>
    <x v="420"/>
    <s v="2025-01-31"/>
    <x v="1"/>
    <x v="411"/>
    <x v="2"/>
    <s v="D"/>
    <x v="0"/>
    <x v="0"/>
    <s v="USD"/>
    <n v="172677.95"/>
    <n v="820.31"/>
    <n v="147.66"/>
    <n v="125.24"/>
    <n v="173520.68"/>
    <n v="892763.98"/>
    <n v="477"/>
    <x v="1"/>
    <s v="Failed"/>
    <x v="1"/>
    <s v="Verified"/>
    <x v="4"/>
  </r>
  <r>
    <x v="421"/>
    <s v="2025-08-06"/>
    <x v="2"/>
    <x v="229"/>
    <x v="3"/>
    <s v="B"/>
    <x v="0"/>
    <x v="3"/>
    <s v="USD"/>
    <n v="146053.44"/>
    <n v="2555.75"/>
    <n v="460.03"/>
    <n v="324.17"/>
    <n v="148745.04999999999"/>
    <n v="895079.17"/>
    <n v="368"/>
    <x v="2"/>
    <s v="Pending"/>
    <x v="0"/>
    <s v="None"/>
    <x v="8"/>
  </r>
  <r>
    <x v="422"/>
    <s v="2025-11-12"/>
    <x v="1"/>
    <x v="412"/>
    <x v="2"/>
    <s v="C"/>
    <x v="2"/>
    <x v="2"/>
    <s v="USD"/>
    <n v="147556.5"/>
    <n v="790.16"/>
    <n v="142.22999999999999"/>
    <n v="169.23"/>
    <n v="148319.66"/>
    <n v="898672.29"/>
    <n v="608"/>
    <x v="0"/>
    <s v="Completed"/>
    <x v="1"/>
    <s v="None"/>
    <x v="1"/>
  </r>
  <r>
    <x v="423"/>
    <s v="2025-12-30"/>
    <x v="2"/>
    <x v="413"/>
    <x v="3"/>
    <s v="A"/>
    <x v="2"/>
    <x v="4"/>
    <s v="EUR"/>
    <n v="179201.04"/>
    <n v="1815.47"/>
    <n v="326.77999999999997"/>
    <n v="63.29"/>
    <n v="181280"/>
    <n v="905648"/>
    <n v="534"/>
    <x v="1"/>
    <s v="Pending"/>
    <x v="0"/>
    <s v="None"/>
    <x v="9"/>
  </r>
  <r>
    <x v="424"/>
    <s v="2025-01-31"/>
    <x v="0"/>
    <x v="414"/>
    <x v="1"/>
    <s v="A"/>
    <x v="2"/>
    <x v="0"/>
    <s v="INR"/>
    <n v="188429.46"/>
    <n v="1246.3800000000001"/>
    <n v="224.35"/>
    <n v="408.54"/>
    <n v="189491.65"/>
    <n v="908808.76"/>
    <n v="811"/>
    <x v="0"/>
    <s v="Failed"/>
    <x v="1"/>
    <s v="Verified"/>
    <x v="4"/>
  </r>
  <r>
    <x v="425"/>
    <s v="2025-09-20"/>
    <x v="0"/>
    <x v="415"/>
    <x v="0"/>
    <s v="D"/>
    <x v="0"/>
    <x v="3"/>
    <s v="EUR"/>
    <n v="122727.25"/>
    <n v="1450.08"/>
    <n v="261.01"/>
    <n v="47.91"/>
    <n v="124390.43"/>
    <n v="917293.91"/>
    <n v="604"/>
    <x v="2"/>
    <s v="Pending"/>
    <x v="0"/>
    <s v="None"/>
    <x v="11"/>
  </r>
  <r>
    <x v="426"/>
    <s v="2025-12-11"/>
    <x v="2"/>
    <x v="416"/>
    <x v="0"/>
    <s v="C"/>
    <x v="1"/>
    <x v="0"/>
    <s v="INR"/>
    <n v="94439.42"/>
    <n v="1713.06"/>
    <n v="308.35000000000002"/>
    <n v="235.55"/>
    <n v="96225.279999999999"/>
    <n v="915877.29"/>
    <n v="313"/>
    <x v="1"/>
    <s v="Pending"/>
    <x v="2"/>
    <s v="Review"/>
    <x v="9"/>
  </r>
  <r>
    <x v="427"/>
    <s v="2025-06-07"/>
    <x v="0"/>
    <x v="417"/>
    <x v="3"/>
    <s v="B"/>
    <x v="0"/>
    <x v="2"/>
    <s v="INR"/>
    <n v="102883.12"/>
    <n v="445.36"/>
    <n v="80.16"/>
    <n v="431.79"/>
    <n v="102976.85"/>
    <n v="922604.16"/>
    <n v="730"/>
    <x v="2"/>
    <s v="Pending"/>
    <x v="1"/>
    <s v="Review"/>
    <x v="10"/>
  </r>
  <r>
    <x v="428"/>
    <s v="2025-10-22"/>
    <x v="2"/>
    <x v="418"/>
    <x v="0"/>
    <s v="C"/>
    <x v="2"/>
    <x v="4"/>
    <s v="EUR"/>
    <n v="97125.88"/>
    <n v="1292.94"/>
    <n v="232.73"/>
    <n v="176.78"/>
    <n v="98474.77"/>
    <n v="924228.18"/>
    <n v="352"/>
    <x v="2"/>
    <s v="Pending"/>
    <x v="0"/>
    <s v="None"/>
    <x v="6"/>
  </r>
  <r>
    <x v="429"/>
    <s v="2025-07-08"/>
    <x v="1"/>
    <x v="419"/>
    <x v="1"/>
    <s v="A"/>
    <x v="2"/>
    <x v="4"/>
    <s v="USD"/>
    <n v="114290.21"/>
    <n v="1997.35"/>
    <n v="359.52"/>
    <n v="186.24"/>
    <n v="116460.84"/>
    <n v="925412.88"/>
    <n v="598"/>
    <x v="1"/>
    <s v="Failed"/>
    <x v="0"/>
    <s v="Review"/>
    <x v="7"/>
  </r>
  <r>
    <x v="430"/>
    <s v="2025-10-30"/>
    <x v="0"/>
    <x v="420"/>
    <x v="1"/>
    <s v="B"/>
    <x v="2"/>
    <x v="0"/>
    <s v="USD"/>
    <n v="69301.7"/>
    <n v="799.64"/>
    <n v="143.94"/>
    <n v="233.25"/>
    <n v="70012.03"/>
    <n v="923793.76"/>
    <n v="723"/>
    <x v="2"/>
    <s v="Failed"/>
    <x v="3"/>
    <s v="Verified"/>
    <x v="6"/>
  </r>
  <r>
    <x v="431"/>
    <s v="2025-07-28"/>
    <x v="2"/>
    <x v="421"/>
    <x v="1"/>
    <s v="C"/>
    <x v="0"/>
    <x v="0"/>
    <s v="USD"/>
    <n v="103446.63"/>
    <n v="1625.45"/>
    <n v="292.58"/>
    <n v="217.28"/>
    <n v="105147.38"/>
    <n v="930889.92"/>
    <n v="663"/>
    <x v="1"/>
    <s v="Completed"/>
    <x v="3"/>
    <s v="Verified"/>
    <x v="7"/>
  </r>
  <r>
    <x v="432"/>
    <s v="2025-09-04"/>
    <x v="2"/>
    <x v="422"/>
    <x v="3"/>
    <s v="A"/>
    <x v="0"/>
    <x v="1"/>
    <s v="EUR"/>
    <n v="97967.21"/>
    <n v="1660.62"/>
    <n v="298.91000000000003"/>
    <n v="421.83"/>
    <n v="99504.91"/>
    <n v="937106.31"/>
    <n v="396"/>
    <x v="2"/>
    <s v="Pending"/>
    <x v="3"/>
    <s v="None"/>
    <x v="11"/>
  </r>
  <r>
    <x v="433"/>
    <s v="2025-03-17"/>
    <x v="2"/>
    <x v="173"/>
    <x v="3"/>
    <s v="D"/>
    <x v="1"/>
    <x v="2"/>
    <s v="INR"/>
    <n v="169052.97"/>
    <n v="1711.87"/>
    <n v="308.14"/>
    <n v="88.78"/>
    <n v="170984.2"/>
    <n v="937432.58"/>
    <n v="363"/>
    <x v="0"/>
    <s v="Pending"/>
    <x v="2"/>
    <s v="Review"/>
    <x v="3"/>
  </r>
  <r>
    <x v="434"/>
    <s v="2025-01-05"/>
    <x v="0"/>
    <x v="132"/>
    <x v="3"/>
    <s v="B"/>
    <x v="3"/>
    <x v="3"/>
    <s v="EUR"/>
    <n v="74486.45"/>
    <n v="1229.8399999999999"/>
    <n v="221.37"/>
    <n v="189.92"/>
    <n v="75747.740000000005"/>
    <n v="946135.8"/>
    <n v="825"/>
    <x v="1"/>
    <s v="Completed"/>
    <x v="1"/>
    <s v="Verified"/>
    <x v="4"/>
  </r>
  <r>
    <x v="435"/>
    <s v="2025-06-27"/>
    <x v="1"/>
    <x v="423"/>
    <x v="0"/>
    <s v="C"/>
    <x v="3"/>
    <x v="1"/>
    <s v="USD"/>
    <n v="118076.56"/>
    <n v="1256.96"/>
    <n v="226.25"/>
    <n v="319.16000000000003"/>
    <n v="119240.61"/>
    <n v="944745.96"/>
    <n v="520"/>
    <x v="2"/>
    <s v="Pending"/>
    <x v="3"/>
    <s v="Review"/>
    <x v="10"/>
  </r>
  <r>
    <x v="436"/>
    <s v="2025-09-01"/>
    <x v="2"/>
    <x v="271"/>
    <x v="2"/>
    <s v="B"/>
    <x v="0"/>
    <x v="4"/>
    <s v="EUR"/>
    <n v="181315.44"/>
    <n v="1716.04"/>
    <n v="308.89"/>
    <n v="127.08"/>
    <n v="183213.29"/>
    <n v="947067.05"/>
    <n v="318"/>
    <x v="1"/>
    <s v="Pending"/>
    <x v="2"/>
    <s v="Verified"/>
    <x v="11"/>
  </r>
  <r>
    <x v="437"/>
    <s v="2025-06-21"/>
    <x v="1"/>
    <x v="424"/>
    <x v="0"/>
    <s v="B"/>
    <x v="3"/>
    <x v="0"/>
    <s v="USD"/>
    <n v="42103.66"/>
    <n v="52.79"/>
    <n v="9.5"/>
    <n v="51.61"/>
    <n v="42114.34"/>
    <n v="955486.04"/>
    <n v="768"/>
    <x v="0"/>
    <s v="Failed"/>
    <x v="2"/>
    <s v="Review"/>
    <x v="10"/>
  </r>
  <r>
    <x v="438"/>
    <s v="2025-09-20"/>
    <x v="2"/>
    <x v="425"/>
    <x v="3"/>
    <s v="A"/>
    <x v="0"/>
    <x v="0"/>
    <s v="USD"/>
    <n v="98001.07"/>
    <n v="1529.3"/>
    <n v="275.27"/>
    <n v="400.61"/>
    <n v="99405.03"/>
    <n v="957073.01"/>
    <n v="718"/>
    <x v="2"/>
    <s v="Pending"/>
    <x v="1"/>
    <s v="Verified"/>
    <x v="11"/>
  </r>
  <r>
    <x v="439"/>
    <s v="2025-08-25"/>
    <x v="1"/>
    <x v="426"/>
    <x v="1"/>
    <s v="C"/>
    <x v="3"/>
    <x v="4"/>
    <s v="EUR"/>
    <n v="145778.1"/>
    <n v="1569.96"/>
    <n v="282.58999999999997"/>
    <n v="437.33"/>
    <n v="147193.32"/>
    <n v="956354.59"/>
    <n v="644"/>
    <x v="0"/>
    <s v="Failed"/>
    <x v="0"/>
    <s v="Review"/>
    <x v="8"/>
  </r>
  <r>
    <x v="440"/>
    <s v="2025-09-29"/>
    <x v="0"/>
    <x v="427"/>
    <x v="1"/>
    <s v="A"/>
    <x v="0"/>
    <x v="0"/>
    <s v="INR"/>
    <n v="87977.94"/>
    <n v="164.12"/>
    <n v="29.54"/>
    <n v="301.86"/>
    <n v="87869.74"/>
    <n v="962897.57"/>
    <n v="787"/>
    <x v="0"/>
    <s v="Completed"/>
    <x v="0"/>
    <s v="None"/>
    <x v="11"/>
  </r>
  <r>
    <x v="441"/>
    <s v="2025-09-02"/>
    <x v="0"/>
    <x v="428"/>
    <x v="1"/>
    <s v="D"/>
    <x v="1"/>
    <x v="4"/>
    <s v="INR"/>
    <n v="45513.06"/>
    <n v="693.89"/>
    <n v="124.9"/>
    <n v="137.51"/>
    <n v="46194.34"/>
    <n v="965497.19"/>
    <n v="829"/>
    <x v="2"/>
    <s v="Pending"/>
    <x v="1"/>
    <s v="Review"/>
    <x v="11"/>
  </r>
  <r>
    <x v="442"/>
    <s v="2025-01-10"/>
    <x v="0"/>
    <x v="429"/>
    <x v="3"/>
    <s v="D"/>
    <x v="1"/>
    <x v="1"/>
    <s v="EUR"/>
    <n v="121678.96"/>
    <n v="1900.72"/>
    <n v="342.13"/>
    <n v="20.190000000000001"/>
    <n v="123901.62"/>
    <n v="961300.9"/>
    <n v="708"/>
    <x v="0"/>
    <s v="Completed"/>
    <x v="3"/>
    <s v="None"/>
    <x v="4"/>
  </r>
  <r>
    <x v="443"/>
    <s v="2025-07-25"/>
    <x v="0"/>
    <x v="430"/>
    <x v="3"/>
    <s v="C"/>
    <x v="3"/>
    <x v="2"/>
    <s v="INR"/>
    <n v="170441.41"/>
    <n v="407.34"/>
    <n v="73.319999999999993"/>
    <n v="388.83"/>
    <n v="170533.24"/>
    <n v="958435.48"/>
    <n v="809"/>
    <x v="1"/>
    <s v="Completed"/>
    <x v="0"/>
    <s v="None"/>
    <x v="7"/>
  </r>
  <r>
    <x v="444"/>
    <s v="2025-03-03"/>
    <x v="2"/>
    <x v="431"/>
    <x v="3"/>
    <s v="A"/>
    <x v="0"/>
    <x v="3"/>
    <s v="USD"/>
    <n v="178857.56"/>
    <n v="2518.83"/>
    <n v="453.39"/>
    <n v="416.26"/>
    <n v="181413.52"/>
    <n v="958111.69"/>
    <n v="825"/>
    <x v="1"/>
    <s v="Completed"/>
    <x v="0"/>
    <s v="Review"/>
    <x v="3"/>
  </r>
  <r>
    <x v="445"/>
    <s v="2025-06-21"/>
    <x v="1"/>
    <x v="432"/>
    <x v="1"/>
    <s v="D"/>
    <x v="1"/>
    <x v="0"/>
    <s v="EUR"/>
    <n v="140972.88"/>
    <n v="2242.36"/>
    <n v="403.62"/>
    <n v="304.72000000000003"/>
    <n v="143314.14000000001"/>
    <n v="967416.74"/>
    <n v="621"/>
    <x v="1"/>
    <s v="Failed"/>
    <x v="1"/>
    <s v="Review"/>
    <x v="10"/>
  </r>
  <r>
    <x v="446"/>
    <s v="2025-02-05"/>
    <x v="1"/>
    <x v="433"/>
    <x v="3"/>
    <s v="C"/>
    <x v="2"/>
    <x v="4"/>
    <s v="INR"/>
    <n v="195792.83"/>
    <n v="1697.29"/>
    <n v="305.51"/>
    <n v="224.04"/>
    <n v="197571.59"/>
    <n v="976744.76"/>
    <n v="455"/>
    <x v="2"/>
    <s v="Completed"/>
    <x v="0"/>
    <s v="Verified"/>
    <x v="0"/>
  </r>
  <r>
    <x v="447"/>
    <s v="2025-09-16"/>
    <x v="0"/>
    <x v="434"/>
    <x v="3"/>
    <s v="A"/>
    <x v="3"/>
    <x v="1"/>
    <s v="INR"/>
    <n v="79299.789999999994"/>
    <n v="696.28"/>
    <n v="125.33"/>
    <n v="231.31"/>
    <n v="79890.09"/>
    <n v="984449.86"/>
    <n v="472"/>
    <x v="0"/>
    <s v="Pending"/>
    <x v="1"/>
    <s v="None"/>
    <x v="11"/>
  </r>
  <r>
    <x v="448"/>
    <s v="2025-11-07"/>
    <x v="1"/>
    <x v="435"/>
    <x v="0"/>
    <s v="C"/>
    <x v="1"/>
    <x v="3"/>
    <s v="INR"/>
    <n v="12926.55"/>
    <n v="51.56"/>
    <n v="9.2799999999999994"/>
    <n v="441.78"/>
    <n v="12545.61"/>
    <n v="981272.27"/>
    <n v="429"/>
    <x v="1"/>
    <s v="Failed"/>
    <x v="1"/>
    <s v="Verified"/>
    <x v="1"/>
  </r>
  <r>
    <x v="449"/>
    <s v="2025-12-29"/>
    <x v="2"/>
    <x v="436"/>
    <x v="1"/>
    <s v="B"/>
    <x v="2"/>
    <x v="2"/>
    <s v="USD"/>
    <n v="154676.56"/>
    <n v="872.49"/>
    <n v="157.05000000000001"/>
    <n v="485.22"/>
    <n v="155220.88"/>
    <n v="978572.91"/>
    <n v="872"/>
    <x v="2"/>
    <s v="Completed"/>
    <x v="2"/>
    <s v="None"/>
    <x v="9"/>
  </r>
  <r>
    <x v="450"/>
    <s v="2025-07-05"/>
    <x v="1"/>
    <x v="437"/>
    <x v="0"/>
    <s v="A"/>
    <x v="3"/>
    <x v="0"/>
    <s v="INR"/>
    <n v="131428.91"/>
    <n v="149.75"/>
    <n v="26.95"/>
    <n v="268.67"/>
    <n v="131336.94"/>
    <n v="986927.05"/>
    <n v="408"/>
    <x v="1"/>
    <s v="Pending"/>
    <x v="0"/>
    <s v="None"/>
    <x v="7"/>
  </r>
  <r>
    <x v="451"/>
    <s v="2025-10-11"/>
    <x v="1"/>
    <x v="438"/>
    <x v="0"/>
    <s v="D"/>
    <x v="1"/>
    <x v="2"/>
    <s v="USD"/>
    <n v="21775.14"/>
    <n v="418.52"/>
    <n v="75.33"/>
    <n v="486.6"/>
    <n v="21782.39"/>
    <n v="988641.55"/>
    <n v="534"/>
    <x v="1"/>
    <s v="Failed"/>
    <x v="2"/>
    <s v="Review"/>
    <x v="6"/>
  </r>
  <r>
    <x v="452"/>
    <s v="2025-08-09"/>
    <x v="1"/>
    <x v="439"/>
    <x v="3"/>
    <s v="A"/>
    <x v="2"/>
    <x v="2"/>
    <s v="EUR"/>
    <n v="27740.76"/>
    <n v="479.16"/>
    <n v="86.25"/>
    <n v="475.57"/>
    <n v="27830.6"/>
    <n v="990957.6"/>
    <n v="388"/>
    <x v="2"/>
    <s v="Completed"/>
    <x v="2"/>
    <s v="Review"/>
    <x v="8"/>
  </r>
  <r>
    <x v="453"/>
    <s v="2025-03-30"/>
    <x v="0"/>
    <x v="440"/>
    <x v="2"/>
    <s v="C"/>
    <x v="0"/>
    <x v="3"/>
    <s v="USD"/>
    <n v="46701.26"/>
    <n v="65.33"/>
    <n v="11.76"/>
    <n v="161.11000000000001"/>
    <n v="46617.24"/>
    <n v="994222.66"/>
    <n v="441"/>
    <x v="2"/>
    <s v="Pending"/>
    <x v="2"/>
    <s v="Verified"/>
    <x v="3"/>
  </r>
  <r>
    <x v="454"/>
    <s v="2025-11-27"/>
    <x v="2"/>
    <x v="441"/>
    <x v="3"/>
    <s v="A"/>
    <x v="2"/>
    <x v="0"/>
    <s v="EUR"/>
    <n v="66254.33"/>
    <n v="320.89999999999998"/>
    <n v="57.76"/>
    <n v="380.96"/>
    <n v="66252.03"/>
    <n v="1000413.69"/>
    <n v="494"/>
    <x v="0"/>
    <s v="Failed"/>
    <x v="1"/>
    <s v="None"/>
    <x v="1"/>
  </r>
  <r>
    <x v="455"/>
    <s v="2025-10-30"/>
    <x v="2"/>
    <x v="265"/>
    <x v="1"/>
    <s v="B"/>
    <x v="0"/>
    <x v="0"/>
    <s v="USD"/>
    <n v="158227.46"/>
    <n v="529.37"/>
    <n v="95.29"/>
    <n v="58.32"/>
    <n v="158793.79999999999"/>
    <n v="1007102.77"/>
    <n v="386"/>
    <x v="1"/>
    <s v="Failed"/>
    <x v="1"/>
    <s v="Verified"/>
    <x v="6"/>
  </r>
  <r>
    <x v="456"/>
    <s v="2025-09-16"/>
    <x v="2"/>
    <x v="442"/>
    <x v="1"/>
    <s v="A"/>
    <x v="2"/>
    <x v="0"/>
    <s v="EUR"/>
    <n v="122259.7"/>
    <n v="1527.55"/>
    <n v="274.95999999999998"/>
    <n v="283.58"/>
    <n v="123778.63"/>
    <n v="1011707.74"/>
    <n v="461"/>
    <x v="2"/>
    <s v="Failed"/>
    <x v="1"/>
    <s v="Review"/>
    <x v="11"/>
  </r>
  <r>
    <x v="457"/>
    <s v="2025-10-19"/>
    <x v="0"/>
    <x v="443"/>
    <x v="2"/>
    <s v="C"/>
    <x v="2"/>
    <x v="3"/>
    <s v="EUR"/>
    <n v="191686.08"/>
    <n v="3672.06"/>
    <n v="660.97"/>
    <n v="332.19"/>
    <n v="195686.92"/>
    <n v="1010322.51"/>
    <n v="301"/>
    <x v="0"/>
    <s v="Pending"/>
    <x v="3"/>
    <s v="Verified"/>
    <x v="6"/>
  </r>
  <r>
    <x v="458"/>
    <s v="2025-03-02"/>
    <x v="0"/>
    <x v="444"/>
    <x v="2"/>
    <s v="C"/>
    <x v="0"/>
    <x v="1"/>
    <s v="EUR"/>
    <n v="134768.25"/>
    <n v="1083.51"/>
    <n v="195.03"/>
    <n v="380.33"/>
    <n v="135666.46"/>
    <n v="1010660.39"/>
    <n v="321"/>
    <x v="1"/>
    <s v="Completed"/>
    <x v="2"/>
    <s v="Verified"/>
    <x v="3"/>
  </r>
  <r>
    <x v="459"/>
    <s v="2025-01-29"/>
    <x v="0"/>
    <x v="445"/>
    <x v="3"/>
    <s v="B"/>
    <x v="2"/>
    <x v="0"/>
    <s v="USD"/>
    <n v="194551.3"/>
    <n v="1900.08"/>
    <n v="342.01"/>
    <n v="243.42"/>
    <n v="196549.97"/>
    <n v="1013205.5"/>
    <n v="809"/>
    <x v="0"/>
    <s v="Completed"/>
    <x v="2"/>
    <s v="Verified"/>
    <x v="4"/>
  </r>
  <r>
    <x v="460"/>
    <s v="2025-06-10"/>
    <x v="1"/>
    <x v="446"/>
    <x v="3"/>
    <s v="C"/>
    <x v="2"/>
    <x v="1"/>
    <s v="EUR"/>
    <n v="135690.96"/>
    <n v="2095.75"/>
    <n v="377.24"/>
    <n v="449.08"/>
    <n v="137714.87"/>
    <n v="1018608.52"/>
    <n v="531"/>
    <x v="2"/>
    <s v="Pending"/>
    <x v="2"/>
    <s v="Verified"/>
    <x v="10"/>
  </r>
  <r>
    <x v="461"/>
    <s v="2025-11-14"/>
    <x v="0"/>
    <x v="447"/>
    <x v="2"/>
    <s v="C"/>
    <x v="0"/>
    <x v="0"/>
    <s v="USD"/>
    <n v="102523.66"/>
    <n v="1933.83"/>
    <n v="348.09"/>
    <n v="339.17"/>
    <n v="104466.41"/>
    <n v="1028594.8"/>
    <n v="800"/>
    <x v="2"/>
    <s v="Pending"/>
    <x v="3"/>
    <s v="Verified"/>
    <x v="1"/>
  </r>
  <r>
    <x v="462"/>
    <s v="2025-09-28"/>
    <x v="0"/>
    <x v="448"/>
    <x v="3"/>
    <s v="B"/>
    <x v="3"/>
    <x v="4"/>
    <s v="USD"/>
    <n v="113409.61"/>
    <n v="651.97"/>
    <n v="117.35"/>
    <n v="52.24"/>
    <n v="114126.69"/>
    <n v="1027945.71"/>
    <n v="871"/>
    <x v="0"/>
    <s v="Pending"/>
    <x v="0"/>
    <s v="Verified"/>
    <x v="11"/>
  </r>
  <r>
    <x v="463"/>
    <s v="2025-12-12"/>
    <x v="2"/>
    <x v="449"/>
    <x v="3"/>
    <s v="A"/>
    <x v="2"/>
    <x v="0"/>
    <s v="USD"/>
    <n v="2868.63"/>
    <n v="54.95"/>
    <n v="9.89"/>
    <n v="363.75"/>
    <n v="2569.7199999999998"/>
    <n v="1037482.83"/>
    <n v="532"/>
    <x v="2"/>
    <s v="Pending"/>
    <x v="3"/>
    <s v="Review"/>
    <x v="9"/>
  </r>
  <r>
    <x v="464"/>
    <s v="2025-01-23"/>
    <x v="0"/>
    <x v="450"/>
    <x v="2"/>
    <s v="A"/>
    <x v="1"/>
    <x v="1"/>
    <s v="INR"/>
    <n v="109016.5"/>
    <n v="908.87"/>
    <n v="163.6"/>
    <n v="347.46"/>
    <n v="109741.51"/>
    <n v="1035217.49"/>
    <n v="898"/>
    <x v="1"/>
    <s v="Failed"/>
    <x v="1"/>
    <s v="None"/>
    <x v="4"/>
  </r>
  <r>
    <x v="465"/>
    <s v="2025-10-23"/>
    <x v="1"/>
    <x v="451"/>
    <x v="1"/>
    <s v="C"/>
    <x v="0"/>
    <x v="2"/>
    <s v="EUR"/>
    <n v="169516.27"/>
    <n v="566.73"/>
    <n v="102.01"/>
    <n v="362.91"/>
    <n v="169822.1"/>
    <n v="1042498.18"/>
    <n v="678"/>
    <x v="2"/>
    <s v="Failed"/>
    <x v="2"/>
    <s v="Review"/>
    <x v="6"/>
  </r>
  <r>
    <x v="466"/>
    <s v="2025-12-15"/>
    <x v="1"/>
    <x v="452"/>
    <x v="3"/>
    <s v="D"/>
    <x v="0"/>
    <x v="4"/>
    <s v="USD"/>
    <n v="129571.63"/>
    <n v="2159.6999999999998"/>
    <n v="388.75"/>
    <n v="220.9"/>
    <n v="131899.18"/>
    <n v="1043854.39"/>
    <n v="721"/>
    <x v="2"/>
    <s v="Failed"/>
    <x v="0"/>
    <s v="Verified"/>
    <x v="9"/>
  </r>
  <r>
    <x v="467"/>
    <s v="2025-03-25"/>
    <x v="2"/>
    <x v="453"/>
    <x v="0"/>
    <s v="A"/>
    <x v="0"/>
    <x v="4"/>
    <s v="EUR"/>
    <n v="160746.1"/>
    <n v="2867.5"/>
    <n v="516.15"/>
    <n v="349.73"/>
    <n v="163780.01999999999"/>
    <n v="1040328.97"/>
    <n v="660"/>
    <x v="1"/>
    <s v="Pending"/>
    <x v="1"/>
    <s v="Verified"/>
    <x v="3"/>
  </r>
  <r>
    <x v="468"/>
    <s v="2025-03-31"/>
    <x v="0"/>
    <x v="454"/>
    <x v="2"/>
    <s v="A"/>
    <x v="3"/>
    <x v="2"/>
    <s v="EUR"/>
    <n v="6969.57"/>
    <n v="112.76"/>
    <n v="20.3"/>
    <n v="205.34"/>
    <n v="6897.29"/>
    <n v="1036388.2"/>
    <n v="469"/>
    <x v="0"/>
    <s v="Failed"/>
    <x v="2"/>
    <s v="Verified"/>
    <x v="3"/>
  </r>
  <r>
    <x v="469"/>
    <s v="2025-06-16"/>
    <x v="2"/>
    <x v="455"/>
    <x v="1"/>
    <s v="A"/>
    <x v="0"/>
    <x v="4"/>
    <s v="INR"/>
    <n v="124504.93"/>
    <n v="2145.31"/>
    <n v="386.16"/>
    <n v="131.57"/>
    <n v="126904.83"/>
    <n v="1043404.92"/>
    <n v="576"/>
    <x v="2"/>
    <s v="Completed"/>
    <x v="3"/>
    <s v="Review"/>
    <x v="10"/>
  </r>
  <r>
    <x v="470"/>
    <s v="2025-05-03"/>
    <x v="1"/>
    <x v="456"/>
    <x v="1"/>
    <s v="C"/>
    <x v="0"/>
    <x v="2"/>
    <s v="INR"/>
    <n v="125500.43"/>
    <n v="388.51"/>
    <n v="69.930000000000007"/>
    <n v="240.48"/>
    <n v="125718.39"/>
    <n v="1039892.48"/>
    <n v="758"/>
    <x v="1"/>
    <s v="Completed"/>
    <x v="3"/>
    <s v="None"/>
    <x v="5"/>
  </r>
  <r>
    <x v="471"/>
    <s v="2025-12-15"/>
    <x v="0"/>
    <x v="457"/>
    <x v="0"/>
    <s v="A"/>
    <x v="3"/>
    <x v="3"/>
    <s v="USD"/>
    <n v="175719.1"/>
    <n v="350.31"/>
    <n v="63.06"/>
    <n v="293.3"/>
    <n v="175839.17"/>
    <n v="1038792.19"/>
    <n v="527"/>
    <x v="2"/>
    <s v="Completed"/>
    <x v="2"/>
    <s v="None"/>
    <x v="9"/>
  </r>
  <r>
    <x v="472"/>
    <s v="2025-02-23"/>
    <x v="2"/>
    <x v="458"/>
    <x v="0"/>
    <s v="B"/>
    <x v="3"/>
    <x v="1"/>
    <s v="USD"/>
    <n v="121821.77"/>
    <n v="2334.14"/>
    <n v="420.15"/>
    <n v="495.34"/>
    <n v="124080.72"/>
    <n v="1036632.28"/>
    <n v="424"/>
    <x v="2"/>
    <s v="Completed"/>
    <x v="0"/>
    <s v="Review"/>
    <x v="0"/>
  </r>
  <r>
    <x v="473"/>
    <s v="2025-04-16"/>
    <x v="1"/>
    <x v="459"/>
    <x v="1"/>
    <s v="B"/>
    <x v="0"/>
    <x v="0"/>
    <s v="EUR"/>
    <n v="122039.67999999999"/>
    <n v="2012.27"/>
    <n v="362.21"/>
    <n v="243.73"/>
    <n v="124170.43"/>
    <n v="1032832.81"/>
    <n v="438"/>
    <x v="1"/>
    <s v="Completed"/>
    <x v="3"/>
    <s v="Review"/>
    <x v="2"/>
  </r>
  <r>
    <x v="474"/>
    <s v="2025-06-18"/>
    <x v="0"/>
    <x v="460"/>
    <x v="2"/>
    <s v="B"/>
    <x v="0"/>
    <x v="3"/>
    <s v="USD"/>
    <n v="48519.86"/>
    <n v="865.01"/>
    <n v="155.69999999999999"/>
    <n v="220.7"/>
    <n v="49319.87"/>
    <n v="1036552.3"/>
    <n v="393"/>
    <x v="0"/>
    <s v="Failed"/>
    <x v="2"/>
    <s v="None"/>
    <x v="10"/>
  </r>
  <r>
    <x v="475"/>
    <s v="2025-06-22"/>
    <x v="0"/>
    <x v="461"/>
    <x v="0"/>
    <s v="D"/>
    <x v="2"/>
    <x v="0"/>
    <s v="INR"/>
    <n v="18125.939999999999"/>
    <n v="169.69"/>
    <n v="30.54"/>
    <n v="43.23"/>
    <n v="18282.939999999999"/>
    <n v="1043070.43"/>
    <n v="729"/>
    <x v="0"/>
    <s v="Failed"/>
    <x v="2"/>
    <s v="None"/>
    <x v="10"/>
  </r>
  <r>
    <x v="476"/>
    <s v="2025-03-12"/>
    <x v="1"/>
    <x v="462"/>
    <x v="0"/>
    <s v="C"/>
    <x v="1"/>
    <x v="2"/>
    <s v="USD"/>
    <n v="85960.99"/>
    <n v="1034.98"/>
    <n v="186.3"/>
    <n v="453.71"/>
    <n v="86728.56"/>
    <n v="1045841.44"/>
    <n v="781"/>
    <x v="2"/>
    <s v="Pending"/>
    <x v="0"/>
    <s v="Verified"/>
    <x v="3"/>
  </r>
  <r>
    <x v="477"/>
    <s v="2025-04-20"/>
    <x v="1"/>
    <x v="463"/>
    <x v="1"/>
    <s v="B"/>
    <x v="2"/>
    <x v="4"/>
    <s v="USD"/>
    <n v="41852.129999999997"/>
    <n v="614.19000000000005"/>
    <n v="110.55"/>
    <n v="223.96"/>
    <n v="42352.91"/>
    <n v="1051458.05"/>
    <n v="337"/>
    <x v="1"/>
    <s v="Failed"/>
    <x v="2"/>
    <s v="Verified"/>
    <x v="2"/>
  </r>
  <r>
    <x v="478"/>
    <s v="2025-11-21"/>
    <x v="0"/>
    <x v="464"/>
    <x v="3"/>
    <s v="B"/>
    <x v="3"/>
    <x v="1"/>
    <s v="USD"/>
    <n v="102470.48"/>
    <n v="1472.71"/>
    <n v="265.08999999999997"/>
    <n v="341.99"/>
    <n v="103866.29"/>
    <n v="1054522.47"/>
    <n v="402"/>
    <x v="2"/>
    <s v="Pending"/>
    <x v="1"/>
    <s v="Verified"/>
    <x v="1"/>
  </r>
  <r>
    <x v="479"/>
    <s v="2025-08-23"/>
    <x v="0"/>
    <x v="465"/>
    <x v="2"/>
    <s v="D"/>
    <x v="1"/>
    <x v="3"/>
    <s v="USD"/>
    <n v="167287.28"/>
    <n v="2841.23"/>
    <n v="511.42"/>
    <n v="478.33"/>
    <n v="170161.6"/>
    <n v="1057990.22"/>
    <n v="519"/>
    <x v="1"/>
    <s v="Completed"/>
    <x v="0"/>
    <s v="Verified"/>
    <x v="8"/>
  </r>
  <r>
    <x v="480"/>
    <s v="2025-02-09"/>
    <x v="0"/>
    <x v="466"/>
    <x v="3"/>
    <s v="D"/>
    <x v="2"/>
    <x v="1"/>
    <s v="INR"/>
    <n v="118127.22"/>
    <n v="2095.4299999999998"/>
    <n v="377.18"/>
    <n v="374.57"/>
    <n v="120225.26"/>
    <n v="1059471.8799999999"/>
    <n v="827"/>
    <x v="1"/>
    <s v="Failed"/>
    <x v="2"/>
    <s v="None"/>
    <x v="0"/>
  </r>
  <r>
    <x v="481"/>
    <s v="2025-03-03"/>
    <x v="1"/>
    <x v="467"/>
    <x v="2"/>
    <s v="A"/>
    <x v="1"/>
    <x v="3"/>
    <s v="EUR"/>
    <n v="95292.62"/>
    <n v="575.73"/>
    <n v="103.63"/>
    <n v="191.23"/>
    <n v="95780.75"/>
    <n v="1062191.07"/>
    <n v="699"/>
    <x v="0"/>
    <s v="Completed"/>
    <x v="2"/>
    <s v="None"/>
    <x v="3"/>
  </r>
  <r>
    <x v="482"/>
    <s v="2025-01-14"/>
    <x v="0"/>
    <x v="388"/>
    <x v="2"/>
    <s v="A"/>
    <x v="3"/>
    <x v="1"/>
    <s v="EUR"/>
    <n v="174094.19"/>
    <n v="1281.96"/>
    <n v="230.75"/>
    <n v="99.73"/>
    <n v="175507.17"/>
    <n v="1066543.56"/>
    <n v="361"/>
    <x v="0"/>
    <s v="Completed"/>
    <x v="1"/>
    <s v="None"/>
    <x v="4"/>
  </r>
  <r>
    <x v="483"/>
    <s v="2025-10-04"/>
    <x v="0"/>
    <x v="468"/>
    <x v="2"/>
    <s v="B"/>
    <x v="3"/>
    <x v="0"/>
    <s v="USD"/>
    <n v="66236.509999999995"/>
    <n v="327.48"/>
    <n v="58.95"/>
    <n v="365.36"/>
    <n v="66257.58"/>
    <n v="1068293.67"/>
    <n v="631"/>
    <x v="1"/>
    <s v="Pending"/>
    <x v="3"/>
    <s v="Verified"/>
    <x v="6"/>
  </r>
  <r>
    <x v="484"/>
    <s v="2025-05-26"/>
    <x v="0"/>
    <x v="469"/>
    <x v="1"/>
    <s v="A"/>
    <x v="1"/>
    <x v="4"/>
    <s v="INR"/>
    <n v="149603.75"/>
    <n v="418.51"/>
    <n v="75.33"/>
    <n v="194.04"/>
    <n v="149903.54999999999"/>
    <n v="1064559.3799999999"/>
    <n v="793"/>
    <x v="2"/>
    <s v="Completed"/>
    <x v="3"/>
    <s v="None"/>
    <x v="5"/>
  </r>
  <r>
    <x v="485"/>
    <s v="2025-04-21"/>
    <x v="1"/>
    <x v="260"/>
    <x v="3"/>
    <s v="C"/>
    <x v="0"/>
    <x v="1"/>
    <s v="USD"/>
    <n v="61013.23"/>
    <n v="189.1"/>
    <n v="34.04"/>
    <n v="24.28"/>
    <n v="61212.09"/>
    <n v="1067558.3899999999"/>
    <n v="887"/>
    <x v="2"/>
    <s v="Failed"/>
    <x v="2"/>
    <s v="None"/>
    <x v="2"/>
  </r>
  <r>
    <x v="486"/>
    <s v="2025-04-25"/>
    <x v="1"/>
    <x v="470"/>
    <x v="0"/>
    <s v="C"/>
    <x v="3"/>
    <x v="2"/>
    <s v="USD"/>
    <n v="191395.18"/>
    <n v="1623.46"/>
    <n v="292.22000000000003"/>
    <n v="153.91"/>
    <n v="193156.95"/>
    <n v="1071844.1399999999"/>
    <n v="862"/>
    <x v="1"/>
    <s v="Pending"/>
    <x v="0"/>
    <s v="Review"/>
    <x v="2"/>
  </r>
  <r>
    <x v="487"/>
    <s v="2025-06-02"/>
    <x v="1"/>
    <x v="471"/>
    <x v="1"/>
    <s v="C"/>
    <x v="0"/>
    <x v="2"/>
    <s v="INR"/>
    <n v="151575.28"/>
    <n v="2319.5100000000002"/>
    <n v="417.51"/>
    <n v="160.21"/>
    <n v="154152.09"/>
    <n v="1081529.83"/>
    <n v="342"/>
    <x v="0"/>
    <s v="Failed"/>
    <x v="2"/>
    <s v="Verified"/>
    <x v="10"/>
  </r>
  <r>
    <x v="488"/>
    <s v="2025-09-25"/>
    <x v="0"/>
    <x v="472"/>
    <x v="1"/>
    <s v="B"/>
    <x v="3"/>
    <x v="3"/>
    <s v="USD"/>
    <n v="84654.16"/>
    <n v="138.69999999999999"/>
    <n v="24.97"/>
    <n v="404.25"/>
    <n v="84413.58"/>
    <n v="1085713.6200000001"/>
    <n v="857"/>
    <x v="0"/>
    <s v="Failed"/>
    <x v="2"/>
    <s v="Review"/>
    <x v="11"/>
  </r>
  <r>
    <x v="489"/>
    <s v="2025-06-19"/>
    <x v="0"/>
    <x v="473"/>
    <x v="2"/>
    <s v="A"/>
    <x v="2"/>
    <x v="3"/>
    <s v="USD"/>
    <n v="106114.75"/>
    <n v="902.14"/>
    <n v="162.38999999999999"/>
    <n v="421.29"/>
    <n v="106757.99"/>
    <n v="1083723.45"/>
    <n v="572"/>
    <x v="2"/>
    <s v="Completed"/>
    <x v="0"/>
    <s v="Verified"/>
    <x v="10"/>
  </r>
  <r>
    <x v="490"/>
    <s v="2025-08-19"/>
    <x v="1"/>
    <x v="474"/>
    <x v="2"/>
    <s v="B"/>
    <x v="3"/>
    <x v="3"/>
    <s v="INR"/>
    <n v="99112.31"/>
    <n v="742.14"/>
    <n v="133.59"/>
    <n v="245.21"/>
    <n v="99742.83"/>
    <n v="1087417.1200000001"/>
    <n v="390"/>
    <x v="2"/>
    <s v="Completed"/>
    <x v="0"/>
    <s v="Review"/>
    <x v="8"/>
  </r>
  <r>
    <x v="491"/>
    <s v="2025-01-14"/>
    <x v="0"/>
    <x v="475"/>
    <x v="0"/>
    <s v="D"/>
    <x v="2"/>
    <x v="2"/>
    <s v="EUR"/>
    <n v="105304.03"/>
    <n v="1114.73"/>
    <n v="200.65"/>
    <n v="450.11"/>
    <n v="106169.3"/>
    <n v="1084809.72"/>
    <n v="626"/>
    <x v="0"/>
    <s v="Failed"/>
    <x v="2"/>
    <s v="Verified"/>
    <x v="4"/>
  </r>
  <r>
    <x v="492"/>
    <s v="2025-06-03"/>
    <x v="2"/>
    <x v="476"/>
    <x v="1"/>
    <s v="D"/>
    <x v="0"/>
    <x v="2"/>
    <s v="EUR"/>
    <n v="49110.02"/>
    <n v="599.73"/>
    <n v="107.95"/>
    <n v="120.8"/>
    <n v="49696.9"/>
    <n v="1083283.98"/>
    <n v="492"/>
    <x v="0"/>
    <s v="Failed"/>
    <x v="2"/>
    <s v="None"/>
    <x v="10"/>
  </r>
  <r>
    <x v="493"/>
    <s v="2025-06-14"/>
    <x v="0"/>
    <x v="294"/>
    <x v="0"/>
    <s v="A"/>
    <x v="3"/>
    <x v="1"/>
    <s v="USD"/>
    <n v="128803.49"/>
    <n v="303.07"/>
    <n v="54.55"/>
    <n v="173.1"/>
    <n v="128988.01"/>
    <n v="1091785.6399999999"/>
    <n v="688"/>
    <x v="1"/>
    <s v="Failed"/>
    <x v="1"/>
    <s v="Verified"/>
    <x v="10"/>
  </r>
  <r>
    <x v="494"/>
    <s v="2025-12-30"/>
    <x v="1"/>
    <x v="477"/>
    <x v="3"/>
    <s v="A"/>
    <x v="1"/>
    <x v="2"/>
    <s v="USD"/>
    <n v="154605.82999999999"/>
    <n v="1885.85"/>
    <n v="339.45"/>
    <n v="220.52"/>
    <n v="156610.60999999999"/>
    <n v="1098398.95"/>
    <n v="696"/>
    <x v="2"/>
    <s v="Failed"/>
    <x v="2"/>
    <s v="Review"/>
    <x v="9"/>
  </r>
  <r>
    <x v="495"/>
    <s v="2025-12-22"/>
    <x v="1"/>
    <x v="478"/>
    <x v="0"/>
    <s v="D"/>
    <x v="3"/>
    <x v="4"/>
    <s v="INR"/>
    <n v="3428.56"/>
    <n v="39.03"/>
    <n v="7.03"/>
    <n v="127.75"/>
    <n v="3346.87"/>
    <n v="1094821.7"/>
    <n v="388"/>
    <x v="1"/>
    <s v="Failed"/>
    <x v="2"/>
    <s v="Verified"/>
    <x v="9"/>
  </r>
  <r>
    <x v="496"/>
    <s v="2025-05-19"/>
    <x v="2"/>
    <x v="479"/>
    <x v="0"/>
    <s v="A"/>
    <x v="3"/>
    <x v="0"/>
    <s v="INR"/>
    <n v="39663.050000000003"/>
    <n v="359.51"/>
    <n v="64.709999999999994"/>
    <n v="432.63"/>
    <n v="39654.639999999999"/>
    <n v="1095517.6599999999"/>
    <n v="637"/>
    <x v="2"/>
    <s v="Completed"/>
    <x v="3"/>
    <s v="Verified"/>
    <x v="5"/>
  </r>
  <r>
    <x v="497"/>
    <s v="2025-05-08"/>
    <x v="0"/>
    <x v="480"/>
    <x v="0"/>
    <s v="B"/>
    <x v="2"/>
    <x v="0"/>
    <s v="USD"/>
    <n v="152469.82"/>
    <n v="2326.3000000000002"/>
    <n v="418.73"/>
    <n v="390.58"/>
    <n v="154824.26999999999"/>
    <n v="1096710.5900000001"/>
    <n v="398"/>
    <x v="0"/>
    <s v="Pending"/>
    <x v="1"/>
    <s v="Verified"/>
    <x v="5"/>
  </r>
  <r>
    <x v="498"/>
    <s v="2025-10-10"/>
    <x v="0"/>
    <x v="481"/>
    <x v="3"/>
    <s v="B"/>
    <x v="2"/>
    <x v="4"/>
    <s v="INR"/>
    <n v="115663.46"/>
    <n v="1772.1"/>
    <n v="318.98"/>
    <n v="343.67"/>
    <n v="117410.87"/>
    <n v="1095360.6000000001"/>
    <n v="543"/>
    <x v="0"/>
    <s v="Failed"/>
    <x v="3"/>
    <s v="Review"/>
    <x v="6"/>
  </r>
  <r>
    <x v="499"/>
    <s v="2025-05-07"/>
    <x v="2"/>
    <x v="482"/>
    <x v="2"/>
    <s v="D"/>
    <x v="0"/>
    <x v="3"/>
    <s v="INR"/>
    <n v="191739.31"/>
    <n v="1563.93"/>
    <n v="281.51"/>
    <n v="27.68"/>
    <n v="193557.07"/>
    <n v="1098376.1399999999"/>
    <n v="795"/>
    <x v="2"/>
    <s v="Completed"/>
    <x v="0"/>
    <s v="None"/>
    <x v="5"/>
  </r>
  <r>
    <x v="500"/>
    <s v="2025-09-30"/>
    <x v="2"/>
    <x v="483"/>
    <x v="0"/>
    <s v="D"/>
    <x v="0"/>
    <x v="1"/>
    <s v="USD"/>
    <n v="37868.39"/>
    <n v="750.27"/>
    <n v="135.05000000000001"/>
    <n v="377.15"/>
    <n v="38376.559999999998"/>
    <n v="1104872.42"/>
    <n v="873"/>
    <x v="2"/>
    <s v="Completed"/>
    <x v="2"/>
    <s v="Verified"/>
    <x v="11"/>
  </r>
  <r>
    <x v="501"/>
    <s v="2025-05-26"/>
    <x v="1"/>
    <x v="484"/>
    <x v="1"/>
    <s v="C"/>
    <x v="0"/>
    <x v="4"/>
    <s v="INR"/>
    <n v="87645.29"/>
    <n v="803.02"/>
    <n v="144.54"/>
    <n v="326.2"/>
    <n v="88266.65"/>
    <n v="1102155.99"/>
    <n v="784"/>
    <x v="2"/>
    <s v="Pending"/>
    <x v="2"/>
    <s v="Verified"/>
    <x v="5"/>
  </r>
  <r>
    <x v="502"/>
    <s v="2025-06-03"/>
    <x v="2"/>
    <x v="485"/>
    <x v="3"/>
    <s v="B"/>
    <x v="2"/>
    <x v="2"/>
    <s v="USD"/>
    <n v="178821.07"/>
    <n v="3575.5"/>
    <n v="643.59"/>
    <n v="454.41"/>
    <n v="182585.75"/>
    <n v="1099647.6599999999"/>
    <n v="502"/>
    <x v="1"/>
    <s v="Pending"/>
    <x v="0"/>
    <s v="Verified"/>
    <x v="10"/>
  </r>
  <r>
    <x v="503"/>
    <s v="2025-06-24"/>
    <x v="2"/>
    <x v="320"/>
    <x v="3"/>
    <s v="C"/>
    <x v="2"/>
    <x v="2"/>
    <s v="EUR"/>
    <n v="63001.65"/>
    <n v="736.19"/>
    <n v="132.51"/>
    <n v="163.96"/>
    <n v="63706.39"/>
    <n v="1098284.82"/>
    <n v="348"/>
    <x v="1"/>
    <s v="Pending"/>
    <x v="1"/>
    <s v="None"/>
    <x v="10"/>
  </r>
  <r>
    <x v="504"/>
    <s v="2025-07-02"/>
    <x v="2"/>
    <x v="486"/>
    <x v="0"/>
    <s v="D"/>
    <x v="0"/>
    <x v="2"/>
    <s v="EUR"/>
    <n v="155376.87"/>
    <n v="1188.97"/>
    <n v="214.01"/>
    <n v="14.28"/>
    <n v="156765.57"/>
    <n v="1102806.22"/>
    <n v="396"/>
    <x v="1"/>
    <s v="Pending"/>
    <x v="1"/>
    <s v="None"/>
    <x v="7"/>
  </r>
  <r>
    <x v="505"/>
    <s v="2025-09-17"/>
    <x v="0"/>
    <x v="487"/>
    <x v="2"/>
    <s v="B"/>
    <x v="3"/>
    <x v="4"/>
    <s v="USD"/>
    <n v="133292.68"/>
    <n v="840.51"/>
    <n v="151.29"/>
    <n v="33.15"/>
    <n v="134251.32999999999"/>
    <n v="1099553.17"/>
    <n v="361"/>
    <x v="1"/>
    <s v="Failed"/>
    <x v="3"/>
    <s v="Verified"/>
    <x v="11"/>
  </r>
  <r>
    <x v="506"/>
    <s v="2025-02-20"/>
    <x v="2"/>
    <x v="488"/>
    <x v="2"/>
    <s v="B"/>
    <x v="3"/>
    <x v="0"/>
    <s v="EUR"/>
    <n v="50290.57"/>
    <n v="251.71"/>
    <n v="45.31"/>
    <n v="168.92"/>
    <n v="50418.67"/>
    <n v="1094604.6100000001"/>
    <n v="815"/>
    <x v="0"/>
    <s v="Pending"/>
    <x v="3"/>
    <s v="None"/>
    <x v="0"/>
  </r>
  <r>
    <x v="507"/>
    <s v="2025-01-20"/>
    <x v="1"/>
    <x v="489"/>
    <x v="3"/>
    <s v="C"/>
    <x v="3"/>
    <x v="4"/>
    <s v="INR"/>
    <n v="39385.1"/>
    <n v="341.06"/>
    <n v="61.39"/>
    <n v="16.34"/>
    <n v="39771.21"/>
    <n v="1095916.94"/>
    <n v="478"/>
    <x v="2"/>
    <s v="Pending"/>
    <x v="2"/>
    <s v="Review"/>
    <x v="4"/>
  </r>
  <r>
    <x v="508"/>
    <s v="2025-08-14"/>
    <x v="2"/>
    <x v="490"/>
    <x v="2"/>
    <s v="C"/>
    <x v="3"/>
    <x v="4"/>
    <s v="USD"/>
    <n v="126735.76"/>
    <n v="2045.57"/>
    <n v="368.2"/>
    <n v="452.53"/>
    <n v="128697"/>
    <n v="1096197.23"/>
    <n v="630"/>
    <x v="0"/>
    <s v="Failed"/>
    <x v="3"/>
    <s v="None"/>
    <x v="8"/>
  </r>
  <r>
    <x v="509"/>
    <s v="2025-03-02"/>
    <x v="1"/>
    <x v="491"/>
    <x v="1"/>
    <s v="C"/>
    <x v="3"/>
    <x v="3"/>
    <s v="USD"/>
    <n v="50200.82"/>
    <n v="563.46"/>
    <n v="101.42"/>
    <n v="433.01"/>
    <n v="50432.69"/>
    <n v="1105421.22"/>
    <n v="729"/>
    <x v="2"/>
    <s v="Completed"/>
    <x v="1"/>
    <s v="Review"/>
    <x v="3"/>
  </r>
  <r>
    <x v="510"/>
    <s v="2025-05-21"/>
    <x v="0"/>
    <x v="492"/>
    <x v="2"/>
    <s v="A"/>
    <x v="0"/>
    <x v="4"/>
    <s v="INR"/>
    <n v="138931.09"/>
    <n v="2717.22"/>
    <n v="489.1"/>
    <n v="324.67"/>
    <n v="141812.74"/>
    <n v="1104575.8799999999"/>
    <n v="858"/>
    <x v="1"/>
    <s v="Pending"/>
    <x v="3"/>
    <s v="None"/>
    <x v="5"/>
  </r>
  <r>
    <x v="511"/>
    <s v="2025-10-06"/>
    <x v="0"/>
    <x v="493"/>
    <x v="0"/>
    <s v="C"/>
    <x v="2"/>
    <x v="4"/>
    <s v="INR"/>
    <n v="176904"/>
    <n v="1020.14"/>
    <n v="183.63"/>
    <n v="29.7"/>
    <n v="178078.07"/>
    <n v="1101668.03"/>
    <n v="683"/>
    <x v="0"/>
    <s v="Pending"/>
    <x v="1"/>
    <s v="Review"/>
    <x v="6"/>
  </r>
  <r>
    <x v="512"/>
    <s v="2025-08-01"/>
    <x v="2"/>
    <x v="494"/>
    <x v="2"/>
    <s v="D"/>
    <x v="2"/>
    <x v="0"/>
    <s v="EUR"/>
    <n v="105473.23"/>
    <n v="1289.1600000000001"/>
    <n v="232.05"/>
    <n v="51.82"/>
    <n v="106942.62"/>
    <n v="1099356"/>
    <n v="345"/>
    <x v="0"/>
    <s v="Completed"/>
    <x v="1"/>
    <s v="Verified"/>
    <x v="8"/>
  </r>
  <r>
    <x v="513"/>
    <s v="2025-06-17"/>
    <x v="1"/>
    <x v="495"/>
    <x v="0"/>
    <s v="A"/>
    <x v="2"/>
    <x v="0"/>
    <s v="INR"/>
    <n v="117780.99"/>
    <n v="1488.85"/>
    <n v="267.99"/>
    <n v="126.35"/>
    <n v="119411.48"/>
    <n v="1102787.23"/>
    <n v="561"/>
    <x v="1"/>
    <s v="Failed"/>
    <x v="3"/>
    <s v="Review"/>
    <x v="10"/>
  </r>
  <r>
    <x v="514"/>
    <s v="2025-02-17"/>
    <x v="2"/>
    <x v="496"/>
    <x v="1"/>
    <s v="D"/>
    <x v="3"/>
    <x v="1"/>
    <s v="INR"/>
    <n v="178038.15"/>
    <n v="659.92"/>
    <n v="118.79"/>
    <n v="130.31"/>
    <n v="178686.55"/>
    <n v="1105305.1100000001"/>
    <n v="367"/>
    <x v="1"/>
    <s v="Failed"/>
    <x v="0"/>
    <s v="None"/>
    <x v="0"/>
  </r>
  <r>
    <x v="515"/>
    <s v="2025-11-23"/>
    <x v="0"/>
    <x v="497"/>
    <x v="1"/>
    <s v="A"/>
    <x v="3"/>
    <x v="3"/>
    <s v="EUR"/>
    <n v="86747.6"/>
    <n v="280.39999999999998"/>
    <n v="50.47"/>
    <n v="174.03"/>
    <n v="86904.44"/>
    <n v="1111243.79"/>
    <n v="375"/>
    <x v="1"/>
    <s v="Completed"/>
    <x v="2"/>
    <s v="None"/>
    <x v="1"/>
  </r>
  <r>
    <x v="516"/>
    <s v="2025-06-26"/>
    <x v="1"/>
    <x v="498"/>
    <x v="2"/>
    <s v="D"/>
    <x v="2"/>
    <x v="2"/>
    <s v="EUR"/>
    <n v="96971.5"/>
    <n v="1769.58"/>
    <n v="318.52"/>
    <n v="139.30000000000001"/>
    <n v="98920.3"/>
    <n v="1112700.29"/>
    <n v="554"/>
    <x v="2"/>
    <s v="Failed"/>
    <x v="2"/>
    <s v="Verified"/>
    <x v="10"/>
  </r>
  <r>
    <x v="517"/>
    <s v="2025-04-14"/>
    <x v="1"/>
    <x v="499"/>
    <x v="1"/>
    <s v="D"/>
    <x v="2"/>
    <x v="4"/>
    <s v="USD"/>
    <n v="6411.44"/>
    <n v="20.86"/>
    <n v="3.75"/>
    <n v="462.07"/>
    <n v="5973.98"/>
    <n v="1114715.9099999999"/>
    <n v="720"/>
    <x v="1"/>
    <s v="Completed"/>
    <x v="0"/>
    <s v="Verified"/>
    <x v="2"/>
  </r>
  <r>
    <x v="518"/>
    <s v="2025-08-03"/>
    <x v="1"/>
    <x v="500"/>
    <x v="2"/>
    <s v="D"/>
    <x v="2"/>
    <x v="4"/>
    <s v="EUR"/>
    <n v="99969.42"/>
    <n v="818.56"/>
    <n v="147.34"/>
    <n v="286.45999999999998"/>
    <n v="100648.86"/>
    <n v="1114236.72"/>
    <n v="529"/>
    <x v="1"/>
    <s v="Failed"/>
    <x v="3"/>
    <s v="Review"/>
    <x v="8"/>
  </r>
  <r>
    <x v="519"/>
    <s v="2025-06-29"/>
    <x v="1"/>
    <x v="501"/>
    <x v="0"/>
    <s v="B"/>
    <x v="3"/>
    <x v="3"/>
    <s v="EUR"/>
    <n v="20260.740000000002"/>
    <n v="335.69"/>
    <n v="60.42"/>
    <n v="439.07"/>
    <n v="20217.78"/>
    <n v="1111797.7"/>
    <n v="698"/>
    <x v="1"/>
    <s v="Completed"/>
    <x v="3"/>
    <s v="Verified"/>
    <x v="10"/>
  </r>
  <r>
    <x v="520"/>
    <s v="2025-12-23"/>
    <x v="2"/>
    <x v="502"/>
    <x v="2"/>
    <s v="B"/>
    <x v="2"/>
    <x v="3"/>
    <s v="USD"/>
    <n v="25989.37"/>
    <n v="512.08000000000004"/>
    <n v="92.17"/>
    <n v="362.98"/>
    <n v="26230.639999999999"/>
    <n v="1115189.06"/>
    <n v="708"/>
    <x v="0"/>
    <s v="Failed"/>
    <x v="3"/>
    <s v="Verified"/>
    <x v="9"/>
  </r>
  <r>
    <x v="521"/>
    <s v="2025-11-04"/>
    <x v="0"/>
    <x v="503"/>
    <x v="0"/>
    <s v="C"/>
    <x v="3"/>
    <x v="4"/>
    <s v="INR"/>
    <n v="26753.37"/>
    <n v="493.98"/>
    <n v="88.92"/>
    <n v="101.2"/>
    <n v="27235.07"/>
    <n v="1122715.76"/>
    <n v="696"/>
    <x v="1"/>
    <s v="Pending"/>
    <x v="0"/>
    <s v="Review"/>
    <x v="1"/>
  </r>
  <r>
    <x v="522"/>
    <s v="2025-01-15"/>
    <x v="2"/>
    <x v="504"/>
    <x v="1"/>
    <s v="D"/>
    <x v="3"/>
    <x v="2"/>
    <s v="USD"/>
    <n v="100125.12"/>
    <n v="1455.76"/>
    <n v="262.04000000000002"/>
    <n v="222.91"/>
    <n v="101620.01"/>
    <n v="1126920"/>
    <n v="363"/>
    <x v="0"/>
    <s v="Pending"/>
    <x v="1"/>
    <s v="None"/>
    <x v="4"/>
  </r>
  <r>
    <x v="523"/>
    <s v="2025-01-05"/>
    <x v="0"/>
    <x v="505"/>
    <x v="0"/>
    <s v="D"/>
    <x v="2"/>
    <x v="4"/>
    <s v="INR"/>
    <n v="103891.55"/>
    <n v="1600.47"/>
    <n v="288.08"/>
    <n v="76.87"/>
    <n v="105703.23"/>
    <n v="1126858.82"/>
    <n v="479"/>
    <x v="2"/>
    <s v="Completed"/>
    <x v="2"/>
    <s v="Review"/>
    <x v="4"/>
  </r>
  <r>
    <x v="524"/>
    <s v="2025-02-06"/>
    <x v="0"/>
    <x v="506"/>
    <x v="2"/>
    <s v="C"/>
    <x v="3"/>
    <x v="2"/>
    <s v="EUR"/>
    <n v="179275.84"/>
    <n v="1524.19"/>
    <n v="274.35000000000002"/>
    <n v="250.03"/>
    <n v="180824.35"/>
    <n v="1132457.23"/>
    <n v="490"/>
    <x v="2"/>
    <s v="Completed"/>
    <x v="2"/>
    <s v="None"/>
    <x v="0"/>
  </r>
  <r>
    <x v="525"/>
    <s v="2025-04-01"/>
    <x v="1"/>
    <x v="507"/>
    <x v="1"/>
    <s v="B"/>
    <x v="3"/>
    <x v="2"/>
    <s v="INR"/>
    <n v="1326.65"/>
    <n v="9.16"/>
    <n v="1.65"/>
    <n v="1.1499999999999999"/>
    <n v="1336.31"/>
    <n v="1130598.9099999999"/>
    <n v="353"/>
    <x v="2"/>
    <s v="Completed"/>
    <x v="2"/>
    <s v="Verified"/>
    <x v="2"/>
  </r>
  <r>
    <x v="526"/>
    <s v="2025-05-24"/>
    <x v="0"/>
    <x v="508"/>
    <x v="2"/>
    <s v="B"/>
    <x v="3"/>
    <x v="4"/>
    <s v="USD"/>
    <n v="85443.03"/>
    <n v="1257.76"/>
    <n v="226.4"/>
    <n v="151.08000000000001"/>
    <n v="86776.11"/>
    <n v="1139141.69"/>
    <n v="523"/>
    <x v="2"/>
    <s v="Pending"/>
    <x v="0"/>
    <s v="Verified"/>
    <x v="5"/>
  </r>
  <r>
    <x v="527"/>
    <s v="2025-08-12"/>
    <x v="1"/>
    <x v="509"/>
    <x v="0"/>
    <s v="A"/>
    <x v="0"/>
    <x v="2"/>
    <s v="INR"/>
    <n v="192292.53"/>
    <n v="1268.1500000000001"/>
    <n v="228.27"/>
    <n v="301.79000000000002"/>
    <n v="193487.16"/>
    <n v="1134144.8500000001"/>
    <n v="862"/>
    <x v="2"/>
    <s v="Pending"/>
    <x v="2"/>
    <s v="None"/>
    <x v="8"/>
  </r>
  <r>
    <x v="528"/>
    <s v="2025-07-16"/>
    <x v="2"/>
    <x v="510"/>
    <x v="3"/>
    <s v="C"/>
    <x v="1"/>
    <x v="0"/>
    <s v="EUR"/>
    <n v="86014.87"/>
    <n v="1451.06"/>
    <n v="261.19"/>
    <n v="461.16"/>
    <n v="87265.96"/>
    <n v="1138603.28"/>
    <n v="389"/>
    <x v="0"/>
    <s v="Failed"/>
    <x v="1"/>
    <s v="Verified"/>
    <x v="7"/>
  </r>
  <r>
    <x v="529"/>
    <s v="2025-02-27"/>
    <x v="2"/>
    <x v="511"/>
    <x v="2"/>
    <s v="B"/>
    <x v="3"/>
    <x v="0"/>
    <s v="INR"/>
    <n v="174171.08"/>
    <n v="1068.56"/>
    <n v="192.34"/>
    <n v="479.56"/>
    <n v="174952.42"/>
    <n v="1134109.1599999999"/>
    <n v="484"/>
    <x v="1"/>
    <s v="Failed"/>
    <x v="0"/>
    <s v="Review"/>
    <x v="0"/>
  </r>
  <r>
    <x v="530"/>
    <s v="2025-05-13"/>
    <x v="0"/>
    <x v="512"/>
    <x v="3"/>
    <s v="A"/>
    <x v="0"/>
    <x v="2"/>
    <s v="EUR"/>
    <n v="4624.6899999999996"/>
    <n v="35.97"/>
    <n v="6.47"/>
    <n v="251.82"/>
    <n v="4415.3100000000004"/>
    <n v="1133807.24"/>
    <n v="790"/>
    <x v="1"/>
    <s v="Completed"/>
    <x v="3"/>
    <s v="None"/>
    <x v="5"/>
  </r>
  <r>
    <x v="531"/>
    <s v="2025-10-16"/>
    <x v="1"/>
    <x v="513"/>
    <x v="0"/>
    <s v="B"/>
    <x v="1"/>
    <x v="1"/>
    <s v="EUR"/>
    <n v="82955.66"/>
    <n v="841.27"/>
    <n v="151.43"/>
    <n v="41.14"/>
    <n v="83907.22"/>
    <n v="1134638.26"/>
    <n v="324"/>
    <x v="0"/>
    <s v="Completed"/>
    <x v="1"/>
    <s v="Verified"/>
    <x v="6"/>
  </r>
  <r>
    <x v="532"/>
    <s v="2025-04-23"/>
    <x v="2"/>
    <x v="338"/>
    <x v="0"/>
    <s v="C"/>
    <x v="2"/>
    <x v="3"/>
    <s v="EUR"/>
    <n v="88235.07"/>
    <n v="540.45000000000005"/>
    <n v="97.28"/>
    <n v="297.05"/>
    <n v="88575.75"/>
    <n v="1135504.8899999999"/>
    <n v="304"/>
    <x v="0"/>
    <s v="Failed"/>
    <x v="3"/>
    <s v="None"/>
    <x v="2"/>
  </r>
  <r>
    <x v="533"/>
    <s v="2025-03-09"/>
    <x v="0"/>
    <x v="514"/>
    <x v="1"/>
    <s v="C"/>
    <x v="0"/>
    <x v="1"/>
    <s v="EUR"/>
    <n v="182028.42"/>
    <n v="2557.13"/>
    <n v="460.28"/>
    <n v="336.75"/>
    <n v="184709.08"/>
    <n v="1131016.08"/>
    <n v="332"/>
    <x v="2"/>
    <s v="Pending"/>
    <x v="3"/>
    <s v="None"/>
    <x v="3"/>
  </r>
  <r>
    <x v="534"/>
    <s v="2025-08-10"/>
    <x v="0"/>
    <x v="515"/>
    <x v="1"/>
    <s v="C"/>
    <x v="0"/>
    <x v="4"/>
    <s v="USD"/>
    <n v="58586.26"/>
    <n v="704.41"/>
    <n v="126.79"/>
    <n v="293.98"/>
    <n v="59123.48"/>
    <n v="1139929.3500000001"/>
    <n v="656"/>
    <x v="0"/>
    <s v="Pending"/>
    <x v="2"/>
    <s v="None"/>
    <x v="8"/>
  </r>
  <r>
    <x v="535"/>
    <s v="2025-09-25"/>
    <x v="1"/>
    <x v="516"/>
    <x v="0"/>
    <s v="A"/>
    <x v="0"/>
    <x v="0"/>
    <s v="USD"/>
    <n v="14822.09"/>
    <n v="263.89999999999998"/>
    <n v="47.5"/>
    <n v="7.98"/>
    <n v="15125.51"/>
    <n v="1137350.47"/>
    <n v="800"/>
    <x v="2"/>
    <s v="Pending"/>
    <x v="1"/>
    <s v="Verified"/>
    <x v="11"/>
  </r>
  <r>
    <x v="536"/>
    <s v="2025-01-28"/>
    <x v="0"/>
    <x v="517"/>
    <x v="0"/>
    <s v="C"/>
    <x v="2"/>
    <x v="3"/>
    <s v="USD"/>
    <n v="95542.78"/>
    <n v="1182.53"/>
    <n v="212.86"/>
    <n v="268.81"/>
    <n v="96669.36"/>
    <n v="1142313.93"/>
    <n v="865"/>
    <x v="1"/>
    <s v="Failed"/>
    <x v="3"/>
    <s v="Verified"/>
    <x v="4"/>
  </r>
  <r>
    <x v="537"/>
    <s v="2025-02-18"/>
    <x v="0"/>
    <x v="518"/>
    <x v="3"/>
    <s v="B"/>
    <x v="2"/>
    <x v="0"/>
    <s v="EUR"/>
    <n v="160667.51"/>
    <n v="2000.98"/>
    <n v="360.18"/>
    <n v="361.29"/>
    <n v="162667.38"/>
    <n v="1144950.73"/>
    <n v="590"/>
    <x v="0"/>
    <s v="Failed"/>
    <x v="3"/>
    <s v="Verified"/>
    <x v="0"/>
  </r>
  <r>
    <x v="538"/>
    <s v="2025-09-08"/>
    <x v="0"/>
    <x v="519"/>
    <x v="2"/>
    <s v="B"/>
    <x v="3"/>
    <x v="1"/>
    <s v="EUR"/>
    <n v="9429.7199999999993"/>
    <n v="145.33000000000001"/>
    <n v="26.16"/>
    <n v="318.95"/>
    <n v="9282.26"/>
    <n v="1150670.53"/>
    <n v="598"/>
    <x v="2"/>
    <s v="Completed"/>
    <x v="3"/>
    <s v="Review"/>
    <x v="11"/>
  </r>
  <r>
    <x v="539"/>
    <s v="2025-04-12"/>
    <x v="0"/>
    <x v="520"/>
    <x v="0"/>
    <s v="B"/>
    <x v="1"/>
    <x v="1"/>
    <s v="INR"/>
    <n v="41678.449999999997"/>
    <n v="558.99"/>
    <n v="100.62"/>
    <n v="226.84"/>
    <n v="42111.22"/>
    <n v="1153814.43"/>
    <n v="694"/>
    <x v="1"/>
    <s v="Failed"/>
    <x v="1"/>
    <s v="Review"/>
    <x v="2"/>
  </r>
  <r>
    <x v="540"/>
    <s v="2025-10-26"/>
    <x v="2"/>
    <x v="521"/>
    <x v="3"/>
    <s v="D"/>
    <x v="2"/>
    <x v="3"/>
    <s v="INR"/>
    <n v="129663.53"/>
    <n v="505.81"/>
    <n v="91.05"/>
    <n v="306.54000000000002"/>
    <n v="129953.85"/>
    <n v="1161964.8400000001"/>
    <n v="812"/>
    <x v="2"/>
    <s v="Completed"/>
    <x v="2"/>
    <s v="None"/>
    <x v="6"/>
  </r>
  <r>
    <x v="541"/>
    <s v="2025-08-03"/>
    <x v="2"/>
    <x v="522"/>
    <x v="3"/>
    <s v="A"/>
    <x v="3"/>
    <x v="4"/>
    <s v="USD"/>
    <n v="11005.64"/>
    <n v="210.26"/>
    <n v="37.85"/>
    <n v="287.98"/>
    <n v="10965.77"/>
    <n v="1157566.32"/>
    <n v="814"/>
    <x v="2"/>
    <s v="Pending"/>
    <x v="0"/>
    <s v="Review"/>
    <x v="8"/>
  </r>
  <r>
    <x v="542"/>
    <s v="2025-08-09"/>
    <x v="1"/>
    <x v="523"/>
    <x v="3"/>
    <s v="C"/>
    <x v="3"/>
    <x v="0"/>
    <s v="INR"/>
    <n v="38656.76"/>
    <n v="411.86"/>
    <n v="74.13"/>
    <n v="441.13"/>
    <n v="38701.620000000003"/>
    <n v="1158760.01"/>
    <n v="889"/>
    <x v="0"/>
    <s v="Pending"/>
    <x v="1"/>
    <s v="Review"/>
    <x v="8"/>
  </r>
  <r>
    <x v="543"/>
    <s v="2025-06-18"/>
    <x v="0"/>
    <x v="524"/>
    <x v="2"/>
    <s v="B"/>
    <x v="2"/>
    <x v="0"/>
    <s v="EUR"/>
    <n v="128308.37"/>
    <n v="794.43"/>
    <n v="143"/>
    <n v="412.68"/>
    <n v="128833.12"/>
    <n v="1159959.97"/>
    <n v="601"/>
    <x v="2"/>
    <s v="Failed"/>
    <x v="3"/>
    <s v="None"/>
    <x v="10"/>
  </r>
  <r>
    <x v="544"/>
    <s v="2025-07-23"/>
    <x v="2"/>
    <x v="525"/>
    <x v="0"/>
    <s v="D"/>
    <x v="1"/>
    <x v="0"/>
    <s v="EUR"/>
    <n v="108350.27"/>
    <n v="884.85"/>
    <n v="159.27000000000001"/>
    <n v="402.9"/>
    <n v="108991.49"/>
    <n v="1155785.8500000001"/>
    <n v="656"/>
    <x v="2"/>
    <s v="Completed"/>
    <x v="1"/>
    <s v="Verified"/>
    <x v="7"/>
  </r>
  <r>
    <x v="545"/>
    <s v="2025-10-30"/>
    <x v="1"/>
    <x v="526"/>
    <x v="1"/>
    <s v="A"/>
    <x v="1"/>
    <x v="0"/>
    <s v="EUR"/>
    <n v="104958.51"/>
    <n v="640.32000000000005"/>
    <n v="115.26"/>
    <n v="3.47"/>
    <n v="105710.62"/>
    <n v="1162152.73"/>
    <n v="490"/>
    <x v="2"/>
    <s v="Failed"/>
    <x v="3"/>
    <s v="Review"/>
    <x v="6"/>
  </r>
  <r>
    <x v="546"/>
    <s v="2025-02-18"/>
    <x v="0"/>
    <x v="527"/>
    <x v="0"/>
    <s v="B"/>
    <x v="0"/>
    <x v="0"/>
    <s v="EUR"/>
    <n v="100990.95"/>
    <n v="1722.63"/>
    <n v="310.07"/>
    <n v="149.62"/>
    <n v="102874.03"/>
    <n v="1170715.21"/>
    <n v="407"/>
    <x v="2"/>
    <s v="Pending"/>
    <x v="3"/>
    <s v="None"/>
    <x v="0"/>
  </r>
  <r>
    <x v="547"/>
    <s v="2025-03-13"/>
    <x v="0"/>
    <x v="528"/>
    <x v="0"/>
    <s v="A"/>
    <x v="1"/>
    <x v="1"/>
    <s v="INR"/>
    <n v="130502.86"/>
    <n v="2499.63"/>
    <n v="449.93"/>
    <n v="330.25"/>
    <n v="133122.17000000001"/>
    <n v="1166466.1399999999"/>
    <n v="889"/>
    <x v="1"/>
    <s v="Completed"/>
    <x v="2"/>
    <s v="Review"/>
    <x v="3"/>
  </r>
  <r>
    <x v="548"/>
    <s v="2025-04-10"/>
    <x v="2"/>
    <x v="529"/>
    <x v="2"/>
    <s v="A"/>
    <x v="0"/>
    <x v="0"/>
    <s v="INR"/>
    <n v="178428.11"/>
    <n v="2409.5300000000002"/>
    <n v="433.72"/>
    <n v="12.28"/>
    <n v="181259.08"/>
    <n v="1172533.67"/>
    <n v="571"/>
    <x v="0"/>
    <s v="Pending"/>
    <x v="3"/>
    <s v="Review"/>
    <x v="2"/>
  </r>
  <r>
    <x v="549"/>
    <s v="2025-04-30"/>
    <x v="2"/>
    <x v="530"/>
    <x v="1"/>
    <s v="C"/>
    <x v="3"/>
    <x v="4"/>
    <s v="EUR"/>
    <n v="158119.35999999999"/>
    <n v="1969.59"/>
    <n v="354.53"/>
    <n v="231.34"/>
    <n v="160212.14000000001"/>
    <n v="1174283.68"/>
    <n v="642"/>
    <x v="1"/>
    <s v="Failed"/>
    <x v="2"/>
    <s v="None"/>
    <x v="2"/>
  </r>
  <r>
    <x v="550"/>
    <s v="2025-06-28"/>
    <x v="2"/>
    <x v="400"/>
    <x v="0"/>
    <s v="C"/>
    <x v="1"/>
    <x v="0"/>
    <s v="INR"/>
    <n v="16010.58"/>
    <n v="240.41"/>
    <n v="43.27"/>
    <n v="31.73"/>
    <n v="16262.53"/>
    <n v="1182687.3600000001"/>
    <n v="835"/>
    <x v="1"/>
    <s v="Pending"/>
    <x v="0"/>
    <s v="Review"/>
    <x v="10"/>
  </r>
  <r>
    <x v="551"/>
    <s v="2025-03-19"/>
    <x v="0"/>
    <x v="531"/>
    <x v="1"/>
    <s v="A"/>
    <x v="3"/>
    <x v="3"/>
    <s v="INR"/>
    <n v="64568.26"/>
    <n v="1098.04"/>
    <n v="197.65"/>
    <n v="334.63"/>
    <n v="65529.32"/>
    <n v="1180816.03"/>
    <n v="317"/>
    <x v="2"/>
    <s v="Completed"/>
    <x v="3"/>
    <s v="None"/>
    <x v="3"/>
  </r>
  <r>
    <x v="552"/>
    <s v="2025-08-19"/>
    <x v="2"/>
    <x v="532"/>
    <x v="3"/>
    <s v="D"/>
    <x v="1"/>
    <x v="3"/>
    <s v="EUR"/>
    <n v="16485.02"/>
    <n v="27.08"/>
    <n v="4.87"/>
    <n v="67.52"/>
    <n v="16449.45"/>
    <n v="1185823.08"/>
    <n v="703"/>
    <x v="0"/>
    <s v="Failed"/>
    <x v="2"/>
    <s v="Verified"/>
    <x v="8"/>
  </r>
  <r>
    <x v="553"/>
    <s v="2025-07-30"/>
    <x v="0"/>
    <x v="533"/>
    <x v="3"/>
    <s v="C"/>
    <x v="1"/>
    <x v="3"/>
    <s v="USD"/>
    <n v="99407.25"/>
    <n v="1890.38"/>
    <n v="340.27"/>
    <n v="141.78"/>
    <n v="101496.12"/>
    <n v="1188324.74"/>
    <n v="482"/>
    <x v="0"/>
    <s v="Failed"/>
    <x v="2"/>
    <s v="None"/>
    <x v="7"/>
  </r>
  <r>
    <x v="554"/>
    <s v="2025-03-14"/>
    <x v="0"/>
    <x v="534"/>
    <x v="0"/>
    <s v="A"/>
    <x v="2"/>
    <x v="4"/>
    <s v="EUR"/>
    <n v="162359.96"/>
    <n v="1798.45"/>
    <n v="323.72000000000003"/>
    <n v="484.03"/>
    <n v="163998.1"/>
    <n v="1189469.1000000001"/>
    <n v="411"/>
    <x v="0"/>
    <s v="Completed"/>
    <x v="3"/>
    <s v="None"/>
    <x v="3"/>
  </r>
  <r>
    <x v="555"/>
    <s v="2025-07-05"/>
    <x v="1"/>
    <x v="535"/>
    <x v="1"/>
    <s v="C"/>
    <x v="3"/>
    <x v="1"/>
    <s v="INR"/>
    <n v="88110.83"/>
    <n v="738.84"/>
    <n v="132.99"/>
    <n v="376.2"/>
    <n v="88606.46"/>
    <n v="1193369.72"/>
    <n v="346"/>
    <x v="0"/>
    <s v="Failed"/>
    <x v="2"/>
    <s v="Verified"/>
    <x v="7"/>
  </r>
  <r>
    <x v="556"/>
    <s v="2025-01-24"/>
    <x v="1"/>
    <x v="536"/>
    <x v="1"/>
    <s v="D"/>
    <x v="1"/>
    <x v="1"/>
    <s v="USD"/>
    <n v="160713.04999999999"/>
    <n v="330.67"/>
    <n v="59.52"/>
    <n v="96.46"/>
    <n v="161006.78"/>
    <n v="1192396.3700000001"/>
    <n v="607"/>
    <x v="0"/>
    <s v="Failed"/>
    <x v="3"/>
    <s v="Verified"/>
    <x v="4"/>
  </r>
  <r>
    <x v="557"/>
    <s v="2025-09-18"/>
    <x v="0"/>
    <x v="537"/>
    <x v="1"/>
    <s v="D"/>
    <x v="3"/>
    <x v="2"/>
    <s v="USD"/>
    <n v="104986.28"/>
    <n v="782.02"/>
    <n v="140.76"/>
    <n v="183.07"/>
    <n v="105725.99"/>
    <n v="1196768.99"/>
    <n v="711"/>
    <x v="0"/>
    <s v="Pending"/>
    <x v="2"/>
    <s v="Verified"/>
    <x v="11"/>
  </r>
  <r>
    <x v="558"/>
    <s v="2025-05-01"/>
    <x v="2"/>
    <x v="538"/>
    <x v="0"/>
    <s v="D"/>
    <x v="3"/>
    <x v="0"/>
    <s v="USD"/>
    <n v="154903.32"/>
    <n v="1613.22"/>
    <n v="290.38"/>
    <n v="78.430000000000007"/>
    <n v="156728.49"/>
    <n v="1203412.95"/>
    <n v="562"/>
    <x v="1"/>
    <s v="Failed"/>
    <x v="3"/>
    <s v="Review"/>
    <x v="5"/>
  </r>
  <r>
    <x v="559"/>
    <s v="2025-09-11"/>
    <x v="2"/>
    <x v="539"/>
    <x v="0"/>
    <s v="C"/>
    <x v="3"/>
    <x v="1"/>
    <s v="INR"/>
    <n v="147644.16"/>
    <n v="898.2"/>
    <n v="161.68"/>
    <n v="207.66"/>
    <n v="148496.38"/>
    <n v="1206665.1100000001"/>
    <n v="646"/>
    <x v="0"/>
    <s v="Failed"/>
    <x v="2"/>
    <s v="None"/>
    <x v="11"/>
  </r>
  <r>
    <x v="560"/>
    <s v="2025-04-02"/>
    <x v="1"/>
    <x v="540"/>
    <x v="2"/>
    <s v="D"/>
    <x v="1"/>
    <x v="1"/>
    <s v="EUR"/>
    <n v="107659.39"/>
    <n v="1274.58"/>
    <n v="229.42"/>
    <n v="376.24"/>
    <n v="108787.15"/>
    <n v="1212545.31"/>
    <n v="515"/>
    <x v="2"/>
    <s v="Completed"/>
    <x v="2"/>
    <s v="Verified"/>
    <x v="2"/>
  </r>
  <r>
    <x v="561"/>
    <s v="2025-04-28"/>
    <x v="1"/>
    <x v="541"/>
    <x v="0"/>
    <s v="C"/>
    <x v="0"/>
    <x v="1"/>
    <s v="EUR"/>
    <n v="101365.59"/>
    <n v="143.80000000000001"/>
    <n v="25.88"/>
    <n v="78.459999999999994"/>
    <n v="101456.81"/>
    <n v="1221402.95"/>
    <n v="429"/>
    <x v="0"/>
    <s v="Failed"/>
    <x v="2"/>
    <s v="Verified"/>
    <x v="2"/>
  </r>
  <r>
    <x v="562"/>
    <s v="2025-09-30"/>
    <x v="1"/>
    <x v="542"/>
    <x v="2"/>
    <s v="C"/>
    <x v="2"/>
    <x v="4"/>
    <s v="USD"/>
    <n v="90452.79"/>
    <n v="273.47000000000003"/>
    <n v="49.22"/>
    <n v="280.64999999999998"/>
    <n v="90494.83"/>
    <n v="1220815.6200000001"/>
    <n v="845"/>
    <x v="2"/>
    <s v="Failed"/>
    <x v="3"/>
    <s v="Verified"/>
    <x v="11"/>
  </r>
  <r>
    <x v="563"/>
    <s v="2025-09-04"/>
    <x v="1"/>
    <x v="543"/>
    <x v="1"/>
    <s v="D"/>
    <x v="1"/>
    <x v="1"/>
    <s v="USD"/>
    <n v="6537.76"/>
    <n v="79.78"/>
    <n v="14.36"/>
    <n v="213.36"/>
    <n v="6418.54"/>
    <n v="1225959.17"/>
    <n v="611"/>
    <x v="0"/>
    <s v="Pending"/>
    <x v="3"/>
    <s v="Review"/>
    <x v="11"/>
  </r>
  <r>
    <x v="564"/>
    <s v="2025-08-18"/>
    <x v="0"/>
    <x v="544"/>
    <x v="3"/>
    <s v="D"/>
    <x v="3"/>
    <x v="4"/>
    <s v="EUR"/>
    <n v="159611.12"/>
    <n v="2404.65"/>
    <n v="432.84"/>
    <n v="95.45"/>
    <n v="162353.16"/>
    <n v="1234713.26"/>
    <n v="711"/>
    <x v="1"/>
    <s v="Pending"/>
    <x v="2"/>
    <s v="Review"/>
    <x v="8"/>
  </r>
  <r>
    <x v="565"/>
    <s v="2025-06-18"/>
    <x v="2"/>
    <x v="545"/>
    <x v="2"/>
    <s v="B"/>
    <x v="1"/>
    <x v="2"/>
    <s v="USD"/>
    <n v="1239.6400000000001"/>
    <n v="8.58"/>
    <n v="1.54"/>
    <n v="83.08"/>
    <n v="1166.68"/>
    <n v="1242825.1399999999"/>
    <n v="333"/>
    <x v="0"/>
    <s v="Failed"/>
    <x v="3"/>
    <s v="Review"/>
    <x v="10"/>
  </r>
  <r>
    <x v="566"/>
    <s v="2025-12-14"/>
    <x v="2"/>
    <x v="546"/>
    <x v="1"/>
    <s v="A"/>
    <x v="2"/>
    <x v="3"/>
    <s v="INR"/>
    <n v="131862.85999999999"/>
    <n v="1155.67"/>
    <n v="208.02"/>
    <n v="442.18"/>
    <n v="132784.37"/>
    <n v="1238197.52"/>
    <n v="593"/>
    <x v="0"/>
    <s v="Pending"/>
    <x v="3"/>
    <s v="Verified"/>
    <x v="9"/>
  </r>
  <r>
    <x v="567"/>
    <s v="2025-09-25"/>
    <x v="0"/>
    <x v="547"/>
    <x v="2"/>
    <s v="B"/>
    <x v="0"/>
    <x v="1"/>
    <s v="EUR"/>
    <n v="183412.64"/>
    <n v="2416.83"/>
    <n v="435.03"/>
    <n v="440.09"/>
    <n v="185824.41"/>
    <n v="1243245.76"/>
    <n v="333"/>
    <x v="0"/>
    <s v="Failed"/>
    <x v="1"/>
    <s v="Review"/>
    <x v="11"/>
  </r>
  <r>
    <x v="568"/>
    <s v="2025-11-08"/>
    <x v="2"/>
    <x v="548"/>
    <x v="1"/>
    <s v="D"/>
    <x v="1"/>
    <x v="4"/>
    <s v="EUR"/>
    <n v="135272.66"/>
    <n v="2673.6"/>
    <n v="481.25"/>
    <n v="178.96"/>
    <n v="138248.54999999999"/>
    <n v="1251811.8"/>
    <n v="850"/>
    <x v="0"/>
    <s v="Pending"/>
    <x v="0"/>
    <s v="Verified"/>
    <x v="1"/>
  </r>
  <r>
    <x v="569"/>
    <s v="2025-05-07"/>
    <x v="0"/>
    <x v="549"/>
    <x v="1"/>
    <s v="A"/>
    <x v="2"/>
    <x v="0"/>
    <s v="USD"/>
    <n v="33381.46"/>
    <n v="576.21"/>
    <n v="103.72"/>
    <n v="292.83"/>
    <n v="33768.559999999998"/>
    <n v="1252015.17"/>
    <n v="725"/>
    <x v="1"/>
    <s v="Failed"/>
    <x v="2"/>
    <s v="Review"/>
    <x v="5"/>
  </r>
  <r>
    <x v="570"/>
    <s v="2025-09-09"/>
    <x v="2"/>
    <x v="550"/>
    <x v="2"/>
    <s v="B"/>
    <x v="1"/>
    <x v="4"/>
    <s v="EUR"/>
    <n v="134710.65"/>
    <n v="874.45"/>
    <n v="157.4"/>
    <n v="329.79"/>
    <n v="135412.71"/>
    <n v="1256236.6399999999"/>
    <n v="612"/>
    <x v="0"/>
    <s v="Pending"/>
    <x v="1"/>
    <s v="None"/>
    <x v="11"/>
  </r>
  <r>
    <x v="571"/>
    <s v="2025-09-10"/>
    <x v="1"/>
    <x v="551"/>
    <x v="2"/>
    <s v="C"/>
    <x v="1"/>
    <x v="3"/>
    <s v="INR"/>
    <n v="77348.69"/>
    <n v="1146.3699999999999"/>
    <n v="206.35"/>
    <n v="259.99"/>
    <n v="78441.42"/>
    <n v="1262900.6599999999"/>
    <n v="761"/>
    <x v="0"/>
    <s v="Failed"/>
    <x v="3"/>
    <s v="Review"/>
    <x v="11"/>
  </r>
  <r>
    <x v="572"/>
    <s v="2025-04-19"/>
    <x v="2"/>
    <x v="552"/>
    <x v="3"/>
    <s v="A"/>
    <x v="3"/>
    <x v="2"/>
    <s v="EUR"/>
    <n v="116363.67"/>
    <n v="2258.5700000000002"/>
    <n v="406.54"/>
    <n v="311.43"/>
    <n v="118717.35"/>
    <n v="1260536.01"/>
    <n v="819"/>
    <x v="0"/>
    <s v="Pending"/>
    <x v="0"/>
    <s v="Verified"/>
    <x v="2"/>
  </r>
  <r>
    <x v="573"/>
    <s v="2025-01-31"/>
    <x v="0"/>
    <x v="553"/>
    <x v="1"/>
    <s v="A"/>
    <x v="3"/>
    <x v="3"/>
    <s v="INR"/>
    <n v="186295.4"/>
    <n v="1691.16"/>
    <n v="304.41000000000003"/>
    <n v="474.47"/>
    <n v="187816.5"/>
    <n v="1259318.17"/>
    <n v="860"/>
    <x v="2"/>
    <s v="Failed"/>
    <x v="2"/>
    <s v="Verified"/>
    <x v="4"/>
  </r>
  <r>
    <x v="574"/>
    <s v="2025-02-03"/>
    <x v="0"/>
    <x v="554"/>
    <x v="1"/>
    <s v="B"/>
    <x v="3"/>
    <x v="2"/>
    <s v="EUR"/>
    <n v="15580.48"/>
    <n v="158.94"/>
    <n v="28.61"/>
    <n v="240.25"/>
    <n v="15527.78"/>
    <n v="1257058.5"/>
    <n v="821"/>
    <x v="1"/>
    <s v="Pending"/>
    <x v="3"/>
    <s v="Verified"/>
    <x v="0"/>
  </r>
  <r>
    <x v="575"/>
    <s v="2025-08-30"/>
    <x v="2"/>
    <x v="555"/>
    <x v="1"/>
    <s v="D"/>
    <x v="3"/>
    <x v="0"/>
    <s v="USD"/>
    <n v="108917.06"/>
    <n v="361.28"/>
    <n v="65.03"/>
    <n v="215.49"/>
    <n v="109127.88"/>
    <n v="1253036.68"/>
    <n v="846"/>
    <x v="1"/>
    <s v="Pending"/>
    <x v="2"/>
    <s v="Review"/>
    <x v="8"/>
  </r>
  <r>
    <x v="576"/>
    <s v="2025-08-11"/>
    <x v="1"/>
    <x v="556"/>
    <x v="2"/>
    <s v="C"/>
    <x v="2"/>
    <x v="0"/>
    <s v="USD"/>
    <n v="4130.01"/>
    <n v="31.12"/>
    <n v="5.6"/>
    <n v="474.99"/>
    <n v="3691.74"/>
    <n v="1257282.51"/>
    <n v="815"/>
    <x v="2"/>
    <s v="Completed"/>
    <x v="2"/>
    <s v="Review"/>
    <x v="8"/>
  </r>
  <r>
    <x v="577"/>
    <s v="2025-05-05"/>
    <x v="2"/>
    <x v="557"/>
    <x v="2"/>
    <s v="A"/>
    <x v="2"/>
    <x v="0"/>
    <s v="INR"/>
    <n v="29329.38"/>
    <n v="388.98"/>
    <n v="70.02"/>
    <n v="103.89"/>
    <n v="29684.49"/>
    <n v="1259828.04"/>
    <n v="514"/>
    <x v="2"/>
    <s v="Pending"/>
    <x v="3"/>
    <s v="Verified"/>
    <x v="5"/>
  </r>
  <r>
    <x v="578"/>
    <s v="2025-06-17"/>
    <x v="2"/>
    <x v="558"/>
    <x v="0"/>
    <s v="C"/>
    <x v="1"/>
    <x v="4"/>
    <s v="EUR"/>
    <n v="126960.89"/>
    <n v="480.46"/>
    <n v="86.48"/>
    <n v="468.07"/>
    <n v="127059.76"/>
    <n v="1268945.6200000001"/>
    <n v="879"/>
    <x v="2"/>
    <s v="Completed"/>
    <x v="0"/>
    <s v="Verified"/>
    <x v="10"/>
  </r>
  <r>
    <x v="579"/>
    <s v="2025-01-21"/>
    <x v="2"/>
    <x v="559"/>
    <x v="3"/>
    <s v="B"/>
    <x v="0"/>
    <x v="1"/>
    <s v="USD"/>
    <n v="198680.83"/>
    <n v="1248.1300000000001"/>
    <n v="224.66"/>
    <n v="492.44"/>
    <n v="199661.18"/>
    <n v="1274157.31"/>
    <n v="456"/>
    <x v="0"/>
    <s v="Failed"/>
    <x v="0"/>
    <s v="Verified"/>
    <x v="4"/>
  </r>
  <r>
    <x v="580"/>
    <s v="2025-10-02"/>
    <x v="2"/>
    <x v="560"/>
    <x v="3"/>
    <s v="C"/>
    <x v="0"/>
    <x v="0"/>
    <s v="USD"/>
    <n v="15428.35"/>
    <n v="121.42"/>
    <n v="21.86"/>
    <n v="414.27"/>
    <n v="15157.36"/>
    <n v="1277010.46"/>
    <n v="425"/>
    <x v="1"/>
    <s v="Failed"/>
    <x v="2"/>
    <s v="None"/>
    <x v="6"/>
  </r>
  <r>
    <x v="581"/>
    <s v="2025-06-14"/>
    <x v="1"/>
    <x v="561"/>
    <x v="1"/>
    <s v="B"/>
    <x v="3"/>
    <x v="1"/>
    <s v="INR"/>
    <n v="97375.39"/>
    <n v="1739.69"/>
    <n v="313.14"/>
    <n v="198.84"/>
    <n v="99229.38"/>
    <n v="1282579.2"/>
    <n v="710"/>
    <x v="0"/>
    <s v="Pending"/>
    <x v="2"/>
    <s v="Review"/>
    <x v="10"/>
  </r>
  <r>
    <x v="582"/>
    <s v="2025-09-26"/>
    <x v="0"/>
    <x v="562"/>
    <x v="2"/>
    <s v="C"/>
    <x v="1"/>
    <x v="4"/>
    <s v="USD"/>
    <n v="122171.44"/>
    <n v="1549.59"/>
    <n v="278.93"/>
    <n v="273.75"/>
    <n v="123726.21"/>
    <n v="1283499.76"/>
    <n v="733"/>
    <x v="0"/>
    <s v="Completed"/>
    <x v="0"/>
    <s v="Review"/>
    <x v="11"/>
  </r>
  <r>
    <x v="583"/>
    <s v="2025-07-24"/>
    <x v="2"/>
    <x v="159"/>
    <x v="1"/>
    <s v="B"/>
    <x v="3"/>
    <x v="0"/>
    <s v="EUR"/>
    <n v="158629.62"/>
    <n v="605.02"/>
    <n v="108.9"/>
    <n v="355.08"/>
    <n v="158988.46"/>
    <n v="1283289.92"/>
    <n v="538"/>
    <x v="2"/>
    <s v="Completed"/>
    <x v="1"/>
    <s v="Review"/>
    <x v="7"/>
  </r>
  <r>
    <x v="584"/>
    <s v="2025-09-08"/>
    <x v="0"/>
    <x v="563"/>
    <x v="1"/>
    <s v="C"/>
    <x v="3"/>
    <x v="1"/>
    <s v="EUR"/>
    <n v="49186.6"/>
    <n v="162.24"/>
    <n v="29.2"/>
    <n v="91.5"/>
    <n v="49286.54"/>
    <n v="1278691.72"/>
    <n v="557"/>
    <x v="0"/>
    <s v="Failed"/>
    <x v="3"/>
    <s v="Review"/>
    <x v="11"/>
  </r>
  <r>
    <x v="585"/>
    <s v="2025-05-20"/>
    <x v="1"/>
    <x v="564"/>
    <x v="1"/>
    <s v="B"/>
    <x v="3"/>
    <x v="3"/>
    <s v="USD"/>
    <n v="145374.41"/>
    <n v="1080.53"/>
    <n v="194.5"/>
    <n v="337.22"/>
    <n v="146312.22"/>
    <n v="1277051.05"/>
    <n v="725"/>
    <x v="0"/>
    <s v="Pending"/>
    <x v="2"/>
    <s v="None"/>
    <x v="5"/>
  </r>
  <r>
    <x v="586"/>
    <s v="2025-04-30"/>
    <x v="1"/>
    <x v="287"/>
    <x v="0"/>
    <s v="A"/>
    <x v="0"/>
    <x v="0"/>
    <s v="EUR"/>
    <n v="19960.150000000001"/>
    <n v="70.39"/>
    <n v="12.67"/>
    <n v="121.24"/>
    <n v="19921.97"/>
    <n v="1273635.76"/>
    <n v="818"/>
    <x v="0"/>
    <s v="Pending"/>
    <x v="0"/>
    <s v="Review"/>
    <x v="2"/>
  </r>
  <r>
    <x v="587"/>
    <s v="2025-07-28"/>
    <x v="1"/>
    <x v="565"/>
    <x v="0"/>
    <s v="C"/>
    <x v="0"/>
    <x v="4"/>
    <s v="USD"/>
    <n v="27510.62"/>
    <n v="495.22"/>
    <n v="89.14"/>
    <n v="232.58"/>
    <n v="27862.400000000001"/>
    <n v="1268831.45"/>
    <n v="754"/>
    <x v="1"/>
    <s v="Completed"/>
    <x v="2"/>
    <s v="Review"/>
    <x v="7"/>
  </r>
  <r>
    <x v="588"/>
    <s v="2025-12-14"/>
    <x v="1"/>
    <x v="566"/>
    <x v="1"/>
    <s v="B"/>
    <x v="2"/>
    <x v="0"/>
    <s v="INR"/>
    <n v="192083.86"/>
    <n v="3024.54"/>
    <n v="544.41999999999996"/>
    <n v="488.32"/>
    <n v="195164.5"/>
    <n v="1267627.94"/>
    <n v="552"/>
    <x v="1"/>
    <s v="Failed"/>
    <x v="0"/>
    <s v="Verified"/>
    <x v="9"/>
  </r>
  <r>
    <x v="589"/>
    <s v="2025-02-24"/>
    <x v="1"/>
    <x v="567"/>
    <x v="1"/>
    <s v="B"/>
    <x v="0"/>
    <x v="4"/>
    <s v="INR"/>
    <n v="93854.11"/>
    <n v="162.80000000000001"/>
    <n v="29.3"/>
    <n v="4.29"/>
    <n v="94041.919999999998"/>
    <n v="1271629.76"/>
    <n v="591"/>
    <x v="1"/>
    <s v="Completed"/>
    <x v="0"/>
    <s v="None"/>
    <x v="0"/>
  </r>
  <r>
    <x v="590"/>
    <s v="2025-07-07"/>
    <x v="0"/>
    <x v="568"/>
    <x v="2"/>
    <s v="D"/>
    <x v="3"/>
    <x v="0"/>
    <s v="EUR"/>
    <n v="67465.86"/>
    <n v="645.1"/>
    <n v="116.12"/>
    <n v="80.94"/>
    <n v="68146.14"/>
    <n v="1276170.18"/>
    <n v="351"/>
    <x v="0"/>
    <s v="Completed"/>
    <x v="1"/>
    <s v="Review"/>
    <x v="7"/>
  </r>
  <r>
    <x v="591"/>
    <s v="2025-12-20"/>
    <x v="1"/>
    <x v="569"/>
    <x v="2"/>
    <s v="C"/>
    <x v="2"/>
    <x v="4"/>
    <s v="INR"/>
    <n v="16913.240000000002"/>
    <n v="157.25"/>
    <n v="28.3"/>
    <n v="322.19"/>
    <n v="16776.599999999999"/>
    <n v="1279688.5900000001"/>
    <n v="316"/>
    <x v="2"/>
    <s v="Failed"/>
    <x v="3"/>
    <s v="None"/>
    <x v="9"/>
  </r>
  <r>
    <x v="592"/>
    <s v="2025-01-08"/>
    <x v="0"/>
    <x v="77"/>
    <x v="0"/>
    <s v="A"/>
    <x v="2"/>
    <x v="4"/>
    <s v="USD"/>
    <n v="91746.33"/>
    <n v="808.43"/>
    <n v="145.52000000000001"/>
    <n v="486.37"/>
    <n v="92213.91"/>
    <n v="1287171.27"/>
    <n v="496"/>
    <x v="0"/>
    <s v="Completed"/>
    <x v="3"/>
    <s v="Review"/>
    <x v="4"/>
  </r>
  <r>
    <x v="593"/>
    <s v="2025-04-08"/>
    <x v="2"/>
    <x v="570"/>
    <x v="0"/>
    <s v="D"/>
    <x v="1"/>
    <x v="2"/>
    <s v="INR"/>
    <n v="20209.14"/>
    <n v="270.76"/>
    <n v="48.74"/>
    <n v="35.17"/>
    <n v="20493.47"/>
    <n v="1292106.1299999999"/>
    <n v="783"/>
    <x v="1"/>
    <s v="Pending"/>
    <x v="0"/>
    <s v="Verified"/>
    <x v="2"/>
  </r>
  <r>
    <x v="594"/>
    <s v="2025-10-06"/>
    <x v="2"/>
    <x v="571"/>
    <x v="0"/>
    <s v="D"/>
    <x v="0"/>
    <x v="1"/>
    <s v="EUR"/>
    <n v="100580.48"/>
    <n v="1685.32"/>
    <n v="303.36"/>
    <n v="340.82"/>
    <n v="102228.34"/>
    <n v="1294347.7"/>
    <n v="807"/>
    <x v="2"/>
    <s v="Completed"/>
    <x v="3"/>
    <s v="Verified"/>
    <x v="6"/>
  </r>
  <r>
    <x v="595"/>
    <s v="2025-12-05"/>
    <x v="2"/>
    <x v="572"/>
    <x v="1"/>
    <s v="D"/>
    <x v="2"/>
    <x v="0"/>
    <s v="EUR"/>
    <n v="108089.32"/>
    <n v="682.28"/>
    <n v="122.81"/>
    <n v="202.77"/>
    <n v="108691.64"/>
    <n v="1298916.77"/>
    <n v="738"/>
    <x v="2"/>
    <s v="Completed"/>
    <x v="1"/>
    <s v="Verified"/>
    <x v="9"/>
  </r>
  <r>
    <x v="596"/>
    <s v="2025-04-15"/>
    <x v="2"/>
    <x v="573"/>
    <x v="2"/>
    <s v="D"/>
    <x v="2"/>
    <x v="2"/>
    <s v="INR"/>
    <n v="29709.43"/>
    <n v="539.45000000000005"/>
    <n v="97.1"/>
    <n v="61.19"/>
    <n v="30284.79"/>
    <n v="1304267.7"/>
    <n v="370"/>
    <x v="2"/>
    <s v="Completed"/>
    <x v="3"/>
    <s v="None"/>
    <x v="2"/>
  </r>
  <r>
    <x v="597"/>
    <s v="2025-12-16"/>
    <x v="0"/>
    <x v="511"/>
    <x v="2"/>
    <s v="C"/>
    <x v="1"/>
    <x v="3"/>
    <s v="USD"/>
    <n v="82744.95"/>
    <n v="435.42"/>
    <n v="78.38"/>
    <n v="164.91"/>
    <n v="83093.84"/>
    <n v="1309967.78"/>
    <n v="776"/>
    <x v="2"/>
    <s v="Pending"/>
    <x v="0"/>
    <s v="Review"/>
    <x v="9"/>
  </r>
  <r>
    <x v="598"/>
    <s v="2025-11-30"/>
    <x v="0"/>
    <x v="574"/>
    <x v="3"/>
    <s v="C"/>
    <x v="0"/>
    <x v="3"/>
    <s v="USD"/>
    <n v="128322.25"/>
    <n v="1680.85"/>
    <n v="302.55"/>
    <n v="76.23"/>
    <n v="130229.42"/>
    <n v="1318915.44"/>
    <n v="796"/>
    <x v="2"/>
    <s v="Pending"/>
    <x v="1"/>
    <s v="Review"/>
    <x v="1"/>
  </r>
  <r>
    <x v="599"/>
    <s v="2025-06-16"/>
    <x v="1"/>
    <x v="477"/>
    <x v="1"/>
    <s v="C"/>
    <x v="2"/>
    <x v="3"/>
    <s v="INR"/>
    <n v="152807.07"/>
    <n v="2718.46"/>
    <n v="489.32"/>
    <n v="298.41000000000003"/>
    <n v="155716.44"/>
    <n v="1324328.33"/>
    <n v="549"/>
    <x v="0"/>
    <s v="Completed"/>
    <x v="0"/>
    <s v="Verified"/>
    <x v="10"/>
  </r>
  <r>
    <x v="600"/>
    <s v="2025-04-06"/>
    <x v="0"/>
    <x v="575"/>
    <x v="0"/>
    <s v="B"/>
    <x v="2"/>
    <x v="4"/>
    <s v="INR"/>
    <n v="185496.44"/>
    <n v="3134.43"/>
    <n v="564.20000000000005"/>
    <n v="367.6"/>
    <n v="188827.47"/>
    <n v="1330088.3899999999"/>
    <n v="818"/>
    <x v="2"/>
    <s v="Pending"/>
    <x v="1"/>
    <s v="Review"/>
    <x v="2"/>
  </r>
  <r>
    <x v="601"/>
    <s v="2025-05-01"/>
    <x v="1"/>
    <x v="576"/>
    <x v="1"/>
    <s v="B"/>
    <x v="2"/>
    <x v="1"/>
    <s v="USD"/>
    <n v="98549.66"/>
    <n v="115.7"/>
    <n v="20.83"/>
    <n v="425.98"/>
    <n v="98260.21"/>
    <n v="1327333.3899999999"/>
    <n v="630"/>
    <x v="2"/>
    <s v="Failed"/>
    <x v="0"/>
    <s v="Review"/>
    <x v="5"/>
  </r>
  <r>
    <x v="602"/>
    <s v="2025-01-16"/>
    <x v="1"/>
    <x v="577"/>
    <x v="0"/>
    <s v="A"/>
    <x v="1"/>
    <x v="4"/>
    <s v="USD"/>
    <n v="157797.17000000001"/>
    <n v="173.14"/>
    <n v="31.17"/>
    <n v="33.840000000000003"/>
    <n v="157967.64000000001"/>
    <n v="1323416.0900000001"/>
    <n v="556"/>
    <x v="1"/>
    <s v="Completed"/>
    <x v="1"/>
    <s v="Verified"/>
    <x v="4"/>
  </r>
  <r>
    <x v="603"/>
    <s v="2025-11-08"/>
    <x v="2"/>
    <x v="578"/>
    <x v="3"/>
    <s v="A"/>
    <x v="2"/>
    <x v="4"/>
    <s v="EUR"/>
    <n v="157538.82999999999"/>
    <n v="1749.98"/>
    <n v="315"/>
    <n v="104.76"/>
    <n v="159499.04999999999"/>
    <n v="1329924.3400000001"/>
    <n v="561"/>
    <x v="1"/>
    <s v="Failed"/>
    <x v="0"/>
    <s v="Review"/>
    <x v="1"/>
  </r>
  <r>
    <x v="604"/>
    <s v="2025-01-06"/>
    <x v="2"/>
    <x v="579"/>
    <x v="0"/>
    <s v="A"/>
    <x v="2"/>
    <x v="2"/>
    <s v="EUR"/>
    <n v="154960.51"/>
    <n v="1565.29"/>
    <n v="281.75"/>
    <n v="67.62"/>
    <n v="156739.93"/>
    <n v="1334049.7"/>
    <n v="484"/>
    <x v="2"/>
    <s v="Pending"/>
    <x v="0"/>
    <s v="Review"/>
    <x v="4"/>
  </r>
  <r>
    <x v="605"/>
    <s v="2025-05-27"/>
    <x v="1"/>
    <x v="580"/>
    <x v="3"/>
    <s v="D"/>
    <x v="0"/>
    <x v="0"/>
    <s v="USD"/>
    <n v="59896.78"/>
    <n v="130.41"/>
    <n v="23.47"/>
    <n v="411.13"/>
    <n v="59639.53"/>
    <n v="1343789.92"/>
    <n v="427"/>
    <x v="1"/>
    <s v="Failed"/>
    <x v="3"/>
    <s v="None"/>
    <x v="5"/>
  </r>
  <r>
    <x v="606"/>
    <s v="2025-12-11"/>
    <x v="1"/>
    <x v="581"/>
    <x v="1"/>
    <s v="A"/>
    <x v="0"/>
    <x v="2"/>
    <s v="INR"/>
    <n v="126027.98"/>
    <n v="728.19"/>
    <n v="131.07"/>
    <n v="265.61"/>
    <n v="126621.63"/>
    <n v="1340937.48"/>
    <n v="881"/>
    <x v="2"/>
    <s v="Failed"/>
    <x v="0"/>
    <s v="None"/>
    <x v="9"/>
  </r>
  <r>
    <x v="607"/>
    <s v="2025-01-05"/>
    <x v="1"/>
    <x v="582"/>
    <x v="0"/>
    <s v="C"/>
    <x v="1"/>
    <x v="3"/>
    <s v="INR"/>
    <n v="124351.97"/>
    <n v="2402.34"/>
    <n v="432.42"/>
    <n v="146.22"/>
    <n v="127040.51"/>
    <n v="1348559.03"/>
    <n v="676"/>
    <x v="0"/>
    <s v="Failed"/>
    <x v="2"/>
    <s v="Review"/>
    <x v="4"/>
  </r>
  <r>
    <x v="608"/>
    <s v="2025-08-09"/>
    <x v="2"/>
    <x v="583"/>
    <x v="0"/>
    <s v="B"/>
    <x v="3"/>
    <x v="3"/>
    <s v="INR"/>
    <n v="29983.06"/>
    <n v="562.19000000000005"/>
    <n v="101.19"/>
    <n v="225.27"/>
    <n v="30421.17"/>
    <n v="1344116.56"/>
    <n v="545"/>
    <x v="2"/>
    <s v="Pending"/>
    <x v="3"/>
    <s v="Verified"/>
    <x v="8"/>
  </r>
  <r>
    <x v="609"/>
    <s v="2025-05-12"/>
    <x v="0"/>
    <x v="584"/>
    <x v="0"/>
    <s v="B"/>
    <x v="1"/>
    <x v="1"/>
    <s v="INR"/>
    <n v="130351.88"/>
    <n v="1932.45"/>
    <n v="347.84"/>
    <n v="353.56"/>
    <n v="132278.60999999999"/>
    <n v="1347246.85"/>
    <n v="603"/>
    <x v="1"/>
    <s v="Completed"/>
    <x v="0"/>
    <s v="Verified"/>
    <x v="5"/>
  </r>
  <r>
    <x v="610"/>
    <s v="2025-02-13"/>
    <x v="2"/>
    <x v="585"/>
    <x v="1"/>
    <s v="C"/>
    <x v="3"/>
    <x v="1"/>
    <s v="USD"/>
    <n v="29501.7"/>
    <n v="302.72000000000003"/>
    <n v="54.49"/>
    <n v="454.77"/>
    <n v="29404.14"/>
    <n v="1345121.04"/>
    <n v="898"/>
    <x v="2"/>
    <s v="Failed"/>
    <x v="0"/>
    <s v="Verified"/>
    <x v="0"/>
  </r>
  <r>
    <x v="611"/>
    <s v="2025-11-25"/>
    <x v="2"/>
    <x v="586"/>
    <x v="2"/>
    <s v="B"/>
    <x v="1"/>
    <x v="1"/>
    <s v="USD"/>
    <n v="190001.52"/>
    <n v="1960.58"/>
    <n v="352.9"/>
    <n v="59.63"/>
    <n v="192255.37"/>
    <n v="1353095.01"/>
    <n v="483"/>
    <x v="2"/>
    <s v="Pending"/>
    <x v="2"/>
    <s v="Review"/>
    <x v="1"/>
  </r>
  <r>
    <x v="612"/>
    <s v="2025-12-19"/>
    <x v="2"/>
    <x v="587"/>
    <x v="0"/>
    <s v="C"/>
    <x v="3"/>
    <x v="3"/>
    <s v="EUR"/>
    <n v="53782.04"/>
    <n v="145.38"/>
    <n v="26.17"/>
    <n v="250.86"/>
    <n v="53702.73"/>
    <n v="1354860.52"/>
    <n v="778"/>
    <x v="0"/>
    <s v="Failed"/>
    <x v="2"/>
    <s v="None"/>
    <x v="9"/>
  </r>
  <r>
    <x v="613"/>
    <s v="2025-03-09"/>
    <x v="1"/>
    <x v="588"/>
    <x v="0"/>
    <s v="B"/>
    <x v="3"/>
    <x v="4"/>
    <s v="USD"/>
    <n v="130918.93"/>
    <n v="2360.9299999999998"/>
    <n v="424.97"/>
    <n v="400.82"/>
    <n v="133304.01"/>
    <n v="1359835.26"/>
    <n v="657"/>
    <x v="1"/>
    <s v="Failed"/>
    <x v="3"/>
    <s v="None"/>
    <x v="3"/>
  </r>
  <r>
    <x v="614"/>
    <s v="2025-05-29"/>
    <x v="0"/>
    <x v="589"/>
    <x v="3"/>
    <s v="A"/>
    <x v="1"/>
    <x v="0"/>
    <s v="USD"/>
    <n v="74874.850000000006"/>
    <n v="680.41"/>
    <n v="122.47"/>
    <n v="396.79"/>
    <n v="75280.94"/>
    <n v="1362942.88"/>
    <n v="705"/>
    <x v="1"/>
    <s v="Completed"/>
    <x v="1"/>
    <s v="Verified"/>
    <x v="5"/>
  </r>
  <r>
    <x v="615"/>
    <s v="2025-10-25"/>
    <x v="1"/>
    <x v="590"/>
    <x v="2"/>
    <s v="C"/>
    <x v="1"/>
    <x v="2"/>
    <s v="INR"/>
    <n v="172774.01"/>
    <n v="434.87"/>
    <n v="78.28"/>
    <n v="243.7"/>
    <n v="173043.46"/>
    <n v="1365216.76"/>
    <n v="778"/>
    <x v="1"/>
    <s v="Completed"/>
    <x v="1"/>
    <s v="None"/>
    <x v="6"/>
  </r>
  <r>
    <x v="616"/>
    <s v="2025-12-06"/>
    <x v="1"/>
    <x v="591"/>
    <x v="2"/>
    <s v="C"/>
    <x v="1"/>
    <x v="0"/>
    <s v="INR"/>
    <n v="195083.58"/>
    <n v="2110.2399999999998"/>
    <n v="379.84"/>
    <n v="376.73"/>
    <n v="197196.93"/>
    <n v="1374609.1"/>
    <n v="600"/>
    <x v="1"/>
    <s v="Pending"/>
    <x v="2"/>
    <s v="Verified"/>
    <x v="9"/>
  </r>
  <r>
    <x v="617"/>
    <s v="2025-11-17"/>
    <x v="1"/>
    <x v="592"/>
    <x v="2"/>
    <s v="C"/>
    <x v="0"/>
    <x v="3"/>
    <s v="INR"/>
    <n v="33305.03"/>
    <n v="390.2"/>
    <n v="70.239999999999995"/>
    <n v="110.4"/>
    <n v="33655.07"/>
    <n v="1370009.82"/>
    <n v="617"/>
    <x v="0"/>
    <s v="Failed"/>
    <x v="2"/>
    <s v="None"/>
    <x v="1"/>
  </r>
  <r>
    <x v="618"/>
    <s v="2025-03-31"/>
    <x v="0"/>
    <x v="593"/>
    <x v="1"/>
    <s v="C"/>
    <x v="2"/>
    <x v="4"/>
    <s v="EUR"/>
    <n v="20231.05"/>
    <n v="310.93"/>
    <n v="55.97"/>
    <n v="213.88"/>
    <n v="20384.07"/>
    <n v="1374746.48"/>
    <n v="754"/>
    <x v="1"/>
    <s v="Completed"/>
    <x v="1"/>
    <s v="Verified"/>
    <x v="3"/>
  </r>
  <r>
    <x v="619"/>
    <s v="2025-07-21"/>
    <x v="1"/>
    <x v="594"/>
    <x v="2"/>
    <s v="B"/>
    <x v="1"/>
    <x v="1"/>
    <s v="EUR"/>
    <n v="19327.759999999998"/>
    <n v="159.69"/>
    <n v="28.74"/>
    <n v="248.01"/>
    <n v="19268.18"/>
    <n v="1373222.69"/>
    <n v="749"/>
    <x v="2"/>
    <s v="Failed"/>
    <x v="0"/>
    <s v="Verified"/>
    <x v="7"/>
  </r>
  <r>
    <x v="620"/>
    <s v="2025-11-08"/>
    <x v="2"/>
    <x v="595"/>
    <x v="1"/>
    <s v="C"/>
    <x v="1"/>
    <x v="1"/>
    <s v="INR"/>
    <n v="156509.60999999999"/>
    <n v="3089.14"/>
    <n v="556.04999999999995"/>
    <n v="207.42"/>
    <n v="159947.38"/>
    <n v="1375554.3"/>
    <n v="380"/>
    <x v="0"/>
    <s v="Failed"/>
    <x v="0"/>
    <s v="Verified"/>
    <x v="1"/>
  </r>
  <r>
    <x v="621"/>
    <s v="2025-12-15"/>
    <x v="2"/>
    <x v="596"/>
    <x v="2"/>
    <s v="C"/>
    <x v="3"/>
    <x v="0"/>
    <s v="INR"/>
    <n v="161775.29"/>
    <n v="529.44000000000005"/>
    <n v="95.3"/>
    <n v="162.55000000000001"/>
    <n v="162237.48000000001"/>
    <n v="1379719.29"/>
    <n v="494"/>
    <x v="0"/>
    <s v="Pending"/>
    <x v="3"/>
    <s v="None"/>
    <x v="9"/>
  </r>
  <r>
    <x v="622"/>
    <s v="2025-02-18"/>
    <x v="2"/>
    <x v="597"/>
    <x v="3"/>
    <s v="D"/>
    <x v="0"/>
    <x v="1"/>
    <s v="INR"/>
    <n v="15208.15"/>
    <n v="157.62"/>
    <n v="28.37"/>
    <n v="94.39"/>
    <n v="15299.75"/>
    <n v="1384224.18"/>
    <n v="694"/>
    <x v="1"/>
    <s v="Pending"/>
    <x v="0"/>
    <s v="Verified"/>
    <x v="0"/>
  </r>
  <r>
    <x v="623"/>
    <s v="2025-12-07"/>
    <x v="1"/>
    <x v="598"/>
    <x v="0"/>
    <s v="D"/>
    <x v="3"/>
    <x v="4"/>
    <s v="INR"/>
    <n v="68232.38"/>
    <n v="194.23"/>
    <n v="34.96"/>
    <n v="404.84"/>
    <n v="68056.73"/>
    <n v="1388009.39"/>
    <n v="448"/>
    <x v="1"/>
    <s v="Failed"/>
    <x v="2"/>
    <s v="Review"/>
    <x v="9"/>
  </r>
  <r>
    <x v="624"/>
    <s v="2025-07-26"/>
    <x v="0"/>
    <x v="599"/>
    <x v="2"/>
    <s v="D"/>
    <x v="2"/>
    <x v="0"/>
    <s v="INR"/>
    <n v="88016.66"/>
    <n v="271.47000000000003"/>
    <n v="48.86"/>
    <n v="363.17"/>
    <n v="87973.82"/>
    <n v="1391569.55"/>
    <n v="502"/>
    <x v="2"/>
    <s v="Pending"/>
    <x v="0"/>
    <s v="Verified"/>
    <x v="7"/>
  </r>
  <r>
    <x v="625"/>
    <s v="2025-11-11"/>
    <x v="2"/>
    <x v="600"/>
    <x v="3"/>
    <s v="C"/>
    <x v="0"/>
    <x v="0"/>
    <s v="INR"/>
    <n v="94100.45"/>
    <n v="1533.52"/>
    <n v="276.02999999999997"/>
    <n v="77.569999999999993"/>
    <n v="95832.43"/>
    <n v="1390711.27"/>
    <n v="668"/>
    <x v="2"/>
    <s v="Failed"/>
    <x v="0"/>
    <s v="Review"/>
    <x v="1"/>
  </r>
  <r>
    <x v="626"/>
    <s v="2025-10-30"/>
    <x v="0"/>
    <x v="601"/>
    <x v="0"/>
    <s v="C"/>
    <x v="3"/>
    <x v="4"/>
    <s v="USD"/>
    <n v="127485.44"/>
    <n v="1828.2"/>
    <n v="329.08"/>
    <n v="251.77"/>
    <n v="129390.95"/>
    <n v="1399121.87"/>
    <n v="628"/>
    <x v="1"/>
    <s v="Pending"/>
    <x v="0"/>
    <s v="Review"/>
    <x v="6"/>
  </r>
  <r>
    <x v="627"/>
    <s v="2025-06-26"/>
    <x v="0"/>
    <x v="602"/>
    <x v="2"/>
    <s v="A"/>
    <x v="2"/>
    <x v="1"/>
    <s v="USD"/>
    <n v="116904.37"/>
    <n v="1733.32"/>
    <n v="312"/>
    <n v="409.75"/>
    <n v="118539.94"/>
    <n v="1406389.59"/>
    <n v="715"/>
    <x v="2"/>
    <s v="Failed"/>
    <x v="0"/>
    <s v="Verified"/>
    <x v="10"/>
  </r>
  <r>
    <x v="628"/>
    <s v="2025-12-27"/>
    <x v="1"/>
    <x v="603"/>
    <x v="2"/>
    <s v="B"/>
    <x v="2"/>
    <x v="4"/>
    <s v="INR"/>
    <n v="129150.78"/>
    <n v="1010.82"/>
    <n v="181.95"/>
    <n v="470.08"/>
    <n v="129873.47"/>
    <n v="1411733.83"/>
    <n v="367"/>
    <x v="2"/>
    <s v="Failed"/>
    <x v="1"/>
    <s v="None"/>
    <x v="9"/>
  </r>
  <r>
    <x v="629"/>
    <s v="2025-10-05"/>
    <x v="1"/>
    <x v="604"/>
    <x v="3"/>
    <s v="D"/>
    <x v="2"/>
    <x v="1"/>
    <s v="EUR"/>
    <n v="57010.17"/>
    <n v="810.16"/>
    <n v="145.83000000000001"/>
    <n v="151.54"/>
    <n v="57814.62"/>
    <n v="1418246.62"/>
    <n v="315"/>
    <x v="0"/>
    <s v="Completed"/>
    <x v="3"/>
    <s v="Review"/>
    <x v="6"/>
  </r>
  <r>
    <x v="630"/>
    <s v="2025-11-11"/>
    <x v="1"/>
    <x v="605"/>
    <x v="3"/>
    <s v="A"/>
    <x v="3"/>
    <x v="2"/>
    <s v="USD"/>
    <n v="186567.09"/>
    <n v="3352.81"/>
    <n v="603.51"/>
    <n v="290.88"/>
    <n v="190232.53"/>
    <n v="1428198.21"/>
    <n v="336"/>
    <x v="1"/>
    <s v="Failed"/>
    <x v="1"/>
    <s v="Verified"/>
    <x v="1"/>
  </r>
  <r>
    <x v="631"/>
    <s v="2025-05-17"/>
    <x v="0"/>
    <x v="606"/>
    <x v="1"/>
    <s v="C"/>
    <x v="3"/>
    <x v="4"/>
    <s v="USD"/>
    <n v="199694.27"/>
    <n v="1447.45"/>
    <n v="260.54000000000002"/>
    <n v="102.69"/>
    <n v="201299.57"/>
    <n v="1432249.01"/>
    <n v="302"/>
    <x v="2"/>
    <s v="Pending"/>
    <x v="3"/>
    <s v="Review"/>
    <x v="5"/>
  </r>
  <r>
    <x v="632"/>
    <s v="2025-11-09"/>
    <x v="0"/>
    <x v="607"/>
    <x v="2"/>
    <s v="B"/>
    <x v="3"/>
    <x v="2"/>
    <s v="EUR"/>
    <n v="96544.23"/>
    <n v="505.17"/>
    <n v="90.93"/>
    <n v="271.97000000000003"/>
    <n v="96868.36"/>
    <n v="1438538.54"/>
    <n v="454"/>
    <x v="2"/>
    <s v="Completed"/>
    <x v="1"/>
    <s v="Verified"/>
    <x v="1"/>
  </r>
  <r>
    <x v="633"/>
    <s v="2025-02-21"/>
    <x v="0"/>
    <x v="608"/>
    <x v="2"/>
    <s v="D"/>
    <x v="3"/>
    <x v="1"/>
    <s v="USD"/>
    <n v="199041.45"/>
    <n v="3698.25"/>
    <n v="665.68"/>
    <n v="326.44"/>
    <n v="203078.94"/>
    <n v="1440437.12"/>
    <n v="871"/>
    <x v="2"/>
    <s v="Failed"/>
    <x v="3"/>
    <s v="None"/>
    <x v="0"/>
  </r>
  <r>
    <x v="634"/>
    <s v="2025-01-02"/>
    <x v="0"/>
    <x v="609"/>
    <x v="3"/>
    <s v="A"/>
    <x v="3"/>
    <x v="0"/>
    <s v="EUR"/>
    <n v="69030.5"/>
    <n v="615.95000000000005"/>
    <n v="110.87"/>
    <n v="194.76"/>
    <n v="69562.559999999998"/>
    <n v="1448618.27"/>
    <n v="577"/>
    <x v="0"/>
    <s v="Completed"/>
    <x v="1"/>
    <s v="None"/>
    <x v="4"/>
  </r>
  <r>
    <x v="635"/>
    <s v="2025-06-21"/>
    <x v="1"/>
    <x v="610"/>
    <x v="0"/>
    <s v="A"/>
    <x v="2"/>
    <x v="3"/>
    <s v="EUR"/>
    <n v="108486.43"/>
    <n v="1164.27"/>
    <n v="209.57"/>
    <n v="381.82"/>
    <n v="109478.45"/>
    <n v="1446612.83"/>
    <n v="373"/>
    <x v="2"/>
    <s v="Failed"/>
    <x v="2"/>
    <s v="Review"/>
    <x v="10"/>
  </r>
  <r>
    <x v="636"/>
    <s v="2025-07-06"/>
    <x v="1"/>
    <x v="611"/>
    <x v="3"/>
    <s v="D"/>
    <x v="1"/>
    <x v="0"/>
    <s v="INR"/>
    <n v="104084.83"/>
    <n v="1346.93"/>
    <n v="242.45"/>
    <n v="22.55"/>
    <n v="105651.66"/>
    <n v="1455319.59"/>
    <n v="301"/>
    <x v="1"/>
    <s v="Pending"/>
    <x v="1"/>
    <s v="Verified"/>
    <x v="7"/>
  </r>
  <r>
    <x v="637"/>
    <s v="2025-04-21"/>
    <x v="0"/>
    <x v="612"/>
    <x v="0"/>
    <s v="C"/>
    <x v="3"/>
    <x v="4"/>
    <s v="INR"/>
    <n v="193594.65"/>
    <n v="1780.1"/>
    <n v="320.42"/>
    <n v="285.85000000000002"/>
    <n v="195409.32"/>
    <n v="1457699.64"/>
    <n v="605"/>
    <x v="2"/>
    <s v="Pending"/>
    <x v="2"/>
    <s v="Verified"/>
    <x v="2"/>
  </r>
  <r>
    <x v="638"/>
    <s v="2025-11-14"/>
    <x v="2"/>
    <x v="613"/>
    <x v="2"/>
    <s v="C"/>
    <x v="0"/>
    <x v="1"/>
    <s v="USD"/>
    <n v="33716.239999999998"/>
    <n v="391.29"/>
    <n v="70.430000000000007"/>
    <n v="302.95999999999998"/>
    <n v="33875"/>
    <n v="1453541.51"/>
    <n v="472"/>
    <x v="0"/>
    <s v="Pending"/>
    <x v="0"/>
    <s v="Review"/>
    <x v="1"/>
  </r>
  <r>
    <x v="639"/>
    <s v="2025-02-02"/>
    <x v="2"/>
    <x v="614"/>
    <x v="2"/>
    <s v="B"/>
    <x v="3"/>
    <x v="2"/>
    <s v="USD"/>
    <n v="32695.05"/>
    <n v="293.02999999999997"/>
    <n v="52.75"/>
    <n v="453.17"/>
    <n v="32587.66"/>
    <n v="1458807.65"/>
    <n v="873"/>
    <x v="1"/>
    <s v="Pending"/>
    <x v="3"/>
    <s v="None"/>
    <x v="0"/>
  </r>
  <r>
    <x v="640"/>
    <s v="2025-01-15"/>
    <x v="2"/>
    <x v="615"/>
    <x v="1"/>
    <s v="B"/>
    <x v="1"/>
    <x v="4"/>
    <s v="EUR"/>
    <n v="167217.32999999999"/>
    <n v="719.42"/>
    <n v="129.5"/>
    <n v="37.68"/>
    <n v="168028.57"/>
    <n v="1466326.97"/>
    <n v="330"/>
    <x v="2"/>
    <s v="Failed"/>
    <x v="0"/>
    <s v="None"/>
    <x v="4"/>
  </r>
  <r>
    <x v="641"/>
    <s v="2025-12-25"/>
    <x v="0"/>
    <x v="616"/>
    <x v="0"/>
    <s v="B"/>
    <x v="3"/>
    <x v="0"/>
    <s v="USD"/>
    <n v="135896.60999999999"/>
    <n v="2546.75"/>
    <n v="458.41"/>
    <n v="104.62"/>
    <n v="138797.15"/>
    <n v="1473663.58"/>
    <n v="856"/>
    <x v="2"/>
    <s v="Failed"/>
    <x v="0"/>
    <s v="Verified"/>
    <x v="9"/>
  </r>
  <r>
    <x v="642"/>
    <s v="2025-04-06"/>
    <x v="1"/>
    <x v="617"/>
    <x v="1"/>
    <s v="A"/>
    <x v="2"/>
    <x v="3"/>
    <s v="USD"/>
    <n v="84598.78"/>
    <n v="501.43"/>
    <n v="90.26"/>
    <n v="207.35"/>
    <n v="84983.12"/>
    <n v="1469639.92"/>
    <n v="558"/>
    <x v="2"/>
    <s v="Pending"/>
    <x v="3"/>
    <s v="Verified"/>
    <x v="2"/>
  </r>
  <r>
    <x v="643"/>
    <s v="2025-07-18"/>
    <x v="2"/>
    <x v="618"/>
    <x v="2"/>
    <s v="B"/>
    <x v="1"/>
    <x v="0"/>
    <s v="USD"/>
    <n v="157840.51"/>
    <n v="2737.51"/>
    <n v="492.75"/>
    <n v="92.29"/>
    <n v="160978.48000000001"/>
    <n v="1464927.37"/>
    <n v="823"/>
    <x v="2"/>
    <s v="Completed"/>
    <x v="3"/>
    <s v="None"/>
    <x v="7"/>
  </r>
  <r>
    <x v="644"/>
    <s v="2025-01-10"/>
    <x v="1"/>
    <x v="619"/>
    <x v="0"/>
    <s v="D"/>
    <x v="2"/>
    <x v="0"/>
    <s v="EUR"/>
    <n v="109032.96000000001"/>
    <n v="1002.18"/>
    <n v="180.39"/>
    <n v="0.66"/>
    <n v="110214.87"/>
    <n v="1466036.19"/>
    <n v="689"/>
    <x v="1"/>
    <s v="Failed"/>
    <x v="2"/>
    <s v="Verified"/>
    <x v="4"/>
  </r>
  <r>
    <x v="645"/>
    <s v="2025-01-01"/>
    <x v="1"/>
    <x v="620"/>
    <x v="2"/>
    <s v="D"/>
    <x v="1"/>
    <x v="2"/>
    <s v="EUR"/>
    <n v="145380.07"/>
    <n v="2755.36"/>
    <n v="495.96"/>
    <n v="336.89"/>
    <n v="148294.5"/>
    <n v="1470620.38"/>
    <n v="703"/>
    <x v="2"/>
    <s v="Pending"/>
    <x v="0"/>
    <s v="None"/>
    <x v="4"/>
  </r>
  <r>
    <x v="646"/>
    <s v="2025-11-27"/>
    <x v="0"/>
    <x v="621"/>
    <x v="3"/>
    <s v="B"/>
    <x v="0"/>
    <x v="2"/>
    <s v="EUR"/>
    <n v="175241.4"/>
    <n v="1888.75"/>
    <n v="339.97"/>
    <n v="71.7"/>
    <n v="177398.42"/>
    <n v="1473676.15"/>
    <n v="614"/>
    <x v="1"/>
    <s v="Failed"/>
    <x v="3"/>
    <s v="None"/>
    <x v="1"/>
  </r>
  <r>
    <x v="647"/>
    <s v="2025-02-03"/>
    <x v="0"/>
    <x v="622"/>
    <x v="3"/>
    <s v="B"/>
    <x v="2"/>
    <x v="4"/>
    <s v="INR"/>
    <n v="11965.65"/>
    <n v="169.64"/>
    <n v="30.54"/>
    <n v="103.53"/>
    <n v="12062.3"/>
    <n v="1469699.56"/>
    <n v="761"/>
    <x v="0"/>
    <s v="Completed"/>
    <x v="3"/>
    <s v="Review"/>
    <x v="0"/>
  </r>
  <r>
    <x v="648"/>
    <s v="2025-05-16"/>
    <x v="1"/>
    <x v="623"/>
    <x v="0"/>
    <s v="A"/>
    <x v="2"/>
    <x v="3"/>
    <s v="USD"/>
    <n v="90799.87"/>
    <n v="1100.93"/>
    <n v="198.17"/>
    <n v="252.81"/>
    <n v="91846.16"/>
    <n v="1474524.22"/>
    <n v="542"/>
    <x v="0"/>
    <s v="Pending"/>
    <x v="2"/>
    <s v="Review"/>
    <x v="5"/>
  </r>
  <r>
    <x v="649"/>
    <s v="2025-04-08"/>
    <x v="0"/>
    <x v="624"/>
    <x v="0"/>
    <s v="C"/>
    <x v="3"/>
    <x v="4"/>
    <s v="USD"/>
    <n v="42536.13"/>
    <n v="202.14"/>
    <n v="36.39"/>
    <n v="295.64999999999998"/>
    <n v="42479.01"/>
    <n v="1472210.68"/>
    <n v="467"/>
    <x v="1"/>
    <s v="Completed"/>
    <x v="0"/>
    <s v="Review"/>
    <x v="2"/>
  </r>
  <r>
    <x v="650"/>
    <s v="2025-05-19"/>
    <x v="2"/>
    <x v="625"/>
    <x v="2"/>
    <s v="C"/>
    <x v="2"/>
    <x v="1"/>
    <s v="USD"/>
    <n v="156775.38"/>
    <n v="1713.36"/>
    <n v="308.39999999999998"/>
    <n v="494.49"/>
    <n v="158302.65"/>
    <n v="1472058.44"/>
    <n v="381"/>
    <x v="1"/>
    <s v="Failed"/>
    <x v="2"/>
    <s v="Verified"/>
    <x v="5"/>
  </r>
  <r>
    <x v="651"/>
    <s v="2025-01-27"/>
    <x v="2"/>
    <x v="626"/>
    <x v="3"/>
    <s v="A"/>
    <x v="3"/>
    <x v="4"/>
    <s v="EUR"/>
    <n v="51148.800000000003"/>
    <n v="958.66"/>
    <n v="172.56"/>
    <n v="455.86"/>
    <n v="51824.160000000003"/>
    <n v="1480864.1"/>
    <n v="423"/>
    <x v="0"/>
    <s v="Failed"/>
    <x v="3"/>
    <s v="Review"/>
    <x v="4"/>
  </r>
  <r>
    <x v="652"/>
    <s v="2025-05-28"/>
    <x v="1"/>
    <x v="627"/>
    <x v="1"/>
    <s v="C"/>
    <x v="2"/>
    <x v="2"/>
    <s v="EUR"/>
    <n v="85502.77"/>
    <n v="582.15"/>
    <n v="104.79"/>
    <n v="45.46"/>
    <n v="86144.25"/>
    <n v="1488414.91"/>
    <n v="510"/>
    <x v="1"/>
    <s v="Completed"/>
    <x v="3"/>
    <s v="Verified"/>
    <x v="5"/>
  </r>
  <r>
    <x v="653"/>
    <s v="2025-08-05"/>
    <x v="1"/>
    <x v="628"/>
    <x v="1"/>
    <s v="B"/>
    <x v="3"/>
    <x v="1"/>
    <s v="EUR"/>
    <n v="77674.2"/>
    <n v="451.77"/>
    <n v="81.319999999999993"/>
    <n v="198.46"/>
    <n v="78008.83"/>
    <n v="1495222.72"/>
    <n v="546"/>
    <x v="0"/>
    <s v="Failed"/>
    <x v="2"/>
    <s v="Verified"/>
    <x v="8"/>
  </r>
  <r>
    <x v="654"/>
    <s v="2025-10-16"/>
    <x v="1"/>
    <x v="629"/>
    <x v="2"/>
    <s v="C"/>
    <x v="0"/>
    <x v="3"/>
    <s v="EUR"/>
    <n v="20921.61"/>
    <n v="102.86"/>
    <n v="18.510000000000002"/>
    <n v="89.98"/>
    <n v="20953"/>
    <n v="1494527.77"/>
    <n v="880"/>
    <x v="0"/>
    <s v="Completed"/>
    <x v="2"/>
    <s v="None"/>
    <x v="6"/>
  </r>
  <r>
    <x v="655"/>
    <s v="2025-05-10"/>
    <x v="0"/>
    <x v="630"/>
    <x v="2"/>
    <s v="B"/>
    <x v="0"/>
    <x v="3"/>
    <s v="INR"/>
    <n v="84366.53"/>
    <n v="276.89999999999998"/>
    <n v="49.84"/>
    <n v="409.9"/>
    <n v="84283.37"/>
    <n v="1496414.26"/>
    <n v="574"/>
    <x v="0"/>
    <s v="Completed"/>
    <x v="3"/>
    <s v="None"/>
    <x v="5"/>
  </r>
  <r>
    <x v="656"/>
    <s v="2025-12-01"/>
    <x v="0"/>
    <x v="631"/>
    <x v="3"/>
    <s v="A"/>
    <x v="0"/>
    <x v="4"/>
    <s v="USD"/>
    <n v="161345.38"/>
    <n v="912.84"/>
    <n v="164.31"/>
    <n v="228.97"/>
    <n v="162193.56"/>
    <n v="1499370.49"/>
    <n v="348"/>
    <x v="0"/>
    <s v="Pending"/>
    <x v="0"/>
    <s v="None"/>
    <x v="9"/>
  </r>
  <r>
    <x v="657"/>
    <s v="2025-09-05"/>
    <x v="2"/>
    <x v="632"/>
    <x v="2"/>
    <s v="C"/>
    <x v="0"/>
    <x v="2"/>
    <s v="INR"/>
    <n v="106828.51"/>
    <n v="1932.25"/>
    <n v="347.81"/>
    <n v="348.71"/>
    <n v="108759.86"/>
    <n v="1506061.51"/>
    <n v="753"/>
    <x v="0"/>
    <s v="Pending"/>
    <x v="3"/>
    <s v="None"/>
    <x v="11"/>
  </r>
  <r>
    <x v="658"/>
    <s v="2025-08-20"/>
    <x v="0"/>
    <x v="633"/>
    <x v="3"/>
    <s v="C"/>
    <x v="2"/>
    <x v="2"/>
    <s v="EUR"/>
    <n v="163110.42000000001"/>
    <n v="853.84"/>
    <n v="153.69"/>
    <n v="355.8"/>
    <n v="163762.15"/>
    <n v="1502752.43"/>
    <n v="557"/>
    <x v="2"/>
    <s v="Pending"/>
    <x v="1"/>
    <s v="None"/>
    <x v="8"/>
  </r>
  <r>
    <x v="659"/>
    <s v="2025-04-03"/>
    <x v="2"/>
    <x v="634"/>
    <x v="2"/>
    <s v="D"/>
    <x v="3"/>
    <x v="2"/>
    <s v="USD"/>
    <n v="15778.55"/>
    <n v="260.54000000000002"/>
    <n v="46.9"/>
    <n v="18.010000000000002"/>
    <n v="16067.98"/>
    <n v="1500418.21"/>
    <n v="633"/>
    <x v="1"/>
    <s v="Pending"/>
    <x v="2"/>
    <s v="Review"/>
    <x v="2"/>
  </r>
  <r>
    <x v="660"/>
    <s v="2025-07-30"/>
    <x v="0"/>
    <x v="635"/>
    <x v="3"/>
    <s v="D"/>
    <x v="0"/>
    <x v="2"/>
    <s v="USD"/>
    <n v="150018.41"/>
    <n v="229.74"/>
    <n v="41.35"/>
    <n v="495.18"/>
    <n v="149794.32"/>
    <n v="1500471.07"/>
    <n v="756"/>
    <x v="2"/>
    <s v="Pending"/>
    <x v="2"/>
    <s v="Review"/>
    <x v="7"/>
  </r>
  <r>
    <x v="661"/>
    <s v="2025-03-03"/>
    <x v="1"/>
    <x v="636"/>
    <x v="0"/>
    <s v="B"/>
    <x v="3"/>
    <x v="3"/>
    <s v="INR"/>
    <n v="176728.21"/>
    <n v="3151.61"/>
    <n v="567.29"/>
    <n v="419.18"/>
    <n v="180027.93"/>
    <n v="1507902.22"/>
    <n v="691"/>
    <x v="1"/>
    <s v="Completed"/>
    <x v="2"/>
    <s v="None"/>
    <x v="3"/>
  </r>
  <r>
    <x v="662"/>
    <s v="2025-07-03"/>
    <x v="0"/>
    <x v="637"/>
    <x v="1"/>
    <s v="A"/>
    <x v="1"/>
    <x v="0"/>
    <s v="INR"/>
    <n v="48829.15"/>
    <n v="771.34"/>
    <n v="138.84"/>
    <n v="481.92"/>
    <n v="49257.41"/>
    <n v="1511614.31"/>
    <n v="839"/>
    <x v="0"/>
    <s v="Completed"/>
    <x v="3"/>
    <s v="Review"/>
    <x v="7"/>
  </r>
  <r>
    <x v="663"/>
    <s v="2025-03-05"/>
    <x v="0"/>
    <x v="638"/>
    <x v="2"/>
    <s v="A"/>
    <x v="3"/>
    <x v="2"/>
    <s v="USD"/>
    <n v="84878.92"/>
    <n v="1098.3399999999999"/>
    <n v="197.7"/>
    <n v="83.97"/>
    <n v="86090.99"/>
    <n v="1519052.8"/>
    <n v="527"/>
    <x v="2"/>
    <s v="Failed"/>
    <x v="0"/>
    <s v="Verified"/>
    <x v="3"/>
  </r>
  <r>
    <x v="664"/>
    <s v="2025-09-28"/>
    <x v="2"/>
    <x v="639"/>
    <x v="0"/>
    <s v="A"/>
    <x v="0"/>
    <x v="3"/>
    <s v="USD"/>
    <n v="105303.09"/>
    <n v="1681.79"/>
    <n v="302.72000000000003"/>
    <n v="51.61"/>
    <n v="107235.99"/>
    <n v="1524736.53"/>
    <n v="501"/>
    <x v="1"/>
    <s v="Completed"/>
    <x v="3"/>
    <s v="Review"/>
    <x v="11"/>
  </r>
  <r>
    <x v="665"/>
    <s v="2025-12-27"/>
    <x v="0"/>
    <x v="640"/>
    <x v="1"/>
    <s v="B"/>
    <x v="2"/>
    <x v="0"/>
    <s v="INR"/>
    <n v="89215.33"/>
    <n v="1031.21"/>
    <n v="185.62"/>
    <n v="9.4"/>
    <n v="90422.76"/>
    <n v="1523477.4"/>
    <n v="429"/>
    <x v="2"/>
    <s v="Completed"/>
    <x v="2"/>
    <s v="Review"/>
    <x v="9"/>
  </r>
  <r>
    <x v="666"/>
    <s v="2025-10-09"/>
    <x v="2"/>
    <x v="641"/>
    <x v="2"/>
    <s v="B"/>
    <x v="3"/>
    <x v="4"/>
    <s v="INR"/>
    <n v="67050.87"/>
    <n v="535"/>
    <n v="96.3"/>
    <n v="145.97"/>
    <n v="67536.2"/>
    <n v="1518840.04"/>
    <n v="865"/>
    <x v="2"/>
    <s v="Failed"/>
    <x v="2"/>
    <s v="Review"/>
    <x v="6"/>
  </r>
  <r>
    <x v="667"/>
    <s v="2025-09-27"/>
    <x v="1"/>
    <x v="642"/>
    <x v="0"/>
    <s v="A"/>
    <x v="1"/>
    <x v="1"/>
    <s v="INR"/>
    <n v="171357.63"/>
    <n v="1732.6"/>
    <n v="311.87"/>
    <n v="266.83"/>
    <n v="173135.27"/>
    <n v="1527208.78"/>
    <n v="846"/>
    <x v="1"/>
    <s v="Completed"/>
    <x v="0"/>
    <s v="None"/>
    <x v="11"/>
  </r>
  <r>
    <x v="668"/>
    <s v="2025-03-18"/>
    <x v="1"/>
    <x v="643"/>
    <x v="3"/>
    <s v="C"/>
    <x v="3"/>
    <x v="4"/>
    <s v="INR"/>
    <n v="51917.279999999999"/>
    <n v="192.99"/>
    <n v="34.74"/>
    <n v="124.86"/>
    <n v="52020.15"/>
    <n v="1534466.25"/>
    <n v="460"/>
    <x v="2"/>
    <s v="Pending"/>
    <x v="3"/>
    <s v="Review"/>
    <x v="3"/>
  </r>
  <r>
    <x v="669"/>
    <s v="2025-05-26"/>
    <x v="1"/>
    <x v="644"/>
    <x v="1"/>
    <s v="A"/>
    <x v="0"/>
    <x v="3"/>
    <s v="INR"/>
    <n v="104972.11"/>
    <n v="1723.52"/>
    <n v="310.23"/>
    <n v="252.83"/>
    <n v="106753.03"/>
    <n v="1540083.82"/>
    <n v="848"/>
    <x v="1"/>
    <s v="Completed"/>
    <x v="1"/>
    <s v="Review"/>
    <x v="5"/>
  </r>
  <r>
    <x v="670"/>
    <s v="2025-10-11"/>
    <x v="1"/>
    <x v="645"/>
    <x v="0"/>
    <s v="B"/>
    <x v="2"/>
    <x v="0"/>
    <s v="USD"/>
    <n v="76974.25"/>
    <n v="1116.5"/>
    <n v="200.97"/>
    <n v="243.47"/>
    <n v="78048.25"/>
    <n v="1536401.37"/>
    <n v="307"/>
    <x v="0"/>
    <s v="Completed"/>
    <x v="1"/>
    <s v="None"/>
    <x v="6"/>
  </r>
  <r>
    <x v="671"/>
    <s v="2025-08-23"/>
    <x v="2"/>
    <x v="646"/>
    <x v="1"/>
    <s v="C"/>
    <x v="2"/>
    <x v="4"/>
    <s v="USD"/>
    <n v="97063.96"/>
    <n v="522.29999999999995"/>
    <n v="94.01"/>
    <n v="345.86"/>
    <n v="97334.41"/>
    <n v="1546090.36"/>
    <n v="405"/>
    <x v="0"/>
    <s v="Failed"/>
    <x v="2"/>
    <s v="Verified"/>
    <x v="8"/>
  </r>
  <r>
    <x v="672"/>
    <s v="2025-06-24"/>
    <x v="2"/>
    <x v="647"/>
    <x v="2"/>
    <s v="C"/>
    <x v="3"/>
    <x v="2"/>
    <s v="USD"/>
    <n v="50563.38"/>
    <n v="136.72"/>
    <n v="24.61"/>
    <n v="345.44"/>
    <n v="50379.27"/>
    <n v="1543331.45"/>
    <n v="830"/>
    <x v="1"/>
    <s v="Failed"/>
    <x v="2"/>
    <s v="None"/>
    <x v="10"/>
  </r>
  <r>
    <x v="673"/>
    <s v="2025-09-01"/>
    <x v="2"/>
    <x v="648"/>
    <x v="0"/>
    <s v="A"/>
    <x v="3"/>
    <x v="2"/>
    <s v="USD"/>
    <n v="4608.2700000000004"/>
    <n v="10.69"/>
    <n v="1.92"/>
    <n v="241.89"/>
    <n v="4378.99"/>
    <n v="1545553.97"/>
    <n v="312"/>
    <x v="2"/>
    <s v="Completed"/>
    <x v="2"/>
    <s v="Verified"/>
    <x v="11"/>
  </r>
  <r>
    <x v="674"/>
    <s v="2025-01-10"/>
    <x v="1"/>
    <x v="649"/>
    <x v="2"/>
    <s v="A"/>
    <x v="0"/>
    <x v="3"/>
    <s v="EUR"/>
    <n v="47490.89"/>
    <n v="167.24"/>
    <n v="30.1"/>
    <n v="261.38"/>
    <n v="47426.85"/>
    <n v="1553082.78"/>
    <n v="335"/>
    <x v="1"/>
    <s v="Pending"/>
    <x v="1"/>
    <s v="Review"/>
    <x v="4"/>
  </r>
  <r>
    <x v="675"/>
    <s v="2025-02-02"/>
    <x v="0"/>
    <x v="650"/>
    <x v="2"/>
    <s v="B"/>
    <x v="2"/>
    <x v="2"/>
    <s v="EUR"/>
    <n v="73049.100000000006"/>
    <n v="964.75"/>
    <n v="173.66"/>
    <n v="248.74"/>
    <n v="73938.77"/>
    <n v="1552268.61"/>
    <n v="457"/>
    <x v="2"/>
    <s v="Failed"/>
    <x v="1"/>
    <s v="Verified"/>
    <x v="0"/>
  </r>
  <r>
    <x v="676"/>
    <s v="2025-01-09"/>
    <x v="0"/>
    <x v="651"/>
    <x v="2"/>
    <s v="B"/>
    <x v="0"/>
    <x v="0"/>
    <s v="USD"/>
    <n v="76495.460000000006"/>
    <n v="650.67999999999995"/>
    <n v="117.12"/>
    <n v="229.44"/>
    <n v="77033.820000000007"/>
    <n v="1559950.84"/>
    <n v="749"/>
    <x v="1"/>
    <s v="Failed"/>
    <x v="0"/>
    <s v="Review"/>
    <x v="4"/>
  </r>
  <r>
    <x v="677"/>
    <s v="2025-04-10"/>
    <x v="0"/>
    <x v="652"/>
    <x v="2"/>
    <s v="D"/>
    <x v="0"/>
    <x v="4"/>
    <s v="USD"/>
    <n v="46238.2"/>
    <n v="651.94000000000005"/>
    <n v="117.35"/>
    <n v="215.62"/>
    <n v="46791.87"/>
    <n v="1566372.16"/>
    <n v="319"/>
    <x v="2"/>
    <s v="Completed"/>
    <x v="2"/>
    <s v="Review"/>
    <x v="2"/>
  </r>
  <r>
    <x v="678"/>
    <s v="2025-10-07"/>
    <x v="1"/>
    <x v="653"/>
    <x v="1"/>
    <s v="B"/>
    <x v="0"/>
    <x v="4"/>
    <s v="EUR"/>
    <n v="53809.120000000003"/>
    <n v="556.32000000000005"/>
    <n v="100.14"/>
    <n v="70.62"/>
    <n v="54394.96"/>
    <n v="1562754"/>
    <n v="638"/>
    <x v="1"/>
    <s v="Failed"/>
    <x v="1"/>
    <s v="Review"/>
    <x v="6"/>
  </r>
  <r>
    <x v="679"/>
    <s v="2025-01-27"/>
    <x v="0"/>
    <x v="654"/>
    <x v="2"/>
    <s v="B"/>
    <x v="3"/>
    <x v="1"/>
    <s v="EUR"/>
    <n v="188535.31"/>
    <n v="448.03"/>
    <n v="80.650000000000006"/>
    <n v="336.42"/>
    <n v="188727.57"/>
    <n v="1558352.38"/>
    <n v="459"/>
    <x v="0"/>
    <s v="Pending"/>
    <x v="1"/>
    <s v="Verified"/>
    <x v="4"/>
  </r>
  <r>
    <x v="680"/>
    <s v="2025-06-10"/>
    <x v="1"/>
    <x v="281"/>
    <x v="0"/>
    <s v="A"/>
    <x v="1"/>
    <x v="0"/>
    <s v="EUR"/>
    <n v="68489.5"/>
    <n v="533.19000000000005"/>
    <n v="95.97"/>
    <n v="452.67"/>
    <n v="68665.990000000005"/>
    <n v="1553936.31"/>
    <n v="389"/>
    <x v="1"/>
    <s v="Failed"/>
    <x v="3"/>
    <s v="None"/>
    <x v="10"/>
  </r>
  <r>
    <x v="681"/>
    <s v="2025-01-11"/>
    <x v="1"/>
    <x v="655"/>
    <x v="3"/>
    <s v="A"/>
    <x v="2"/>
    <x v="4"/>
    <s v="EUR"/>
    <n v="7692.09"/>
    <n v="43.65"/>
    <n v="7.86"/>
    <n v="350"/>
    <n v="7393.6"/>
    <n v="1559003.46"/>
    <n v="385"/>
    <x v="0"/>
    <s v="Completed"/>
    <x v="2"/>
    <s v="Verified"/>
    <x v="4"/>
  </r>
  <r>
    <x v="682"/>
    <s v="2025-05-03"/>
    <x v="0"/>
    <x v="656"/>
    <x v="3"/>
    <s v="D"/>
    <x v="1"/>
    <x v="4"/>
    <s v="INR"/>
    <n v="175705.87"/>
    <n v="305.43"/>
    <n v="54.98"/>
    <n v="32.99"/>
    <n v="176033.29"/>
    <n v="1568169.09"/>
    <n v="435"/>
    <x v="2"/>
    <s v="Completed"/>
    <x v="2"/>
    <s v="None"/>
    <x v="5"/>
  </r>
  <r>
    <x v="683"/>
    <s v="2025-08-19"/>
    <x v="2"/>
    <x v="657"/>
    <x v="2"/>
    <s v="B"/>
    <x v="3"/>
    <x v="2"/>
    <s v="USD"/>
    <n v="52056.17"/>
    <n v="847.11"/>
    <n v="152.47999999999999"/>
    <n v="84.79"/>
    <n v="52970.97"/>
    <n v="1577733.74"/>
    <n v="869"/>
    <x v="0"/>
    <s v="Pending"/>
    <x v="3"/>
    <s v="None"/>
    <x v="8"/>
  </r>
  <r>
    <x v="684"/>
    <s v="2025-03-14"/>
    <x v="0"/>
    <x v="658"/>
    <x v="2"/>
    <s v="B"/>
    <x v="1"/>
    <x v="1"/>
    <s v="EUR"/>
    <n v="131632.07999999999"/>
    <n v="1575.57"/>
    <n v="283.60000000000002"/>
    <n v="108.17"/>
    <n v="133383.07999999999"/>
    <n v="1583076.39"/>
    <n v="384"/>
    <x v="1"/>
    <s v="Failed"/>
    <x v="1"/>
    <s v="Review"/>
    <x v="3"/>
  </r>
  <r>
    <x v="685"/>
    <s v="2025-01-21"/>
    <x v="2"/>
    <x v="659"/>
    <x v="3"/>
    <s v="B"/>
    <x v="2"/>
    <x v="1"/>
    <s v="USD"/>
    <n v="142422.79999999999"/>
    <n v="1940.5"/>
    <n v="349.29"/>
    <n v="158.35"/>
    <n v="144554.23999999999"/>
    <n v="1583049.53"/>
    <n v="426"/>
    <x v="2"/>
    <s v="Completed"/>
    <x v="1"/>
    <s v="None"/>
    <x v="4"/>
  </r>
  <r>
    <x v="686"/>
    <s v="2025-03-02"/>
    <x v="2"/>
    <x v="660"/>
    <x v="1"/>
    <s v="A"/>
    <x v="0"/>
    <x v="3"/>
    <s v="USD"/>
    <n v="33909.300000000003"/>
    <n v="658.87"/>
    <n v="118.6"/>
    <n v="206.63"/>
    <n v="34480.14"/>
    <n v="1581130.71"/>
    <n v="653"/>
    <x v="2"/>
    <s v="Failed"/>
    <x v="1"/>
    <s v="None"/>
    <x v="3"/>
  </r>
  <r>
    <x v="687"/>
    <s v="2025-07-14"/>
    <x v="1"/>
    <x v="661"/>
    <x v="2"/>
    <s v="C"/>
    <x v="3"/>
    <x v="2"/>
    <s v="EUR"/>
    <n v="184440.73"/>
    <n v="2641.36"/>
    <n v="475.44"/>
    <n v="356.16"/>
    <n v="187201.37"/>
    <n v="1580279.86"/>
    <n v="350"/>
    <x v="1"/>
    <s v="Completed"/>
    <x v="1"/>
    <s v="None"/>
    <x v="7"/>
  </r>
  <r>
    <x v="688"/>
    <s v="2025-02-06"/>
    <x v="1"/>
    <x v="662"/>
    <x v="1"/>
    <s v="C"/>
    <x v="0"/>
    <x v="2"/>
    <s v="INR"/>
    <n v="3102.49"/>
    <n v="54.53"/>
    <n v="9.82"/>
    <n v="271.43"/>
    <n v="2895.41"/>
    <n v="1585746.36"/>
    <n v="426"/>
    <x v="1"/>
    <s v="Pending"/>
    <x v="0"/>
    <s v="Review"/>
    <x v="0"/>
  </r>
  <r>
    <x v="689"/>
    <s v="2025-07-18"/>
    <x v="0"/>
    <x v="663"/>
    <x v="1"/>
    <s v="A"/>
    <x v="2"/>
    <x v="1"/>
    <s v="USD"/>
    <n v="61432.44"/>
    <n v="771.73"/>
    <n v="138.91"/>
    <n v="4.2699999999999996"/>
    <n v="62338.81"/>
    <n v="1590657.25"/>
    <n v="415"/>
    <x v="2"/>
    <s v="Completed"/>
    <x v="1"/>
    <s v="Verified"/>
    <x v="7"/>
  </r>
  <r>
    <x v="690"/>
    <s v="2025-05-28"/>
    <x v="0"/>
    <x v="664"/>
    <x v="2"/>
    <s v="B"/>
    <x v="3"/>
    <x v="0"/>
    <s v="INR"/>
    <n v="81418.929999999993"/>
    <n v="368.89"/>
    <n v="66.400000000000006"/>
    <n v="113.7"/>
    <n v="81740.52"/>
    <n v="1591929.25"/>
    <n v="625"/>
    <x v="1"/>
    <s v="Completed"/>
    <x v="2"/>
    <s v="Verified"/>
    <x v="5"/>
  </r>
  <r>
    <x v="691"/>
    <s v="2025-06-29"/>
    <x v="1"/>
    <x v="665"/>
    <x v="3"/>
    <s v="D"/>
    <x v="0"/>
    <x v="0"/>
    <s v="USD"/>
    <n v="51238.71"/>
    <n v="79.47"/>
    <n v="14.3"/>
    <n v="330.46"/>
    <n v="51002.02"/>
    <n v="1592451.07"/>
    <n v="892"/>
    <x v="0"/>
    <s v="Failed"/>
    <x v="0"/>
    <s v="None"/>
    <x v="10"/>
  </r>
  <r>
    <x v="692"/>
    <s v="2025-12-25"/>
    <x v="2"/>
    <x v="666"/>
    <x v="0"/>
    <s v="C"/>
    <x v="2"/>
    <x v="3"/>
    <s v="INR"/>
    <n v="148310.06"/>
    <n v="2820.07"/>
    <n v="507.61"/>
    <n v="325.52999999999997"/>
    <n v="151312.21"/>
    <n v="1588930.26"/>
    <n v="763"/>
    <x v="0"/>
    <s v="Failed"/>
    <x v="2"/>
    <s v="Verified"/>
    <x v="9"/>
  </r>
  <r>
    <x v="693"/>
    <s v="2025-05-05"/>
    <x v="2"/>
    <x v="667"/>
    <x v="2"/>
    <s v="C"/>
    <x v="3"/>
    <x v="0"/>
    <s v="EUR"/>
    <n v="79416.47"/>
    <n v="817.41"/>
    <n v="147.13"/>
    <n v="85.27"/>
    <n v="80295.740000000005"/>
    <n v="1586355.6"/>
    <n v="602"/>
    <x v="1"/>
    <s v="Failed"/>
    <x v="1"/>
    <s v="Review"/>
    <x v="5"/>
  </r>
  <r>
    <x v="694"/>
    <s v="2025-08-11"/>
    <x v="2"/>
    <x v="668"/>
    <x v="1"/>
    <s v="A"/>
    <x v="3"/>
    <x v="0"/>
    <s v="INR"/>
    <n v="5773.43"/>
    <n v="6.51"/>
    <n v="1.17"/>
    <n v="261.47000000000003"/>
    <n v="5519.64"/>
    <n v="1591036.91"/>
    <n v="732"/>
    <x v="0"/>
    <s v="Pending"/>
    <x v="3"/>
    <s v="None"/>
    <x v="8"/>
  </r>
  <r>
    <x v="695"/>
    <s v="2025-02-06"/>
    <x v="1"/>
    <x v="669"/>
    <x v="2"/>
    <s v="C"/>
    <x v="1"/>
    <x v="3"/>
    <s v="INR"/>
    <n v="67177.34"/>
    <n v="1050.3900000000001"/>
    <n v="189.07"/>
    <n v="384.14"/>
    <n v="68032.66"/>
    <n v="1598183.33"/>
    <n v="836"/>
    <x v="1"/>
    <s v="Completed"/>
    <x v="1"/>
    <s v="Review"/>
    <x v="0"/>
  </r>
  <r>
    <x v="696"/>
    <s v="2025-01-01"/>
    <x v="0"/>
    <x v="670"/>
    <x v="1"/>
    <s v="B"/>
    <x v="3"/>
    <x v="0"/>
    <s v="USD"/>
    <n v="193656.92"/>
    <n v="1804.56"/>
    <n v="324.82"/>
    <n v="115.65"/>
    <n v="195670.65"/>
    <n v="1594001.69"/>
    <n v="352"/>
    <x v="0"/>
    <s v="Pending"/>
    <x v="3"/>
    <s v="Review"/>
    <x v="4"/>
  </r>
  <r>
    <x v="697"/>
    <s v="2025-01-02"/>
    <x v="1"/>
    <x v="671"/>
    <x v="0"/>
    <s v="C"/>
    <x v="1"/>
    <x v="1"/>
    <s v="USD"/>
    <n v="75119.179999999993"/>
    <n v="1348.7"/>
    <n v="242.77"/>
    <n v="299.56"/>
    <n v="76411.09"/>
    <n v="1601620.55"/>
    <n v="792"/>
    <x v="2"/>
    <s v="Pending"/>
    <x v="0"/>
    <s v="None"/>
    <x v="4"/>
  </r>
  <r>
    <x v="698"/>
    <s v="2025-05-24"/>
    <x v="0"/>
    <x v="672"/>
    <x v="0"/>
    <s v="B"/>
    <x v="1"/>
    <x v="4"/>
    <s v="USD"/>
    <n v="2476.5"/>
    <n v="30.5"/>
    <n v="5.49"/>
    <n v="395.03"/>
    <n v="2117.46"/>
    <n v="1605536.49"/>
    <n v="591"/>
    <x v="2"/>
    <s v="Pending"/>
    <x v="3"/>
    <s v="Review"/>
    <x v="5"/>
  </r>
  <r>
    <x v="699"/>
    <s v="2025-10-20"/>
    <x v="2"/>
    <x v="673"/>
    <x v="0"/>
    <s v="D"/>
    <x v="1"/>
    <x v="4"/>
    <s v="INR"/>
    <n v="31184.15"/>
    <n v="445.05"/>
    <n v="80.11"/>
    <n v="320.98"/>
    <n v="31388.33"/>
    <n v="1604369.16"/>
    <n v="669"/>
    <x v="2"/>
    <s v="Failed"/>
    <x v="1"/>
    <s v="Review"/>
    <x v="6"/>
  </r>
  <r>
    <x v="700"/>
    <s v="2025-06-18"/>
    <x v="0"/>
    <x v="674"/>
    <x v="2"/>
    <s v="A"/>
    <x v="2"/>
    <x v="4"/>
    <s v="USD"/>
    <n v="189791.66"/>
    <n v="1700.98"/>
    <n v="306.18"/>
    <n v="367.77"/>
    <n v="191431.05"/>
    <n v="1605028.18"/>
    <n v="780"/>
    <x v="1"/>
    <s v="Pending"/>
    <x v="1"/>
    <s v="Verified"/>
    <x v="10"/>
  </r>
  <r>
    <x v="701"/>
    <s v="2025-11-19"/>
    <x v="0"/>
    <x v="675"/>
    <x v="0"/>
    <s v="D"/>
    <x v="3"/>
    <x v="1"/>
    <s v="EUR"/>
    <n v="115566.24"/>
    <n v="1673.3"/>
    <n v="301.19"/>
    <n v="462.41"/>
    <n v="117078.32"/>
    <n v="1613425.52"/>
    <n v="567"/>
    <x v="0"/>
    <s v="Completed"/>
    <x v="1"/>
    <s v="None"/>
    <x v="1"/>
  </r>
  <r>
    <x v="702"/>
    <s v="2025-11-20"/>
    <x v="1"/>
    <x v="676"/>
    <x v="2"/>
    <s v="D"/>
    <x v="0"/>
    <x v="1"/>
    <s v="EUR"/>
    <n v="172535.43"/>
    <n v="1357.8"/>
    <n v="244.4"/>
    <n v="388.01"/>
    <n v="173749.62"/>
    <n v="1623151.72"/>
    <n v="648"/>
    <x v="0"/>
    <s v="Pending"/>
    <x v="0"/>
    <s v="Verified"/>
    <x v="1"/>
  </r>
  <r>
    <x v="703"/>
    <s v="2025-09-27"/>
    <x v="1"/>
    <x v="677"/>
    <x v="2"/>
    <s v="A"/>
    <x v="2"/>
    <x v="0"/>
    <s v="EUR"/>
    <n v="123581.59"/>
    <n v="1498.39"/>
    <n v="269.70999999999998"/>
    <n v="67.209999999999994"/>
    <n v="125282.48"/>
    <n v="1622306.44"/>
    <n v="376"/>
    <x v="0"/>
    <s v="Failed"/>
    <x v="2"/>
    <s v="Review"/>
    <x v="11"/>
  </r>
  <r>
    <x v="704"/>
    <s v="2025-11-26"/>
    <x v="1"/>
    <x v="678"/>
    <x v="1"/>
    <s v="C"/>
    <x v="1"/>
    <x v="0"/>
    <s v="EUR"/>
    <n v="119090.59"/>
    <n v="1341.59"/>
    <n v="241.49"/>
    <n v="346.91"/>
    <n v="120326.76"/>
    <n v="1619496.29"/>
    <n v="334"/>
    <x v="2"/>
    <s v="Completed"/>
    <x v="1"/>
    <s v="None"/>
    <x v="1"/>
  </r>
  <r>
    <x v="705"/>
    <s v="2025-03-19"/>
    <x v="0"/>
    <x v="679"/>
    <x v="1"/>
    <s v="D"/>
    <x v="1"/>
    <x v="2"/>
    <s v="USD"/>
    <n v="181732.51"/>
    <n v="1206.93"/>
    <n v="217.25"/>
    <n v="23.44"/>
    <n v="183133.25"/>
    <n v="1625605.44"/>
    <n v="748"/>
    <x v="1"/>
    <s v="Failed"/>
    <x v="3"/>
    <s v="Verified"/>
    <x v="3"/>
  </r>
  <r>
    <x v="706"/>
    <s v="2025-10-06"/>
    <x v="2"/>
    <x v="680"/>
    <x v="3"/>
    <s v="B"/>
    <x v="1"/>
    <x v="1"/>
    <s v="EUR"/>
    <n v="180018.04"/>
    <n v="2492.91"/>
    <n v="448.72"/>
    <n v="59.63"/>
    <n v="182900.04"/>
    <n v="1626099.2"/>
    <n v="900"/>
    <x v="2"/>
    <s v="Pending"/>
    <x v="1"/>
    <s v="None"/>
    <x v="6"/>
  </r>
  <r>
    <x v="707"/>
    <s v="2025-11-18"/>
    <x v="0"/>
    <x v="681"/>
    <x v="1"/>
    <s v="A"/>
    <x v="1"/>
    <x v="0"/>
    <s v="USD"/>
    <n v="115812.92"/>
    <n v="2019.77"/>
    <n v="363.56"/>
    <n v="26.83"/>
    <n v="118169.42"/>
    <n v="1635751.14"/>
    <n v="308"/>
    <x v="1"/>
    <s v="Failed"/>
    <x v="0"/>
    <s v="Review"/>
    <x v="1"/>
  </r>
  <r>
    <x v="708"/>
    <s v="2025-12-29"/>
    <x v="1"/>
    <x v="682"/>
    <x v="2"/>
    <s v="C"/>
    <x v="1"/>
    <x v="1"/>
    <s v="USD"/>
    <n v="79168.92"/>
    <n v="187.78"/>
    <n v="33.799999999999997"/>
    <n v="453.73"/>
    <n v="78936.77"/>
    <n v="1633192.88"/>
    <n v="538"/>
    <x v="1"/>
    <s v="Failed"/>
    <x v="0"/>
    <s v="Review"/>
    <x v="9"/>
  </r>
  <r>
    <x v="709"/>
    <s v="2025-11-13"/>
    <x v="2"/>
    <x v="683"/>
    <x v="0"/>
    <s v="B"/>
    <x v="2"/>
    <x v="4"/>
    <s v="USD"/>
    <n v="43546.21"/>
    <n v="370.18"/>
    <n v="66.63"/>
    <n v="27.3"/>
    <n v="43955.72"/>
    <n v="1634741.76"/>
    <n v="469"/>
    <x v="0"/>
    <s v="Completed"/>
    <x v="3"/>
    <s v="Review"/>
    <x v="1"/>
  </r>
  <r>
    <x v="710"/>
    <s v="2025-02-22"/>
    <x v="2"/>
    <x v="684"/>
    <x v="3"/>
    <s v="C"/>
    <x v="0"/>
    <x v="3"/>
    <s v="EUR"/>
    <n v="66073.289999999994"/>
    <n v="236.63"/>
    <n v="42.59"/>
    <n v="370.09"/>
    <n v="65982.42"/>
    <n v="1638309.8"/>
    <n v="538"/>
    <x v="1"/>
    <s v="Completed"/>
    <x v="2"/>
    <s v="Verified"/>
    <x v="0"/>
  </r>
  <r>
    <x v="711"/>
    <s v="2025-01-20"/>
    <x v="0"/>
    <x v="685"/>
    <x v="2"/>
    <s v="A"/>
    <x v="2"/>
    <x v="1"/>
    <s v="USD"/>
    <n v="90108.88"/>
    <n v="763.96"/>
    <n v="137.51"/>
    <n v="134.94"/>
    <n v="90875.41"/>
    <n v="1642546.64"/>
    <n v="478"/>
    <x v="0"/>
    <s v="Completed"/>
    <x v="1"/>
    <s v="Review"/>
    <x v="4"/>
  </r>
  <r>
    <x v="712"/>
    <s v="2025-04-18"/>
    <x v="2"/>
    <x v="686"/>
    <x v="1"/>
    <s v="A"/>
    <x v="0"/>
    <x v="3"/>
    <s v="USD"/>
    <n v="140049.04"/>
    <n v="500.79"/>
    <n v="90.14"/>
    <n v="19.649999999999999"/>
    <n v="140620.32"/>
    <n v="1637946.56"/>
    <n v="396"/>
    <x v="2"/>
    <s v="Failed"/>
    <x v="2"/>
    <s v="None"/>
    <x v="2"/>
  </r>
  <r>
    <x v="713"/>
    <s v="2025-12-09"/>
    <x v="1"/>
    <x v="687"/>
    <x v="1"/>
    <s v="B"/>
    <x v="2"/>
    <x v="4"/>
    <s v="USD"/>
    <n v="134508.04999999999"/>
    <n v="1927.27"/>
    <n v="346.91"/>
    <n v="487.24"/>
    <n v="136294.99"/>
    <n v="1641167.93"/>
    <n v="467"/>
    <x v="2"/>
    <s v="Pending"/>
    <x v="3"/>
    <s v="Verified"/>
    <x v="9"/>
  </r>
  <r>
    <x v="714"/>
    <s v="2025-12-30"/>
    <x v="1"/>
    <x v="688"/>
    <x v="0"/>
    <s v="C"/>
    <x v="0"/>
    <x v="1"/>
    <s v="USD"/>
    <n v="17544.63"/>
    <n v="27.87"/>
    <n v="5.0199999999999996"/>
    <n v="166.9"/>
    <n v="17410.62"/>
    <n v="1643235.2"/>
    <n v="730"/>
    <x v="0"/>
    <s v="Completed"/>
    <x v="2"/>
    <s v="None"/>
    <x v="9"/>
  </r>
  <r>
    <x v="715"/>
    <s v="2025-09-30"/>
    <x v="0"/>
    <x v="689"/>
    <x v="0"/>
    <s v="C"/>
    <x v="1"/>
    <x v="2"/>
    <s v="EUR"/>
    <n v="73904.83"/>
    <n v="770.69"/>
    <n v="138.72"/>
    <n v="480.99"/>
    <n v="74333.25"/>
    <n v="1638987.28"/>
    <n v="780"/>
    <x v="0"/>
    <s v="Pending"/>
    <x v="3"/>
    <s v="Verified"/>
    <x v="11"/>
  </r>
  <r>
    <x v="716"/>
    <s v="2025-09-07"/>
    <x v="2"/>
    <x v="690"/>
    <x v="1"/>
    <s v="B"/>
    <x v="3"/>
    <x v="2"/>
    <s v="INR"/>
    <n v="185854.22"/>
    <n v="3415.86"/>
    <n v="614.85"/>
    <n v="347.26"/>
    <n v="189537.67"/>
    <n v="1640562.65"/>
    <n v="675"/>
    <x v="1"/>
    <s v="Pending"/>
    <x v="2"/>
    <s v="Review"/>
    <x v="11"/>
  </r>
  <r>
    <x v="717"/>
    <s v="2025-07-29"/>
    <x v="2"/>
    <x v="691"/>
    <x v="2"/>
    <s v="B"/>
    <x v="2"/>
    <x v="0"/>
    <s v="EUR"/>
    <n v="7554.9"/>
    <n v="133.11000000000001"/>
    <n v="23.96"/>
    <n v="119.23"/>
    <n v="7592.74"/>
    <n v="1638755.58"/>
    <n v="713"/>
    <x v="0"/>
    <s v="Pending"/>
    <x v="2"/>
    <s v="Review"/>
    <x v="7"/>
  </r>
  <r>
    <x v="718"/>
    <s v="2025-05-03"/>
    <x v="2"/>
    <x v="692"/>
    <x v="0"/>
    <s v="D"/>
    <x v="3"/>
    <x v="0"/>
    <s v="EUR"/>
    <n v="108430.1"/>
    <n v="889.51"/>
    <n v="160.11000000000001"/>
    <n v="94.89"/>
    <n v="109384.83"/>
    <n v="1635312.6"/>
    <n v="456"/>
    <x v="1"/>
    <s v="Failed"/>
    <x v="0"/>
    <s v="None"/>
    <x v="5"/>
  </r>
  <r>
    <x v="719"/>
    <s v="2025-12-13"/>
    <x v="2"/>
    <x v="693"/>
    <x v="2"/>
    <s v="D"/>
    <x v="1"/>
    <x v="4"/>
    <s v="EUR"/>
    <n v="112138.26"/>
    <n v="1811.28"/>
    <n v="326.02999999999997"/>
    <n v="423.13"/>
    <n v="113852.44"/>
    <n v="1641948.67"/>
    <n v="398"/>
    <x v="2"/>
    <s v="Pending"/>
    <x v="3"/>
    <s v="None"/>
    <x v="9"/>
  </r>
  <r>
    <x v="720"/>
    <s v="2025-11-26"/>
    <x v="0"/>
    <x v="694"/>
    <x v="3"/>
    <s v="B"/>
    <x v="1"/>
    <x v="3"/>
    <s v="EUR"/>
    <n v="106135.13"/>
    <n v="677.1"/>
    <n v="121.88"/>
    <n v="196.37"/>
    <n v="106737.74"/>
    <n v="1638107.4"/>
    <n v="518"/>
    <x v="2"/>
    <s v="Completed"/>
    <x v="2"/>
    <s v="Review"/>
    <x v="1"/>
  </r>
  <r>
    <x v="721"/>
    <s v="2025-08-17"/>
    <x v="1"/>
    <x v="695"/>
    <x v="1"/>
    <s v="C"/>
    <x v="2"/>
    <x v="3"/>
    <s v="USD"/>
    <n v="172302.91"/>
    <n v="2756.69"/>
    <n v="496.2"/>
    <n v="208.4"/>
    <n v="175347.4"/>
    <n v="1641575.3"/>
    <n v="747"/>
    <x v="2"/>
    <s v="Pending"/>
    <x v="0"/>
    <s v="Review"/>
    <x v="8"/>
  </r>
  <r>
    <x v="722"/>
    <s v="2025-08-28"/>
    <x v="1"/>
    <x v="696"/>
    <x v="2"/>
    <s v="B"/>
    <x v="2"/>
    <x v="4"/>
    <s v="USD"/>
    <n v="173861.8"/>
    <n v="1689.07"/>
    <n v="304.02999999999997"/>
    <n v="488.69"/>
    <n v="175366.21"/>
    <n v="1644736.52"/>
    <n v="695"/>
    <x v="1"/>
    <s v="Failed"/>
    <x v="1"/>
    <s v="Review"/>
    <x v="8"/>
  </r>
  <r>
    <x v="723"/>
    <s v="2025-04-25"/>
    <x v="2"/>
    <x v="697"/>
    <x v="1"/>
    <s v="C"/>
    <x v="0"/>
    <x v="2"/>
    <s v="INR"/>
    <n v="56840.37"/>
    <n v="239.8"/>
    <n v="43.16"/>
    <n v="362.88"/>
    <n v="56760.45"/>
    <n v="1652032.29"/>
    <n v="612"/>
    <x v="1"/>
    <s v="Completed"/>
    <x v="3"/>
    <s v="Review"/>
    <x v="2"/>
  </r>
  <r>
    <x v="724"/>
    <s v="2025-12-28"/>
    <x v="0"/>
    <x v="546"/>
    <x v="1"/>
    <s v="A"/>
    <x v="2"/>
    <x v="3"/>
    <s v="USD"/>
    <n v="125146.69"/>
    <n v="1305.08"/>
    <n v="234.91"/>
    <n v="59.97"/>
    <n v="126626.71"/>
    <n v="1660644.06"/>
    <n v="828"/>
    <x v="0"/>
    <s v="Completed"/>
    <x v="1"/>
    <s v="Review"/>
    <x v="9"/>
  </r>
  <r>
    <x v="725"/>
    <s v="2025-08-14"/>
    <x v="2"/>
    <x v="698"/>
    <x v="3"/>
    <s v="A"/>
    <x v="3"/>
    <x v="1"/>
    <s v="EUR"/>
    <n v="108274.14"/>
    <n v="1684.13"/>
    <n v="303.14"/>
    <n v="166.25"/>
    <n v="110095.16"/>
    <n v="1668102.17"/>
    <n v="594"/>
    <x v="1"/>
    <s v="Pending"/>
    <x v="1"/>
    <s v="None"/>
    <x v="8"/>
  </r>
  <r>
    <x v="726"/>
    <s v="2025-05-02"/>
    <x v="2"/>
    <x v="699"/>
    <x v="0"/>
    <s v="C"/>
    <x v="2"/>
    <x v="2"/>
    <s v="INR"/>
    <n v="55975.5"/>
    <n v="495.13"/>
    <n v="89.12"/>
    <n v="135.76"/>
    <n v="56423.99"/>
    <n v="1666526.55"/>
    <n v="364"/>
    <x v="0"/>
    <s v="Completed"/>
    <x v="2"/>
    <s v="None"/>
    <x v="5"/>
  </r>
  <r>
    <x v="727"/>
    <s v="2025-09-17"/>
    <x v="0"/>
    <x v="368"/>
    <x v="1"/>
    <s v="A"/>
    <x v="2"/>
    <x v="1"/>
    <s v="EUR"/>
    <n v="124300.78"/>
    <n v="2085.29"/>
    <n v="375.35"/>
    <n v="378.88"/>
    <n v="126382.54"/>
    <n v="1672866.48"/>
    <n v="549"/>
    <x v="1"/>
    <s v="Failed"/>
    <x v="3"/>
    <s v="Verified"/>
    <x v="11"/>
  </r>
  <r>
    <x v="728"/>
    <s v="2025-04-20"/>
    <x v="1"/>
    <x v="700"/>
    <x v="2"/>
    <s v="A"/>
    <x v="0"/>
    <x v="0"/>
    <s v="INR"/>
    <n v="65103.7"/>
    <n v="853.34"/>
    <n v="153.6"/>
    <n v="5.94"/>
    <n v="66104.7"/>
    <n v="1667951.28"/>
    <n v="519"/>
    <x v="2"/>
    <s v="Pending"/>
    <x v="0"/>
    <s v="Review"/>
    <x v="2"/>
  </r>
  <r>
    <x v="729"/>
    <s v="2025-01-04"/>
    <x v="0"/>
    <x v="701"/>
    <x v="1"/>
    <s v="B"/>
    <x v="2"/>
    <x v="4"/>
    <s v="INR"/>
    <n v="100538.55"/>
    <n v="744.86"/>
    <n v="134.07"/>
    <n v="131.5"/>
    <n v="101285.98"/>
    <n v="1676982.86"/>
    <n v="514"/>
    <x v="0"/>
    <s v="Pending"/>
    <x v="0"/>
    <s v="None"/>
    <x v="4"/>
  </r>
  <r>
    <x v="730"/>
    <s v="2025-01-07"/>
    <x v="1"/>
    <x v="315"/>
    <x v="0"/>
    <s v="C"/>
    <x v="2"/>
    <x v="0"/>
    <s v="USD"/>
    <n v="64870.58"/>
    <n v="436.95"/>
    <n v="78.650000000000006"/>
    <n v="216.45"/>
    <n v="65169.73"/>
    <n v="1685434.93"/>
    <n v="874"/>
    <x v="2"/>
    <s v="Failed"/>
    <x v="1"/>
    <s v="Verified"/>
    <x v="4"/>
  </r>
  <r>
    <x v="731"/>
    <s v="2025-08-13"/>
    <x v="1"/>
    <x v="702"/>
    <x v="0"/>
    <s v="C"/>
    <x v="3"/>
    <x v="1"/>
    <s v="USD"/>
    <n v="114632.52"/>
    <n v="800.6"/>
    <n v="144.11000000000001"/>
    <n v="61.1"/>
    <n v="115516.13"/>
    <n v="1694575.05"/>
    <n v="532"/>
    <x v="0"/>
    <s v="Failed"/>
    <x v="3"/>
    <s v="Review"/>
    <x v="8"/>
  </r>
  <r>
    <x v="732"/>
    <s v="2025-08-15"/>
    <x v="0"/>
    <x v="703"/>
    <x v="0"/>
    <s v="A"/>
    <x v="1"/>
    <x v="2"/>
    <s v="EUR"/>
    <n v="63113.22"/>
    <n v="522.07000000000005"/>
    <n v="93.97"/>
    <n v="309.37"/>
    <n v="63419.89"/>
    <n v="1690359.25"/>
    <n v="342"/>
    <x v="2"/>
    <s v="Failed"/>
    <x v="3"/>
    <s v="None"/>
    <x v="8"/>
  </r>
  <r>
    <x v="733"/>
    <s v="2025-10-02"/>
    <x v="0"/>
    <x v="704"/>
    <x v="1"/>
    <s v="B"/>
    <x v="0"/>
    <x v="2"/>
    <s v="USD"/>
    <n v="50273.55"/>
    <n v="77.72"/>
    <n v="13.99"/>
    <n v="90.32"/>
    <n v="50274.94"/>
    <n v="1697022.6"/>
    <n v="512"/>
    <x v="0"/>
    <s v="Failed"/>
    <x v="2"/>
    <s v="Review"/>
    <x v="6"/>
  </r>
  <r>
    <x v="734"/>
    <s v="2025-08-29"/>
    <x v="2"/>
    <x v="538"/>
    <x v="0"/>
    <s v="B"/>
    <x v="3"/>
    <x v="0"/>
    <s v="EUR"/>
    <n v="128270.31"/>
    <n v="787.13"/>
    <n v="141.68"/>
    <n v="95.75"/>
    <n v="129103.37"/>
    <n v="1705358.8"/>
    <n v="300"/>
    <x v="2"/>
    <s v="Failed"/>
    <x v="2"/>
    <s v="None"/>
    <x v="8"/>
  </r>
  <r>
    <x v="735"/>
    <s v="2025-07-12"/>
    <x v="1"/>
    <x v="103"/>
    <x v="1"/>
    <s v="C"/>
    <x v="2"/>
    <x v="4"/>
    <s v="USD"/>
    <n v="6051.22"/>
    <n v="83.81"/>
    <n v="15.09"/>
    <n v="281.22000000000003"/>
    <n v="5868.9"/>
    <n v="1709029.84"/>
    <n v="435"/>
    <x v="1"/>
    <s v="Failed"/>
    <x v="0"/>
    <s v="Verified"/>
    <x v="7"/>
  </r>
  <r>
    <x v="736"/>
    <s v="2025-12-05"/>
    <x v="0"/>
    <x v="705"/>
    <x v="3"/>
    <s v="D"/>
    <x v="2"/>
    <x v="2"/>
    <s v="INR"/>
    <n v="11785.39"/>
    <n v="227.23"/>
    <n v="40.9"/>
    <n v="288.47000000000003"/>
    <n v="11765.05"/>
    <n v="1707202.03"/>
    <n v="891"/>
    <x v="2"/>
    <s v="Pending"/>
    <x v="0"/>
    <s v="Verified"/>
    <x v="9"/>
  </r>
  <r>
    <x v="737"/>
    <s v="2025-06-25"/>
    <x v="0"/>
    <x v="706"/>
    <x v="1"/>
    <s v="C"/>
    <x v="1"/>
    <x v="2"/>
    <s v="USD"/>
    <n v="74832.22"/>
    <n v="438.89"/>
    <n v="79"/>
    <n v="274.86"/>
    <n v="75075.25"/>
    <n v="1704414.06"/>
    <n v="705"/>
    <x v="1"/>
    <s v="Failed"/>
    <x v="0"/>
    <s v="Review"/>
    <x v="10"/>
  </r>
  <r>
    <x v="738"/>
    <s v="2025-08-19"/>
    <x v="2"/>
    <x v="707"/>
    <x v="0"/>
    <s v="A"/>
    <x v="3"/>
    <x v="1"/>
    <s v="INR"/>
    <n v="35693.69"/>
    <n v="677.5"/>
    <n v="121.95"/>
    <n v="265.16000000000003"/>
    <n v="36227.980000000003"/>
    <n v="1703477.99"/>
    <n v="891"/>
    <x v="0"/>
    <s v="Pending"/>
    <x v="3"/>
    <s v="Review"/>
    <x v="8"/>
  </r>
  <r>
    <x v="739"/>
    <s v="2025-01-17"/>
    <x v="0"/>
    <x v="708"/>
    <x v="0"/>
    <s v="B"/>
    <x v="2"/>
    <x v="4"/>
    <s v="USD"/>
    <n v="6535.2"/>
    <n v="54.6"/>
    <n v="9.83"/>
    <n v="55.5"/>
    <n v="6544.13"/>
    <n v="1704701.48"/>
    <n v="505"/>
    <x v="0"/>
    <s v="Pending"/>
    <x v="3"/>
    <s v="Review"/>
    <x v="4"/>
  </r>
  <r>
    <x v="740"/>
    <s v="2025-01-21"/>
    <x v="0"/>
    <x v="709"/>
    <x v="2"/>
    <s v="B"/>
    <x v="1"/>
    <x v="0"/>
    <s v="USD"/>
    <n v="181959.63"/>
    <n v="2543.5300000000002"/>
    <n v="457.84"/>
    <n v="372.06"/>
    <n v="184588.94"/>
    <n v="1713354.22"/>
    <n v="732"/>
    <x v="1"/>
    <s v="Failed"/>
    <x v="2"/>
    <s v="None"/>
    <x v="4"/>
  </r>
  <r>
    <x v="741"/>
    <s v="2025-12-16"/>
    <x v="2"/>
    <x v="710"/>
    <x v="3"/>
    <s v="B"/>
    <x v="1"/>
    <x v="3"/>
    <s v="USD"/>
    <n v="112437.09"/>
    <n v="1294.77"/>
    <n v="233.06"/>
    <n v="209.98"/>
    <n v="113754.94"/>
    <n v="1717230.52"/>
    <n v="434"/>
    <x v="0"/>
    <s v="Failed"/>
    <x v="1"/>
    <s v="Review"/>
    <x v="9"/>
  </r>
  <r>
    <x v="742"/>
    <s v="2025-04-22"/>
    <x v="1"/>
    <x v="711"/>
    <x v="0"/>
    <s v="C"/>
    <x v="3"/>
    <x v="0"/>
    <s v="USD"/>
    <n v="68719.88"/>
    <n v="908.49"/>
    <n v="163.53"/>
    <n v="148.09"/>
    <n v="69643.81"/>
    <n v="1717417.36"/>
    <n v="600"/>
    <x v="1"/>
    <s v="Completed"/>
    <x v="3"/>
    <s v="Verified"/>
    <x v="2"/>
  </r>
  <r>
    <x v="743"/>
    <s v="2025-04-18"/>
    <x v="2"/>
    <x v="712"/>
    <x v="1"/>
    <s v="C"/>
    <x v="2"/>
    <x v="0"/>
    <s v="EUR"/>
    <n v="98972.12"/>
    <n v="519.47"/>
    <n v="93.5"/>
    <n v="302.86"/>
    <n v="99282.23"/>
    <n v="1712528.7"/>
    <n v="405"/>
    <x v="1"/>
    <s v="Failed"/>
    <x v="0"/>
    <s v="Review"/>
    <x v="2"/>
  </r>
  <r>
    <x v="744"/>
    <s v="2025-02-08"/>
    <x v="1"/>
    <x v="687"/>
    <x v="3"/>
    <s v="D"/>
    <x v="2"/>
    <x v="4"/>
    <s v="EUR"/>
    <n v="117246.38"/>
    <n v="2254.2399999999998"/>
    <n v="405.76"/>
    <n v="144.62"/>
    <n v="119761.76"/>
    <n v="1718047.86"/>
    <n v="360"/>
    <x v="2"/>
    <s v="Completed"/>
    <x v="1"/>
    <s v="Review"/>
    <x v="0"/>
  </r>
  <r>
    <x v="745"/>
    <s v="2025-09-01"/>
    <x v="0"/>
    <x v="713"/>
    <x v="2"/>
    <s v="B"/>
    <x v="3"/>
    <x v="1"/>
    <s v="USD"/>
    <n v="63708.55"/>
    <n v="552.26"/>
    <n v="99.41"/>
    <n v="291.57"/>
    <n v="64068.65"/>
    <n v="1725446.49"/>
    <n v="563"/>
    <x v="0"/>
    <s v="Pending"/>
    <x v="2"/>
    <s v="Verified"/>
    <x v="11"/>
  </r>
  <r>
    <x v="746"/>
    <s v="2025-06-08"/>
    <x v="1"/>
    <x v="714"/>
    <x v="0"/>
    <s v="C"/>
    <x v="0"/>
    <x v="1"/>
    <s v="USD"/>
    <n v="152899.64000000001"/>
    <n v="2014.18"/>
    <n v="362.55"/>
    <n v="257.66000000000003"/>
    <n v="155018.71"/>
    <n v="1735230.25"/>
    <n v="475"/>
    <x v="0"/>
    <s v="Failed"/>
    <x v="2"/>
    <s v="Verified"/>
    <x v="10"/>
  </r>
  <r>
    <x v="747"/>
    <s v="2025-09-10"/>
    <x v="1"/>
    <x v="715"/>
    <x v="0"/>
    <s v="C"/>
    <x v="1"/>
    <x v="4"/>
    <s v="USD"/>
    <n v="28868.65"/>
    <n v="222.88"/>
    <n v="40.119999999999997"/>
    <n v="258.74"/>
    <n v="28872.91"/>
    <n v="1739086.76"/>
    <n v="451"/>
    <x v="2"/>
    <s v="Failed"/>
    <x v="0"/>
    <s v="Review"/>
    <x v="11"/>
  </r>
  <r>
    <x v="748"/>
    <s v="2025-07-30"/>
    <x v="2"/>
    <x v="716"/>
    <x v="0"/>
    <s v="C"/>
    <x v="2"/>
    <x v="0"/>
    <s v="INR"/>
    <n v="144676.42000000001"/>
    <n v="995.29"/>
    <n v="179.15"/>
    <n v="182.97"/>
    <n v="145667.89000000001"/>
    <n v="1747048.47"/>
    <n v="448"/>
    <x v="2"/>
    <s v="Failed"/>
    <x v="0"/>
    <s v="None"/>
    <x v="7"/>
  </r>
  <r>
    <x v="749"/>
    <s v="2025-11-16"/>
    <x v="0"/>
    <x v="717"/>
    <x v="0"/>
    <s v="C"/>
    <x v="1"/>
    <x v="1"/>
    <s v="INR"/>
    <n v="4145.33"/>
    <n v="44.2"/>
    <n v="7.96"/>
    <n v="286.08999999999997"/>
    <n v="3911.4"/>
    <n v="1749580.84"/>
    <n v="720"/>
    <x v="2"/>
    <s v="Pending"/>
    <x v="2"/>
    <s v="None"/>
    <x v="1"/>
  </r>
  <r>
    <x v="750"/>
    <s v="2025-02-02"/>
    <x v="0"/>
    <x v="718"/>
    <x v="0"/>
    <s v="B"/>
    <x v="0"/>
    <x v="1"/>
    <s v="USD"/>
    <n v="85395.19"/>
    <n v="1683.19"/>
    <n v="302.97000000000003"/>
    <n v="146.36000000000001"/>
    <n v="87234.99"/>
    <n v="1749641.99"/>
    <n v="525"/>
    <x v="0"/>
    <s v="Pending"/>
    <x v="1"/>
    <s v="None"/>
    <x v="0"/>
  </r>
  <r>
    <x v="751"/>
    <s v="2025-09-20"/>
    <x v="0"/>
    <x v="719"/>
    <x v="2"/>
    <s v="B"/>
    <x v="0"/>
    <x v="3"/>
    <s v="EUR"/>
    <n v="161592.45000000001"/>
    <n v="1350.59"/>
    <n v="243.11"/>
    <n v="193.02"/>
    <n v="162993.13"/>
    <n v="1749104.32"/>
    <n v="501"/>
    <x v="0"/>
    <s v="Failed"/>
    <x v="0"/>
    <s v="Review"/>
    <x v="11"/>
  </r>
  <r>
    <x v="752"/>
    <s v="2025-04-01"/>
    <x v="2"/>
    <x v="720"/>
    <x v="0"/>
    <s v="A"/>
    <x v="3"/>
    <x v="4"/>
    <s v="INR"/>
    <n v="187147.72"/>
    <n v="2253.9"/>
    <n v="405.7"/>
    <n v="286.10000000000002"/>
    <n v="189521.22"/>
    <n v="1751921.49"/>
    <n v="351"/>
    <x v="0"/>
    <s v="Pending"/>
    <x v="3"/>
    <s v="Review"/>
    <x v="2"/>
  </r>
  <r>
    <x v="753"/>
    <s v="2025-11-06"/>
    <x v="0"/>
    <x v="721"/>
    <x v="0"/>
    <s v="B"/>
    <x v="1"/>
    <x v="1"/>
    <s v="EUR"/>
    <n v="7087.11"/>
    <n v="130.19"/>
    <n v="23.43"/>
    <n v="283.95999999999998"/>
    <n v="6956.77"/>
    <n v="1758094.25"/>
    <n v="437"/>
    <x v="1"/>
    <s v="Completed"/>
    <x v="1"/>
    <s v="None"/>
    <x v="1"/>
  </r>
  <r>
    <x v="754"/>
    <s v="2025-09-29"/>
    <x v="1"/>
    <x v="722"/>
    <x v="1"/>
    <s v="B"/>
    <x v="2"/>
    <x v="4"/>
    <s v="INR"/>
    <n v="19581.080000000002"/>
    <n v="358.46"/>
    <n v="64.52"/>
    <n v="255.64"/>
    <n v="19748.419999999998"/>
    <n v="1756895.59"/>
    <n v="677"/>
    <x v="0"/>
    <s v="Completed"/>
    <x v="0"/>
    <s v="Verified"/>
    <x v="11"/>
  </r>
  <r>
    <x v="755"/>
    <s v="2025-11-22"/>
    <x v="1"/>
    <x v="391"/>
    <x v="0"/>
    <s v="B"/>
    <x v="1"/>
    <x v="4"/>
    <s v="EUR"/>
    <n v="113298.07"/>
    <n v="941.14"/>
    <n v="169.41"/>
    <n v="291.47000000000003"/>
    <n v="114117.15"/>
    <n v="1762970.72"/>
    <n v="828"/>
    <x v="0"/>
    <s v="Failed"/>
    <x v="2"/>
    <s v="Review"/>
    <x v="1"/>
  </r>
  <r>
    <x v="756"/>
    <s v="2025-12-14"/>
    <x v="2"/>
    <x v="723"/>
    <x v="2"/>
    <s v="A"/>
    <x v="1"/>
    <x v="3"/>
    <s v="INR"/>
    <n v="7211.81"/>
    <n v="58.21"/>
    <n v="10.48"/>
    <n v="7.06"/>
    <n v="7273.44"/>
    <n v="1764358.29"/>
    <n v="729"/>
    <x v="1"/>
    <s v="Pending"/>
    <x v="2"/>
    <s v="None"/>
    <x v="9"/>
  </r>
  <r>
    <x v="757"/>
    <s v="2025-01-28"/>
    <x v="0"/>
    <x v="641"/>
    <x v="1"/>
    <s v="A"/>
    <x v="0"/>
    <x v="4"/>
    <s v="EUR"/>
    <n v="3383.67"/>
    <n v="3.41"/>
    <n v="0.61"/>
    <n v="182.5"/>
    <n v="3205.19"/>
    <n v="1769827.76"/>
    <n v="869"/>
    <x v="0"/>
    <s v="Failed"/>
    <x v="1"/>
    <s v="None"/>
    <x v="4"/>
  </r>
  <r>
    <x v="758"/>
    <s v="2025-05-14"/>
    <x v="2"/>
    <x v="724"/>
    <x v="3"/>
    <s v="D"/>
    <x v="3"/>
    <x v="4"/>
    <s v="EUR"/>
    <n v="9711.26"/>
    <n v="192.07"/>
    <n v="34.57"/>
    <n v="390.33"/>
    <n v="9547.57"/>
    <n v="1779161.56"/>
    <n v="390"/>
    <x v="1"/>
    <s v="Completed"/>
    <x v="1"/>
    <s v="None"/>
    <x v="5"/>
  </r>
  <r>
    <x v="759"/>
    <s v="2025-09-22"/>
    <x v="2"/>
    <x v="114"/>
    <x v="3"/>
    <s v="B"/>
    <x v="1"/>
    <x v="1"/>
    <s v="USD"/>
    <n v="164370.46"/>
    <n v="2895.49"/>
    <n v="521.19000000000005"/>
    <n v="363.58"/>
    <n v="167423.56"/>
    <n v="1778765.9"/>
    <n v="788"/>
    <x v="1"/>
    <s v="Pending"/>
    <x v="0"/>
    <s v="Verified"/>
    <x v="11"/>
  </r>
  <r>
    <x v="760"/>
    <s v="2025-08-02"/>
    <x v="1"/>
    <x v="725"/>
    <x v="1"/>
    <s v="D"/>
    <x v="1"/>
    <x v="2"/>
    <s v="USD"/>
    <n v="181607.16"/>
    <n v="3484.36"/>
    <n v="627.17999999999995"/>
    <n v="268.37"/>
    <n v="185450.33"/>
    <n v="1780413.12"/>
    <n v="366"/>
    <x v="0"/>
    <s v="Completed"/>
    <x v="2"/>
    <s v="None"/>
    <x v="8"/>
  </r>
  <r>
    <x v="761"/>
    <s v="2025-01-22"/>
    <x v="2"/>
    <x v="726"/>
    <x v="0"/>
    <s v="C"/>
    <x v="3"/>
    <x v="0"/>
    <s v="INR"/>
    <n v="30011.77"/>
    <n v="373.86"/>
    <n v="67.290000000000006"/>
    <n v="64.87"/>
    <n v="30388.05"/>
    <n v="1781440.96"/>
    <n v="317"/>
    <x v="1"/>
    <s v="Failed"/>
    <x v="1"/>
    <s v="Review"/>
    <x v="4"/>
  </r>
  <r>
    <x v="762"/>
    <s v="2025-06-30"/>
    <x v="1"/>
    <x v="727"/>
    <x v="0"/>
    <s v="D"/>
    <x v="3"/>
    <x v="2"/>
    <s v="INR"/>
    <n v="183197.4"/>
    <n v="3535.84"/>
    <n v="636.45000000000005"/>
    <n v="103.48"/>
    <n v="187266.21"/>
    <n v="1786863.44"/>
    <n v="324"/>
    <x v="1"/>
    <s v="Completed"/>
    <x v="3"/>
    <s v="None"/>
    <x v="10"/>
  </r>
  <r>
    <x v="763"/>
    <s v="2025-11-22"/>
    <x v="2"/>
    <x v="728"/>
    <x v="3"/>
    <s v="C"/>
    <x v="3"/>
    <x v="0"/>
    <s v="USD"/>
    <n v="93018.45"/>
    <n v="211.64"/>
    <n v="38.1"/>
    <n v="113.26"/>
    <n v="93154.93"/>
    <n v="1782468.25"/>
    <n v="424"/>
    <x v="2"/>
    <s v="Failed"/>
    <x v="0"/>
    <s v="Verified"/>
    <x v="1"/>
  </r>
  <r>
    <x v="764"/>
    <s v="2025-07-12"/>
    <x v="2"/>
    <x v="729"/>
    <x v="1"/>
    <s v="D"/>
    <x v="1"/>
    <x v="1"/>
    <s v="INR"/>
    <n v="91354.67"/>
    <n v="1721.1"/>
    <n v="309.8"/>
    <n v="391.98"/>
    <n v="92993.59"/>
    <n v="1780143.53"/>
    <n v="794"/>
    <x v="2"/>
    <s v="Failed"/>
    <x v="0"/>
    <s v="Verified"/>
    <x v="7"/>
  </r>
  <r>
    <x v="765"/>
    <s v="2025-02-01"/>
    <x v="2"/>
    <x v="730"/>
    <x v="3"/>
    <s v="C"/>
    <x v="2"/>
    <x v="4"/>
    <s v="USD"/>
    <n v="57471.6"/>
    <n v="685.43"/>
    <n v="123.38"/>
    <n v="205.71"/>
    <n v="58074.7"/>
    <n v="1783632.82"/>
    <n v="493"/>
    <x v="0"/>
    <s v="Completed"/>
    <x v="1"/>
    <s v="Verified"/>
    <x v="0"/>
  </r>
  <r>
    <x v="766"/>
    <s v="2025-08-28"/>
    <x v="0"/>
    <x v="731"/>
    <x v="1"/>
    <s v="B"/>
    <x v="0"/>
    <x v="1"/>
    <s v="EUR"/>
    <n v="115882.77"/>
    <n v="333.62"/>
    <n v="60.05"/>
    <n v="235.48"/>
    <n v="116040.96000000001"/>
    <n v="1780787.69"/>
    <n v="540"/>
    <x v="2"/>
    <s v="Completed"/>
    <x v="2"/>
    <s v="None"/>
    <x v="8"/>
  </r>
  <r>
    <x v="767"/>
    <s v="2025-10-30"/>
    <x v="2"/>
    <x v="732"/>
    <x v="2"/>
    <s v="C"/>
    <x v="0"/>
    <x v="0"/>
    <s v="INR"/>
    <n v="128613.89"/>
    <n v="2524"/>
    <n v="454.32"/>
    <n v="221.7"/>
    <n v="131370.51"/>
    <n v="1788935.12"/>
    <n v="834"/>
    <x v="2"/>
    <s v="Failed"/>
    <x v="1"/>
    <s v="None"/>
    <x v="6"/>
  </r>
  <r>
    <x v="768"/>
    <s v="2025-05-01"/>
    <x v="1"/>
    <x v="733"/>
    <x v="1"/>
    <s v="C"/>
    <x v="2"/>
    <x v="3"/>
    <s v="INR"/>
    <n v="64012.73"/>
    <n v="371.86"/>
    <n v="66.930000000000007"/>
    <n v="109.65"/>
    <n v="64341.87"/>
    <n v="1784609.77"/>
    <n v="744"/>
    <x v="0"/>
    <s v="Completed"/>
    <x v="2"/>
    <s v="Verified"/>
    <x v="5"/>
  </r>
  <r>
    <x v="769"/>
    <s v="2025-09-04"/>
    <x v="2"/>
    <x v="734"/>
    <x v="2"/>
    <s v="A"/>
    <x v="2"/>
    <x v="0"/>
    <s v="INR"/>
    <n v="199618.77"/>
    <n v="1729.33"/>
    <n v="311.27999999999997"/>
    <n v="270.85000000000002"/>
    <n v="201388.53"/>
    <n v="1791699.67"/>
    <n v="661"/>
    <x v="0"/>
    <s v="Completed"/>
    <x v="1"/>
    <s v="None"/>
    <x v="11"/>
  </r>
  <r>
    <x v="770"/>
    <s v="2025-10-25"/>
    <x v="1"/>
    <x v="735"/>
    <x v="1"/>
    <s v="D"/>
    <x v="3"/>
    <x v="3"/>
    <s v="EUR"/>
    <n v="30767.200000000001"/>
    <n v="336.91"/>
    <n v="60.64"/>
    <n v="161.97"/>
    <n v="31002.78"/>
    <n v="1795434.43"/>
    <n v="846"/>
    <x v="0"/>
    <s v="Pending"/>
    <x v="3"/>
    <s v="Verified"/>
    <x v="6"/>
  </r>
  <r>
    <x v="771"/>
    <s v="2025-04-08"/>
    <x v="1"/>
    <x v="736"/>
    <x v="2"/>
    <s v="C"/>
    <x v="1"/>
    <x v="1"/>
    <s v="USD"/>
    <n v="71360.009999999995"/>
    <n v="957.28"/>
    <n v="172.31"/>
    <n v="323.10000000000002"/>
    <n v="72166.5"/>
    <n v="1793806.97"/>
    <n v="402"/>
    <x v="0"/>
    <s v="Failed"/>
    <x v="0"/>
    <s v="None"/>
    <x v="2"/>
  </r>
  <r>
    <x v="772"/>
    <s v="2025-02-27"/>
    <x v="2"/>
    <x v="737"/>
    <x v="2"/>
    <s v="D"/>
    <x v="3"/>
    <x v="0"/>
    <s v="EUR"/>
    <n v="50422.45"/>
    <n v="118.21"/>
    <n v="21.28"/>
    <n v="237.05"/>
    <n v="50324.89"/>
    <n v="1800747.46"/>
    <n v="478"/>
    <x v="1"/>
    <s v="Failed"/>
    <x v="2"/>
    <s v="Verified"/>
    <x v="0"/>
  </r>
  <r>
    <x v="773"/>
    <s v="2025-03-10"/>
    <x v="2"/>
    <x v="738"/>
    <x v="1"/>
    <s v="A"/>
    <x v="3"/>
    <x v="1"/>
    <s v="EUR"/>
    <n v="138700.9"/>
    <n v="697"/>
    <n v="125.46"/>
    <n v="97.94"/>
    <n v="139425.42000000001"/>
    <n v="1810150.89"/>
    <n v="539"/>
    <x v="0"/>
    <s v="Failed"/>
    <x v="1"/>
    <s v="Review"/>
    <x v="3"/>
  </r>
  <r>
    <x v="774"/>
    <s v="2025-02-18"/>
    <x v="2"/>
    <x v="739"/>
    <x v="3"/>
    <s v="C"/>
    <x v="3"/>
    <x v="1"/>
    <s v="USD"/>
    <n v="137735.22"/>
    <n v="1856.06"/>
    <n v="334.09"/>
    <n v="465.97"/>
    <n v="139459.4"/>
    <n v="1806580.3"/>
    <n v="388"/>
    <x v="1"/>
    <s v="Pending"/>
    <x v="1"/>
    <s v="Review"/>
    <x v="0"/>
  </r>
  <r>
    <x v="775"/>
    <s v="2025-01-06"/>
    <x v="0"/>
    <x v="740"/>
    <x v="0"/>
    <s v="B"/>
    <x v="1"/>
    <x v="2"/>
    <s v="INR"/>
    <n v="2377.31"/>
    <n v="22.07"/>
    <n v="3.97"/>
    <n v="251.73"/>
    <n v="2151.62"/>
    <n v="1814099.59"/>
    <n v="882"/>
    <x v="1"/>
    <s v="Completed"/>
    <x v="2"/>
    <s v="Verified"/>
    <x v="4"/>
  </r>
  <r>
    <x v="776"/>
    <s v="2025-09-21"/>
    <x v="2"/>
    <x v="741"/>
    <x v="0"/>
    <s v="B"/>
    <x v="0"/>
    <x v="0"/>
    <s v="EUR"/>
    <n v="142511.75"/>
    <n v="1957.78"/>
    <n v="352.4"/>
    <n v="176.91"/>
    <n v="144645.01999999999"/>
    <n v="1809568.84"/>
    <n v="393"/>
    <x v="1"/>
    <s v="Pending"/>
    <x v="2"/>
    <s v="Verified"/>
    <x v="11"/>
  </r>
  <r>
    <x v="777"/>
    <s v="2025-01-27"/>
    <x v="0"/>
    <x v="742"/>
    <x v="1"/>
    <s v="C"/>
    <x v="0"/>
    <x v="3"/>
    <s v="USD"/>
    <n v="133168.4"/>
    <n v="623.78"/>
    <n v="112.28"/>
    <n v="286.45999999999998"/>
    <n v="133618"/>
    <n v="1807941.08"/>
    <n v="754"/>
    <x v="0"/>
    <s v="Pending"/>
    <x v="2"/>
    <s v="Verified"/>
    <x v="4"/>
  </r>
  <r>
    <x v="778"/>
    <s v="2025-02-25"/>
    <x v="1"/>
    <x v="223"/>
    <x v="1"/>
    <s v="A"/>
    <x v="2"/>
    <x v="0"/>
    <s v="EUR"/>
    <n v="176658.04"/>
    <n v="626.79999999999995"/>
    <n v="112.82"/>
    <n v="168.52"/>
    <n v="177229.14"/>
    <n v="1808995.52"/>
    <n v="323"/>
    <x v="1"/>
    <s v="Failed"/>
    <x v="3"/>
    <s v="Verified"/>
    <x v="0"/>
  </r>
  <r>
    <x v="779"/>
    <s v="2025-07-05"/>
    <x v="1"/>
    <x v="743"/>
    <x v="2"/>
    <s v="D"/>
    <x v="1"/>
    <x v="2"/>
    <s v="INR"/>
    <n v="118162.84"/>
    <n v="2240.96"/>
    <n v="403.37"/>
    <n v="125.57"/>
    <n v="120681.60000000001"/>
    <n v="1804149.8"/>
    <n v="875"/>
    <x v="1"/>
    <s v="Pending"/>
    <x v="2"/>
    <s v="Verified"/>
    <x v="7"/>
  </r>
  <r>
    <x v="780"/>
    <s v="2025-04-18"/>
    <x v="2"/>
    <x v="195"/>
    <x v="2"/>
    <s v="D"/>
    <x v="0"/>
    <x v="2"/>
    <s v="EUR"/>
    <n v="148482.07"/>
    <n v="195.63"/>
    <n v="35.21"/>
    <n v="1.1000000000000001"/>
    <n v="148711.81"/>
    <n v="1804963.64"/>
    <n v="356"/>
    <x v="0"/>
    <s v="Pending"/>
    <x v="2"/>
    <s v="Review"/>
    <x v="2"/>
  </r>
  <r>
    <x v="781"/>
    <s v="2025-12-27"/>
    <x v="2"/>
    <x v="744"/>
    <x v="0"/>
    <s v="C"/>
    <x v="3"/>
    <x v="3"/>
    <s v="USD"/>
    <n v="89325.36"/>
    <n v="351.78"/>
    <n v="63.32"/>
    <n v="50.86"/>
    <n v="89689.600000000006"/>
    <n v="1809661.86"/>
    <n v="307"/>
    <x v="0"/>
    <s v="Completed"/>
    <x v="1"/>
    <s v="None"/>
    <x v="9"/>
  </r>
  <r>
    <x v="782"/>
    <s v="2025-02-28"/>
    <x v="0"/>
    <x v="745"/>
    <x v="0"/>
    <s v="D"/>
    <x v="1"/>
    <x v="1"/>
    <s v="EUR"/>
    <n v="187927.19"/>
    <n v="3064.11"/>
    <n v="551.54"/>
    <n v="449.32"/>
    <n v="191093.52"/>
    <n v="1815673.76"/>
    <n v="607"/>
    <x v="2"/>
    <s v="Pending"/>
    <x v="0"/>
    <s v="Verified"/>
    <x v="0"/>
  </r>
  <r>
    <x v="783"/>
    <s v="2025-01-08"/>
    <x v="2"/>
    <x v="746"/>
    <x v="0"/>
    <s v="C"/>
    <x v="1"/>
    <x v="2"/>
    <s v="INR"/>
    <n v="40813.769999999997"/>
    <n v="74.94"/>
    <n v="13.49"/>
    <n v="272.83999999999997"/>
    <n v="40629.360000000001"/>
    <n v="1814320.5"/>
    <n v="711"/>
    <x v="2"/>
    <s v="Completed"/>
    <x v="0"/>
    <s v="None"/>
    <x v="4"/>
  </r>
  <r>
    <x v="784"/>
    <s v="2025-10-20"/>
    <x v="2"/>
    <x v="747"/>
    <x v="1"/>
    <s v="D"/>
    <x v="1"/>
    <x v="4"/>
    <s v="INR"/>
    <n v="79915.199999999997"/>
    <n v="1033.3399999999999"/>
    <n v="186"/>
    <n v="423.25"/>
    <n v="80711.289999999994"/>
    <n v="1814632.98"/>
    <n v="619"/>
    <x v="0"/>
    <s v="Failed"/>
    <x v="2"/>
    <s v="Verified"/>
    <x v="6"/>
  </r>
  <r>
    <x v="785"/>
    <s v="2025-08-07"/>
    <x v="0"/>
    <x v="748"/>
    <x v="0"/>
    <s v="A"/>
    <x v="3"/>
    <x v="2"/>
    <s v="USD"/>
    <n v="107556.81"/>
    <n v="1905.77"/>
    <n v="343.04"/>
    <n v="157.36000000000001"/>
    <n v="109648.26"/>
    <n v="1809670.35"/>
    <n v="796"/>
    <x v="0"/>
    <s v="Completed"/>
    <x v="0"/>
    <s v="Verified"/>
    <x v="8"/>
  </r>
  <r>
    <x v="786"/>
    <s v="2025-12-26"/>
    <x v="1"/>
    <x v="749"/>
    <x v="0"/>
    <s v="B"/>
    <x v="0"/>
    <x v="2"/>
    <s v="INR"/>
    <n v="48313.91"/>
    <n v="434.74"/>
    <n v="78.25"/>
    <n v="445.96"/>
    <n v="48380.94"/>
    <n v="1808662.75"/>
    <n v="720"/>
    <x v="2"/>
    <s v="Completed"/>
    <x v="2"/>
    <s v="Review"/>
    <x v="9"/>
  </r>
  <r>
    <x v="787"/>
    <s v="2025-08-05"/>
    <x v="2"/>
    <x v="750"/>
    <x v="0"/>
    <s v="D"/>
    <x v="2"/>
    <x v="0"/>
    <s v="INR"/>
    <n v="33137.9"/>
    <n v="280.86"/>
    <n v="50.55"/>
    <n v="47.12"/>
    <n v="33422.19"/>
    <n v="1815506.4"/>
    <n v="822"/>
    <x v="0"/>
    <s v="Completed"/>
    <x v="0"/>
    <s v="Verified"/>
    <x v="8"/>
  </r>
  <r>
    <x v="788"/>
    <s v="2025-06-03"/>
    <x v="0"/>
    <x v="751"/>
    <x v="0"/>
    <s v="A"/>
    <x v="3"/>
    <x v="1"/>
    <s v="USD"/>
    <n v="76952.81"/>
    <n v="1129.1600000000001"/>
    <n v="203.25"/>
    <n v="347.96"/>
    <n v="77937.259999999995"/>
    <n v="1819443.92"/>
    <n v="818"/>
    <x v="1"/>
    <s v="Completed"/>
    <x v="1"/>
    <s v="Verified"/>
    <x v="10"/>
  </r>
  <r>
    <x v="789"/>
    <s v="2025-09-22"/>
    <x v="2"/>
    <x v="752"/>
    <x v="3"/>
    <s v="D"/>
    <x v="1"/>
    <x v="3"/>
    <s v="USD"/>
    <n v="170808.63"/>
    <n v="1692.45"/>
    <n v="304.64"/>
    <n v="47.85"/>
    <n v="172757.87"/>
    <n v="1822919.89"/>
    <n v="474"/>
    <x v="1"/>
    <s v="Failed"/>
    <x v="1"/>
    <s v="Verified"/>
    <x v="11"/>
  </r>
  <r>
    <x v="790"/>
    <s v="2025-10-10"/>
    <x v="1"/>
    <x v="753"/>
    <x v="2"/>
    <s v="D"/>
    <x v="1"/>
    <x v="2"/>
    <s v="EUR"/>
    <n v="47948.71"/>
    <n v="736.05"/>
    <n v="132.49"/>
    <n v="270.58999999999997"/>
    <n v="48546.66"/>
    <n v="1826251.19"/>
    <n v="338"/>
    <x v="1"/>
    <s v="Completed"/>
    <x v="2"/>
    <s v="None"/>
    <x v="6"/>
  </r>
  <r>
    <x v="791"/>
    <s v="2025-02-23"/>
    <x v="1"/>
    <x v="754"/>
    <x v="0"/>
    <s v="C"/>
    <x v="0"/>
    <x v="0"/>
    <s v="USD"/>
    <n v="102197.17"/>
    <n v="270.44"/>
    <n v="48.68"/>
    <n v="52.03"/>
    <n v="102464.26"/>
    <n v="1834407.53"/>
    <n v="352"/>
    <x v="2"/>
    <s v="Completed"/>
    <x v="3"/>
    <s v="Verified"/>
    <x v="0"/>
  </r>
  <r>
    <x v="792"/>
    <s v="2025-05-16"/>
    <x v="0"/>
    <x v="755"/>
    <x v="1"/>
    <s v="C"/>
    <x v="1"/>
    <x v="3"/>
    <s v="EUR"/>
    <n v="143683.38"/>
    <n v="717.8"/>
    <n v="129.19999999999999"/>
    <n v="300.58"/>
    <n v="144229.79999999999"/>
    <n v="1844388.83"/>
    <n v="355"/>
    <x v="2"/>
    <s v="Pending"/>
    <x v="1"/>
    <s v="None"/>
    <x v="5"/>
  </r>
  <r>
    <x v="793"/>
    <s v="2025-01-13"/>
    <x v="1"/>
    <x v="68"/>
    <x v="2"/>
    <s v="C"/>
    <x v="3"/>
    <x v="1"/>
    <s v="USD"/>
    <n v="7636.25"/>
    <n v="98.69"/>
    <n v="17.760000000000002"/>
    <n v="296.61"/>
    <n v="7456.09"/>
    <n v="1850957.86"/>
    <n v="642"/>
    <x v="1"/>
    <s v="Completed"/>
    <x v="3"/>
    <s v="Verified"/>
    <x v="4"/>
  </r>
  <r>
    <x v="794"/>
    <s v="2025-01-08"/>
    <x v="2"/>
    <x v="756"/>
    <x v="2"/>
    <s v="D"/>
    <x v="2"/>
    <x v="3"/>
    <s v="EUR"/>
    <n v="173409.67"/>
    <n v="2786.91"/>
    <n v="501.64"/>
    <n v="143.33000000000001"/>
    <n v="176554.89"/>
    <n v="1857073.24"/>
    <n v="797"/>
    <x v="2"/>
    <s v="Pending"/>
    <x v="0"/>
    <s v="Verified"/>
    <x v="4"/>
  </r>
  <r>
    <x v="795"/>
    <s v="2025-08-03"/>
    <x v="2"/>
    <x v="757"/>
    <x v="0"/>
    <s v="C"/>
    <x v="2"/>
    <x v="2"/>
    <s v="INR"/>
    <n v="196014.69"/>
    <n v="2258.19"/>
    <n v="406.47"/>
    <n v="26.72"/>
    <n v="198652.63"/>
    <n v="1858761.4"/>
    <n v="793"/>
    <x v="0"/>
    <s v="Pending"/>
    <x v="2"/>
    <s v="Verified"/>
    <x v="8"/>
  </r>
  <r>
    <x v="796"/>
    <s v="2025-01-03"/>
    <x v="1"/>
    <x v="758"/>
    <x v="0"/>
    <s v="D"/>
    <x v="3"/>
    <x v="4"/>
    <s v="USD"/>
    <n v="66036.58"/>
    <n v="959.87"/>
    <n v="172.78"/>
    <n v="138.68"/>
    <n v="67030.55"/>
    <n v="1868341.64"/>
    <n v="738"/>
    <x v="2"/>
    <s v="Failed"/>
    <x v="2"/>
    <s v="Verified"/>
    <x v="4"/>
  </r>
  <r>
    <x v="797"/>
    <s v="2025-02-25"/>
    <x v="2"/>
    <x v="759"/>
    <x v="1"/>
    <s v="A"/>
    <x v="3"/>
    <x v="2"/>
    <s v="EUR"/>
    <n v="131093.48000000001"/>
    <n v="264.95999999999998"/>
    <n v="47.69"/>
    <n v="275.08999999999997"/>
    <n v="131131.04"/>
    <n v="1865296.83"/>
    <n v="669"/>
    <x v="1"/>
    <s v="Failed"/>
    <x v="0"/>
    <s v="Review"/>
    <x v="0"/>
  </r>
  <r>
    <x v="798"/>
    <s v="2025-12-25"/>
    <x v="1"/>
    <x v="760"/>
    <x v="1"/>
    <s v="C"/>
    <x v="2"/>
    <x v="2"/>
    <s v="USD"/>
    <n v="146875.79"/>
    <n v="207.04"/>
    <n v="37.270000000000003"/>
    <n v="269.16000000000003"/>
    <n v="146850.94"/>
    <n v="1870610.28"/>
    <n v="420"/>
    <x v="0"/>
    <s v="Completed"/>
    <x v="0"/>
    <s v="Review"/>
    <x v="9"/>
  </r>
  <r>
    <x v="799"/>
    <s v="2025-08-14"/>
    <x v="2"/>
    <x v="761"/>
    <x v="3"/>
    <s v="C"/>
    <x v="3"/>
    <x v="0"/>
    <s v="EUR"/>
    <n v="175761.2"/>
    <n v="1432.17"/>
    <n v="257.79000000000002"/>
    <n v="137.71"/>
    <n v="177313.45"/>
    <n v="1868262.95"/>
    <n v="511"/>
    <x v="1"/>
    <s v="Completed"/>
    <x v="0"/>
    <s v="Review"/>
    <x v="8"/>
  </r>
  <r>
    <x v="800"/>
    <s v="2025-12-18"/>
    <x v="0"/>
    <x v="762"/>
    <x v="0"/>
    <s v="A"/>
    <x v="3"/>
    <x v="4"/>
    <s v="USD"/>
    <n v="81469.070000000007"/>
    <n v="1583.09"/>
    <n v="284.95999999999998"/>
    <n v="150.56"/>
    <n v="83186.559999999998"/>
    <n v="1869559.21"/>
    <n v="442"/>
    <x v="1"/>
    <s v="Failed"/>
    <x v="3"/>
    <s v="Review"/>
    <x v="9"/>
  </r>
  <r>
    <x v="801"/>
    <s v="2025-06-17"/>
    <x v="0"/>
    <x v="763"/>
    <x v="3"/>
    <s v="A"/>
    <x v="1"/>
    <x v="3"/>
    <s v="INR"/>
    <n v="87751.26"/>
    <n v="1719.86"/>
    <n v="309.57"/>
    <n v="408.73"/>
    <n v="89371.96"/>
    <n v="1878204.32"/>
    <n v="879"/>
    <x v="1"/>
    <s v="Pending"/>
    <x v="0"/>
    <s v="None"/>
    <x v="10"/>
  </r>
  <r>
    <x v="802"/>
    <s v="2025-07-10"/>
    <x v="0"/>
    <x v="764"/>
    <x v="3"/>
    <s v="D"/>
    <x v="1"/>
    <x v="4"/>
    <s v="INR"/>
    <n v="141634.53"/>
    <n v="218.75"/>
    <n v="39.380000000000003"/>
    <n v="252.6"/>
    <n v="141640.06"/>
    <n v="1880305.57"/>
    <n v="337"/>
    <x v="1"/>
    <s v="Completed"/>
    <x v="3"/>
    <s v="None"/>
    <x v="7"/>
  </r>
  <r>
    <x v="803"/>
    <s v="2025-09-25"/>
    <x v="0"/>
    <x v="765"/>
    <x v="2"/>
    <s v="C"/>
    <x v="2"/>
    <x v="3"/>
    <s v="EUR"/>
    <n v="82516.320000000007"/>
    <n v="400.68"/>
    <n v="72.12"/>
    <n v="488.89"/>
    <n v="82500.23"/>
    <n v="1889211.58"/>
    <n v="654"/>
    <x v="2"/>
    <s v="Failed"/>
    <x v="1"/>
    <s v="Review"/>
    <x v="11"/>
  </r>
  <r>
    <x v="804"/>
    <s v="2025-12-30"/>
    <x v="0"/>
    <x v="766"/>
    <x v="1"/>
    <s v="A"/>
    <x v="0"/>
    <x v="3"/>
    <s v="INR"/>
    <n v="58667.09"/>
    <n v="355.23"/>
    <n v="63.94"/>
    <n v="192.89"/>
    <n v="58893.37"/>
    <n v="1894246.36"/>
    <n v="884"/>
    <x v="1"/>
    <s v="Pending"/>
    <x v="0"/>
    <s v="Review"/>
    <x v="9"/>
  </r>
  <r>
    <x v="805"/>
    <s v="2025-05-11"/>
    <x v="1"/>
    <x v="767"/>
    <x v="3"/>
    <s v="B"/>
    <x v="3"/>
    <x v="1"/>
    <s v="EUR"/>
    <n v="112934.51"/>
    <n v="1744.66"/>
    <n v="314.04000000000002"/>
    <n v="295.95"/>
    <n v="114697.26"/>
    <n v="1899460.94"/>
    <n v="471"/>
    <x v="0"/>
    <s v="Completed"/>
    <x v="0"/>
    <s v="Review"/>
    <x v="5"/>
  </r>
  <r>
    <x v="806"/>
    <s v="2025-11-19"/>
    <x v="2"/>
    <x v="768"/>
    <x v="0"/>
    <s v="A"/>
    <x v="3"/>
    <x v="3"/>
    <s v="INR"/>
    <n v="68425.03"/>
    <n v="1018.21"/>
    <n v="183.28"/>
    <n v="142.01"/>
    <n v="69484.509999999995"/>
    <n v="1902924.31"/>
    <n v="441"/>
    <x v="2"/>
    <s v="Failed"/>
    <x v="2"/>
    <s v="Verified"/>
    <x v="1"/>
  </r>
  <r>
    <x v="807"/>
    <s v="2025-08-25"/>
    <x v="1"/>
    <x v="769"/>
    <x v="2"/>
    <s v="C"/>
    <x v="0"/>
    <x v="0"/>
    <s v="INR"/>
    <n v="170208.15"/>
    <n v="1253.47"/>
    <n v="225.62"/>
    <n v="344.94"/>
    <n v="171342.3"/>
    <n v="1907489.36"/>
    <n v="601"/>
    <x v="1"/>
    <s v="Failed"/>
    <x v="2"/>
    <s v="None"/>
    <x v="8"/>
  </r>
  <r>
    <x v="808"/>
    <s v="2025-10-03"/>
    <x v="0"/>
    <x v="770"/>
    <x v="1"/>
    <s v="B"/>
    <x v="3"/>
    <x v="1"/>
    <s v="USD"/>
    <n v="113810.21"/>
    <n v="179.07"/>
    <n v="32.229999999999997"/>
    <n v="401.72"/>
    <n v="113619.79"/>
    <n v="1906783.72"/>
    <n v="641"/>
    <x v="1"/>
    <s v="Pending"/>
    <x v="3"/>
    <s v="None"/>
    <x v="6"/>
  </r>
  <r>
    <x v="809"/>
    <s v="2025-09-26"/>
    <x v="1"/>
    <x v="468"/>
    <x v="1"/>
    <s v="B"/>
    <x v="1"/>
    <x v="1"/>
    <s v="USD"/>
    <n v="60413.95"/>
    <n v="357.3"/>
    <n v="64.31"/>
    <n v="385.4"/>
    <n v="60450.16"/>
    <n v="1913378.52"/>
    <n v="498"/>
    <x v="2"/>
    <s v="Failed"/>
    <x v="3"/>
    <s v="Review"/>
    <x v="11"/>
  </r>
  <r>
    <x v="810"/>
    <s v="2025-08-18"/>
    <x v="1"/>
    <x v="771"/>
    <x v="0"/>
    <s v="B"/>
    <x v="0"/>
    <x v="3"/>
    <s v="INR"/>
    <n v="15451.57"/>
    <n v="116"/>
    <n v="20.88"/>
    <n v="143.43"/>
    <n v="15445.02"/>
    <n v="1918565.54"/>
    <n v="337"/>
    <x v="0"/>
    <s v="Pending"/>
    <x v="0"/>
    <s v="Review"/>
    <x v="8"/>
  </r>
  <r>
    <x v="811"/>
    <s v="2025-09-09"/>
    <x v="0"/>
    <x v="772"/>
    <x v="2"/>
    <s v="D"/>
    <x v="0"/>
    <x v="3"/>
    <s v="EUR"/>
    <n v="25663.67"/>
    <n v="269.74"/>
    <n v="48.55"/>
    <n v="244.77"/>
    <n v="25737.19"/>
    <n v="1925526.02"/>
    <n v="723"/>
    <x v="1"/>
    <s v="Completed"/>
    <x v="0"/>
    <s v="None"/>
    <x v="11"/>
  </r>
  <r>
    <x v="812"/>
    <s v="2025-03-27"/>
    <x v="1"/>
    <x v="773"/>
    <x v="1"/>
    <s v="D"/>
    <x v="2"/>
    <x v="3"/>
    <s v="USD"/>
    <n v="155905.73000000001"/>
    <n v="461.16"/>
    <n v="83.01"/>
    <n v="3.84"/>
    <n v="156446.06"/>
    <n v="1926948.62"/>
    <n v="750"/>
    <x v="1"/>
    <s v="Completed"/>
    <x v="0"/>
    <s v="None"/>
    <x v="3"/>
  </r>
  <r>
    <x v="813"/>
    <s v="2025-02-16"/>
    <x v="1"/>
    <x v="774"/>
    <x v="3"/>
    <s v="C"/>
    <x v="1"/>
    <x v="3"/>
    <s v="USD"/>
    <n v="53558.93"/>
    <n v="813.76"/>
    <n v="146.47999999999999"/>
    <n v="379.22"/>
    <n v="54139.95"/>
    <n v="1933043.2"/>
    <n v="695"/>
    <x v="2"/>
    <s v="Completed"/>
    <x v="0"/>
    <s v="Review"/>
    <x v="0"/>
  </r>
  <r>
    <x v="814"/>
    <s v="2025-12-15"/>
    <x v="2"/>
    <x v="775"/>
    <x v="2"/>
    <s v="A"/>
    <x v="0"/>
    <x v="3"/>
    <s v="USD"/>
    <n v="77225.279999999999"/>
    <n v="362.87"/>
    <n v="65.319999999999993"/>
    <n v="363.5"/>
    <n v="77289.97"/>
    <n v="1931952"/>
    <n v="710"/>
    <x v="0"/>
    <s v="Failed"/>
    <x v="1"/>
    <s v="Verified"/>
    <x v="9"/>
  </r>
  <r>
    <x v="815"/>
    <s v="2025-05-05"/>
    <x v="1"/>
    <x v="776"/>
    <x v="2"/>
    <s v="D"/>
    <x v="0"/>
    <x v="4"/>
    <s v="EUR"/>
    <n v="81094.23"/>
    <n v="617.54"/>
    <n v="111.16"/>
    <n v="336.65"/>
    <n v="81486.28"/>
    <n v="1929140.03"/>
    <n v="832"/>
    <x v="2"/>
    <s v="Completed"/>
    <x v="2"/>
    <s v="Review"/>
    <x v="5"/>
  </r>
  <r>
    <x v="816"/>
    <s v="2025-12-29"/>
    <x v="0"/>
    <x v="777"/>
    <x v="3"/>
    <s v="D"/>
    <x v="1"/>
    <x v="2"/>
    <s v="USD"/>
    <n v="5540.75"/>
    <n v="22.23"/>
    <n v="4"/>
    <n v="439.24"/>
    <n v="5127.74"/>
    <n v="1928207.67"/>
    <n v="574"/>
    <x v="1"/>
    <s v="Failed"/>
    <x v="2"/>
    <s v="Verified"/>
    <x v="9"/>
  </r>
  <r>
    <x v="817"/>
    <s v="2025-04-07"/>
    <x v="1"/>
    <x v="778"/>
    <x v="2"/>
    <s v="C"/>
    <x v="3"/>
    <x v="3"/>
    <s v="EUR"/>
    <n v="194135.94"/>
    <n v="1325.97"/>
    <n v="238.67"/>
    <n v="466.69"/>
    <n v="195233.89"/>
    <n v="1934581.73"/>
    <n v="314"/>
    <x v="2"/>
    <s v="Completed"/>
    <x v="0"/>
    <s v="None"/>
    <x v="2"/>
  </r>
  <r>
    <x v="818"/>
    <s v="2025-11-29"/>
    <x v="0"/>
    <x v="779"/>
    <x v="3"/>
    <s v="A"/>
    <x v="2"/>
    <x v="0"/>
    <s v="USD"/>
    <n v="142826.35999999999"/>
    <n v="1939.46"/>
    <n v="349.1"/>
    <n v="423.52"/>
    <n v="144691.4"/>
    <n v="1935245.38"/>
    <n v="423"/>
    <x v="2"/>
    <s v="Pending"/>
    <x v="2"/>
    <s v="Review"/>
    <x v="1"/>
  </r>
  <r>
    <x v="819"/>
    <s v="2025-01-19"/>
    <x v="2"/>
    <x v="780"/>
    <x v="2"/>
    <s v="B"/>
    <x v="1"/>
    <x v="1"/>
    <s v="EUR"/>
    <n v="37870.57"/>
    <n v="498.25"/>
    <n v="89.69"/>
    <n v="304.97000000000003"/>
    <n v="38153.54"/>
    <n v="1930960.09"/>
    <n v="437"/>
    <x v="0"/>
    <s v="Completed"/>
    <x v="1"/>
    <s v="Review"/>
    <x v="4"/>
  </r>
  <r>
    <x v="820"/>
    <s v="2025-03-26"/>
    <x v="2"/>
    <x v="781"/>
    <x v="0"/>
    <s v="A"/>
    <x v="1"/>
    <x v="3"/>
    <s v="INR"/>
    <n v="71006.64"/>
    <n v="691.34"/>
    <n v="124.44"/>
    <n v="412.28"/>
    <n v="71410.14"/>
    <n v="1930351.31"/>
    <n v="360"/>
    <x v="1"/>
    <s v="Pending"/>
    <x v="1"/>
    <s v="Verified"/>
    <x v="3"/>
  </r>
  <r>
    <x v="821"/>
    <s v="2025-09-14"/>
    <x v="1"/>
    <x v="48"/>
    <x v="3"/>
    <s v="D"/>
    <x v="2"/>
    <x v="1"/>
    <s v="USD"/>
    <n v="81069.66"/>
    <n v="1544.68"/>
    <n v="278.04000000000002"/>
    <n v="181.38"/>
    <n v="82711"/>
    <n v="1928697.49"/>
    <n v="338"/>
    <x v="2"/>
    <s v="Failed"/>
    <x v="3"/>
    <s v="None"/>
    <x v="11"/>
  </r>
  <r>
    <x v="822"/>
    <s v="2025-05-27"/>
    <x v="2"/>
    <x v="782"/>
    <x v="0"/>
    <s v="A"/>
    <x v="1"/>
    <x v="1"/>
    <s v="USD"/>
    <n v="69952.95"/>
    <n v="1270.4000000000001"/>
    <n v="228.67"/>
    <n v="160.43"/>
    <n v="71291.59"/>
    <n v="1933916.55"/>
    <n v="431"/>
    <x v="2"/>
    <s v="Failed"/>
    <x v="0"/>
    <s v="Verified"/>
    <x v="5"/>
  </r>
  <r>
    <x v="823"/>
    <s v="2025-02-16"/>
    <x v="0"/>
    <x v="783"/>
    <x v="0"/>
    <s v="D"/>
    <x v="1"/>
    <x v="4"/>
    <s v="INR"/>
    <n v="142369.10999999999"/>
    <n v="866.51"/>
    <n v="155.97"/>
    <n v="230.76"/>
    <n v="143160.82999999999"/>
    <n v="1939374.69"/>
    <n v="846"/>
    <x v="2"/>
    <s v="Completed"/>
    <x v="1"/>
    <s v="Verified"/>
    <x v="0"/>
  </r>
  <r>
    <x v="824"/>
    <s v="2025-06-19"/>
    <x v="1"/>
    <x v="784"/>
    <x v="3"/>
    <s v="B"/>
    <x v="2"/>
    <x v="0"/>
    <s v="USD"/>
    <n v="64324.63"/>
    <n v="643.66999999999996"/>
    <n v="115.86"/>
    <n v="4.33"/>
    <n v="65079.83"/>
    <n v="1946878.19"/>
    <n v="511"/>
    <x v="0"/>
    <s v="Pending"/>
    <x v="0"/>
    <s v="Verified"/>
    <x v="10"/>
  </r>
  <r>
    <x v="825"/>
    <s v="2025-02-26"/>
    <x v="0"/>
    <x v="474"/>
    <x v="2"/>
    <s v="B"/>
    <x v="0"/>
    <x v="4"/>
    <s v="EUR"/>
    <n v="101001.61"/>
    <n v="1468.69"/>
    <n v="264.36"/>
    <n v="147.21"/>
    <n v="102587.45"/>
    <n v="1949819.1"/>
    <n v="552"/>
    <x v="1"/>
    <s v="Failed"/>
    <x v="1"/>
    <s v="Verified"/>
    <x v="0"/>
  </r>
  <r>
    <x v="826"/>
    <s v="2025-01-21"/>
    <x v="1"/>
    <x v="785"/>
    <x v="1"/>
    <s v="B"/>
    <x v="2"/>
    <x v="2"/>
    <s v="USD"/>
    <n v="86135.59"/>
    <n v="179.66"/>
    <n v="32.340000000000003"/>
    <n v="127.09"/>
    <n v="86220.5"/>
    <n v="1953919.62"/>
    <n v="853"/>
    <x v="1"/>
    <s v="Failed"/>
    <x v="2"/>
    <s v="Verified"/>
    <x v="4"/>
  </r>
  <r>
    <x v="827"/>
    <s v="2025-02-26"/>
    <x v="0"/>
    <x v="786"/>
    <x v="3"/>
    <s v="A"/>
    <x v="3"/>
    <x v="0"/>
    <s v="EUR"/>
    <n v="131296.14000000001"/>
    <n v="2293.44"/>
    <n v="412.82"/>
    <n v="80.56"/>
    <n v="133921.84"/>
    <n v="1954098.57"/>
    <n v="640"/>
    <x v="0"/>
    <s v="Pending"/>
    <x v="1"/>
    <s v="Review"/>
    <x v="0"/>
  </r>
  <r>
    <x v="828"/>
    <s v="2025-06-18"/>
    <x v="1"/>
    <x v="787"/>
    <x v="2"/>
    <s v="C"/>
    <x v="1"/>
    <x v="4"/>
    <s v="INR"/>
    <n v="38817.26"/>
    <n v="666.35"/>
    <n v="119.94"/>
    <n v="231.64"/>
    <n v="39371.910000000003"/>
    <n v="1954687.67"/>
    <n v="392"/>
    <x v="0"/>
    <s v="Pending"/>
    <x v="3"/>
    <s v="None"/>
    <x v="10"/>
  </r>
  <r>
    <x v="829"/>
    <s v="2025-08-11"/>
    <x v="0"/>
    <x v="788"/>
    <x v="1"/>
    <s v="D"/>
    <x v="3"/>
    <x v="4"/>
    <s v="USD"/>
    <n v="10791.15"/>
    <n v="52.42"/>
    <n v="9.44"/>
    <n v="346.83"/>
    <n v="10506.18"/>
    <n v="1958867.53"/>
    <n v="609"/>
    <x v="1"/>
    <s v="Failed"/>
    <x v="2"/>
    <s v="Review"/>
    <x v="8"/>
  </r>
  <r>
    <x v="830"/>
    <s v="2025-05-14"/>
    <x v="1"/>
    <x v="789"/>
    <x v="1"/>
    <s v="C"/>
    <x v="0"/>
    <x v="4"/>
    <s v="USD"/>
    <n v="165843.37"/>
    <n v="683.49"/>
    <n v="123.03"/>
    <n v="474.68"/>
    <n v="166175.21"/>
    <n v="1963682.26"/>
    <n v="567"/>
    <x v="2"/>
    <s v="Pending"/>
    <x v="3"/>
    <s v="Review"/>
    <x v="5"/>
  </r>
  <r>
    <x v="831"/>
    <s v="2025-09-21"/>
    <x v="0"/>
    <x v="790"/>
    <x v="0"/>
    <s v="D"/>
    <x v="0"/>
    <x v="4"/>
    <s v="EUR"/>
    <n v="45172.35"/>
    <n v="797.06"/>
    <n v="143.47"/>
    <n v="343.23"/>
    <n v="45769.65"/>
    <n v="1972219.55"/>
    <n v="846"/>
    <x v="1"/>
    <s v="Pending"/>
    <x v="3"/>
    <s v="Verified"/>
    <x v="11"/>
  </r>
  <r>
    <x v="832"/>
    <s v="2025-09-27"/>
    <x v="2"/>
    <x v="267"/>
    <x v="0"/>
    <s v="C"/>
    <x v="3"/>
    <x v="4"/>
    <s v="USD"/>
    <n v="149434.15"/>
    <n v="2205.27"/>
    <n v="396.95"/>
    <n v="377.9"/>
    <n v="151658.47"/>
    <n v="1978028.63"/>
    <n v="553"/>
    <x v="2"/>
    <s v="Failed"/>
    <x v="0"/>
    <s v="Review"/>
    <x v="11"/>
  </r>
  <r>
    <x v="833"/>
    <s v="2025-03-19"/>
    <x v="0"/>
    <x v="791"/>
    <x v="0"/>
    <s v="C"/>
    <x v="0"/>
    <x v="1"/>
    <s v="USD"/>
    <n v="74988.03"/>
    <n v="865.8"/>
    <n v="155.84"/>
    <n v="313.45"/>
    <n v="75696.22"/>
    <n v="1974220.5"/>
    <n v="349"/>
    <x v="1"/>
    <s v="Failed"/>
    <x v="1"/>
    <s v="Verified"/>
    <x v="3"/>
  </r>
  <r>
    <x v="834"/>
    <s v="2025-12-30"/>
    <x v="1"/>
    <x v="792"/>
    <x v="3"/>
    <s v="A"/>
    <x v="1"/>
    <x v="4"/>
    <s v="EUR"/>
    <n v="107011.4"/>
    <n v="169.47"/>
    <n v="30.5"/>
    <n v="483.73"/>
    <n v="106727.64"/>
    <n v="1979804.1"/>
    <n v="541"/>
    <x v="0"/>
    <s v="Completed"/>
    <x v="1"/>
    <s v="Verified"/>
    <x v="9"/>
  </r>
  <r>
    <x v="835"/>
    <s v="2025-01-13"/>
    <x v="2"/>
    <x v="793"/>
    <x v="2"/>
    <s v="B"/>
    <x v="0"/>
    <x v="4"/>
    <s v="USD"/>
    <n v="152402.66"/>
    <n v="2443.62"/>
    <n v="439.85"/>
    <n v="97.55"/>
    <n v="155188.57999999999"/>
    <n v="1986753.33"/>
    <n v="666"/>
    <x v="2"/>
    <s v="Failed"/>
    <x v="2"/>
    <s v="Verified"/>
    <x v="4"/>
  </r>
  <r>
    <x v="836"/>
    <s v="2025-05-31"/>
    <x v="2"/>
    <x v="794"/>
    <x v="3"/>
    <s v="B"/>
    <x v="1"/>
    <x v="0"/>
    <s v="INR"/>
    <n v="21415.26"/>
    <n v="96.54"/>
    <n v="17.38"/>
    <n v="288.39999999999998"/>
    <n v="21240.78"/>
    <n v="1992548.44"/>
    <n v="869"/>
    <x v="1"/>
    <s v="Completed"/>
    <x v="3"/>
    <s v="None"/>
    <x v="5"/>
  </r>
  <r>
    <x v="837"/>
    <s v="2025-04-05"/>
    <x v="1"/>
    <x v="795"/>
    <x v="0"/>
    <s v="A"/>
    <x v="0"/>
    <x v="2"/>
    <s v="INR"/>
    <n v="19861.990000000002"/>
    <n v="267.27"/>
    <n v="48.11"/>
    <n v="8.08"/>
    <n v="20169.29"/>
    <n v="2001943.26"/>
    <n v="777"/>
    <x v="1"/>
    <s v="Completed"/>
    <x v="2"/>
    <s v="Verified"/>
    <x v="2"/>
  </r>
  <r>
    <x v="838"/>
    <s v="2025-08-17"/>
    <x v="1"/>
    <x v="796"/>
    <x v="0"/>
    <s v="D"/>
    <x v="2"/>
    <x v="1"/>
    <s v="EUR"/>
    <n v="44708.31"/>
    <n v="828.93"/>
    <n v="149.21"/>
    <n v="184.82"/>
    <n v="45501.63"/>
    <n v="2005782.84"/>
    <n v="634"/>
    <x v="1"/>
    <s v="Pending"/>
    <x v="1"/>
    <s v="Review"/>
    <x v="8"/>
  </r>
  <r>
    <x v="839"/>
    <s v="2025-12-17"/>
    <x v="2"/>
    <x v="797"/>
    <x v="0"/>
    <s v="B"/>
    <x v="3"/>
    <x v="2"/>
    <s v="USD"/>
    <n v="178538.57"/>
    <n v="469.32"/>
    <n v="84.48"/>
    <n v="358.01"/>
    <n v="178734.36"/>
    <n v="2010378.94"/>
    <n v="630"/>
    <x v="0"/>
    <s v="Failed"/>
    <x v="0"/>
    <s v="Verified"/>
    <x v="9"/>
  </r>
  <r>
    <x v="840"/>
    <s v="2025-09-30"/>
    <x v="0"/>
    <x v="413"/>
    <x v="1"/>
    <s v="D"/>
    <x v="1"/>
    <x v="3"/>
    <s v="USD"/>
    <n v="36580.730000000003"/>
    <n v="549.88"/>
    <n v="98.98"/>
    <n v="321.11"/>
    <n v="36908.480000000003"/>
    <n v="2014695.45"/>
    <n v="520"/>
    <x v="0"/>
    <s v="Completed"/>
    <x v="2"/>
    <s v="Review"/>
    <x v="11"/>
  </r>
  <r>
    <x v="841"/>
    <s v="2025-07-25"/>
    <x v="0"/>
    <x v="798"/>
    <x v="0"/>
    <s v="D"/>
    <x v="3"/>
    <x v="0"/>
    <s v="EUR"/>
    <n v="184026"/>
    <n v="1287.71"/>
    <n v="231.79"/>
    <n v="203.22"/>
    <n v="185342.28"/>
    <n v="2022113.34"/>
    <n v="324"/>
    <x v="0"/>
    <s v="Completed"/>
    <x v="0"/>
    <s v="None"/>
    <x v="7"/>
  </r>
  <r>
    <x v="842"/>
    <s v="2025-06-26"/>
    <x v="0"/>
    <x v="799"/>
    <x v="2"/>
    <s v="B"/>
    <x v="0"/>
    <x v="2"/>
    <s v="USD"/>
    <n v="157710.82"/>
    <n v="634.03"/>
    <n v="114.13"/>
    <n v="370.7"/>
    <n v="158088.28"/>
    <n v="2018590.72"/>
    <n v="800"/>
    <x v="2"/>
    <s v="Failed"/>
    <x v="0"/>
    <s v="Review"/>
    <x v="10"/>
  </r>
  <r>
    <x v="843"/>
    <s v="2025-05-08"/>
    <x v="1"/>
    <x v="800"/>
    <x v="3"/>
    <s v="B"/>
    <x v="0"/>
    <x v="3"/>
    <s v="USD"/>
    <n v="69565.38"/>
    <n v="275.8"/>
    <n v="49.64"/>
    <n v="135.66999999999999"/>
    <n v="69755.149999999994"/>
    <n v="2016423.81"/>
    <n v="356"/>
    <x v="1"/>
    <s v="Pending"/>
    <x v="1"/>
    <s v="Verified"/>
    <x v="5"/>
  </r>
  <r>
    <x v="844"/>
    <s v="2025-03-30"/>
    <x v="2"/>
    <x v="486"/>
    <x v="1"/>
    <s v="B"/>
    <x v="0"/>
    <x v="3"/>
    <s v="EUR"/>
    <n v="124921.72"/>
    <n v="2074.75"/>
    <n v="373.45"/>
    <n v="174.12"/>
    <n v="127195.8"/>
    <n v="2013954.91"/>
    <n v="367"/>
    <x v="2"/>
    <s v="Failed"/>
    <x v="0"/>
    <s v="Verified"/>
    <x v="3"/>
  </r>
  <r>
    <x v="845"/>
    <s v="2025-06-15"/>
    <x v="0"/>
    <x v="801"/>
    <x v="0"/>
    <s v="D"/>
    <x v="1"/>
    <x v="4"/>
    <s v="INR"/>
    <n v="115896.7"/>
    <n v="2076.9699999999998"/>
    <n v="373.85"/>
    <n v="198.38"/>
    <n v="118149.14"/>
    <n v="2020182.08"/>
    <n v="407"/>
    <x v="2"/>
    <s v="Failed"/>
    <x v="3"/>
    <s v="Verified"/>
    <x v="10"/>
  </r>
  <r>
    <x v="846"/>
    <s v="2025-02-10"/>
    <x v="0"/>
    <x v="802"/>
    <x v="2"/>
    <s v="C"/>
    <x v="3"/>
    <x v="2"/>
    <s v="INR"/>
    <n v="80555.679999999993"/>
    <n v="552.77"/>
    <n v="99.5"/>
    <n v="214.5"/>
    <n v="80993.45"/>
    <n v="2027457.4"/>
    <n v="668"/>
    <x v="0"/>
    <s v="Pending"/>
    <x v="1"/>
    <s v="Review"/>
    <x v="0"/>
  </r>
  <r>
    <x v="847"/>
    <s v="2025-09-19"/>
    <x v="0"/>
    <x v="734"/>
    <x v="0"/>
    <s v="D"/>
    <x v="3"/>
    <x v="3"/>
    <s v="INR"/>
    <n v="62565.42"/>
    <n v="926.02"/>
    <n v="166.68"/>
    <n v="216.28"/>
    <n v="63441.84"/>
    <n v="2031304.55"/>
    <n v="805"/>
    <x v="2"/>
    <s v="Pending"/>
    <x v="2"/>
    <s v="None"/>
    <x v="11"/>
  </r>
  <r>
    <x v="848"/>
    <s v="2025-09-20"/>
    <x v="1"/>
    <x v="803"/>
    <x v="0"/>
    <s v="C"/>
    <x v="2"/>
    <x v="2"/>
    <s v="EUR"/>
    <n v="157341.70000000001"/>
    <n v="3001.35"/>
    <n v="540.24"/>
    <n v="372.46"/>
    <n v="160510.82999999999"/>
    <n v="2029269.18"/>
    <n v="321"/>
    <x v="1"/>
    <s v="Pending"/>
    <x v="0"/>
    <s v="None"/>
    <x v="11"/>
  </r>
  <r>
    <x v="849"/>
    <s v="2025-09-24"/>
    <x v="2"/>
    <x v="804"/>
    <x v="2"/>
    <s v="C"/>
    <x v="0"/>
    <x v="3"/>
    <s v="INR"/>
    <n v="181399.11"/>
    <n v="2250.2600000000002"/>
    <n v="405.05"/>
    <n v="236.97"/>
    <n v="183817.45"/>
    <n v="2024880.35"/>
    <n v="874"/>
    <x v="2"/>
    <s v="Pending"/>
    <x v="2"/>
    <s v="Review"/>
    <x v="11"/>
  </r>
  <r>
    <x v="850"/>
    <s v="2025-04-16"/>
    <x v="2"/>
    <x v="805"/>
    <x v="2"/>
    <s v="A"/>
    <x v="1"/>
    <x v="0"/>
    <s v="USD"/>
    <n v="111328.1"/>
    <n v="732.26"/>
    <n v="131.81"/>
    <n v="371.78"/>
    <n v="111820.39"/>
    <n v="2029488.55"/>
    <n v="424"/>
    <x v="2"/>
    <s v="Completed"/>
    <x v="3"/>
    <s v="Review"/>
    <x v="2"/>
  </r>
  <r>
    <x v="851"/>
    <s v="2025-08-29"/>
    <x v="2"/>
    <x v="806"/>
    <x v="0"/>
    <s v="B"/>
    <x v="0"/>
    <x v="2"/>
    <s v="EUR"/>
    <n v="137307.97"/>
    <n v="892.29"/>
    <n v="160.61000000000001"/>
    <n v="190.07"/>
    <n v="138170.79999999999"/>
    <n v="2030639.55"/>
    <n v="341"/>
    <x v="1"/>
    <s v="Failed"/>
    <x v="0"/>
    <s v="Review"/>
    <x v="8"/>
  </r>
  <r>
    <x v="852"/>
    <s v="2025-07-05"/>
    <x v="2"/>
    <x v="807"/>
    <x v="2"/>
    <s v="A"/>
    <x v="3"/>
    <x v="0"/>
    <s v="USD"/>
    <n v="60456.68"/>
    <n v="991.66"/>
    <n v="178.5"/>
    <n v="382.59"/>
    <n v="61244.25"/>
    <n v="2039126.21"/>
    <n v="840"/>
    <x v="0"/>
    <s v="Pending"/>
    <x v="3"/>
    <s v="None"/>
    <x v="7"/>
  </r>
  <r>
    <x v="853"/>
    <s v="2025-01-08"/>
    <x v="0"/>
    <x v="808"/>
    <x v="3"/>
    <s v="A"/>
    <x v="3"/>
    <x v="4"/>
    <s v="USD"/>
    <n v="173128.06"/>
    <n v="2784.22"/>
    <n v="501.16"/>
    <n v="419.35"/>
    <n v="175994.09"/>
    <n v="2037191.37"/>
    <n v="376"/>
    <x v="1"/>
    <s v="Completed"/>
    <x v="3"/>
    <s v="None"/>
    <x v="4"/>
  </r>
  <r>
    <x v="854"/>
    <s v="2025-08-30"/>
    <x v="2"/>
    <x v="809"/>
    <x v="1"/>
    <s v="A"/>
    <x v="1"/>
    <x v="0"/>
    <s v="EUR"/>
    <n v="104001.59"/>
    <n v="1395.16"/>
    <n v="251.13"/>
    <n v="261.8"/>
    <n v="105386.08"/>
    <n v="2032938.47"/>
    <n v="791"/>
    <x v="2"/>
    <s v="Completed"/>
    <x v="1"/>
    <s v="None"/>
    <x v="8"/>
  </r>
  <r>
    <x v="855"/>
    <s v="2025-03-09"/>
    <x v="2"/>
    <x v="810"/>
    <x v="3"/>
    <s v="D"/>
    <x v="0"/>
    <x v="0"/>
    <s v="EUR"/>
    <n v="66550.240000000005"/>
    <n v="559.48"/>
    <n v="100.71"/>
    <n v="319.58"/>
    <n v="66890.850000000006"/>
    <n v="2034404.32"/>
    <n v="333"/>
    <x v="1"/>
    <s v="Completed"/>
    <x v="3"/>
    <s v="Verified"/>
    <x v="3"/>
  </r>
  <r>
    <x v="856"/>
    <s v="2025-07-20"/>
    <x v="0"/>
    <x v="811"/>
    <x v="3"/>
    <s v="A"/>
    <x v="1"/>
    <x v="2"/>
    <s v="INR"/>
    <n v="156249.78"/>
    <n v="2997.61"/>
    <n v="539.57000000000005"/>
    <n v="378.93"/>
    <n v="159408.03"/>
    <n v="2037740.27"/>
    <n v="704"/>
    <x v="0"/>
    <s v="Pending"/>
    <x v="1"/>
    <s v="None"/>
    <x v="7"/>
  </r>
  <r>
    <x v="857"/>
    <s v="2025-08-27"/>
    <x v="2"/>
    <x v="812"/>
    <x v="0"/>
    <s v="B"/>
    <x v="0"/>
    <x v="1"/>
    <s v="USD"/>
    <n v="11137.52"/>
    <n v="119.81"/>
    <n v="21.57"/>
    <n v="211.47"/>
    <n v="11067.43"/>
    <n v="2046843.52"/>
    <n v="771"/>
    <x v="1"/>
    <s v="Completed"/>
    <x v="3"/>
    <s v="Review"/>
    <x v="8"/>
  </r>
  <r>
    <x v="858"/>
    <s v="2025-06-14"/>
    <x v="1"/>
    <x v="813"/>
    <x v="1"/>
    <s v="B"/>
    <x v="0"/>
    <x v="4"/>
    <s v="EUR"/>
    <n v="175769.98"/>
    <n v="1513.34"/>
    <n v="272.39999999999998"/>
    <n v="281.99"/>
    <n v="177273.73"/>
    <n v="2042073.44"/>
    <n v="661"/>
    <x v="0"/>
    <s v="Pending"/>
    <x v="0"/>
    <s v="Verified"/>
    <x v="10"/>
  </r>
  <r>
    <x v="859"/>
    <s v="2025-06-20"/>
    <x v="1"/>
    <x v="814"/>
    <x v="2"/>
    <s v="A"/>
    <x v="2"/>
    <x v="0"/>
    <s v="USD"/>
    <n v="168005.39"/>
    <n v="432.08"/>
    <n v="77.77"/>
    <n v="119.98"/>
    <n v="168395.26"/>
    <n v="2038857.42"/>
    <n v="580"/>
    <x v="0"/>
    <s v="Failed"/>
    <x v="0"/>
    <s v="Verified"/>
    <x v="10"/>
  </r>
  <r>
    <x v="860"/>
    <s v="2025-10-02"/>
    <x v="1"/>
    <x v="815"/>
    <x v="2"/>
    <s v="D"/>
    <x v="1"/>
    <x v="4"/>
    <s v="EUR"/>
    <n v="63918.54"/>
    <n v="659.16"/>
    <n v="118.65"/>
    <n v="387.77"/>
    <n v="64308.58"/>
    <n v="2045703.91"/>
    <n v="486"/>
    <x v="2"/>
    <s v="Completed"/>
    <x v="0"/>
    <s v="None"/>
    <x v="6"/>
  </r>
  <r>
    <x v="861"/>
    <s v="2025-01-01"/>
    <x v="1"/>
    <x v="816"/>
    <x v="3"/>
    <s v="B"/>
    <x v="3"/>
    <x v="3"/>
    <s v="INR"/>
    <n v="94058.43"/>
    <n v="416.97"/>
    <n v="75.05"/>
    <n v="493.42"/>
    <n v="94057.03"/>
    <n v="2045752.91"/>
    <n v="873"/>
    <x v="2"/>
    <s v="Completed"/>
    <x v="3"/>
    <s v="Verified"/>
    <x v="4"/>
  </r>
  <r>
    <x v="862"/>
    <s v="2025-10-02"/>
    <x v="1"/>
    <x v="680"/>
    <x v="3"/>
    <s v="A"/>
    <x v="1"/>
    <x v="4"/>
    <s v="USD"/>
    <n v="67974.8"/>
    <n v="413.49"/>
    <n v="74.430000000000007"/>
    <n v="279.52999999999997"/>
    <n v="68183.19"/>
    <n v="2051492.05"/>
    <n v="875"/>
    <x v="2"/>
    <s v="Failed"/>
    <x v="1"/>
    <s v="Verified"/>
    <x v="6"/>
  </r>
  <r>
    <x v="863"/>
    <s v="2025-01-23"/>
    <x v="1"/>
    <x v="817"/>
    <x v="2"/>
    <s v="A"/>
    <x v="2"/>
    <x v="2"/>
    <s v="USD"/>
    <n v="48359.82"/>
    <n v="358"/>
    <n v="64.44"/>
    <n v="97.44"/>
    <n v="48684.82"/>
    <n v="2047483.35"/>
    <n v="891"/>
    <x v="1"/>
    <s v="Completed"/>
    <x v="0"/>
    <s v="None"/>
    <x v="4"/>
  </r>
  <r>
    <x v="864"/>
    <s v="2025-01-18"/>
    <x v="0"/>
    <x v="818"/>
    <x v="3"/>
    <s v="D"/>
    <x v="0"/>
    <x v="3"/>
    <s v="EUR"/>
    <n v="64985.34"/>
    <n v="1055.6199999999999"/>
    <n v="190.01"/>
    <n v="266.77"/>
    <n v="65964.2"/>
    <n v="2053063.49"/>
    <n v="484"/>
    <x v="0"/>
    <s v="Completed"/>
    <x v="1"/>
    <s v="Review"/>
    <x v="4"/>
  </r>
  <r>
    <x v="865"/>
    <s v="2025-10-20"/>
    <x v="1"/>
    <x v="819"/>
    <x v="1"/>
    <s v="A"/>
    <x v="2"/>
    <x v="3"/>
    <s v="EUR"/>
    <n v="107356.63"/>
    <n v="2083.79"/>
    <n v="375.08"/>
    <n v="371.41"/>
    <n v="109444.09"/>
    <n v="2053152.89"/>
    <n v="688"/>
    <x v="1"/>
    <s v="Completed"/>
    <x v="0"/>
    <s v="Review"/>
    <x v="6"/>
  </r>
  <r>
    <x v="866"/>
    <s v="2025-08-26"/>
    <x v="2"/>
    <x v="820"/>
    <x v="0"/>
    <s v="D"/>
    <x v="1"/>
    <x v="2"/>
    <s v="EUR"/>
    <n v="64770.7"/>
    <n v="647.73"/>
    <n v="116.59"/>
    <n v="190.16"/>
    <n v="65344.86"/>
    <n v="2053113.12"/>
    <n v="617"/>
    <x v="2"/>
    <s v="Pending"/>
    <x v="1"/>
    <s v="Verified"/>
    <x v="8"/>
  </r>
  <r>
    <x v="867"/>
    <s v="2025-05-05"/>
    <x v="1"/>
    <x v="821"/>
    <x v="2"/>
    <s v="C"/>
    <x v="1"/>
    <x v="1"/>
    <s v="INR"/>
    <n v="147106.25"/>
    <n v="232.73"/>
    <n v="41.89"/>
    <n v="484.87"/>
    <n v="146896"/>
    <n v="2048771.64"/>
    <n v="650"/>
    <x v="2"/>
    <s v="Completed"/>
    <x v="0"/>
    <s v="None"/>
    <x v="5"/>
  </r>
  <r>
    <x v="868"/>
    <s v="2025-06-13"/>
    <x v="2"/>
    <x v="822"/>
    <x v="0"/>
    <s v="B"/>
    <x v="3"/>
    <x v="4"/>
    <s v="USD"/>
    <n v="74708.399999999994"/>
    <n v="772.83"/>
    <n v="139.11000000000001"/>
    <n v="352.76"/>
    <n v="75267.58"/>
    <n v="2052096.6"/>
    <n v="683"/>
    <x v="1"/>
    <s v="Completed"/>
    <x v="0"/>
    <s v="None"/>
    <x v="10"/>
  </r>
  <r>
    <x v="869"/>
    <s v="2025-08-28"/>
    <x v="1"/>
    <x v="823"/>
    <x v="3"/>
    <s v="A"/>
    <x v="2"/>
    <x v="2"/>
    <s v="USD"/>
    <n v="182526.03"/>
    <n v="2709.95"/>
    <n v="487.79"/>
    <n v="425.95"/>
    <n v="185297.82"/>
    <n v="2058770.8"/>
    <n v="388"/>
    <x v="2"/>
    <s v="Completed"/>
    <x v="2"/>
    <s v="Review"/>
    <x v="8"/>
  </r>
  <r>
    <x v="870"/>
    <s v="2025-01-14"/>
    <x v="2"/>
    <x v="190"/>
    <x v="3"/>
    <s v="C"/>
    <x v="1"/>
    <x v="1"/>
    <s v="EUR"/>
    <n v="77910.55"/>
    <n v="1119.02"/>
    <n v="201.42"/>
    <n v="119.74"/>
    <n v="79111.25"/>
    <n v="2056061.96"/>
    <n v="353"/>
    <x v="1"/>
    <s v="Completed"/>
    <x v="0"/>
    <s v="Verified"/>
    <x v="4"/>
  </r>
  <r>
    <x v="871"/>
    <s v="2025-09-11"/>
    <x v="0"/>
    <x v="824"/>
    <x v="0"/>
    <s v="C"/>
    <x v="3"/>
    <x v="4"/>
    <s v="USD"/>
    <n v="102303.11"/>
    <n v="1895.18"/>
    <n v="341.13"/>
    <n v="417.11"/>
    <n v="104122.31"/>
    <n v="2053097.38"/>
    <n v="655"/>
    <x v="2"/>
    <s v="Pending"/>
    <x v="0"/>
    <s v="Verified"/>
    <x v="11"/>
  </r>
  <r>
    <x v="872"/>
    <s v="2025-04-29"/>
    <x v="0"/>
    <x v="825"/>
    <x v="3"/>
    <s v="D"/>
    <x v="1"/>
    <x v="0"/>
    <s v="EUR"/>
    <n v="2183.2600000000002"/>
    <n v="24.24"/>
    <n v="4.3600000000000003"/>
    <n v="38.04"/>
    <n v="2173.8200000000002"/>
    <n v="2048271.24"/>
    <n v="565"/>
    <x v="0"/>
    <s v="Completed"/>
    <x v="2"/>
    <s v="Review"/>
    <x v="2"/>
  </r>
  <r>
    <x v="873"/>
    <s v="2025-12-21"/>
    <x v="2"/>
    <x v="826"/>
    <x v="1"/>
    <s v="A"/>
    <x v="3"/>
    <x v="4"/>
    <s v="INR"/>
    <n v="34566.58"/>
    <n v="620.75"/>
    <n v="111.73"/>
    <n v="440.37"/>
    <n v="34858.69"/>
    <n v="2056978.89"/>
    <n v="644"/>
    <x v="0"/>
    <s v="Failed"/>
    <x v="2"/>
    <s v="Review"/>
    <x v="9"/>
  </r>
  <r>
    <x v="874"/>
    <s v="2025-03-12"/>
    <x v="0"/>
    <x v="827"/>
    <x v="3"/>
    <s v="B"/>
    <x v="3"/>
    <x v="1"/>
    <s v="EUR"/>
    <n v="69599.89"/>
    <n v="845.33"/>
    <n v="152.16"/>
    <n v="110.48"/>
    <n v="70486.899999999994"/>
    <n v="2055055.44"/>
    <n v="874"/>
    <x v="1"/>
    <s v="Failed"/>
    <x v="0"/>
    <s v="Review"/>
    <x v="3"/>
  </r>
  <r>
    <x v="875"/>
    <s v="2025-07-23"/>
    <x v="1"/>
    <x v="828"/>
    <x v="2"/>
    <s v="B"/>
    <x v="3"/>
    <x v="2"/>
    <s v="EUR"/>
    <n v="99861.69"/>
    <n v="843.48"/>
    <n v="151.83000000000001"/>
    <n v="341.85"/>
    <n v="100515.15"/>
    <n v="2062554.99"/>
    <n v="856"/>
    <x v="1"/>
    <s v="Pending"/>
    <x v="0"/>
    <s v="Review"/>
    <x v="7"/>
  </r>
  <r>
    <x v="876"/>
    <s v="2025-03-05"/>
    <x v="0"/>
    <x v="829"/>
    <x v="3"/>
    <s v="B"/>
    <x v="3"/>
    <x v="0"/>
    <s v="INR"/>
    <n v="23694.29"/>
    <n v="255.03"/>
    <n v="45.91"/>
    <n v="451.12"/>
    <n v="23544.11"/>
    <n v="2069517.26"/>
    <n v="673"/>
    <x v="1"/>
    <s v="Failed"/>
    <x v="0"/>
    <s v="Review"/>
    <x v="3"/>
  </r>
  <r>
    <x v="877"/>
    <s v="2025-11-16"/>
    <x v="0"/>
    <x v="830"/>
    <x v="0"/>
    <s v="B"/>
    <x v="1"/>
    <x v="2"/>
    <s v="USD"/>
    <n v="3382.17"/>
    <n v="4.84"/>
    <n v="0.87"/>
    <n v="201.07"/>
    <n v="3186.81"/>
    <n v="2076962.33"/>
    <n v="639"/>
    <x v="1"/>
    <s v="Failed"/>
    <x v="1"/>
    <s v="Verified"/>
    <x v="1"/>
  </r>
  <r>
    <x v="878"/>
    <s v="2025-03-13"/>
    <x v="2"/>
    <x v="831"/>
    <x v="1"/>
    <s v="B"/>
    <x v="1"/>
    <x v="2"/>
    <s v="INR"/>
    <n v="117758.26"/>
    <n v="2293.33"/>
    <n v="412.8"/>
    <n v="471.28"/>
    <n v="119993.11"/>
    <n v="2079815.56"/>
    <n v="475"/>
    <x v="2"/>
    <s v="Pending"/>
    <x v="1"/>
    <s v="Verified"/>
    <x v="3"/>
  </r>
  <r>
    <x v="879"/>
    <s v="2025-09-09"/>
    <x v="2"/>
    <x v="832"/>
    <x v="3"/>
    <s v="D"/>
    <x v="0"/>
    <x v="4"/>
    <s v="USD"/>
    <n v="92314.43"/>
    <n v="1542.95"/>
    <n v="277.73"/>
    <n v="299.12"/>
    <n v="93835.99"/>
    <n v="2077298.98"/>
    <n v="873"/>
    <x v="0"/>
    <s v="Completed"/>
    <x v="0"/>
    <s v="Review"/>
    <x v="11"/>
  </r>
  <r>
    <x v="880"/>
    <s v="2025-09-23"/>
    <x v="1"/>
    <x v="833"/>
    <x v="0"/>
    <s v="B"/>
    <x v="0"/>
    <x v="2"/>
    <s v="EUR"/>
    <n v="108939.35"/>
    <n v="1546.55"/>
    <n v="278.38"/>
    <n v="452.4"/>
    <n v="110311.88"/>
    <n v="2078384.13"/>
    <n v="879"/>
    <x v="1"/>
    <s v="Failed"/>
    <x v="1"/>
    <s v="Verified"/>
    <x v="11"/>
  </r>
  <r>
    <x v="881"/>
    <s v="2025-10-13"/>
    <x v="2"/>
    <x v="834"/>
    <x v="1"/>
    <s v="C"/>
    <x v="3"/>
    <x v="3"/>
    <s v="EUR"/>
    <n v="191026.4"/>
    <n v="1432.37"/>
    <n v="257.83"/>
    <n v="162.02000000000001"/>
    <n v="192554.58"/>
    <n v="2083748.18"/>
    <n v="850"/>
    <x v="0"/>
    <s v="Failed"/>
    <x v="3"/>
    <s v="Review"/>
    <x v="6"/>
  </r>
  <r>
    <x v="882"/>
    <s v="2025-12-31"/>
    <x v="2"/>
    <x v="835"/>
    <x v="0"/>
    <s v="A"/>
    <x v="2"/>
    <x v="0"/>
    <s v="USD"/>
    <n v="111796.03"/>
    <n v="1324.58"/>
    <n v="238.42"/>
    <n v="7.76"/>
    <n v="113351.27"/>
    <n v="2087988.06"/>
    <n v="509"/>
    <x v="2"/>
    <s v="Failed"/>
    <x v="0"/>
    <s v="None"/>
    <x v="9"/>
  </r>
  <r>
    <x v="883"/>
    <s v="2025-10-22"/>
    <x v="0"/>
    <x v="688"/>
    <x v="3"/>
    <s v="D"/>
    <x v="0"/>
    <x v="2"/>
    <s v="USD"/>
    <n v="163073.06"/>
    <n v="2211.34"/>
    <n v="398.04"/>
    <n v="463.14"/>
    <n v="165219.29999999999"/>
    <n v="2083018.4"/>
    <n v="864"/>
    <x v="2"/>
    <s v="Completed"/>
    <x v="2"/>
    <s v="Verified"/>
    <x v="6"/>
  </r>
  <r>
    <x v="884"/>
    <s v="2025-04-28"/>
    <x v="0"/>
    <x v="836"/>
    <x v="0"/>
    <s v="A"/>
    <x v="3"/>
    <x v="2"/>
    <s v="USD"/>
    <n v="124096.74"/>
    <n v="553.08000000000004"/>
    <n v="99.55"/>
    <n v="282.67"/>
    <n v="124466.7"/>
    <n v="2089157.9"/>
    <n v="325"/>
    <x v="2"/>
    <s v="Pending"/>
    <x v="2"/>
    <s v="Verified"/>
    <x v="2"/>
  </r>
  <r>
    <x v="885"/>
    <s v="2025-12-17"/>
    <x v="1"/>
    <x v="837"/>
    <x v="3"/>
    <s v="C"/>
    <x v="3"/>
    <x v="2"/>
    <s v="EUR"/>
    <n v="39637.51"/>
    <n v="621.79"/>
    <n v="111.92"/>
    <n v="346.66"/>
    <n v="40024.559999999998"/>
    <n v="2097128.02"/>
    <n v="752"/>
    <x v="1"/>
    <s v="Pending"/>
    <x v="3"/>
    <s v="Review"/>
    <x v="9"/>
  </r>
  <r>
    <x v="886"/>
    <s v="2025-03-12"/>
    <x v="1"/>
    <x v="838"/>
    <x v="0"/>
    <s v="C"/>
    <x v="2"/>
    <x v="3"/>
    <s v="USD"/>
    <n v="10677.86"/>
    <n v="155.6"/>
    <n v="28.01"/>
    <n v="153.25"/>
    <n v="10708.22"/>
    <n v="2094542.11"/>
    <n v="321"/>
    <x v="1"/>
    <s v="Failed"/>
    <x v="1"/>
    <s v="Verified"/>
    <x v="3"/>
  </r>
  <r>
    <x v="887"/>
    <s v="2025-08-05"/>
    <x v="0"/>
    <x v="839"/>
    <x v="0"/>
    <s v="B"/>
    <x v="0"/>
    <x v="1"/>
    <s v="EUR"/>
    <n v="61154.21"/>
    <n v="1065.04"/>
    <n v="191.71"/>
    <n v="244.91"/>
    <n v="62166.05"/>
    <n v="2097137.27"/>
    <n v="492"/>
    <x v="1"/>
    <s v="Pending"/>
    <x v="2"/>
    <s v="None"/>
    <x v="8"/>
  </r>
  <r>
    <x v="888"/>
    <s v="2025-06-06"/>
    <x v="0"/>
    <x v="840"/>
    <x v="3"/>
    <s v="D"/>
    <x v="2"/>
    <x v="1"/>
    <s v="EUR"/>
    <n v="28868.18"/>
    <n v="189.18"/>
    <n v="34.049999999999997"/>
    <n v="216.16"/>
    <n v="28875.25"/>
    <n v="2104762.86"/>
    <n v="779"/>
    <x v="2"/>
    <s v="Completed"/>
    <x v="3"/>
    <s v="None"/>
    <x v="10"/>
  </r>
  <r>
    <x v="889"/>
    <s v="2025-12-22"/>
    <x v="2"/>
    <x v="772"/>
    <x v="0"/>
    <s v="B"/>
    <x v="3"/>
    <x v="4"/>
    <s v="USD"/>
    <n v="31847.24"/>
    <n v="485.99"/>
    <n v="87.48"/>
    <n v="460.33"/>
    <n v="31960.38"/>
    <n v="2105024.36"/>
    <n v="459"/>
    <x v="2"/>
    <s v="Completed"/>
    <x v="0"/>
    <s v="Review"/>
    <x v="9"/>
  </r>
  <r>
    <x v="890"/>
    <s v="2025-04-15"/>
    <x v="2"/>
    <x v="841"/>
    <x v="2"/>
    <s v="C"/>
    <x v="3"/>
    <x v="3"/>
    <s v="INR"/>
    <n v="152378.59"/>
    <n v="255.9"/>
    <n v="46.06"/>
    <n v="188.31"/>
    <n v="152492.24"/>
    <n v="2111123.38"/>
    <n v="734"/>
    <x v="0"/>
    <s v="Completed"/>
    <x v="1"/>
    <s v="None"/>
    <x v="2"/>
  </r>
  <r>
    <x v="891"/>
    <s v="2025-08-17"/>
    <x v="2"/>
    <x v="842"/>
    <x v="3"/>
    <s v="D"/>
    <x v="3"/>
    <x v="0"/>
    <s v="USD"/>
    <n v="33755.949999999997"/>
    <n v="189"/>
    <n v="34.020000000000003"/>
    <n v="353.35"/>
    <n v="33625.620000000003"/>
    <n v="2115129.33"/>
    <n v="306"/>
    <x v="1"/>
    <s v="Pending"/>
    <x v="2"/>
    <s v="Verified"/>
    <x v="8"/>
  </r>
  <r>
    <x v="892"/>
    <s v="2025-05-20"/>
    <x v="1"/>
    <x v="843"/>
    <x v="2"/>
    <s v="A"/>
    <x v="1"/>
    <x v="2"/>
    <s v="EUR"/>
    <n v="37857.22"/>
    <n v="697.53"/>
    <n v="125.56"/>
    <n v="388.82"/>
    <n v="38291.49"/>
    <n v="2119147.71"/>
    <n v="368"/>
    <x v="1"/>
    <s v="Failed"/>
    <x v="0"/>
    <s v="Review"/>
    <x v="5"/>
  </r>
  <r>
    <x v="893"/>
    <s v="2025-05-24"/>
    <x v="1"/>
    <x v="844"/>
    <x v="3"/>
    <s v="D"/>
    <x v="2"/>
    <x v="2"/>
    <s v="EUR"/>
    <n v="193406.4"/>
    <n v="2127.6799999999998"/>
    <n v="382.98"/>
    <n v="193.62"/>
    <n v="195723.44"/>
    <n v="2120659.35"/>
    <n v="742"/>
    <x v="0"/>
    <s v="Pending"/>
    <x v="3"/>
    <s v="Verified"/>
    <x v="5"/>
  </r>
  <r>
    <x v="894"/>
    <s v="2025-09-22"/>
    <x v="2"/>
    <x v="845"/>
    <x v="0"/>
    <s v="B"/>
    <x v="2"/>
    <x v="2"/>
    <s v="INR"/>
    <n v="82332.460000000006"/>
    <n v="1522.69"/>
    <n v="274.08"/>
    <n v="35.020000000000003"/>
    <n v="84094.21"/>
    <n v="2127246"/>
    <n v="365"/>
    <x v="0"/>
    <s v="Failed"/>
    <x v="3"/>
    <s v="Verified"/>
    <x v="11"/>
  </r>
  <r>
    <x v="895"/>
    <s v="2025-12-13"/>
    <x v="1"/>
    <x v="846"/>
    <x v="3"/>
    <s v="B"/>
    <x v="2"/>
    <x v="1"/>
    <s v="INR"/>
    <n v="76702.649999999994"/>
    <n v="170.5"/>
    <n v="30.69"/>
    <n v="294.94"/>
    <n v="76608.899999999994"/>
    <n v="2130558.58"/>
    <n v="896"/>
    <x v="0"/>
    <s v="Pending"/>
    <x v="1"/>
    <s v="Verified"/>
    <x v="9"/>
  </r>
  <r>
    <x v="896"/>
    <s v="2025-11-26"/>
    <x v="2"/>
    <x v="847"/>
    <x v="3"/>
    <s v="D"/>
    <x v="1"/>
    <x v="3"/>
    <s v="INR"/>
    <n v="53760.57"/>
    <n v="692.82"/>
    <n v="124.71"/>
    <n v="330.22"/>
    <n v="54247.88"/>
    <n v="2137017.4"/>
    <n v="845"/>
    <x v="2"/>
    <s v="Failed"/>
    <x v="3"/>
    <s v="Verified"/>
    <x v="1"/>
  </r>
  <r>
    <x v="897"/>
    <s v="2025-08-09"/>
    <x v="2"/>
    <x v="848"/>
    <x v="1"/>
    <s v="C"/>
    <x v="3"/>
    <x v="2"/>
    <s v="INR"/>
    <n v="174457.61"/>
    <n v="560.26"/>
    <n v="100.85"/>
    <n v="251.78"/>
    <n v="174866.94"/>
    <n v="2140400.63"/>
    <n v="390"/>
    <x v="2"/>
    <s v="Pending"/>
    <x v="3"/>
    <s v="Review"/>
    <x v="8"/>
  </r>
  <r>
    <x v="898"/>
    <s v="2025-06-26"/>
    <x v="0"/>
    <x v="849"/>
    <x v="0"/>
    <s v="A"/>
    <x v="0"/>
    <x v="0"/>
    <s v="USD"/>
    <n v="190894.96"/>
    <n v="1612.56"/>
    <n v="290.26"/>
    <n v="179.28"/>
    <n v="192618.5"/>
    <n v="2136849.23"/>
    <n v="522"/>
    <x v="1"/>
    <s v="Failed"/>
    <x v="0"/>
    <s v="Review"/>
    <x v="10"/>
  </r>
  <r>
    <x v="899"/>
    <s v="2025-11-14"/>
    <x v="2"/>
    <x v="850"/>
    <x v="1"/>
    <s v="D"/>
    <x v="1"/>
    <x v="4"/>
    <s v="INR"/>
    <n v="65976.850000000006"/>
    <n v="1154.74"/>
    <n v="207.85"/>
    <n v="360.82"/>
    <n v="66978.62"/>
    <n v="2132910.11"/>
    <n v="824"/>
    <x v="0"/>
    <s v="Failed"/>
    <x v="1"/>
    <s v="Review"/>
    <x v="1"/>
  </r>
  <r>
    <x v="900"/>
    <s v="2025-03-22"/>
    <x v="2"/>
    <x v="851"/>
    <x v="2"/>
    <s v="B"/>
    <x v="2"/>
    <x v="2"/>
    <s v="INR"/>
    <n v="83676.7"/>
    <n v="773.73"/>
    <n v="139.27000000000001"/>
    <n v="92.93"/>
    <n v="84496.77"/>
    <n v="2139100.9500000002"/>
    <n v="634"/>
    <x v="2"/>
    <s v="Pending"/>
    <x v="3"/>
    <s v="Verified"/>
    <x v="3"/>
  </r>
  <r>
    <x v="901"/>
    <s v="2025-02-20"/>
    <x v="1"/>
    <x v="852"/>
    <x v="3"/>
    <s v="B"/>
    <x v="2"/>
    <x v="4"/>
    <s v="INR"/>
    <n v="94306.3"/>
    <n v="697.86"/>
    <n v="125.61"/>
    <n v="67.510000000000005"/>
    <n v="95062.26"/>
    <n v="2136018.42"/>
    <n v="689"/>
    <x v="0"/>
    <s v="Completed"/>
    <x v="0"/>
    <s v="None"/>
    <x v="0"/>
  </r>
  <r>
    <x v="902"/>
    <s v="2025-01-16"/>
    <x v="1"/>
    <x v="853"/>
    <x v="1"/>
    <s v="C"/>
    <x v="1"/>
    <x v="0"/>
    <s v="EUR"/>
    <n v="96561.89"/>
    <n v="227.95"/>
    <n v="41.03"/>
    <n v="54.37"/>
    <n v="96776.5"/>
    <n v="2135307.11"/>
    <n v="549"/>
    <x v="0"/>
    <s v="Failed"/>
    <x v="2"/>
    <s v="Verified"/>
    <x v="4"/>
  </r>
  <r>
    <x v="903"/>
    <s v="2025-09-09"/>
    <x v="1"/>
    <x v="693"/>
    <x v="3"/>
    <s v="D"/>
    <x v="3"/>
    <x v="3"/>
    <s v="INR"/>
    <n v="20896.54"/>
    <n v="62.45"/>
    <n v="11.24"/>
    <n v="321.85000000000002"/>
    <n v="20648.38"/>
    <n v="2142205.4500000002"/>
    <n v="481"/>
    <x v="1"/>
    <s v="Pending"/>
    <x v="1"/>
    <s v="None"/>
    <x v="11"/>
  </r>
  <r>
    <x v="904"/>
    <s v="2025-08-11"/>
    <x v="2"/>
    <x v="854"/>
    <x v="1"/>
    <s v="C"/>
    <x v="0"/>
    <x v="0"/>
    <s v="INR"/>
    <n v="93664.23"/>
    <n v="538.62"/>
    <n v="96.95"/>
    <n v="165.16"/>
    <n v="94134.64"/>
    <n v="2142605.13"/>
    <n v="752"/>
    <x v="1"/>
    <s v="Completed"/>
    <x v="1"/>
    <s v="None"/>
    <x v="8"/>
  </r>
  <r>
    <x v="905"/>
    <s v="2025-10-21"/>
    <x v="0"/>
    <x v="855"/>
    <x v="0"/>
    <s v="A"/>
    <x v="2"/>
    <x v="1"/>
    <s v="USD"/>
    <n v="26216.93"/>
    <n v="272.64999999999998"/>
    <n v="49.08"/>
    <n v="50.07"/>
    <n v="26488.59"/>
    <n v="2138143.77"/>
    <n v="829"/>
    <x v="2"/>
    <s v="Pending"/>
    <x v="0"/>
    <s v="Verified"/>
    <x v="6"/>
  </r>
  <r>
    <x v="906"/>
    <s v="2025-10-13"/>
    <x v="1"/>
    <x v="856"/>
    <x v="1"/>
    <s v="B"/>
    <x v="1"/>
    <x v="3"/>
    <s v="EUR"/>
    <n v="51636.74"/>
    <n v="526.5"/>
    <n v="94.77"/>
    <n v="150.08000000000001"/>
    <n v="52107.93"/>
    <n v="2145225.98"/>
    <n v="422"/>
    <x v="0"/>
    <s v="Pending"/>
    <x v="1"/>
    <s v="None"/>
    <x v="6"/>
  </r>
  <r>
    <x v="907"/>
    <s v="2025-12-02"/>
    <x v="0"/>
    <x v="857"/>
    <x v="1"/>
    <s v="A"/>
    <x v="1"/>
    <x v="2"/>
    <s v="INR"/>
    <n v="175765.74"/>
    <n v="393.76"/>
    <n v="70.88"/>
    <n v="127.37"/>
    <n v="176103.01"/>
    <n v="2152920.62"/>
    <n v="818"/>
    <x v="1"/>
    <s v="Completed"/>
    <x v="3"/>
    <s v="Review"/>
    <x v="9"/>
  </r>
  <r>
    <x v="908"/>
    <s v="2025-02-03"/>
    <x v="0"/>
    <x v="858"/>
    <x v="1"/>
    <s v="D"/>
    <x v="2"/>
    <x v="4"/>
    <s v="INR"/>
    <n v="98014.75"/>
    <n v="1001.67"/>
    <n v="180.3"/>
    <n v="36.76"/>
    <n v="99159.96"/>
    <n v="2152585.7200000002"/>
    <n v="615"/>
    <x v="1"/>
    <s v="Failed"/>
    <x v="3"/>
    <s v="None"/>
    <x v="0"/>
  </r>
  <r>
    <x v="909"/>
    <s v="2025-04-07"/>
    <x v="2"/>
    <x v="859"/>
    <x v="2"/>
    <s v="C"/>
    <x v="0"/>
    <x v="3"/>
    <s v="EUR"/>
    <n v="19893.09"/>
    <n v="128.79"/>
    <n v="23.18"/>
    <n v="291.95"/>
    <n v="19753.11"/>
    <n v="2159308.4500000002"/>
    <n v="556"/>
    <x v="0"/>
    <s v="Completed"/>
    <x v="2"/>
    <s v="Verified"/>
    <x v="2"/>
  </r>
  <r>
    <x v="910"/>
    <s v="2025-11-11"/>
    <x v="2"/>
    <x v="860"/>
    <x v="3"/>
    <s v="C"/>
    <x v="1"/>
    <x v="0"/>
    <s v="EUR"/>
    <n v="42265.02"/>
    <n v="289.45999999999998"/>
    <n v="52.1"/>
    <n v="409.83"/>
    <n v="42196.75"/>
    <n v="2163372.88"/>
    <n v="505"/>
    <x v="1"/>
    <s v="Completed"/>
    <x v="0"/>
    <s v="Verified"/>
    <x v="1"/>
  </r>
  <r>
    <x v="911"/>
    <s v="2025-07-16"/>
    <x v="2"/>
    <x v="861"/>
    <x v="0"/>
    <s v="B"/>
    <x v="2"/>
    <x v="0"/>
    <s v="USD"/>
    <n v="64613.51"/>
    <n v="371.69"/>
    <n v="66.900000000000006"/>
    <n v="44.87"/>
    <n v="65007.23"/>
    <n v="2173364.88"/>
    <n v="713"/>
    <x v="2"/>
    <s v="Pending"/>
    <x v="3"/>
    <s v="None"/>
    <x v="7"/>
  </r>
  <r>
    <x v="912"/>
    <s v="2025-09-06"/>
    <x v="0"/>
    <x v="862"/>
    <x v="3"/>
    <s v="B"/>
    <x v="0"/>
    <x v="2"/>
    <s v="INR"/>
    <n v="132473.25"/>
    <n v="2069.3000000000002"/>
    <n v="372.47"/>
    <n v="220.26"/>
    <n v="134694.76"/>
    <n v="2175180.87"/>
    <n v="392"/>
    <x v="2"/>
    <s v="Completed"/>
    <x v="1"/>
    <s v="Review"/>
    <x v="11"/>
  </r>
  <r>
    <x v="913"/>
    <s v="2025-05-08"/>
    <x v="0"/>
    <x v="863"/>
    <x v="0"/>
    <s v="D"/>
    <x v="2"/>
    <x v="4"/>
    <s v="INR"/>
    <n v="15444"/>
    <n v="267.66000000000003"/>
    <n v="48.18"/>
    <n v="494.55"/>
    <n v="15265.29"/>
    <n v="2183762.1"/>
    <n v="791"/>
    <x v="2"/>
    <s v="Failed"/>
    <x v="1"/>
    <s v="Review"/>
    <x v="5"/>
  </r>
  <r>
    <x v="914"/>
    <s v="2025-01-22"/>
    <x v="2"/>
    <x v="864"/>
    <x v="3"/>
    <s v="D"/>
    <x v="2"/>
    <x v="0"/>
    <s v="USD"/>
    <n v="190817.2"/>
    <n v="1634.66"/>
    <n v="294.24"/>
    <n v="81.75"/>
    <n v="192664.35"/>
    <n v="2180878.7000000002"/>
    <n v="836"/>
    <x v="0"/>
    <s v="Pending"/>
    <x v="0"/>
    <s v="None"/>
    <x v="4"/>
  </r>
  <r>
    <x v="915"/>
    <s v="2025-12-11"/>
    <x v="0"/>
    <x v="865"/>
    <x v="2"/>
    <s v="D"/>
    <x v="0"/>
    <x v="1"/>
    <s v="INR"/>
    <n v="170171.1"/>
    <n v="1796.38"/>
    <n v="323.35000000000002"/>
    <n v="53.86"/>
    <n v="172236.97"/>
    <n v="2188037.9"/>
    <n v="312"/>
    <x v="2"/>
    <s v="Completed"/>
    <x v="0"/>
    <s v="Verified"/>
    <x v="9"/>
  </r>
  <r>
    <x v="916"/>
    <s v="2025-03-30"/>
    <x v="1"/>
    <x v="866"/>
    <x v="3"/>
    <s v="D"/>
    <x v="0"/>
    <x v="0"/>
    <s v="EUR"/>
    <n v="79054.52"/>
    <n v="466.24"/>
    <n v="83.92"/>
    <n v="352.68"/>
    <n v="79252"/>
    <n v="2190142.3199999998"/>
    <n v="476"/>
    <x v="0"/>
    <s v="Failed"/>
    <x v="0"/>
    <s v="Verified"/>
    <x v="3"/>
  </r>
  <r>
    <x v="917"/>
    <s v="2025-02-16"/>
    <x v="0"/>
    <x v="867"/>
    <x v="1"/>
    <s v="C"/>
    <x v="0"/>
    <x v="0"/>
    <s v="USD"/>
    <n v="198542.49"/>
    <n v="2016.67"/>
    <n v="363"/>
    <n v="386.13"/>
    <n v="200536.03"/>
    <n v="2194903.2200000002"/>
    <n v="767"/>
    <x v="0"/>
    <s v="Failed"/>
    <x v="3"/>
    <s v="None"/>
    <x v="0"/>
  </r>
  <r>
    <x v="918"/>
    <s v="2025-02-03"/>
    <x v="1"/>
    <x v="868"/>
    <x v="1"/>
    <s v="A"/>
    <x v="1"/>
    <x v="0"/>
    <s v="EUR"/>
    <n v="31989.37"/>
    <n v="469.41"/>
    <n v="84.49"/>
    <n v="38.81"/>
    <n v="32504.46"/>
    <n v="2197408.7000000002"/>
    <n v="622"/>
    <x v="1"/>
    <s v="Pending"/>
    <x v="3"/>
    <s v="Verified"/>
    <x v="0"/>
  </r>
  <r>
    <x v="919"/>
    <s v="2025-11-13"/>
    <x v="1"/>
    <x v="869"/>
    <x v="3"/>
    <s v="B"/>
    <x v="1"/>
    <x v="4"/>
    <s v="INR"/>
    <n v="74074.38"/>
    <n v="1138.72"/>
    <n v="204.97"/>
    <n v="254.49"/>
    <n v="75163.58"/>
    <n v="2201010.85"/>
    <n v="829"/>
    <x v="0"/>
    <s v="Failed"/>
    <x v="0"/>
    <s v="Verified"/>
    <x v="1"/>
  </r>
  <r>
    <x v="920"/>
    <s v="2025-11-23"/>
    <x v="1"/>
    <x v="870"/>
    <x v="2"/>
    <s v="D"/>
    <x v="3"/>
    <x v="3"/>
    <s v="INR"/>
    <n v="139668.4"/>
    <n v="1553.28"/>
    <n v="279.58999999999997"/>
    <n v="212.78"/>
    <n v="141288.49"/>
    <n v="2200562.4900000002"/>
    <n v="327"/>
    <x v="0"/>
    <s v="Pending"/>
    <x v="1"/>
    <s v="Verified"/>
    <x v="1"/>
  </r>
  <r>
    <x v="921"/>
    <s v="2025-10-19"/>
    <x v="0"/>
    <x v="469"/>
    <x v="3"/>
    <s v="B"/>
    <x v="2"/>
    <x v="2"/>
    <s v="EUR"/>
    <n v="117119.98"/>
    <n v="2109.4299999999998"/>
    <n v="379.7"/>
    <n v="238.01"/>
    <n v="119371.1"/>
    <n v="2205133.4500000002"/>
    <n v="400"/>
    <x v="0"/>
    <s v="Failed"/>
    <x v="1"/>
    <s v="Verified"/>
    <x v="6"/>
  </r>
  <r>
    <x v="922"/>
    <s v="2025-01-29"/>
    <x v="0"/>
    <x v="871"/>
    <x v="1"/>
    <s v="A"/>
    <x v="1"/>
    <x v="1"/>
    <s v="INR"/>
    <n v="154581"/>
    <n v="458.68"/>
    <n v="82.56"/>
    <n v="277.64"/>
    <n v="154844.6"/>
    <n v="2213893.84"/>
    <n v="560"/>
    <x v="2"/>
    <s v="Pending"/>
    <x v="0"/>
    <s v="Review"/>
    <x v="4"/>
  </r>
  <r>
    <x v="923"/>
    <s v="2025-12-31"/>
    <x v="2"/>
    <x v="872"/>
    <x v="2"/>
    <s v="C"/>
    <x v="1"/>
    <x v="3"/>
    <s v="EUR"/>
    <n v="60933.279999999999"/>
    <n v="885.52"/>
    <n v="159.38999999999999"/>
    <n v="411"/>
    <n v="61567.19"/>
    <n v="2215666.7999999998"/>
    <n v="465"/>
    <x v="1"/>
    <s v="Pending"/>
    <x v="0"/>
    <s v="None"/>
    <x v="9"/>
  </r>
  <r>
    <x v="924"/>
    <s v="2025-01-24"/>
    <x v="0"/>
    <x v="873"/>
    <x v="1"/>
    <s v="D"/>
    <x v="2"/>
    <x v="3"/>
    <s v="USD"/>
    <n v="52130.52"/>
    <n v="343.86"/>
    <n v="61.89"/>
    <n v="219.22"/>
    <n v="52317.05"/>
    <n v="2212443.83"/>
    <n v="799"/>
    <x v="0"/>
    <s v="Completed"/>
    <x v="0"/>
    <s v="Review"/>
    <x v="4"/>
  </r>
  <r>
    <x v="925"/>
    <s v="2025-04-02"/>
    <x v="2"/>
    <x v="874"/>
    <x v="3"/>
    <s v="D"/>
    <x v="3"/>
    <x v="2"/>
    <s v="USD"/>
    <n v="78587.679999999993"/>
    <n v="1227.25"/>
    <n v="220.91"/>
    <n v="80.87"/>
    <n v="79954.97"/>
    <n v="2217482.79"/>
    <n v="646"/>
    <x v="0"/>
    <s v="Completed"/>
    <x v="1"/>
    <s v="Review"/>
    <x v="2"/>
  </r>
  <r>
    <x v="926"/>
    <s v="2025-05-27"/>
    <x v="1"/>
    <x v="875"/>
    <x v="3"/>
    <s v="B"/>
    <x v="2"/>
    <x v="2"/>
    <s v="INR"/>
    <n v="61800.87"/>
    <n v="855.73"/>
    <n v="154.03"/>
    <n v="399.88"/>
    <n v="62410.75"/>
    <n v="2223519.2200000002"/>
    <n v="731"/>
    <x v="2"/>
    <s v="Pending"/>
    <x v="1"/>
    <s v="Review"/>
    <x v="5"/>
  </r>
  <r>
    <x v="927"/>
    <s v="2025-03-15"/>
    <x v="0"/>
    <x v="876"/>
    <x v="1"/>
    <s v="D"/>
    <x v="3"/>
    <x v="3"/>
    <s v="INR"/>
    <n v="82190.61"/>
    <n v="707.95"/>
    <n v="127.43"/>
    <n v="84.56"/>
    <n v="82941.429999999993"/>
    <n v="2222897.3199999998"/>
    <n v="452"/>
    <x v="2"/>
    <s v="Completed"/>
    <x v="0"/>
    <s v="Verified"/>
    <x v="3"/>
  </r>
  <r>
    <x v="928"/>
    <s v="2025-02-27"/>
    <x v="0"/>
    <x v="877"/>
    <x v="3"/>
    <s v="B"/>
    <x v="0"/>
    <x v="2"/>
    <s v="EUR"/>
    <n v="32097.69"/>
    <n v="166.93"/>
    <n v="30.05"/>
    <n v="21.73"/>
    <n v="32272.94"/>
    <n v="2225199.14"/>
    <n v="492"/>
    <x v="0"/>
    <s v="Failed"/>
    <x v="0"/>
    <s v="Review"/>
    <x v="0"/>
  </r>
  <r>
    <x v="929"/>
    <s v="2025-11-24"/>
    <x v="0"/>
    <x v="878"/>
    <x v="2"/>
    <s v="C"/>
    <x v="3"/>
    <x v="4"/>
    <s v="EUR"/>
    <n v="76345.03"/>
    <n v="1479.58"/>
    <n v="266.32"/>
    <n v="211.01"/>
    <n v="77879.92"/>
    <n v="2232822.19"/>
    <n v="675"/>
    <x v="0"/>
    <s v="Completed"/>
    <x v="0"/>
    <s v="None"/>
    <x v="1"/>
  </r>
  <r>
    <x v="930"/>
    <s v="2025-02-05"/>
    <x v="0"/>
    <x v="879"/>
    <x v="3"/>
    <s v="D"/>
    <x v="0"/>
    <x v="3"/>
    <s v="INR"/>
    <n v="157353.71"/>
    <n v="272.69"/>
    <n v="49.08"/>
    <n v="247.68"/>
    <n v="157427.79999999999"/>
    <n v="2235901.83"/>
    <n v="570"/>
    <x v="0"/>
    <s v="Completed"/>
    <x v="2"/>
    <s v="Verified"/>
    <x v="0"/>
  </r>
  <r>
    <x v="931"/>
    <s v="2025-08-16"/>
    <x v="1"/>
    <x v="880"/>
    <x v="2"/>
    <s v="B"/>
    <x v="2"/>
    <x v="0"/>
    <s v="EUR"/>
    <n v="9822.02"/>
    <n v="22.64"/>
    <n v="4.08"/>
    <n v="179.71"/>
    <n v="9669.0300000000007"/>
    <n v="2239800.5499999998"/>
    <n v="694"/>
    <x v="0"/>
    <s v="Pending"/>
    <x v="3"/>
    <s v="Review"/>
    <x v="8"/>
  </r>
  <r>
    <x v="932"/>
    <s v="2025-01-05"/>
    <x v="1"/>
    <x v="881"/>
    <x v="0"/>
    <s v="D"/>
    <x v="1"/>
    <x v="2"/>
    <s v="EUR"/>
    <n v="104968.5"/>
    <n v="1433.54"/>
    <n v="258.04000000000002"/>
    <n v="448.53"/>
    <n v="106211.55"/>
    <n v="2240750.7000000002"/>
    <n v="605"/>
    <x v="1"/>
    <s v="Pending"/>
    <x v="0"/>
    <s v="Verified"/>
    <x v="4"/>
  </r>
  <r>
    <x v="933"/>
    <s v="2025-02-08"/>
    <x v="2"/>
    <x v="882"/>
    <x v="2"/>
    <s v="A"/>
    <x v="0"/>
    <x v="4"/>
    <s v="USD"/>
    <n v="190094.09"/>
    <n v="1702.26"/>
    <n v="306.41000000000003"/>
    <n v="201.34"/>
    <n v="191901.42"/>
    <n v="2244808.66"/>
    <n v="550"/>
    <x v="1"/>
    <s v="Failed"/>
    <x v="3"/>
    <s v="Review"/>
    <x v="0"/>
  </r>
  <r>
    <x v="934"/>
    <s v="2025-04-06"/>
    <x v="2"/>
    <x v="883"/>
    <x v="1"/>
    <s v="D"/>
    <x v="2"/>
    <x v="0"/>
    <s v="EUR"/>
    <n v="35211.01"/>
    <n v="192.87"/>
    <n v="34.72"/>
    <n v="106.25"/>
    <n v="35332.35"/>
    <n v="2253485.63"/>
    <n v="478"/>
    <x v="0"/>
    <s v="Completed"/>
    <x v="0"/>
    <s v="Verified"/>
    <x v="2"/>
  </r>
  <r>
    <x v="935"/>
    <s v="2025-07-03"/>
    <x v="1"/>
    <x v="884"/>
    <x v="3"/>
    <s v="D"/>
    <x v="3"/>
    <x v="3"/>
    <s v="EUR"/>
    <n v="110312.85"/>
    <n v="1324.33"/>
    <n v="238.38"/>
    <n v="25.86"/>
    <n v="111849.7"/>
    <n v="2254596.59"/>
    <n v="848"/>
    <x v="0"/>
    <s v="Completed"/>
    <x v="0"/>
    <s v="Review"/>
    <x v="7"/>
  </r>
  <r>
    <x v="936"/>
    <s v="2025-08-10"/>
    <x v="2"/>
    <x v="885"/>
    <x v="1"/>
    <s v="C"/>
    <x v="0"/>
    <x v="0"/>
    <s v="INR"/>
    <n v="157350.37"/>
    <n v="2316.52"/>
    <n v="416.97"/>
    <n v="70.180000000000007"/>
    <n v="160013.68"/>
    <n v="2249973.5299999998"/>
    <n v="641"/>
    <x v="2"/>
    <s v="Pending"/>
    <x v="2"/>
    <s v="None"/>
    <x v="8"/>
  </r>
  <r>
    <x v="937"/>
    <s v="2025-03-21"/>
    <x v="2"/>
    <x v="886"/>
    <x v="0"/>
    <s v="B"/>
    <x v="0"/>
    <x v="0"/>
    <s v="INR"/>
    <n v="49635.43"/>
    <n v="976.05"/>
    <n v="175.69"/>
    <n v="344.5"/>
    <n v="50442.67"/>
    <n v="2250412.4500000002"/>
    <n v="505"/>
    <x v="1"/>
    <s v="Failed"/>
    <x v="1"/>
    <s v="Verified"/>
    <x v="3"/>
  </r>
  <r>
    <x v="938"/>
    <s v="2025-03-11"/>
    <x v="1"/>
    <x v="887"/>
    <x v="3"/>
    <s v="A"/>
    <x v="2"/>
    <x v="1"/>
    <s v="INR"/>
    <n v="189021.61"/>
    <n v="1588.57"/>
    <n v="285.94"/>
    <n v="312.74"/>
    <n v="190583.38"/>
    <n v="2247121.83"/>
    <n v="784"/>
    <x v="0"/>
    <s v="Completed"/>
    <x v="1"/>
    <s v="None"/>
    <x v="3"/>
  </r>
  <r>
    <x v="939"/>
    <s v="2025-10-22"/>
    <x v="0"/>
    <x v="583"/>
    <x v="0"/>
    <s v="B"/>
    <x v="1"/>
    <x v="1"/>
    <s v="INR"/>
    <n v="195704.03"/>
    <n v="3456.69"/>
    <n v="622.20000000000005"/>
    <n v="60.14"/>
    <n v="199722.78"/>
    <n v="2250240.7599999998"/>
    <n v="475"/>
    <x v="1"/>
    <s v="Completed"/>
    <x v="2"/>
    <s v="Review"/>
    <x v="6"/>
  </r>
  <r>
    <x v="940"/>
    <s v="2025-03-20"/>
    <x v="1"/>
    <x v="888"/>
    <x v="1"/>
    <s v="A"/>
    <x v="0"/>
    <x v="3"/>
    <s v="EUR"/>
    <n v="34424.75"/>
    <n v="470.27"/>
    <n v="84.65"/>
    <n v="219.55"/>
    <n v="34760.120000000003"/>
    <n v="2257995.09"/>
    <n v="712"/>
    <x v="2"/>
    <s v="Failed"/>
    <x v="0"/>
    <s v="Verified"/>
    <x v="3"/>
  </r>
  <r>
    <x v="941"/>
    <s v="2025-06-20"/>
    <x v="1"/>
    <x v="889"/>
    <x v="1"/>
    <s v="B"/>
    <x v="3"/>
    <x v="4"/>
    <s v="USD"/>
    <n v="11144.53"/>
    <n v="152.71"/>
    <n v="27.49"/>
    <n v="136.69"/>
    <n v="11188.04"/>
    <n v="2258812.96"/>
    <n v="477"/>
    <x v="2"/>
    <s v="Completed"/>
    <x v="0"/>
    <s v="Review"/>
    <x v="10"/>
  </r>
  <r>
    <x v="942"/>
    <s v="2025-04-10"/>
    <x v="0"/>
    <x v="890"/>
    <x v="3"/>
    <s v="C"/>
    <x v="3"/>
    <x v="3"/>
    <s v="INR"/>
    <n v="81622.179999999993"/>
    <n v="909.3"/>
    <n v="163.66999999999999"/>
    <n v="469.09"/>
    <n v="82226.06"/>
    <n v="2261751.69"/>
    <n v="392"/>
    <x v="1"/>
    <s v="Completed"/>
    <x v="0"/>
    <s v="Review"/>
    <x v="2"/>
  </r>
  <r>
    <x v="943"/>
    <s v="2025-12-25"/>
    <x v="1"/>
    <x v="891"/>
    <x v="3"/>
    <s v="A"/>
    <x v="0"/>
    <x v="3"/>
    <s v="INR"/>
    <n v="156196.99"/>
    <n v="2529.9899999999998"/>
    <n v="455.4"/>
    <n v="51.64"/>
    <n v="159130.74"/>
    <n v="2265579.5499999998"/>
    <n v="525"/>
    <x v="1"/>
    <s v="Failed"/>
    <x v="0"/>
    <s v="None"/>
    <x v="9"/>
  </r>
  <r>
    <x v="944"/>
    <s v="2025-03-17"/>
    <x v="1"/>
    <x v="892"/>
    <x v="3"/>
    <s v="A"/>
    <x v="1"/>
    <x v="2"/>
    <s v="INR"/>
    <n v="52803.81"/>
    <n v="875.46"/>
    <n v="157.58000000000001"/>
    <n v="234.6"/>
    <n v="53602.25"/>
    <n v="2264618.7400000002"/>
    <n v="540"/>
    <x v="1"/>
    <s v="Failed"/>
    <x v="3"/>
    <s v="None"/>
    <x v="3"/>
  </r>
  <r>
    <x v="945"/>
    <s v="2025-03-22"/>
    <x v="1"/>
    <x v="893"/>
    <x v="2"/>
    <s v="A"/>
    <x v="2"/>
    <x v="2"/>
    <s v="EUR"/>
    <n v="165008.14000000001"/>
    <n v="3035.5"/>
    <n v="546.39"/>
    <n v="89.38"/>
    <n v="168500.65"/>
    <n v="2268940.2200000002"/>
    <n v="516"/>
    <x v="0"/>
    <s v="Completed"/>
    <x v="0"/>
    <s v="Review"/>
    <x v="3"/>
  </r>
  <r>
    <x v="946"/>
    <s v="2025-06-18"/>
    <x v="0"/>
    <x v="894"/>
    <x v="2"/>
    <s v="D"/>
    <x v="0"/>
    <x v="4"/>
    <s v="USD"/>
    <n v="39568.230000000003"/>
    <n v="736.06"/>
    <n v="132.49"/>
    <n v="29.32"/>
    <n v="40407.46"/>
    <n v="2277633.87"/>
    <n v="559"/>
    <x v="2"/>
    <s v="Pending"/>
    <x v="0"/>
    <s v="Review"/>
    <x v="10"/>
  </r>
  <r>
    <x v="947"/>
    <s v="2025-11-01"/>
    <x v="0"/>
    <x v="895"/>
    <x v="0"/>
    <s v="A"/>
    <x v="1"/>
    <x v="1"/>
    <s v="USD"/>
    <n v="106097"/>
    <n v="467.28"/>
    <n v="84.11"/>
    <n v="230.87"/>
    <n v="106417.52"/>
    <n v="2276786.3199999998"/>
    <n v="483"/>
    <x v="1"/>
    <s v="Completed"/>
    <x v="1"/>
    <s v="Verified"/>
    <x v="1"/>
  </r>
  <r>
    <x v="948"/>
    <s v="2025-12-10"/>
    <x v="2"/>
    <x v="896"/>
    <x v="1"/>
    <s v="B"/>
    <x v="2"/>
    <x v="3"/>
    <s v="EUR"/>
    <n v="23027.99"/>
    <n v="343.11"/>
    <n v="61.76"/>
    <n v="40.49"/>
    <n v="23392.37"/>
    <n v="2278242.9700000002"/>
    <n v="771"/>
    <x v="2"/>
    <s v="Completed"/>
    <x v="1"/>
    <s v="Review"/>
    <x v="9"/>
  </r>
  <r>
    <x v="949"/>
    <s v="2025-08-29"/>
    <x v="2"/>
    <x v="897"/>
    <x v="2"/>
    <s v="C"/>
    <x v="3"/>
    <x v="0"/>
    <s v="USD"/>
    <n v="95963.26"/>
    <n v="1771.54"/>
    <n v="318.88"/>
    <n v="433.75"/>
    <n v="97619.93"/>
    <n v="2277779.75"/>
    <n v="753"/>
    <x v="2"/>
    <s v="Pending"/>
    <x v="2"/>
    <s v="Review"/>
    <x v="8"/>
  </r>
  <r>
    <x v="950"/>
    <s v="2025-03-29"/>
    <x v="2"/>
    <x v="898"/>
    <x v="1"/>
    <s v="B"/>
    <x v="1"/>
    <x v="2"/>
    <s v="USD"/>
    <n v="198652.53"/>
    <n v="3184.55"/>
    <n v="573.22"/>
    <n v="207.03"/>
    <n v="202203.27"/>
    <n v="2274493.67"/>
    <n v="774"/>
    <x v="0"/>
    <s v="Pending"/>
    <x v="1"/>
    <s v="Verified"/>
    <x v="3"/>
  </r>
  <r>
    <x v="951"/>
    <s v="2025-01-14"/>
    <x v="1"/>
    <x v="899"/>
    <x v="1"/>
    <s v="A"/>
    <x v="0"/>
    <x v="3"/>
    <s v="EUR"/>
    <n v="107131.72"/>
    <n v="2097.6"/>
    <n v="377.57"/>
    <n v="12.84"/>
    <n v="109594.05"/>
    <n v="2280369.7999999998"/>
    <n v="470"/>
    <x v="2"/>
    <s v="Failed"/>
    <x v="1"/>
    <s v="Review"/>
    <x v="4"/>
  </r>
  <r>
    <x v="952"/>
    <s v="2025-06-16"/>
    <x v="0"/>
    <x v="900"/>
    <x v="3"/>
    <s v="D"/>
    <x v="0"/>
    <x v="0"/>
    <s v="INR"/>
    <n v="62646.85"/>
    <n v="442.3"/>
    <n v="79.61"/>
    <n v="350.28"/>
    <n v="62818.48"/>
    <n v="2278573.12"/>
    <n v="879"/>
    <x v="0"/>
    <s v="Failed"/>
    <x v="1"/>
    <s v="Verified"/>
    <x v="10"/>
  </r>
  <r>
    <x v="953"/>
    <s v="2025-09-24"/>
    <x v="1"/>
    <x v="901"/>
    <x v="1"/>
    <s v="B"/>
    <x v="1"/>
    <x v="2"/>
    <s v="USD"/>
    <n v="113118.05"/>
    <n v="923.83"/>
    <n v="166.29"/>
    <n v="299.48"/>
    <n v="113908.69"/>
    <n v="2280971.7599999998"/>
    <n v="579"/>
    <x v="0"/>
    <s v="Completed"/>
    <x v="1"/>
    <s v="None"/>
    <x v="11"/>
  </r>
  <r>
    <x v="954"/>
    <s v="2025-03-02"/>
    <x v="2"/>
    <x v="902"/>
    <x v="0"/>
    <s v="D"/>
    <x v="3"/>
    <x v="2"/>
    <s v="EUR"/>
    <n v="114866.92"/>
    <n v="1931.13"/>
    <n v="347.6"/>
    <n v="460.54"/>
    <n v="116685.11"/>
    <n v="2287017.4900000002"/>
    <n v="631"/>
    <x v="0"/>
    <s v="Pending"/>
    <x v="2"/>
    <s v="None"/>
    <x v="3"/>
  </r>
  <r>
    <x v="955"/>
    <s v="2025-03-02"/>
    <x v="2"/>
    <x v="903"/>
    <x v="1"/>
    <s v="A"/>
    <x v="3"/>
    <x v="1"/>
    <s v="EUR"/>
    <n v="167713.76"/>
    <n v="2974.97"/>
    <n v="535.49"/>
    <n v="12.03"/>
    <n v="171212.19"/>
    <n v="2284687.4300000002"/>
    <n v="425"/>
    <x v="2"/>
    <s v="Failed"/>
    <x v="3"/>
    <s v="Review"/>
    <x v="3"/>
  </r>
  <r>
    <x v="956"/>
    <s v="2025-12-28"/>
    <x v="0"/>
    <x v="703"/>
    <x v="2"/>
    <s v="A"/>
    <x v="2"/>
    <x v="3"/>
    <s v="EUR"/>
    <n v="93179.839999999997"/>
    <n v="859.06"/>
    <n v="154.63"/>
    <n v="108.04"/>
    <n v="94085.49"/>
    <n v="2280578.4700000002"/>
    <n v="355"/>
    <x v="0"/>
    <s v="Completed"/>
    <x v="1"/>
    <s v="None"/>
    <x v="9"/>
  </r>
  <r>
    <x v="957"/>
    <s v="2025-07-11"/>
    <x v="0"/>
    <x v="904"/>
    <x v="3"/>
    <s v="A"/>
    <x v="2"/>
    <x v="2"/>
    <s v="USD"/>
    <n v="135133.01999999999"/>
    <n v="1511.81"/>
    <n v="272.13"/>
    <n v="22.8"/>
    <n v="136894.16"/>
    <n v="2287623.7599999998"/>
    <n v="638"/>
    <x v="2"/>
    <s v="Completed"/>
    <x v="1"/>
    <s v="None"/>
    <x v="7"/>
  </r>
  <r>
    <x v="958"/>
    <s v="2025-05-28"/>
    <x v="2"/>
    <x v="905"/>
    <x v="0"/>
    <s v="C"/>
    <x v="2"/>
    <x v="3"/>
    <s v="INR"/>
    <n v="155252.35999999999"/>
    <n v="962.96"/>
    <n v="173.33"/>
    <n v="280.22000000000003"/>
    <n v="156108.43"/>
    <n v="2283037.5299999998"/>
    <n v="888"/>
    <x v="2"/>
    <s v="Pending"/>
    <x v="2"/>
    <s v="Review"/>
    <x v="5"/>
  </r>
  <r>
    <x v="959"/>
    <s v="2025-04-13"/>
    <x v="0"/>
    <x v="906"/>
    <x v="3"/>
    <s v="C"/>
    <x v="0"/>
    <x v="3"/>
    <s v="USD"/>
    <n v="110759.38"/>
    <n v="487.33"/>
    <n v="87.72"/>
    <n v="155.99"/>
    <n v="111178.44"/>
    <n v="2282504.54"/>
    <n v="663"/>
    <x v="2"/>
    <s v="Pending"/>
    <x v="1"/>
    <s v="None"/>
    <x v="2"/>
  </r>
  <r>
    <x v="960"/>
    <s v="2025-03-15"/>
    <x v="1"/>
    <x v="907"/>
    <x v="0"/>
    <s v="D"/>
    <x v="3"/>
    <x v="4"/>
    <s v="EUR"/>
    <n v="18706.330000000002"/>
    <n v="227.86"/>
    <n v="41.01"/>
    <n v="493.35"/>
    <n v="18481.849999999999"/>
    <n v="2290545.0499999998"/>
    <n v="640"/>
    <x v="2"/>
    <s v="Pending"/>
    <x v="2"/>
    <s v="Verified"/>
    <x v="3"/>
  </r>
  <r>
    <x v="961"/>
    <s v="2025-06-17"/>
    <x v="2"/>
    <x v="331"/>
    <x v="0"/>
    <s v="D"/>
    <x v="0"/>
    <x v="2"/>
    <s v="INR"/>
    <n v="68947.02"/>
    <n v="363.6"/>
    <n v="65.45"/>
    <n v="141.07"/>
    <n v="69235"/>
    <n v="2290144.59"/>
    <n v="496"/>
    <x v="1"/>
    <s v="Pending"/>
    <x v="3"/>
    <s v="Review"/>
    <x v="10"/>
  </r>
  <r>
    <x v="962"/>
    <s v="2025-04-21"/>
    <x v="0"/>
    <x v="908"/>
    <x v="1"/>
    <s v="D"/>
    <x v="0"/>
    <x v="3"/>
    <s v="EUR"/>
    <n v="42495.89"/>
    <n v="663.53"/>
    <n v="119.44"/>
    <n v="427.04"/>
    <n v="42851.82"/>
    <n v="2293154.5499999998"/>
    <n v="775"/>
    <x v="0"/>
    <s v="Pending"/>
    <x v="1"/>
    <s v="Review"/>
    <x v="2"/>
  </r>
  <r>
    <x v="963"/>
    <s v="2025-12-31"/>
    <x v="2"/>
    <x v="909"/>
    <x v="0"/>
    <s v="A"/>
    <x v="1"/>
    <x v="3"/>
    <s v="INR"/>
    <n v="129638.32"/>
    <n v="1484.37"/>
    <n v="267.19"/>
    <n v="320.58999999999997"/>
    <n v="131069.29"/>
    <n v="2291337.4"/>
    <n v="871"/>
    <x v="2"/>
    <s v="Pending"/>
    <x v="1"/>
    <s v="None"/>
    <x v="9"/>
  </r>
  <r>
    <x v="964"/>
    <s v="2025-11-25"/>
    <x v="2"/>
    <x v="910"/>
    <x v="0"/>
    <s v="A"/>
    <x v="2"/>
    <x v="4"/>
    <s v="USD"/>
    <n v="6289.94"/>
    <n v="22.69"/>
    <n v="4.08"/>
    <n v="42.73"/>
    <n v="6273.98"/>
    <n v="2286556.2400000002"/>
    <n v="860"/>
    <x v="1"/>
    <s v="Failed"/>
    <x v="0"/>
    <s v="None"/>
    <x v="1"/>
  </r>
  <r>
    <x v="965"/>
    <s v="2025-05-24"/>
    <x v="2"/>
    <x v="911"/>
    <x v="0"/>
    <s v="D"/>
    <x v="0"/>
    <x v="2"/>
    <s v="INR"/>
    <n v="165246.03"/>
    <n v="779.9"/>
    <n v="140.38"/>
    <n v="206.33"/>
    <n v="165959.98000000001"/>
    <n v="2294811.91"/>
    <n v="644"/>
    <x v="0"/>
    <s v="Pending"/>
    <x v="0"/>
    <s v="None"/>
    <x v="5"/>
  </r>
  <r>
    <x v="966"/>
    <s v="2025-03-26"/>
    <x v="2"/>
    <x v="912"/>
    <x v="1"/>
    <s v="A"/>
    <x v="0"/>
    <x v="4"/>
    <s v="INR"/>
    <n v="3183.52"/>
    <n v="46.02"/>
    <n v="8.2799999999999994"/>
    <n v="24.66"/>
    <n v="3213.16"/>
    <n v="2299339.35"/>
    <n v="504"/>
    <x v="2"/>
    <s v="Failed"/>
    <x v="0"/>
    <s v="None"/>
    <x v="3"/>
  </r>
  <r>
    <x v="967"/>
    <s v="2025-08-08"/>
    <x v="1"/>
    <x v="913"/>
    <x v="0"/>
    <s v="B"/>
    <x v="3"/>
    <x v="3"/>
    <s v="INR"/>
    <n v="147525.98000000001"/>
    <n v="1098.3800000000001"/>
    <n v="197.71"/>
    <n v="357.59"/>
    <n v="148464.48000000001"/>
    <n v="2294822.83"/>
    <n v="340"/>
    <x v="2"/>
    <s v="Pending"/>
    <x v="2"/>
    <s v="Review"/>
    <x v="8"/>
  </r>
  <r>
    <x v="968"/>
    <s v="2025-12-19"/>
    <x v="0"/>
    <x v="914"/>
    <x v="0"/>
    <s v="A"/>
    <x v="2"/>
    <x v="1"/>
    <s v="INR"/>
    <n v="33563.67"/>
    <n v="482.37"/>
    <n v="86.83"/>
    <n v="64.680000000000007"/>
    <n v="34068.19"/>
    <n v="2301355.15"/>
    <n v="880"/>
    <x v="0"/>
    <s v="Failed"/>
    <x v="2"/>
    <s v="Verified"/>
    <x v="9"/>
  </r>
  <r>
    <x v="969"/>
    <s v="2025-10-23"/>
    <x v="2"/>
    <x v="915"/>
    <x v="0"/>
    <s v="C"/>
    <x v="2"/>
    <x v="2"/>
    <s v="USD"/>
    <n v="59317.73"/>
    <n v="226.8"/>
    <n v="40.82"/>
    <n v="91.21"/>
    <n v="59494.14"/>
    <n v="2298633.87"/>
    <n v="884"/>
    <x v="2"/>
    <s v="Failed"/>
    <x v="1"/>
    <s v="Review"/>
    <x v="6"/>
  </r>
  <r>
    <x v="970"/>
    <s v="2025-11-16"/>
    <x v="0"/>
    <x v="916"/>
    <x v="2"/>
    <s v="C"/>
    <x v="2"/>
    <x v="0"/>
    <s v="EUR"/>
    <n v="119941.46"/>
    <n v="1914.07"/>
    <n v="344.53"/>
    <n v="123"/>
    <n v="122077.06"/>
    <n v="2300312.5299999998"/>
    <n v="525"/>
    <x v="2"/>
    <s v="Failed"/>
    <x v="1"/>
    <s v="Review"/>
    <x v="1"/>
  </r>
  <r>
    <x v="971"/>
    <s v="2025-11-19"/>
    <x v="0"/>
    <x v="917"/>
    <x v="1"/>
    <s v="B"/>
    <x v="0"/>
    <x v="0"/>
    <s v="USD"/>
    <n v="149996.76"/>
    <n v="1976.06"/>
    <n v="355.69"/>
    <n v="488.47"/>
    <n v="151840.04"/>
    <n v="2302806.91"/>
    <n v="410"/>
    <x v="2"/>
    <s v="Failed"/>
    <x v="3"/>
    <s v="Review"/>
    <x v="1"/>
  </r>
  <r>
    <x v="972"/>
    <s v="2025-01-12"/>
    <x v="2"/>
    <x v="918"/>
    <x v="3"/>
    <s v="A"/>
    <x v="1"/>
    <x v="2"/>
    <s v="INR"/>
    <n v="102873.86"/>
    <n v="2022.47"/>
    <n v="364.04"/>
    <n v="378.23"/>
    <n v="104882.14"/>
    <n v="2309175.36"/>
    <n v="893"/>
    <x v="1"/>
    <s v="Completed"/>
    <x v="0"/>
    <s v="Verified"/>
    <x v="4"/>
  </r>
  <r>
    <x v="973"/>
    <s v="2025-04-08"/>
    <x v="1"/>
    <x v="577"/>
    <x v="2"/>
    <s v="C"/>
    <x v="1"/>
    <x v="0"/>
    <s v="USD"/>
    <n v="22003.42"/>
    <n v="55.95"/>
    <n v="10.07"/>
    <n v="16.149999999999999"/>
    <n v="22053.29"/>
    <n v="2312808.2599999998"/>
    <n v="500"/>
    <x v="2"/>
    <s v="Completed"/>
    <x v="1"/>
    <s v="Review"/>
    <x v="2"/>
  </r>
  <r>
    <x v="974"/>
    <s v="2025-07-17"/>
    <x v="0"/>
    <x v="919"/>
    <x v="0"/>
    <s v="A"/>
    <x v="3"/>
    <x v="2"/>
    <s v="INR"/>
    <n v="72379.7"/>
    <n v="1317.28"/>
    <n v="237.11"/>
    <n v="356.24"/>
    <n v="73577.850000000006"/>
    <n v="2316030.2200000002"/>
    <n v="699"/>
    <x v="1"/>
    <s v="Pending"/>
    <x v="1"/>
    <s v="None"/>
    <x v="7"/>
  </r>
  <r>
    <x v="975"/>
    <s v="2025-02-04"/>
    <x v="2"/>
    <x v="545"/>
    <x v="1"/>
    <s v="A"/>
    <x v="1"/>
    <x v="2"/>
    <s v="INR"/>
    <n v="136211.04999999999"/>
    <n v="1995.14"/>
    <n v="359.13"/>
    <n v="197.64"/>
    <n v="138367.67999999999"/>
    <n v="2317564.35"/>
    <n v="553"/>
    <x v="2"/>
    <s v="Failed"/>
    <x v="0"/>
    <s v="Verified"/>
    <x v="0"/>
  </r>
  <r>
    <x v="976"/>
    <s v="2025-03-17"/>
    <x v="0"/>
    <x v="920"/>
    <x v="0"/>
    <s v="A"/>
    <x v="0"/>
    <x v="2"/>
    <s v="EUR"/>
    <n v="72080.98"/>
    <n v="1047.33"/>
    <n v="188.52"/>
    <n v="478.53"/>
    <n v="72838.3"/>
    <n v="2313683.69"/>
    <n v="900"/>
    <x v="2"/>
    <s v="Completed"/>
    <x v="1"/>
    <s v="Review"/>
    <x v="3"/>
  </r>
  <r>
    <x v="977"/>
    <s v="2025-12-20"/>
    <x v="2"/>
    <x v="921"/>
    <x v="0"/>
    <s v="D"/>
    <x v="0"/>
    <x v="2"/>
    <s v="EUR"/>
    <n v="46778.92"/>
    <n v="91.35"/>
    <n v="16.440000000000001"/>
    <n v="66.25"/>
    <n v="46820.46"/>
    <n v="2316203.5099999998"/>
    <n v="795"/>
    <x v="2"/>
    <s v="Completed"/>
    <x v="1"/>
    <s v="Verified"/>
    <x v="9"/>
  </r>
  <r>
    <x v="978"/>
    <s v="2025-12-12"/>
    <x v="2"/>
    <x v="922"/>
    <x v="1"/>
    <s v="B"/>
    <x v="2"/>
    <x v="4"/>
    <s v="EUR"/>
    <n v="137781.41"/>
    <n v="1892.86"/>
    <n v="340.71"/>
    <n v="493.03"/>
    <n v="139521.95000000001"/>
    <n v="2312524.2999999998"/>
    <n v="303"/>
    <x v="1"/>
    <s v="Pending"/>
    <x v="1"/>
    <s v="None"/>
    <x v="9"/>
  </r>
  <r>
    <x v="979"/>
    <s v="2025-06-14"/>
    <x v="0"/>
    <x v="923"/>
    <x v="3"/>
    <s v="D"/>
    <x v="3"/>
    <x v="0"/>
    <s v="EUR"/>
    <n v="51119.03"/>
    <n v="473.89"/>
    <n v="85.3"/>
    <n v="241.73"/>
    <n v="51436.49"/>
    <n v="2313403.5299999998"/>
    <n v="783"/>
    <x v="1"/>
    <s v="Completed"/>
    <x v="3"/>
    <s v="None"/>
    <x v="10"/>
  </r>
  <r>
    <x v="980"/>
    <s v="2025-03-15"/>
    <x v="1"/>
    <x v="924"/>
    <x v="2"/>
    <s v="D"/>
    <x v="3"/>
    <x v="0"/>
    <s v="EUR"/>
    <n v="82973.86"/>
    <n v="1468.7"/>
    <n v="264.37"/>
    <n v="381.42"/>
    <n v="84325.51"/>
    <n v="2309390.75"/>
    <n v="529"/>
    <x v="2"/>
    <s v="Pending"/>
    <x v="3"/>
    <s v="Verified"/>
    <x v="3"/>
  </r>
  <r>
    <x v="981"/>
    <s v="2025-04-29"/>
    <x v="2"/>
    <x v="925"/>
    <x v="2"/>
    <s v="D"/>
    <x v="0"/>
    <x v="1"/>
    <s v="INR"/>
    <n v="191804.29"/>
    <n v="3020.47"/>
    <n v="543.67999999999995"/>
    <n v="293.76"/>
    <n v="195074.68"/>
    <n v="2305713.0299999998"/>
    <n v="622"/>
    <x v="1"/>
    <s v="Failed"/>
    <x v="2"/>
    <s v="Verified"/>
    <x v="2"/>
  </r>
  <r>
    <x v="982"/>
    <s v="2025-10-26"/>
    <x v="0"/>
    <x v="926"/>
    <x v="2"/>
    <s v="C"/>
    <x v="0"/>
    <x v="1"/>
    <s v="EUR"/>
    <n v="130651.07"/>
    <n v="966.9"/>
    <n v="174.04"/>
    <n v="254.36"/>
    <n v="131537.65"/>
    <n v="2309023.5"/>
    <n v="705"/>
    <x v="2"/>
    <s v="Failed"/>
    <x v="0"/>
    <s v="Verified"/>
    <x v="6"/>
  </r>
  <r>
    <x v="983"/>
    <s v="2025-06-20"/>
    <x v="2"/>
    <x v="927"/>
    <x v="0"/>
    <s v="A"/>
    <x v="2"/>
    <x v="3"/>
    <s v="EUR"/>
    <n v="166604.6"/>
    <n v="3073.75"/>
    <n v="553.27"/>
    <n v="183.38"/>
    <n v="170048.24"/>
    <n v="2306676.0499999998"/>
    <n v="896"/>
    <x v="2"/>
    <s v="Pending"/>
    <x v="3"/>
    <s v="Review"/>
    <x v="10"/>
  </r>
  <r>
    <x v="984"/>
    <s v="2025-05-16"/>
    <x v="2"/>
    <x v="928"/>
    <x v="0"/>
    <s v="C"/>
    <x v="0"/>
    <x v="3"/>
    <s v="INR"/>
    <n v="2292.17"/>
    <n v="29.72"/>
    <n v="5.35"/>
    <n v="471.72"/>
    <n v="1855.52"/>
    <n v="2306362.02"/>
    <n v="854"/>
    <x v="1"/>
    <s v="Pending"/>
    <x v="0"/>
    <s v="None"/>
    <x v="5"/>
  </r>
  <r>
    <x v="985"/>
    <s v="2025-01-12"/>
    <x v="1"/>
    <x v="929"/>
    <x v="0"/>
    <s v="D"/>
    <x v="2"/>
    <x v="1"/>
    <s v="EUR"/>
    <n v="172734.34"/>
    <n v="983.27"/>
    <n v="176.99"/>
    <n v="301.69"/>
    <n v="173592.91"/>
    <n v="2315099.88"/>
    <n v="404"/>
    <x v="1"/>
    <s v="Failed"/>
    <x v="1"/>
    <s v="Verified"/>
    <x v="4"/>
  </r>
  <r>
    <x v="986"/>
    <s v="2025-12-06"/>
    <x v="0"/>
    <x v="930"/>
    <x v="0"/>
    <s v="D"/>
    <x v="3"/>
    <x v="0"/>
    <s v="EUR"/>
    <n v="127165.98"/>
    <n v="397.76"/>
    <n v="71.599999999999994"/>
    <n v="261.24"/>
    <n v="127374.1"/>
    <n v="2324880.5699999998"/>
    <n v="302"/>
    <x v="0"/>
    <s v="Failed"/>
    <x v="1"/>
    <s v="Review"/>
    <x v="9"/>
  </r>
  <r>
    <x v="987"/>
    <s v="2025-05-24"/>
    <x v="0"/>
    <x v="159"/>
    <x v="3"/>
    <s v="B"/>
    <x v="1"/>
    <x v="1"/>
    <s v="USD"/>
    <n v="154567.20000000001"/>
    <n v="1566.87"/>
    <n v="282.04000000000002"/>
    <n v="409.85"/>
    <n v="156006.26"/>
    <n v="2333354.33"/>
    <n v="652"/>
    <x v="2"/>
    <s v="Failed"/>
    <x v="3"/>
    <s v="Review"/>
    <x v="5"/>
  </r>
  <r>
    <x v="988"/>
    <s v="2025-07-12"/>
    <x v="1"/>
    <x v="931"/>
    <x v="2"/>
    <s v="A"/>
    <x v="3"/>
    <x v="0"/>
    <s v="EUR"/>
    <n v="150839.20000000001"/>
    <n v="1779.63"/>
    <n v="320.33"/>
    <n v="487.95"/>
    <n v="152451.21"/>
    <n v="2331900.4700000002"/>
    <n v="771"/>
    <x v="2"/>
    <s v="Completed"/>
    <x v="0"/>
    <s v="Verified"/>
    <x v="7"/>
  </r>
  <r>
    <x v="989"/>
    <s v="2025-04-19"/>
    <x v="0"/>
    <x v="932"/>
    <x v="0"/>
    <s v="D"/>
    <x v="0"/>
    <x v="1"/>
    <s v="EUR"/>
    <n v="62742.02"/>
    <n v="810.33"/>
    <n v="145.86000000000001"/>
    <n v="214.46"/>
    <n v="63483.75"/>
    <n v="2333875.25"/>
    <n v="747"/>
    <x v="2"/>
    <s v="Pending"/>
    <x v="1"/>
    <s v="None"/>
    <x v="2"/>
  </r>
  <r>
    <x v="990"/>
    <s v="2025-12-22"/>
    <x v="2"/>
    <x v="933"/>
    <x v="2"/>
    <s v="D"/>
    <x v="0"/>
    <x v="3"/>
    <s v="INR"/>
    <n v="90711.78"/>
    <n v="346.74"/>
    <n v="62.41"/>
    <n v="446.94"/>
    <n v="90673.99"/>
    <n v="2333147.36"/>
    <n v="872"/>
    <x v="0"/>
    <s v="Failed"/>
    <x v="3"/>
    <s v="None"/>
    <x v="9"/>
  </r>
  <r>
    <x v="991"/>
    <s v="2025-01-01"/>
    <x v="0"/>
    <x v="934"/>
    <x v="0"/>
    <s v="C"/>
    <x v="0"/>
    <x v="4"/>
    <s v="INR"/>
    <n v="23506.02"/>
    <n v="30.32"/>
    <n v="5.46"/>
    <n v="242.72"/>
    <n v="23299.08"/>
    <n v="2335855.4300000002"/>
    <n v="709"/>
    <x v="1"/>
    <s v="Failed"/>
    <x v="0"/>
    <s v="Verified"/>
    <x v="4"/>
  </r>
  <r>
    <x v="992"/>
    <s v="2025-03-07"/>
    <x v="1"/>
    <x v="935"/>
    <x v="2"/>
    <s v="A"/>
    <x v="1"/>
    <x v="1"/>
    <s v="USD"/>
    <n v="17401.55"/>
    <n v="66.88"/>
    <n v="12.04"/>
    <n v="424.09"/>
    <n v="17056.38"/>
    <n v="2336110.5099999998"/>
    <n v="533"/>
    <x v="2"/>
    <s v="Completed"/>
    <x v="0"/>
    <s v="Review"/>
    <x v="3"/>
  </r>
  <r>
    <x v="993"/>
    <s v="2025-06-25"/>
    <x v="2"/>
    <x v="936"/>
    <x v="2"/>
    <s v="A"/>
    <x v="2"/>
    <x v="0"/>
    <s v="USD"/>
    <n v="177937.61"/>
    <n v="3370.8"/>
    <n v="606.74"/>
    <n v="116.37"/>
    <n v="181798.78"/>
    <n v="2336181.02"/>
    <n v="521"/>
    <x v="0"/>
    <s v="Pending"/>
    <x v="1"/>
    <s v="Verified"/>
    <x v="10"/>
  </r>
  <r>
    <x v="994"/>
    <s v="2025-05-06"/>
    <x v="2"/>
    <x v="937"/>
    <x v="3"/>
    <s v="B"/>
    <x v="2"/>
    <x v="1"/>
    <s v="INR"/>
    <n v="136231.23000000001"/>
    <n v="1737.62"/>
    <n v="312.77"/>
    <n v="128.80000000000001"/>
    <n v="138152.82"/>
    <n v="2343839.81"/>
    <n v="554"/>
    <x v="1"/>
    <s v="Pending"/>
    <x v="0"/>
    <s v="None"/>
    <x v="5"/>
  </r>
  <r>
    <x v="995"/>
    <s v="2025-12-23"/>
    <x v="1"/>
    <x v="938"/>
    <x v="0"/>
    <s v="A"/>
    <x v="0"/>
    <x v="2"/>
    <s v="EUR"/>
    <n v="70124.240000000005"/>
    <n v="1192.05"/>
    <n v="214.57"/>
    <n v="11.55"/>
    <n v="71519.31"/>
    <n v="2347156.7999999998"/>
    <n v="412"/>
    <x v="2"/>
    <s v="Failed"/>
    <x v="2"/>
    <s v="None"/>
    <x v="9"/>
  </r>
  <r>
    <x v="996"/>
    <s v="2025-12-21"/>
    <x v="2"/>
    <x v="939"/>
    <x v="3"/>
    <s v="A"/>
    <x v="3"/>
    <x v="3"/>
    <s v="INR"/>
    <n v="15633.69"/>
    <n v="79.55"/>
    <n v="14.32"/>
    <n v="428.41"/>
    <n v="15299.15"/>
    <n v="2356477.46"/>
    <n v="619"/>
    <x v="0"/>
    <s v="Pending"/>
    <x v="2"/>
    <s v="Review"/>
    <x v="9"/>
  </r>
  <r>
    <x v="997"/>
    <s v="2025-10-08"/>
    <x v="0"/>
    <x v="940"/>
    <x v="2"/>
    <s v="C"/>
    <x v="2"/>
    <x v="3"/>
    <s v="INR"/>
    <n v="190439.44"/>
    <n v="2338.8200000000002"/>
    <n v="420.99"/>
    <n v="462.04"/>
    <n v="192737.21"/>
    <n v="2353287.58"/>
    <n v="889"/>
    <x v="1"/>
    <s v="Failed"/>
    <x v="2"/>
    <s v="Verified"/>
    <x v="6"/>
  </r>
  <r>
    <x v="998"/>
    <s v="2025-09-14"/>
    <x v="2"/>
    <x v="941"/>
    <x v="2"/>
    <s v="B"/>
    <x v="0"/>
    <x v="4"/>
    <s v="EUR"/>
    <n v="187941.49"/>
    <n v="1640.42"/>
    <n v="295.27999999999997"/>
    <n v="409.13"/>
    <n v="189468.06"/>
    <n v="2349302.71"/>
    <n v="567"/>
    <x v="2"/>
    <s v="Failed"/>
    <x v="2"/>
    <s v="Review"/>
    <x v="11"/>
  </r>
  <r>
    <x v="999"/>
    <s v="2025-03-04"/>
    <x v="2"/>
    <x v="942"/>
    <x v="1"/>
    <s v="A"/>
    <x v="3"/>
    <x v="1"/>
    <s v="EUR"/>
    <n v="199418.76"/>
    <n v="2866.91"/>
    <n v="516.04"/>
    <n v="277.42"/>
    <n v="202524.29"/>
    <n v="2352769.6"/>
    <n v="501"/>
    <x v="0"/>
    <s v="Completed"/>
    <x v="2"/>
    <s v="None"/>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8D0710-0159-4794-905E-0BA7D9114EB9}" name="credit score vs account typew"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B19" firstHeaderRow="1" firstDataRow="1" firstDataCol="1"/>
  <pivotFields count="23">
    <pivotField showAll="0"/>
    <pivotField showAll="0"/>
    <pivotField axis="axisRow" showAll="0">
      <items count="4">
        <item x="1"/>
        <item x="0"/>
        <item x="2"/>
        <item t="default"/>
      </items>
    </pivotField>
    <pivotField showAll="0"/>
    <pivotField showAll="0">
      <items count="5">
        <item x="3"/>
        <item x="2"/>
        <item x="0"/>
        <item x="1"/>
        <item t="default"/>
      </items>
    </pivotField>
    <pivotField showAll="0"/>
    <pivotField showAll="0">
      <items count="5">
        <item x="1"/>
        <item x="0"/>
        <item x="2"/>
        <item x="3"/>
        <item t="default"/>
      </items>
    </pivotField>
    <pivotField showAll="0">
      <items count="6">
        <item x="4"/>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5">
        <item x="2"/>
        <item x="0"/>
        <item x="3"/>
        <item x="1"/>
        <item t="default"/>
      </items>
    </pivotField>
    <pivotField showAll="0"/>
    <pivotField numFmtId="164" showAll="0">
      <items count="13">
        <item x="4"/>
        <item x="0"/>
        <item x="3"/>
        <item x="2"/>
        <item x="5"/>
        <item x="10"/>
        <item x="7"/>
        <item x="8"/>
        <item x="11"/>
        <item x="6"/>
        <item x="1"/>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Average of Credit_Score" fld="15" subtotal="average" baseField="2"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0"/>
          </reference>
        </references>
      </pivotArea>
    </chartFormat>
    <chartFormat chart="4" format="10">
      <pivotArea type="data" outline="0" fieldPosition="0">
        <references count="2">
          <reference field="4294967294" count="1" selected="0">
            <x v="0"/>
          </reference>
          <reference field="2" count="1" selected="0">
            <x v="1"/>
          </reference>
        </references>
      </pivotArea>
    </chartFormat>
    <chartFormat chart="4"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428E24-76CD-4086-AD74-80E16A2DCB61}" name="region vs  cato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7:F43" firstHeaderRow="1" firstDataRow="2" firstDataCol="1"/>
  <pivotFields count="23">
    <pivotField showAll="0"/>
    <pivotField showAll="0"/>
    <pivotField showAll="0">
      <items count="4">
        <item x="1"/>
        <item x="0"/>
        <item x="2"/>
        <item t="default"/>
      </items>
    </pivotField>
    <pivotField showAll="0">
      <items count="944">
        <item x="281"/>
        <item x="389"/>
        <item x="921"/>
        <item x="938"/>
        <item x="706"/>
        <item x="629"/>
        <item x="665"/>
        <item x="87"/>
        <item x="55"/>
        <item x="911"/>
        <item x="83"/>
        <item x="677"/>
        <item x="752"/>
        <item x="545"/>
        <item x="181"/>
        <item x="646"/>
        <item x="593"/>
        <item x="898"/>
        <item x="600"/>
        <item x="615"/>
        <item x="507"/>
        <item x="44"/>
        <item x="469"/>
        <item x="136"/>
        <item x="383"/>
        <item x="337"/>
        <item x="289"/>
        <item x="94"/>
        <item x="288"/>
        <item x="908"/>
        <item x="24"/>
        <item x="242"/>
        <item x="259"/>
        <item x="819"/>
        <item x="257"/>
        <item x="434"/>
        <item x="942"/>
        <item x="193"/>
        <item x="797"/>
        <item x="713"/>
        <item x="816"/>
        <item x="302"/>
        <item x="123"/>
        <item x="125"/>
        <item x="739"/>
        <item x="327"/>
        <item x="590"/>
        <item x="214"/>
        <item x="35"/>
        <item x="185"/>
        <item x="602"/>
        <item x="365"/>
        <item x="263"/>
        <item x="805"/>
        <item x="725"/>
        <item x="15"/>
        <item x="939"/>
        <item x="201"/>
        <item x="728"/>
        <item x="834"/>
        <item x="852"/>
        <item x="364"/>
        <item x="145"/>
        <item x="844"/>
        <item x="333"/>
        <item x="306"/>
        <item x="902"/>
        <item x="552"/>
        <item x="697"/>
        <item x="716"/>
        <item x="799"/>
        <item x="850"/>
        <item x="777"/>
        <item x="778"/>
        <item x="818"/>
        <item x="440"/>
        <item x="162"/>
        <item x="528"/>
        <item x="748"/>
        <item x="488"/>
        <item x="872"/>
        <item x="889"/>
        <item x="535"/>
        <item x="745"/>
        <item x="317"/>
        <item x="705"/>
        <item x="206"/>
        <item x="699"/>
        <item x="491"/>
        <item x="433"/>
        <item x="40"/>
        <item x="585"/>
        <item x="253"/>
        <item x="332"/>
        <item x="252"/>
        <item x="473"/>
        <item x="305"/>
        <item x="264"/>
        <item x="480"/>
        <item x="121"/>
        <item x="751"/>
        <item x="34"/>
        <item x="464"/>
        <item x="260"/>
        <item x="243"/>
        <item x="266"/>
        <item x="601"/>
        <item x="56"/>
        <item x="156"/>
        <item x="618"/>
        <item x="912"/>
        <item x="32"/>
        <item x="827"/>
        <item x="905"/>
        <item x="233"/>
        <item x="295"/>
        <item x="680"/>
        <item x="72"/>
        <item x="396"/>
        <item x="345"/>
        <item x="352"/>
        <item x="575"/>
        <item x="122"/>
        <item x="720"/>
        <item x="781"/>
        <item x="138"/>
        <item x="328"/>
        <item x="11"/>
        <item x="395"/>
        <item x="25"/>
        <item x="254"/>
        <item x="174"/>
        <item x="160"/>
        <item x="307"/>
        <item x="356"/>
        <item x="290"/>
        <item x="477"/>
        <item x="857"/>
        <item x="498"/>
        <item x="58"/>
        <item x="191"/>
        <item x="825"/>
        <item x="598"/>
        <item x="866"/>
        <item x="321"/>
        <item x="131"/>
        <item x="517"/>
        <item x="436"/>
        <item x="933"/>
        <item x="522"/>
        <item x="208"/>
        <item x="637"/>
        <item x="405"/>
        <item x="149"/>
        <item x="525"/>
        <item x="239"/>
        <item x="922"/>
        <item x="828"/>
        <item x="92"/>
        <item x="195"/>
        <item x="45"/>
        <item x="537"/>
        <item x="316"/>
        <item x="811"/>
        <item x="479"/>
        <item x="423"/>
        <item x="169"/>
        <item x="27"/>
        <item x="519"/>
        <item x="446"/>
        <item x="268"/>
        <item x="784"/>
        <item x="26"/>
        <item x="523"/>
        <item x="407"/>
        <item x="862"/>
        <item x="490"/>
        <item x="820"/>
        <item x="740"/>
        <item x="413"/>
        <item x="384"/>
        <item x="682"/>
        <item x="795"/>
        <item x="596"/>
        <item x="21"/>
        <item x="339"/>
        <item x="287"/>
        <item x="22"/>
        <item x="41"/>
        <item x="341"/>
        <item x="271"/>
        <item x="719"/>
        <item x="4"/>
        <item x="68"/>
        <item x="349"/>
        <item x="484"/>
        <item x="736"/>
        <item x="893"/>
        <item x="635"/>
        <item x="520"/>
        <item x="771"/>
        <item x="23"/>
        <item x="937"/>
        <item x="204"/>
        <item x="324"/>
        <item x="444"/>
        <item x="702"/>
        <item x="766"/>
        <item x="650"/>
        <item x="177"/>
        <item x="465"/>
        <item x="924"/>
        <item x="267"/>
        <item x="283"/>
        <item x="580"/>
        <item x="658"/>
        <item x="584"/>
        <item x="78"/>
        <item x="77"/>
        <item x="49"/>
        <item x="127"/>
        <item x="79"/>
        <item x="315"/>
        <item x="236"/>
        <item x="143"/>
        <item x="723"/>
        <item x="941"/>
        <item x="934"/>
        <item x="925"/>
        <item x="653"/>
        <item x="932"/>
        <item x="762"/>
        <item x="270"/>
        <item x="313"/>
        <item x="756"/>
        <item x="197"/>
        <item x="546"/>
        <item x="8"/>
        <item x="212"/>
        <item x="110"/>
        <item x="33"/>
        <item x="213"/>
        <item x="505"/>
        <item x="631"/>
        <item x="678"/>
        <item x="157"/>
        <item x="581"/>
        <item x="171"/>
        <item x="503"/>
        <item x="165"/>
        <item x="673"/>
        <item x="796"/>
        <item x="679"/>
        <item x="139"/>
        <item x="256"/>
        <item x="137"/>
        <item x="689"/>
        <item x="817"/>
        <item x="370"/>
        <item x="222"/>
        <item x="102"/>
        <item x="839"/>
        <item x="547"/>
        <item x="210"/>
        <item x="53"/>
        <item x="794"/>
        <item x="415"/>
        <item x="462"/>
        <item x="842"/>
        <item x="441"/>
        <item x="738"/>
        <item x="550"/>
        <item x="782"/>
        <item x="621"/>
        <item x="438"/>
        <item x="493"/>
        <item x="192"/>
        <item x="318"/>
        <item x="910"/>
        <item x="926"/>
        <item x="225"/>
        <item x="764"/>
        <item x="455"/>
        <item x="414"/>
        <item x="442"/>
        <item x="107"/>
        <item x="294"/>
        <item x="874"/>
        <item x="755"/>
        <item x="478"/>
        <item x="432"/>
        <item x="709"/>
        <item x="190"/>
        <item x="354"/>
        <item x="549"/>
        <item x="626"/>
        <item x="466"/>
        <item x="557"/>
        <item x="501"/>
        <item x="785"/>
        <item x="791"/>
        <item x="296"/>
        <item x="892"/>
        <item x="532"/>
        <item x="64"/>
        <item x="837"/>
        <item x="583"/>
        <item x="5"/>
        <item x="894"/>
        <item x="608"/>
        <item x="408"/>
        <item x="335"/>
        <item x="47"/>
        <item x="609"/>
        <item x="489"/>
        <item x="770"/>
        <item x="461"/>
        <item x="426"/>
        <item x="272"/>
        <item x="338"/>
        <item x="150"/>
        <item x="362"/>
        <item x="486"/>
        <item x="661"/>
        <item x="783"/>
        <item x="885"/>
        <item x="823"/>
        <item x="847"/>
        <item x="274"/>
        <item x="504"/>
        <item x="262"/>
        <item x="622"/>
        <item x="806"/>
        <item x="265"/>
        <item x="616"/>
        <item x="904"/>
        <item x="203"/>
        <item x="470"/>
        <item x="312"/>
        <item x="85"/>
        <item x="216"/>
        <item x="241"/>
        <item x="744"/>
        <item x="698"/>
        <item x="871"/>
        <item x="859"/>
        <item x="607"/>
        <item x="527"/>
        <item x="880"/>
        <item x="688"/>
        <item x="28"/>
        <item x="275"/>
        <item x="851"/>
        <item x="534"/>
        <item x="430"/>
        <item x="176"/>
        <item x="319"/>
        <item x="220"/>
        <item x="606"/>
        <item x="276"/>
        <item x="360"/>
        <item x="224"/>
        <item x="802"/>
        <item x="205"/>
        <item x="876"/>
        <item x="482"/>
        <item x="106"/>
        <item x="918"/>
        <item x="170"/>
        <item x="714"/>
        <item x="363"/>
        <item x="749"/>
        <item x="217"/>
        <item x="524"/>
        <item x="115"/>
        <item x="392"/>
        <item x="672"/>
        <item x="458"/>
        <item x="625"/>
        <item x="667"/>
        <item x="792"/>
        <item x="555"/>
        <item x="135"/>
        <item x="897"/>
        <item x="218"/>
        <item x="463"/>
        <item x="88"/>
        <item x="628"/>
        <item x="685"/>
        <item x="399"/>
        <item x="358"/>
        <item x="734"/>
        <item x="390"/>
        <item x="30"/>
        <item x="599"/>
        <item x="39"/>
        <item x="261"/>
        <item x="793"/>
        <item x="623"/>
        <item x="835"/>
        <item x="564"/>
        <item x="71"/>
        <item x="529"/>
        <item x="521"/>
        <item x="59"/>
        <item x="582"/>
        <item x="502"/>
        <item x="576"/>
        <item x="562"/>
        <item x="366"/>
        <item x="632"/>
        <item x="471"/>
        <item x="695"/>
        <item x="278"/>
        <item x="919"/>
        <item x="634"/>
        <item x="604"/>
        <item x="371"/>
        <item x="231"/>
        <item x="13"/>
        <item x="76"/>
        <item x="747"/>
        <item x="675"/>
        <item x="380"/>
        <item x="175"/>
        <item x="829"/>
        <item x="848"/>
        <item x="448"/>
        <item x="1"/>
        <item x="841"/>
        <item x="603"/>
        <item x="686"/>
        <item x="228"/>
        <item x="350"/>
        <item x="323"/>
        <item x="500"/>
        <item x="789"/>
        <item x="617"/>
        <item x="467"/>
        <item x="674"/>
        <item x="614"/>
        <item x="559"/>
        <item x="684"/>
        <item x="690"/>
        <item x="860"/>
        <item x="826"/>
        <item x="804"/>
        <item x="43"/>
        <item x="742"/>
        <item x="215"/>
        <item x="52"/>
        <item x="497"/>
        <item x="579"/>
        <item x="126"/>
        <item x="251"/>
        <item x="74"/>
        <item x="112"/>
        <item x="211"/>
        <item x="67"/>
        <item x="424"/>
        <item x="179"/>
        <item x="726"/>
        <item x="763"/>
        <item x="610"/>
        <item x="456"/>
        <item x="167"/>
        <item x="712"/>
        <item x="588"/>
        <item x="718"/>
        <item x="870"/>
        <item x="671"/>
        <item x="560"/>
        <item x="869"/>
        <item x="38"/>
        <item x="91"/>
        <item x="9"/>
        <item x="592"/>
        <item x="130"/>
        <item x="586"/>
        <item x="571"/>
        <item x="906"/>
        <item x="12"/>
        <item x="849"/>
        <item x="18"/>
        <item x="367"/>
        <item x="326"/>
        <item x="375"/>
        <item x="570"/>
        <item x="643"/>
        <item x="198"/>
        <item x="386"/>
        <item x="69"/>
        <item x="416"/>
        <item x="940"/>
        <item x="182"/>
        <item x="184"/>
        <item x="173"/>
        <item x="331"/>
        <item x="226"/>
        <item x="379"/>
        <item x="809"/>
        <item x="141"/>
        <item x="376"/>
        <item x="104"/>
        <item x="172"/>
        <item x="656"/>
        <item x="578"/>
        <item x="687"/>
        <item x="334"/>
        <item x="722"/>
        <item x="875"/>
        <item x="158"/>
        <item x="240"/>
        <item x="90"/>
        <item x="351"/>
        <item x="429"/>
        <item x="916"/>
        <item x="896"/>
        <item x="346"/>
        <item x="662"/>
        <item x="280"/>
        <item x="824"/>
        <item x="142"/>
        <item x="297"/>
        <item x="374"/>
        <item x="691"/>
        <item x="846"/>
        <item x="506"/>
        <item x="355"/>
        <item x="573"/>
        <item x="753"/>
        <item x="70"/>
        <item x="801"/>
        <item x="715"/>
        <item x="133"/>
        <item x="409"/>
        <item x="163"/>
        <item x="533"/>
        <item x="666"/>
        <item x="708"/>
        <item x="483"/>
        <item x="750"/>
        <item x="221"/>
        <item x="398"/>
        <item x="164"/>
        <item x="654"/>
        <item x="669"/>
        <item x="914"/>
        <item x="681"/>
        <item x="717"/>
        <item x="812"/>
        <item x="311"/>
        <item x="17"/>
        <item x="511"/>
        <item x="539"/>
        <item x="645"/>
        <item x="647"/>
        <item x="401"/>
        <item x="668"/>
        <item x="683"/>
        <item x="154"/>
        <item x="531"/>
        <item x="230"/>
        <item x="98"/>
        <item x="803"/>
        <item x="459"/>
        <item x="822"/>
        <item x="843"/>
        <item x="439"/>
        <item x="554"/>
        <item x="729"/>
        <item x="330"/>
        <item x="377"/>
        <item x="787"/>
        <item x="887"/>
        <item x="420"/>
        <item x="361"/>
        <item x="246"/>
        <item x="235"/>
        <item x="3"/>
        <item x="853"/>
        <item x="642"/>
        <item x="657"/>
        <item x="836"/>
        <item x="277"/>
        <item x="428"/>
        <item x="63"/>
        <item x="597"/>
        <item x="378"/>
        <item x="31"/>
        <item x="773"/>
        <item x="186"/>
        <item x="6"/>
        <item x="664"/>
        <item x="20"/>
        <item x="394"/>
        <item x="42"/>
        <item x="468"/>
        <item x="320"/>
        <item x="100"/>
        <item x="903"/>
        <item x="798"/>
        <item x="301"/>
        <item x="400"/>
        <item x="515"/>
        <item x="202"/>
        <item x="391"/>
        <item x="655"/>
        <item x="754"/>
        <item x="393"/>
        <item x="105"/>
        <item x="96"/>
        <item x="891"/>
        <item x="166"/>
        <item x="930"/>
        <item x="551"/>
        <item x="649"/>
        <item x="644"/>
        <item x="114"/>
        <item x="561"/>
        <item x="886"/>
        <item x="303"/>
        <item x="36"/>
        <item x="310"/>
        <item x="373"/>
        <item x="760"/>
        <item x="159"/>
        <item x="66"/>
        <item x="928"/>
        <item x="509"/>
        <item x="821"/>
        <item x="285"/>
        <item x="168"/>
        <item x="630"/>
        <item x="82"/>
        <item x="300"/>
        <item x="412"/>
        <item x="382"/>
        <item x="530"/>
        <item x="556"/>
        <item x="567"/>
        <item x="108"/>
        <item x="353"/>
        <item x="542"/>
        <item x="250"/>
        <item x="292"/>
        <item x="840"/>
        <item x="340"/>
        <item x="453"/>
        <item x="54"/>
        <item x="80"/>
        <item x="7"/>
        <item x="510"/>
        <item x="140"/>
        <item x="237"/>
        <item x="460"/>
        <item x="788"/>
        <item x="838"/>
        <item x="864"/>
        <item x="774"/>
        <item x="309"/>
        <item x="721"/>
        <item x="917"/>
        <item x="410"/>
        <item x="915"/>
        <item x="492"/>
        <item x="858"/>
        <item x="475"/>
        <item x="779"/>
        <item x="815"/>
        <item x="854"/>
        <item x="518"/>
        <item x="780"/>
        <item x="308"/>
        <item x="129"/>
        <item x="772"/>
        <item x="0"/>
        <item x="404"/>
        <item x="84"/>
        <item x="336"/>
        <item x="369"/>
        <item x="46"/>
        <item x="639"/>
        <item x="411"/>
        <item x="421"/>
        <item x="314"/>
        <item x="422"/>
        <item x="830"/>
        <item x="322"/>
        <item x="99"/>
        <item x="425"/>
        <item x="563"/>
        <item x="855"/>
        <item x="152"/>
        <item x="595"/>
        <item x="627"/>
        <item x="419"/>
        <item x="113"/>
        <item x="707"/>
        <item x="548"/>
        <item x="790"/>
        <item x="701"/>
        <item x="496"/>
        <item x="293"/>
        <item x="14"/>
        <item x="269"/>
        <item x="344"/>
        <item x="244"/>
        <item x="882"/>
        <item x="577"/>
        <item x="247"/>
        <item x="95"/>
        <item x="757"/>
        <item x="605"/>
        <item x="37"/>
        <item x="737"/>
        <item x="357"/>
        <item x="909"/>
        <item x="931"/>
        <item x="207"/>
        <item x="693"/>
        <item x="845"/>
        <item x="494"/>
        <item x="572"/>
        <item x="372"/>
        <item x="733"/>
        <item x="387"/>
        <item x="865"/>
        <item x="832"/>
        <item x="651"/>
        <item x="775"/>
        <item x="724"/>
        <item x="128"/>
        <item x="516"/>
        <item x="180"/>
        <item x="245"/>
        <item x="86"/>
        <item x="638"/>
        <item x="776"/>
        <item x="710"/>
        <item x="255"/>
        <item x="73"/>
        <item x="60"/>
        <item x="282"/>
        <item x="298"/>
        <item x="856"/>
        <item x="258"/>
        <item x="861"/>
        <item x="652"/>
        <item x="727"/>
        <item x="29"/>
        <item x="659"/>
        <item x="209"/>
        <item x="568"/>
        <item x="402"/>
        <item x="636"/>
        <item x="75"/>
        <item x="481"/>
        <item x="587"/>
        <item x="2"/>
        <item x="765"/>
        <item x="397"/>
        <item x="472"/>
        <item x="786"/>
        <item x="508"/>
        <item x="703"/>
        <item x="417"/>
        <item x="219"/>
        <item x="449"/>
        <item x="134"/>
        <item x="151"/>
        <item x="120"/>
        <item x="868"/>
        <item x="342"/>
        <item x="730"/>
        <item x="447"/>
        <item x="474"/>
        <item x="641"/>
        <item x="111"/>
        <item x="624"/>
        <item x="19"/>
        <item x="569"/>
        <item x="284"/>
        <item x="810"/>
        <item x="692"/>
        <item x="758"/>
        <item x="109"/>
        <item x="696"/>
        <item x="161"/>
        <item x="116"/>
        <item x="437"/>
        <item x="199"/>
        <item x="923"/>
        <item x="279"/>
        <item x="223"/>
        <item x="485"/>
        <item x="89"/>
        <item x="620"/>
        <item x="514"/>
        <item x="526"/>
        <item x="381"/>
        <item x="304"/>
        <item x="735"/>
        <item x="594"/>
        <item x="660"/>
        <item x="888"/>
        <item x="368"/>
        <item x="591"/>
        <item x="899"/>
        <item x="81"/>
        <item x="611"/>
        <item x="499"/>
        <item x="768"/>
        <item x="93"/>
        <item x="694"/>
        <item x="935"/>
        <item x="16"/>
        <item x="435"/>
        <item x="194"/>
        <item x="388"/>
        <item x="359"/>
        <item x="767"/>
        <item x="553"/>
        <item x="800"/>
        <item x="196"/>
        <item x="711"/>
        <item x="513"/>
        <item x="761"/>
        <item x="808"/>
        <item x="878"/>
        <item x="700"/>
        <item x="148"/>
        <item x="613"/>
        <item x="147"/>
        <item x="746"/>
        <item x="884"/>
        <item x="286"/>
        <item x="743"/>
        <item x="881"/>
        <item x="936"/>
        <item x="418"/>
        <item x="232"/>
        <item x="403"/>
        <item x="450"/>
        <item x="901"/>
        <item x="189"/>
        <item x="61"/>
        <item x="51"/>
        <item x="612"/>
        <item x="234"/>
        <item x="48"/>
        <item x="454"/>
        <item x="153"/>
        <item x="487"/>
        <item x="883"/>
        <item x="229"/>
        <item x="343"/>
        <item x="119"/>
        <item x="589"/>
        <item x="863"/>
        <item x="833"/>
        <item x="543"/>
        <item x="807"/>
        <item x="238"/>
        <item x="732"/>
        <item x="183"/>
        <item x="877"/>
        <item x="50"/>
        <item x="10"/>
        <item x="101"/>
        <item x="57"/>
        <item x="538"/>
        <item x="890"/>
        <item x="188"/>
        <item x="178"/>
        <item x="574"/>
        <item x="741"/>
        <item x="558"/>
        <item x="457"/>
        <item x="704"/>
        <item x="769"/>
        <item x="541"/>
        <item x="248"/>
        <item x="544"/>
        <item x="443"/>
        <item x="385"/>
        <item x="879"/>
        <item x="445"/>
        <item x="831"/>
        <item x="427"/>
        <item x="146"/>
        <item x="249"/>
        <item x="452"/>
        <item x="814"/>
        <item x="759"/>
        <item x="907"/>
        <item x="476"/>
        <item x="633"/>
        <item x="103"/>
        <item x="155"/>
        <item x="291"/>
        <item x="540"/>
        <item x="124"/>
        <item x="895"/>
        <item x="329"/>
        <item x="512"/>
        <item x="62"/>
        <item x="640"/>
        <item x="920"/>
        <item x="929"/>
        <item x="132"/>
        <item x="663"/>
        <item x="299"/>
        <item x="200"/>
        <item x="495"/>
        <item x="867"/>
        <item x="451"/>
        <item x="406"/>
        <item x="913"/>
        <item x="927"/>
        <item x="565"/>
        <item x="731"/>
        <item x="431"/>
        <item x="348"/>
        <item x="97"/>
        <item x="873"/>
        <item x="619"/>
        <item x="566"/>
        <item x="676"/>
        <item x="187"/>
        <item x="117"/>
        <item x="325"/>
        <item x="65"/>
        <item x="670"/>
        <item x="536"/>
        <item x="227"/>
        <item x="813"/>
        <item x="144"/>
        <item x="648"/>
        <item x="118"/>
        <item x="347"/>
        <item x="273"/>
        <item x="900"/>
        <item t="default"/>
      </items>
    </pivotField>
    <pivotField axis="axisRow" showAll="0">
      <items count="5">
        <item x="3"/>
        <item x="2"/>
        <item x="0"/>
        <item x="1"/>
        <item t="default"/>
      </items>
    </pivotField>
    <pivotField showAll="0"/>
    <pivotField showAll="0">
      <items count="5">
        <item x="1"/>
        <item x="0"/>
        <item x="2"/>
        <item x="3"/>
        <item t="default"/>
      </items>
    </pivotField>
    <pivotField showAll="0">
      <items count="6">
        <item x="4"/>
        <item x="3"/>
        <item x="2"/>
        <item x="0"/>
        <item x="1"/>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axis="axisCol" dataField="1" showAll="0">
      <items count="5">
        <item x="2"/>
        <item x="0"/>
        <item x="3"/>
        <item x="1"/>
        <item t="default"/>
      </items>
    </pivotField>
    <pivotField showAll="0"/>
    <pivotField numFmtId="164" showAll="0">
      <items count="13">
        <item x="4"/>
        <item x="0"/>
        <item x="3"/>
        <item x="2"/>
        <item x="5"/>
        <item x="10"/>
        <item x="7"/>
        <item x="8"/>
        <item x="11"/>
        <item x="6"/>
        <item x="1"/>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18"/>
  </colFields>
  <colItems count="5">
    <i>
      <x/>
    </i>
    <i>
      <x v="1"/>
    </i>
    <i>
      <x v="2"/>
    </i>
    <i>
      <x v="3"/>
    </i>
    <i t="grand">
      <x/>
    </i>
  </colItems>
  <dataFields count="1">
    <dataField name="Count of Category" fld="18" subtotal="count" baseField="0" baseItem="0"/>
  </dataFields>
  <chartFormats count="8">
    <chartFormat chart="3" format="0" series="1">
      <pivotArea type="data" outline="0" fieldPosition="0">
        <references count="2">
          <reference field="4294967294" count="1" selected="0">
            <x v="0"/>
          </reference>
          <reference field="18" count="1" selected="0">
            <x v="0"/>
          </reference>
        </references>
      </pivotArea>
    </chartFormat>
    <chartFormat chart="3" format="1" series="1">
      <pivotArea type="data" outline="0" fieldPosition="0">
        <references count="2">
          <reference field="4294967294" count="1" selected="0">
            <x v="0"/>
          </reference>
          <reference field="18" count="1" selected="0">
            <x v="1"/>
          </reference>
        </references>
      </pivotArea>
    </chartFormat>
    <chartFormat chart="3" format="2" series="1">
      <pivotArea type="data" outline="0" fieldPosition="0">
        <references count="2">
          <reference field="4294967294" count="1" selected="0">
            <x v="0"/>
          </reference>
          <reference field="18" count="1" selected="0">
            <x v="2"/>
          </reference>
        </references>
      </pivotArea>
    </chartFormat>
    <chartFormat chart="3" format="3" series="1">
      <pivotArea type="data" outline="0" fieldPosition="0">
        <references count="2">
          <reference field="4294967294" count="1" selected="0">
            <x v="0"/>
          </reference>
          <reference field="18" count="1" selected="0">
            <x v="3"/>
          </reference>
        </references>
      </pivotArea>
    </chartFormat>
    <chartFormat chart="6" format="8" series="1">
      <pivotArea type="data" outline="0" fieldPosition="0">
        <references count="2">
          <reference field="4294967294" count="1" selected="0">
            <x v="0"/>
          </reference>
          <reference field="18" count="1" selected="0">
            <x v="0"/>
          </reference>
        </references>
      </pivotArea>
    </chartFormat>
    <chartFormat chart="6" format="9" series="1">
      <pivotArea type="data" outline="0" fieldPosition="0">
        <references count="2">
          <reference field="4294967294" count="1" selected="0">
            <x v="0"/>
          </reference>
          <reference field="18" count="1" selected="0">
            <x v="1"/>
          </reference>
        </references>
      </pivotArea>
    </chartFormat>
    <chartFormat chart="6" format="10" series="1">
      <pivotArea type="data" outline="0" fieldPosition="0">
        <references count="2">
          <reference field="4294967294" count="1" selected="0">
            <x v="0"/>
          </reference>
          <reference field="18" count="1" selected="0">
            <x v="2"/>
          </reference>
        </references>
      </pivotArea>
    </chartFormat>
    <chartFormat chart="6" format="11"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840291-B398-4834-815C-936350E1C4C0}" name="account type vs trans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8" firstHeaderRow="1" firstDataRow="2" firstDataCol="1"/>
  <pivotFields count="23">
    <pivotField showAll="0"/>
    <pivotField showAll="0"/>
    <pivotField axis="axisRow" showAll="0">
      <items count="4">
        <item x="1"/>
        <item x="0"/>
        <item x="2"/>
        <item t="default"/>
      </items>
    </pivotField>
    <pivotField showAll="0"/>
    <pivotField showAll="0">
      <items count="5">
        <item x="3"/>
        <item x="2"/>
        <item x="0"/>
        <item x="1"/>
        <item t="default"/>
      </items>
    </pivotField>
    <pivotField showAll="0"/>
    <pivotField showAll="0">
      <items count="5">
        <item x="1"/>
        <item x="0"/>
        <item x="2"/>
        <item x="3"/>
        <item t="default"/>
      </items>
    </pivotField>
    <pivotField axis="axisCol" dataField="1" showAll="0">
      <items count="6">
        <item x="4"/>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numFmtId="164" showAll="0">
      <items count="13">
        <item x="4"/>
        <item x="0"/>
        <item x="3"/>
        <item x="2"/>
        <item x="5"/>
        <item x="10"/>
        <item x="7"/>
        <item x="8"/>
        <item x="11"/>
        <item x="6"/>
        <item x="1"/>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7"/>
  </colFields>
  <colItems count="6">
    <i>
      <x/>
    </i>
    <i>
      <x v="1"/>
    </i>
    <i>
      <x v="2"/>
    </i>
    <i>
      <x v="3"/>
    </i>
    <i>
      <x v="4"/>
    </i>
    <i t="grand">
      <x/>
    </i>
  </colItems>
  <dataFields count="1">
    <dataField name="Count of Payment_Method" fld="7" subtotal="count" baseField="0" baseItem="0"/>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2" format="10" series="1">
      <pivotArea type="data" outline="0" fieldPosition="0">
        <references count="2">
          <reference field="4294967294" count="1" selected="0">
            <x v="0"/>
          </reference>
          <reference field="7" count="1" selected="0">
            <x v="0"/>
          </reference>
        </references>
      </pivotArea>
    </chartFormat>
    <chartFormat chart="2" format="11" series="1">
      <pivotArea type="data" outline="0" fieldPosition="0">
        <references count="2">
          <reference field="4294967294" count="1" selected="0">
            <x v="0"/>
          </reference>
          <reference field="7" count="1" selected="0">
            <x v="1"/>
          </reference>
        </references>
      </pivotArea>
    </chartFormat>
    <chartFormat chart="2" format="12" series="1">
      <pivotArea type="data" outline="0" fieldPosition="0">
        <references count="2">
          <reference field="4294967294" count="1" selected="0">
            <x v="0"/>
          </reference>
          <reference field="7" count="1" selected="0">
            <x v="2"/>
          </reference>
        </references>
      </pivotArea>
    </chartFormat>
    <chartFormat chart="2" format="13" series="1">
      <pivotArea type="data" outline="0" fieldPosition="0">
        <references count="2">
          <reference field="4294967294" count="1" selected="0">
            <x v="0"/>
          </reference>
          <reference field="7" count="1" selected="0">
            <x v="3"/>
          </reference>
        </references>
      </pivotArea>
    </chartFormat>
    <chartFormat chart="2" format="14"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CF809D-EB86-4D7A-97C1-25D3978B77B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18:H19" firstHeaderRow="1" firstDataRow="1" firstDataCol="0"/>
  <pivotFields count="23">
    <pivotField showAll="0"/>
    <pivotField showAll="0"/>
    <pivotField showAll="0">
      <items count="4">
        <item x="1"/>
        <item x="0"/>
        <item x="2"/>
        <item t="default"/>
      </items>
    </pivotField>
    <pivotField showAll="0"/>
    <pivotField showAll="0">
      <items count="5">
        <item x="3"/>
        <item x="2"/>
        <item x="0"/>
        <item x="1"/>
        <item t="default"/>
      </items>
    </pivotField>
    <pivotField showAll="0"/>
    <pivotField showAll="0">
      <items count="5">
        <item x="1"/>
        <item x="0"/>
        <item x="2"/>
        <item x="3"/>
        <item t="default"/>
      </items>
    </pivotField>
    <pivotField showAll="0">
      <items count="6">
        <item x="4"/>
        <item x="3"/>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items count="5">
        <item x="2"/>
        <item x="0"/>
        <item x="3"/>
        <item x="1"/>
        <item t="default"/>
      </items>
    </pivotField>
    <pivotField showAll="0"/>
    <pivotField numFmtId="164" showAll="0">
      <items count="13">
        <item x="4"/>
        <item x="0"/>
        <item x="3"/>
        <item x="2"/>
        <item x="5"/>
        <item x="10"/>
        <item x="7"/>
        <item x="8"/>
        <item x="11"/>
        <item x="6"/>
        <item x="1"/>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et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8A847C-64A9-473D-85DA-0A1A74D86C27}" name="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1:F65" firstHeaderRow="1" firstDataRow="2" firstDataCol="1"/>
  <pivotFields count="23">
    <pivotField showAll="0"/>
    <pivotField showAll="0"/>
    <pivotField showAll="0">
      <items count="4">
        <item x="1"/>
        <item x="0"/>
        <item x="2"/>
        <item t="default"/>
      </items>
    </pivotField>
    <pivotField showAll="0">
      <items count="944">
        <item x="281"/>
        <item x="389"/>
        <item x="921"/>
        <item x="938"/>
        <item x="706"/>
        <item x="629"/>
        <item x="665"/>
        <item x="87"/>
        <item x="55"/>
        <item x="911"/>
        <item x="83"/>
        <item x="677"/>
        <item x="752"/>
        <item x="545"/>
        <item x="181"/>
        <item x="646"/>
        <item x="593"/>
        <item x="898"/>
        <item x="600"/>
        <item x="615"/>
        <item x="507"/>
        <item x="44"/>
        <item x="469"/>
        <item x="136"/>
        <item x="383"/>
        <item x="337"/>
        <item x="289"/>
        <item x="94"/>
        <item x="288"/>
        <item x="908"/>
        <item x="24"/>
        <item x="242"/>
        <item x="259"/>
        <item x="819"/>
        <item x="257"/>
        <item x="434"/>
        <item x="942"/>
        <item x="193"/>
        <item x="797"/>
        <item x="713"/>
        <item x="816"/>
        <item x="302"/>
        <item x="123"/>
        <item x="125"/>
        <item x="739"/>
        <item x="327"/>
        <item x="590"/>
        <item x="214"/>
        <item x="35"/>
        <item x="185"/>
        <item x="602"/>
        <item x="365"/>
        <item x="263"/>
        <item x="805"/>
        <item x="725"/>
        <item x="15"/>
        <item x="939"/>
        <item x="201"/>
        <item x="728"/>
        <item x="834"/>
        <item x="852"/>
        <item x="364"/>
        <item x="145"/>
        <item x="844"/>
        <item x="333"/>
        <item x="306"/>
        <item x="902"/>
        <item x="552"/>
        <item x="697"/>
        <item x="716"/>
        <item x="799"/>
        <item x="850"/>
        <item x="777"/>
        <item x="778"/>
        <item x="818"/>
        <item x="440"/>
        <item x="162"/>
        <item x="528"/>
        <item x="748"/>
        <item x="488"/>
        <item x="872"/>
        <item x="889"/>
        <item x="535"/>
        <item x="745"/>
        <item x="317"/>
        <item x="705"/>
        <item x="206"/>
        <item x="699"/>
        <item x="491"/>
        <item x="433"/>
        <item x="40"/>
        <item x="585"/>
        <item x="253"/>
        <item x="332"/>
        <item x="252"/>
        <item x="473"/>
        <item x="305"/>
        <item x="264"/>
        <item x="480"/>
        <item x="121"/>
        <item x="751"/>
        <item x="34"/>
        <item x="464"/>
        <item x="260"/>
        <item x="243"/>
        <item x="266"/>
        <item x="601"/>
        <item x="56"/>
        <item x="156"/>
        <item x="618"/>
        <item x="912"/>
        <item x="32"/>
        <item x="827"/>
        <item x="905"/>
        <item x="233"/>
        <item x="295"/>
        <item x="680"/>
        <item x="72"/>
        <item x="396"/>
        <item x="345"/>
        <item x="352"/>
        <item x="575"/>
        <item x="122"/>
        <item x="720"/>
        <item x="781"/>
        <item x="138"/>
        <item x="328"/>
        <item x="11"/>
        <item x="395"/>
        <item x="25"/>
        <item x="254"/>
        <item x="174"/>
        <item x="160"/>
        <item x="307"/>
        <item x="356"/>
        <item x="290"/>
        <item x="477"/>
        <item x="857"/>
        <item x="498"/>
        <item x="58"/>
        <item x="191"/>
        <item x="825"/>
        <item x="598"/>
        <item x="866"/>
        <item x="321"/>
        <item x="131"/>
        <item x="517"/>
        <item x="436"/>
        <item x="933"/>
        <item x="522"/>
        <item x="208"/>
        <item x="637"/>
        <item x="405"/>
        <item x="149"/>
        <item x="525"/>
        <item x="239"/>
        <item x="922"/>
        <item x="828"/>
        <item x="92"/>
        <item x="195"/>
        <item x="45"/>
        <item x="537"/>
        <item x="316"/>
        <item x="811"/>
        <item x="479"/>
        <item x="423"/>
        <item x="169"/>
        <item x="27"/>
        <item x="519"/>
        <item x="446"/>
        <item x="268"/>
        <item x="784"/>
        <item x="26"/>
        <item x="523"/>
        <item x="407"/>
        <item x="862"/>
        <item x="490"/>
        <item x="820"/>
        <item x="740"/>
        <item x="413"/>
        <item x="384"/>
        <item x="682"/>
        <item x="795"/>
        <item x="596"/>
        <item x="21"/>
        <item x="339"/>
        <item x="287"/>
        <item x="22"/>
        <item x="41"/>
        <item x="341"/>
        <item x="271"/>
        <item x="719"/>
        <item x="4"/>
        <item x="68"/>
        <item x="349"/>
        <item x="484"/>
        <item x="736"/>
        <item x="893"/>
        <item x="635"/>
        <item x="520"/>
        <item x="771"/>
        <item x="23"/>
        <item x="937"/>
        <item x="204"/>
        <item x="324"/>
        <item x="444"/>
        <item x="702"/>
        <item x="766"/>
        <item x="650"/>
        <item x="177"/>
        <item x="465"/>
        <item x="924"/>
        <item x="267"/>
        <item x="283"/>
        <item x="580"/>
        <item x="658"/>
        <item x="584"/>
        <item x="78"/>
        <item x="77"/>
        <item x="49"/>
        <item x="127"/>
        <item x="79"/>
        <item x="315"/>
        <item x="236"/>
        <item x="143"/>
        <item x="723"/>
        <item x="941"/>
        <item x="934"/>
        <item x="925"/>
        <item x="653"/>
        <item x="932"/>
        <item x="762"/>
        <item x="270"/>
        <item x="313"/>
        <item x="756"/>
        <item x="197"/>
        <item x="546"/>
        <item x="8"/>
        <item x="212"/>
        <item x="110"/>
        <item x="33"/>
        <item x="213"/>
        <item x="505"/>
        <item x="631"/>
        <item x="678"/>
        <item x="157"/>
        <item x="581"/>
        <item x="171"/>
        <item x="503"/>
        <item x="165"/>
        <item x="673"/>
        <item x="796"/>
        <item x="679"/>
        <item x="139"/>
        <item x="256"/>
        <item x="137"/>
        <item x="689"/>
        <item x="817"/>
        <item x="370"/>
        <item x="222"/>
        <item x="102"/>
        <item x="839"/>
        <item x="547"/>
        <item x="210"/>
        <item x="53"/>
        <item x="794"/>
        <item x="415"/>
        <item x="462"/>
        <item x="842"/>
        <item x="441"/>
        <item x="738"/>
        <item x="550"/>
        <item x="782"/>
        <item x="621"/>
        <item x="438"/>
        <item x="493"/>
        <item x="192"/>
        <item x="318"/>
        <item x="910"/>
        <item x="926"/>
        <item x="225"/>
        <item x="764"/>
        <item x="455"/>
        <item x="414"/>
        <item x="442"/>
        <item x="107"/>
        <item x="294"/>
        <item x="874"/>
        <item x="755"/>
        <item x="478"/>
        <item x="432"/>
        <item x="709"/>
        <item x="190"/>
        <item x="354"/>
        <item x="549"/>
        <item x="626"/>
        <item x="466"/>
        <item x="557"/>
        <item x="501"/>
        <item x="785"/>
        <item x="791"/>
        <item x="296"/>
        <item x="892"/>
        <item x="532"/>
        <item x="64"/>
        <item x="837"/>
        <item x="583"/>
        <item x="5"/>
        <item x="894"/>
        <item x="608"/>
        <item x="408"/>
        <item x="335"/>
        <item x="47"/>
        <item x="609"/>
        <item x="489"/>
        <item x="770"/>
        <item x="461"/>
        <item x="426"/>
        <item x="272"/>
        <item x="338"/>
        <item x="150"/>
        <item x="362"/>
        <item x="486"/>
        <item x="661"/>
        <item x="783"/>
        <item x="885"/>
        <item x="823"/>
        <item x="847"/>
        <item x="274"/>
        <item x="504"/>
        <item x="262"/>
        <item x="622"/>
        <item x="806"/>
        <item x="265"/>
        <item x="616"/>
        <item x="904"/>
        <item x="203"/>
        <item x="470"/>
        <item x="312"/>
        <item x="85"/>
        <item x="216"/>
        <item x="241"/>
        <item x="744"/>
        <item x="698"/>
        <item x="871"/>
        <item x="859"/>
        <item x="607"/>
        <item x="527"/>
        <item x="880"/>
        <item x="688"/>
        <item x="28"/>
        <item x="275"/>
        <item x="851"/>
        <item x="534"/>
        <item x="430"/>
        <item x="176"/>
        <item x="319"/>
        <item x="220"/>
        <item x="606"/>
        <item x="276"/>
        <item x="360"/>
        <item x="224"/>
        <item x="802"/>
        <item x="205"/>
        <item x="876"/>
        <item x="482"/>
        <item x="106"/>
        <item x="918"/>
        <item x="170"/>
        <item x="714"/>
        <item x="363"/>
        <item x="749"/>
        <item x="217"/>
        <item x="524"/>
        <item x="115"/>
        <item x="392"/>
        <item x="672"/>
        <item x="458"/>
        <item x="625"/>
        <item x="667"/>
        <item x="792"/>
        <item x="555"/>
        <item x="135"/>
        <item x="897"/>
        <item x="218"/>
        <item x="463"/>
        <item x="88"/>
        <item x="628"/>
        <item x="685"/>
        <item x="399"/>
        <item x="358"/>
        <item x="734"/>
        <item x="390"/>
        <item x="30"/>
        <item x="599"/>
        <item x="39"/>
        <item x="261"/>
        <item x="793"/>
        <item x="623"/>
        <item x="835"/>
        <item x="564"/>
        <item x="71"/>
        <item x="529"/>
        <item x="521"/>
        <item x="59"/>
        <item x="582"/>
        <item x="502"/>
        <item x="576"/>
        <item x="562"/>
        <item x="366"/>
        <item x="632"/>
        <item x="471"/>
        <item x="695"/>
        <item x="278"/>
        <item x="919"/>
        <item x="634"/>
        <item x="604"/>
        <item x="371"/>
        <item x="231"/>
        <item x="13"/>
        <item x="76"/>
        <item x="747"/>
        <item x="675"/>
        <item x="380"/>
        <item x="175"/>
        <item x="829"/>
        <item x="848"/>
        <item x="448"/>
        <item x="1"/>
        <item x="841"/>
        <item x="603"/>
        <item x="686"/>
        <item x="228"/>
        <item x="350"/>
        <item x="323"/>
        <item x="500"/>
        <item x="789"/>
        <item x="617"/>
        <item x="467"/>
        <item x="674"/>
        <item x="614"/>
        <item x="559"/>
        <item x="684"/>
        <item x="690"/>
        <item x="860"/>
        <item x="826"/>
        <item x="804"/>
        <item x="43"/>
        <item x="742"/>
        <item x="215"/>
        <item x="52"/>
        <item x="497"/>
        <item x="579"/>
        <item x="126"/>
        <item x="251"/>
        <item x="74"/>
        <item x="112"/>
        <item x="211"/>
        <item x="67"/>
        <item x="424"/>
        <item x="179"/>
        <item x="726"/>
        <item x="763"/>
        <item x="610"/>
        <item x="456"/>
        <item x="167"/>
        <item x="712"/>
        <item x="588"/>
        <item x="718"/>
        <item x="870"/>
        <item x="671"/>
        <item x="560"/>
        <item x="869"/>
        <item x="38"/>
        <item x="91"/>
        <item x="9"/>
        <item x="592"/>
        <item x="130"/>
        <item x="586"/>
        <item x="571"/>
        <item x="906"/>
        <item x="12"/>
        <item x="849"/>
        <item x="18"/>
        <item x="367"/>
        <item x="326"/>
        <item x="375"/>
        <item x="570"/>
        <item x="643"/>
        <item x="198"/>
        <item x="386"/>
        <item x="69"/>
        <item x="416"/>
        <item x="940"/>
        <item x="182"/>
        <item x="184"/>
        <item x="173"/>
        <item x="331"/>
        <item x="226"/>
        <item x="379"/>
        <item x="809"/>
        <item x="141"/>
        <item x="376"/>
        <item x="104"/>
        <item x="172"/>
        <item x="656"/>
        <item x="578"/>
        <item x="687"/>
        <item x="334"/>
        <item x="722"/>
        <item x="875"/>
        <item x="158"/>
        <item x="240"/>
        <item x="90"/>
        <item x="351"/>
        <item x="429"/>
        <item x="916"/>
        <item x="896"/>
        <item x="346"/>
        <item x="662"/>
        <item x="280"/>
        <item x="824"/>
        <item x="142"/>
        <item x="297"/>
        <item x="374"/>
        <item x="691"/>
        <item x="846"/>
        <item x="506"/>
        <item x="355"/>
        <item x="573"/>
        <item x="753"/>
        <item x="70"/>
        <item x="801"/>
        <item x="715"/>
        <item x="133"/>
        <item x="409"/>
        <item x="163"/>
        <item x="533"/>
        <item x="666"/>
        <item x="708"/>
        <item x="483"/>
        <item x="750"/>
        <item x="221"/>
        <item x="398"/>
        <item x="164"/>
        <item x="654"/>
        <item x="669"/>
        <item x="914"/>
        <item x="681"/>
        <item x="717"/>
        <item x="812"/>
        <item x="311"/>
        <item x="17"/>
        <item x="511"/>
        <item x="539"/>
        <item x="645"/>
        <item x="647"/>
        <item x="401"/>
        <item x="668"/>
        <item x="683"/>
        <item x="154"/>
        <item x="531"/>
        <item x="230"/>
        <item x="98"/>
        <item x="803"/>
        <item x="459"/>
        <item x="822"/>
        <item x="843"/>
        <item x="439"/>
        <item x="554"/>
        <item x="729"/>
        <item x="330"/>
        <item x="377"/>
        <item x="787"/>
        <item x="887"/>
        <item x="420"/>
        <item x="361"/>
        <item x="246"/>
        <item x="235"/>
        <item x="3"/>
        <item x="853"/>
        <item x="642"/>
        <item x="657"/>
        <item x="836"/>
        <item x="277"/>
        <item x="428"/>
        <item x="63"/>
        <item x="597"/>
        <item x="378"/>
        <item x="31"/>
        <item x="773"/>
        <item x="186"/>
        <item x="6"/>
        <item x="664"/>
        <item x="20"/>
        <item x="394"/>
        <item x="42"/>
        <item x="468"/>
        <item x="320"/>
        <item x="100"/>
        <item x="903"/>
        <item x="798"/>
        <item x="301"/>
        <item x="400"/>
        <item x="515"/>
        <item x="202"/>
        <item x="391"/>
        <item x="655"/>
        <item x="754"/>
        <item x="393"/>
        <item x="105"/>
        <item x="96"/>
        <item x="891"/>
        <item x="166"/>
        <item x="930"/>
        <item x="551"/>
        <item x="649"/>
        <item x="644"/>
        <item x="114"/>
        <item x="561"/>
        <item x="886"/>
        <item x="303"/>
        <item x="36"/>
        <item x="310"/>
        <item x="373"/>
        <item x="760"/>
        <item x="159"/>
        <item x="66"/>
        <item x="928"/>
        <item x="509"/>
        <item x="821"/>
        <item x="285"/>
        <item x="168"/>
        <item x="630"/>
        <item x="82"/>
        <item x="300"/>
        <item x="412"/>
        <item x="382"/>
        <item x="530"/>
        <item x="556"/>
        <item x="567"/>
        <item x="108"/>
        <item x="353"/>
        <item x="542"/>
        <item x="250"/>
        <item x="292"/>
        <item x="840"/>
        <item x="340"/>
        <item x="453"/>
        <item x="54"/>
        <item x="80"/>
        <item x="7"/>
        <item x="510"/>
        <item x="140"/>
        <item x="237"/>
        <item x="460"/>
        <item x="788"/>
        <item x="838"/>
        <item x="864"/>
        <item x="774"/>
        <item x="309"/>
        <item x="721"/>
        <item x="917"/>
        <item x="410"/>
        <item x="915"/>
        <item x="492"/>
        <item x="858"/>
        <item x="475"/>
        <item x="779"/>
        <item x="815"/>
        <item x="854"/>
        <item x="518"/>
        <item x="780"/>
        <item x="308"/>
        <item x="129"/>
        <item x="772"/>
        <item x="0"/>
        <item x="404"/>
        <item x="84"/>
        <item x="336"/>
        <item x="369"/>
        <item x="46"/>
        <item x="639"/>
        <item x="411"/>
        <item x="421"/>
        <item x="314"/>
        <item x="422"/>
        <item x="830"/>
        <item x="322"/>
        <item x="99"/>
        <item x="425"/>
        <item x="563"/>
        <item x="855"/>
        <item x="152"/>
        <item x="595"/>
        <item x="627"/>
        <item x="419"/>
        <item x="113"/>
        <item x="707"/>
        <item x="548"/>
        <item x="790"/>
        <item x="701"/>
        <item x="496"/>
        <item x="293"/>
        <item x="14"/>
        <item x="269"/>
        <item x="344"/>
        <item x="244"/>
        <item x="882"/>
        <item x="577"/>
        <item x="247"/>
        <item x="95"/>
        <item x="757"/>
        <item x="605"/>
        <item x="37"/>
        <item x="737"/>
        <item x="357"/>
        <item x="909"/>
        <item x="931"/>
        <item x="207"/>
        <item x="693"/>
        <item x="845"/>
        <item x="494"/>
        <item x="572"/>
        <item x="372"/>
        <item x="733"/>
        <item x="387"/>
        <item x="865"/>
        <item x="832"/>
        <item x="651"/>
        <item x="775"/>
        <item x="724"/>
        <item x="128"/>
        <item x="516"/>
        <item x="180"/>
        <item x="245"/>
        <item x="86"/>
        <item x="638"/>
        <item x="776"/>
        <item x="710"/>
        <item x="255"/>
        <item x="73"/>
        <item x="60"/>
        <item x="282"/>
        <item x="298"/>
        <item x="856"/>
        <item x="258"/>
        <item x="861"/>
        <item x="652"/>
        <item x="727"/>
        <item x="29"/>
        <item x="659"/>
        <item x="209"/>
        <item x="568"/>
        <item x="402"/>
        <item x="636"/>
        <item x="75"/>
        <item x="481"/>
        <item x="587"/>
        <item x="2"/>
        <item x="765"/>
        <item x="397"/>
        <item x="472"/>
        <item x="786"/>
        <item x="508"/>
        <item x="703"/>
        <item x="417"/>
        <item x="219"/>
        <item x="449"/>
        <item x="134"/>
        <item x="151"/>
        <item x="120"/>
        <item x="868"/>
        <item x="342"/>
        <item x="730"/>
        <item x="447"/>
        <item x="474"/>
        <item x="641"/>
        <item x="111"/>
        <item x="624"/>
        <item x="19"/>
        <item x="569"/>
        <item x="284"/>
        <item x="810"/>
        <item x="692"/>
        <item x="758"/>
        <item x="109"/>
        <item x="696"/>
        <item x="161"/>
        <item x="116"/>
        <item x="437"/>
        <item x="199"/>
        <item x="923"/>
        <item x="279"/>
        <item x="223"/>
        <item x="485"/>
        <item x="89"/>
        <item x="620"/>
        <item x="514"/>
        <item x="526"/>
        <item x="381"/>
        <item x="304"/>
        <item x="735"/>
        <item x="594"/>
        <item x="660"/>
        <item x="888"/>
        <item x="368"/>
        <item x="591"/>
        <item x="899"/>
        <item x="81"/>
        <item x="611"/>
        <item x="499"/>
        <item x="768"/>
        <item x="93"/>
        <item x="694"/>
        <item x="935"/>
        <item x="16"/>
        <item x="435"/>
        <item x="194"/>
        <item x="388"/>
        <item x="359"/>
        <item x="767"/>
        <item x="553"/>
        <item x="800"/>
        <item x="196"/>
        <item x="711"/>
        <item x="513"/>
        <item x="761"/>
        <item x="808"/>
        <item x="878"/>
        <item x="700"/>
        <item x="148"/>
        <item x="613"/>
        <item x="147"/>
        <item x="746"/>
        <item x="884"/>
        <item x="286"/>
        <item x="743"/>
        <item x="881"/>
        <item x="936"/>
        <item x="418"/>
        <item x="232"/>
        <item x="403"/>
        <item x="450"/>
        <item x="901"/>
        <item x="189"/>
        <item x="61"/>
        <item x="51"/>
        <item x="612"/>
        <item x="234"/>
        <item x="48"/>
        <item x="454"/>
        <item x="153"/>
        <item x="487"/>
        <item x="883"/>
        <item x="229"/>
        <item x="343"/>
        <item x="119"/>
        <item x="589"/>
        <item x="863"/>
        <item x="833"/>
        <item x="543"/>
        <item x="807"/>
        <item x="238"/>
        <item x="732"/>
        <item x="183"/>
        <item x="877"/>
        <item x="50"/>
        <item x="10"/>
        <item x="101"/>
        <item x="57"/>
        <item x="538"/>
        <item x="890"/>
        <item x="188"/>
        <item x="178"/>
        <item x="574"/>
        <item x="741"/>
        <item x="558"/>
        <item x="457"/>
        <item x="704"/>
        <item x="769"/>
        <item x="541"/>
        <item x="248"/>
        <item x="544"/>
        <item x="443"/>
        <item x="385"/>
        <item x="879"/>
        <item x="445"/>
        <item x="831"/>
        <item x="427"/>
        <item x="146"/>
        <item x="249"/>
        <item x="452"/>
        <item x="814"/>
        <item x="759"/>
        <item x="907"/>
        <item x="476"/>
        <item x="633"/>
        <item x="103"/>
        <item x="155"/>
        <item x="291"/>
        <item x="540"/>
        <item x="124"/>
        <item x="895"/>
        <item x="329"/>
        <item x="512"/>
        <item x="62"/>
        <item x="640"/>
        <item x="920"/>
        <item x="929"/>
        <item x="132"/>
        <item x="663"/>
        <item x="299"/>
        <item x="200"/>
        <item x="495"/>
        <item x="867"/>
        <item x="451"/>
        <item x="406"/>
        <item x="913"/>
        <item x="927"/>
        <item x="565"/>
        <item x="731"/>
        <item x="431"/>
        <item x="348"/>
        <item x="97"/>
        <item x="873"/>
        <item x="619"/>
        <item x="566"/>
        <item x="676"/>
        <item x="187"/>
        <item x="117"/>
        <item x="325"/>
        <item x="65"/>
        <item x="670"/>
        <item x="536"/>
        <item x="227"/>
        <item x="813"/>
        <item x="144"/>
        <item x="648"/>
        <item x="118"/>
        <item x="347"/>
        <item x="273"/>
        <item x="900"/>
        <item t="default"/>
      </items>
    </pivotField>
    <pivotField showAll="0">
      <items count="5">
        <item x="3"/>
        <item x="2"/>
        <item x="0"/>
        <item x="1"/>
        <item t="default"/>
      </items>
    </pivotField>
    <pivotField showAll="0"/>
    <pivotField axis="axisCol" dataField="1" showAll="0">
      <items count="5">
        <item x="1"/>
        <item x="0"/>
        <item x="2"/>
        <item x="3"/>
        <item t="default"/>
      </items>
    </pivotField>
    <pivotField showAll="0">
      <items count="6">
        <item x="4"/>
        <item x="3"/>
        <item x="2"/>
        <item x="0"/>
        <item x="1"/>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5">
        <item x="2"/>
        <item x="0"/>
        <item x="3"/>
        <item x="1"/>
        <item t="default"/>
      </items>
    </pivotField>
    <pivotField showAll="0"/>
    <pivotField axis="axisRow" numFmtId="164" showAll="0">
      <items count="13">
        <item x="4"/>
        <item x="0"/>
        <item x="3"/>
        <item x="2"/>
        <item x="5"/>
        <item x="10"/>
        <item x="7"/>
        <item x="8"/>
        <item x="11"/>
        <item x="6"/>
        <item x="1"/>
        <item x="9"/>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13">
    <i>
      <x/>
    </i>
    <i>
      <x v="1"/>
    </i>
    <i>
      <x v="2"/>
    </i>
    <i>
      <x v="3"/>
    </i>
    <i>
      <x v="4"/>
    </i>
    <i>
      <x v="5"/>
    </i>
    <i>
      <x v="6"/>
    </i>
    <i>
      <x v="7"/>
    </i>
    <i>
      <x v="8"/>
    </i>
    <i>
      <x v="9"/>
    </i>
    <i>
      <x v="10"/>
    </i>
    <i>
      <x v="11"/>
    </i>
    <i t="grand">
      <x/>
    </i>
  </rowItems>
  <colFields count="1">
    <field x="6"/>
  </colFields>
  <colItems count="5">
    <i>
      <x/>
    </i>
    <i>
      <x v="1"/>
    </i>
    <i>
      <x v="2"/>
    </i>
    <i>
      <x v="3"/>
    </i>
    <i t="grand">
      <x/>
    </i>
  </colItems>
  <dataFields count="1">
    <dataField name="Count of Transaction_Type" fld="6" subtotal="count" baseField="0" baseItem="0"/>
  </dataFields>
  <chartFormats count="8">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4" format="3" series="1">
      <pivotArea type="data" outline="0" fieldPosition="0">
        <references count="2">
          <reference field="4294967294" count="1" selected="0">
            <x v="0"/>
          </reference>
          <reference field="6" count="1" selected="0">
            <x v="3"/>
          </reference>
        </references>
      </pivotArea>
    </chartFormat>
    <chartFormat chart="15" format="12" series="1">
      <pivotArea type="data" outline="0" fieldPosition="0">
        <references count="2">
          <reference field="4294967294" count="1" selected="0">
            <x v="0"/>
          </reference>
          <reference field="6" count="1" selected="0">
            <x v="0"/>
          </reference>
        </references>
      </pivotArea>
    </chartFormat>
    <chartFormat chart="15" format="13" series="1">
      <pivotArea type="data" outline="0" fieldPosition="0">
        <references count="2">
          <reference field="4294967294" count="1" selected="0">
            <x v="0"/>
          </reference>
          <reference field="6" count="1" selected="0">
            <x v="1"/>
          </reference>
        </references>
      </pivotArea>
    </chartFormat>
    <chartFormat chart="15" format="14" series="1">
      <pivotArea type="data" outline="0" fieldPosition="0">
        <references count="2">
          <reference field="4294967294" count="1" selected="0">
            <x v="0"/>
          </reference>
          <reference field="6" count="1" selected="0">
            <x v="2"/>
          </reference>
        </references>
      </pivotArea>
    </chartFormat>
    <chartFormat chart="15" format="15"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ED74C3-40CA-4E22-97D1-35EA9D3DE487}" name="ris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B30" firstHeaderRow="1" firstDataRow="1" firstDataCol="1"/>
  <pivotFields count="23">
    <pivotField showAll="0"/>
    <pivotField showAll="0"/>
    <pivotField showAll="0">
      <items count="4">
        <item x="1"/>
        <item x="0"/>
        <item x="2"/>
        <item t="default"/>
      </items>
    </pivotField>
    <pivotField dataField="1" showAll="0">
      <items count="944">
        <item x="281"/>
        <item x="389"/>
        <item x="921"/>
        <item x="938"/>
        <item x="706"/>
        <item x="629"/>
        <item x="665"/>
        <item x="87"/>
        <item x="55"/>
        <item x="911"/>
        <item x="83"/>
        <item x="677"/>
        <item x="752"/>
        <item x="545"/>
        <item x="181"/>
        <item x="646"/>
        <item x="593"/>
        <item x="898"/>
        <item x="600"/>
        <item x="615"/>
        <item x="507"/>
        <item x="44"/>
        <item x="469"/>
        <item x="136"/>
        <item x="383"/>
        <item x="337"/>
        <item x="289"/>
        <item x="94"/>
        <item x="288"/>
        <item x="908"/>
        <item x="24"/>
        <item x="242"/>
        <item x="259"/>
        <item x="819"/>
        <item x="257"/>
        <item x="434"/>
        <item x="942"/>
        <item x="193"/>
        <item x="797"/>
        <item x="713"/>
        <item x="816"/>
        <item x="302"/>
        <item x="123"/>
        <item x="125"/>
        <item x="739"/>
        <item x="327"/>
        <item x="590"/>
        <item x="214"/>
        <item x="35"/>
        <item x="185"/>
        <item x="602"/>
        <item x="365"/>
        <item x="263"/>
        <item x="805"/>
        <item x="725"/>
        <item x="15"/>
        <item x="939"/>
        <item x="201"/>
        <item x="728"/>
        <item x="834"/>
        <item x="852"/>
        <item x="364"/>
        <item x="145"/>
        <item x="844"/>
        <item x="333"/>
        <item x="306"/>
        <item x="902"/>
        <item x="552"/>
        <item x="697"/>
        <item x="716"/>
        <item x="799"/>
        <item x="850"/>
        <item x="777"/>
        <item x="778"/>
        <item x="818"/>
        <item x="440"/>
        <item x="162"/>
        <item x="528"/>
        <item x="748"/>
        <item x="488"/>
        <item x="872"/>
        <item x="889"/>
        <item x="535"/>
        <item x="745"/>
        <item x="317"/>
        <item x="705"/>
        <item x="206"/>
        <item x="699"/>
        <item x="491"/>
        <item x="433"/>
        <item x="40"/>
        <item x="585"/>
        <item x="253"/>
        <item x="332"/>
        <item x="252"/>
        <item x="473"/>
        <item x="305"/>
        <item x="264"/>
        <item x="480"/>
        <item x="121"/>
        <item x="751"/>
        <item x="34"/>
        <item x="464"/>
        <item x="260"/>
        <item x="243"/>
        <item x="266"/>
        <item x="601"/>
        <item x="56"/>
        <item x="156"/>
        <item x="618"/>
        <item x="912"/>
        <item x="32"/>
        <item x="827"/>
        <item x="905"/>
        <item x="233"/>
        <item x="295"/>
        <item x="680"/>
        <item x="72"/>
        <item x="396"/>
        <item x="345"/>
        <item x="352"/>
        <item x="575"/>
        <item x="122"/>
        <item x="720"/>
        <item x="781"/>
        <item x="138"/>
        <item x="328"/>
        <item x="11"/>
        <item x="395"/>
        <item x="25"/>
        <item x="254"/>
        <item x="174"/>
        <item x="160"/>
        <item x="307"/>
        <item x="356"/>
        <item x="290"/>
        <item x="477"/>
        <item x="857"/>
        <item x="498"/>
        <item x="58"/>
        <item x="191"/>
        <item x="825"/>
        <item x="598"/>
        <item x="866"/>
        <item x="321"/>
        <item x="131"/>
        <item x="517"/>
        <item x="436"/>
        <item x="933"/>
        <item x="522"/>
        <item x="208"/>
        <item x="637"/>
        <item x="405"/>
        <item x="149"/>
        <item x="525"/>
        <item x="239"/>
        <item x="922"/>
        <item x="828"/>
        <item x="92"/>
        <item x="195"/>
        <item x="45"/>
        <item x="537"/>
        <item x="316"/>
        <item x="811"/>
        <item x="479"/>
        <item x="423"/>
        <item x="169"/>
        <item x="27"/>
        <item x="519"/>
        <item x="446"/>
        <item x="268"/>
        <item x="784"/>
        <item x="26"/>
        <item x="523"/>
        <item x="407"/>
        <item x="862"/>
        <item x="490"/>
        <item x="820"/>
        <item x="740"/>
        <item x="413"/>
        <item x="384"/>
        <item x="682"/>
        <item x="795"/>
        <item x="596"/>
        <item x="21"/>
        <item x="339"/>
        <item x="287"/>
        <item x="22"/>
        <item x="41"/>
        <item x="341"/>
        <item x="271"/>
        <item x="719"/>
        <item x="4"/>
        <item x="68"/>
        <item x="349"/>
        <item x="484"/>
        <item x="736"/>
        <item x="893"/>
        <item x="635"/>
        <item x="520"/>
        <item x="771"/>
        <item x="23"/>
        <item x="937"/>
        <item x="204"/>
        <item x="324"/>
        <item x="444"/>
        <item x="702"/>
        <item x="766"/>
        <item x="650"/>
        <item x="177"/>
        <item x="465"/>
        <item x="924"/>
        <item x="267"/>
        <item x="283"/>
        <item x="580"/>
        <item x="658"/>
        <item x="584"/>
        <item x="78"/>
        <item x="77"/>
        <item x="49"/>
        <item x="127"/>
        <item x="79"/>
        <item x="315"/>
        <item x="236"/>
        <item x="143"/>
        <item x="723"/>
        <item x="941"/>
        <item x="934"/>
        <item x="925"/>
        <item x="653"/>
        <item x="932"/>
        <item x="762"/>
        <item x="270"/>
        <item x="313"/>
        <item x="756"/>
        <item x="197"/>
        <item x="546"/>
        <item x="8"/>
        <item x="212"/>
        <item x="110"/>
        <item x="33"/>
        <item x="213"/>
        <item x="505"/>
        <item x="631"/>
        <item x="678"/>
        <item x="157"/>
        <item x="581"/>
        <item x="171"/>
        <item x="503"/>
        <item x="165"/>
        <item x="673"/>
        <item x="796"/>
        <item x="679"/>
        <item x="139"/>
        <item x="256"/>
        <item x="137"/>
        <item x="689"/>
        <item x="817"/>
        <item x="370"/>
        <item x="222"/>
        <item x="102"/>
        <item x="839"/>
        <item x="547"/>
        <item x="210"/>
        <item x="53"/>
        <item x="794"/>
        <item x="415"/>
        <item x="462"/>
        <item x="842"/>
        <item x="441"/>
        <item x="738"/>
        <item x="550"/>
        <item x="782"/>
        <item x="621"/>
        <item x="438"/>
        <item x="493"/>
        <item x="192"/>
        <item x="318"/>
        <item x="910"/>
        <item x="926"/>
        <item x="225"/>
        <item x="764"/>
        <item x="455"/>
        <item x="414"/>
        <item x="442"/>
        <item x="107"/>
        <item x="294"/>
        <item x="874"/>
        <item x="755"/>
        <item x="478"/>
        <item x="432"/>
        <item x="709"/>
        <item x="190"/>
        <item x="354"/>
        <item x="549"/>
        <item x="626"/>
        <item x="466"/>
        <item x="557"/>
        <item x="501"/>
        <item x="785"/>
        <item x="791"/>
        <item x="296"/>
        <item x="892"/>
        <item x="532"/>
        <item x="64"/>
        <item x="837"/>
        <item x="583"/>
        <item x="5"/>
        <item x="894"/>
        <item x="608"/>
        <item x="408"/>
        <item x="335"/>
        <item x="47"/>
        <item x="609"/>
        <item x="489"/>
        <item x="770"/>
        <item x="461"/>
        <item x="426"/>
        <item x="272"/>
        <item x="338"/>
        <item x="150"/>
        <item x="362"/>
        <item x="486"/>
        <item x="661"/>
        <item x="783"/>
        <item x="885"/>
        <item x="823"/>
        <item x="847"/>
        <item x="274"/>
        <item x="504"/>
        <item x="262"/>
        <item x="622"/>
        <item x="806"/>
        <item x="265"/>
        <item x="616"/>
        <item x="904"/>
        <item x="203"/>
        <item x="470"/>
        <item x="312"/>
        <item x="85"/>
        <item x="216"/>
        <item x="241"/>
        <item x="744"/>
        <item x="698"/>
        <item x="871"/>
        <item x="859"/>
        <item x="607"/>
        <item x="527"/>
        <item x="880"/>
        <item x="688"/>
        <item x="28"/>
        <item x="275"/>
        <item x="851"/>
        <item x="534"/>
        <item x="430"/>
        <item x="176"/>
        <item x="319"/>
        <item x="220"/>
        <item x="606"/>
        <item x="276"/>
        <item x="360"/>
        <item x="224"/>
        <item x="802"/>
        <item x="205"/>
        <item x="876"/>
        <item x="482"/>
        <item x="106"/>
        <item x="918"/>
        <item x="170"/>
        <item x="714"/>
        <item x="363"/>
        <item x="749"/>
        <item x="217"/>
        <item x="524"/>
        <item x="115"/>
        <item x="392"/>
        <item x="672"/>
        <item x="458"/>
        <item x="625"/>
        <item x="667"/>
        <item x="792"/>
        <item x="555"/>
        <item x="135"/>
        <item x="897"/>
        <item x="218"/>
        <item x="463"/>
        <item x="88"/>
        <item x="628"/>
        <item x="685"/>
        <item x="399"/>
        <item x="358"/>
        <item x="734"/>
        <item x="390"/>
        <item x="30"/>
        <item x="599"/>
        <item x="39"/>
        <item x="261"/>
        <item x="793"/>
        <item x="623"/>
        <item x="835"/>
        <item x="564"/>
        <item x="71"/>
        <item x="529"/>
        <item x="521"/>
        <item x="59"/>
        <item x="582"/>
        <item x="502"/>
        <item x="576"/>
        <item x="562"/>
        <item x="366"/>
        <item x="632"/>
        <item x="471"/>
        <item x="695"/>
        <item x="278"/>
        <item x="919"/>
        <item x="634"/>
        <item x="604"/>
        <item x="371"/>
        <item x="231"/>
        <item x="13"/>
        <item x="76"/>
        <item x="747"/>
        <item x="675"/>
        <item x="380"/>
        <item x="175"/>
        <item x="829"/>
        <item x="848"/>
        <item x="448"/>
        <item x="1"/>
        <item x="841"/>
        <item x="603"/>
        <item x="686"/>
        <item x="228"/>
        <item x="350"/>
        <item x="323"/>
        <item x="500"/>
        <item x="789"/>
        <item x="617"/>
        <item x="467"/>
        <item x="674"/>
        <item x="614"/>
        <item x="559"/>
        <item x="684"/>
        <item x="690"/>
        <item x="860"/>
        <item x="826"/>
        <item x="804"/>
        <item x="43"/>
        <item x="742"/>
        <item x="215"/>
        <item x="52"/>
        <item x="497"/>
        <item x="579"/>
        <item x="126"/>
        <item x="251"/>
        <item x="74"/>
        <item x="112"/>
        <item x="211"/>
        <item x="67"/>
        <item x="424"/>
        <item x="179"/>
        <item x="726"/>
        <item x="763"/>
        <item x="610"/>
        <item x="456"/>
        <item x="167"/>
        <item x="712"/>
        <item x="588"/>
        <item x="718"/>
        <item x="870"/>
        <item x="671"/>
        <item x="560"/>
        <item x="869"/>
        <item x="38"/>
        <item x="91"/>
        <item x="9"/>
        <item x="592"/>
        <item x="130"/>
        <item x="586"/>
        <item x="571"/>
        <item x="906"/>
        <item x="12"/>
        <item x="849"/>
        <item x="18"/>
        <item x="367"/>
        <item x="326"/>
        <item x="375"/>
        <item x="570"/>
        <item x="643"/>
        <item x="198"/>
        <item x="386"/>
        <item x="69"/>
        <item x="416"/>
        <item x="940"/>
        <item x="182"/>
        <item x="184"/>
        <item x="173"/>
        <item x="331"/>
        <item x="226"/>
        <item x="379"/>
        <item x="809"/>
        <item x="141"/>
        <item x="376"/>
        <item x="104"/>
        <item x="172"/>
        <item x="656"/>
        <item x="578"/>
        <item x="687"/>
        <item x="334"/>
        <item x="722"/>
        <item x="875"/>
        <item x="158"/>
        <item x="240"/>
        <item x="90"/>
        <item x="351"/>
        <item x="429"/>
        <item x="916"/>
        <item x="896"/>
        <item x="346"/>
        <item x="662"/>
        <item x="280"/>
        <item x="824"/>
        <item x="142"/>
        <item x="297"/>
        <item x="374"/>
        <item x="691"/>
        <item x="846"/>
        <item x="506"/>
        <item x="355"/>
        <item x="573"/>
        <item x="753"/>
        <item x="70"/>
        <item x="801"/>
        <item x="715"/>
        <item x="133"/>
        <item x="409"/>
        <item x="163"/>
        <item x="533"/>
        <item x="666"/>
        <item x="708"/>
        <item x="483"/>
        <item x="750"/>
        <item x="221"/>
        <item x="398"/>
        <item x="164"/>
        <item x="654"/>
        <item x="669"/>
        <item x="914"/>
        <item x="681"/>
        <item x="717"/>
        <item x="812"/>
        <item x="311"/>
        <item x="17"/>
        <item x="511"/>
        <item x="539"/>
        <item x="645"/>
        <item x="647"/>
        <item x="401"/>
        <item x="668"/>
        <item x="683"/>
        <item x="154"/>
        <item x="531"/>
        <item x="230"/>
        <item x="98"/>
        <item x="803"/>
        <item x="459"/>
        <item x="822"/>
        <item x="843"/>
        <item x="439"/>
        <item x="554"/>
        <item x="729"/>
        <item x="330"/>
        <item x="377"/>
        <item x="787"/>
        <item x="887"/>
        <item x="420"/>
        <item x="361"/>
        <item x="246"/>
        <item x="235"/>
        <item x="3"/>
        <item x="853"/>
        <item x="642"/>
        <item x="657"/>
        <item x="836"/>
        <item x="277"/>
        <item x="428"/>
        <item x="63"/>
        <item x="597"/>
        <item x="378"/>
        <item x="31"/>
        <item x="773"/>
        <item x="186"/>
        <item x="6"/>
        <item x="664"/>
        <item x="20"/>
        <item x="394"/>
        <item x="42"/>
        <item x="468"/>
        <item x="320"/>
        <item x="100"/>
        <item x="903"/>
        <item x="798"/>
        <item x="301"/>
        <item x="400"/>
        <item x="515"/>
        <item x="202"/>
        <item x="391"/>
        <item x="655"/>
        <item x="754"/>
        <item x="393"/>
        <item x="105"/>
        <item x="96"/>
        <item x="891"/>
        <item x="166"/>
        <item x="930"/>
        <item x="551"/>
        <item x="649"/>
        <item x="644"/>
        <item x="114"/>
        <item x="561"/>
        <item x="886"/>
        <item x="303"/>
        <item x="36"/>
        <item x="310"/>
        <item x="373"/>
        <item x="760"/>
        <item x="159"/>
        <item x="66"/>
        <item x="928"/>
        <item x="509"/>
        <item x="821"/>
        <item x="285"/>
        <item x="168"/>
        <item x="630"/>
        <item x="82"/>
        <item x="300"/>
        <item x="412"/>
        <item x="382"/>
        <item x="530"/>
        <item x="556"/>
        <item x="567"/>
        <item x="108"/>
        <item x="353"/>
        <item x="542"/>
        <item x="250"/>
        <item x="292"/>
        <item x="840"/>
        <item x="340"/>
        <item x="453"/>
        <item x="54"/>
        <item x="80"/>
        <item x="7"/>
        <item x="510"/>
        <item x="140"/>
        <item x="237"/>
        <item x="460"/>
        <item x="788"/>
        <item x="838"/>
        <item x="864"/>
        <item x="774"/>
        <item x="309"/>
        <item x="721"/>
        <item x="917"/>
        <item x="410"/>
        <item x="915"/>
        <item x="492"/>
        <item x="858"/>
        <item x="475"/>
        <item x="779"/>
        <item x="815"/>
        <item x="854"/>
        <item x="518"/>
        <item x="780"/>
        <item x="308"/>
        <item x="129"/>
        <item x="772"/>
        <item x="0"/>
        <item x="404"/>
        <item x="84"/>
        <item x="336"/>
        <item x="369"/>
        <item x="46"/>
        <item x="639"/>
        <item x="411"/>
        <item x="421"/>
        <item x="314"/>
        <item x="422"/>
        <item x="830"/>
        <item x="322"/>
        <item x="99"/>
        <item x="425"/>
        <item x="563"/>
        <item x="855"/>
        <item x="152"/>
        <item x="595"/>
        <item x="627"/>
        <item x="419"/>
        <item x="113"/>
        <item x="707"/>
        <item x="548"/>
        <item x="790"/>
        <item x="701"/>
        <item x="496"/>
        <item x="293"/>
        <item x="14"/>
        <item x="269"/>
        <item x="344"/>
        <item x="244"/>
        <item x="882"/>
        <item x="577"/>
        <item x="247"/>
        <item x="95"/>
        <item x="757"/>
        <item x="605"/>
        <item x="37"/>
        <item x="737"/>
        <item x="357"/>
        <item x="909"/>
        <item x="931"/>
        <item x="207"/>
        <item x="693"/>
        <item x="845"/>
        <item x="494"/>
        <item x="572"/>
        <item x="372"/>
        <item x="733"/>
        <item x="387"/>
        <item x="865"/>
        <item x="832"/>
        <item x="651"/>
        <item x="775"/>
        <item x="724"/>
        <item x="128"/>
        <item x="516"/>
        <item x="180"/>
        <item x="245"/>
        <item x="86"/>
        <item x="638"/>
        <item x="776"/>
        <item x="710"/>
        <item x="255"/>
        <item x="73"/>
        <item x="60"/>
        <item x="282"/>
        <item x="298"/>
        <item x="856"/>
        <item x="258"/>
        <item x="861"/>
        <item x="652"/>
        <item x="727"/>
        <item x="29"/>
        <item x="659"/>
        <item x="209"/>
        <item x="568"/>
        <item x="402"/>
        <item x="636"/>
        <item x="75"/>
        <item x="481"/>
        <item x="587"/>
        <item x="2"/>
        <item x="765"/>
        <item x="397"/>
        <item x="472"/>
        <item x="786"/>
        <item x="508"/>
        <item x="703"/>
        <item x="417"/>
        <item x="219"/>
        <item x="449"/>
        <item x="134"/>
        <item x="151"/>
        <item x="120"/>
        <item x="868"/>
        <item x="342"/>
        <item x="730"/>
        <item x="447"/>
        <item x="474"/>
        <item x="641"/>
        <item x="111"/>
        <item x="624"/>
        <item x="19"/>
        <item x="569"/>
        <item x="284"/>
        <item x="810"/>
        <item x="692"/>
        <item x="758"/>
        <item x="109"/>
        <item x="696"/>
        <item x="161"/>
        <item x="116"/>
        <item x="437"/>
        <item x="199"/>
        <item x="923"/>
        <item x="279"/>
        <item x="223"/>
        <item x="485"/>
        <item x="89"/>
        <item x="620"/>
        <item x="514"/>
        <item x="526"/>
        <item x="381"/>
        <item x="304"/>
        <item x="735"/>
        <item x="594"/>
        <item x="660"/>
        <item x="888"/>
        <item x="368"/>
        <item x="591"/>
        <item x="899"/>
        <item x="81"/>
        <item x="611"/>
        <item x="499"/>
        <item x="768"/>
        <item x="93"/>
        <item x="694"/>
        <item x="935"/>
        <item x="16"/>
        <item x="435"/>
        <item x="194"/>
        <item x="388"/>
        <item x="359"/>
        <item x="767"/>
        <item x="553"/>
        <item x="800"/>
        <item x="196"/>
        <item x="711"/>
        <item x="513"/>
        <item x="761"/>
        <item x="808"/>
        <item x="878"/>
        <item x="700"/>
        <item x="148"/>
        <item x="613"/>
        <item x="147"/>
        <item x="746"/>
        <item x="884"/>
        <item x="286"/>
        <item x="743"/>
        <item x="881"/>
        <item x="936"/>
        <item x="418"/>
        <item x="232"/>
        <item x="403"/>
        <item x="450"/>
        <item x="901"/>
        <item x="189"/>
        <item x="61"/>
        <item x="51"/>
        <item x="612"/>
        <item x="234"/>
        <item x="48"/>
        <item x="454"/>
        <item x="153"/>
        <item x="487"/>
        <item x="883"/>
        <item x="229"/>
        <item x="343"/>
        <item x="119"/>
        <item x="589"/>
        <item x="863"/>
        <item x="833"/>
        <item x="543"/>
        <item x="807"/>
        <item x="238"/>
        <item x="732"/>
        <item x="183"/>
        <item x="877"/>
        <item x="50"/>
        <item x="10"/>
        <item x="101"/>
        <item x="57"/>
        <item x="538"/>
        <item x="890"/>
        <item x="188"/>
        <item x="178"/>
        <item x="574"/>
        <item x="741"/>
        <item x="558"/>
        <item x="457"/>
        <item x="704"/>
        <item x="769"/>
        <item x="541"/>
        <item x="248"/>
        <item x="544"/>
        <item x="443"/>
        <item x="385"/>
        <item x="879"/>
        <item x="445"/>
        <item x="831"/>
        <item x="427"/>
        <item x="146"/>
        <item x="249"/>
        <item x="452"/>
        <item x="814"/>
        <item x="759"/>
        <item x="907"/>
        <item x="476"/>
        <item x="633"/>
        <item x="103"/>
        <item x="155"/>
        <item x="291"/>
        <item x="540"/>
        <item x="124"/>
        <item x="895"/>
        <item x="329"/>
        <item x="512"/>
        <item x="62"/>
        <item x="640"/>
        <item x="920"/>
        <item x="929"/>
        <item x="132"/>
        <item x="663"/>
        <item x="299"/>
        <item x="200"/>
        <item x="495"/>
        <item x="867"/>
        <item x="451"/>
        <item x="406"/>
        <item x="913"/>
        <item x="927"/>
        <item x="565"/>
        <item x="731"/>
        <item x="431"/>
        <item x="348"/>
        <item x="97"/>
        <item x="873"/>
        <item x="619"/>
        <item x="566"/>
        <item x="676"/>
        <item x="187"/>
        <item x="117"/>
        <item x="325"/>
        <item x="65"/>
        <item x="670"/>
        <item x="536"/>
        <item x="227"/>
        <item x="813"/>
        <item x="144"/>
        <item x="648"/>
        <item x="118"/>
        <item x="347"/>
        <item x="273"/>
        <item x="900"/>
        <item t="default"/>
      </items>
    </pivotField>
    <pivotField showAll="0">
      <items count="5">
        <item x="3"/>
        <item x="2"/>
        <item x="0"/>
        <item x="1"/>
        <item t="default"/>
      </items>
    </pivotField>
    <pivotField showAll="0"/>
    <pivotField showAll="0">
      <items count="5">
        <item x="1"/>
        <item x="0"/>
        <item x="2"/>
        <item x="3"/>
        <item t="default"/>
      </items>
    </pivotField>
    <pivotField showAll="0">
      <items count="6">
        <item x="4"/>
        <item x="3"/>
        <item x="2"/>
        <item x="0"/>
        <item x="1"/>
        <item t="default"/>
      </items>
    </pivotField>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items count="5">
        <item x="2"/>
        <item x="0"/>
        <item x="3"/>
        <item x="1"/>
        <item t="default"/>
      </items>
    </pivotField>
    <pivotField showAll="0"/>
    <pivotField numFmtId="164" showAll="0">
      <items count="13">
        <item x="4"/>
        <item x="0"/>
        <item x="3"/>
        <item x="2"/>
        <item x="5"/>
        <item x="10"/>
        <item x="7"/>
        <item x="8"/>
        <item x="11"/>
        <item x="6"/>
        <item x="1"/>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4">
    <i>
      <x/>
    </i>
    <i>
      <x v="1"/>
    </i>
    <i>
      <x v="2"/>
    </i>
    <i t="grand">
      <x/>
    </i>
  </rowItems>
  <colItems count="1">
    <i/>
  </colItems>
  <dataFields count="1">
    <dataField name="Count of Customer_ID" fld="3" subtotal="count" baseField="0" baseItem="0"/>
  </dataField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F5AC01-35D7-4104-A7D6-C2E6266B289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26:K27" firstHeaderRow="1" firstDataRow="1" firstDataCol="0"/>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showAll="0">
      <items count="5">
        <item x="3"/>
        <item x="2"/>
        <item x="0"/>
        <item x="1"/>
        <item t="default"/>
      </items>
    </pivotField>
    <pivotField showAll="0"/>
    <pivotField showAll="0">
      <items count="5">
        <item x="1"/>
        <item x="0"/>
        <item x="2"/>
        <item x="3"/>
        <item t="default"/>
      </items>
    </pivotField>
    <pivotField showAll="0">
      <items count="6">
        <item x="4"/>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5">
        <item x="2"/>
        <item x="0"/>
        <item x="3"/>
        <item x="1"/>
        <item t="default"/>
      </items>
    </pivotField>
    <pivotField showAll="0"/>
    <pivotField numFmtId="164" showAll="0">
      <items count="13">
        <item x="4"/>
        <item x="0"/>
        <item x="3"/>
        <item x="2"/>
        <item x="5"/>
        <item x="10"/>
        <item x="7"/>
        <item x="8"/>
        <item x="11"/>
        <item x="6"/>
        <item x="1"/>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redit_Score"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E0E7A0-F0AB-4B04-A221-E7078915851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18:L19" firstHeaderRow="1" firstDataRow="1" firstDataCol="0"/>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showAll="0">
      <items count="5">
        <item x="3"/>
        <item x="2"/>
        <item x="0"/>
        <item x="1"/>
        <item t="default"/>
      </items>
    </pivotField>
    <pivotField showAll="0"/>
    <pivotField showAll="0">
      <items count="5">
        <item x="1"/>
        <item x="0"/>
        <item x="2"/>
        <item x="3"/>
        <item t="default"/>
      </items>
    </pivotField>
    <pivotField showAll="0">
      <items count="6">
        <item x="4"/>
        <item x="3"/>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5">
        <item x="2"/>
        <item x="0"/>
        <item x="3"/>
        <item x="1"/>
        <item t="default"/>
      </items>
    </pivotField>
    <pivotField showAll="0"/>
    <pivotField numFmtId="164" showAll="0">
      <items count="13">
        <item x="4"/>
        <item x="0"/>
        <item x="3"/>
        <item x="2"/>
        <item x="5"/>
        <item x="10"/>
        <item x="7"/>
        <item x="8"/>
        <item x="11"/>
        <item x="6"/>
        <item x="1"/>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Balanc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563136-94D9-4974-9943-3F6514B7E62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21:H22" firstHeaderRow="1" firstDataRow="1" firstDataCol="0"/>
  <pivotFields count="2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showAll="0">
      <items count="5">
        <item x="3"/>
        <item x="2"/>
        <item x="0"/>
        <item x="1"/>
        <item t="default"/>
      </items>
    </pivotField>
    <pivotField showAll="0"/>
    <pivotField showAll="0">
      <items count="5">
        <item x="1"/>
        <item x="0"/>
        <item x="2"/>
        <item x="3"/>
        <item t="default"/>
      </items>
    </pivotField>
    <pivotField showAll="0">
      <items count="6">
        <item x="4"/>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numFmtId="164" showAll="0">
      <items count="13">
        <item x="4"/>
        <item x="0"/>
        <item x="3"/>
        <item x="2"/>
        <item x="5"/>
        <item x="10"/>
        <item x="7"/>
        <item x="8"/>
        <item x="11"/>
        <item x="6"/>
        <item x="1"/>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44E543-7A82-4945-AF6D-746268EC3235}" name="catogoty vs credit scorw"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9:B74" firstHeaderRow="1" firstDataRow="1" firstDataCol="1"/>
  <pivotFields count="23">
    <pivotField showAll="0"/>
    <pivotField showAll="0"/>
    <pivotField showAll="0">
      <items count="4">
        <item x="1"/>
        <item x="0"/>
        <item x="2"/>
        <item t="default"/>
      </items>
    </pivotField>
    <pivotField showAll="0">
      <items count="944">
        <item x="281"/>
        <item x="389"/>
        <item x="921"/>
        <item x="938"/>
        <item x="706"/>
        <item x="629"/>
        <item x="665"/>
        <item x="87"/>
        <item x="55"/>
        <item x="911"/>
        <item x="83"/>
        <item x="677"/>
        <item x="752"/>
        <item x="545"/>
        <item x="181"/>
        <item x="646"/>
        <item x="593"/>
        <item x="898"/>
        <item x="600"/>
        <item x="615"/>
        <item x="507"/>
        <item x="44"/>
        <item x="469"/>
        <item x="136"/>
        <item x="383"/>
        <item x="337"/>
        <item x="289"/>
        <item x="94"/>
        <item x="288"/>
        <item x="908"/>
        <item x="24"/>
        <item x="242"/>
        <item x="259"/>
        <item x="819"/>
        <item x="257"/>
        <item x="434"/>
        <item x="942"/>
        <item x="193"/>
        <item x="797"/>
        <item x="713"/>
        <item x="816"/>
        <item x="302"/>
        <item x="123"/>
        <item x="125"/>
        <item x="739"/>
        <item x="327"/>
        <item x="590"/>
        <item x="214"/>
        <item x="35"/>
        <item x="185"/>
        <item x="602"/>
        <item x="365"/>
        <item x="263"/>
        <item x="805"/>
        <item x="725"/>
        <item x="15"/>
        <item x="939"/>
        <item x="201"/>
        <item x="728"/>
        <item x="834"/>
        <item x="852"/>
        <item x="364"/>
        <item x="145"/>
        <item x="844"/>
        <item x="333"/>
        <item x="306"/>
        <item x="902"/>
        <item x="552"/>
        <item x="697"/>
        <item x="716"/>
        <item x="799"/>
        <item x="850"/>
        <item x="777"/>
        <item x="778"/>
        <item x="818"/>
        <item x="440"/>
        <item x="162"/>
        <item x="528"/>
        <item x="748"/>
        <item x="488"/>
        <item x="872"/>
        <item x="889"/>
        <item x="535"/>
        <item x="745"/>
        <item x="317"/>
        <item x="705"/>
        <item x="206"/>
        <item x="699"/>
        <item x="491"/>
        <item x="433"/>
        <item x="40"/>
        <item x="585"/>
        <item x="253"/>
        <item x="332"/>
        <item x="252"/>
        <item x="473"/>
        <item x="305"/>
        <item x="264"/>
        <item x="480"/>
        <item x="121"/>
        <item x="751"/>
        <item x="34"/>
        <item x="464"/>
        <item x="260"/>
        <item x="243"/>
        <item x="266"/>
        <item x="601"/>
        <item x="56"/>
        <item x="156"/>
        <item x="618"/>
        <item x="912"/>
        <item x="32"/>
        <item x="827"/>
        <item x="905"/>
        <item x="233"/>
        <item x="295"/>
        <item x="680"/>
        <item x="72"/>
        <item x="396"/>
        <item x="345"/>
        <item x="352"/>
        <item x="575"/>
        <item x="122"/>
        <item x="720"/>
        <item x="781"/>
        <item x="138"/>
        <item x="328"/>
        <item x="11"/>
        <item x="395"/>
        <item x="25"/>
        <item x="254"/>
        <item x="174"/>
        <item x="160"/>
        <item x="307"/>
        <item x="356"/>
        <item x="290"/>
        <item x="477"/>
        <item x="857"/>
        <item x="498"/>
        <item x="58"/>
        <item x="191"/>
        <item x="825"/>
        <item x="598"/>
        <item x="866"/>
        <item x="321"/>
        <item x="131"/>
        <item x="517"/>
        <item x="436"/>
        <item x="933"/>
        <item x="522"/>
        <item x="208"/>
        <item x="637"/>
        <item x="405"/>
        <item x="149"/>
        <item x="525"/>
        <item x="239"/>
        <item x="922"/>
        <item x="828"/>
        <item x="92"/>
        <item x="195"/>
        <item x="45"/>
        <item x="537"/>
        <item x="316"/>
        <item x="811"/>
        <item x="479"/>
        <item x="423"/>
        <item x="169"/>
        <item x="27"/>
        <item x="519"/>
        <item x="446"/>
        <item x="268"/>
        <item x="784"/>
        <item x="26"/>
        <item x="523"/>
        <item x="407"/>
        <item x="862"/>
        <item x="490"/>
        <item x="820"/>
        <item x="740"/>
        <item x="413"/>
        <item x="384"/>
        <item x="682"/>
        <item x="795"/>
        <item x="596"/>
        <item x="21"/>
        <item x="339"/>
        <item x="287"/>
        <item x="22"/>
        <item x="41"/>
        <item x="341"/>
        <item x="271"/>
        <item x="719"/>
        <item x="4"/>
        <item x="68"/>
        <item x="349"/>
        <item x="484"/>
        <item x="736"/>
        <item x="893"/>
        <item x="635"/>
        <item x="520"/>
        <item x="771"/>
        <item x="23"/>
        <item x="937"/>
        <item x="204"/>
        <item x="324"/>
        <item x="444"/>
        <item x="702"/>
        <item x="766"/>
        <item x="650"/>
        <item x="177"/>
        <item x="465"/>
        <item x="924"/>
        <item x="267"/>
        <item x="283"/>
        <item x="580"/>
        <item x="658"/>
        <item x="584"/>
        <item x="78"/>
        <item x="77"/>
        <item x="49"/>
        <item x="127"/>
        <item x="79"/>
        <item x="315"/>
        <item x="236"/>
        <item x="143"/>
        <item x="723"/>
        <item x="941"/>
        <item x="934"/>
        <item x="925"/>
        <item x="653"/>
        <item x="932"/>
        <item x="762"/>
        <item x="270"/>
        <item x="313"/>
        <item x="756"/>
        <item x="197"/>
        <item x="546"/>
        <item x="8"/>
        <item x="212"/>
        <item x="110"/>
        <item x="33"/>
        <item x="213"/>
        <item x="505"/>
        <item x="631"/>
        <item x="678"/>
        <item x="157"/>
        <item x="581"/>
        <item x="171"/>
        <item x="503"/>
        <item x="165"/>
        <item x="673"/>
        <item x="796"/>
        <item x="679"/>
        <item x="139"/>
        <item x="256"/>
        <item x="137"/>
        <item x="689"/>
        <item x="817"/>
        <item x="370"/>
        <item x="222"/>
        <item x="102"/>
        <item x="839"/>
        <item x="547"/>
        <item x="210"/>
        <item x="53"/>
        <item x="794"/>
        <item x="415"/>
        <item x="462"/>
        <item x="842"/>
        <item x="441"/>
        <item x="738"/>
        <item x="550"/>
        <item x="782"/>
        <item x="621"/>
        <item x="438"/>
        <item x="493"/>
        <item x="192"/>
        <item x="318"/>
        <item x="910"/>
        <item x="926"/>
        <item x="225"/>
        <item x="764"/>
        <item x="455"/>
        <item x="414"/>
        <item x="442"/>
        <item x="107"/>
        <item x="294"/>
        <item x="874"/>
        <item x="755"/>
        <item x="478"/>
        <item x="432"/>
        <item x="709"/>
        <item x="190"/>
        <item x="354"/>
        <item x="549"/>
        <item x="626"/>
        <item x="466"/>
        <item x="557"/>
        <item x="501"/>
        <item x="785"/>
        <item x="791"/>
        <item x="296"/>
        <item x="892"/>
        <item x="532"/>
        <item x="64"/>
        <item x="837"/>
        <item x="583"/>
        <item x="5"/>
        <item x="894"/>
        <item x="608"/>
        <item x="408"/>
        <item x="335"/>
        <item x="47"/>
        <item x="609"/>
        <item x="489"/>
        <item x="770"/>
        <item x="461"/>
        <item x="426"/>
        <item x="272"/>
        <item x="338"/>
        <item x="150"/>
        <item x="362"/>
        <item x="486"/>
        <item x="661"/>
        <item x="783"/>
        <item x="885"/>
        <item x="823"/>
        <item x="847"/>
        <item x="274"/>
        <item x="504"/>
        <item x="262"/>
        <item x="622"/>
        <item x="806"/>
        <item x="265"/>
        <item x="616"/>
        <item x="904"/>
        <item x="203"/>
        <item x="470"/>
        <item x="312"/>
        <item x="85"/>
        <item x="216"/>
        <item x="241"/>
        <item x="744"/>
        <item x="698"/>
        <item x="871"/>
        <item x="859"/>
        <item x="607"/>
        <item x="527"/>
        <item x="880"/>
        <item x="688"/>
        <item x="28"/>
        <item x="275"/>
        <item x="851"/>
        <item x="534"/>
        <item x="430"/>
        <item x="176"/>
        <item x="319"/>
        <item x="220"/>
        <item x="606"/>
        <item x="276"/>
        <item x="360"/>
        <item x="224"/>
        <item x="802"/>
        <item x="205"/>
        <item x="876"/>
        <item x="482"/>
        <item x="106"/>
        <item x="918"/>
        <item x="170"/>
        <item x="714"/>
        <item x="363"/>
        <item x="749"/>
        <item x="217"/>
        <item x="524"/>
        <item x="115"/>
        <item x="392"/>
        <item x="672"/>
        <item x="458"/>
        <item x="625"/>
        <item x="667"/>
        <item x="792"/>
        <item x="555"/>
        <item x="135"/>
        <item x="897"/>
        <item x="218"/>
        <item x="463"/>
        <item x="88"/>
        <item x="628"/>
        <item x="685"/>
        <item x="399"/>
        <item x="358"/>
        <item x="734"/>
        <item x="390"/>
        <item x="30"/>
        <item x="599"/>
        <item x="39"/>
        <item x="261"/>
        <item x="793"/>
        <item x="623"/>
        <item x="835"/>
        <item x="564"/>
        <item x="71"/>
        <item x="529"/>
        <item x="521"/>
        <item x="59"/>
        <item x="582"/>
        <item x="502"/>
        <item x="576"/>
        <item x="562"/>
        <item x="366"/>
        <item x="632"/>
        <item x="471"/>
        <item x="695"/>
        <item x="278"/>
        <item x="919"/>
        <item x="634"/>
        <item x="604"/>
        <item x="371"/>
        <item x="231"/>
        <item x="13"/>
        <item x="76"/>
        <item x="747"/>
        <item x="675"/>
        <item x="380"/>
        <item x="175"/>
        <item x="829"/>
        <item x="848"/>
        <item x="448"/>
        <item x="1"/>
        <item x="841"/>
        <item x="603"/>
        <item x="686"/>
        <item x="228"/>
        <item x="350"/>
        <item x="323"/>
        <item x="500"/>
        <item x="789"/>
        <item x="617"/>
        <item x="467"/>
        <item x="674"/>
        <item x="614"/>
        <item x="559"/>
        <item x="684"/>
        <item x="690"/>
        <item x="860"/>
        <item x="826"/>
        <item x="804"/>
        <item x="43"/>
        <item x="742"/>
        <item x="215"/>
        <item x="52"/>
        <item x="497"/>
        <item x="579"/>
        <item x="126"/>
        <item x="251"/>
        <item x="74"/>
        <item x="112"/>
        <item x="211"/>
        <item x="67"/>
        <item x="424"/>
        <item x="179"/>
        <item x="726"/>
        <item x="763"/>
        <item x="610"/>
        <item x="456"/>
        <item x="167"/>
        <item x="712"/>
        <item x="588"/>
        <item x="718"/>
        <item x="870"/>
        <item x="671"/>
        <item x="560"/>
        <item x="869"/>
        <item x="38"/>
        <item x="91"/>
        <item x="9"/>
        <item x="592"/>
        <item x="130"/>
        <item x="586"/>
        <item x="571"/>
        <item x="906"/>
        <item x="12"/>
        <item x="849"/>
        <item x="18"/>
        <item x="367"/>
        <item x="326"/>
        <item x="375"/>
        <item x="570"/>
        <item x="643"/>
        <item x="198"/>
        <item x="386"/>
        <item x="69"/>
        <item x="416"/>
        <item x="940"/>
        <item x="182"/>
        <item x="184"/>
        <item x="173"/>
        <item x="331"/>
        <item x="226"/>
        <item x="379"/>
        <item x="809"/>
        <item x="141"/>
        <item x="376"/>
        <item x="104"/>
        <item x="172"/>
        <item x="656"/>
        <item x="578"/>
        <item x="687"/>
        <item x="334"/>
        <item x="722"/>
        <item x="875"/>
        <item x="158"/>
        <item x="240"/>
        <item x="90"/>
        <item x="351"/>
        <item x="429"/>
        <item x="916"/>
        <item x="896"/>
        <item x="346"/>
        <item x="662"/>
        <item x="280"/>
        <item x="824"/>
        <item x="142"/>
        <item x="297"/>
        <item x="374"/>
        <item x="691"/>
        <item x="846"/>
        <item x="506"/>
        <item x="355"/>
        <item x="573"/>
        <item x="753"/>
        <item x="70"/>
        <item x="801"/>
        <item x="715"/>
        <item x="133"/>
        <item x="409"/>
        <item x="163"/>
        <item x="533"/>
        <item x="666"/>
        <item x="708"/>
        <item x="483"/>
        <item x="750"/>
        <item x="221"/>
        <item x="398"/>
        <item x="164"/>
        <item x="654"/>
        <item x="669"/>
        <item x="914"/>
        <item x="681"/>
        <item x="717"/>
        <item x="812"/>
        <item x="311"/>
        <item x="17"/>
        <item x="511"/>
        <item x="539"/>
        <item x="645"/>
        <item x="647"/>
        <item x="401"/>
        <item x="668"/>
        <item x="683"/>
        <item x="154"/>
        <item x="531"/>
        <item x="230"/>
        <item x="98"/>
        <item x="803"/>
        <item x="459"/>
        <item x="822"/>
        <item x="843"/>
        <item x="439"/>
        <item x="554"/>
        <item x="729"/>
        <item x="330"/>
        <item x="377"/>
        <item x="787"/>
        <item x="887"/>
        <item x="420"/>
        <item x="361"/>
        <item x="246"/>
        <item x="235"/>
        <item x="3"/>
        <item x="853"/>
        <item x="642"/>
        <item x="657"/>
        <item x="836"/>
        <item x="277"/>
        <item x="428"/>
        <item x="63"/>
        <item x="597"/>
        <item x="378"/>
        <item x="31"/>
        <item x="773"/>
        <item x="186"/>
        <item x="6"/>
        <item x="664"/>
        <item x="20"/>
        <item x="394"/>
        <item x="42"/>
        <item x="468"/>
        <item x="320"/>
        <item x="100"/>
        <item x="903"/>
        <item x="798"/>
        <item x="301"/>
        <item x="400"/>
        <item x="515"/>
        <item x="202"/>
        <item x="391"/>
        <item x="655"/>
        <item x="754"/>
        <item x="393"/>
        <item x="105"/>
        <item x="96"/>
        <item x="891"/>
        <item x="166"/>
        <item x="930"/>
        <item x="551"/>
        <item x="649"/>
        <item x="644"/>
        <item x="114"/>
        <item x="561"/>
        <item x="886"/>
        <item x="303"/>
        <item x="36"/>
        <item x="310"/>
        <item x="373"/>
        <item x="760"/>
        <item x="159"/>
        <item x="66"/>
        <item x="928"/>
        <item x="509"/>
        <item x="821"/>
        <item x="285"/>
        <item x="168"/>
        <item x="630"/>
        <item x="82"/>
        <item x="300"/>
        <item x="412"/>
        <item x="382"/>
        <item x="530"/>
        <item x="556"/>
        <item x="567"/>
        <item x="108"/>
        <item x="353"/>
        <item x="542"/>
        <item x="250"/>
        <item x="292"/>
        <item x="840"/>
        <item x="340"/>
        <item x="453"/>
        <item x="54"/>
        <item x="80"/>
        <item x="7"/>
        <item x="510"/>
        <item x="140"/>
        <item x="237"/>
        <item x="460"/>
        <item x="788"/>
        <item x="838"/>
        <item x="864"/>
        <item x="774"/>
        <item x="309"/>
        <item x="721"/>
        <item x="917"/>
        <item x="410"/>
        <item x="915"/>
        <item x="492"/>
        <item x="858"/>
        <item x="475"/>
        <item x="779"/>
        <item x="815"/>
        <item x="854"/>
        <item x="518"/>
        <item x="780"/>
        <item x="308"/>
        <item x="129"/>
        <item x="772"/>
        <item x="0"/>
        <item x="404"/>
        <item x="84"/>
        <item x="336"/>
        <item x="369"/>
        <item x="46"/>
        <item x="639"/>
        <item x="411"/>
        <item x="421"/>
        <item x="314"/>
        <item x="422"/>
        <item x="830"/>
        <item x="322"/>
        <item x="99"/>
        <item x="425"/>
        <item x="563"/>
        <item x="855"/>
        <item x="152"/>
        <item x="595"/>
        <item x="627"/>
        <item x="419"/>
        <item x="113"/>
        <item x="707"/>
        <item x="548"/>
        <item x="790"/>
        <item x="701"/>
        <item x="496"/>
        <item x="293"/>
        <item x="14"/>
        <item x="269"/>
        <item x="344"/>
        <item x="244"/>
        <item x="882"/>
        <item x="577"/>
        <item x="247"/>
        <item x="95"/>
        <item x="757"/>
        <item x="605"/>
        <item x="37"/>
        <item x="737"/>
        <item x="357"/>
        <item x="909"/>
        <item x="931"/>
        <item x="207"/>
        <item x="693"/>
        <item x="845"/>
        <item x="494"/>
        <item x="572"/>
        <item x="372"/>
        <item x="733"/>
        <item x="387"/>
        <item x="865"/>
        <item x="832"/>
        <item x="651"/>
        <item x="775"/>
        <item x="724"/>
        <item x="128"/>
        <item x="516"/>
        <item x="180"/>
        <item x="245"/>
        <item x="86"/>
        <item x="638"/>
        <item x="776"/>
        <item x="710"/>
        <item x="255"/>
        <item x="73"/>
        <item x="60"/>
        <item x="282"/>
        <item x="298"/>
        <item x="856"/>
        <item x="258"/>
        <item x="861"/>
        <item x="652"/>
        <item x="727"/>
        <item x="29"/>
        <item x="659"/>
        <item x="209"/>
        <item x="568"/>
        <item x="402"/>
        <item x="636"/>
        <item x="75"/>
        <item x="481"/>
        <item x="587"/>
        <item x="2"/>
        <item x="765"/>
        <item x="397"/>
        <item x="472"/>
        <item x="786"/>
        <item x="508"/>
        <item x="703"/>
        <item x="417"/>
        <item x="219"/>
        <item x="449"/>
        <item x="134"/>
        <item x="151"/>
        <item x="120"/>
        <item x="868"/>
        <item x="342"/>
        <item x="730"/>
        <item x="447"/>
        <item x="474"/>
        <item x="641"/>
        <item x="111"/>
        <item x="624"/>
        <item x="19"/>
        <item x="569"/>
        <item x="284"/>
        <item x="810"/>
        <item x="692"/>
        <item x="758"/>
        <item x="109"/>
        <item x="696"/>
        <item x="161"/>
        <item x="116"/>
        <item x="437"/>
        <item x="199"/>
        <item x="923"/>
        <item x="279"/>
        <item x="223"/>
        <item x="485"/>
        <item x="89"/>
        <item x="620"/>
        <item x="514"/>
        <item x="526"/>
        <item x="381"/>
        <item x="304"/>
        <item x="735"/>
        <item x="594"/>
        <item x="660"/>
        <item x="888"/>
        <item x="368"/>
        <item x="591"/>
        <item x="899"/>
        <item x="81"/>
        <item x="611"/>
        <item x="499"/>
        <item x="768"/>
        <item x="93"/>
        <item x="694"/>
        <item x="935"/>
        <item x="16"/>
        <item x="435"/>
        <item x="194"/>
        <item x="388"/>
        <item x="359"/>
        <item x="767"/>
        <item x="553"/>
        <item x="800"/>
        <item x="196"/>
        <item x="711"/>
        <item x="513"/>
        <item x="761"/>
        <item x="808"/>
        <item x="878"/>
        <item x="700"/>
        <item x="148"/>
        <item x="613"/>
        <item x="147"/>
        <item x="746"/>
        <item x="884"/>
        <item x="286"/>
        <item x="743"/>
        <item x="881"/>
        <item x="936"/>
        <item x="418"/>
        <item x="232"/>
        <item x="403"/>
        <item x="450"/>
        <item x="901"/>
        <item x="189"/>
        <item x="61"/>
        <item x="51"/>
        <item x="612"/>
        <item x="234"/>
        <item x="48"/>
        <item x="454"/>
        <item x="153"/>
        <item x="487"/>
        <item x="883"/>
        <item x="229"/>
        <item x="343"/>
        <item x="119"/>
        <item x="589"/>
        <item x="863"/>
        <item x="833"/>
        <item x="543"/>
        <item x="807"/>
        <item x="238"/>
        <item x="732"/>
        <item x="183"/>
        <item x="877"/>
        <item x="50"/>
        <item x="10"/>
        <item x="101"/>
        <item x="57"/>
        <item x="538"/>
        <item x="890"/>
        <item x="188"/>
        <item x="178"/>
        <item x="574"/>
        <item x="741"/>
        <item x="558"/>
        <item x="457"/>
        <item x="704"/>
        <item x="769"/>
        <item x="541"/>
        <item x="248"/>
        <item x="544"/>
        <item x="443"/>
        <item x="385"/>
        <item x="879"/>
        <item x="445"/>
        <item x="831"/>
        <item x="427"/>
        <item x="146"/>
        <item x="249"/>
        <item x="452"/>
        <item x="814"/>
        <item x="759"/>
        <item x="907"/>
        <item x="476"/>
        <item x="633"/>
        <item x="103"/>
        <item x="155"/>
        <item x="291"/>
        <item x="540"/>
        <item x="124"/>
        <item x="895"/>
        <item x="329"/>
        <item x="512"/>
        <item x="62"/>
        <item x="640"/>
        <item x="920"/>
        <item x="929"/>
        <item x="132"/>
        <item x="663"/>
        <item x="299"/>
        <item x="200"/>
        <item x="495"/>
        <item x="867"/>
        <item x="451"/>
        <item x="406"/>
        <item x="913"/>
        <item x="927"/>
        <item x="565"/>
        <item x="731"/>
        <item x="431"/>
        <item x="348"/>
        <item x="97"/>
        <item x="873"/>
        <item x="619"/>
        <item x="566"/>
        <item x="676"/>
        <item x="187"/>
        <item x="117"/>
        <item x="325"/>
        <item x="65"/>
        <item x="670"/>
        <item x="536"/>
        <item x="227"/>
        <item x="813"/>
        <item x="144"/>
        <item x="648"/>
        <item x="118"/>
        <item x="347"/>
        <item x="273"/>
        <item x="900"/>
        <item t="default"/>
      </items>
    </pivotField>
    <pivotField showAll="0">
      <items count="5">
        <item x="3"/>
        <item x="2"/>
        <item x="0"/>
        <item x="1"/>
        <item t="default"/>
      </items>
    </pivotField>
    <pivotField showAll="0"/>
    <pivotField showAll="0">
      <items count="5">
        <item x="1"/>
        <item x="0"/>
        <item x="2"/>
        <item x="3"/>
        <item t="default"/>
      </items>
    </pivotField>
    <pivotField showAll="0">
      <items count="6">
        <item x="4"/>
        <item x="3"/>
        <item x="2"/>
        <item x="0"/>
        <item x="1"/>
        <item t="default"/>
      </items>
    </pivotField>
    <pivotField showAll="0"/>
    <pivotField showAll="0"/>
    <pivotField showAll="0"/>
    <pivotField showAll="0"/>
    <pivotField showAll="0"/>
    <pivotField showAll="0"/>
    <pivotField showAll="0"/>
    <pivotField dataField="1" showAll="0"/>
    <pivotField showAll="0">
      <items count="4">
        <item x="2"/>
        <item x="0"/>
        <item x="1"/>
        <item t="default"/>
      </items>
    </pivotField>
    <pivotField showAll="0"/>
    <pivotField axis="axisRow" showAll="0">
      <items count="5">
        <item x="2"/>
        <item x="0"/>
        <item x="3"/>
        <item x="1"/>
        <item t="default"/>
      </items>
    </pivotField>
    <pivotField showAll="0"/>
    <pivotField numFmtId="164" showAll="0">
      <items count="13">
        <item x="4"/>
        <item x="0"/>
        <item x="3"/>
        <item x="2"/>
        <item x="5"/>
        <item x="10"/>
        <item x="7"/>
        <item x="8"/>
        <item x="11"/>
        <item x="6"/>
        <item x="1"/>
        <item x="9"/>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5">
    <i>
      <x/>
    </i>
    <i>
      <x v="1"/>
    </i>
    <i>
      <x v="2"/>
    </i>
    <i>
      <x v="3"/>
    </i>
    <i t="grand">
      <x/>
    </i>
  </rowItems>
  <colItems count="1">
    <i/>
  </colItems>
  <dataFields count="1">
    <dataField name="Average of Credit_Score" fld="15" subtotal="average" baseField="18" baseItem="0"/>
  </dataFields>
  <chartFormats count="3">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430C36-E9EB-4950-8591-7EDFC1A6209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25:I30" firstHeaderRow="1" firstDataRow="1" firstDataCol="1"/>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4">
        <item x="1"/>
        <item x="0"/>
        <item x="2"/>
        <item t="default"/>
      </items>
    </pivotField>
    <pivotField showAll="0"/>
    <pivotField showAll="0">
      <items count="5">
        <item x="3"/>
        <item x="2"/>
        <item x="0"/>
        <item x="1"/>
        <item t="default"/>
      </items>
    </pivotField>
    <pivotField showAll="0"/>
    <pivotField axis="axisRow" showAll="0">
      <items count="5">
        <item x="1"/>
        <item x="0"/>
        <item x="2"/>
        <item x="3"/>
        <item t="default"/>
      </items>
    </pivotField>
    <pivotField showAll="0">
      <items count="6">
        <item x="4"/>
        <item x="3"/>
        <item x="2"/>
        <item x="0"/>
        <item x="1"/>
        <item t="default"/>
      </items>
    </pivotField>
    <pivotField showAll="0"/>
    <pivotField dataField="1" showAll="0"/>
    <pivotField showAll="0"/>
    <pivotField showAll="0"/>
    <pivotField showAll="0"/>
    <pivotField showAll="0"/>
    <pivotField showAll="0"/>
    <pivotField showAll="0"/>
    <pivotField showAll="0"/>
    <pivotField showAll="0"/>
    <pivotField showAll="0">
      <items count="5">
        <item x="2"/>
        <item x="0"/>
        <item x="3"/>
        <item x="1"/>
        <item t="default"/>
      </items>
    </pivotField>
    <pivotField showAll="0"/>
    <pivotField numFmtId="164" showAll="0">
      <items count="13">
        <item x="4"/>
        <item x="0"/>
        <item x="3"/>
        <item x="2"/>
        <item x="5"/>
        <item x="10"/>
        <item x="7"/>
        <item x="8"/>
        <item x="11"/>
        <item x="6"/>
        <item x="1"/>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Sum of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CB5D7DE7-4589-4EA8-9941-0D73F854C74A}" sourceName="Account_Type">
  <pivotTables>
    <pivotTable tabId="3" name="account type vs transaction"/>
    <pivotTable tabId="3" name="catogoty vs credit scorw"/>
    <pivotTable tabId="3" name="credit score vs account typew"/>
    <pivotTable tabId="3" name="month"/>
    <pivotTable tabId="3" name="PivotTable10"/>
    <pivotTable tabId="3" name="PivotTable11"/>
    <pivotTable tabId="3" name="PivotTable12"/>
    <pivotTable tabId="3" name="PivotTable8"/>
    <pivotTable tabId="3" name="PivotTable9"/>
    <pivotTable tabId="3" name="region vs  catogory"/>
    <pivotTable tabId="3" name="risk"/>
  </pivotTables>
  <data>
    <tabular pivotCacheId="111165189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A90F6F-EFD0-4606-80C5-A1E4A9CD9F2F}" sourceName="Region">
  <pivotTables>
    <pivotTable tabId="3" name="account type vs transaction"/>
    <pivotTable tabId="3" name="catogoty vs credit scorw"/>
    <pivotTable tabId="3" name="credit score vs account typew"/>
    <pivotTable tabId="3" name="month"/>
    <pivotTable tabId="3" name="PivotTable10"/>
    <pivotTable tabId="3" name="PivotTable11"/>
    <pivotTable tabId="3" name="PivotTable12"/>
    <pivotTable tabId="3" name="PivotTable8"/>
    <pivotTable tabId="3" name="PivotTable9"/>
    <pivotTable tabId="3" name="region vs  catogory"/>
    <pivotTable tabId="3" name="risk"/>
  </pivotTables>
  <data>
    <tabular pivotCacheId="1111651895">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08D88E0-271B-452C-8DF2-6F11F3213184}" sourceName="month">
  <pivotTables>
    <pivotTable tabId="3" name="account type vs transaction"/>
    <pivotTable tabId="3" name="catogoty vs credit scorw"/>
    <pivotTable tabId="3" name="credit score vs account typew"/>
    <pivotTable tabId="3" name="month"/>
    <pivotTable tabId="3" name="PivotTable10"/>
    <pivotTable tabId="3" name="PivotTable11"/>
    <pivotTable tabId="3" name="PivotTable12"/>
    <pivotTable tabId="3" name="PivotTable8"/>
    <pivotTable tabId="3" name="PivotTable9"/>
    <pivotTable tabId="3" name="region vs  catogory"/>
    <pivotTable tabId="3" name="risk"/>
  </pivotTables>
  <data>
    <tabular pivotCacheId="1111651895">
      <items count="12">
        <i x="4" s="1"/>
        <i x="0" s="1"/>
        <i x="3" s="1"/>
        <i x="2" s="1"/>
        <i x="5" s="1"/>
        <i x="10" s="1"/>
        <i x="7" s="1"/>
        <i x="8" s="1"/>
        <i x="11" s="1"/>
        <i x="6" s="1"/>
        <i x="1"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55BEE5-4FE0-4659-8D7E-610228C56CBC}" sourceName="Category">
  <pivotTables>
    <pivotTable tabId="3" name="account type vs transaction"/>
    <pivotTable tabId="3" name="catogoty vs credit scorw"/>
    <pivotTable tabId="3" name="credit score vs account typew"/>
    <pivotTable tabId="3" name="month"/>
    <pivotTable tabId="3" name="PivotTable10"/>
    <pivotTable tabId="3" name="PivotTable11"/>
    <pivotTable tabId="3" name="PivotTable12"/>
    <pivotTable tabId="3" name="PivotTable8"/>
    <pivotTable tabId="3" name="PivotTable9"/>
    <pivotTable tabId="3" name="region vs  catogory"/>
    <pivotTable tabId="3" name="risk"/>
  </pivotTables>
  <data>
    <tabular pivotCacheId="1111651895">
      <items count="4">
        <i x="2"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611904ED-6D60-459A-9460-14ED67B387A4}" sourceName="Transaction_Type">
  <pivotTables>
    <pivotTable tabId="3" name="account type vs transaction"/>
    <pivotTable tabId="3" name="catogoty vs credit scorw"/>
    <pivotTable tabId="3" name="credit score vs account typew"/>
    <pivotTable tabId="3" name="month"/>
    <pivotTable tabId="3" name="PivotTable10"/>
    <pivotTable tabId="3" name="PivotTable11"/>
    <pivotTable tabId="3" name="PivotTable12"/>
    <pivotTable tabId="3" name="PivotTable8"/>
    <pivotTable tabId="3" name="PivotTable9"/>
    <pivotTable tabId="3" name="region vs  catogory"/>
    <pivotTable tabId="3" name="risk"/>
  </pivotTables>
  <data>
    <tabular pivotCacheId="1111651895">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Type" xr10:uid="{23888CA2-D309-4001-90C0-984D38ADAC88}" cache="Slicer_Account_Type" caption="Account_Type" rowHeight="241300"/>
  <slicer name="Region" xr10:uid="{39B1EC1F-C95C-4160-80B1-6328954D7954}" cache="Slicer_Region" caption="Region" rowHeight="241300"/>
  <slicer name="month" xr10:uid="{36F3682E-8428-4DC3-8000-9F045420C976}" cache="Slicer_month" caption="month" rowHeight="241300"/>
  <slicer name="Category" xr10:uid="{4EAEDDA1-7130-46A4-BEFA-D1F4DBA01063}" cache="Slicer_Category" caption="Category" rowHeight="241300"/>
  <slicer name="Transaction_Type" xr10:uid="{18862BD0-A0B7-45EC-9476-B794B8DEC8BA}" cache="Slicer_Transaction_Type" caption="Transaction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Type 1" xr10:uid="{2B0F9C04-DEA4-48AD-8C0A-6B7C1ED39C94}" cache="Slicer_Account_Type" caption="Account_Type" columnCount="3" style="Slicer Style 1 2" rowHeight="241300"/>
  <slicer name="Region 1" xr10:uid="{00C57DB4-CFE7-4242-91AB-A7996AD392FA}" cache="Slicer_Region" caption="Region" columnCount="2" style="Slicer Style 1 2" rowHeight="241300"/>
  <slicer name="month 1" xr10:uid="{7D9151FF-0121-457E-A30E-7640D4F7361F}" cache="Slicer_month" caption="month" columnCount="2" style="Slicer Style 1 2" rowHeight="241300"/>
  <slicer name="Category 1" xr10:uid="{F8298300-2BA6-4017-BDF2-C710F0F97C90}" cache="Slicer_Category" caption="Category" columnCount="2" style="Slicer Style 1 2" rowHeight="241300"/>
  <slicer name="Transaction_Type 1" xr10:uid="{F770E4AB-6DCE-4B9C-AB99-73B3BBD1E954}" cache="Slicer_Transaction_Type" caption="Transaction_Type" columnCount="2" style="Slicer Style 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EC34-A884-49D6-857E-290B7C7B2E44}">
  <dimension ref="A3:O74"/>
  <sheetViews>
    <sheetView topLeftCell="H3" workbookViewId="0">
      <selection activeCell="N8" sqref="N8"/>
    </sheetView>
  </sheetViews>
  <sheetFormatPr defaultRowHeight="14.5" x14ac:dyDescent="0.35"/>
  <cols>
    <col min="1" max="1" width="12.36328125" bestFit="1" customWidth="1"/>
    <col min="2" max="2" width="19.7265625" bestFit="1" customWidth="1"/>
    <col min="3" max="3" width="10.36328125" bestFit="1" customWidth="1"/>
    <col min="4" max="4" width="4.81640625" bestFit="1" customWidth="1"/>
    <col min="5" max="5" width="5.54296875" bestFit="1" customWidth="1"/>
    <col min="6" max="7" width="10.7265625" bestFit="1" customWidth="1"/>
    <col min="8" max="8" width="21.453125" bestFit="1" customWidth="1"/>
    <col min="9" max="9" width="14" bestFit="1" customWidth="1"/>
    <col min="10" max="10" width="4.81640625" bestFit="1" customWidth="1"/>
    <col min="11" max="11" width="21.08984375" bestFit="1" customWidth="1"/>
    <col min="12" max="12" width="16.7265625" bestFit="1" customWidth="1"/>
    <col min="13" max="13" width="3.81640625" bestFit="1" customWidth="1"/>
    <col min="14" max="14" width="10.7265625" bestFit="1" customWidth="1"/>
    <col min="15" max="15" width="17.1796875" customWidth="1"/>
  </cols>
  <sheetData>
    <row r="3" spans="1:15" x14ac:dyDescent="0.35">
      <c r="A3" s="1" t="s">
        <v>2335</v>
      </c>
      <c r="B3" s="1" t="s">
        <v>2336</v>
      </c>
    </row>
    <row r="4" spans="1:15" x14ac:dyDescent="0.35">
      <c r="A4" s="1" t="s">
        <v>2333</v>
      </c>
      <c r="B4" t="s">
        <v>66</v>
      </c>
      <c r="C4" t="s">
        <v>52</v>
      </c>
      <c r="D4" t="s">
        <v>48</v>
      </c>
      <c r="E4" t="s">
        <v>27</v>
      </c>
      <c r="F4" t="s">
        <v>39</v>
      </c>
      <c r="G4" t="s">
        <v>2334</v>
      </c>
      <c r="N4" t="s">
        <v>2342</v>
      </c>
    </row>
    <row r="5" spans="1:15" x14ac:dyDescent="0.35">
      <c r="A5" s="2" t="s">
        <v>35</v>
      </c>
      <c r="B5" s="5">
        <v>65</v>
      </c>
      <c r="C5" s="5">
        <v>58</v>
      </c>
      <c r="D5" s="5">
        <v>74</v>
      </c>
      <c r="E5" s="5">
        <v>66</v>
      </c>
      <c r="F5" s="5">
        <v>67</v>
      </c>
      <c r="G5" s="5">
        <v>330</v>
      </c>
      <c r="N5">
        <f>GETPIVOTDATA("Net_Amount",$H$18)</f>
        <v>99919153.309999898</v>
      </c>
      <c r="O5" t="s">
        <v>2345</v>
      </c>
    </row>
    <row r="6" spans="1:15" x14ac:dyDescent="0.35">
      <c r="A6" s="2" t="s">
        <v>22</v>
      </c>
      <c r="B6" s="5">
        <v>69</v>
      </c>
      <c r="C6" s="5">
        <v>67</v>
      </c>
      <c r="D6" s="5">
        <v>63</v>
      </c>
      <c r="E6" s="5">
        <v>67</v>
      </c>
      <c r="F6" s="5">
        <v>79</v>
      </c>
      <c r="G6" s="5">
        <v>345</v>
      </c>
      <c r="N6">
        <f>GETPIVOTDATA("Transaction_ID",$H$21)</f>
        <v>1000</v>
      </c>
      <c r="O6" t="s">
        <v>2346</v>
      </c>
    </row>
    <row r="7" spans="1:15" x14ac:dyDescent="0.35">
      <c r="A7" s="2" t="s">
        <v>95</v>
      </c>
      <c r="B7" s="5">
        <v>62</v>
      </c>
      <c r="C7" s="5">
        <v>59</v>
      </c>
      <c r="D7" s="5">
        <v>72</v>
      </c>
      <c r="E7" s="5">
        <v>73</v>
      </c>
      <c r="F7" s="5">
        <v>59</v>
      </c>
      <c r="G7" s="5">
        <v>325</v>
      </c>
      <c r="N7">
        <f>GETPIVOTDATA("Amount",$H$25,"Transaction_Type","Deposit")</f>
        <v>22850021.210000005</v>
      </c>
      <c r="O7" t="s">
        <v>2347</v>
      </c>
    </row>
    <row r="8" spans="1:15" x14ac:dyDescent="0.35">
      <c r="A8" s="2" t="s">
        <v>2334</v>
      </c>
      <c r="B8" s="5">
        <v>196</v>
      </c>
      <c r="C8" s="5">
        <v>184</v>
      </c>
      <c r="D8" s="5">
        <v>209</v>
      </c>
      <c r="E8" s="5">
        <v>206</v>
      </c>
      <c r="F8" s="5">
        <v>205</v>
      </c>
      <c r="G8" s="5">
        <v>1000</v>
      </c>
      <c r="N8">
        <f>GETPIVOTDATA("Balance",$L$18)</f>
        <v>1143437.6022900003</v>
      </c>
      <c r="O8" t="s">
        <v>2348</v>
      </c>
    </row>
    <row r="9" spans="1:15" x14ac:dyDescent="0.35">
      <c r="N9">
        <f>GETPIVOTDATA("Credit_Score",$K$26)</f>
        <v>607.70399999999995</v>
      </c>
      <c r="O9" t="s">
        <v>2349</v>
      </c>
    </row>
    <row r="15" spans="1:15" x14ac:dyDescent="0.35">
      <c r="A15" s="1" t="s">
        <v>2333</v>
      </c>
      <c r="B15" t="s">
        <v>2341</v>
      </c>
    </row>
    <row r="16" spans="1:15" x14ac:dyDescent="0.35">
      <c r="A16" s="2" t="s">
        <v>35</v>
      </c>
      <c r="B16" s="5">
        <v>604.73030303030305</v>
      </c>
    </row>
    <row r="17" spans="1:12" x14ac:dyDescent="0.35">
      <c r="A17" s="2" t="s">
        <v>22</v>
      </c>
      <c r="B17" s="5">
        <v>605.55362318840582</v>
      </c>
    </row>
    <row r="18" spans="1:12" x14ac:dyDescent="0.35">
      <c r="A18" s="2" t="s">
        <v>95</v>
      </c>
      <c r="B18" s="5">
        <v>613.00615384615389</v>
      </c>
      <c r="H18" t="s">
        <v>2343</v>
      </c>
      <c r="L18" t="s">
        <v>2340</v>
      </c>
    </row>
    <row r="19" spans="1:12" x14ac:dyDescent="0.35">
      <c r="A19" s="2" t="s">
        <v>2334</v>
      </c>
      <c r="B19" s="5">
        <v>607.70399999999995</v>
      </c>
      <c r="H19" s="5">
        <v>99919153.309999898</v>
      </c>
      <c r="L19" s="5">
        <v>1143437.6022900003</v>
      </c>
    </row>
    <row r="21" spans="1:12" x14ac:dyDescent="0.35">
      <c r="H21" t="s">
        <v>2344</v>
      </c>
    </row>
    <row r="22" spans="1:12" x14ac:dyDescent="0.35">
      <c r="H22" s="5">
        <v>1000</v>
      </c>
    </row>
    <row r="25" spans="1:12" x14ac:dyDescent="0.35">
      <c r="H25" s="1" t="s">
        <v>2333</v>
      </c>
      <c r="I25" t="s">
        <v>2351</v>
      </c>
    </row>
    <row r="26" spans="1:12" x14ac:dyDescent="0.35">
      <c r="A26" s="1" t="s">
        <v>2333</v>
      </c>
      <c r="B26" t="s">
        <v>2350</v>
      </c>
      <c r="H26" s="2" t="s">
        <v>47</v>
      </c>
      <c r="I26" s="5">
        <v>22850021.210000005</v>
      </c>
      <c r="K26" t="s">
        <v>2341</v>
      </c>
    </row>
    <row r="27" spans="1:12" x14ac:dyDescent="0.35">
      <c r="A27" s="2" t="s">
        <v>74</v>
      </c>
      <c r="B27" s="5">
        <v>342</v>
      </c>
      <c r="H27" s="2" t="s">
        <v>26</v>
      </c>
      <c r="I27" s="5">
        <v>26870434.829999998</v>
      </c>
      <c r="K27" s="5">
        <v>607.70399999999995</v>
      </c>
    </row>
    <row r="28" spans="1:12" x14ac:dyDescent="0.35">
      <c r="A28" s="2" t="s">
        <v>29</v>
      </c>
      <c r="B28" s="5">
        <v>330</v>
      </c>
      <c r="H28" s="2" t="s">
        <v>60</v>
      </c>
      <c r="I28" s="5">
        <v>25192629.100000013</v>
      </c>
    </row>
    <row r="29" spans="1:12" x14ac:dyDescent="0.35">
      <c r="A29" s="2" t="s">
        <v>53</v>
      </c>
      <c r="B29" s="5">
        <v>328</v>
      </c>
      <c r="H29" s="2" t="s">
        <v>103</v>
      </c>
      <c r="I29" s="5">
        <v>24004529.579999987</v>
      </c>
    </row>
    <row r="30" spans="1:12" x14ac:dyDescent="0.35">
      <c r="A30" s="2" t="s">
        <v>2334</v>
      </c>
      <c r="B30" s="5">
        <v>1000</v>
      </c>
      <c r="H30" s="2" t="s">
        <v>2334</v>
      </c>
      <c r="I30" s="5">
        <v>98917614.719999999</v>
      </c>
    </row>
    <row r="37" spans="1:6" x14ac:dyDescent="0.35">
      <c r="A37" s="1" t="s">
        <v>2337</v>
      </c>
      <c r="B37" s="1" t="s">
        <v>2336</v>
      </c>
    </row>
    <row r="38" spans="1:6" x14ac:dyDescent="0.35">
      <c r="A38" s="1" t="s">
        <v>2333</v>
      </c>
      <c r="B38" t="s">
        <v>79</v>
      </c>
      <c r="C38" t="s">
        <v>31</v>
      </c>
      <c r="D38" t="s">
        <v>86</v>
      </c>
      <c r="E38" t="s">
        <v>62</v>
      </c>
      <c r="F38" t="s">
        <v>2334</v>
      </c>
    </row>
    <row r="39" spans="1:6" x14ac:dyDescent="0.35">
      <c r="A39" s="2" t="s">
        <v>70</v>
      </c>
      <c r="B39" s="5">
        <v>58</v>
      </c>
      <c r="C39" s="5">
        <v>77</v>
      </c>
      <c r="D39" s="5">
        <v>51</v>
      </c>
      <c r="E39" s="5">
        <v>75</v>
      </c>
      <c r="F39" s="5">
        <v>261</v>
      </c>
    </row>
    <row r="40" spans="1:6" x14ac:dyDescent="0.35">
      <c r="A40" s="2" t="s">
        <v>45</v>
      </c>
      <c r="B40" s="5">
        <v>58</v>
      </c>
      <c r="C40" s="5">
        <v>73</v>
      </c>
      <c r="D40" s="5">
        <v>52</v>
      </c>
      <c r="E40" s="5">
        <v>62</v>
      </c>
      <c r="F40" s="5">
        <v>245</v>
      </c>
    </row>
    <row r="41" spans="1:6" x14ac:dyDescent="0.35">
      <c r="A41" s="2" t="s">
        <v>24</v>
      </c>
      <c r="B41" s="5">
        <v>74</v>
      </c>
      <c r="C41" s="5">
        <v>66</v>
      </c>
      <c r="D41" s="5">
        <v>67</v>
      </c>
      <c r="E41" s="5">
        <v>65</v>
      </c>
      <c r="F41" s="5">
        <v>272</v>
      </c>
    </row>
    <row r="42" spans="1:6" x14ac:dyDescent="0.35">
      <c r="A42" s="2" t="s">
        <v>37</v>
      </c>
      <c r="B42" s="5">
        <v>61</v>
      </c>
      <c r="C42" s="5">
        <v>64</v>
      </c>
      <c r="D42" s="5">
        <v>53</v>
      </c>
      <c r="E42" s="5">
        <v>44</v>
      </c>
      <c r="F42" s="5">
        <v>222</v>
      </c>
    </row>
    <row r="43" spans="1:6" x14ac:dyDescent="0.35">
      <c r="A43" s="2" t="s">
        <v>2334</v>
      </c>
      <c r="B43" s="5">
        <v>251</v>
      </c>
      <c r="C43" s="5">
        <v>280</v>
      </c>
      <c r="D43" s="5">
        <v>223</v>
      </c>
      <c r="E43" s="5">
        <v>246</v>
      </c>
      <c r="F43" s="5">
        <v>1000</v>
      </c>
    </row>
    <row r="51" spans="1:6" x14ac:dyDescent="0.35">
      <c r="A51" s="1" t="s">
        <v>2339</v>
      </c>
      <c r="B51" s="1" t="s">
        <v>2336</v>
      </c>
    </row>
    <row r="52" spans="1:6" x14ac:dyDescent="0.35">
      <c r="A52" s="1" t="s">
        <v>2333</v>
      </c>
      <c r="B52" t="s">
        <v>47</v>
      </c>
      <c r="C52" t="s">
        <v>26</v>
      </c>
      <c r="D52" t="s">
        <v>60</v>
      </c>
      <c r="E52" t="s">
        <v>103</v>
      </c>
      <c r="F52" t="s">
        <v>2334</v>
      </c>
    </row>
    <row r="53" spans="1:6" x14ac:dyDescent="0.35">
      <c r="A53" s="4">
        <v>45658</v>
      </c>
      <c r="B53" s="5">
        <v>24</v>
      </c>
      <c r="C53" s="5">
        <v>24</v>
      </c>
      <c r="D53" s="5">
        <v>27</v>
      </c>
      <c r="E53" s="5">
        <v>25</v>
      </c>
      <c r="F53" s="5">
        <v>100</v>
      </c>
    </row>
    <row r="54" spans="1:6" x14ac:dyDescent="0.35">
      <c r="A54" s="4">
        <v>45689</v>
      </c>
      <c r="B54" s="5">
        <v>13</v>
      </c>
      <c r="C54" s="5">
        <v>22</v>
      </c>
      <c r="D54" s="5">
        <v>14</v>
      </c>
      <c r="E54" s="5">
        <v>16</v>
      </c>
      <c r="F54" s="5">
        <v>65</v>
      </c>
    </row>
    <row r="55" spans="1:6" x14ac:dyDescent="0.35">
      <c r="A55" s="4">
        <v>45717</v>
      </c>
      <c r="B55" s="5">
        <v>17</v>
      </c>
      <c r="C55" s="5">
        <v>21</v>
      </c>
      <c r="D55" s="5">
        <v>21</v>
      </c>
      <c r="E55" s="5">
        <v>27</v>
      </c>
      <c r="F55" s="5">
        <v>86</v>
      </c>
    </row>
    <row r="56" spans="1:6" x14ac:dyDescent="0.35">
      <c r="A56" s="4">
        <v>45748</v>
      </c>
      <c r="B56" s="5">
        <v>16</v>
      </c>
      <c r="C56" s="5">
        <v>26</v>
      </c>
      <c r="D56" s="5">
        <v>16</v>
      </c>
      <c r="E56" s="5">
        <v>21</v>
      </c>
      <c r="F56" s="5">
        <v>79</v>
      </c>
    </row>
    <row r="57" spans="1:6" x14ac:dyDescent="0.35">
      <c r="A57" s="4">
        <v>45778</v>
      </c>
      <c r="B57" s="5">
        <v>21</v>
      </c>
      <c r="C57" s="5">
        <v>27</v>
      </c>
      <c r="D57" s="5">
        <v>22</v>
      </c>
      <c r="E57" s="5">
        <v>17</v>
      </c>
      <c r="F57" s="5">
        <v>87</v>
      </c>
    </row>
    <row r="58" spans="1:6" x14ac:dyDescent="0.35">
      <c r="A58" s="4">
        <v>45809</v>
      </c>
      <c r="B58" s="5">
        <v>20</v>
      </c>
      <c r="C58" s="5">
        <v>21</v>
      </c>
      <c r="D58" s="5">
        <v>27</v>
      </c>
      <c r="E58" s="5">
        <v>16</v>
      </c>
      <c r="F58" s="5">
        <v>84</v>
      </c>
    </row>
    <row r="59" spans="1:6" x14ac:dyDescent="0.35">
      <c r="A59" s="4">
        <v>45839</v>
      </c>
      <c r="B59" s="5">
        <v>27</v>
      </c>
      <c r="C59" s="5">
        <v>11</v>
      </c>
      <c r="D59" s="5">
        <v>15</v>
      </c>
      <c r="E59" s="5">
        <v>13</v>
      </c>
      <c r="F59" s="5">
        <v>66</v>
      </c>
    </row>
    <row r="60" spans="1:6" x14ac:dyDescent="0.35">
      <c r="A60" s="4">
        <v>45870</v>
      </c>
      <c r="B60" s="5">
        <v>15</v>
      </c>
      <c r="C60" s="5">
        <v>28</v>
      </c>
      <c r="D60" s="5">
        <v>27</v>
      </c>
      <c r="E60" s="5">
        <v>29</v>
      </c>
      <c r="F60" s="5">
        <v>99</v>
      </c>
    </row>
    <row r="61" spans="1:6" x14ac:dyDescent="0.35">
      <c r="A61" s="4">
        <v>45901</v>
      </c>
      <c r="B61" s="5">
        <v>18</v>
      </c>
      <c r="C61" s="5">
        <v>23</v>
      </c>
      <c r="D61" s="5">
        <v>17</v>
      </c>
      <c r="E61" s="5">
        <v>23</v>
      </c>
      <c r="F61" s="5">
        <v>81</v>
      </c>
    </row>
    <row r="62" spans="1:6" x14ac:dyDescent="0.35">
      <c r="A62" s="4">
        <v>45931</v>
      </c>
      <c r="B62" s="5">
        <v>21</v>
      </c>
      <c r="C62" s="5">
        <v>20</v>
      </c>
      <c r="D62" s="5">
        <v>22</v>
      </c>
      <c r="E62" s="5">
        <v>12</v>
      </c>
      <c r="F62" s="5">
        <v>75</v>
      </c>
    </row>
    <row r="63" spans="1:6" x14ac:dyDescent="0.35">
      <c r="A63" s="4">
        <v>45962</v>
      </c>
      <c r="B63" s="5">
        <v>21</v>
      </c>
      <c r="C63" s="5">
        <v>19</v>
      </c>
      <c r="D63" s="5">
        <v>13</v>
      </c>
      <c r="E63" s="5">
        <v>21</v>
      </c>
      <c r="F63" s="5">
        <v>74</v>
      </c>
    </row>
    <row r="64" spans="1:6" x14ac:dyDescent="0.35">
      <c r="A64" s="4">
        <v>45992</v>
      </c>
      <c r="B64" s="5">
        <v>20</v>
      </c>
      <c r="C64" s="5">
        <v>26</v>
      </c>
      <c r="D64" s="5">
        <v>35</v>
      </c>
      <c r="E64" s="5">
        <v>23</v>
      </c>
      <c r="F64" s="5">
        <v>104</v>
      </c>
    </row>
    <row r="65" spans="1:6" x14ac:dyDescent="0.35">
      <c r="A65" s="4" t="s">
        <v>2334</v>
      </c>
      <c r="B65" s="5">
        <v>233</v>
      </c>
      <c r="C65" s="5">
        <v>268</v>
      </c>
      <c r="D65" s="5">
        <v>256</v>
      </c>
      <c r="E65" s="5">
        <v>243</v>
      </c>
      <c r="F65" s="5">
        <v>1000</v>
      </c>
    </row>
    <row r="69" spans="1:6" x14ac:dyDescent="0.35">
      <c r="A69" s="1" t="s">
        <v>2333</v>
      </c>
      <c r="B69" t="s">
        <v>2341</v>
      </c>
    </row>
    <row r="70" spans="1:6" x14ac:dyDescent="0.35">
      <c r="A70" s="2" t="s">
        <v>79</v>
      </c>
      <c r="B70" s="5">
        <v>601.91633466135454</v>
      </c>
    </row>
    <row r="71" spans="1:6" x14ac:dyDescent="0.35">
      <c r="A71" s="2" t="s">
        <v>31</v>
      </c>
      <c r="B71" s="5">
        <v>621.11428571428576</v>
      </c>
    </row>
    <row r="72" spans="1:6" x14ac:dyDescent="0.35">
      <c r="A72" s="2" t="s">
        <v>86</v>
      </c>
      <c r="B72" s="5">
        <v>607.5336322869955</v>
      </c>
    </row>
    <row r="73" spans="1:6" x14ac:dyDescent="0.35">
      <c r="A73" s="2" t="s">
        <v>62</v>
      </c>
      <c r="B73" s="5">
        <v>598.5</v>
      </c>
    </row>
    <row r="74" spans="1:6" x14ac:dyDescent="0.35">
      <c r="A74" s="2" t="s">
        <v>2334</v>
      </c>
      <c r="B74" s="5">
        <v>607.70399999999995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E8FB3-CA52-407A-942F-A336F607096F}">
  <dimension ref="A1"/>
  <sheetViews>
    <sheetView showGridLines="0" tabSelected="1" zoomScaleNormal="100" workbookViewId="0">
      <selection activeCell="X13" sqref="X1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workbookViewId="0">
      <selection activeCell="N1" sqref="N1"/>
    </sheetView>
  </sheetViews>
  <sheetFormatPr defaultRowHeight="14.5" x14ac:dyDescent="0.35"/>
  <cols>
    <col min="1" max="1" width="13.453125" bestFit="1" customWidth="1"/>
    <col min="2" max="2" width="10.08984375" bestFit="1" customWidth="1"/>
    <col min="3" max="3" width="12.54296875" bestFit="1" customWidth="1"/>
    <col min="4" max="4" width="11.7265625" bestFit="1" customWidth="1"/>
    <col min="5" max="5" width="6.453125" bestFit="1" customWidth="1"/>
    <col min="6" max="6" width="6.6328125" bestFit="1" customWidth="1"/>
    <col min="7" max="7" width="15.6328125" bestFit="1" customWidth="1"/>
    <col min="8" max="8" width="15.81640625" bestFit="1" customWidth="1"/>
    <col min="9" max="9" width="8.26953125" bestFit="1" customWidth="1"/>
    <col min="10" max="10" width="9.81640625" bestFit="1" customWidth="1"/>
    <col min="11" max="11" width="7.81640625" bestFit="1" customWidth="1"/>
    <col min="12" max="12" width="6.81640625" bestFit="1" customWidth="1"/>
    <col min="13" max="13" width="8.08984375" bestFit="1" customWidth="1"/>
    <col min="14" max="14" width="11.453125" bestFit="1" customWidth="1"/>
    <col min="15" max="15" width="10.81640625" bestFit="1" customWidth="1"/>
    <col min="16" max="16" width="11.36328125" bestFit="1" customWidth="1"/>
    <col min="17" max="17" width="9.26953125" bestFit="1" customWidth="1"/>
    <col min="18" max="18" width="9.90625" bestFit="1" customWidth="1"/>
    <col min="19" max="19" width="10.1796875" bestFit="1" customWidth="1"/>
    <col min="20" max="20" width="8" bestFit="1" customWidth="1"/>
    <col min="21" max="21" width="10.0898437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2338</v>
      </c>
    </row>
    <row r="2" spans="1:21" x14ac:dyDescent="0.35">
      <c r="A2" t="s">
        <v>20</v>
      </c>
      <c r="B2" t="s">
        <v>21</v>
      </c>
      <c r="C2" t="s">
        <v>22</v>
      </c>
      <c r="D2" t="s">
        <v>23</v>
      </c>
      <c r="E2" t="s">
        <v>24</v>
      </c>
      <c r="F2" t="s">
        <v>25</v>
      </c>
      <c r="G2" t="s">
        <v>26</v>
      </c>
      <c r="H2" t="s">
        <v>27</v>
      </c>
      <c r="I2" t="s">
        <v>28</v>
      </c>
      <c r="J2">
        <v>157072.88</v>
      </c>
      <c r="K2">
        <v>2853.74</v>
      </c>
      <c r="L2">
        <v>513.66999999999996</v>
      </c>
      <c r="M2">
        <v>48.21</v>
      </c>
      <c r="N2">
        <v>160392.07999999999</v>
      </c>
      <c r="O2">
        <v>45650.84</v>
      </c>
      <c r="P2">
        <v>738</v>
      </c>
      <c r="Q2" t="s">
        <v>29</v>
      </c>
      <c r="R2" t="s">
        <v>30</v>
      </c>
      <c r="S2" t="s">
        <v>31</v>
      </c>
      <c r="T2" t="s">
        <v>32</v>
      </c>
      <c r="U2" s="3">
        <f>DATE(YEAR(B2),MONTH(B2),1)</f>
        <v>45689</v>
      </c>
    </row>
    <row r="3" spans="1:21" x14ac:dyDescent="0.35">
      <c r="A3" t="s">
        <v>33</v>
      </c>
      <c r="B3" t="s">
        <v>34</v>
      </c>
      <c r="C3" t="s">
        <v>35</v>
      </c>
      <c r="D3" t="s">
        <v>36</v>
      </c>
      <c r="E3" t="s">
        <v>37</v>
      </c>
      <c r="F3" t="s">
        <v>38</v>
      </c>
      <c r="G3" t="s">
        <v>26</v>
      </c>
      <c r="H3" t="s">
        <v>39</v>
      </c>
      <c r="I3" t="s">
        <v>40</v>
      </c>
      <c r="J3">
        <v>65228.78</v>
      </c>
      <c r="K3">
        <v>930</v>
      </c>
      <c r="L3">
        <v>167.4</v>
      </c>
      <c r="M3">
        <v>206.92</v>
      </c>
      <c r="N3">
        <v>66119.259999999995</v>
      </c>
      <c r="O3">
        <v>47376.39</v>
      </c>
      <c r="P3">
        <v>444</v>
      </c>
      <c r="Q3" t="s">
        <v>29</v>
      </c>
      <c r="R3" t="s">
        <v>30</v>
      </c>
      <c r="S3" t="s">
        <v>31</v>
      </c>
      <c r="T3" t="s">
        <v>41</v>
      </c>
      <c r="U3" s="3">
        <f t="shared" ref="U3:U66" si="0">DATE(YEAR(B3),MONTH(B3),1)</f>
        <v>45962</v>
      </c>
    </row>
    <row r="4" spans="1:21" x14ac:dyDescent="0.35">
      <c r="A4" t="s">
        <v>42</v>
      </c>
      <c r="B4" t="s">
        <v>43</v>
      </c>
      <c r="C4" t="s">
        <v>22</v>
      </c>
      <c r="D4" t="s">
        <v>44</v>
      </c>
      <c r="E4" t="s">
        <v>45</v>
      </c>
      <c r="F4" t="s">
        <v>46</v>
      </c>
      <c r="G4" t="s">
        <v>47</v>
      </c>
      <c r="H4" t="s">
        <v>48</v>
      </c>
      <c r="I4" t="s">
        <v>40</v>
      </c>
      <c r="J4">
        <v>144421.21</v>
      </c>
      <c r="K4">
        <v>675.02</v>
      </c>
      <c r="L4">
        <v>121.5</v>
      </c>
      <c r="M4">
        <v>380.78</v>
      </c>
      <c r="N4">
        <v>144836.95000000001</v>
      </c>
      <c r="O4">
        <v>45408.24</v>
      </c>
      <c r="P4">
        <v>643</v>
      </c>
      <c r="Q4" t="s">
        <v>29</v>
      </c>
      <c r="R4" t="s">
        <v>30</v>
      </c>
      <c r="S4" t="s">
        <v>31</v>
      </c>
      <c r="T4" t="s">
        <v>32</v>
      </c>
      <c r="U4" s="3">
        <f t="shared" si="0"/>
        <v>45748</v>
      </c>
    </row>
    <row r="5" spans="1:21" x14ac:dyDescent="0.35">
      <c r="A5" t="s">
        <v>49</v>
      </c>
      <c r="B5" t="s">
        <v>50</v>
      </c>
      <c r="C5" t="s">
        <v>22</v>
      </c>
      <c r="D5" t="s">
        <v>51</v>
      </c>
      <c r="E5" t="s">
        <v>45</v>
      </c>
      <c r="F5" t="s">
        <v>46</v>
      </c>
      <c r="G5" t="s">
        <v>26</v>
      </c>
      <c r="H5" t="s">
        <v>52</v>
      </c>
      <c r="I5" t="s">
        <v>40</v>
      </c>
      <c r="J5">
        <v>137553.99</v>
      </c>
      <c r="K5">
        <v>246.66</v>
      </c>
      <c r="L5">
        <v>44.4</v>
      </c>
      <c r="M5">
        <v>90.29</v>
      </c>
      <c r="N5">
        <v>137754.76</v>
      </c>
      <c r="O5">
        <v>50837.48</v>
      </c>
      <c r="P5">
        <v>820</v>
      </c>
      <c r="Q5" t="s">
        <v>53</v>
      </c>
      <c r="R5" t="s">
        <v>54</v>
      </c>
      <c r="S5" t="s">
        <v>31</v>
      </c>
      <c r="T5" t="s">
        <v>55</v>
      </c>
      <c r="U5" s="3">
        <f t="shared" si="0"/>
        <v>45962</v>
      </c>
    </row>
    <row r="6" spans="1:21" x14ac:dyDescent="0.35">
      <c r="A6" t="s">
        <v>56</v>
      </c>
      <c r="B6" t="s">
        <v>57</v>
      </c>
      <c r="C6" t="s">
        <v>35</v>
      </c>
      <c r="D6" t="s">
        <v>58</v>
      </c>
      <c r="E6" t="s">
        <v>24</v>
      </c>
      <c r="F6" t="s">
        <v>59</v>
      </c>
      <c r="G6" t="s">
        <v>60</v>
      </c>
      <c r="H6" t="s">
        <v>52</v>
      </c>
      <c r="I6" t="s">
        <v>61</v>
      </c>
      <c r="J6">
        <v>154900.13</v>
      </c>
      <c r="K6">
        <v>3079.35</v>
      </c>
      <c r="L6">
        <v>554.28</v>
      </c>
      <c r="M6">
        <v>28.53</v>
      </c>
      <c r="N6">
        <v>158505.23000000001</v>
      </c>
      <c r="O6">
        <v>49010.33</v>
      </c>
      <c r="P6">
        <v>613</v>
      </c>
      <c r="Q6" t="s">
        <v>29</v>
      </c>
      <c r="R6" t="s">
        <v>30</v>
      </c>
      <c r="S6" t="s">
        <v>62</v>
      </c>
      <c r="T6" t="s">
        <v>41</v>
      </c>
      <c r="U6" s="3">
        <f t="shared" si="0"/>
        <v>45748</v>
      </c>
    </row>
    <row r="7" spans="1:21" x14ac:dyDescent="0.35">
      <c r="A7" t="s">
        <v>63</v>
      </c>
      <c r="B7" t="s">
        <v>64</v>
      </c>
      <c r="C7" t="s">
        <v>22</v>
      </c>
      <c r="D7" t="s">
        <v>65</v>
      </c>
      <c r="E7" t="s">
        <v>45</v>
      </c>
      <c r="F7" t="s">
        <v>46</v>
      </c>
      <c r="G7" t="s">
        <v>60</v>
      </c>
      <c r="H7" t="s">
        <v>66</v>
      </c>
      <c r="I7" t="s">
        <v>28</v>
      </c>
      <c r="J7">
        <v>39868.35</v>
      </c>
      <c r="K7">
        <v>308.19</v>
      </c>
      <c r="L7">
        <v>55.47</v>
      </c>
      <c r="M7">
        <v>385.61</v>
      </c>
      <c r="N7">
        <v>39846.400000000001</v>
      </c>
      <c r="O7">
        <v>45336.61</v>
      </c>
      <c r="P7">
        <v>603</v>
      </c>
      <c r="Q7" t="s">
        <v>29</v>
      </c>
      <c r="R7" t="s">
        <v>54</v>
      </c>
      <c r="S7" t="s">
        <v>62</v>
      </c>
      <c r="T7" t="s">
        <v>55</v>
      </c>
      <c r="U7" s="3">
        <f t="shared" si="0"/>
        <v>45717</v>
      </c>
    </row>
    <row r="8" spans="1:21" x14ac:dyDescent="0.35">
      <c r="A8" t="s">
        <v>67</v>
      </c>
      <c r="B8" t="s">
        <v>68</v>
      </c>
      <c r="C8" t="s">
        <v>22</v>
      </c>
      <c r="D8" t="s">
        <v>69</v>
      </c>
      <c r="E8" t="s">
        <v>70</v>
      </c>
      <c r="F8" t="s">
        <v>25</v>
      </c>
      <c r="G8" t="s">
        <v>26</v>
      </c>
      <c r="H8" t="s">
        <v>66</v>
      </c>
      <c r="I8" t="s">
        <v>28</v>
      </c>
      <c r="J8">
        <v>73225.13</v>
      </c>
      <c r="K8">
        <v>1057.1099999999999</v>
      </c>
      <c r="L8">
        <v>190.28</v>
      </c>
      <c r="M8">
        <v>343.15</v>
      </c>
      <c r="N8">
        <v>74129.37</v>
      </c>
      <c r="O8">
        <v>47384.83</v>
      </c>
      <c r="P8">
        <v>872</v>
      </c>
      <c r="Q8" t="s">
        <v>53</v>
      </c>
      <c r="R8" t="s">
        <v>30</v>
      </c>
      <c r="S8" t="s">
        <v>31</v>
      </c>
      <c r="T8" t="s">
        <v>55</v>
      </c>
      <c r="U8" s="3">
        <f t="shared" si="0"/>
        <v>45962</v>
      </c>
    </row>
    <row r="9" spans="1:21" x14ac:dyDescent="0.35">
      <c r="A9" t="s">
        <v>71</v>
      </c>
      <c r="B9" t="s">
        <v>72</v>
      </c>
      <c r="C9" t="s">
        <v>35</v>
      </c>
      <c r="D9" t="s">
        <v>73</v>
      </c>
      <c r="E9" t="s">
        <v>37</v>
      </c>
      <c r="F9" t="s">
        <v>46</v>
      </c>
      <c r="G9" t="s">
        <v>60</v>
      </c>
      <c r="H9" t="s">
        <v>39</v>
      </c>
      <c r="I9" t="s">
        <v>40</v>
      </c>
      <c r="J9">
        <v>25132.98</v>
      </c>
      <c r="K9">
        <v>374.12</v>
      </c>
      <c r="L9">
        <v>67.34</v>
      </c>
      <c r="M9">
        <v>169.26</v>
      </c>
      <c r="N9">
        <v>25405.18</v>
      </c>
      <c r="O9">
        <v>50510.07</v>
      </c>
      <c r="P9">
        <v>728</v>
      </c>
      <c r="Q9" t="s">
        <v>74</v>
      </c>
      <c r="R9" t="s">
        <v>75</v>
      </c>
      <c r="S9" t="s">
        <v>31</v>
      </c>
      <c r="T9" t="s">
        <v>32</v>
      </c>
      <c r="U9" s="3">
        <f t="shared" si="0"/>
        <v>45658</v>
      </c>
    </row>
    <row r="10" spans="1:21" x14ac:dyDescent="0.35">
      <c r="A10" t="s">
        <v>76</v>
      </c>
      <c r="B10" t="s">
        <v>77</v>
      </c>
      <c r="C10" t="s">
        <v>22</v>
      </c>
      <c r="D10" t="s">
        <v>78</v>
      </c>
      <c r="E10" t="s">
        <v>24</v>
      </c>
      <c r="F10" t="s">
        <v>25</v>
      </c>
      <c r="G10" t="s">
        <v>60</v>
      </c>
      <c r="H10" t="s">
        <v>27</v>
      </c>
      <c r="I10" t="s">
        <v>40</v>
      </c>
      <c r="J10">
        <v>156654.53</v>
      </c>
      <c r="K10">
        <v>1972.55</v>
      </c>
      <c r="L10">
        <v>355.06</v>
      </c>
      <c r="M10">
        <v>151.74</v>
      </c>
      <c r="N10">
        <v>158830.39999999999</v>
      </c>
      <c r="O10">
        <v>48565.2</v>
      </c>
      <c r="P10">
        <v>854</v>
      </c>
      <c r="Q10" t="s">
        <v>53</v>
      </c>
      <c r="R10" t="s">
        <v>75</v>
      </c>
      <c r="S10" t="s">
        <v>79</v>
      </c>
      <c r="T10" t="s">
        <v>32</v>
      </c>
      <c r="U10" s="3">
        <f t="shared" si="0"/>
        <v>45778</v>
      </c>
    </row>
    <row r="11" spans="1:21" x14ac:dyDescent="0.35">
      <c r="A11" t="s">
        <v>80</v>
      </c>
      <c r="B11" t="s">
        <v>81</v>
      </c>
      <c r="C11" t="s">
        <v>35</v>
      </c>
      <c r="D11" t="s">
        <v>82</v>
      </c>
      <c r="E11" t="s">
        <v>37</v>
      </c>
      <c r="F11" t="s">
        <v>59</v>
      </c>
      <c r="G11" t="s">
        <v>26</v>
      </c>
      <c r="H11" t="s">
        <v>52</v>
      </c>
      <c r="I11" t="s">
        <v>28</v>
      </c>
      <c r="J11">
        <v>51088.54</v>
      </c>
      <c r="K11">
        <v>117.38</v>
      </c>
      <c r="L11">
        <v>21.13</v>
      </c>
      <c r="M11">
        <v>484.56</v>
      </c>
      <c r="N11">
        <v>50742.49</v>
      </c>
      <c r="O11">
        <v>50208.639999999999</v>
      </c>
      <c r="P11">
        <v>648</v>
      </c>
      <c r="Q11" t="s">
        <v>29</v>
      </c>
      <c r="R11" t="s">
        <v>54</v>
      </c>
      <c r="S11" t="s">
        <v>31</v>
      </c>
      <c r="T11" t="s">
        <v>32</v>
      </c>
      <c r="U11" s="3">
        <f t="shared" si="0"/>
        <v>45931</v>
      </c>
    </row>
    <row r="12" spans="1:21" x14ac:dyDescent="0.35">
      <c r="A12" t="s">
        <v>83</v>
      </c>
      <c r="B12" t="s">
        <v>84</v>
      </c>
      <c r="C12" t="s">
        <v>35</v>
      </c>
      <c r="D12" t="s">
        <v>85</v>
      </c>
      <c r="E12" t="s">
        <v>24</v>
      </c>
      <c r="F12" t="s">
        <v>38</v>
      </c>
      <c r="G12" t="s">
        <v>26</v>
      </c>
      <c r="H12" t="s">
        <v>48</v>
      </c>
      <c r="I12" t="s">
        <v>40</v>
      </c>
      <c r="J12">
        <v>49529</v>
      </c>
      <c r="K12">
        <v>211.15</v>
      </c>
      <c r="L12">
        <v>38.01</v>
      </c>
      <c r="M12">
        <v>217.32</v>
      </c>
      <c r="N12">
        <v>49560.84</v>
      </c>
      <c r="O12">
        <v>55293.73</v>
      </c>
      <c r="P12">
        <v>887</v>
      </c>
      <c r="Q12" t="s">
        <v>74</v>
      </c>
      <c r="R12" t="s">
        <v>30</v>
      </c>
      <c r="S12" t="s">
        <v>86</v>
      </c>
      <c r="T12" t="s">
        <v>55</v>
      </c>
      <c r="U12" s="3">
        <f t="shared" si="0"/>
        <v>45962</v>
      </c>
    </row>
    <row r="13" spans="1:21" x14ac:dyDescent="0.35">
      <c r="A13" t="s">
        <v>87</v>
      </c>
      <c r="B13" t="s">
        <v>88</v>
      </c>
      <c r="C13" t="s">
        <v>35</v>
      </c>
      <c r="D13" t="s">
        <v>89</v>
      </c>
      <c r="E13" t="s">
        <v>70</v>
      </c>
      <c r="F13" t="s">
        <v>59</v>
      </c>
      <c r="G13" t="s">
        <v>47</v>
      </c>
      <c r="H13" t="s">
        <v>48</v>
      </c>
      <c r="I13" t="s">
        <v>40</v>
      </c>
      <c r="J13">
        <v>196136.5</v>
      </c>
      <c r="K13">
        <v>2560.5</v>
      </c>
      <c r="L13">
        <v>460.89</v>
      </c>
      <c r="M13">
        <v>122.87</v>
      </c>
      <c r="N13">
        <v>199035.02</v>
      </c>
      <c r="O13">
        <v>50628.55</v>
      </c>
      <c r="P13">
        <v>741</v>
      </c>
      <c r="Q13" t="s">
        <v>74</v>
      </c>
      <c r="R13" t="s">
        <v>30</v>
      </c>
      <c r="S13" t="s">
        <v>62</v>
      </c>
      <c r="T13" t="s">
        <v>55</v>
      </c>
      <c r="U13" s="3">
        <f t="shared" si="0"/>
        <v>45839</v>
      </c>
    </row>
    <row r="14" spans="1:21" x14ac:dyDescent="0.35">
      <c r="A14" t="s">
        <v>90</v>
      </c>
      <c r="B14" t="s">
        <v>91</v>
      </c>
      <c r="C14" t="s">
        <v>35</v>
      </c>
      <c r="D14" t="s">
        <v>92</v>
      </c>
      <c r="E14" t="s">
        <v>70</v>
      </c>
      <c r="F14" t="s">
        <v>25</v>
      </c>
      <c r="G14" t="s">
        <v>60</v>
      </c>
      <c r="H14" t="s">
        <v>27</v>
      </c>
      <c r="I14" t="s">
        <v>61</v>
      </c>
      <c r="J14">
        <v>45787.35</v>
      </c>
      <c r="K14">
        <v>494.94</v>
      </c>
      <c r="L14">
        <v>89.09</v>
      </c>
      <c r="M14">
        <v>117.53</v>
      </c>
      <c r="N14">
        <v>46253.85</v>
      </c>
      <c r="O14">
        <v>55657.04</v>
      </c>
      <c r="P14">
        <v>863</v>
      </c>
      <c r="Q14" t="s">
        <v>29</v>
      </c>
      <c r="R14" t="s">
        <v>75</v>
      </c>
      <c r="S14" t="s">
        <v>31</v>
      </c>
      <c r="T14" t="s">
        <v>55</v>
      </c>
      <c r="U14" s="3">
        <f t="shared" si="0"/>
        <v>45931</v>
      </c>
    </row>
    <row r="15" spans="1:21" x14ac:dyDescent="0.35">
      <c r="A15" t="s">
        <v>93</v>
      </c>
      <c r="B15" t="s">
        <v>94</v>
      </c>
      <c r="C15" t="s">
        <v>95</v>
      </c>
      <c r="D15" t="s">
        <v>96</v>
      </c>
      <c r="E15" t="s">
        <v>24</v>
      </c>
      <c r="F15" t="s">
        <v>59</v>
      </c>
      <c r="G15" t="s">
        <v>60</v>
      </c>
      <c r="H15" t="s">
        <v>39</v>
      </c>
      <c r="I15" t="s">
        <v>61</v>
      </c>
      <c r="J15">
        <v>92618.63</v>
      </c>
      <c r="K15">
        <v>526.23</v>
      </c>
      <c r="L15">
        <v>94.72</v>
      </c>
      <c r="M15">
        <v>484.32</v>
      </c>
      <c r="N15">
        <v>92755.26</v>
      </c>
      <c r="O15">
        <v>54001.15</v>
      </c>
      <c r="P15">
        <v>898</v>
      </c>
      <c r="Q15" t="s">
        <v>53</v>
      </c>
      <c r="R15" t="s">
        <v>54</v>
      </c>
      <c r="S15" t="s">
        <v>86</v>
      </c>
      <c r="T15" t="s">
        <v>55</v>
      </c>
      <c r="U15" s="3">
        <f t="shared" si="0"/>
        <v>45839</v>
      </c>
    </row>
    <row r="16" spans="1:21" x14ac:dyDescent="0.35">
      <c r="A16" t="s">
        <v>97</v>
      </c>
      <c r="B16" t="s">
        <v>98</v>
      </c>
      <c r="C16" t="s">
        <v>35</v>
      </c>
      <c r="D16" t="s">
        <v>99</v>
      </c>
      <c r="E16" t="s">
        <v>45</v>
      </c>
      <c r="F16" t="s">
        <v>25</v>
      </c>
      <c r="G16" t="s">
        <v>26</v>
      </c>
      <c r="H16" t="s">
        <v>48</v>
      </c>
      <c r="I16" t="s">
        <v>28</v>
      </c>
      <c r="J16">
        <v>168342.39</v>
      </c>
      <c r="K16">
        <v>695.64</v>
      </c>
      <c r="L16">
        <v>125.22</v>
      </c>
      <c r="M16">
        <v>279.60000000000002</v>
      </c>
      <c r="N16">
        <v>168883.65</v>
      </c>
      <c r="O16">
        <v>56998.43</v>
      </c>
      <c r="P16">
        <v>531</v>
      </c>
      <c r="Q16" t="s">
        <v>53</v>
      </c>
      <c r="R16" t="s">
        <v>30</v>
      </c>
      <c r="S16" t="s">
        <v>79</v>
      </c>
      <c r="T16" t="s">
        <v>55</v>
      </c>
      <c r="U16" s="3">
        <f t="shared" si="0"/>
        <v>45839</v>
      </c>
    </row>
    <row r="17" spans="1:21" x14ac:dyDescent="0.35">
      <c r="A17" t="s">
        <v>100</v>
      </c>
      <c r="B17" t="s">
        <v>101</v>
      </c>
      <c r="C17" t="s">
        <v>22</v>
      </c>
      <c r="D17" t="s">
        <v>102</v>
      </c>
      <c r="E17" t="s">
        <v>37</v>
      </c>
      <c r="F17" t="s">
        <v>38</v>
      </c>
      <c r="G17" t="s">
        <v>103</v>
      </c>
      <c r="H17" t="s">
        <v>48</v>
      </c>
      <c r="I17" t="s">
        <v>40</v>
      </c>
      <c r="J17">
        <v>184802.2</v>
      </c>
      <c r="K17">
        <v>527.26</v>
      </c>
      <c r="L17">
        <v>94.91</v>
      </c>
      <c r="M17">
        <v>469.75</v>
      </c>
      <c r="N17">
        <v>184954.62</v>
      </c>
      <c r="O17">
        <v>63242.74</v>
      </c>
      <c r="P17">
        <v>830</v>
      </c>
      <c r="Q17" t="s">
        <v>29</v>
      </c>
      <c r="R17" t="s">
        <v>30</v>
      </c>
      <c r="S17" t="s">
        <v>31</v>
      </c>
      <c r="T17" t="s">
        <v>55</v>
      </c>
      <c r="U17" s="3">
        <f t="shared" si="0"/>
        <v>45870</v>
      </c>
    </row>
    <row r="18" spans="1:21" x14ac:dyDescent="0.35">
      <c r="A18" t="s">
        <v>104</v>
      </c>
      <c r="B18" t="s">
        <v>72</v>
      </c>
      <c r="C18" t="s">
        <v>95</v>
      </c>
      <c r="D18" t="s">
        <v>105</v>
      </c>
      <c r="E18" t="s">
        <v>37</v>
      </c>
      <c r="F18" t="s">
        <v>59</v>
      </c>
      <c r="G18" t="s">
        <v>103</v>
      </c>
      <c r="H18" t="s">
        <v>39</v>
      </c>
      <c r="I18" t="s">
        <v>61</v>
      </c>
      <c r="J18">
        <v>142070.69</v>
      </c>
      <c r="K18">
        <v>1578.21</v>
      </c>
      <c r="L18">
        <v>284.08</v>
      </c>
      <c r="M18">
        <v>196.9</v>
      </c>
      <c r="N18">
        <v>143736.07999999999</v>
      </c>
      <c r="O18">
        <v>71599.22</v>
      </c>
      <c r="P18">
        <v>838</v>
      </c>
      <c r="Q18" t="s">
        <v>29</v>
      </c>
      <c r="R18" t="s">
        <v>30</v>
      </c>
      <c r="S18" t="s">
        <v>86</v>
      </c>
      <c r="T18" t="s">
        <v>32</v>
      </c>
      <c r="U18" s="3">
        <f t="shared" si="0"/>
        <v>45658</v>
      </c>
    </row>
    <row r="19" spans="1:21" x14ac:dyDescent="0.35">
      <c r="A19" t="s">
        <v>106</v>
      </c>
      <c r="B19" t="s">
        <v>107</v>
      </c>
      <c r="C19" t="s">
        <v>35</v>
      </c>
      <c r="D19" t="s">
        <v>108</v>
      </c>
      <c r="E19" t="s">
        <v>37</v>
      </c>
      <c r="F19" t="s">
        <v>38</v>
      </c>
      <c r="G19" t="s">
        <v>47</v>
      </c>
      <c r="H19" t="s">
        <v>39</v>
      </c>
      <c r="I19" t="s">
        <v>61</v>
      </c>
      <c r="J19">
        <v>37708.699999999997</v>
      </c>
      <c r="K19">
        <v>70.349999999999994</v>
      </c>
      <c r="L19">
        <v>12.66</v>
      </c>
      <c r="M19">
        <v>445.72</v>
      </c>
      <c r="N19">
        <v>37345.99</v>
      </c>
      <c r="O19">
        <v>81493.48</v>
      </c>
      <c r="P19">
        <v>790</v>
      </c>
      <c r="Q19" t="s">
        <v>74</v>
      </c>
      <c r="R19" t="s">
        <v>54</v>
      </c>
      <c r="S19" t="s">
        <v>86</v>
      </c>
      <c r="T19" t="s">
        <v>32</v>
      </c>
      <c r="U19" s="3">
        <f t="shared" si="0"/>
        <v>45870</v>
      </c>
    </row>
    <row r="20" spans="1:21" x14ac:dyDescent="0.35">
      <c r="A20" t="s">
        <v>109</v>
      </c>
      <c r="B20" t="s">
        <v>110</v>
      </c>
      <c r="C20" t="s">
        <v>22</v>
      </c>
      <c r="D20" t="s">
        <v>111</v>
      </c>
      <c r="E20" t="s">
        <v>70</v>
      </c>
      <c r="F20" t="s">
        <v>38</v>
      </c>
      <c r="G20" t="s">
        <v>103</v>
      </c>
      <c r="H20" t="s">
        <v>39</v>
      </c>
      <c r="I20" t="s">
        <v>40</v>
      </c>
      <c r="J20">
        <v>47880.18</v>
      </c>
      <c r="K20">
        <v>688.2</v>
      </c>
      <c r="L20">
        <v>123.88</v>
      </c>
      <c r="M20">
        <v>198.29</v>
      </c>
      <c r="N20">
        <v>48493.97</v>
      </c>
      <c r="O20">
        <v>88246</v>
      </c>
      <c r="P20">
        <v>632</v>
      </c>
      <c r="Q20" t="s">
        <v>53</v>
      </c>
      <c r="R20" t="s">
        <v>54</v>
      </c>
      <c r="S20" t="s">
        <v>79</v>
      </c>
      <c r="T20" t="s">
        <v>32</v>
      </c>
      <c r="U20" s="3">
        <f t="shared" si="0"/>
        <v>45992</v>
      </c>
    </row>
    <row r="21" spans="1:21" x14ac:dyDescent="0.35">
      <c r="A21" t="s">
        <v>112</v>
      </c>
      <c r="B21" t="s">
        <v>113</v>
      </c>
      <c r="C21" t="s">
        <v>95</v>
      </c>
      <c r="D21" t="s">
        <v>114</v>
      </c>
      <c r="E21" t="s">
        <v>70</v>
      </c>
      <c r="F21" t="s">
        <v>46</v>
      </c>
      <c r="G21" t="s">
        <v>26</v>
      </c>
      <c r="H21" t="s">
        <v>48</v>
      </c>
      <c r="I21" t="s">
        <v>40</v>
      </c>
      <c r="J21">
        <v>198325.06</v>
      </c>
      <c r="K21">
        <v>3308.26</v>
      </c>
      <c r="L21">
        <v>595.49</v>
      </c>
      <c r="M21">
        <v>450.84</v>
      </c>
      <c r="N21">
        <v>201777.97</v>
      </c>
      <c r="O21">
        <v>88600.88</v>
      </c>
      <c r="P21">
        <v>865</v>
      </c>
      <c r="Q21" t="s">
        <v>53</v>
      </c>
      <c r="R21" t="s">
        <v>30</v>
      </c>
      <c r="S21" t="s">
        <v>62</v>
      </c>
      <c r="T21" t="s">
        <v>41</v>
      </c>
      <c r="U21" s="3">
        <f t="shared" si="0"/>
        <v>45839</v>
      </c>
    </row>
    <row r="22" spans="1:21" x14ac:dyDescent="0.35">
      <c r="A22" t="s">
        <v>115</v>
      </c>
      <c r="B22" t="s">
        <v>116</v>
      </c>
      <c r="C22" t="s">
        <v>22</v>
      </c>
      <c r="D22" t="s">
        <v>117</v>
      </c>
      <c r="E22" t="s">
        <v>70</v>
      </c>
      <c r="F22" t="s">
        <v>38</v>
      </c>
      <c r="G22" t="s">
        <v>47</v>
      </c>
      <c r="H22" t="s">
        <v>39</v>
      </c>
      <c r="I22" t="s">
        <v>40</v>
      </c>
      <c r="J22">
        <v>190523.34</v>
      </c>
      <c r="K22">
        <v>2435.9299999999998</v>
      </c>
      <c r="L22">
        <v>438.47</v>
      </c>
      <c r="M22">
        <v>273.18</v>
      </c>
      <c r="N22">
        <v>193124.56</v>
      </c>
      <c r="O22">
        <v>97713.58</v>
      </c>
      <c r="P22">
        <v>404</v>
      </c>
      <c r="Q22" t="s">
        <v>53</v>
      </c>
      <c r="R22" t="s">
        <v>75</v>
      </c>
      <c r="S22" t="s">
        <v>31</v>
      </c>
      <c r="T22" t="s">
        <v>55</v>
      </c>
      <c r="U22" s="3">
        <f t="shared" si="0"/>
        <v>45689</v>
      </c>
    </row>
    <row r="23" spans="1:21" x14ac:dyDescent="0.35">
      <c r="A23" t="s">
        <v>118</v>
      </c>
      <c r="B23" t="s">
        <v>119</v>
      </c>
      <c r="C23" t="s">
        <v>22</v>
      </c>
      <c r="D23" t="s">
        <v>120</v>
      </c>
      <c r="E23" t="s">
        <v>70</v>
      </c>
      <c r="F23" t="s">
        <v>46</v>
      </c>
      <c r="G23" t="s">
        <v>103</v>
      </c>
      <c r="H23" t="s">
        <v>52</v>
      </c>
      <c r="I23" t="s">
        <v>28</v>
      </c>
      <c r="J23">
        <v>63587.97</v>
      </c>
      <c r="K23">
        <v>550.38</v>
      </c>
      <c r="L23">
        <v>99.07</v>
      </c>
      <c r="M23">
        <v>213.88</v>
      </c>
      <c r="N23">
        <v>64023.54</v>
      </c>
      <c r="O23">
        <v>97657.74</v>
      </c>
      <c r="P23">
        <v>428</v>
      </c>
      <c r="Q23" t="s">
        <v>29</v>
      </c>
      <c r="R23" t="s">
        <v>75</v>
      </c>
      <c r="S23" t="s">
        <v>31</v>
      </c>
      <c r="T23" t="s">
        <v>32</v>
      </c>
      <c r="U23" s="3">
        <f t="shared" si="0"/>
        <v>45962</v>
      </c>
    </row>
    <row r="24" spans="1:21" x14ac:dyDescent="0.35">
      <c r="A24" t="s">
        <v>121</v>
      </c>
      <c r="B24" t="s">
        <v>122</v>
      </c>
      <c r="C24" t="s">
        <v>35</v>
      </c>
      <c r="D24" t="s">
        <v>123</v>
      </c>
      <c r="E24" t="s">
        <v>70</v>
      </c>
      <c r="F24" t="s">
        <v>59</v>
      </c>
      <c r="G24" t="s">
        <v>103</v>
      </c>
      <c r="H24" t="s">
        <v>39</v>
      </c>
      <c r="I24" t="s">
        <v>61</v>
      </c>
      <c r="J24">
        <v>24785</v>
      </c>
      <c r="K24">
        <v>308.07</v>
      </c>
      <c r="L24">
        <v>55.45</v>
      </c>
      <c r="M24">
        <v>237.87</v>
      </c>
      <c r="N24">
        <v>24910.65</v>
      </c>
      <c r="O24">
        <v>97988.19</v>
      </c>
      <c r="P24">
        <v>875</v>
      </c>
      <c r="Q24" t="s">
        <v>74</v>
      </c>
      <c r="R24" t="s">
        <v>54</v>
      </c>
      <c r="S24" t="s">
        <v>62</v>
      </c>
      <c r="T24" t="s">
        <v>55</v>
      </c>
      <c r="U24" s="3">
        <f t="shared" si="0"/>
        <v>45962</v>
      </c>
    </row>
    <row r="25" spans="1:21" x14ac:dyDescent="0.35">
      <c r="A25" t="s">
        <v>124</v>
      </c>
      <c r="B25" t="s">
        <v>125</v>
      </c>
      <c r="C25" t="s">
        <v>95</v>
      </c>
      <c r="D25" t="s">
        <v>126</v>
      </c>
      <c r="E25" t="s">
        <v>45</v>
      </c>
      <c r="F25" t="s">
        <v>25</v>
      </c>
      <c r="G25" t="s">
        <v>47</v>
      </c>
      <c r="H25" t="s">
        <v>39</v>
      </c>
      <c r="I25" t="s">
        <v>28</v>
      </c>
      <c r="J25">
        <v>177373.5</v>
      </c>
      <c r="K25">
        <v>308.11</v>
      </c>
      <c r="L25">
        <v>55.46</v>
      </c>
      <c r="M25">
        <v>360.36</v>
      </c>
      <c r="N25">
        <v>177376.71</v>
      </c>
      <c r="O25">
        <v>103468.6</v>
      </c>
      <c r="P25">
        <v>422</v>
      </c>
      <c r="Q25" t="s">
        <v>74</v>
      </c>
      <c r="R25" t="s">
        <v>75</v>
      </c>
      <c r="S25" t="s">
        <v>31</v>
      </c>
      <c r="T25" t="s">
        <v>41</v>
      </c>
      <c r="U25" s="3">
        <f t="shared" si="0"/>
        <v>45778</v>
      </c>
    </row>
    <row r="26" spans="1:21" x14ac:dyDescent="0.35">
      <c r="A26" t="s">
        <v>127</v>
      </c>
      <c r="B26" t="s">
        <v>128</v>
      </c>
      <c r="C26" t="s">
        <v>95</v>
      </c>
      <c r="D26" t="s">
        <v>129</v>
      </c>
      <c r="E26" t="s">
        <v>45</v>
      </c>
      <c r="F26" t="s">
        <v>38</v>
      </c>
      <c r="G26" t="s">
        <v>26</v>
      </c>
      <c r="H26" t="s">
        <v>66</v>
      </c>
      <c r="I26" t="s">
        <v>61</v>
      </c>
      <c r="J26">
        <v>110540.29</v>
      </c>
      <c r="K26">
        <v>1082.8800000000001</v>
      </c>
      <c r="L26">
        <v>194.92</v>
      </c>
      <c r="M26">
        <v>490.61</v>
      </c>
      <c r="N26">
        <v>111327.48</v>
      </c>
      <c r="O26">
        <v>99572.52</v>
      </c>
      <c r="P26">
        <v>805</v>
      </c>
      <c r="Q26" t="s">
        <v>29</v>
      </c>
      <c r="R26" t="s">
        <v>30</v>
      </c>
      <c r="S26" t="s">
        <v>79</v>
      </c>
      <c r="T26" t="s">
        <v>55</v>
      </c>
      <c r="U26" s="3">
        <f t="shared" si="0"/>
        <v>45748</v>
      </c>
    </row>
    <row r="27" spans="1:21" x14ac:dyDescent="0.35">
      <c r="A27" t="s">
        <v>130</v>
      </c>
      <c r="B27" t="s">
        <v>131</v>
      </c>
      <c r="C27" t="s">
        <v>35</v>
      </c>
      <c r="D27" t="s">
        <v>132</v>
      </c>
      <c r="E27" t="s">
        <v>24</v>
      </c>
      <c r="F27" t="s">
        <v>59</v>
      </c>
      <c r="G27" t="s">
        <v>47</v>
      </c>
      <c r="H27" t="s">
        <v>27</v>
      </c>
      <c r="I27" t="s">
        <v>61</v>
      </c>
      <c r="J27">
        <v>119263.55</v>
      </c>
      <c r="K27">
        <v>276.16000000000003</v>
      </c>
      <c r="L27">
        <v>49.71</v>
      </c>
      <c r="M27">
        <v>92.29</v>
      </c>
      <c r="N27">
        <v>119497.13</v>
      </c>
      <c r="O27">
        <v>96762.15</v>
      </c>
      <c r="P27">
        <v>334</v>
      </c>
      <c r="Q27" t="s">
        <v>29</v>
      </c>
      <c r="R27" t="s">
        <v>30</v>
      </c>
      <c r="S27" t="s">
        <v>31</v>
      </c>
      <c r="T27" t="s">
        <v>41</v>
      </c>
      <c r="U27" s="3">
        <f t="shared" si="0"/>
        <v>45931</v>
      </c>
    </row>
    <row r="28" spans="1:21" x14ac:dyDescent="0.35">
      <c r="A28" t="s">
        <v>133</v>
      </c>
      <c r="B28" t="s">
        <v>134</v>
      </c>
      <c r="C28" t="s">
        <v>22</v>
      </c>
      <c r="D28" t="s">
        <v>135</v>
      </c>
      <c r="E28" t="s">
        <v>45</v>
      </c>
      <c r="F28" t="s">
        <v>38</v>
      </c>
      <c r="G28" t="s">
        <v>103</v>
      </c>
      <c r="H28" t="s">
        <v>39</v>
      </c>
      <c r="I28" t="s">
        <v>28</v>
      </c>
      <c r="J28">
        <v>10043.49</v>
      </c>
      <c r="K28">
        <v>52.98</v>
      </c>
      <c r="L28">
        <v>9.5399999999999991</v>
      </c>
      <c r="M28">
        <v>20.13</v>
      </c>
      <c r="N28">
        <v>10085.879999999999</v>
      </c>
      <c r="O28">
        <v>93687.87</v>
      </c>
      <c r="P28">
        <v>621</v>
      </c>
      <c r="Q28" t="s">
        <v>29</v>
      </c>
      <c r="R28" t="s">
        <v>75</v>
      </c>
      <c r="S28" t="s">
        <v>31</v>
      </c>
      <c r="T28" t="s">
        <v>55</v>
      </c>
      <c r="U28" s="3">
        <f t="shared" si="0"/>
        <v>45717</v>
      </c>
    </row>
    <row r="29" spans="1:21" x14ac:dyDescent="0.35">
      <c r="A29" t="s">
        <v>136</v>
      </c>
      <c r="B29" t="s">
        <v>137</v>
      </c>
      <c r="C29" t="s">
        <v>95</v>
      </c>
      <c r="D29" t="s">
        <v>138</v>
      </c>
      <c r="E29" t="s">
        <v>70</v>
      </c>
      <c r="F29" t="s">
        <v>46</v>
      </c>
      <c r="G29" t="s">
        <v>47</v>
      </c>
      <c r="H29" t="s">
        <v>48</v>
      </c>
      <c r="I29" t="s">
        <v>28</v>
      </c>
      <c r="J29">
        <v>72934.080000000002</v>
      </c>
      <c r="K29">
        <v>476.08</v>
      </c>
      <c r="L29">
        <v>85.69</v>
      </c>
      <c r="M29">
        <v>172.2</v>
      </c>
      <c r="N29">
        <v>73323.649999999994</v>
      </c>
      <c r="O29">
        <v>90116.4</v>
      </c>
      <c r="P29">
        <v>384</v>
      </c>
      <c r="Q29" t="s">
        <v>29</v>
      </c>
      <c r="R29" t="s">
        <v>54</v>
      </c>
      <c r="S29" t="s">
        <v>79</v>
      </c>
      <c r="T29" t="s">
        <v>41</v>
      </c>
      <c r="U29" s="3">
        <f t="shared" si="0"/>
        <v>45748</v>
      </c>
    </row>
    <row r="30" spans="1:21" x14ac:dyDescent="0.35">
      <c r="A30" t="s">
        <v>139</v>
      </c>
      <c r="B30" t="s">
        <v>140</v>
      </c>
      <c r="C30" t="s">
        <v>95</v>
      </c>
      <c r="D30" t="s">
        <v>141</v>
      </c>
      <c r="E30" t="s">
        <v>37</v>
      </c>
      <c r="F30" t="s">
        <v>59</v>
      </c>
      <c r="G30" t="s">
        <v>47</v>
      </c>
      <c r="H30" t="s">
        <v>39</v>
      </c>
      <c r="I30" t="s">
        <v>40</v>
      </c>
      <c r="J30">
        <v>66579.37</v>
      </c>
      <c r="K30">
        <v>546.38</v>
      </c>
      <c r="L30">
        <v>98.35</v>
      </c>
      <c r="M30">
        <v>347.19</v>
      </c>
      <c r="N30">
        <v>66876.91</v>
      </c>
      <c r="O30">
        <v>99860.21</v>
      </c>
      <c r="P30">
        <v>705</v>
      </c>
      <c r="Q30" t="s">
        <v>74</v>
      </c>
      <c r="R30" t="s">
        <v>54</v>
      </c>
      <c r="S30" t="s">
        <v>62</v>
      </c>
      <c r="T30" t="s">
        <v>32</v>
      </c>
      <c r="U30" s="3">
        <f t="shared" si="0"/>
        <v>45992</v>
      </c>
    </row>
    <row r="31" spans="1:21" x14ac:dyDescent="0.35">
      <c r="A31" t="s">
        <v>142</v>
      </c>
      <c r="B31" t="s">
        <v>143</v>
      </c>
      <c r="C31" t="s">
        <v>22</v>
      </c>
      <c r="D31" t="s">
        <v>144</v>
      </c>
      <c r="E31" t="s">
        <v>70</v>
      </c>
      <c r="F31" t="s">
        <v>59</v>
      </c>
      <c r="G31" t="s">
        <v>47</v>
      </c>
      <c r="H31" t="s">
        <v>52</v>
      </c>
      <c r="I31" t="s">
        <v>40</v>
      </c>
      <c r="J31">
        <v>128877.27</v>
      </c>
      <c r="K31">
        <v>434.56</v>
      </c>
      <c r="L31">
        <v>78.22</v>
      </c>
      <c r="M31">
        <v>246.14</v>
      </c>
      <c r="N31">
        <v>129143.91</v>
      </c>
      <c r="O31">
        <v>101124.39</v>
      </c>
      <c r="P31">
        <v>477</v>
      </c>
      <c r="Q31" t="s">
        <v>53</v>
      </c>
      <c r="R31" t="s">
        <v>75</v>
      </c>
      <c r="S31" t="s">
        <v>62</v>
      </c>
      <c r="T31" t="s">
        <v>32</v>
      </c>
      <c r="U31" s="3">
        <f t="shared" si="0"/>
        <v>45809</v>
      </c>
    </row>
    <row r="32" spans="1:21" x14ac:dyDescent="0.35">
      <c r="A32" t="s">
        <v>145</v>
      </c>
      <c r="B32" t="s">
        <v>146</v>
      </c>
      <c r="C32" t="s">
        <v>35</v>
      </c>
      <c r="D32" t="s">
        <v>147</v>
      </c>
      <c r="E32" t="s">
        <v>70</v>
      </c>
      <c r="F32" t="s">
        <v>46</v>
      </c>
      <c r="G32" t="s">
        <v>26</v>
      </c>
      <c r="H32" t="s">
        <v>66</v>
      </c>
      <c r="I32" t="s">
        <v>28</v>
      </c>
      <c r="J32">
        <v>153020.94</v>
      </c>
      <c r="K32">
        <v>2257.2800000000002</v>
      </c>
      <c r="L32">
        <v>406.31</v>
      </c>
      <c r="M32">
        <v>80.739999999999995</v>
      </c>
      <c r="N32">
        <v>155603.79</v>
      </c>
      <c r="O32">
        <v>100550.94</v>
      </c>
      <c r="P32">
        <v>697</v>
      </c>
      <c r="Q32" t="s">
        <v>53</v>
      </c>
      <c r="R32" t="s">
        <v>30</v>
      </c>
      <c r="S32" t="s">
        <v>79</v>
      </c>
      <c r="T32" t="s">
        <v>32</v>
      </c>
      <c r="U32" s="3">
        <f t="shared" si="0"/>
        <v>45870</v>
      </c>
    </row>
    <row r="33" spans="1:21" x14ac:dyDescent="0.35">
      <c r="A33" t="s">
        <v>148</v>
      </c>
      <c r="B33" t="s">
        <v>149</v>
      </c>
      <c r="C33" t="s">
        <v>95</v>
      </c>
      <c r="D33" t="s">
        <v>150</v>
      </c>
      <c r="E33" t="s">
        <v>37</v>
      </c>
      <c r="F33" t="s">
        <v>38</v>
      </c>
      <c r="G33" t="s">
        <v>26</v>
      </c>
      <c r="H33" t="s">
        <v>52</v>
      </c>
      <c r="I33" t="s">
        <v>61</v>
      </c>
      <c r="J33">
        <v>52989.06</v>
      </c>
      <c r="K33">
        <v>659.91</v>
      </c>
      <c r="L33">
        <v>118.78</v>
      </c>
      <c r="M33">
        <v>101.9</v>
      </c>
      <c r="N33">
        <v>53665.85</v>
      </c>
      <c r="O33">
        <v>98461.4</v>
      </c>
      <c r="P33">
        <v>882</v>
      </c>
      <c r="Q33" t="s">
        <v>53</v>
      </c>
      <c r="R33" t="s">
        <v>75</v>
      </c>
      <c r="S33" t="s">
        <v>31</v>
      </c>
      <c r="T33" t="s">
        <v>41</v>
      </c>
      <c r="U33" s="3">
        <f t="shared" si="0"/>
        <v>45689</v>
      </c>
    </row>
    <row r="34" spans="1:21" x14ac:dyDescent="0.35">
      <c r="A34" t="s">
        <v>151</v>
      </c>
      <c r="B34" t="s">
        <v>152</v>
      </c>
      <c r="C34" t="s">
        <v>22</v>
      </c>
      <c r="D34" t="s">
        <v>153</v>
      </c>
      <c r="E34" t="s">
        <v>45</v>
      </c>
      <c r="F34" t="s">
        <v>59</v>
      </c>
      <c r="G34" t="s">
        <v>60</v>
      </c>
      <c r="H34" t="s">
        <v>27</v>
      </c>
      <c r="I34" t="s">
        <v>40</v>
      </c>
      <c r="J34">
        <v>74472.649999999994</v>
      </c>
      <c r="K34">
        <v>1040.55</v>
      </c>
      <c r="L34">
        <v>187.3</v>
      </c>
      <c r="M34">
        <v>406.28</v>
      </c>
      <c r="N34">
        <v>75294.22</v>
      </c>
      <c r="O34">
        <v>98892.1</v>
      </c>
      <c r="P34">
        <v>570</v>
      </c>
      <c r="Q34" t="s">
        <v>74</v>
      </c>
      <c r="R34" t="s">
        <v>75</v>
      </c>
      <c r="S34" t="s">
        <v>62</v>
      </c>
      <c r="T34" t="s">
        <v>41</v>
      </c>
      <c r="U34" s="3">
        <f t="shared" si="0"/>
        <v>45689</v>
      </c>
    </row>
    <row r="35" spans="1:21" x14ac:dyDescent="0.35">
      <c r="A35" t="s">
        <v>154</v>
      </c>
      <c r="B35" t="s">
        <v>155</v>
      </c>
      <c r="C35" t="s">
        <v>95</v>
      </c>
      <c r="D35" t="s">
        <v>156</v>
      </c>
      <c r="E35" t="s">
        <v>45</v>
      </c>
      <c r="F35" t="s">
        <v>25</v>
      </c>
      <c r="G35" t="s">
        <v>60</v>
      </c>
      <c r="H35" t="s">
        <v>52</v>
      </c>
      <c r="I35" t="s">
        <v>28</v>
      </c>
      <c r="J35">
        <v>8849.9699999999993</v>
      </c>
      <c r="K35">
        <v>51.44</v>
      </c>
      <c r="L35">
        <v>9.26</v>
      </c>
      <c r="M35">
        <v>33.159999999999997</v>
      </c>
      <c r="N35">
        <v>8877.51</v>
      </c>
      <c r="O35">
        <v>100946.73</v>
      </c>
      <c r="P35">
        <v>585</v>
      </c>
      <c r="Q35" t="s">
        <v>53</v>
      </c>
      <c r="R35" t="s">
        <v>30</v>
      </c>
      <c r="S35" t="s">
        <v>79</v>
      </c>
      <c r="T35" t="s">
        <v>32</v>
      </c>
      <c r="U35" s="3">
        <f t="shared" si="0"/>
        <v>45717</v>
      </c>
    </row>
    <row r="36" spans="1:21" x14ac:dyDescent="0.35">
      <c r="A36" t="s">
        <v>157</v>
      </c>
      <c r="B36" t="s">
        <v>158</v>
      </c>
      <c r="C36" t="s">
        <v>35</v>
      </c>
      <c r="D36" t="s">
        <v>159</v>
      </c>
      <c r="E36" t="s">
        <v>70</v>
      </c>
      <c r="F36" t="s">
        <v>46</v>
      </c>
      <c r="G36" t="s">
        <v>47</v>
      </c>
      <c r="H36" t="s">
        <v>52</v>
      </c>
      <c r="I36" t="s">
        <v>40</v>
      </c>
      <c r="J36">
        <v>58227.93</v>
      </c>
      <c r="K36">
        <v>218.5</v>
      </c>
      <c r="L36">
        <v>39.33</v>
      </c>
      <c r="M36">
        <v>371.26</v>
      </c>
      <c r="N36">
        <v>58114.5</v>
      </c>
      <c r="O36">
        <v>104532.75</v>
      </c>
      <c r="P36">
        <v>398</v>
      </c>
      <c r="Q36" t="s">
        <v>74</v>
      </c>
      <c r="R36" t="s">
        <v>75</v>
      </c>
      <c r="S36" t="s">
        <v>79</v>
      </c>
      <c r="T36" t="s">
        <v>41</v>
      </c>
      <c r="U36" s="3">
        <f t="shared" si="0"/>
        <v>45992</v>
      </c>
    </row>
    <row r="37" spans="1:21" x14ac:dyDescent="0.35">
      <c r="A37" t="s">
        <v>160</v>
      </c>
      <c r="B37" t="s">
        <v>158</v>
      </c>
      <c r="C37" t="s">
        <v>22</v>
      </c>
      <c r="D37" t="s">
        <v>161</v>
      </c>
      <c r="E37" t="s">
        <v>24</v>
      </c>
      <c r="F37" t="s">
        <v>46</v>
      </c>
      <c r="G37" t="s">
        <v>26</v>
      </c>
      <c r="H37" t="s">
        <v>52</v>
      </c>
      <c r="I37" t="s">
        <v>28</v>
      </c>
      <c r="J37">
        <v>63143.39</v>
      </c>
      <c r="K37">
        <v>676.98</v>
      </c>
      <c r="L37">
        <v>121.86</v>
      </c>
      <c r="M37">
        <v>379.86</v>
      </c>
      <c r="N37">
        <v>63562.37</v>
      </c>
      <c r="O37">
        <v>102973.86</v>
      </c>
      <c r="P37">
        <v>863</v>
      </c>
      <c r="Q37" t="s">
        <v>53</v>
      </c>
      <c r="R37" t="s">
        <v>30</v>
      </c>
      <c r="S37" t="s">
        <v>31</v>
      </c>
      <c r="T37" t="s">
        <v>55</v>
      </c>
      <c r="U37" s="3">
        <f t="shared" si="0"/>
        <v>45992</v>
      </c>
    </row>
    <row r="38" spans="1:21" x14ac:dyDescent="0.35">
      <c r="A38" t="s">
        <v>162</v>
      </c>
      <c r="B38" t="s">
        <v>163</v>
      </c>
      <c r="C38" t="s">
        <v>22</v>
      </c>
      <c r="D38" t="s">
        <v>164</v>
      </c>
      <c r="E38" t="s">
        <v>45</v>
      </c>
      <c r="F38" t="s">
        <v>38</v>
      </c>
      <c r="G38" t="s">
        <v>47</v>
      </c>
      <c r="H38" t="s">
        <v>66</v>
      </c>
      <c r="I38" t="s">
        <v>61</v>
      </c>
      <c r="J38">
        <v>100540.45</v>
      </c>
      <c r="K38">
        <v>798.63</v>
      </c>
      <c r="L38">
        <v>143.75</v>
      </c>
      <c r="M38">
        <v>246.34</v>
      </c>
      <c r="N38">
        <v>101236.49</v>
      </c>
      <c r="O38">
        <v>104355.74</v>
      </c>
      <c r="P38">
        <v>673</v>
      </c>
      <c r="Q38" t="s">
        <v>74</v>
      </c>
      <c r="R38" t="s">
        <v>30</v>
      </c>
      <c r="S38" t="s">
        <v>86</v>
      </c>
      <c r="T38" t="s">
        <v>41</v>
      </c>
      <c r="U38" s="3">
        <f t="shared" si="0"/>
        <v>45870</v>
      </c>
    </row>
    <row r="39" spans="1:21" x14ac:dyDescent="0.35">
      <c r="A39" t="s">
        <v>165</v>
      </c>
      <c r="B39" t="s">
        <v>166</v>
      </c>
      <c r="C39" t="s">
        <v>22</v>
      </c>
      <c r="D39" t="s">
        <v>167</v>
      </c>
      <c r="E39" t="s">
        <v>70</v>
      </c>
      <c r="F39" t="s">
        <v>59</v>
      </c>
      <c r="G39" t="s">
        <v>47</v>
      </c>
      <c r="H39" t="s">
        <v>39</v>
      </c>
      <c r="I39" t="s">
        <v>61</v>
      </c>
      <c r="J39">
        <v>45769.279999999999</v>
      </c>
      <c r="K39">
        <v>205.64</v>
      </c>
      <c r="L39">
        <v>37.020000000000003</v>
      </c>
      <c r="M39">
        <v>458.65</v>
      </c>
      <c r="N39">
        <v>45553.29</v>
      </c>
      <c r="O39">
        <v>102098.36</v>
      </c>
      <c r="P39">
        <v>461</v>
      </c>
      <c r="Q39" t="s">
        <v>53</v>
      </c>
      <c r="R39" t="s">
        <v>75</v>
      </c>
      <c r="S39" t="s">
        <v>31</v>
      </c>
      <c r="T39" t="s">
        <v>41</v>
      </c>
      <c r="U39" s="3">
        <f t="shared" si="0"/>
        <v>45689</v>
      </c>
    </row>
    <row r="40" spans="1:21" x14ac:dyDescent="0.35">
      <c r="A40" t="s">
        <v>168</v>
      </c>
      <c r="B40" t="s">
        <v>169</v>
      </c>
      <c r="C40" t="s">
        <v>35</v>
      </c>
      <c r="D40" t="s">
        <v>170</v>
      </c>
      <c r="E40" t="s">
        <v>45</v>
      </c>
      <c r="F40" t="s">
        <v>46</v>
      </c>
      <c r="G40" t="s">
        <v>47</v>
      </c>
      <c r="H40" t="s">
        <v>39</v>
      </c>
      <c r="I40" t="s">
        <v>40</v>
      </c>
      <c r="J40">
        <v>42838.38</v>
      </c>
      <c r="K40">
        <v>527.34</v>
      </c>
      <c r="L40">
        <v>94.92</v>
      </c>
      <c r="M40">
        <v>61.49</v>
      </c>
      <c r="N40">
        <v>43399.15</v>
      </c>
      <c r="O40">
        <v>99169.61</v>
      </c>
      <c r="P40">
        <v>783</v>
      </c>
      <c r="Q40" t="s">
        <v>74</v>
      </c>
      <c r="R40" t="s">
        <v>30</v>
      </c>
      <c r="S40" t="s">
        <v>62</v>
      </c>
      <c r="T40" t="s">
        <v>41</v>
      </c>
      <c r="U40" s="3">
        <f t="shared" si="0"/>
        <v>45658</v>
      </c>
    </row>
    <row r="41" spans="1:21" x14ac:dyDescent="0.35">
      <c r="A41" t="s">
        <v>171</v>
      </c>
      <c r="B41" t="s">
        <v>172</v>
      </c>
      <c r="C41" t="s">
        <v>22</v>
      </c>
      <c r="D41" t="s">
        <v>173</v>
      </c>
      <c r="E41" t="s">
        <v>70</v>
      </c>
      <c r="F41" t="s">
        <v>59</v>
      </c>
      <c r="G41" t="s">
        <v>47</v>
      </c>
      <c r="H41" t="s">
        <v>27</v>
      </c>
      <c r="I41" t="s">
        <v>40</v>
      </c>
      <c r="J41">
        <v>81175.259999999995</v>
      </c>
      <c r="K41">
        <v>283.12</v>
      </c>
      <c r="L41">
        <v>50.96</v>
      </c>
      <c r="M41">
        <v>67.040000000000006</v>
      </c>
      <c r="N41">
        <v>81442.3</v>
      </c>
      <c r="O41">
        <v>106282.55</v>
      </c>
      <c r="P41">
        <v>575</v>
      </c>
      <c r="Q41" t="s">
        <v>29</v>
      </c>
      <c r="R41" t="s">
        <v>75</v>
      </c>
      <c r="S41" t="s">
        <v>86</v>
      </c>
      <c r="T41" t="s">
        <v>55</v>
      </c>
      <c r="U41" s="3">
        <f t="shared" si="0"/>
        <v>45717</v>
      </c>
    </row>
    <row r="42" spans="1:21" x14ac:dyDescent="0.35">
      <c r="A42" t="s">
        <v>174</v>
      </c>
      <c r="B42" t="s">
        <v>175</v>
      </c>
      <c r="C42" t="s">
        <v>95</v>
      </c>
      <c r="D42" t="s">
        <v>176</v>
      </c>
      <c r="E42" t="s">
        <v>70</v>
      </c>
      <c r="F42" t="s">
        <v>59</v>
      </c>
      <c r="G42" t="s">
        <v>26</v>
      </c>
      <c r="H42" t="s">
        <v>39</v>
      </c>
      <c r="I42" t="s">
        <v>28</v>
      </c>
      <c r="J42">
        <v>116158.85</v>
      </c>
      <c r="K42">
        <v>979.26</v>
      </c>
      <c r="L42">
        <v>176.27</v>
      </c>
      <c r="M42">
        <v>351.5</v>
      </c>
      <c r="N42">
        <v>116962.88</v>
      </c>
      <c r="O42">
        <v>101648.58</v>
      </c>
      <c r="P42">
        <v>686</v>
      </c>
      <c r="Q42" t="s">
        <v>74</v>
      </c>
      <c r="R42" t="s">
        <v>30</v>
      </c>
      <c r="S42" t="s">
        <v>31</v>
      </c>
      <c r="T42" t="s">
        <v>55</v>
      </c>
      <c r="U42" s="3">
        <f t="shared" si="0"/>
        <v>45717</v>
      </c>
    </row>
    <row r="43" spans="1:21" x14ac:dyDescent="0.35">
      <c r="A43" t="s">
        <v>177</v>
      </c>
      <c r="B43" t="s">
        <v>178</v>
      </c>
      <c r="C43" t="s">
        <v>22</v>
      </c>
      <c r="D43" t="s">
        <v>179</v>
      </c>
      <c r="E43" t="s">
        <v>70</v>
      </c>
      <c r="F43" t="s">
        <v>59</v>
      </c>
      <c r="G43" t="s">
        <v>47</v>
      </c>
      <c r="H43" t="s">
        <v>52</v>
      </c>
      <c r="I43" t="s">
        <v>61</v>
      </c>
      <c r="J43">
        <v>71403.28</v>
      </c>
      <c r="K43">
        <v>1280.0999999999999</v>
      </c>
      <c r="L43">
        <v>230.42</v>
      </c>
      <c r="M43">
        <v>86.79</v>
      </c>
      <c r="N43">
        <v>72827.009999999995</v>
      </c>
      <c r="O43">
        <v>102289.71</v>
      </c>
      <c r="P43">
        <v>879</v>
      </c>
      <c r="Q43" t="s">
        <v>74</v>
      </c>
      <c r="R43" t="s">
        <v>30</v>
      </c>
      <c r="S43" t="s">
        <v>31</v>
      </c>
      <c r="T43" t="s">
        <v>55</v>
      </c>
      <c r="U43" s="3">
        <f t="shared" si="0"/>
        <v>45689</v>
      </c>
    </row>
    <row r="44" spans="1:21" x14ac:dyDescent="0.35">
      <c r="A44" t="s">
        <v>180</v>
      </c>
      <c r="B44" t="s">
        <v>181</v>
      </c>
      <c r="C44" t="s">
        <v>22</v>
      </c>
      <c r="D44" t="s">
        <v>182</v>
      </c>
      <c r="E44" t="s">
        <v>24</v>
      </c>
      <c r="F44" t="s">
        <v>38</v>
      </c>
      <c r="G44" t="s">
        <v>60</v>
      </c>
      <c r="H44" t="s">
        <v>66</v>
      </c>
      <c r="I44" t="s">
        <v>28</v>
      </c>
      <c r="J44">
        <v>47808.99</v>
      </c>
      <c r="K44">
        <v>513.83000000000004</v>
      </c>
      <c r="L44">
        <v>92.49</v>
      </c>
      <c r="M44">
        <v>238.09</v>
      </c>
      <c r="N44">
        <v>48177.22</v>
      </c>
      <c r="O44">
        <v>108207.9</v>
      </c>
      <c r="P44">
        <v>572</v>
      </c>
      <c r="Q44" t="s">
        <v>74</v>
      </c>
      <c r="R44" t="s">
        <v>75</v>
      </c>
      <c r="S44" t="s">
        <v>79</v>
      </c>
      <c r="T44" t="s">
        <v>32</v>
      </c>
      <c r="U44" s="3">
        <f t="shared" si="0"/>
        <v>45778</v>
      </c>
    </row>
    <row r="45" spans="1:21" x14ac:dyDescent="0.35">
      <c r="A45" t="s">
        <v>183</v>
      </c>
      <c r="B45" t="s">
        <v>184</v>
      </c>
      <c r="C45" t="s">
        <v>22</v>
      </c>
      <c r="D45" t="s">
        <v>185</v>
      </c>
      <c r="E45" t="s">
        <v>70</v>
      </c>
      <c r="F45" t="s">
        <v>59</v>
      </c>
      <c r="G45" t="s">
        <v>26</v>
      </c>
      <c r="H45" t="s">
        <v>39</v>
      </c>
      <c r="I45" t="s">
        <v>40</v>
      </c>
      <c r="J45">
        <v>109468.38</v>
      </c>
      <c r="K45">
        <v>931.31</v>
      </c>
      <c r="L45">
        <v>167.64</v>
      </c>
      <c r="M45">
        <v>287.75</v>
      </c>
      <c r="N45">
        <v>110279.58</v>
      </c>
      <c r="O45">
        <v>104894.15</v>
      </c>
      <c r="P45">
        <v>553</v>
      </c>
      <c r="Q45" t="s">
        <v>53</v>
      </c>
      <c r="R45" t="s">
        <v>54</v>
      </c>
      <c r="S45" t="s">
        <v>79</v>
      </c>
      <c r="T45" t="s">
        <v>41</v>
      </c>
      <c r="U45" s="3">
        <f t="shared" si="0"/>
        <v>45778</v>
      </c>
    </row>
    <row r="46" spans="1:21" x14ac:dyDescent="0.35">
      <c r="A46" t="s">
        <v>186</v>
      </c>
      <c r="B46" t="s">
        <v>187</v>
      </c>
      <c r="C46" t="s">
        <v>22</v>
      </c>
      <c r="D46" t="s">
        <v>188</v>
      </c>
      <c r="E46" t="s">
        <v>37</v>
      </c>
      <c r="F46" t="s">
        <v>38</v>
      </c>
      <c r="G46" t="s">
        <v>103</v>
      </c>
      <c r="H46" t="s">
        <v>52</v>
      </c>
      <c r="I46" t="s">
        <v>40</v>
      </c>
      <c r="J46">
        <v>18819.63</v>
      </c>
      <c r="K46">
        <v>137.44</v>
      </c>
      <c r="L46">
        <v>24.74</v>
      </c>
      <c r="M46">
        <v>24</v>
      </c>
      <c r="N46">
        <v>18957.810000000001</v>
      </c>
      <c r="O46">
        <v>107623.46</v>
      </c>
      <c r="P46">
        <v>803</v>
      </c>
      <c r="Q46" t="s">
        <v>29</v>
      </c>
      <c r="R46" t="s">
        <v>30</v>
      </c>
      <c r="S46" t="s">
        <v>79</v>
      </c>
      <c r="T46" t="s">
        <v>41</v>
      </c>
      <c r="U46" s="3">
        <f t="shared" si="0"/>
        <v>45717</v>
      </c>
    </row>
    <row r="47" spans="1:21" x14ac:dyDescent="0.35">
      <c r="A47" t="s">
        <v>189</v>
      </c>
      <c r="B47" t="s">
        <v>190</v>
      </c>
      <c r="C47" t="s">
        <v>22</v>
      </c>
      <c r="D47" t="s">
        <v>191</v>
      </c>
      <c r="E47" t="s">
        <v>45</v>
      </c>
      <c r="F47" t="s">
        <v>59</v>
      </c>
      <c r="G47" t="s">
        <v>47</v>
      </c>
      <c r="H47" t="s">
        <v>39</v>
      </c>
      <c r="I47" t="s">
        <v>61</v>
      </c>
      <c r="J47">
        <v>162776.21</v>
      </c>
      <c r="K47">
        <v>2171.91</v>
      </c>
      <c r="L47">
        <v>390.94</v>
      </c>
      <c r="M47">
        <v>92.69</v>
      </c>
      <c r="N47">
        <v>165246.37</v>
      </c>
      <c r="O47">
        <v>112055.45</v>
      </c>
      <c r="P47">
        <v>601</v>
      </c>
      <c r="Q47" t="s">
        <v>53</v>
      </c>
      <c r="R47" t="s">
        <v>54</v>
      </c>
      <c r="S47" t="s">
        <v>79</v>
      </c>
      <c r="T47" t="s">
        <v>41</v>
      </c>
      <c r="U47" s="3">
        <f t="shared" si="0"/>
        <v>45717</v>
      </c>
    </row>
    <row r="48" spans="1:21" x14ac:dyDescent="0.35">
      <c r="A48" t="s">
        <v>192</v>
      </c>
      <c r="B48" t="s">
        <v>193</v>
      </c>
      <c r="C48" t="s">
        <v>95</v>
      </c>
      <c r="D48" t="s">
        <v>194</v>
      </c>
      <c r="E48" t="s">
        <v>70</v>
      </c>
      <c r="F48" t="s">
        <v>59</v>
      </c>
      <c r="G48" t="s">
        <v>26</v>
      </c>
      <c r="H48" t="s">
        <v>39</v>
      </c>
      <c r="I48" t="s">
        <v>61</v>
      </c>
      <c r="J48">
        <v>36165.71</v>
      </c>
      <c r="K48">
        <v>553.08000000000004</v>
      </c>
      <c r="L48">
        <v>99.55</v>
      </c>
      <c r="M48">
        <v>13.3</v>
      </c>
      <c r="N48">
        <v>36805.040000000001</v>
      </c>
      <c r="O48">
        <v>107819.37</v>
      </c>
      <c r="P48">
        <v>884</v>
      </c>
      <c r="Q48" t="s">
        <v>74</v>
      </c>
      <c r="R48" t="s">
        <v>54</v>
      </c>
      <c r="S48" t="s">
        <v>31</v>
      </c>
      <c r="T48" t="s">
        <v>55</v>
      </c>
      <c r="U48" s="3">
        <f t="shared" si="0"/>
        <v>45689</v>
      </c>
    </row>
    <row r="49" spans="1:21" x14ac:dyDescent="0.35">
      <c r="A49" t="s">
        <v>195</v>
      </c>
      <c r="B49" t="s">
        <v>196</v>
      </c>
      <c r="C49" t="s">
        <v>35</v>
      </c>
      <c r="D49" t="s">
        <v>197</v>
      </c>
      <c r="E49" t="s">
        <v>70</v>
      </c>
      <c r="F49" t="s">
        <v>46</v>
      </c>
      <c r="G49" t="s">
        <v>47</v>
      </c>
      <c r="H49" t="s">
        <v>48</v>
      </c>
      <c r="I49" t="s">
        <v>40</v>
      </c>
      <c r="J49">
        <v>34867.11</v>
      </c>
      <c r="K49">
        <v>308.83</v>
      </c>
      <c r="L49">
        <v>55.59</v>
      </c>
      <c r="M49">
        <v>158.26</v>
      </c>
      <c r="N49">
        <v>35073.269999999997</v>
      </c>
      <c r="O49">
        <v>113945.94</v>
      </c>
      <c r="P49">
        <v>450</v>
      </c>
      <c r="Q49" t="s">
        <v>53</v>
      </c>
      <c r="R49" t="s">
        <v>54</v>
      </c>
      <c r="S49" t="s">
        <v>31</v>
      </c>
      <c r="T49" t="s">
        <v>41</v>
      </c>
      <c r="U49" s="3">
        <f t="shared" si="0"/>
        <v>45870</v>
      </c>
    </row>
    <row r="50" spans="1:21" x14ac:dyDescent="0.35">
      <c r="A50" t="s">
        <v>198</v>
      </c>
      <c r="B50" t="s">
        <v>199</v>
      </c>
      <c r="C50" t="s">
        <v>22</v>
      </c>
      <c r="D50" t="s">
        <v>200</v>
      </c>
      <c r="E50" t="s">
        <v>70</v>
      </c>
      <c r="F50" t="s">
        <v>38</v>
      </c>
      <c r="G50" t="s">
        <v>26</v>
      </c>
      <c r="H50" t="s">
        <v>27</v>
      </c>
      <c r="I50" t="s">
        <v>40</v>
      </c>
      <c r="J50">
        <v>152203.29</v>
      </c>
      <c r="K50">
        <v>1206.43</v>
      </c>
      <c r="L50">
        <v>217.16</v>
      </c>
      <c r="M50">
        <v>205.65</v>
      </c>
      <c r="N50">
        <v>153421.23000000001</v>
      </c>
      <c r="O50">
        <v>110715.83</v>
      </c>
      <c r="P50">
        <v>750</v>
      </c>
      <c r="Q50" t="s">
        <v>53</v>
      </c>
      <c r="R50" t="s">
        <v>30</v>
      </c>
      <c r="S50" t="s">
        <v>86</v>
      </c>
      <c r="T50" t="s">
        <v>41</v>
      </c>
      <c r="U50" s="3">
        <f t="shared" si="0"/>
        <v>45931</v>
      </c>
    </row>
    <row r="51" spans="1:21" x14ac:dyDescent="0.35">
      <c r="A51" t="s">
        <v>201</v>
      </c>
      <c r="B51" t="s">
        <v>202</v>
      </c>
      <c r="C51" t="s">
        <v>95</v>
      </c>
      <c r="D51" t="s">
        <v>203</v>
      </c>
      <c r="E51" t="s">
        <v>45</v>
      </c>
      <c r="F51" t="s">
        <v>59</v>
      </c>
      <c r="G51" t="s">
        <v>26</v>
      </c>
      <c r="H51" t="s">
        <v>48</v>
      </c>
      <c r="I51" t="s">
        <v>40</v>
      </c>
      <c r="J51">
        <v>86670.18</v>
      </c>
      <c r="K51">
        <v>1237.67</v>
      </c>
      <c r="L51">
        <v>222.78</v>
      </c>
      <c r="M51">
        <v>169.18</v>
      </c>
      <c r="N51">
        <v>87961.45</v>
      </c>
      <c r="O51">
        <v>120290.58</v>
      </c>
      <c r="P51">
        <v>314</v>
      </c>
      <c r="Q51" t="s">
        <v>53</v>
      </c>
      <c r="R51" t="s">
        <v>75</v>
      </c>
      <c r="S51" t="s">
        <v>79</v>
      </c>
      <c r="T51" t="s">
        <v>32</v>
      </c>
      <c r="U51" s="3">
        <f t="shared" si="0"/>
        <v>45809</v>
      </c>
    </row>
    <row r="52" spans="1:21" x14ac:dyDescent="0.35">
      <c r="A52" t="s">
        <v>204</v>
      </c>
      <c r="B52" t="s">
        <v>205</v>
      </c>
      <c r="C52" t="s">
        <v>95</v>
      </c>
      <c r="D52" t="s">
        <v>206</v>
      </c>
      <c r="E52" t="s">
        <v>24</v>
      </c>
      <c r="F52" t="s">
        <v>25</v>
      </c>
      <c r="G52" t="s">
        <v>47</v>
      </c>
      <c r="H52" t="s">
        <v>39</v>
      </c>
      <c r="I52" t="s">
        <v>61</v>
      </c>
      <c r="J52">
        <v>25765.47</v>
      </c>
      <c r="K52">
        <v>246.36</v>
      </c>
      <c r="L52">
        <v>44.34</v>
      </c>
      <c r="M52">
        <v>109.81</v>
      </c>
      <c r="N52">
        <v>25946.36</v>
      </c>
      <c r="O52">
        <v>117692.87</v>
      </c>
      <c r="P52">
        <v>840</v>
      </c>
      <c r="Q52" t="s">
        <v>29</v>
      </c>
      <c r="R52" t="s">
        <v>54</v>
      </c>
      <c r="S52" t="s">
        <v>86</v>
      </c>
      <c r="T52" t="s">
        <v>32</v>
      </c>
      <c r="U52" s="3">
        <f t="shared" si="0"/>
        <v>45809</v>
      </c>
    </row>
    <row r="53" spans="1:21" x14ac:dyDescent="0.35">
      <c r="A53" t="s">
        <v>207</v>
      </c>
      <c r="B53" t="s">
        <v>208</v>
      </c>
      <c r="C53" t="s">
        <v>22</v>
      </c>
      <c r="D53" t="s">
        <v>209</v>
      </c>
      <c r="E53" t="s">
        <v>24</v>
      </c>
      <c r="F53" t="s">
        <v>59</v>
      </c>
      <c r="G53" t="s">
        <v>103</v>
      </c>
      <c r="H53" t="s">
        <v>66</v>
      </c>
      <c r="I53" t="s">
        <v>61</v>
      </c>
      <c r="J53">
        <v>185317.26</v>
      </c>
      <c r="K53">
        <v>1259.73</v>
      </c>
      <c r="L53">
        <v>226.75</v>
      </c>
      <c r="M53">
        <v>161.77000000000001</v>
      </c>
      <c r="N53">
        <v>186641.97</v>
      </c>
      <c r="O53">
        <v>121879.45</v>
      </c>
      <c r="P53">
        <v>337</v>
      </c>
      <c r="Q53" t="s">
        <v>74</v>
      </c>
      <c r="R53" t="s">
        <v>30</v>
      </c>
      <c r="S53" t="s">
        <v>86</v>
      </c>
      <c r="T53" t="s">
        <v>55</v>
      </c>
      <c r="U53" s="3">
        <f t="shared" si="0"/>
        <v>45931</v>
      </c>
    </row>
    <row r="54" spans="1:21" x14ac:dyDescent="0.35">
      <c r="A54" t="s">
        <v>210</v>
      </c>
      <c r="B54" t="s">
        <v>211</v>
      </c>
      <c r="C54" t="s">
        <v>22</v>
      </c>
      <c r="D54" t="s">
        <v>212</v>
      </c>
      <c r="E54" t="s">
        <v>24</v>
      </c>
      <c r="F54" t="s">
        <v>46</v>
      </c>
      <c r="G54" t="s">
        <v>103</v>
      </c>
      <c r="H54" t="s">
        <v>48</v>
      </c>
      <c r="I54" t="s">
        <v>28</v>
      </c>
      <c r="J54">
        <v>139839.51999999999</v>
      </c>
      <c r="K54">
        <v>849.66</v>
      </c>
      <c r="L54">
        <v>152.94</v>
      </c>
      <c r="M54">
        <v>221.66</v>
      </c>
      <c r="N54">
        <v>140620.46</v>
      </c>
      <c r="O54">
        <v>124741.79</v>
      </c>
      <c r="P54">
        <v>718</v>
      </c>
      <c r="Q54" t="s">
        <v>29</v>
      </c>
      <c r="R54" t="s">
        <v>30</v>
      </c>
      <c r="S54" t="s">
        <v>31</v>
      </c>
      <c r="T54" t="s">
        <v>32</v>
      </c>
      <c r="U54" s="3">
        <f t="shared" si="0"/>
        <v>45689</v>
      </c>
    </row>
    <row r="55" spans="1:21" x14ac:dyDescent="0.35">
      <c r="A55" t="s">
        <v>213</v>
      </c>
      <c r="B55" t="s">
        <v>214</v>
      </c>
      <c r="C55" t="s">
        <v>22</v>
      </c>
      <c r="D55" t="s">
        <v>215</v>
      </c>
      <c r="E55" t="s">
        <v>37</v>
      </c>
      <c r="F55" t="s">
        <v>59</v>
      </c>
      <c r="G55" t="s">
        <v>47</v>
      </c>
      <c r="H55" t="s">
        <v>39</v>
      </c>
      <c r="I55" t="s">
        <v>61</v>
      </c>
      <c r="J55">
        <v>187426.05</v>
      </c>
      <c r="K55">
        <v>3704.26</v>
      </c>
      <c r="L55">
        <v>666.77</v>
      </c>
      <c r="M55">
        <v>67.38</v>
      </c>
      <c r="N55">
        <v>191729.7</v>
      </c>
      <c r="O55">
        <v>121125.77</v>
      </c>
      <c r="P55">
        <v>530</v>
      </c>
      <c r="Q55" t="s">
        <v>53</v>
      </c>
      <c r="R55" t="s">
        <v>75</v>
      </c>
      <c r="S55" t="s">
        <v>31</v>
      </c>
      <c r="T55" t="s">
        <v>41</v>
      </c>
      <c r="U55" s="3">
        <f t="shared" si="0"/>
        <v>45839</v>
      </c>
    </row>
    <row r="56" spans="1:21" x14ac:dyDescent="0.35">
      <c r="A56" t="s">
        <v>216</v>
      </c>
      <c r="B56" t="s">
        <v>43</v>
      </c>
      <c r="C56" t="s">
        <v>95</v>
      </c>
      <c r="D56" t="s">
        <v>217</v>
      </c>
      <c r="E56" t="s">
        <v>37</v>
      </c>
      <c r="F56" t="s">
        <v>25</v>
      </c>
      <c r="G56" t="s">
        <v>60</v>
      </c>
      <c r="H56" t="s">
        <v>52</v>
      </c>
      <c r="I56" t="s">
        <v>40</v>
      </c>
      <c r="J56">
        <v>110613.7</v>
      </c>
      <c r="K56">
        <v>1989.21</v>
      </c>
      <c r="L56">
        <v>358.06</v>
      </c>
      <c r="M56">
        <v>371.96</v>
      </c>
      <c r="N56">
        <v>112589.01</v>
      </c>
      <c r="O56">
        <v>126094.94</v>
      </c>
      <c r="P56">
        <v>385</v>
      </c>
      <c r="Q56" t="s">
        <v>53</v>
      </c>
      <c r="R56" t="s">
        <v>54</v>
      </c>
      <c r="S56" t="s">
        <v>79</v>
      </c>
      <c r="T56" t="s">
        <v>32</v>
      </c>
      <c r="U56" s="3">
        <f t="shared" si="0"/>
        <v>45748</v>
      </c>
    </row>
    <row r="57" spans="1:21" x14ac:dyDescent="0.35">
      <c r="A57" t="s">
        <v>218</v>
      </c>
      <c r="B57" t="s">
        <v>219</v>
      </c>
      <c r="C57" t="s">
        <v>35</v>
      </c>
      <c r="D57" t="s">
        <v>220</v>
      </c>
      <c r="E57" t="s">
        <v>70</v>
      </c>
      <c r="F57" t="s">
        <v>46</v>
      </c>
      <c r="G57" t="s">
        <v>26</v>
      </c>
      <c r="H57" t="s">
        <v>52</v>
      </c>
      <c r="I57" t="s">
        <v>61</v>
      </c>
      <c r="J57">
        <v>143096.60999999999</v>
      </c>
      <c r="K57">
        <v>1514.94</v>
      </c>
      <c r="L57">
        <v>272.69</v>
      </c>
      <c r="M57">
        <v>140.77000000000001</v>
      </c>
      <c r="N57">
        <v>144743.47</v>
      </c>
      <c r="O57">
        <v>125133.11</v>
      </c>
      <c r="P57">
        <v>466</v>
      </c>
      <c r="Q57" t="s">
        <v>74</v>
      </c>
      <c r="R57" t="s">
        <v>54</v>
      </c>
      <c r="S57" t="s">
        <v>62</v>
      </c>
      <c r="T57" t="s">
        <v>32</v>
      </c>
      <c r="U57" s="3">
        <f t="shared" si="0"/>
        <v>45992</v>
      </c>
    </row>
    <row r="58" spans="1:21" x14ac:dyDescent="0.35">
      <c r="A58" t="s">
        <v>221</v>
      </c>
      <c r="B58" t="s">
        <v>222</v>
      </c>
      <c r="C58" t="s">
        <v>95</v>
      </c>
      <c r="D58" t="s">
        <v>223</v>
      </c>
      <c r="E58" t="s">
        <v>37</v>
      </c>
      <c r="F58" t="s">
        <v>46</v>
      </c>
      <c r="G58" t="s">
        <v>47</v>
      </c>
      <c r="H58" t="s">
        <v>66</v>
      </c>
      <c r="I58" t="s">
        <v>61</v>
      </c>
      <c r="J58">
        <v>78960.06</v>
      </c>
      <c r="K58">
        <v>1442.83</v>
      </c>
      <c r="L58">
        <v>259.70999999999998</v>
      </c>
      <c r="M58">
        <v>364.85</v>
      </c>
      <c r="N58">
        <v>80297.75</v>
      </c>
      <c r="O58">
        <v>124266.9</v>
      </c>
      <c r="P58">
        <v>644</v>
      </c>
      <c r="Q58" t="s">
        <v>74</v>
      </c>
      <c r="R58" t="s">
        <v>75</v>
      </c>
      <c r="S58" t="s">
        <v>86</v>
      </c>
      <c r="T58" t="s">
        <v>32</v>
      </c>
      <c r="U58" s="3">
        <f t="shared" si="0"/>
        <v>45658</v>
      </c>
    </row>
    <row r="59" spans="1:21" x14ac:dyDescent="0.35">
      <c r="A59" t="s">
        <v>224</v>
      </c>
      <c r="B59" t="s">
        <v>225</v>
      </c>
      <c r="C59" t="s">
        <v>95</v>
      </c>
      <c r="D59" t="s">
        <v>226</v>
      </c>
      <c r="E59" t="s">
        <v>70</v>
      </c>
      <c r="F59" t="s">
        <v>25</v>
      </c>
      <c r="G59" t="s">
        <v>26</v>
      </c>
      <c r="H59" t="s">
        <v>66</v>
      </c>
      <c r="I59" t="s">
        <v>61</v>
      </c>
      <c r="J59">
        <v>53127.45</v>
      </c>
      <c r="K59">
        <v>433.1</v>
      </c>
      <c r="L59">
        <v>77.959999999999994</v>
      </c>
      <c r="M59">
        <v>446.24</v>
      </c>
      <c r="N59">
        <v>53192.27</v>
      </c>
      <c r="O59">
        <v>128276.92</v>
      </c>
      <c r="P59">
        <v>560</v>
      </c>
      <c r="Q59" t="s">
        <v>74</v>
      </c>
      <c r="R59" t="s">
        <v>30</v>
      </c>
      <c r="S59" t="s">
        <v>79</v>
      </c>
      <c r="T59" t="s">
        <v>41</v>
      </c>
      <c r="U59" s="3">
        <f t="shared" si="0"/>
        <v>45689</v>
      </c>
    </row>
    <row r="60" spans="1:21" x14ac:dyDescent="0.35">
      <c r="A60" t="s">
        <v>227</v>
      </c>
      <c r="B60" t="s">
        <v>228</v>
      </c>
      <c r="C60" t="s">
        <v>22</v>
      </c>
      <c r="D60" t="s">
        <v>229</v>
      </c>
      <c r="E60" t="s">
        <v>37</v>
      </c>
      <c r="F60" t="s">
        <v>46</v>
      </c>
      <c r="G60" t="s">
        <v>60</v>
      </c>
      <c r="H60" t="s">
        <v>66</v>
      </c>
      <c r="I60" t="s">
        <v>40</v>
      </c>
      <c r="J60">
        <v>18582.75</v>
      </c>
      <c r="K60">
        <v>48.92</v>
      </c>
      <c r="L60">
        <v>8.81</v>
      </c>
      <c r="M60">
        <v>335.69</v>
      </c>
      <c r="N60">
        <v>18304.79</v>
      </c>
      <c r="O60">
        <v>127081.92</v>
      </c>
      <c r="P60">
        <v>412</v>
      </c>
      <c r="Q60" t="s">
        <v>53</v>
      </c>
      <c r="R60" t="s">
        <v>30</v>
      </c>
      <c r="S60" t="s">
        <v>86</v>
      </c>
      <c r="T60" t="s">
        <v>55</v>
      </c>
      <c r="U60" s="3">
        <f t="shared" si="0"/>
        <v>45992</v>
      </c>
    </row>
    <row r="61" spans="1:21" x14ac:dyDescent="0.35">
      <c r="A61" t="s">
        <v>230</v>
      </c>
      <c r="B61" t="s">
        <v>231</v>
      </c>
      <c r="C61" t="s">
        <v>95</v>
      </c>
      <c r="D61" t="s">
        <v>232</v>
      </c>
      <c r="E61" t="s">
        <v>70</v>
      </c>
      <c r="F61" t="s">
        <v>25</v>
      </c>
      <c r="G61" t="s">
        <v>47</v>
      </c>
      <c r="H61" t="s">
        <v>66</v>
      </c>
      <c r="I61" t="s">
        <v>40</v>
      </c>
      <c r="J61">
        <v>121132.45</v>
      </c>
      <c r="K61">
        <v>1963.53</v>
      </c>
      <c r="L61">
        <v>353.44</v>
      </c>
      <c r="M61">
        <v>461.13</v>
      </c>
      <c r="N61">
        <v>122988.29</v>
      </c>
      <c r="O61">
        <v>129559.08</v>
      </c>
      <c r="P61">
        <v>900</v>
      </c>
      <c r="Q61" t="s">
        <v>53</v>
      </c>
      <c r="R61" t="s">
        <v>54</v>
      </c>
      <c r="S61" t="s">
        <v>62</v>
      </c>
      <c r="T61" t="s">
        <v>32</v>
      </c>
      <c r="U61" s="3">
        <f t="shared" si="0"/>
        <v>45658</v>
      </c>
    </row>
    <row r="62" spans="1:21" x14ac:dyDescent="0.35">
      <c r="A62" t="s">
        <v>233</v>
      </c>
      <c r="B62" t="s">
        <v>234</v>
      </c>
      <c r="C62" t="s">
        <v>22</v>
      </c>
      <c r="D62" t="s">
        <v>235</v>
      </c>
      <c r="E62" t="s">
        <v>24</v>
      </c>
      <c r="F62" t="s">
        <v>59</v>
      </c>
      <c r="G62" t="s">
        <v>60</v>
      </c>
      <c r="H62" t="s">
        <v>66</v>
      </c>
      <c r="I62" t="s">
        <v>28</v>
      </c>
      <c r="J62">
        <v>155376.26</v>
      </c>
      <c r="K62">
        <v>377.38</v>
      </c>
      <c r="L62">
        <v>67.930000000000007</v>
      </c>
      <c r="M62">
        <v>272.94</v>
      </c>
      <c r="N62">
        <v>155548.63</v>
      </c>
      <c r="O62">
        <v>131082.01999999999</v>
      </c>
      <c r="P62">
        <v>586</v>
      </c>
      <c r="Q62" t="s">
        <v>53</v>
      </c>
      <c r="R62" t="s">
        <v>54</v>
      </c>
      <c r="S62" t="s">
        <v>31</v>
      </c>
      <c r="T62" t="s">
        <v>41</v>
      </c>
      <c r="U62" s="3">
        <f t="shared" si="0"/>
        <v>45839</v>
      </c>
    </row>
    <row r="63" spans="1:21" x14ac:dyDescent="0.35">
      <c r="A63" t="s">
        <v>236</v>
      </c>
      <c r="B63" t="s">
        <v>237</v>
      </c>
      <c r="C63" t="s">
        <v>35</v>
      </c>
      <c r="D63" t="s">
        <v>238</v>
      </c>
      <c r="E63" t="s">
        <v>45</v>
      </c>
      <c r="F63" t="s">
        <v>59</v>
      </c>
      <c r="G63" t="s">
        <v>26</v>
      </c>
      <c r="H63" t="s">
        <v>27</v>
      </c>
      <c r="I63" t="s">
        <v>28</v>
      </c>
      <c r="J63">
        <v>153621.6</v>
      </c>
      <c r="K63">
        <v>491.76</v>
      </c>
      <c r="L63">
        <v>88.52</v>
      </c>
      <c r="M63">
        <v>116.09</v>
      </c>
      <c r="N63">
        <v>154085.79</v>
      </c>
      <c r="O63">
        <v>133833.35</v>
      </c>
      <c r="P63">
        <v>584</v>
      </c>
      <c r="Q63" t="s">
        <v>74</v>
      </c>
      <c r="R63" t="s">
        <v>30</v>
      </c>
      <c r="S63" t="s">
        <v>86</v>
      </c>
      <c r="T63" t="s">
        <v>32</v>
      </c>
      <c r="U63" s="3">
        <f t="shared" si="0"/>
        <v>45870</v>
      </c>
    </row>
    <row r="64" spans="1:21" x14ac:dyDescent="0.35">
      <c r="A64" t="s">
        <v>239</v>
      </c>
      <c r="B64" t="s">
        <v>240</v>
      </c>
      <c r="C64" t="s">
        <v>95</v>
      </c>
      <c r="D64" t="s">
        <v>241</v>
      </c>
      <c r="E64" t="s">
        <v>70</v>
      </c>
      <c r="F64" t="s">
        <v>59</v>
      </c>
      <c r="G64" t="s">
        <v>47</v>
      </c>
      <c r="H64" t="s">
        <v>27</v>
      </c>
      <c r="I64" t="s">
        <v>61</v>
      </c>
      <c r="J64">
        <v>139152.12</v>
      </c>
      <c r="K64">
        <v>913.37</v>
      </c>
      <c r="L64">
        <v>164.41</v>
      </c>
      <c r="M64">
        <v>70.13</v>
      </c>
      <c r="N64">
        <v>140159.76999999999</v>
      </c>
      <c r="O64">
        <v>141710.53</v>
      </c>
      <c r="P64">
        <v>826</v>
      </c>
      <c r="Q64" t="s">
        <v>29</v>
      </c>
      <c r="R64" t="s">
        <v>54</v>
      </c>
      <c r="S64" t="s">
        <v>79</v>
      </c>
      <c r="T64" t="s">
        <v>41</v>
      </c>
      <c r="U64" s="3">
        <f t="shared" si="0"/>
        <v>45931</v>
      </c>
    </row>
    <row r="65" spans="1:21" x14ac:dyDescent="0.35">
      <c r="A65" t="s">
        <v>242</v>
      </c>
      <c r="B65" t="s">
        <v>122</v>
      </c>
      <c r="C65" t="s">
        <v>95</v>
      </c>
      <c r="D65" t="s">
        <v>243</v>
      </c>
      <c r="E65" t="s">
        <v>70</v>
      </c>
      <c r="F65" t="s">
        <v>46</v>
      </c>
      <c r="G65" t="s">
        <v>103</v>
      </c>
      <c r="H65" t="s">
        <v>66</v>
      </c>
      <c r="I65" t="s">
        <v>61</v>
      </c>
      <c r="J65">
        <v>112625.82</v>
      </c>
      <c r="K65">
        <v>1376.96</v>
      </c>
      <c r="L65">
        <v>247.85</v>
      </c>
      <c r="M65">
        <v>203.63</v>
      </c>
      <c r="N65">
        <v>114047</v>
      </c>
      <c r="O65">
        <v>146090.13</v>
      </c>
      <c r="P65">
        <v>461</v>
      </c>
      <c r="Q65" t="s">
        <v>74</v>
      </c>
      <c r="R65" t="s">
        <v>54</v>
      </c>
      <c r="S65" t="s">
        <v>79</v>
      </c>
      <c r="T65" t="s">
        <v>32</v>
      </c>
      <c r="U65" s="3">
        <f t="shared" si="0"/>
        <v>45962</v>
      </c>
    </row>
    <row r="66" spans="1:21" x14ac:dyDescent="0.35">
      <c r="A66" t="s">
        <v>244</v>
      </c>
      <c r="B66" t="s">
        <v>245</v>
      </c>
      <c r="C66" t="s">
        <v>35</v>
      </c>
      <c r="D66" t="s">
        <v>246</v>
      </c>
      <c r="E66" t="s">
        <v>45</v>
      </c>
      <c r="F66" t="s">
        <v>46</v>
      </c>
      <c r="G66" t="s">
        <v>26</v>
      </c>
      <c r="H66" t="s">
        <v>48</v>
      </c>
      <c r="I66" t="s">
        <v>61</v>
      </c>
      <c r="J66">
        <v>192716.78</v>
      </c>
      <c r="K66">
        <v>1360.85</v>
      </c>
      <c r="L66">
        <v>244.95</v>
      </c>
      <c r="M66">
        <v>475.02</v>
      </c>
      <c r="N66">
        <v>193847.56</v>
      </c>
      <c r="O66">
        <v>142842.81</v>
      </c>
      <c r="P66">
        <v>870</v>
      </c>
      <c r="Q66" t="s">
        <v>74</v>
      </c>
      <c r="R66" t="s">
        <v>54</v>
      </c>
      <c r="S66" t="s">
        <v>62</v>
      </c>
      <c r="T66" t="s">
        <v>55</v>
      </c>
      <c r="U66" s="3">
        <f t="shared" si="0"/>
        <v>45778</v>
      </c>
    </row>
    <row r="67" spans="1:21" x14ac:dyDescent="0.35">
      <c r="A67" t="s">
        <v>247</v>
      </c>
      <c r="B67" t="s">
        <v>248</v>
      </c>
      <c r="C67" t="s">
        <v>22</v>
      </c>
      <c r="D67" t="s">
        <v>249</v>
      </c>
      <c r="E67" t="s">
        <v>24</v>
      </c>
      <c r="F67" t="s">
        <v>59</v>
      </c>
      <c r="G67" t="s">
        <v>47</v>
      </c>
      <c r="H67" t="s">
        <v>27</v>
      </c>
      <c r="I67" t="s">
        <v>28</v>
      </c>
      <c r="J67">
        <v>43075.1</v>
      </c>
      <c r="K67">
        <v>213.82</v>
      </c>
      <c r="L67">
        <v>38.49</v>
      </c>
      <c r="M67">
        <v>326.67</v>
      </c>
      <c r="N67">
        <v>43000.74</v>
      </c>
      <c r="O67">
        <v>144600.04</v>
      </c>
      <c r="P67">
        <v>306</v>
      </c>
      <c r="Q67" t="s">
        <v>74</v>
      </c>
      <c r="R67" t="s">
        <v>75</v>
      </c>
      <c r="S67" t="s">
        <v>62</v>
      </c>
      <c r="T67" t="s">
        <v>55</v>
      </c>
      <c r="U67" s="3">
        <f t="shared" ref="U67:U130" si="1">DATE(YEAR(B67),MONTH(B67),1)</f>
        <v>45931</v>
      </c>
    </row>
    <row r="68" spans="1:21" x14ac:dyDescent="0.35">
      <c r="A68" t="s">
        <v>250</v>
      </c>
      <c r="B68" t="s">
        <v>251</v>
      </c>
      <c r="C68" t="s">
        <v>35</v>
      </c>
      <c r="D68" t="s">
        <v>252</v>
      </c>
      <c r="E68" t="s">
        <v>70</v>
      </c>
      <c r="F68" t="s">
        <v>25</v>
      </c>
      <c r="G68" t="s">
        <v>60</v>
      </c>
      <c r="H68" t="s">
        <v>48</v>
      </c>
      <c r="I68" t="s">
        <v>28</v>
      </c>
      <c r="J68">
        <v>148755.9</v>
      </c>
      <c r="K68">
        <v>2600.89</v>
      </c>
      <c r="L68">
        <v>468.16</v>
      </c>
      <c r="M68">
        <v>131.05000000000001</v>
      </c>
      <c r="N68">
        <v>151693.9</v>
      </c>
      <c r="O68">
        <v>144110.92000000001</v>
      </c>
      <c r="P68">
        <v>640</v>
      </c>
      <c r="Q68" t="s">
        <v>74</v>
      </c>
      <c r="R68" t="s">
        <v>54</v>
      </c>
      <c r="S68" t="s">
        <v>86</v>
      </c>
      <c r="T68" t="s">
        <v>55</v>
      </c>
      <c r="U68" s="3">
        <f t="shared" si="1"/>
        <v>45992</v>
      </c>
    </row>
    <row r="69" spans="1:21" x14ac:dyDescent="0.35">
      <c r="A69" t="s">
        <v>253</v>
      </c>
      <c r="B69" t="s">
        <v>254</v>
      </c>
      <c r="C69" t="s">
        <v>35</v>
      </c>
      <c r="D69" t="s">
        <v>255</v>
      </c>
      <c r="E69" t="s">
        <v>45</v>
      </c>
      <c r="F69" t="s">
        <v>46</v>
      </c>
      <c r="G69" t="s">
        <v>47</v>
      </c>
      <c r="H69" t="s">
        <v>27</v>
      </c>
      <c r="I69" t="s">
        <v>61</v>
      </c>
      <c r="J69">
        <v>162952.07999999999</v>
      </c>
      <c r="K69">
        <v>2389.4</v>
      </c>
      <c r="L69">
        <v>430.09</v>
      </c>
      <c r="M69">
        <v>428.88</v>
      </c>
      <c r="N69">
        <v>165342.69</v>
      </c>
      <c r="O69">
        <v>143325.49</v>
      </c>
      <c r="P69">
        <v>379</v>
      </c>
      <c r="Q69" t="s">
        <v>74</v>
      </c>
      <c r="R69" t="s">
        <v>30</v>
      </c>
      <c r="S69" t="s">
        <v>31</v>
      </c>
      <c r="T69" t="s">
        <v>55</v>
      </c>
      <c r="U69" s="3">
        <f t="shared" si="1"/>
        <v>45809</v>
      </c>
    </row>
    <row r="70" spans="1:21" x14ac:dyDescent="0.35">
      <c r="A70" t="s">
        <v>256</v>
      </c>
      <c r="B70" t="s">
        <v>77</v>
      </c>
      <c r="C70" t="s">
        <v>95</v>
      </c>
      <c r="D70" t="s">
        <v>257</v>
      </c>
      <c r="E70" t="s">
        <v>37</v>
      </c>
      <c r="F70" t="s">
        <v>59</v>
      </c>
      <c r="G70" t="s">
        <v>60</v>
      </c>
      <c r="H70" t="s">
        <v>27</v>
      </c>
      <c r="I70" t="s">
        <v>61</v>
      </c>
      <c r="J70">
        <v>86438.27</v>
      </c>
      <c r="K70">
        <v>1001.99</v>
      </c>
      <c r="L70">
        <v>180.36</v>
      </c>
      <c r="M70">
        <v>323.08999999999997</v>
      </c>
      <c r="N70">
        <v>87297.53</v>
      </c>
      <c r="O70">
        <v>139254.51999999999</v>
      </c>
      <c r="P70">
        <v>882</v>
      </c>
      <c r="Q70" t="s">
        <v>74</v>
      </c>
      <c r="R70" t="s">
        <v>30</v>
      </c>
      <c r="S70" t="s">
        <v>62</v>
      </c>
      <c r="T70" t="s">
        <v>41</v>
      </c>
      <c r="U70" s="3">
        <f t="shared" si="1"/>
        <v>45778</v>
      </c>
    </row>
    <row r="71" spans="1:21" x14ac:dyDescent="0.35">
      <c r="A71" t="s">
        <v>258</v>
      </c>
      <c r="B71" t="s">
        <v>259</v>
      </c>
      <c r="C71" t="s">
        <v>22</v>
      </c>
      <c r="D71" t="s">
        <v>260</v>
      </c>
      <c r="E71" t="s">
        <v>70</v>
      </c>
      <c r="F71" t="s">
        <v>46</v>
      </c>
      <c r="G71" t="s">
        <v>26</v>
      </c>
      <c r="H71" t="s">
        <v>66</v>
      </c>
      <c r="I71" t="s">
        <v>40</v>
      </c>
      <c r="J71">
        <v>123122.24000000001</v>
      </c>
      <c r="K71">
        <v>719.43</v>
      </c>
      <c r="L71">
        <v>129.5</v>
      </c>
      <c r="M71">
        <v>335.12</v>
      </c>
      <c r="N71">
        <v>123636.05</v>
      </c>
      <c r="O71">
        <v>144897.32</v>
      </c>
      <c r="P71">
        <v>872</v>
      </c>
      <c r="Q71" t="s">
        <v>74</v>
      </c>
      <c r="R71" t="s">
        <v>30</v>
      </c>
      <c r="S71" t="s">
        <v>79</v>
      </c>
      <c r="T71" t="s">
        <v>55</v>
      </c>
      <c r="U71" s="3">
        <f t="shared" si="1"/>
        <v>45778</v>
      </c>
    </row>
    <row r="72" spans="1:21" x14ac:dyDescent="0.35">
      <c r="A72" t="s">
        <v>261</v>
      </c>
      <c r="B72" t="s">
        <v>125</v>
      </c>
      <c r="C72" t="s">
        <v>22</v>
      </c>
      <c r="D72" t="s">
        <v>262</v>
      </c>
      <c r="E72" t="s">
        <v>70</v>
      </c>
      <c r="F72" t="s">
        <v>38</v>
      </c>
      <c r="G72" t="s">
        <v>47</v>
      </c>
      <c r="H72" t="s">
        <v>27</v>
      </c>
      <c r="I72" t="s">
        <v>40</v>
      </c>
      <c r="J72">
        <v>49754.400000000001</v>
      </c>
      <c r="K72">
        <v>993.49</v>
      </c>
      <c r="L72">
        <v>178.83</v>
      </c>
      <c r="M72">
        <v>454.96</v>
      </c>
      <c r="N72">
        <v>50471.76</v>
      </c>
      <c r="O72">
        <v>152670.68</v>
      </c>
      <c r="P72">
        <v>896</v>
      </c>
      <c r="Q72" t="s">
        <v>53</v>
      </c>
      <c r="R72" t="s">
        <v>75</v>
      </c>
      <c r="S72" t="s">
        <v>86</v>
      </c>
      <c r="T72" t="s">
        <v>55</v>
      </c>
      <c r="U72" s="3">
        <f t="shared" si="1"/>
        <v>45778</v>
      </c>
    </row>
    <row r="73" spans="1:21" x14ac:dyDescent="0.35">
      <c r="A73" t="s">
        <v>263</v>
      </c>
      <c r="B73" t="s">
        <v>264</v>
      </c>
      <c r="C73" t="s">
        <v>35</v>
      </c>
      <c r="D73" t="s">
        <v>265</v>
      </c>
      <c r="E73" t="s">
        <v>45</v>
      </c>
      <c r="F73" t="s">
        <v>38</v>
      </c>
      <c r="G73" t="s">
        <v>26</v>
      </c>
      <c r="H73" t="s">
        <v>27</v>
      </c>
      <c r="I73" t="s">
        <v>61</v>
      </c>
      <c r="J73">
        <v>36900.58</v>
      </c>
      <c r="K73">
        <v>295.31</v>
      </c>
      <c r="L73">
        <v>53.16</v>
      </c>
      <c r="M73">
        <v>305.64</v>
      </c>
      <c r="N73">
        <v>36943.410000000003</v>
      </c>
      <c r="O73">
        <v>160829.31</v>
      </c>
      <c r="P73">
        <v>692</v>
      </c>
      <c r="Q73" t="s">
        <v>74</v>
      </c>
      <c r="R73" t="s">
        <v>75</v>
      </c>
      <c r="S73" t="s">
        <v>31</v>
      </c>
      <c r="T73" t="s">
        <v>41</v>
      </c>
      <c r="U73" s="3">
        <f t="shared" si="1"/>
        <v>45992</v>
      </c>
    </row>
    <row r="74" spans="1:21" x14ac:dyDescent="0.35">
      <c r="A74" t="s">
        <v>266</v>
      </c>
      <c r="B74" t="s">
        <v>267</v>
      </c>
      <c r="C74" t="s">
        <v>95</v>
      </c>
      <c r="D74" t="s">
        <v>268</v>
      </c>
      <c r="E74" t="s">
        <v>45</v>
      </c>
      <c r="F74" t="s">
        <v>46</v>
      </c>
      <c r="G74" t="s">
        <v>47</v>
      </c>
      <c r="H74" t="s">
        <v>48</v>
      </c>
      <c r="I74" t="s">
        <v>61</v>
      </c>
      <c r="J74">
        <v>199865.12</v>
      </c>
      <c r="K74">
        <v>3353.5</v>
      </c>
      <c r="L74">
        <v>603.63</v>
      </c>
      <c r="M74">
        <v>473.19</v>
      </c>
      <c r="N74">
        <v>203349.06</v>
      </c>
      <c r="O74">
        <v>169939.95</v>
      </c>
      <c r="P74">
        <v>741</v>
      </c>
      <c r="Q74" t="s">
        <v>74</v>
      </c>
      <c r="R74" t="s">
        <v>30</v>
      </c>
      <c r="S74" t="s">
        <v>62</v>
      </c>
      <c r="T74" t="s">
        <v>32</v>
      </c>
      <c r="U74" s="3">
        <f t="shared" si="1"/>
        <v>45931</v>
      </c>
    </row>
    <row r="75" spans="1:21" x14ac:dyDescent="0.35">
      <c r="A75" t="s">
        <v>269</v>
      </c>
      <c r="B75" t="s">
        <v>270</v>
      </c>
      <c r="C75" t="s">
        <v>95</v>
      </c>
      <c r="D75" t="s">
        <v>271</v>
      </c>
      <c r="E75" t="s">
        <v>45</v>
      </c>
      <c r="F75" t="s">
        <v>25</v>
      </c>
      <c r="G75" t="s">
        <v>26</v>
      </c>
      <c r="H75" t="s">
        <v>48</v>
      </c>
      <c r="I75" t="s">
        <v>28</v>
      </c>
      <c r="J75">
        <v>62709.82</v>
      </c>
      <c r="K75">
        <v>569.71</v>
      </c>
      <c r="L75">
        <v>102.55</v>
      </c>
      <c r="M75">
        <v>487.8</v>
      </c>
      <c r="N75">
        <v>62894.28</v>
      </c>
      <c r="O75">
        <v>178737.98</v>
      </c>
      <c r="P75">
        <v>601</v>
      </c>
      <c r="Q75" t="s">
        <v>53</v>
      </c>
      <c r="R75" t="s">
        <v>30</v>
      </c>
      <c r="S75" t="s">
        <v>86</v>
      </c>
      <c r="T75" t="s">
        <v>41</v>
      </c>
      <c r="U75" s="3">
        <f t="shared" si="1"/>
        <v>45717</v>
      </c>
    </row>
    <row r="76" spans="1:21" x14ac:dyDescent="0.35">
      <c r="A76" t="s">
        <v>272</v>
      </c>
      <c r="B76" t="s">
        <v>273</v>
      </c>
      <c r="C76" t="s">
        <v>35</v>
      </c>
      <c r="D76" t="s">
        <v>274</v>
      </c>
      <c r="E76" t="s">
        <v>70</v>
      </c>
      <c r="F76" t="s">
        <v>38</v>
      </c>
      <c r="G76" t="s">
        <v>47</v>
      </c>
      <c r="H76" t="s">
        <v>66</v>
      </c>
      <c r="I76" t="s">
        <v>40</v>
      </c>
      <c r="J76">
        <v>149427.37</v>
      </c>
      <c r="K76">
        <v>163.92</v>
      </c>
      <c r="L76">
        <v>29.51</v>
      </c>
      <c r="M76">
        <v>252.73</v>
      </c>
      <c r="N76">
        <v>149368.07</v>
      </c>
      <c r="O76">
        <v>175744.96</v>
      </c>
      <c r="P76">
        <v>893</v>
      </c>
      <c r="Q76" t="s">
        <v>74</v>
      </c>
      <c r="R76" t="s">
        <v>30</v>
      </c>
      <c r="S76" t="s">
        <v>62</v>
      </c>
      <c r="T76" t="s">
        <v>32</v>
      </c>
      <c r="U76" s="3">
        <f t="shared" si="1"/>
        <v>45839</v>
      </c>
    </row>
    <row r="77" spans="1:21" x14ac:dyDescent="0.35">
      <c r="A77" t="s">
        <v>275</v>
      </c>
      <c r="B77" t="s">
        <v>276</v>
      </c>
      <c r="C77" t="s">
        <v>22</v>
      </c>
      <c r="D77" t="s">
        <v>277</v>
      </c>
      <c r="E77" t="s">
        <v>70</v>
      </c>
      <c r="F77" t="s">
        <v>46</v>
      </c>
      <c r="G77" t="s">
        <v>103</v>
      </c>
      <c r="H77" t="s">
        <v>48</v>
      </c>
      <c r="I77" t="s">
        <v>61</v>
      </c>
      <c r="J77">
        <v>138597.13</v>
      </c>
      <c r="K77">
        <v>2665.22</v>
      </c>
      <c r="L77">
        <v>479.74</v>
      </c>
      <c r="M77">
        <v>368.34</v>
      </c>
      <c r="N77">
        <v>141373.75</v>
      </c>
      <c r="O77">
        <v>184047.04</v>
      </c>
      <c r="P77">
        <v>472</v>
      </c>
      <c r="Q77" t="s">
        <v>53</v>
      </c>
      <c r="R77" t="s">
        <v>75</v>
      </c>
      <c r="S77" t="s">
        <v>86</v>
      </c>
      <c r="T77" t="s">
        <v>41</v>
      </c>
      <c r="U77" s="3">
        <f t="shared" si="1"/>
        <v>45870</v>
      </c>
    </row>
    <row r="78" spans="1:21" x14ac:dyDescent="0.35">
      <c r="A78" t="s">
        <v>278</v>
      </c>
      <c r="B78" t="s">
        <v>279</v>
      </c>
      <c r="C78" t="s">
        <v>95</v>
      </c>
      <c r="D78" t="s">
        <v>280</v>
      </c>
      <c r="E78" t="s">
        <v>45</v>
      </c>
      <c r="F78" t="s">
        <v>46</v>
      </c>
      <c r="G78" t="s">
        <v>26</v>
      </c>
      <c r="H78" t="s">
        <v>39</v>
      </c>
      <c r="I78" t="s">
        <v>61</v>
      </c>
      <c r="J78">
        <v>165736.82999999999</v>
      </c>
      <c r="K78">
        <v>2136.1999999999998</v>
      </c>
      <c r="L78">
        <v>384.52</v>
      </c>
      <c r="M78">
        <v>306.83</v>
      </c>
      <c r="N78">
        <v>167950.72</v>
      </c>
      <c r="O78">
        <v>188055.46</v>
      </c>
      <c r="P78">
        <v>667</v>
      </c>
      <c r="Q78" t="s">
        <v>53</v>
      </c>
      <c r="R78" t="s">
        <v>54</v>
      </c>
      <c r="S78" t="s">
        <v>86</v>
      </c>
      <c r="T78" t="s">
        <v>55</v>
      </c>
      <c r="U78" s="3">
        <f t="shared" si="1"/>
        <v>45870</v>
      </c>
    </row>
    <row r="79" spans="1:21" x14ac:dyDescent="0.35">
      <c r="A79" t="s">
        <v>281</v>
      </c>
      <c r="B79" t="s">
        <v>282</v>
      </c>
      <c r="C79" t="s">
        <v>22</v>
      </c>
      <c r="D79" t="s">
        <v>283</v>
      </c>
      <c r="E79" t="s">
        <v>24</v>
      </c>
      <c r="F79" t="s">
        <v>46</v>
      </c>
      <c r="G79" t="s">
        <v>60</v>
      </c>
      <c r="H79" t="s">
        <v>39</v>
      </c>
      <c r="I79" t="s">
        <v>61</v>
      </c>
      <c r="J79">
        <v>25977.37</v>
      </c>
      <c r="K79">
        <v>435.81</v>
      </c>
      <c r="L79">
        <v>78.45</v>
      </c>
      <c r="M79">
        <v>99.02</v>
      </c>
      <c r="N79">
        <v>26392.61</v>
      </c>
      <c r="O79">
        <v>188934.69</v>
      </c>
      <c r="P79">
        <v>340</v>
      </c>
      <c r="Q79" t="s">
        <v>53</v>
      </c>
      <c r="R79" t="s">
        <v>54</v>
      </c>
      <c r="S79" t="s">
        <v>79</v>
      </c>
      <c r="T79" t="s">
        <v>32</v>
      </c>
      <c r="U79" s="3">
        <f t="shared" si="1"/>
        <v>45992</v>
      </c>
    </row>
    <row r="80" spans="1:21" x14ac:dyDescent="0.35">
      <c r="A80" t="s">
        <v>284</v>
      </c>
      <c r="B80" t="s">
        <v>285</v>
      </c>
      <c r="C80" t="s">
        <v>35</v>
      </c>
      <c r="D80" t="s">
        <v>286</v>
      </c>
      <c r="E80" t="s">
        <v>37</v>
      </c>
      <c r="F80" t="s">
        <v>59</v>
      </c>
      <c r="G80" t="s">
        <v>26</v>
      </c>
      <c r="H80" t="s">
        <v>39</v>
      </c>
      <c r="I80" t="s">
        <v>28</v>
      </c>
      <c r="J80">
        <v>121973.16</v>
      </c>
      <c r="K80">
        <v>982.52</v>
      </c>
      <c r="L80">
        <v>176.85</v>
      </c>
      <c r="M80">
        <v>468.91</v>
      </c>
      <c r="N80">
        <v>122663.62</v>
      </c>
      <c r="O80">
        <v>185936.21</v>
      </c>
      <c r="P80">
        <v>626</v>
      </c>
      <c r="Q80" t="s">
        <v>29</v>
      </c>
      <c r="R80" t="s">
        <v>30</v>
      </c>
      <c r="S80" t="s">
        <v>79</v>
      </c>
      <c r="T80" t="s">
        <v>32</v>
      </c>
      <c r="U80" s="3">
        <f t="shared" si="1"/>
        <v>45809</v>
      </c>
    </row>
    <row r="81" spans="1:21" x14ac:dyDescent="0.35">
      <c r="A81" t="s">
        <v>287</v>
      </c>
      <c r="B81" t="s">
        <v>288</v>
      </c>
      <c r="C81" t="s">
        <v>95</v>
      </c>
      <c r="D81" t="s">
        <v>289</v>
      </c>
      <c r="E81" t="s">
        <v>45</v>
      </c>
      <c r="F81" t="s">
        <v>25</v>
      </c>
      <c r="G81" t="s">
        <v>26</v>
      </c>
      <c r="H81" t="s">
        <v>52</v>
      </c>
      <c r="I81" t="s">
        <v>28</v>
      </c>
      <c r="J81">
        <v>77154.53</v>
      </c>
      <c r="K81">
        <v>912.01</v>
      </c>
      <c r="L81">
        <v>164.16</v>
      </c>
      <c r="M81">
        <v>397.76</v>
      </c>
      <c r="N81">
        <v>77832.94</v>
      </c>
      <c r="O81">
        <v>190445.52</v>
      </c>
      <c r="P81">
        <v>372</v>
      </c>
      <c r="Q81" t="s">
        <v>74</v>
      </c>
      <c r="R81" t="s">
        <v>30</v>
      </c>
      <c r="S81" t="s">
        <v>62</v>
      </c>
      <c r="T81" t="s">
        <v>41</v>
      </c>
      <c r="U81" s="3">
        <f t="shared" si="1"/>
        <v>45809</v>
      </c>
    </row>
    <row r="82" spans="1:21" x14ac:dyDescent="0.35">
      <c r="A82" t="s">
        <v>290</v>
      </c>
      <c r="B82" t="s">
        <v>291</v>
      </c>
      <c r="C82" t="s">
        <v>22</v>
      </c>
      <c r="D82" t="s">
        <v>292</v>
      </c>
      <c r="E82" t="s">
        <v>70</v>
      </c>
      <c r="F82" t="s">
        <v>38</v>
      </c>
      <c r="G82" t="s">
        <v>26</v>
      </c>
      <c r="H82" t="s">
        <v>27</v>
      </c>
      <c r="I82" t="s">
        <v>40</v>
      </c>
      <c r="J82">
        <v>189696.57</v>
      </c>
      <c r="K82">
        <v>1845.42</v>
      </c>
      <c r="L82">
        <v>332.18</v>
      </c>
      <c r="M82">
        <v>445.5</v>
      </c>
      <c r="N82">
        <v>191428.67</v>
      </c>
      <c r="O82">
        <v>197575.95</v>
      </c>
      <c r="P82">
        <v>350</v>
      </c>
      <c r="Q82" t="s">
        <v>53</v>
      </c>
      <c r="R82" t="s">
        <v>54</v>
      </c>
      <c r="S82" t="s">
        <v>79</v>
      </c>
      <c r="T82" t="s">
        <v>41</v>
      </c>
      <c r="U82" s="3">
        <f t="shared" si="1"/>
        <v>45992</v>
      </c>
    </row>
    <row r="83" spans="1:21" x14ac:dyDescent="0.35">
      <c r="A83" t="s">
        <v>293</v>
      </c>
      <c r="B83" t="s">
        <v>294</v>
      </c>
      <c r="C83" t="s">
        <v>95</v>
      </c>
      <c r="D83" t="s">
        <v>295</v>
      </c>
      <c r="E83" t="s">
        <v>70</v>
      </c>
      <c r="F83" t="s">
        <v>46</v>
      </c>
      <c r="G83" t="s">
        <v>47</v>
      </c>
      <c r="H83" t="s">
        <v>27</v>
      </c>
      <c r="I83" t="s">
        <v>61</v>
      </c>
      <c r="J83">
        <v>176749.58</v>
      </c>
      <c r="K83">
        <v>2140.1799999999998</v>
      </c>
      <c r="L83">
        <v>385.23</v>
      </c>
      <c r="M83">
        <v>375.62</v>
      </c>
      <c r="N83">
        <v>178899.37</v>
      </c>
      <c r="O83">
        <v>204169.74</v>
      </c>
      <c r="P83">
        <v>448</v>
      </c>
      <c r="Q83" t="s">
        <v>53</v>
      </c>
      <c r="R83" t="s">
        <v>75</v>
      </c>
      <c r="S83" t="s">
        <v>79</v>
      </c>
      <c r="T83" t="s">
        <v>55</v>
      </c>
      <c r="U83" s="3">
        <f t="shared" si="1"/>
        <v>45870</v>
      </c>
    </row>
    <row r="84" spans="1:21" x14ac:dyDescent="0.35">
      <c r="A84" t="s">
        <v>296</v>
      </c>
      <c r="B84" t="s">
        <v>297</v>
      </c>
      <c r="C84" t="s">
        <v>22</v>
      </c>
      <c r="D84" t="s">
        <v>298</v>
      </c>
      <c r="E84" t="s">
        <v>24</v>
      </c>
      <c r="F84" t="s">
        <v>38</v>
      </c>
      <c r="G84" t="s">
        <v>26</v>
      </c>
      <c r="H84" t="s">
        <v>52</v>
      </c>
      <c r="I84" t="s">
        <v>28</v>
      </c>
      <c r="J84">
        <v>84129.74</v>
      </c>
      <c r="K84">
        <v>710.32</v>
      </c>
      <c r="L84">
        <v>127.86</v>
      </c>
      <c r="M84">
        <v>86.36</v>
      </c>
      <c r="N84">
        <v>84881.56</v>
      </c>
      <c r="O84">
        <v>202384.03</v>
      </c>
      <c r="P84">
        <v>600</v>
      </c>
      <c r="Q84" t="s">
        <v>29</v>
      </c>
      <c r="R84" t="s">
        <v>30</v>
      </c>
      <c r="S84" t="s">
        <v>86</v>
      </c>
      <c r="T84" t="s">
        <v>41</v>
      </c>
      <c r="U84" s="3">
        <f t="shared" si="1"/>
        <v>45809</v>
      </c>
    </row>
    <row r="85" spans="1:21" x14ac:dyDescent="0.35">
      <c r="A85" t="s">
        <v>299</v>
      </c>
      <c r="B85" t="s">
        <v>300</v>
      </c>
      <c r="C85" t="s">
        <v>22</v>
      </c>
      <c r="D85" t="s">
        <v>301</v>
      </c>
      <c r="E85" t="s">
        <v>24</v>
      </c>
      <c r="F85" t="s">
        <v>38</v>
      </c>
      <c r="G85" t="s">
        <v>47</v>
      </c>
      <c r="H85" t="s">
        <v>48</v>
      </c>
      <c r="I85" t="s">
        <v>61</v>
      </c>
      <c r="J85">
        <v>168357.55</v>
      </c>
      <c r="K85">
        <v>1900.65</v>
      </c>
      <c r="L85">
        <v>342.12</v>
      </c>
      <c r="M85">
        <v>50.71</v>
      </c>
      <c r="N85">
        <v>170549.61</v>
      </c>
      <c r="O85">
        <v>207628.89</v>
      </c>
      <c r="P85">
        <v>368</v>
      </c>
      <c r="Q85" t="s">
        <v>29</v>
      </c>
      <c r="R85" t="s">
        <v>54</v>
      </c>
      <c r="S85" t="s">
        <v>86</v>
      </c>
      <c r="T85" t="s">
        <v>41</v>
      </c>
      <c r="U85" s="3">
        <f t="shared" si="1"/>
        <v>45839</v>
      </c>
    </row>
    <row r="86" spans="1:21" x14ac:dyDescent="0.35">
      <c r="A86" t="s">
        <v>302</v>
      </c>
      <c r="B86" t="s">
        <v>303</v>
      </c>
      <c r="C86" t="s">
        <v>35</v>
      </c>
      <c r="D86" t="s">
        <v>304</v>
      </c>
      <c r="E86" t="s">
        <v>24</v>
      </c>
      <c r="F86" t="s">
        <v>25</v>
      </c>
      <c r="G86" t="s">
        <v>26</v>
      </c>
      <c r="H86" t="s">
        <v>48</v>
      </c>
      <c r="I86" t="s">
        <v>40</v>
      </c>
      <c r="J86">
        <v>35850.720000000001</v>
      </c>
      <c r="K86">
        <v>484.95</v>
      </c>
      <c r="L86">
        <v>87.29</v>
      </c>
      <c r="M86">
        <v>383.05</v>
      </c>
      <c r="N86">
        <v>36039.910000000003</v>
      </c>
      <c r="O86">
        <v>204022.79</v>
      </c>
      <c r="P86">
        <v>743</v>
      </c>
      <c r="Q86" t="s">
        <v>53</v>
      </c>
      <c r="R86" t="s">
        <v>75</v>
      </c>
      <c r="S86" t="s">
        <v>31</v>
      </c>
      <c r="T86" t="s">
        <v>41</v>
      </c>
      <c r="U86" s="3">
        <f t="shared" si="1"/>
        <v>45748</v>
      </c>
    </row>
    <row r="87" spans="1:21" x14ac:dyDescent="0.35">
      <c r="A87" t="s">
        <v>305</v>
      </c>
      <c r="B87" t="s">
        <v>306</v>
      </c>
      <c r="C87" t="s">
        <v>35</v>
      </c>
      <c r="D87" t="s">
        <v>307</v>
      </c>
      <c r="E87" t="s">
        <v>24</v>
      </c>
      <c r="F87" t="s">
        <v>25</v>
      </c>
      <c r="G87" t="s">
        <v>103</v>
      </c>
      <c r="H87" t="s">
        <v>39</v>
      </c>
      <c r="I87" t="s">
        <v>40</v>
      </c>
      <c r="J87">
        <v>164801.92000000001</v>
      </c>
      <c r="K87">
        <v>2632.93</v>
      </c>
      <c r="L87">
        <v>473.93</v>
      </c>
      <c r="M87">
        <v>96.72</v>
      </c>
      <c r="N87">
        <v>167812.06</v>
      </c>
      <c r="O87">
        <v>212869.69</v>
      </c>
      <c r="P87">
        <v>881</v>
      </c>
      <c r="Q87" t="s">
        <v>53</v>
      </c>
      <c r="R87" t="s">
        <v>54</v>
      </c>
      <c r="S87" t="s">
        <v>86</v>
      </c>
      <c r="T87" t="s">
        <v>41</v>
      </c>
      <c r="U87" s="3">
        <f t="shared" si="1"/>
        <v>45717</v>
      </c>
    </row>
    <row r="88" spans="1:21" x14ac:dyDescent="0.35">
      <c r="A88" t="s">
        <v>308</v>
      </c>
      <c r="B88" t="s">
        <v>309</v>
      </c>
      <c r="C88" t="s">
        <v>35</v>
      </c>
      <c r="D88" t="s">
        <v>310</v>
      </c>
      <c r="E88" t="s">
        <v>45</v>
      </c>
      <c r="F88" t="s">
        <v>25</v>
      </c>
      <c r="G88" t="s">
        <v>26</v>
      </c>
      <c r="H88" t="s">
        <v>48</v>
      </c>
      <c r="I88" t="s">
        <v>28</v>
      </c>
      <c r="J88">
        <v>184051.20000000001</v>
      </c>
      <c r="K88">
        <v>422.99</v>
      </c>
      <c r="L88">
        <v>76.14</v>
      </c>
      <c r="M88">
        <v>3.33</v>
      </c>
      <c r="N88">
        <v>184547</v>
      </c>
      <c r="O88">
        <v>218014.68</v>
      </c>
      <c r="P88">
        <v>429</v>
      </c>
      <c r="Q88" t="s">
        <v>74</v>
      </c>
      <c r="R88" t="s">
        <v>75</v>
      </c>
      <c r="S88" t="s">
        <v>31</v>
      </c>
      <c r="T88" t="s">
        <v>55</v>
      </c>
      <c r="U88" s="3">
        <f t="shared" si="1"/>
        <v>45658</v>
      </c>
    </row>
    <row r="89" spans="1:21" x14ac:dyDescent="0.35">
      <c r="A89" t="s">
        <v>311</v>
      </c>
      <c r="B89" t="s">
        <v>312</v>
      </c>
      <c r="C89" t="s">
        <v>95</v>
      </c>
      <c r="D89" t="s">
        <v>313</v>
      </c>
      <c r="E89" t="s">
        <v>24</v>
      </c>
      <c r="F89" t="s">
        <v>25</v>
      </c>
      <c r="G89" t="s">
        <v>60</v>
      </c>
      <c r="H89" t="s">
        <v>66</v>
      </c>
      <c r="I89" t="s">
        <v>28</v>
      </c>
      <c r="J89">
        <v>9241.6</v>
      </c>
      <c r="K89">
        <v>46.43</v>
      </c>
      <c r="L89">
        <v>8.36</v>
      </c>
      <c r="M89">
        <v>175.2</v>
      </c>
      <c r="N89">
        <v>9121.19</v>
      </c>
      <c r="O89">
        <v>217220.88</v>
      </c>
      <c r="P89">
        <v>572</v>
      </c>
      <c r="Q89" t="s">
        <v>29</v>
      </c>
      <c r="R89" t="s">
        <v>54</v>
      </c>
      <c r="S89" t="s">
        <v>31</v>
      </c>
      <c r="T89" t="s">
        <v>32</v>
      </c>
      <c r="U89" s="3">
        <f t="shared" si="1"/>
        <v>45748</v>
      </c>
    </row>
    <row r="90" spans="1:21" x14ac:dyDescent="0.35">
      <c r="A90" t="s">
        <v>314</v>
      </c>
      <c r="B90" t="s">
        <v>288</v>
      </c>
      <c r="C90" t="s">
        <v>35</v>
      </c>
      <c r="D90" t="s">
        <v>315</v>
      </c>
      <c r="E90" t="s">
        <v>24</v>
      </c>
      <c r="F90" t="s">
        <v>46</v>
      </c>
      <c r="G90" t="s">
        <v>47</v>
      </c>
      <c r="H90" t="s">
        <v>48</v>
      </c>
      <c r="I90" t="s">
        <v>28</v>
      </c>
      <c r="J90">
        <v>141314.92000000001</v>
      </c>
      <c r="K90">
        <v>855.21</v>
      </c>
      <c r="L90">
        <v>153.94</v>
      </c>
      <c r="M90">
        <v>298.18</v>
      </c>
      <c r="N90">
        <v>142025.89000000001</v>
      </c>
      <c r="O90">
        <v>216724.33</v>
      </c>
      <c r="P90">
        <v>675</v>
      </c>
      <c r="Q90" t="s">
        <v>53</v>
      </c>
      <c r="R90" t="s">
        <v>75</v>
      </c>
      <c r="S90" t="s">
        <v>79</v>
      </c>
      <c r="T90" t="s">
        <v>32</v>
      </c>
      <c r="U90" s="3">
        <f t="shared" si="1"/>
        <v>45809</v>
      </c>
    </row>
    <row r="91" spans="1:21" x14ac:dyDescent="0.35">
      <c r="A91" t="s">
        <v>316</v>
      </c>
      <c r="B91" t="s">
        <v>317</v>
      </c>
      <c r="C91" t="s">
        <v>22</v>
      </c>
      <c r="D91" t="s">
        <v>92</v>
      </c>
      <c r="E91" t="s">
        <v>24</v>
      </c>
      <c r="F91" t="s">
        <v>59</v>
      </c>
      <c r="G91" t="s">
        <v>103</v>
      </c>
      <c r="H91" t="s">
        <v>52</v>
      </c>
      <c r="I91" t="s">
        <v>28</v>
      </c>
      <c r="J91">
        <v>97093.51</v>
      </c>
      <c r="K91">
        <v>158.80000000000001</v>
      </c>
      <c r="L91">
        <v>28.58</v>
      </c>
      <c r="M91">
        <v>78.52</v>
      </c>
      <c r="N91">
        <v>97202.37</v>
      </c>
      <c r="O91">
        <v>218313.59</v>
      </c>
      <c r="P91">
        <v>421</v>
      </c>
      <c r="Q91" t="s">
        <v>74</v>
      </c>
      <c r="R91" t="s">
        <v>30</v>
      </c>
      <c r="S91" t="s">
        <v>79</v>
      </c>
      <c r="T91" t="s">
        <v>41</v>
      </c>
      <c r="U91" s="3">
        <f t="shared" si="1"/>
        <v>45931</v>
      </c>
    </row>
    <row r="92" spans="1:21" x14ac:dyDescent="0.35">
      <c r="A92" t="s">
        <v>318</v>
      </c>
      <c r="B92" t="s">
        <v>319</v>
      </c>
      <c r="C92" t="s">
        <v>35</v>
      </c>
      <c r="D92" t="s">
        <v>320</v>
      </c>
      <c r="E92" t="s">
        <v>70</v>
      </c>
      <c r="F92" t="s">
        <v>59</v>
      </c>
      <c r="G92" t="s">
        <v>103</v>
      </c>
      <c r="H92" t="s">
        <v>66</v>
      </c>
      <c r="I92" t="s">
        <v>40</v>
      </c>
      <c r="J92">
        <v>101296.49</v>
      </c>
      <c r="K92">
        <v>586.83000000000004</v>
      </c>
      <c r="L92">
        <v>105.63</v>
      </c>
      <c r="M92">
        <v>317.70999999999998</v>
      </c>
      <c r="N92">
        <v>101671.24</v>
      </c>
      <c r="O92">
        <v>218405.09</v>
      </c>
      <c r="P92">
        <v>448</v>
      </c>
      <c r="Q92" t="s">
        <v>74</v>
      </c>
      <c r="R92" t="s">
        <v>75</v>
      </c>
      <c r="S92" t="s">
        <v>79</v>
      </c>
      <c r="T92" t="s">
        <v>32</v>
      </c>
      <c r="U92" s="3">
        <f t="shared" si="1"/>
        <v>45931</v>
      </c>
    </row>
    <row r="93" spans="1:21" x14ac:dyDescent="0.35">
      <c r="A93" t="s">
        <v>321</v>
      </c>
      <c r="B93" t="s">
        <v>322</v>
      </c>
      <c r="C93" t="s">
        <v>95</v>
      </c>
      <c r="D93" t="s">
        <v>323</v>
      </c>
      <c r="E93" t="s">
        <v>45</v>
      </c>
      <c r="F93" t="s">
        <v>59</v>
      </c>
      <c r="G93" t="s">
        <v>26</v>
      </c>
      <c r="H93" t="s">
        <v>66</v>
      </c>
      <c r="I93" t="s">
        <v>28</v>
      </c>
      <c r="J93">
        <v>193282.28</v>
      </c>
      <c r="K93">
        <v>3127.59</v>
      </c>
      <c r="L93">
        <v>562.97</v>
      </c>
      <c r="M93">
        <v>100.31</v>
      </c>
      <c r="N93">
        <v>196872.53</v>
      </c>
      <c r="O93">
        <v>223919.58</v>
      </c>
      <c r="P93">
        <v>701</v>
      </c>
      <c r="Q93" t="s">
        <v>53</v>
      </c>
      <c r="R93" t="s">
        <v>75</v>
      </c>
      <c r="S93" t="s">
        <v>31</v>
      </c>
      <c r="T93" t="s">
        <v>41</v>
      </c>
      <c r="U93" s="3">
        <f t="shared" si="1"/>
        <v>45689</v>
      </c>
    </row>
    <row r="94" spans="1:21" x14ac:dyDescent="0.35">
      <c r="A94" t="s">
        <v>324</v>
      </c>
      <c r="B94" t="s">
        <v>325</v>
      </c>
      <c r="C94" t="s">
        <v>95</v>
      </c>
      <c r="D94" t="s">
        <v>326</v>
      </c>
      <c r="E94" t="s">
        <v>45</v>
      </c>
      <c r="F94" t="s">
        <v>46</v>
      </c>
      <c r="G94" t="s">
        <v>26</v>
      </c>
      <c r="H94" t="s">
        <v>27</v>
      </c>
      <c r="I94" t="s">
        <v>61</v>
      </c>
      <c r="J94">
        <v>75391.259999999995</v>
      </c>
      <c r="K94">
        <v>927.3</v>
      </c>
      <c r="L94">
        <v>166.91</v>
      </c>
      <c r="M94">
        <v>149.35</v>
      </c>
      <c r="N94">
        <v>76336.12</v>
      </c>
      <c r="O94">
        <v>224744.46</v>
      </c>
      <c r="P94">
        <v>850</v>
      </c>
      <c r="Q94" t="s">
        <v>74</v>
      </c>
      <c r="R94" t="s">
        <v>30</v>
      </c>
      <c r="S94" t="s">
        <v>31</v>
      </c>
      <c r="T94" t="s">
        <v>41</v>
      </c>
      <c r="U94" s="3">
        <f t="shared" si="1"/>
        <v>45962</v>
      </c>
    </row>
    <row r="95" spans="1:21" x14ac:dyDescent="0.35">
      <c r="A95" t="s">
        <v>327</v>
      </c>
      <c r="B95" t="s">
        <v>328</v>
      </c>
      <c r="C95" t="s">
        <v>22</v>
      </c>
      <c r="D95" t="s">
        <v>329</v>
      </c>
      <c r="E95" t="s">
        <v>70</v>
      </c>
      <c r="F95" t="s">
        <v>38</v>
      </c>
      <c r="G95" t="s">
        <v>26</v>
      </c>
      <c r="H95" t="s">
        <v>52</v>
      </c>
      <c r="I95" t="s">
        <v>61</v>
      </c>
      <c r="J95">
        <v>134799.70000000001</v>
      </c>
      <c r="K95">
        <v>1838.67</v>
      </c>
      <c r="L95">
        <v>330.96</v>
      </c>
      <c r="M95">
        <v>388.54</v>
      </c>
      <c r="N95">
        <v>136580.79</v>
      </c>
      <c r="O95">
        <v>221414</v>
      </c>
      <c r="P95">
        <v>734</v>
      </c>
      <c r="Q95" t="s">
        <v>29</v>
      </c>
      <c r="R95" t="s">
        <v>54</v>
      </c>
      <c r="S95" t="s">
        <v>79</v>
      </c>
      <c r="T95" t="s">
        <v>32</v>
      </c>
      <c r="U95" s="3">
        <f t="shared" si="1"/>
        <v>45748</v>
      </c>
    </row>
    <row r="96" spans="1:21" x14ac:dyDescent="0.35">
      <c r="A96" t="s">
        <v>330</v>
      </c>
      <c r="B96" t="s">
        <v>331</v>
      </c>
      <c r="C96" t="s">
        <v>22</v>
      </c>
      <c r="D96" t="s">
        <v>332</v>
      </c>
      <c r="E96" t="s">
        <v>45</v>
      </c>
      <c r="F96" t="s">
        <v>59</v>
      </c>
      <c r="G96" t="s">
        <v>60</v>
      </c>
      <c r="H96" t="s">
        <v>66</v>
      </c>
      <c r="I96" t="s">
        <v>28</v>
      </c>
      <c r="J96">
        <v>87038.720000000001</v>
      </c>
      <c r="K96">
        <v>193.28</v>
      </c>
      <c r="L96">
        <v>34.79</v>
      </c>
      <c r="M96">
        <v>434.34</v>
      </c>
      <c r="N96">
        <v>86832.45</v>
      </c>
      <c r="O96">
        <v>222790.81</v>
      </c>
      <c r="P96">
        <v>338</v>
      </c>
      <c r="Q96" t="s">
        <v>53</v>
      </c>
      <c r="R96" t="s">
        <v>75</v>
      </c>
      <c r="S96" t="s">
        <v>31</v>
      </c>
      <c r="T96" t="s">
        <v>55</v>
      </c>
      <c r="U96" s="3">
        <f t="shared" si="1"/>
        <v>45839</v>
      </c>
    </row>
    <row r="97" spans="1:21" x14ac:dyDescent="0.35">
      <c r="A97" t="s">
        <v>333</v>
      </c>
      <c r="B97" t="s">
        <v>309</v>
      </c>
      <c r="C97" t="s">
        <v>22</v>
      </c>
      <c r="D97" t="s">
        <v>334</v>
      </c>
      <c r="E97" t="s">
        <v>45</v>
      </c>
      <c r="F97" t="s">
        <v>59</v>
      </c>
      <c r="G97" t="s">
        <v>26</v>
      </c>
      <c r="H97" t="s">
        <v>48</v>
      </c>
      <c r="I97" t="s">
        <v>28</v>
      </c>
      <c r="J97">
        <v>128637.47</v>
      </c>
      <c r="K97">
        <v>2173.37</v>
      </c>
      <c r="L97">
        <v>391.21</v>
      </c>
      <c r="M97">
        <v>98.55</v>
      </c>
      <c r="N97">
        <v>131103.5</v>
      </c>
      <c r="O97">
        <v>232123.83</v>
      </c>
      <c r="P97">
        <v>422</v>
      </c>
      <c r="Q97" t="s">
        <v>29</v>
      </c>
      <c r="R97" t="s">
        <v>54</v>
      </c>
      <c r="S97" t="s">
        <v>31</v>
      </c>
      <c r="T97" t="s">
        <v>32</v>
      </c>
      <c r="U97" s="3">
        <f t="shared" si="1"/>
        <v>45658</v>
      </c>
    </row>
    <row r="98" spans="1:21" x14ac:dyDescent="0.35">
      <c r="A98" t="s">
        <v>335</v>
      </c>
      <c r="B98" t="s">
        <v>336</v>
      </c>
      <c r="C98" t="s">
        <v>22</v>
      </c>
      <c r="D98" t="s">
        <v>337</v>
      </c>
      <c r="E98" t="s">
        <v>24</v>
      </c>
      <c r="F98" t="s">
        <v>59</v>
      </c>
      <c r="G98" t="s">
        <v>26</v>
      </c>
      <c r="H98" t="s">
        <v>52</v>
      </c>
      <c r="I98" t="s">
        <v>61</v>
      </c>
      <c r="J98">
        <v>184675.56</v>
      </c>
      <c r="K98">
        <v>2773.58</v>
      </c>
      <c r="L98">
        <v>499.24</v>
      </c>
      <c r="M98">
        <v>257.02999999999997</v>
      </c>
      <c r="N98">
        <v>187691.35</v>
      </c>
      <c r="O98">
        <v>230562.44</v>
      </c>
      <c r="P98">
        <v>799</v>
      </c>
      <c r="Q98" t="s">
        <v>53</v>
      </c>
      <c r="R98" t="s">
        <v>75</v>
      </c>
      <c r="S98" t="s">
        <v>79</v>
      </c>
      <c r="T98" t="s">
        <v>32</v>
      </c>
      <c r="U98" s="3">
        <f t="shared" si="1"/>
        <v>45839</v>
      </c>
    </row>
    <row r="99" spans="1:21" x14ac:dyDescent="0.35">
      <c r="A99" t="s">
        <v>338</v>
      </c>
      <c r="B99" t="s">
        <v>339</v>
      </c>
      <c r="C99" t="s">
        <v>35</v>
      </c>
      <c r="D99" t="s">
        <v>340</v>
      </c>
      <c r="E99" t="s">
        <v>37</v>
      </c>
      <c r="F99" t="s">
        <v>38</v>
      </c>
      <c r="G99" t="s">
        <v>47</v>
      </c>
      <c r="H99" t="s">
        <v>48</v>
      </c>
      <c r="I99" t="s">
        <v>61</v>
      </c>
      <c r="J99">
        <v>71980.52</v>
      </c>
      <c r="K99">
        <v>751.32</v>
      </c>
      <c r="L99">
        <v>135.24</v>
      </c>
      <c r="M99">
        <v>227.97</v>
      </c>
      <c r="N99">
        <v>72639.11</v>
      </c>
      <c r="O99">
        <v>232695.66</v>
      </c>
      <c r="P99">
        <v>710</v>
      </c>
      <c r="Q99" t="s">
        <v>29</v>
      </c>
      <c r="R99" t="s">
        <v>54</v>
      </c>
      <c r="S99" t="s">
        <v>79</v>
      </c>
      <c r="T99" t="s">
        <v>55</v>
      </c>
      <c r="U99" s="3">
        <f t="shared" si="1"/>
        <v>45658</v>
      </c>
    </row>
    <row r="100" spans="1:21" x14ac:dyDescent="0.35">
      <c r="A100" t="s">
        <v>341</v>
      </c>
      <c r="B100" t="s">
        <v>300</v>
      </c>
      <c r="C100" t="s">
        <v>22</v>
      </c>
      <c r="D100" t="s">
        <v>342</v>
      </c>
      <c r="E100" t="s">
        <v>70</v>
      </c>
      <c r="F100" t="s">
        <v>38</v>
      </c>
      <c r="G100" t="s">
        <v>60</v>
      </c>
      <c r="H100" t="s">
        <v>48</v>
      </c>
      <c r="I100" t="s">
        <v>28</v>
      </c>
      <c r="J100">
        <v>113951.24</v>
      </c>
      <c r="K100">
        <v>378.23</v>
      </c>
      <c r="L100">
        <v>68.08</v>
      </c>
      <c r="M100">
        <v>153.53</v>
      </c>
      <c r="N100">
        <v>114244.02</v>
      </c>
      <c r="O100">
        <v>241509.35</v>
      </c>
      <c r="P100">
        <v>347</v>
      </c>
      <c r="Q100" t="s">
        <v>74</v>
      </c>
      <c r="R100" t="s">
        <v>54</v>
      </c>
      <c r="S100" t="s">
        <v>86</v>
      </c>
      <c r="T100" t="s">
        <v>41</v>
      </c>
      <c r="U100" s="3">
        <f t="shared" si="1"/>
        <v>45839</v>
      </c>
    </row>
    <row r="101" spans="1:21" x14ac:dyDescent="0.35">
      <c r="A101" t="s">
        <v>343</v>
      </c>
      <c r="B101" t="s">
        <v>344</v>
      </c>
      <c r="C101" t="s">
        <v>22</v>
      </c>
      <c r="D101" t="s">
        <v>345</v>
      </c>
      <c r="E101" t="s">
        <v>70</v>
      </c>
      <c r="F101" t="s">
        <v>25</v>
      </c>
      <c r="G101" t="s">
        <v>103</v>
      </c>
      <c r="H101" t="s">
        <v>39</v>
      </c>
      <c r="I101" t="s">
        <v>40</v>
      </c>
      <c r="J101">
        <v>12199.68</v>
      </c>
      <c r="K101">
        <v>14.17</v>
      </c>
      <c r="L101">
        <v>2.5499999999999998</v>
      </c>
      <c r="M101">
        <v>364.24</v>
      </c>
      <c r="N101">
        <v>11852.16</v>
      </c>
      <c r="O101">
        <v>247918.87</v>
      </c>
      <c r="P101">
        <v>438</v>
      </c>
      <c r="Q101" t="s">
        <v>74</v>
      </c>
      <c r="R101" t="s">
        <v>54</v>
      </c>
      <c r="S101" t="s">
        <v>62</v>
      </c>
      <c r="T101" t="s">
        <v>55</v>
      </c>
      <c r="U101" s="3">
        <f t="shared" si="1"/>
        <v>45748</v>
      </c>
    </row>
    <row r="102" spans="1:21" x14ac:dyDescent="0.35">
      <c r="A102" t="s">
        <v>346</v>
      </c>
      <c r="B102" t="s">
        <v>347</v>
      </c>
      <c r="C102" t="s">
        <v>35</v>
      </c>
      <c r="D102" t="s">
        <v>348</v>
      </c>
      <c r="E102" t="s">
        <v>37</v>
      </c>
      <c r="F102" t="s">
        <v>25</v>
      </c>
      <c r="G102" t="s">
        <v>103</v>
      </c>
      <c r="H102" t="s">
        <v>66</v>
      </c>
      <c r="I102" t="s">
        <v>28</v>
      </c>
      <c r="J102">
        <v>108838.99</v>
      </c>
      <c r="K102">
        <v>176.57</v>
      </c>
      <c r="L102">
        <v>31.78</v>
      </c>
      <c r="M102">
        <v>434.13</v>
      </c>
      <c r="N102">
        <v>108613.21</v>
      </c>
      <c r="O102">
        <v>246445.76</v>
      </c>
      <c r="P102">
        <v>691</v>
      </c>
      <c r="Q102" t="s">
        <v>53</v>
      </c>
      <c r="R102" t="s">
        <v>54</v>
      </c>
      <c r="S102" t="s">
        <v>79</v>
      </c>
      <c r="T102" t="s">
        <v>32</v>
      </c>
      <c r="U102" s="3">
        <f t="shared" si="1"/>
        <v>45748</v>
      </c>
    </row>
    <row r="103" spans="1:21" x14ac:dyDescent="0.35">
      <c r="A103" t="s">
        <v>349</v>
      </c>
      <c r="B103" t="s">
        <v>350</v>
      </c>
      <c r="C103" t="s">
        <v>95</v>
      </c>
      <c r="D103" t="s">
        <v>351</v>
      </c>
      <c r="E103" t="s">
        <v>70</v>
      </c>
      <c r="F103" t="s">
        <v>46</v>
      </c>
      <c r="G103" t="s">
        <v>47</v>
      </c>
      <c r="H103" t="s">
        <v>48</v>
      </c>
      <c r="I103" t="s">
        <v>40</v>
      </c>
      <c r="J103">
        <v>11253.82</v>
      </c>
      <c r="K103">
        <v>67.86</v>
      </c>
      <c r="L103">
        <v>12.21</v>
      </c>
      <c r="M103">
        <v>0.5</v>
      </c>
      <c r="N103">
        <v>11333.39</v>
      </c>
      <c r="O103">
        <v>245860.08</v>
      </c>
      <c r="P103">
        <v>884</v>
      </c>
      <c r="Q103" t="s">
        <v>53</v>
      </c>
      <c r="R103" t="s">
        <v>54</v>
      </c>
      <c r="S103" t="s">
        <v>31</v>
      </c>
      <c r="T103" t="s">
        <v>41</v>
      </c>
      <c r="U103" s="3">
        <f t="shared" si="1"/>
        <v>45717</v>
      </c>
    </row>
    <row r="104" spans="1:21" x14ac:dyDescent="0.35">
      <c r="A104" t="s">
        <v>352</v>
      </c>
      <c r="B104" t="s">
        <v>353</v>
      </c>
      <c r="C104" t="s">
        <v>22</v>
      </c>
      <c r="D104" t="s">
        <v>354</v>
      </c>
      <c r="E104" t="s">
        <v>45</v>
      </c>
      <c r="F104" t="s">
        <v>46</v>
      </c>
      <c r="G104" t="s">
        <v>60</v>
      </c>
      <c r="H104" t="s">
        <v>48</v>
      </c>
      <c r="I104" t="s">
        <v>40</v>
      </c>
      <c r="J104">
        <v>40040.300000000003</v>
      </c>
      <c r="K104">
        <v>238.7</v>
      </c>
      <c r="L104">
        <v>42.97</v>
      </c>
      <c r="M104">
        <v>179.97</v>
      </c>
      <c r="N104">
        <v>40142</v>
      </c>
      <c r="O104">
        <v>251902.44</v>
      </c>
      <c r="P104">
        <v>856</v>
      </c>
      <c r="Q104" t="s">
        <v>29</v>
      </c>
      <c r="R104" t="s">
        <v>75</v>
      </c>
      <c r="S104" t="s">
        <v>86</v>
      </c>
      <c r="T104" t="s">
        <v>32</v>
      </c>
      <c r="U104" s="3">
        <f t="shared" si="1"/>
        <v>45992</v>
      </c>
    </row>
    <row r="105" spans="1:21" x14ac:dyDescent="0.35">
      <c r="A105" t="s">
        <v>355</v>
      </c>
      <c r="B105" t="s">
        <v>356</v>
      </c>
      <c r="C105" t="s">
        <v>35</v>
      </c>
      <c r="D105" t="s">
        <v>357</v>
      </c>
      <c r="E105" t="s">
        <v>70</v>
      </c>
      <c r="F105" t="s">
        <v>38</v>
      </c>
      <c r="G105" t="s">
        <v>26</v>
      </c>
      <c r="H105" t="s">
        <v>66</v>
      </c>
      <c r="I105" t="s">
        <v>28</v>
      </c>
      <c r="J105">
        <v>8409.75</v>
      </c>
      <c r="K105">
        <v>45.89</v>
      </c>
      <c r="L105">
        <v>8.26</v>
      </c>
      <c r="M105">
        <v>294.47000000000003</v>
      </c>
      <c r="N105">
        <v>8169.43</v>
      </c>
      <c r="O105">
        <v>259327</v>
      </c>
      <c r="P105">
        <v>887</v>
      </c>
      <c r="Q105" t="s">
        <v>53</v>
      </c>
      <c r="R105" t="s">
        <v>54</v>
      </c>
      <c r="S105" t="s">
        <v>31</v>
      </c>
      <c r="T105" t="s">
        <v>55</v>
      </c>
      <c r="U105" s="3">
        <f t="shared" si="1"/>
        <v>45962</v>
      </c>
    </row>
    <row r="106" spans="1:21" x14ac:dyDescent="0.35">
      <c r="A106" t="s">
        <v>358</v>
      </c>
      <c r="B106" t="s">
        <v>359</v>
      </c>
      <c r="C106" t="s">
        <v>35</v>
      </c>
      <c r="D106" t="s">
        <v>360</v>
      </c>
      <c r="E106" t="s">
        <v>24</v>
      </c>
      <c r="F106" t="s">
        <v>25</v>
      </c>
      <c r="G106" t="s">
        <v>60</v>
      </c>
      <c r="H106" t="s">
        <v>39</v>
      </c>
      <c r="I106" t="s">
        <v>61</v>
      </c>
      <c r="J106">
        <v>85671.17</v>
      </c>
      <c r="K106">
        <v>1056.9100000000001</v>
      </c>
      <c r="L106">
        <v>190.24</v>
      </c>
      <c r="M106">
        <v>328.14</v>
      </c>
      <c r="N106">
        <v>86590.18</v>
      </c>
      <c r="O106">
        <v>258670.72</v>
      </c>
      <c r="P106">
        <v>827</v>
      </c>
      <c r="Q106" t="s">
        <v>74</v>
      </c>
      <c r="R106" t="s">
        <v>75</v>
      </c>
      <c r="S106" t="s">
        <v>31</v>
      </c>
      <c r="T106" t="s">
        <v>41</v>
      </c>
      <c r="U106" s="3">
        <f t="shared" si="1"/>
        <v>45901</v>
      </c>
    </row>
    <row r="107" spans="1:21" x14ac:dyDescent="0.35">
      <c r="A107" t="s">
        <v>361</v>
      </c>
      <c r="B107" t="s">
        <v>362</v>
      </c>
      <c r="C107" t="s">
        <v>95</v>
      </c>
      <c r="D107" t="s">
        <v>363</v>
      </c>
      <c r="E107" t="s">
        <v>45</v>
      </c>
      <c r="F107" t="s">
        <v>25</v>
      </c>
      <c r="G107" t="s">
        <v>26</v>
      </c>
      <c r="H107" t="s">
        <v>39</v>
      </c>
      <c r="I107" t="s">
        <v>40</v>
      </c>
      <c r="J107">
        <v>114874.92</v>
      </c>
      <c r="K107">
        <v>1819.79</v>
      </c>
      <c r="L107">
        <v>327.56</v>
      </c>
      <c r="M107">
        <v>59.49</v>
      </c>
      <c r="N107">
        <v>116962.78</v>
      </c>
      <c r="O107">
        <v>257464.15</v>
      </c>
      <c r="P107">
        <v>881</v>
      </c>
      <c r="Q107" t="s">
        <v>74</v>
      </c>
      <c r="R107" t="s">
        <v>30</v>
      </c>
      <c r="S107" t="s">
        <v>62</v>
      </c>
      <c r="T107" t="s">
        <v>55</v>
      </c>
      <c r="U107" s="3">
        <f t="shared" si="1"/>
        <v>45748</v>
      </c>
    </row>
    <row r="108" spans="1:21" x14ac:dyDescent="0.35">
      <c r="A108" t="s">
        <v>364</v>
      </c>
      <c r="B108" t="s">
        <v>306</v>
      </c>
      <c r="C108" t="s">
        <v>95</v>
      </c>
      <c r="D108" t="s">
        <v>365</v>
      </c>
      <c r="E108" t="s">
        <v>70</v>
      </c>
      <c r="F108" t="s">
        <v>59</v>
      </c>
      <c r="G108" t="s">
        <v>60</v>
      </c>
      <c r="H108" t="s">
        <v>48</v>
      </c>
      <c r="I108" t="s">
        <v>28</v>
      </c>
      <c r="J108">
        <v>151582.41</v>
      </c>
      <c r="K108">
        <v>792.88</v>
      </c>
      <c r="L108">
        <v>142.72</v>
      </c>
      <c r="M108">
        <v>353.17</v>
      </c>
      <c r="N108">
        <v>152164.84</v>
      </c>
      <c r="O108">
        <v>261865.85</v>
      </c>
      <c r="P108">
        <v>433</v>
      </c>
      <c r="Q108" t="s">
        <v>29</v>
      </c>
      <c r="R108" t="s">
        <v>75</v>
      </c>
      <c r="S108" t="s">
        <v>79</v>
      </c>
      <c r="T108" t="s">
        <v>41</v>
      </c>
      <c r="U108" s="3">
        <f t="shared" si="1"/>
        <v>45717</v>
      </c>
    </row>
    <row r="109" spans="1:21" x14ac:dyDescent="0.35">
      <c r="A109" t="s">
        <v>366</v>
      </c>
      <c r="B109" t="s">
        <v>367</v>
      </c>
      <c r="C109" t="s">
        <v>35</v>
      </c>
      <c r="D109" t="s">
        <v>368</v>
      </c>
      <c r="E109" t="s">
        <v>45</v>
      </c>
      <c r="F109" t="s">
        <v>25</v>
      </c>
      <c r="G109" t="s">
        <v>47</v>
      </c>
      <c r="H109" t="s">
        <v>48</v>
      </c>
      <c r="I109" t="s">
        <v>28</v>
      </c>
      <c r="J109">
        <v>133272.51</v>
      </c>
      <c r="K109">
        <v>2073.9899999999998</v>
      </c>
      <c r="L109">
        <v>373.32</v>
      </c>
      <c r="M109">
        <v>109.81</v>
      </c>
      <c r="N109">
        <v>135610.01</v>
      </c>
      <c r="O109">
        <v>269355.32</v>
      </c>
      <c r="P109">
        <v>837</v>
      </c>
      <c r="Q109" t="s">
        <v>74</v>
      </c>
      <c r="R109" t="s">
        <v>75</v>
      </c>
      <c r="S109" t="s">
        <v>31</v>
      </c>
      <c r="T109" t="s">
        <v>55</v>
      </c>
      <c r="U109" s="3">
        <f t="shared" si="1"/>
        <v>45717</v>
      </c>
    </row>
    <row r="110" spans="1:21" x14ac:dyDescent="0.35">
      <c r="A110" t="s">
        <v>369</v>
      </c>
      <c r="B110" t="s">
        <v>370</v>
      </c>
      <c r="C110" t="s">
        <v>35</v>
      </c>
      <c r="D110" t="s">
        <v>371</v>
      </c>
      <c r="E110" t="s">
        <v>45</v>
      </c>
      <c r="F110" t="s">
        <v>59</v>
      </c>
      <c r="G110" t="s">
        <v>26</v>
      </c>
      <c r="H110" t="s">
        <v>27</v>
      </c>
      <c r="I110" t="s">
        <v>40</v>
      </c>
      <c r="J110">
        <v>1769.17</v>
      </c>
      <c r="K110">
        <v>13.95</v>
      </c>
      <c r="L110">
        <v>2.5099999999999998</v>
      </c>
      <c r="M110">
        <v>268.70999999999998</v>
      </c>
      <c r="N110">
        <v>1516.92</v>
      </c>
      <c r="O110">
        <v>276432.33</v>
      </c>
      <c r="P110">
        <v>424</v>
      </c>
      <c r="Q110" t="s">
        <v>74</v>
      </c>
      <c r="R110" t="s">
        <v>30</v>
      </c>
      <c r="S110" t="s">
        <v>86</v>
      </c>
      <c r="T110" t="s">
        <v>41</v>
      </c>
      <c r="U110" s="3">
        <f t="shared" si="1"/>
        <v>45778</v>
      </c>
    </row>
    <row r="111" spans="1:21" x14ac:dyDescent="0.35">
      <c r="A111" t="s">
        <v>372</v>
      </c>
      <c r="B111" t="s">
        <v>373</v>
      </c>
      <c r="C111" t="s">
        <v>35</v>
      </c>
      <c r="D111" t="s">
        <v>374</v>
      </c>
      <c r="E111" t="s">
        <v>24</v>
      </c>
      <c r="F111" t="s">
        <v>59</v>
      </c>
      <c r="G111" t="s">
        <v>103</v>
      </c>
      <c r="H111" t="s">
        <v>39</v>
      </c>
      <c r="I111" t="s">
        <v>28</v>
      </c>
      <c r="J111">
        <v>154617.01</v>
      </c>
      <c r="K111">
        <v>1045.49</v>
      </c>
      <c r="L111">
        <v>188.19</v>
      </c>
      <c r="M111">
        <v>169.19</v>
      </c>
      <c r="N111">
        <v>155681.5</v>
      </c>
      <c r="O111">
        <v>282671.44</v>
      </c>
      <c r="P111">
        <v>444</v>
      </c>
      <c r="Q111" t="s">
        <v>74</v>
      </c>
      <c r="R111" t="s">
        <v>30</v>
      </c>
      <c r="S111" t="s">
        <v>79</v>
      </c>
      <c r="T111" t="s">
        <v>41</v>
      </c>
      <c r="U111" s="3">
        <f t="shared" si="1"/>
        <v>45809</v>
      </c>
    </row>
    <row r="112" spans="1:21" x14ac:dyDescent="0.35">
      <c r="A112" t="s">
        <v>375</v>
      </c>
      <c r="B112" t="s">
        <v>376</v>
      </c>
      <c r="C112" t="s">
        <v>22</v>
      </c>
      <c r="D112" t="s">
        <v>377</v>
      </c>
      <c r="E112" t="s">
        <v>24</v>
      </c>
      <c r="F112" t="s">
        <v>25</v>
      </c>
      <c r="G112" t="s">
        <v>60</v>
      </c>
      <c r="H112" t="s">
        <v>39</v>
      </c>
      <c r="I112" t="s">
        <v>40</v>
      </c>
      <c r="J112">
        <v>119179.7</v>
      </c>
      <c r="K112">
        <v>1974.98</v>
      </c>
      <c r="L112">
        <v>355.5</v>
      </c>
      <c r="M112">
        <v>477.69</v>
      </c>
      <c r="N112">
        <v>121032.49</v>
      </c>
      <c r="O112">
        <v>284843.18</v>
      </c>
      <c r="P112">
        <v>661</v>
      </c>
      <c r="Q112" t="s">
        <v>29</v>
      </c>
      <c r="R112" t="s">
        <v>30</v>
      </c>
      <c r="S112" t="s">
        <v>62</v>
      </c>
      <c r="T112" t="s">
        <v>41</v>
      </c>
      <c r="U112" s="3">
        <f t="shared" si="1"/>
        <v>45839</v>
      </c>
    </row>
    <row r="113" spans="1:21" x14ac:dyDescent="0.35">
      <c r="A113" t="s">
        <v>378</v>
      </c>
      <c r="B113" t="s">
        <v>187</v>
      </c>
      <c r="C113" t="s">
        <v>35</v>
      </c>
      <c r="D113" t="s">
        <v>379</v>
      </c>
      <c r="E113" t="s">
        <v>24</v>
      </c>
      <c r="F113" t="s">
        <v>38</v>
      </c>
      <c r="G113" t="s">
        <v>103</v>
      </c>
      <c r="H113" t="s">
        <v>48</v>
      </c>
      <c r="I113" t="s">
        <v>28</v>
      </c>
      <c r="J113">
        <v>31438.63</v>
      </c>
      <c r="K113">
        <v>622.30999999999995</v>
      </c>
      <c r="L113">
        <v>112.02</v>
      </c>
      <c r="M113">
        <v>189.27</v>
      </c>
      <c r="N113">
        <v>31983.69</v>
      </c>
      <c r="O113">
        <v>286532.03000000003</v>
      </c>
      <c r="P113">
        <v>446</v>
      </c>
      <c r="Q113" t="s">
        <v>29</v>
      </c>
      <c r="R113" t="s">
        <v>54</v>
      </c>
      <c r="S113" t="s">
        <v>31</v>
      </c>
      <c r="T113" t="s">
        <v>55</v>
      </c>
      <c r="U113" s="3">
        <f t="shared" si="1"/>
        <v>45717</v>
      </c>
    </row>
    <row r="114" spans="1:21" x14ac:dyDescent="0.35">
      <c r="A114" t="s">
        <v>380</v>
      </c>
      <c r="B114" t="s">
        <v>381</v>
      </c>
      <c r="C114" t="s">
        <v>22</v>
      </c>
      <c r="D114" t="s">
        <v>382</v>
      </c>
      <c r="E114" t="s">
        <v>24</v>
      </c>
      <c r="F114" t="s">
        <v>59</v>
      </c>
      <c r="G114" t="s">
        <v>103</v>
      </c>
      <c r="H114" t="s">
        <v>66</v>
      </c>
      <c r="I114" t="s">
        <v>61</v>
      </c>
      <c r="J114">
        <v>128995.51</v>
      </c>
      <c r="K114">
        <v>798.98</v>
      </c>
      <c r="L114">
        <v>143.82</v>
      </c>
      <c r="M114">
        <v>50.01</v>
      </c>
      <c r="N114">
        <v>129888.3</v>
      </c>
      <c r="O114">
        <v>286118.02</v>
      </c>
      <c r="P114">
        <v>430</v>
      </c>
      <c r="Q114" t="s">
        <v>53</v>
      </c>
      <c r="R114" t="s">
        <v>75</v>
      </c>
      <c r="S114" t="s">
        <v>79</v>
      </c>
      <c r="T114" t="s">
        <v>41</v>
      </c>
      <c r="U114" s="3">
        <f t="shared" si="1"/>
        <v>45962</v>
      </c>
    </row>
    <row r="115" spans="1:21" x14ac:dyDescent="0.35">
      <c r="A115" t="s">
        <v>383</v>
      </c>
      <c r="B115" t="s">
        <v>264</v>
      </c>
      <c r="C115" t="s">
        <v>95</v>
      </c>
      <c r="D115" t="s">
        <v>384</v>
      </c>
      <c r="E115" t="s">
        <v>45</v>
      </c>
      <c r="F115" t="s">
        <v>59</v>
      </c>
      <c r="G115" t="s">
        <v>26</v>
      </c>
      <c r="H115" t="s">
        <v>66</v>
      </c>
      <c r="I115" t="s">
        <v>40</v>
      </c>
      <c r="J115">
        <v>64433.14</v>
      </c>
      <c r="K115">
        <v>290.33999999999997</v>
      </c>
      <c r="L115">
        <v>52.26</v>
      </c>
      <c r="M115">
        <v>241.4</v>
      </c>
      <c r="N115">
        <v>64534.34</v>
      </c>
      <c r="O115">
        <v>290431.99</v>
      </c>
      <c r="P115">
        <v>856</v>
      </c>
      <c r="Q115" t="s">
        <v>29</v>
      </c>
      <c r="R115" t="s">
        <v>54</v>
      </c>
      <c r="S115" t="s">
        <v>62</v>
      </c>
      <c r="T115" t="s">
        <v>32</v>
      </c>
      <c r="U115" s="3">
        <f t="shared" si="1"/>
        <v>45992</v>
      </c>
    </row>
    <row r="116" spans="1:21" x14ac:dyDescent="0.35">
      <c r="A116" t="s">
        <v>385</v>
      </c>
      <c r="B116" t="s">
        <v>208</v>
      </c>
      <c r="C116" t="s">
        <v>35</v>
      </c>
      <c r="D116" t="s">
        <v>386</v>
      </c>
      <c r="E116" t="s">
        <v>70</v>
      </c>
      <c r="F116" t="s">
        <v>38</v>
      </c>
      <c r="G116" t="s">
        <v>26</v>
      </c>
      <c r="H116" t="s">
        <v>66</v>
      </c>
      <c r="I116" t="s">
        <v>40</v>
      </c>
      <c r="J116">
        <v>79244.63</v>
      </c>
      <c r="K116">
        <v>821.88</v>
      </c>
      <c r="L116">
        <v>147.94</v>
      </c>
      <c r="M116">
        <v>359.56</v>
      </c>
      <c r="N116">
        <v>79854.89</v>
      </c>
      <c r="O116">
        <v>288345.40000000002</v>
      </c>
      <c r="P116">
        <v>703</v>
      </c>
      <c r="Q116" t="s">
        <v>29</v>
      </c>
      <c r="R116" t="s">
        <v>30</v>
      </c>
      <c r="S116" t="s">
        <v>62</v>
      </c>
      <c r="T116" t="s">
        <v>55</v>
      </c>
      <c r="U116" s="3">
        <f t="shared" si="1"/>
        <v>45931</v>
      </c>
    </row>
    <row r="117" spans="1:21" x14ac:dyDescent="0.35">
      <c r="A117" t="s">
        <v>387</v>
      </c>
      <c r="B117" t="s">
        <v>388</v>
      </c>
      <c r="C117" t="s">
        <v>35</v>
      </c>
      <c r="D117" t="s">
        <v>389</v>
      </c>
      <c r="E117" t="s">
        <v>24</v>
      </c>
      <c r="F117" t="s">
        <v>59</v>
      </c>
      <c r="G117" t="s">
        <v>47</v>
      </c>
      <c r="H117" t="s">
        <v>27</v>
      </c>
      <c r="I117" t="s">
        <v>28</v>
      </c>
      <c r="J117">
        <v>165050.34</v>
      </c>
      <c r="K117">
        <v>2519.33</v>
      </c>
      <c r="L117">
        <v>453.48</v>
      </c>
      <c r="M117">
        <v>105.77</v>
      </c>
      <c r="N117">
        <v>167917.38</v>
      </c>
      <c r="O117">
        <v>292128.98</v>
      </c>
      <c r="P117">
        <v>504</v>
      </c>
      <c r="Q117" t="s">
        <v>29</v>
      </c>
      <c r="R117" t="s">
        <v>30</v>
      </c>
      <c r="S117" t="s">
        <v>31</v>
      </c>
      <c r="T117" t="s">
        <v>32</v>
      </c>
      <c r="U117" s="3">
        <f t="shared" si="1"/>
        <v>45778</v>
      </c>
    </row>
    <row r="118" spans="1:21" x14ac:dyDescent="0.35">
      <c r="A118" t="s">
        <v>390</v>
      </c>
      <c r="B118" t="s">
        <v>391</v>
      </c>
      <c r="C118" t="s">
        <v>35</v>
      </c>
      <c r="D118" t="s">
        <v>392</v>
      </c>
      <c r="E118" t="s">
        <v>24</v>
      </c>
      <c r="F118" t="s">
        <v>25</v>
      </c>
      <c r="G118" t="s">
        <v>60</v>
      </c>
      <c r="H118" t="s">
        <v>27</v>
      </c>
      <c r="I118" t="s">
        <v>40</v>
      </c>
      <c r="J118">
        <v>115892.89</v>
      </c>
      <c r="K118">
        <v>518.82000000000005</v>
      </c>
      <c r="L118">
        <v>93.39</v>
      </c>
      <c r="M118">
        <v>489.9</v>
      </c>
      <c r="N118">
        <v>116015.2</v>
      </c>
      <c r="O118">
        <v>293408.73</v>
      </c>
      <c r="P118">
        <v>398</v>
      </c>
      <c r="Q118" t="s">
        <v>29</v>
      </c>
      <c r="R118" t="s">
        <v>54</v>
      </c>
      <c r="S118" t="s">
        <v>86</v>
      </c>
      <c r="T118" t="s">
        <v>32</v>
      </c>
      <c r="U118" s="3">
        <f t="shared" si="1"/>
        <v>45809</v>
      </c>
    </row>
    <row r="119" spans="1:21" x14ac:dyDescent="0.35">
      <c r="A119" t="s">
        <v>393</v>
      </c>
      <c r="B119" t="s">
        <v>394</v>
      </c>
      <c r="C119" t="s">
        <v>22</v>
      </c>
      <c r="D119" t="s">
        <v>395</v>
      </c>
      <c r="E119" t="s">
        <v>24</v>
      </c>
      <c r="F119" t="s">
        <v>46</v>
      </c>
      <c r="G119" t="s">
        <v>103</v>
      </c>
      <c r="H119" t="s">
        <v>48</v>
      </c>
      <c r="I119" t="s">
        <v>28</v>
      </c>
      <c r="J119">
        <v>76327.97</v>
      </c>
      <c r="K119">
        <v>1058.08</v>
      </c>
      <c r="L119">
        <v>190.45</v>
      </c>
      <c r="M119">
        <v>152.44999999999999</v>
      </c>
      <c r="N119">
        <v>77424.05</v>
      </c>
      <c r="O119">
        <v>288570.34000000003</v>
      </c>
      <c r="P119">
        <v>419</v>
      </c>
      <c r="Q119" t="s">
        <v>53</v>
      </c>
      <c r="R119" t="s">
        <v>75</v>
      </c>
      <c r="S119" t="s">
        <v>86</v>
      </c>
      <c r="T119" t="s">
        <v>41</v>
      </c>
      <c r="U119" s="3">
        <f t="shared" si="1"/>
        <v>45901</v>
      </c>
    </row>
    <row r="120" spans="1:21" x14ac:dyDescent="0.35">
      <c r="A120" t="s">
        <v>396</v>
      </c>
      <c r="B120" t="s">
        <v>397</v>
      </c>
      <c r="C120" t="s">
        <v>35</v>
      </c>
      <c r="D120" t="s">
        <v>398</v>
      </c>
      <c r="E120" t="s">
        <v>24</v>
      </c>
      <c r="F120" t="s">
        <v>25</v>
      </c>
      <c r="G120" t="s">
        <v>26</v>
      </c>
      <c r="H120" t="s">
        <v>27</v>
      </c>
      <c r="I120" t="s">
        <v>61</v>
      </c>
      <c r="J120">
        <v>100936.55</v>
      </c>
      <c r="K120">
        <v>1698.25</v>
      </c>
      <c r="L120">
        <v>305.69</v>
      </c>
      <c r="M120">
        <v>109.32</v>
      </c>
      <c r="N120">
        <v>102831.17</v>
      </c>
      <c r="O120">
        <v>287268.33</v>
      </c>
      <c r="P120">
        <v>577</v>
      </c>
      <c r="Q120" t="s">
        <v>29</v>
      </c>
      <c r="R120" t="s">
        <v>54</v>
      </c>
      <c r="S120" t="s">
        <v>86</v>
      </c>
      <c r="T120" t="s">
        <v>55</v>
      </c>
      <c r="U120" s="3">
        <f t="shared" si="1"/>
        <v>45901</v>
      </c>
    </row>
    <row r="121" spans="1:21" x14ac:dyDescent="0.35">
      <c r="A121" t="s">
        <v>399</v>
      </c>
      <c r="B121" t="s">
        <v>400</v>
      </c>
      <c r="C121" t="s">
        <v>95</v>
      </c>
      <c r="D121" t="s">
        <v>401</v>
      </c>
      <c r="E121" t="s">
        <v>37</v>
      </c>
      <c r="F121" t="s">
        <v>25</v>
      </c>
      <c r="G121" t="s">
        <v>26</v>
      </c>
      <c r="H121" t="s">
        <v>39</v>
      </c>
      <c r="I121" t="s">
        <v>28</v>
      </c>
      <c r="J121">
        <v>99864.1</v>
      </c>
      <c r="K121">
        <v>1228.67</v>
      </c>
      <c r="L121">
        <v>221.16</v>
      </c>
      <c r="M121">
        <v>119.03</v>
      </c>
      <c r="N121">
        <v>101194.9</v>
      </c>
      <c r="O121">
        <v>283342.43</v>
      </c>
      <c r="P121">
        <v>811</v>
      </c>
      <c r="Q121" t="s">
        <v>74</v>
      </c>
      <c r="R121" t="s">
        <v>54</v>
      </c>
      <c r="S121" t="s">
        <v>86</v>
      </c>
      <c r="T121" t="s">
        <v>41</v>
      </c>
      <c r="U121" s="3">
        <f t="shared" si="1"/>
        <v>45901</v>
      </c>
    </row>
    <row r="122" spans="1:21" x14ac:dyDescent="0.35">
      <c r="A122" t="s">
        <v>402</v>
      </c>
      <c r="B122" t="s">
        <v>149</v>
      </c>
      <c r="C122" t="s">
        <v>22</v>
      </c>
      <c r="D122" t="s">
        <v>403</v>
      </c>
      <c r="E122" t="s">
        <v>45</v>
      </c>
      <c r="F122" t="s">
        <v>38</v>
      </c>
      <c r="G122" t="s">
        <v>60</v>
      </c>
      <c r="H122" t="s">
        <v>39</v>
      </c>
      <c r="I122" t="s">
        <v>61</v>
      </c>
      <c r="J122">
        <v>44725.32</v>
      </c>
      <c r="K122">
        <v>499.46</v>
      </c>
      <c r="L122">
        <v>89.9</v>
      </c>
      <c r="M122">
        <v>101.58</v>
      </c>
      <c r="N122">
        <v>45213.1</v>
      </c>
      <c r="O122">
        <v>289207.51</v>
      </c>
      <c r="P122">
        <v>585</v>
      </c>
      <c r="Q122" t="s">
        <v>74</v>
      </c>
      <c r="R122" t="s">
        <v>75</v>
      </c>
      <c r="S122" t="s">
        <v>31</v>
      </c>
      <c r="T122" t="s">
        <v>32</v>
      </c>
      <c r="U122" s="3">
        <f t="shared" si="1"/>
        <v>45689</v>
      </c>
    </row>
    <row r="123" spans="1:21" x14ac:dyDescent="0.35">
      <c r="A123" t="s">
        <v>404</v>
      </c>
      <c r="B123" t="s">
        <v>405</v>
      </c>
      <c r="C123" t="s">
        <v>22</v>
      </c>
      <c r="D123" t="s">
        <v>406</v>
      </c>
      <c r="E123" t="s">
        <v>70</v>
      </c>
      <c r="F123" t="s">
        <v>25</v>
      </c>
      <c r="G123" t="s">
        <v>103</v>
      </c>
      <c r="H123" t="s">
        <v>48</v>
      </c>
      <c r="I123" t="s">
        <v>28</v>
      </c>
      <c r="J123">
        <v>31819.65</v>
      </c>
      <c r="K123">
        <v>301.92</v>
      </c>
      <c r="L123">
        <v>54.35</v>
      </c>
      <c r="M123">
        <v>217.46</v>
      </c>
      <c r="N123">
        <v>31958.46</v>
      </c>
      <c r="O123">
        <v>298597.5</v>
      </c>
      <c r="P123">
        <v>529</v>
      </c>
      <c r="Q123" t="s">
        <v>74</v>
      </c>
      <c r="R123" t="s">
        <v>75</v>
      </c>
      <c r="S123" t="s">
        <v>86</v>
      </c>
      <c r="T123" t="s">
        <v>55</v>
      </c>
      <c r="U123" s="3">
        <f t="shared" si="1"/>
        <v>45658</v>
      </c>
    </row>
    <row r="124" spans="1:21" x14ac:dyDescent="0.35">
      <c r="A124" t="s">
        <v>407</v>
      </c>
      <c r="B124" t="s">
        <v>408</v>
      </c>
      <c r="C124" t="s">
        <v>35</v>
      </c>
      <c r="D124" t="s">
        <v>409</v>
      </c>
      <c r="E124" t="s">
        <v>37</v>
      </c>
      <c r="F124" t="s">
        <v>46</v>
      </c>
      <c r="G124" t="s">
        <v>60</v>
      </c>
      <c r="H124" t="s">
        <v>52</v>
      </c>
      <c r="I124" t="s">
        <v>40</v>
      </c>
      <c r="J124">
        <v>52706.63</v>
      </c>
      <c r="K124">
        <v>174.4</v>
      </c>
      <c r="L124">
        <v>31.39</v>
      </c>
      <c r="M124">
        <v>325.97000000000003</v>
      </c>
      <c r="N124">
        <v>52586.45</v>
      </c>
      <c r="O124">
        <v>297643.13</v>
      </c>
      <c r="P124">
        <v>784</v>
      </c>
      <c r="Q124" t="s">
        <v>29</v>
      </c>
      <c r="R124" t="s">
        <v>30</v>
      </c>
      <c r="S124" t="s">
        <v>31</v>
      </c>
      <c r="T124" t="s">
        <v>41</v>
      </c>
      <c r="U124" s="3">
        <f t="shared" si="1"/>
        <v>45870</v>
      </c>
    </row>
    <row r="125" spans="1:21" x14ac:dyDescent="0.35">
      <c r="A125" t="s">
        <v>410</v>
      </c>
      <c r="B125" t="s">
        <v>411</v>
      </c>
      <c r="C125" t="s">
        <v>35</v>
      </c>
      <c r="D125" t="s">
        <v>412</v>
      </c>
      <c r="E125" t="s">
        <v>37</v>
      </c>
      <c r="F125" t="s">
        <v>25</v>
      </c>
      <c r="G125" t="s">
        <v>60</v>
      </c>
      <c r="H125" t="s">
        <v>48</v>
      </c>
      <c r="I125" t="s">
        <v>28</v>
      </c>
      <c r="J125">
        <v>199672.54</v>
      </c>
      <c r="K125">
        <v>3171.98</v>
      </c>
      <c r="L125">
        <v>570.96</v>
      </c>
      <c r="M125">
        <v>240.6</v>
      </c>
      <c r="N125">
        <v>203174.88</v>
      </c>
      <c r="O125">
        <v>300589.77</v>
      </c>
      <c r="P125">
        <v>372</v>
      </c>
      <c r="Q125" t="s">
        <v>29</v>
      </c>
      <c r="R125" t="s">
        <v>30</v>
      </c>
      <c r="S125" t="s">
        <v>62</v>
      </c>
      <c r="T125" t="s">
        <v>32</v>
      </c>
      <c r="U125" s="3">
        <f t="shared" si="1"/>
        <v>45658</v>
      </c>
    </row>
    <row r="126" spans="1:21" x14ac:dyDescent="0.35">
      <c r="A126" t="s">
        <v>413</v>
      </c>
      <c r="B126" t="s">
        <v>414</v>
      </c>
      <c r="C126" t="s">
        <v>22</v>
      </c>
      <c r="D126" t="s">
        <v>415</v>
      </c>
      <c r="E126" t="s">
        <v>45</v>
      </c>
      <c r="F126" t="s">
        <v>38</v>
      </c>
      <c r="G126" t="s">
        <v>60</v>
      </c>
      <c r="H126" t="s">
        <v>27</v>
      </c>
      <c r="I126" t="s">
        <v>61</v>
      </c>
      <c r="J126">
        <v>39666.21</v>
      </c>
      <c r="K126">
        <v>228.08</v>
      </c>
      <c r="L126">
        <v>41.05</v>
      </c>
      <c r="M126">
        <v>442.75</v>
      </c>
      <c r="N126">
        <v>39492.589999999997</v>
      </c>
      <c r="O126">
        <v>310487.06</v>
      </c>
      <c r="P126">
        <v>592</v>
      </c>
      <c r="Q126" t="s">
        <v>29</v>
      </c>
      <c r="R126" t="s">
        <v>75</v>
      </c>
      <c r="S126" t="s">
        <v>31</v>
      </c>
      <c r="T126" t="s">
        <v>41</v>
      </c>
      <c r="U126" s="3">
        <f t="shared" si="1"/>
        <v>45901</v>
      </c>
    </row>
    <row r="127" spans="1:21" x14ac:dyDescent="0.35">
      <c r="A127" t="s">
        <v>416</v>
      </c>
      <c r="B127" t="s">
        <v>417</v>
      </c>
      <c r="C127" t="s">
        <v>35</v>
      </c>
      <c r="D127" t="s">
        <v>418</v>
      </c>
      <c r="E127" t="s">
        <v>24</v>
      </c>
      <c r="F127" t="s">
        <v>25</v>
      </c>
      <c r="G127" t="s">
        <v>26</v>
      </c>
      <c r="H127" t="s">
        <v>52</v>
      </c>
      <c r="I127" t="s">
        <v>40</v>
      </c>
      <c r="J127">
        <v>58007.38</v>
      </c>
      <c r="K127">
        <v>368.08</v>
      </c>
      <c r="L127">
        <v>66.25</v>
      </c>
      <c r="M127">
        <v>373.96</v>
      </c>
      <c r="N127">
        <v>58067.75</v>
      </c>
      <c r="O127">
        <v>310674.21000000002</v>
      </c>
      <c r="P127">
        <v>745</v>
      </c>
      <c r="Q127" t="s">
        <v>29</v>
      </c>
      <c r="R127" t="s">
        <v>54</v>
      </c>
      <c r="S127" t="s">
        <v>86</v>
      </c>
      <c r="T127" t="s">
        <v>55</v>
      </c>
      <c r="U127" s="3">
        <f t="shared" si="1"/>
        <v>45748</v>
      </c>
    </row>
    <row r="128" spans="1:21" x14ac:dyDescent="0.35">
      <c r="A128" t="s">
        <v>419</v>
      </c>
      <c r="B128" t="s">
        <v>169</v>
      </c>
      <c r="C128" t="s">
        <v>95</v>
      </c>
      <c r="D128" t="s">
        <v>420</v>
      </c>
      <c r="E128" t="s">
        <v>70</v>
      </c>
      <c r="F128" t="s">
        <v>25</v>
      </c>
      <c r="G128" t="s">
        <v>60</v>
      </c>
      <c r="H128" t="s">
        <v>66</v>
      </c>
      <c r="I128" t="s">
        <v>40</v>
      </c>
      <c r="J128">
        <v>29298.57</v>
      </c>
      <c r="K128">
        <v>332.25</v>
      </c>
      <c r="L128">
        <v>59.8</v>
      </c>
      <c r="M128">
        <v>345.16</v>
      </c>
      <c r="N128">
        <v>29345.46</v>
      </c>
      <c r="O128">
        <v>314906.23</v>
      </c>
      <c r="P128">
        <v>547</v>
      </c>
      <c r="Q128" t="s">
        <v>29</v>
      </c>
      <c r="R128" t="s">
        <v>30</v>
      </c>
      <c r="S128" t="s">
        <v>79</v>
      </c>
      <c r="T128" t="s">
        <v>41</v>
      </c>
      <c r="U128" s="3">
        <f t="shared" si="1"/>
        <v>45658</v>
      </c>
    </row>
    <row r="129" spans="1:21" x14ac:dyDescent="0.35">
      <c r="A129" t="s">
        <v>421</v>
      </c>
      <c r="B129" t="s">
        <v>422</v>
      </c>
      <c r="C129" t="s">
        <v>22</v>
      </c>
      <c r="D129" t="s">
        <v>423</v>
      </c>
      <c r="E129" t="s">
        <v>24</v>
      </c>
      <c r="F129" t="s">
        <v>25</v>
      </c>
      <c r="G129" t="s">
        <v>103</v>
      </c>
      <c r="H129" t="s">
        <v>39</v>
      </c>
      <c r="I129" t="s">
        <v>40</v>
      </c>
      <c r="J129">
        <v>178297.35</v>
      </c>
      <c r="K129">
        <v>1809.29</v>
      </c>
      <c r="L129">
        <v>325.67</v>
      </c>
      <c r="M129">
        <v>232.17</v>
      </c>
      <c r="N129">
        <v>180200.14</v>
      </c>
      <c r="O129">
        <v>316247.93</v>
      </c>
      <c r="P129">
        <v>659</v>
      </c>
      <c r="Q129" t="s">
        <v>53</v>
      </c>
      <c r="R129" t="s">
        <v>54</v>
      </c>
      <c r="S129" t="s">
        <v>62</v>
      </c>
      <c r="T129" t="s">
        <v>55</v>
      </c>
      <c r="U129" s="3">
        <f t="shared" si="1"/>
        <v>45717</v>
      </c>
    </row>
    <row r="130" spans="1:21" x14ac:dyDescent="0.35">
      <c r="A130" t="s">
        <v>424</v>
      </c>
      <c r="B130" t="s">
        <v>425</v>
      </c>
      <c r="C130" t="s">
        <v>35</v>
      </c>
      <c r="D130" t="s">
        <v>426</v>
      </c>
      <c r="E130" t="s">
        <v>45</v>
      </c>
      <c r="F130" t="s">
        <v>59</v>
      </c>
      <c r="G130" t="s">
        <v>26</v>
      </c>
      <c r="H130" t="s">
        <v>27</v>
      </c>
      <c r="I130" t="s">
        <v>61</v>
      </c>
      <c r="J130">
        <v>57805.53</v>
      </c>
      <c r="K130">
        <v>588.64</v>
      </c>
      <c r="L130">
        <v>105.96</v>
      </c>
      <c r="M130">
        <v>191.32</v>
      </c>
      <c r="N130">
        <v>58308.81</v>
      </c>
      <c r="O130">
        <v>321443.76</v>
      </c>
      <c r="P130">
        <v>582</v>
      </c>
      <c r="Q130" t="s">
        <v>74</v>
      </c>
      <c r="R130" t="s">
        <v>54</v>
      </c>
      <c r="S130" t="s">
        <v>62</v>
      </c>
      <c r="T130" t="s">
        <v>32</v>
      </c>
      <c r="U130" s="3">
        <f t="shared" si="1"/>
        <v>45778</v>
      </c>
    </row>
    <row r="131" spans="1:21" x14ac:dyDescent="0.35">
      <c r="A131" t="s">
        <v>427</v>
      </c>
      <c r="B131" t="s">
        <v>428</v>
      </c>
      <c r="C131" t="s">
        <v>95</v>
      </c>
      <c r="D131" t="s">
        <v>429</v>
      </c>
      <c r="E131" t="s">
        <v>24</v>
      </c>
      <c r="F131" t="s">
        <v>59</v>
      </c>
      <c r="G131" t="s">
        <v>26</v>
      </c>
      <c r="H131" t="s">
        <v>48</v>
      </c>
      <c r="I131" t="s">
        <v>40</v>
      </c>
      <c r="J131">
        <v>169661.25</v>
      </c>
      <c r="K131">
        <v>1387.24</v>
      </c>
      <c r="L131">
        <v>249.7</v>
      </c>
      <c r="M131">
        <v>357.96</v>
      </c>
      <c r="N131">
        <v>170940.23</v>
      </c>
      <c r="O131">
        <v>323038.62</v>
      </c>
      <c r="P131">
        <v>713</v>
      </c>
      <c r="Q131" t="s">
        <v>53</v>
      </c>
      <c r="R131" t="s">
        <v>75</v>
      </c>
      <c r="S131" t="s">
        <v>79</v>
      </c>
      <c r="T131" t="s">
        <v>32</v>
      </c>
      <c r="U131" s="3">
        <f t="shared" ref="U131:U194" si="2">DATE(YEAR(B131),MONTH(B131),1)</f>
        <v>45778</v>
      </c>
    </row>
    <row r="132" spans="1:21" x14ac:dyDescent="0.35">
      <c r="A132" t="s">
        <v>430</v>
      </c>
      <c r="B132" t="s">
        <v>431</v>
      </c>
      <c r="C132" t="s">
        <v>95</v>
      </c>
      <c r="D132" t="s">
        <v>432</v>
      </c>
      <c r="E132" t="s">
        <v>37</v>
      </c>
      <c r="F132" t="s">
        <v>59</v>
      </c>
      <c r="G132" t="s">
        <v>60</v>
      </c>
      <c r="H132" t="s">
        <v>48</v>
      </c>
      <c r="I132" t="s">
        <v>61</v>
      </c>
      <c r="J132">
        <v>2248.4899999999998</v>
      </c>
      <c r="K132">
        <v>40.97</v>
      </c>
      <c r="L132">
        <v>7.37</v>
      </c>
      <c r="M132">
        <v>4.6100000000000003</v>
      </c>
      <c r="N132">
        <v>2292.2199999999998</v>
      </c>
      <c r="O132">
        <v>331651.5</v>
      </c>
      <c r="P132">
        <v>643</v>
      </c>
      <c r="Q132" t="s">
        <v>29</v>
      </c>
      <c r="R132" t="s">
        <v>54</v>
      </c>
      <c r="S132" t="s">
        <v>86</v>
      </c>
      <c r="T132" t="s">
        <v>32</v>
      </c>
      <c r="U132" s="3">
        <f t="shared" si="2"/>
        <v>45870</v>
      </c>
    </row>
    <row r="133" spans="1:21" x14ac:dyDescent="0.35">
      <c r="A133" t="s">
        <v>433</v>
      </c>
      <c r="B133" t="s">
        <v>434</v>
      </c>
      <c r="C133" t="s">
        <v>22</v>
      </c>
      <c r="D133" t="s">
        <v>435</v>
      </c>
      <c r="E133" t="s">
        <v>45</v>
      </c>
      <c r="F133" t="s">
        <v>59</v>
      </c>
      <c r="G133" t="s">
        <v>103</v>
      </c>
      <c r="H133" t="s">
        <v>39</v>
      </c>
      <c r="I133" t="s">
        <v>40</v>
      </c>
      <c r="J133">
        <v>102362.74</v>
      </c>
      <c r="K133">
        <v>520.77</v>
      </c>
      <c r="L133">
        <v>93.74</v>
      </c>
      <c r="M133">
        <v>233.92</v>
      </c>
      <c r="N133">
        <v>102743.33</v>
      </c>
      <c r="O133">
        <v>337030.67</v>
      </c>
      <c r="P133">
        <v>307</v>
      </c>
      <c r="Q133" t="s">
        <v>74</v>
      </c>
      <c r="R133" t="s">
        <v>54</v>
      </c>
      <c r="S133" t="s">
        <v>79</v>
      </c>
      <c r="T133" t="s">
        <v>55</v>
      </c>
      <c r="U133" s="3">
        <f t="shared" si="2"/>
        <v>45717</v>
      </c>
    </row>
    <row r="134" spans="1:21" x14ac:dyDescent="0.35">
      <c r="A134" t="s">
        <v>436</v>
      </c>
      <c r="B134" t="s">
        <v>300</v>
      </c>
      <c r="C134" t="s">
        <v>35</v>
      </c>
      <c r="D134" t="s">
        <v>437</v>
      </c>
      <c r="E134" t="s">
        <v>24</v>
      </c>
      <c r="F134" t="s">
        <v>25</v>
      </c>
      <c r="G134" t="s">
        <v>47</v>
      </c>
      <c r="H134" t="s">
        <v>39</v>
      </c>
      <c r="I134" t="s">
        <v>28</v>
      </c>
      <c r="J134">
        <v>14588.2</v>
      </c>
      <c r="K134">
        <v>139.69</v>
      </c>
      <c r="L134">
        <v>25.14</v>
      </c>
      <c r="M134">
        <v>293.33999999999997</v>
      </c>
      <c r="N134">
        <v>14459.69</v>
      </c>
      <c r="O134">
        <v>333827.11</v>
      </c>
      <c r="P134">
        <v>793</v>
      </c>
      <c r="Q134" t="s">
        <v>74</v>
      </c>
      <c r="R134" t="s">
        <v>30</v>
      </c>
      <c r="S134" t="s">
        <v>86</v>
      </c>
      <c r="T134" t="s">
        <v>32</v>
      </c>
      <c r="U134" s="3">
        <f t="shared" si="2"/>
        <v>45839</v>
      </c>
    </row>
    <row r="135" spans="1:21" x14ac:dyDescent="0.35">
      <c r="A135" t="s">
        <v>438</v>
      </c>
      <c r="B135" t="s">
        <v>439</v>
      </c>
      <c r="C135" t="s">
        <v>35</v>
      </c>
      <c r="D135" t="s">
        <v>440</v>
      </c>
      <c r="E135" t="s">
        <v>70</v>
      </c>
      <c r="F135" t="s">
        <v>38</v>
      </c>
      <c r="G135" t="s">
        <v>60</v>
      </c>
      <c r="H135" t="s">
        <v>66</v>
      </c>
      <c r="I135" t="s">
        <v>28</v>
      </c>
      <c r="J135">
        <v>164595.99</v>
      </c>
      <c r="K135">
        <v>2892.05</v>
      </c>
      <c r="L135">
        <v>520.57000000000005</v>
      </c>
      <c r="M135">
        <v>42.5</v>
      </c>
      <c r="N135">
        <v>167966.11</v>
      </c>
      <c r="O135">
        <v>335529.89</v>
      </c>
      <c r="P135">
        <v>440</v>
      </c>
      <c r="Q135" t="s">
        <v>53</v>
      </c>
      <c r="R135" t="s">
        <v>54</v>
      </c>
      <c r="S135" t="s">
        <v>31</v>
      </c>
      <c r="T135" t="s">
        <v>41</v>
      </c>
      <c r="U135" s="3">
        <f t="shared" si="2"/>
        <v>45901</v>
      </c>
    </row>
    <row r="136" spans="1:21" x14ac:dyDescent="0.35">
      <c r="A136" t="s">
        <v>441</v>
      </c>
      <c r="B136" t="s">
        <v>394</v>
      </c>
      <c r="C136" t="s">
        <v>35</v>
      </c>
      <c r="D136" t="s">
        <v>442</v>
      </c>
      <c r="E136" t="s">
        <v>45</v>
      </c>
      <c r="F136" t="s">
        <v>38</v>
      </c>
      <c r="G136" t="s">
        <v>103</v>
      </c>
      <c r="H136" t="s">
        <v>39</v>
      </c>
      <c r="I136" t="s">
        <v>61</v>
      </c>
      <c r="J136">
        <v>121559.16</v>
      </c>
      <c r="K136">
        <v>1478.03</v>
      </c>
      <c r="L136">
        <v>266.05</v>
      </c>
      <c r="M136">
        <v>298.68</v>
      </c>
      <c r="N136">
        <v>123004.56</v>
      </c>
      <c r="O136">
        <v>336054.18</v>
      </c>
      <c r="P136">
        <v>326</v>
      </c>
      <c r="Q136" t="s">
        <v>53</v>
      </c>
      <c r="R136" t="s">
        <v>30</v>
      </c>
      <c r="S136" t="s">
        <v>79</v>
      </c>
      <c r="T136" t="s">
        <v>32</v>
      </c>
      <c r="U136" s="3">
        <f t="shared" si="2"/>
        <v>45901</v>
      </c>
    </row>
    <row r="137" spans="1:21" x14ac:dyDescent="0.35">
      <c r="A137" t="s">
        <v>443</v>
      </c>
      <c r="B137" t="s">
        <v>444</v>
      </c>
      <c r="C137" t="s">
        <v>35</v>
      </c>
      <c r="D137" t="s">
        <v>445</v>
      </c>
      <c r="E137" t="s">
        <v>37</v>
      </c>
      <c r="F137" t="s">
        <v>38</v>
      </c>
      <c r="G137" t="s">
        <v>103</v>
      </c>
      <c r="H137" t="s">
        <v>52</v>
      </c>
      <c r="I137" t="s">
        <v>61</v>
      </c>
      <c r="J137">
        <v>84746.64</v>
      </c>
      <c r="K137">
        <v>952.93</v>
      </c>
      <c r="L137">
        <v>171.53</v>
      </c>
      <c r="M137">
        <v>230.49</v>
      </c>
      <c r="N137">
        <v>85640.61</v>
      </c>
      <c r="O137">
        <v>337652.56</v>
      </c>
      <c r="P137">
        <v>531</v>
      </c>
      <c r="Q137" t="s">
        <v>53</v>
      </c>
      <c r="R137" t="s">
        <v>30</v>
      </c>
      <c r="S137" t="s">
        <v>31</v>
      </c>
      <c r="T137" t="s">
        <v>41</v>
      </c>
      <c r="U137" s="3">
        <f t="shared" si="2"/>
        <v>45962</v>
      </c>
    </row>
    <row r="138" spans="1:21" x14ac:dyDescent="0.35">
      <c r="A138" t="s">
        <v>446</v>
      </c>
      <c r="B138" t="s">
        <v>447</v>
      </c>
      <c r="C138" t="s">
        <v>35</v>
      </c>
      <c r="D138" t="s">
        <v>448</v>
      </c>
      <c r="E138" t="s">
        <v>37</v>
      </c>
      <c r="F138" t="s">
        <v>46</v>
      </c>
      <c r="G138" t="s">
        <v>26</v>
      </c>
      <c r="H138" t="s">
        <v>48</v>
      </c>
      <c r="I138" t="s">
        <v>61</v>
      </c>
      <c r="J138">
        <v>94329.53</v>
      </c>
      <c r="K138">
        <v>1001.73</v>
      </c>
      <c r="L138">
        <v>180.31</v>
      </c>
      <c r="M138">
        <v>104.27</v>
      </c>
      <c r="N138">
        <v>95407.3</v>
      </c>
      <c r="O138">
        <v>337732.73</v>
      </c>
      <c r="P138">
        <v>395</v>
      </c>
      <c r="Q138" t="s">
        <v>29</v>
      </c>
      <c r="R138" t="s">
        <v>54</v>
      </c>
      <c r="S138" t="s">
        <v>62</v>
      </c>
      <c r="T138" t="s">
        <v>32</v>
      </c>
      <c r="U138" s="3">
        <f t="shared" si="2"/>
        <v>45748</v>
      </c>
    </row>
    <row r="139" spans="1:21" x14ac:dyDescent="0.35">
      <c r="A139" t="s">
        <v>449</v>
      </c>
      <c r="B139" t="s">
        <v>450</v>
      </c>
      <c r="C139" t="s">
        <v>22</v>
      </c>
      <c r="D139" t="s">
        <v>451</v>
      </c>
      <c r="E139" t="s">
        <v>70</v>
      </c>
      <c r="F139" t="s">
        <v>25</v>
      </c>
      <c r="G139" t="s">
        <v>60</v>
      </c>
      <c r="H139" t="s">
        <v>48</v>
      </c>
      <c r="I139" t="s">
        <v>28</v>
      </c>
      <c r="J139">
        <v>139188.63</v>
      </c>
      <c r="K139">
        <v>2058.9299999999998</v>
      </c>
      <c r="L139">
        <v>370.61</v>
      </c>
      <c r="M139">
        <v>25.14</v>
      </c>
      <c r="N139">
        <v>141593.03</v>
      </c>
      <c r="O139">
        <v>339684.72</v>
      </c>
      <c r="P139">
        <v>827</v>
      </c>
      <c r="Q139" t="s">
        <v>53</v>
      </c>
      <c r="R139" t="s">
        <v>75</v>
      </c>
      <c r="S139" t="s">
        <v>86</v>
      </c>
      <c r="T139" t="s">
        <v>41</v>
      </c>
      <c r="U139" s="3">
        <f t="shared" si="2"/>
        <v>45992</v>
      </c>
    </row>
    <row r="140" spans="1:21" x14ac:dyDescent="0.35">
      <c r="A140" t="s">
        <v>452</v>
      </c>
      <c r="B140" t="s">
        <v>453</v>
      </c>
      <c r="C140" t="s">
        <v>22</v>
      </c>
      <c r="D140" t="s">
        <v>454</v>
      </c>
      <c r="E140" t="s">
        <v>70</v>
      </c>
      <c r="F140" t="s">
        <v>25</v>
      </c>
      <c r="G140" t="s">
        <v>47</v>
      </c>
      <c r="H140" t="s">
        <v>66</v>
      </c>
      <c r="I140" t="s">
        <v>28</v>
      </c>
      <c r="J140">
        <v>145949.6</v>
      </c>
      <c r="K140">
        <v>1475.07</v>
      </c>
      <c r="L140">
        <v>265.51</v>
      </c>
      <c r="M140">
        <v>142.74</v>
      </c>
      <c r="N140">
        <v>147547.44</v>
      </c>
      <c r="O140">
        <v>345026.61</v>
      </c>
      <c r="P140">
        <v>736</v>
      </c>
      <c r="Q140" t="s">
        <v>53</v>
      </c>
      <c r="R140" t="s">
        <v>54</v>
      </c>
      <c r="S140" t="s">
        <v>79</v>
      </c>
      <c r="T140" t="s">
        <v>32</v>
      </c>
      <c r="U140" s="3">
        <f t="shared" si="2"/>
        <v>45839</v>
      </c>
    </row>
    <row r="141" spans="1:21" x14ac:dyDescent="0.35">
      <c r="A141" t="s">
        <v>455</v>
      </c>
      <c r="B141" t="s">
        <v>456</v>
      </c>
      <c r="C141" t="s">
        <v>35</v>
      </c>
      <c r="D141" t="s">
        <v>457</v>
      </c>
      <c r="E141" t="s">
        <v>24</v>
      </c>
      <c r="F141" t="s">
        <v>46</v>
      </c>
      <c r="G141" t="s">
        <v>47</v>
      </c>
      <c r="H141" t="s">
        <v>27</v>
      </c>
      <c r="I141" t="s">
        <v>61</v>
      </c>
      <c r="J141">
        <v>86080.11</v>
      </c>
      <c r="K141">
        <v>1140.57</v>
      </c>
      <c r="L141">
        <v>205.3</v>
      </c>
      <c r="M141">
        <v>303.89</v>
      </c>
      <c r="N141">
        <v>87122.09</v>
      </c>
      <c r="O141">
        <v>348018.91</v>
      </c>
      <c r="P141">
        <v>426</v>
      </c>
      <c r="Q141" t="s">
        <v>29</v>
      </c>
      <c r="R141" t="s">
        <v>75</v>
      </c>
      <c r="S141" t="s">
        <v>31</v>
      </c>
      <c r="T141" t="s">
        <v>41</v>
      </c>
      <c r="U141" s="3">
        <f t="shared" si="2"/>
        <v>45839</v>
      </c>
    </row>
    <row r="142" spans="1:21" x14ac:dyDescent="0.35">
      <c r="A142" t="s">
        <v>458</v>
      </c>
      <c r="B142" t="s">
        <v>459</v>
      </c>
      <c r="C142" t="s">
        <v>95</v>
      </c>
      <c r="D142" t="s">
        <v>460</v>
      </c>
      <c r="E142" t="s">
        <v>37</v>
      </c>
      <c r="F142" t="s">
        <v>46</v>
      </c>
      <c r="G142" t="s">
        <v>47</v>
      </c>
      <c r="H142" t="s">
        <v>39</v>
      </c>
      <c r="I142" t="s">
        <v>40</v>
      </c>
      <c r="J142">
        <v>178242.35</v>
      </c>
      <c r="K142">
        <v>2522.29</v>
      </c>
      <c r="L142">
        <v>454.01</v>
      </c>
      <c r="M142">
        <v>266.63</v>
      </c>
      <c r="N142">
        <v>180952.02</v>
      </c>
      <c r="O142">
        <v>349576.77</v>
      </c>
      <c r="P142">
        <v>333</v>
      </c>
      <c r="Q142" t="s">
        <v>29</v>
      </c>
      <c r="R142" t="s">
        <v>75</v>
      </c>
      <c r="S142" t="s">
        <v>62</v>
      </c>
      <c r="T142" t="s">
        <v>32</v>
      </c>
      <c r="U142" s="3">
        <f t="shared" si="2"/>
        <v>45809</v>
      </c>
    </row>
    <row r="143" spans="1:21" x14ac:dyDescent="0.35">
      <c r="A143" t="s">
        <v>461</v>
      </c>
      <c r="B143" t="s">
        <v>356</v>
      </c>
      <c r="C143" t="s">
        <v>22</v>
      </c>
      <c r="D143" t="s">
        <v>462</v>
      </c>
      <c r="E143" t="s">
        <v>24</v>
      </c>
      <c r="F143" t="s">
        <v>38</v>
      </c>
      <c r="G143" t="s">
        <v>26</v>
      </c>
      <c r="H143" t="s">
        <v>27</v>
      </c>
      <c r="I143" t="s">
        <v>28</v>
      </c>
      <c r="J143">
        <v>83486.880000000005</v>
      </c>
      <c r="K143">
        <v>1034.18</v>
      </c>
      <c r="L143">
        <v>186.15</v>
      </c>
      <c r="M143">
        <v>133.15</v>
      </c>
      <c r="N143">
        <v>84574.06</v>
      </c>
      <c r="O143">
        <v>346974.29</v>
      </c>
      <c r="P143">
        <v>803</v>
      </c>
      <c r="Q143" t="s">
        <v>53</v>
      </c>
      <c r="R143" t="s">
        <v>30</v>
      </c>
      <c r="S143" t="s">
        <v>86</v>
      </c>
      <c r="T143" t="s">
        <v>55</v>
      </c>
      <c r="U143" s="3">
        <f t="shared" si="2"/>
        <v>45962</v>
      </c>
    </row>
    <row r="144" spans="1:21" x14ac:dyDescent="0.35">
      <c r="A144" t="s">
        <v>463</v>
      </c>
      <c r="B144" t="s">
        <v>408</v>
      </c>
      <c r="C144" t="s">
        <v>35</v>
      </c>
      <c r="D144" t="s">
        <v>464</v>
      </c>
      <c r="E144" t="s">
        <v>24</v>
      </c>
      <c r="F144" t="s">
        <v>59</v>
      </c>
      <c r="G144" t="s">
        <v>60</v>
      </c>
      <c r="H144" t="s">
        <v>52</v>
      </c>
      <c r="I144" t="s">
        <v>61</v>
      </c>
      <c r="J144">
        <v>191714.56</v>
      </c>
      <c r="K144">
        <v>1725.51</v>
      </c>
      <c r="L144">
        <v>310.58999999999997</v>
      </c>
      <c r="M144">
        <v>489.6</v>
      </c>
      <c r="N144">
        <v>193261.06</v>
      </c>
      <c r="O144">
        <v>350004.91</v>
      </c>
      <c r="P144">
        <v>728</v>
      </c>
      <c r="Q144" t="s">
        <v>74</v>
      </c>
      <c r="R144" t="s">
        <v>75</v>
      </c>
      <c r="S144" t="s">
        <v>86</v>
      </c>
      <c r="T144" t="s">
        <v>41</v>
      </c>
      <c r="U144" s="3">
        <f t="shared" si="2"/>
        <v>45870</v>
      </c>
    </row>
    <row r="145" spans="1:21" x14ac:dyDescent="0.35">
      <c r="A145" t="s">
        <v>465</v>
      </c>
      <c r="B145" t="s">
        <v>376</v>
      </c>
      <c r="C145" t="s">
        <v>95</v>
      </c>
      <c r="D145" t="s">
        <v>466</v>
      </c>
      <c r="E145" t="s">
        <v>37</v>
      </c>
      <c r="F145" t="s">
        <v>25</v>
      </c>
      <c r="G145" t="s">
        <v>47</v>
      </c>
      <c r="H145" t="s">
        <v>66</v>
      </c>
      <c r="I145" t="s">
        <v>28</v>
      </c>
      <c r="J145">
        <v>198829.24</v>
      </c>
      <c r="K145">
        <v>2066.56</v>
      </c>
      <c r="L145">
        <v>371.98</v>
      </c>
      <c r="M145">
        <v>162.59</v>
      </c>
      <c r="N145">
        <v>201105.19</v>
      </c>
      <c r="O145">
        <v>351519.56</v>
      </c>
      <c r="P145">
        <v>380</v>
      </c>
      <c r="Q145" t="s">
        <v>74</v>
      </c>
      <c r="R145" t="s">
        <v>54</v>
      </c>
      <c r="S145" t="s">
        <v>31</v>
      </c>
      <c r="T145" t="s">
        <v>32</v>
      </c>
      <c r="U145" s="3">
        <f t="shared" si="2"/>
        <v>45839</v>
      </c>
    </row>
    <row r="146" spans="1:21" x14ac:dyDescent="0.35">
      <c r="A146" t="s">
        <v>467</v>
      </c>
      <c r="B146" t="s">
        <v>468</v>
      </c>
      <c r="C146" t="s">
        <v>95</v>
      </c>
      <c r="D146" t="s">
        <v>469</v>
      </c>
      <c r="E146" t="s">
        <v>70</v>
      </c>
      <c r="F146" t="s">
        <v>46</v>
      </c>
      <c r="G146" t="s">
        <v>47</v>
      </c>
      <c r="H146" t="s">
        <v>48</v>
      </c>
      <c r="I146" t="s">
        <v>28</v>
      </c>
      <c r="J146">
        <v>177150.85</v>
      </c>
      <c r="K146">
        <v>2839.29</v>
      </c>
      <c r="L146">
        <v>511.07</v>
      </c>
      <c r="M146">
        <v>172.26</v>
      </c>
      <c r="N146">
        <v>180328.95</v>
      </c>
      <c r="O146">
        <v>348089.24</v>
      </c>
      <c r="P146">
        <v>760</v>
      </c>
      <c r="Q146" t="s">
        <v>74</v>
      </c>
      <c r="R146" t="s">
        <v>54</v>
      </c>
      <c r="S146" t="s">
        <v>79</v>
      </c>
      <c r="T146" t="s">
        <v>41</v>
      </c>
      <c r="U146" s="3">
        <f t="shared" si="2"/>
        <v>45931</v>
      </c>
    </row>
    <row r="147" spans="1:21" x14ac:dyDescent="0.35">
      <c r="A147" t="s">
        <v>470</v>
      </c>
      <c r="B147" t="s">
        <v>471</v>
      </c>
      <c r="C147" t="s">
        <v>22</v>
      </c>
      <c r="D147" t="s">
        <v>472</v>
      </c>
      <c r="E147" t="s">
        <v>24</v>
      </c>
      <c r="F147" t="s">
        <v>38</v>
      </c>
      <c r="G147" t="s">
        <v>60</v>
      </c>
      <c r="H147" t="s">
        <v>27</v>
      </c>
      <c r="I147" t="s">
        <v>40</v>
      </c>
      <c r="J147">
        <v>21499.16</v>
      </c>
      <c r="K147">
        <v>241.98</v>
      </c>
      <c r="L147">
        <v>43.56</v>
      </c>
      <c r="M147">
        <v>492.72</v>
      </c>
      <c r="N147">
        <v>21291.98</v>
      </c>
      <c r="O147">
        <v>343606.83</v>
      </c>
      <c r="P147">
        <v>712</v>
      </c>
      <c r="Q147" t="s">
        <v>74</v>
      </c>
      <c r="R147" t="s">
        <v>30</v>
      </c>
      <c r="S147" t="s">
        <v>62</v>
      </c>
      <c r="T147" t="s">
        <v>41</v>
      </c>
      <c r="U147" s="3">
        <f t="shared" si="2"/>
        <v>45992</v>
      </c>
    </row>
    <row r="148" spans="1:21" x14ac:dyDescent="0.35">
      <c r="A148" t="s">
        <v>473</v>
      </c>
      <c r="B148" t="s">
        <v>474</v>
      </c>
      <c r="C148" t="s">
        <v>95</v>
      </c>
      <c r="D148" t="s">
        <v>475</v>
      </c>
      <c r="E148" t="s">
        <v>70</v>
      </c>
      <c r="F148" t="s">
        <v>38</v>
      </c>
      <c r="G148" t="s">
        <v>103</v>
      </c>
      <c r="H148" t="s">
        <v>52</v>
      </c>
      <c r="I148" t="s">
        <v>28</v>
      </c>
      <c r="J148">
        <v>93930.78</v>
      </c>
      <c r="K148">
        <v>208.82</v>
      </c>
      <c r="L148">
        <v>37.590000000000003</v>
      </c>
      <c r="M148">
        <v>290.33</v>
      </c>
      <c r="N148">
        <v>93886.86</v>
      </c>
      <c r="O148">
        <v>344993.96</v>
      </c>
      <c r="P148">
        <v>518</v>
      </c>
      <c r="Q148" t="s">
        <v>53</v>
      </c>
      <c r="R148" t="s">
        <v>30</v>
      </c>
      <c r="S148" t="s">
        <v>86</v>
      </c>
      <c r="T148" t="s">
        <v>32</v>
      </c>
      <c r="U148" s="3">
        <f t="shared" si="2"/>
        <v>45992</v>
      </c>
    </row>
    <row r="149" spans="1:21" x14ac:dyDescent="0.35">
      <c r="A149" t="s">
        <v>476</v>
      </c>
      <c r="B149" t="s">
        <v>477</v>
      </c>
      <c r="C149" t="s">
        <v>35</v>
      </c>
      <c r="D149" t="s">
        <v>478</v>
      </c>
      <c r="E149" t="s">
        <v>37</v>
      </c>
      <c r="F149" t="s">
        <v>25</v>
      </c>
      <c r="G149" t="s">
        <v>26</v>
      </c>
      <c r="H149" t="s">
        <v>39</v>
      </c>
      <c r="I149" t="s">
        <v>61</v>
      </c>
      <c r="J149">
        <v>187805.58</v>
      </c>
      <c r="K149">
        <v>2114.15</v>
      </c>
      <c r="L149">
        <v>380.55</v>
      </c>
      <c r="M149">
        <v>113.67</v>
      </c>
      <c r="N149">
        <v>190186.61</v>
      </c>
      <c r="O149">
        <v>350042.13</v>
      </c>
      <c r="P149">
        <v>799</v>
      </c>
      <c r="Q149" t="s">
        <v>29</v>
      </c>
      <c r="R149" t="s">
        <v>54</v>
      </c>
      <c r="S149" t="s">
        <v>86</v>
      </c>
      <c r="T149" t="s">
        <v>55</v>
      </c>
      <c r="U149" s="3">
        <f t="shared" si="2"/>
        <v>45962</v>
      </c>
    </row>
    <row r="150" spans="1:21" x14ac:dyDescent="0.35">
      <c r="A150" t="s">
        <v>479</v>
      </c>
      <c r="B150" t="s">
        <v>297</v>
      </c>
      <c r="C150" t="s">
        <v>95</v>
      </c>
      <c r="D150" t="s">
        <v>480</v>
      </c>
      <c r="E150" t="s">
        <v>37</v>
      </c>
      <c r="F150" t="s">
        <v>46</v>
      </c>
      <c r="G150" t="s">
        <v>47</v>
      </c>
      <c r="H150" t="s">
        <v>39</v>
      </c>
      <c r="I150" t="s">
        <v>61</v>
      </c>
      <c r="J150">
        <v>165983.91</v>
      </c>
      <c r="K150">
        <v>687</v>
      </c>
      <c r="L150">
        <v>123.66</v>
      </c>
      <c r="M150">
        <v>7.13</v>
      </c>
      <c r="N150">
        <v>166787.44</v>
      </c>
      <c r="O150">
        <v>347134.57</v>
      </c>
      <c r="P150">
        <v>769</v>
      </c>
      <c r="Q150" t="s">
        <v>74</v>
      </c>
      <c r="R150" t="s">
        <v>75</v>
      </c>
      <c r="S150" t="s">
        <v>79</v>
      </c>
      <c r="T150" t="s">
        <v>41</v>
      </c>
      <c r="U150" s="3">
        <f t="shared" si="2"/>
        <v>45809</v>
      </c>
    </row>
    <row r="151" spans="1:21" x14ac:dyDescent="0.35">
      <c r="A151" t="s">
        <v>481</v>
      </c>
      <c r="B151" t="s">
        <v>482</v>
      </c>
      <c r="C151" t="s">
        <v>22</v>
      </c>
      <c r="D151" t="s">
        <v>483</v>
      </c>
      <c r="E151" t="s">
        <v>24</v>
      </c>
      <c r="F151" t="s">
        <v>46</v>
      </c>
      <c r="G151" t="s">
        <v>60</v>
      </c>
      <c r="H151" t="s">
        <v>48</v>
      </c>
      <c r="I151" t="s">
        <v>61</v>
      </c>
      <c r="J151">
        <v>156691.32999999999</v>
      </c>
      <c r="K151">
        <v>2508.8200000000002</v>
      </c>
      <c r="L151">
        <v>451.59</v>
      </c>
      <c r="M151">
        <v>311.52999999999997</v>
      </c>
      <c r="N151">
        <v>159340.21</v>
      </c>
      <c r="O151">
        <v>350510.37</v>
      </c>
      <c r="P151">
        <v>570</v>
      </c>
      <c r="Q151" t="s">
        <v>74</v>
      </c>
      <c r="R151" t="s">
        <v>54</v>
      </c>
      <c r="S151" t="s">
        <v>79</v>
      </c>
      <c r="T151" t="s">
        <v>55</v>
      </c>
      <c r="U151" s="3">
        <f t="shared" si="2"/>
        <v>45809</v>
      </c>
    </row>
    <row r="152" spans="1:21" x14ac:dyDescent="0.35">
      <c r="A152" t="s">
        <v>484</v>
      </c>
      <c r="B152" t="s">
        <v>485</v>
      </c>
      <c r="C152" t="s">
        <v>35</v>
      </c>
      <c r="D152" t="s">
        <v>486</v>
      </c>
      <c r="E152" t="s">
        <v>24</v>
      </c>
      <c r="F152" t="s">
        <v>38</v>
      </c>
      <c r="G152" t="s">
        <v>103</v>
      </c>
      <c r="H152" t="s">
        <v>66</v>
      </c>
      <c r="I152" t="s">
        <v>40</v>
      </c>
      <c r="J152">
        <v>78213.279999999999</v>
      </c>
      <c r="K152">
        <v>1102.95</v>
      </c>
      <c r="L152">
        <v>198.53</v>
      </c>
      <c r="M152">
        <v>212.78</v>
      </c>
      <c r="N152">
        <v>79301.98</v>
      </c>
      <c r="O152">
        <v>351804.38</v>
      </c>
      <c r="P152">
        <v>818</v>
      </c>
      <c r="Q152" t="s">
        <v>29</v>
      </c>
      <c r="R152" t="s">
        <v>30</v>
      </c>
      <c r="S152" t="s">
        <v>79</v>
      </c>
      <c r="T152" t="s">
        <v>55</v>
      </c>
      <c r="U152" s="3">
        <f t="shared" si="2"/>
        <v>45658</v>
      </c>
    </row>
    <row r="153" spans="1:21" x14ac:dyDescent="0.35">
      <c r="A153" t="s">
        <v>487</v>
      </c>
      <c r="B153" t="s">
        <v>254</v>
      </c>
      <c r="C153" t="s">
        <v>95</v>
      </c>
      <c r="D153" t="s">
        <v>488</v>
      </c>
      <c r="E153" t="s">
        <v>70</v>
      </c>
      <c r="F153" t="s">
        <v>25</v>
      </c>
      <c r="G153" t="s">
        <v>60</v>
      </c>
      <c r="H153" t="s">
        <v>48</v>
      </c>
      <c r="I153" t="s">
        <v>28</v>
      </c>
      <c r="J153">
        <v>12558.63</v>
      </c>
      <c r="K153">
        <v>88.1</v>
      </c>
      <c r="L153">
        <v>15.86</v>
      </c>
      <c r="M153">
        <v>171.59</v>
      </c>
      <c r="N153">
        <v>12491</v>
      </c>
      <c r="O153">
        <v>356147.6</v>
      </c>
      <c r="P153">
        <v>411</v>
      </c>
      <c r="Q153" t="s">
        <v>29</v>
      </c>
      <c r="R153" t="s">
        <v>75</v>
      </c>
      <c r="S153" t="s">
        <v>62</v>
      </c>
      <c r="T153" t="s">
        <v>32</v>
      </c>
      <c r="U153" s="3">
        <f t="shared" si="2"/>
        <v>45809</v>
      </c>
    </row>
    <row r="154" spans="1:21" x14ac:dyDescent="0.35">
      <c r="A154" t="s">
        <v>489</v>
      </c>
      <c r="B154" t="s">
        <v>490</v>
      </c>
      <c r="C154" t="s">
        <v>35</v>
      </c>
      <c r="D154" t="s">
        <v>491</v>
      </c>
      <c r="E154" t="s">
        <v>24</v>
      </c>
      <c r="F154" t="s">
        <v>59</v>
      </c>
      <c r="G154" t="s">
        <v>103</v>
      </c>
      <c r="H154" t="s">
        <v>27</v>
      </c>
      <c r="I154" t="s">
        <v>61</v>
      </c>
      <c r="J154">
        <v>189402.71</v>
      </c>
      <c r="K154">
        <v>2165.7399999999998</v>
      </c>
      <c r="L154">
        <v>389.83</v>
      </c>
      <c r="M154">
        <v>217.5</v>
      </c>
      <c r="N154">
        <v>191740.78</v>
      </c>
      <c r="O154">
        <v>356395.41</v>
      </c>
      <c r="P154">
        <v>843</v>
      </c>
      <c r="Q154" t="s">
        <v>29</v>
      </c>
      <c r="R154" t="s">
        <v>75</v>
      </c>
      <c r="S154" t="s">
        <v>62</v>
      </c>
      <c r="T154" t="s">
        <v>41</v>
      </c>
      <c r="U154" s="3">
        <f t="shared" si="2"/>
        <v>45658</v>
      </c>
    </row>
    <row r="155" spans="1:21" x14ac:dyDescent="0.35">
      <c r="A155" t="s">
        <v>492</v>
      </c>
      <c r="B155" t="s">
        <v>493</v>
      </c>
      <c r="C155" t="s">
        <v>35</v>
      </c>
      <c r="D155" t="s">
        <v>494</v>
      </c>
      <c r="E155" t="s">
        <v>70</v>
      </c>
      <c r="F155" t="s">
        <v>59</v>
      </c>
      <c r="G155" t="s">
        <v>103</v>
      </c>
      <c r="H155" t="s">
        <v>27</v>
      </c>
      <c r="I155" t="s">
        <v>28</v>
      </c>
      <c r="J155">
        <v>169283.61</v>
      </c>
      <c r="K155">
        <v>2640.07</v>
      </c>
      <c r="L155">
        <v>475.21</v>
      </c>
      <c r="M155">
        <v>161.22</v>
      </c>
      <c r="N155">
        <v>172237.67</v>
      </c>
      <c r="O155">
        <v>360071.26</v>
      </c>
      <c r="P155">
        <v>655</v>
      </c>
      <c r="Q155" t="s">
        <v>74</v>
      </c>
      <c r="R155" t="s">
        <v>30</v>
      </c>
      <c r="S155" t="s">
        <v>79</v>
      </c>
      <c r="T155" t="s">
        <v>41</v>
      </c>
      <c r="U155" s="3">
        <f t="shared" si="2"/>
        <v>45931</v>
      </c>
    </row>
    <row r="156" spans="1:21" x14ac:dyDescent="0.35">
      <c r="A156" t="s">
        <v>495</v>
      </c>
      <c r="B156" t="s">
        <v>496</v>
      </c>
      <c r="C156" t="s">
        <v>95</v>
      </c>
      <c r="D156" t="s">
        <v>497</v>
      </c>
      <c r="E156" t="s">
        <v>24</v>
      </c>
      <c r="F156" t="s">
        <v>25</v>
      </c>
      <c r="G156" t="s">
        <v>60</v>
      </c>
      <c r="H156" t="s">
        <v>27</v>
      </c>
      <c r="I156" t="s">
        <v>28</v>
      </c>
      <c r="J156">
        <v>81681.14</v>
      </c>
      <c r="K156">
        <v>1127.45</v>
      </c>
      <c r="L156">
        <v>202.94</v>
      </c>
      <c r="M156">
        <v>486.6</v>
      </c>
      <c r="N156">
        <v>82524.929999999993</v>
      </c>
      <c r="O156">
        <v>363399.72</v>
      </c>
      <c r="P156">
        <v>382</v>
      </c>
      <c r="Q156" t="s">
        <v>53</v>
      </c>
      <c r="R156" t="s">
        <v>30</v>
      </c>
      <c r="S156" t="s">
        <v>62</v>
      </c>
      <c r="T156" t="s">
        <v>55</v>
      </c>
      <c r="U156" s="3">
        <f t="shared" si="2"/>
        <v>45901</v>
      </c>
    </row>
    <row r="157" spans="1:21" x14ac:dyDescent="0.35">
      <c r="A157" t="s">
        <v>498</v>
      </c>
      <c r="B157" t="s">
        <v>499</v>
      </c>
      <c r="C157" t="s">
        <v>35</v>
      </c>
      <c r="D157" t="s">
        <v>500</v>
      </c>
      <c r="E157" t="s">
        <v>70</v>
      </c>
      <c r="F157" t="s">
        <v>59</v>
      </c>
      <c r="G157" t="s">
        <v>103</v>
      </c>
      <c r="H157" t="s">
        <v>48</v>
      </c>
      <c r="I157" t="s">
        <v>61</v>
      </c>
      <c r="J157">
        <v>24517.919999999998</v>
      </c>
      <c r="K157">
        <v>413.98</v>
      </c>
      <c r="L157">
        <v>74.52</v>
      </c>
      <c r="M157">
        <v>73.95</v>
      </c>
      <c r="N157">
        <v>24932.47</v>
      </c>
      <c r="O157">
        <v>361894.02</v>
      </c>
      <c r="P157">
        <v>832</v>
      </c>
      <c r="Q157" t="s">
        <v>74</v>
      </c>
      <c r="R157" t="s">
        <v>75</v>
      </c>
      <c r="S157" t="s">
        <v>62</v>
      </c>
      <c r="T157" t="s">
        <v>32</v>
      </c>
      <c r="U157" s="3">
        <f t="shared" si="2"/>
        <v>45748</v>
      </c>
    </row>
    <row r="158" spans="1:21" x14ac:dyDescent="0.35">
      <c r="A158" t="s">
        <v>501</v>
      </c>
      <c r="B158" t="s">
        <v>131</v>
      </c>
      <c r="C158" t="s">
        <v>22</v>
      </c>
      <c r="D158" t="s">
        <v>502</v>
      </c>
      <c r="E158" t="s">
        <v>37</v>
      </c>
      <c r="F158" t="s">
        <v>25</v>
      </c>
      <c r="G158" t="s">
        <v>26</v>
      </c>
      <c r="H158" t="s">
        <v>52</v>
      </c>
      <c r="I158" t="s">
        <v>61</v>
      </c>
      <c r="J158">
        <v>55106.93</v>
      </c>
      <c r="K158">
        <v>325.07</v>
      </c>
      <c r="L158">
        <v>58.51</v>
      </c>
      <c r="M158">
        <v>344.31</v>
      </c>
      <c r="N158">
        <v>55146.2</v>
      </c>
      <c r="O158">
        <v>365451.61</v>
      </c>
      <c r="P158">
        <v>349</v>
      </c>
      <c r="Q158" t="s">
        <v>74</v>
      </c>
      <c r="R158" t="s">
        <v>54</v>
      </c>
      <c r="S158" t="s">
        <v>31</v>
      </c>
      <c r="T158" t="s">
        <v>55</v>
      </c>
      <c r="U158" s="3">
        <f t="shared" si="2"/>
        <v>45931</v>
      </c>
    </row>
    <row r="159" spans="1:21" x14ac:dyDescent="0.35">
      <c r="A159" t="s">
        <v>503</v>
      </c>
      <c r="B159" t="s">
        <v>504</v>
      </c>
      <c r="C159" t="s">
        <v>35</v>
      </c>
      <c r="D159" t="s">
        <v>505</v>
      </c>
      <c r="E159" t="s">
        <v>37</v>
      </c>
      <c r="F159" t="s">
        <v>38</v>
      </c>
      <c r="G159" t="s">
        <v>60</v>
      </c>
      <c r="H159" t="s">
        <v>66</v>
      </c>
      <c r="I159" t="s">
        <v>40</v>
      </c>
      <c r="J159">
        <v>29059.99</v>
      </c>
      <c r="K159">
        <v>55.78</v>
      </c>
      <c r="L159">
        <v>10.039999999999999</v>
      </c>
      <c r="M159">
        <v>355.28</v>
      </c>
      <c r="N159">
        <v>28770.53</v>
      </c>
      <c r="O159">
        <v>373054.36</v>
      </c>
      <c r="P159">
        <v>528</v>
      </c>
      <c r="Q159" t="s">
        <v>53</v>
      </c>
      <c r="R159" t="s">
        <v>30</v>
      </c>
      <c r="S159" t="s">
        <v>31</v>
      </c>
      <c r="T159" t="s">
        <v>32</v>
      </c>
      <c r="U159" s="3">
        <f t="shared" si="2"/>
        <v>45931</v>
      </c>
    </row>
    <row r="160" spans="1:21" x14ac:dyDescent="0.35">
      <c r="A160" t="s">
        <v>506</v>
      </c>
      <c r="B160" t="s">
        <v>163</v>
      </c>
      <c r="C160" t="s">
        <v>35</v>
      </c>
      <c r="D160" t="s">
        <v>507</v>
      </c>
      <c r="E160" t="s">
        <v>37</v>
      </c>
      <c r="F160" t="s">
        <v>46</v>
      </c>
      <c r="G160" t="s">
        <v>103</v>
      </c>
      <c r="H160" t="s">
        <v>39</v>
      </c>
      <c r="I160" t="s">
        <v>40</v>
      </c>
      <c r="J160">
        <v>12818.46</v>
      </c>
      <c r="K160">
        <v>159.59</v>
      </c>
      <c r="L160">
        <v>28.73</v>
      </c>
      <c r="M160">
        <v>82.62</v>
      </c>
      <c r="N160">
        <v>12924.16</v>
      </c>
      <c r="O160">
        <v>377149.31</v>
      </c>
      <c r="P160">
        <v>888</v>
      </c>
      <c r="Q160" t="s">
        <v>74</v>
      </c>
      <c r="R160" t="s">
        <v>54</v>
      </c>
      <c r="S160" t="s">
        <v>79</v>
      </c>
      <c r="T160" t="s">
        <v>55</v>
      </c>
      <c r="U160" s="3">
        <f t="shared" si="2"/>
        <v>45870</v>
      </c>
    </row>
    <row r="161" spans="1:21" x14ac:dyDescent="0.35">
      <c r="A161" t="s">
        <v>508</v>
      </c>
      <c r="B161" t="s">
        <v>509</v>
      </c>
      <c r="C161" t="s">
        <v>35</v>
      </c>
      <c r="D161" t="s">
        <v>510</v>
      </c>
      <c r="E161" t="s">
        <v>70</v>
      </c>
      <c r="F161" t="s">
        <v>59</v>
      </c>
      <c r="G161" t="s">
        <v>60</v>
      </c>
      <c r="H161" t="s">
        <v>52</v>
      </c>
      <c r="I161" t="s">
        <v>40</v>
      </c>
      <c r="J161">
        <v>51308.37</v>
      </c>
      <c r="K161">
        <v>575.73</v>
      </c>
      <c r="L161">
        <v>103.63</v>
      </c>
      <c r="M161">
        <v>127.01</v>
      </c>
      <c r="N161">
        <v>51860.72</v>
      </c>
      <c r="O161">
        <v>376497.9</v>
      </c>
      <c r="P161">
        <v>411</v>
      </c>
      <c r="Q161" t="s">
        <v>29</v>
      </c>
      <c r="R161" t="s">
        <v>54</v>
      </c>
      <c r="S161" t="s">
        <v>62</v>
      </c>
      <c r="T161" t="s">
        <v>55</v>
      </c>
      <c r="U161" s="3">
        <f t="shared" si="2"/>
        <v>45778</v>
      </c>
    </row>
    <row r="162" spans="1:21" x14ac:dyDescent="0.35">
      <c r="A162" t="s">
        <v>511</v>
      </c>
      <c r="B162" t="s">
        <v>512</v>
      </c>
      <c r="C162" t="s">
        <v>35</v>
      </c>
      <c r="D162" t="s">
        <v>513</v>
      </c>
      <c r="E162" t="s">
        <v>45</v>
      </c>
      <c r="F162" t="s">
        <v>25</v>
      </c>
      <c r="G162" t="s">
        <v>26</v>
      </c>
      <c r="H162" t="s">
        <v>27</v>
      </c>
      <c r="I162" t="s">
        <v>40</v>
      </c>
      <c r="J162">
        <v>29830.17</v>
      </c>
      <c r="K162">
        <v>379.55</v>
      </c>
      <c r="L162">
        <v>68.319999999999993</v>
      </c>
      <c r="M162">
        <v>348.3</v>
      </c>
      <c r="N162">
        <v>29929.74</v>
      </c>
      <c r="O162">
        <v>374853.37</v>
      </c>
      <c r="P162">
        <v>602</v>
      </c>
      <c r="Q162" t="s">
        <v>74</v>
      </c>
      <c r="R162" t="s">
        <v>75</v>
      </c>
      <c r="S162" t="s">
        <v>62</v>
      </c>
      <c r="T162" t="s">
        <v>55</v>
      </c>
      <c r="U162" s="3">
        <f t="shared" si="2"/>
        <v>45962</v>
      </c>
    </row>
    <row r="163" spans="1:21" x14ac:dyDescent="0.35">
      <c r="A163" t="s">
        <v>514</v>
      </c>
      <c r="B163" t="s">
        <v>515</v>
      </c>
      <c r="C163" t="s">
        <v>22</v>
      </c>
      <c r="D163" t="s">
        <v>516</v>
      </c>
      <c r="E163" t="s">
        <v>70</v>
      </c>
      <c r="F163" t="s">
        <v>59</v>
      </c>
      <c r="G163" t="s">
        <v>26</v>
      </c>
      <c r="H163" t="s">
        <v>66</v>
      </c>
      <c r="I163" t="s">
        <v>61</v>
      </c>
      <c r="J163">
        <v>64271.31</v>
      </c>
      <c r="K163">
        <v>621.72</v>
      </c>
      <c r="L163">
        <v>111.91</v>
      </c>
      <c r="M163">
        <v>370.23</v>
      </c>
      <c r="N163">
        <v>64634.71</v>
      </c>
      <c r="O163">
        <v>370194.91</v>
      </c>
      <c r="P163">
        <v>468</v>
      </c>
      <c r="Q163" t="s">
        <v>29</v>
      </c>
      <c r="R163" t="s">
        <v>30</v>
      </c>
      <c r="S163" t="s">
        <v>31</v>
      </c>
      <c r="T163" t="s">
        <v>41</v>
      </c>
      <c r="U163" s="3">
        <f t="shared" si="2"/>
        <v>45839</v>
      </c>
    </row>
    <row r="164" spans="1:21" x14ac:dyDescent="0.35">
      <c r="A164" t="s">
        <v>517</v>
      </c>
      <c r="B164" t="s">
        <v>518</v>
      </c>
      <c r="C164" t="s">
        <v>95</v>
      </c>
      <c r="D164" t="s">
        <v>519</v>
      </c>
      <c r="E164" t="s">
        <v>45</v>
      </c>
      <c r="F164" t="s">
        <v>38</v>
      </c>
      <c r="G164" t="s">
        <v>60</v>
      </c>
      <c r="H164" t="s">
        <v>66</v>
      </c>
      <c r="I164" t="s">
        <v>40</v>
      </c>
      <c r="J164">
        <v>24428.7</v>
      </c>
      <c r="K164">
        <v>272.52999999999997</v>
      </c>
      <c r="L164">
        <v>49.06</v>
      </c>
      <c r="M164">
        <v>286.81</v>
      </c>
      <c r="N164">
        <v>24463.48</v>
      </c>
      <c r="O164">
        <v>373385.29</v>
      </c>
      <c r="P164">
        <v>717</v>
      </c>
      <c r="Q164" t="s">
        <v>74</v>
      </c>
      <c r="R164" t="s">
        <v>75</v>
      </c>
      <c r="S164" t="s">
        <v>79</v>
      </c>
      <c r="T164" t="s">
        <v>32</v>
      </c>
      <c r="U164" s="3">
        <f t="shared" si="2"/>
        <v>45839</v>
      </c>
    </row>
    <row r="165" spans="1:21" x14ac:dyDescent="0.35">
      <c r="A165" t="s">
        <v>520</v>
      </c>
      <c r="B165" t="s">
        <v>521</v>
      </c>
      <c r="C165" t="s">
        <v>22</v>
      </c>
      <c r="D165" t="s">
        <v>522</v>
      </c>
      <c r="E165" t="s">
        <v>24</v>
      </c>
      <c r="F165" t="s">
        <v>59</v>
      </c>
      <c r="G165" t="s">
        <v>103</v>
      </c>
      <c r="H165" t="s">
        <v>27</v>
      </c>
      <c r="I165" t="s">
        <v>61</v>
      </c>
      <c r="J165">
        <v>123015.13</v>
      </c>
      <c r="K165">
        <v>2153.79</v>
      </c>
      <c r="L165">
        <v>387.68</v>
      </c>
      <c r="M165">
        <v>11.36</v>
      </c>
      <c r="N165">
        <v>125545.24</v>
      </c>
      <c r="O165">
        <v>373615.62</v>
      </c>
      <c r="P165">
        <v>456</v>
      </c>
      <c r="Q165" t="s">
        <v>53</v>
      </c>
      <c r="R165" t="s">
        <v>75</v>
      </c>
      <c r="S165" t="s">
        <v>79</v>
      </c>
      <c r="T165" t="s">
        <v>32</v>
      </c>
      <c r="U165" s="3">
        <f t="shared" si="2"/>
        <v>45778</v>
      </c>
    </row>
    <row r="166" spans="1:21" x14ac:dyDescent="0.35">
      <c r="A166" t="s">
        <v>523</v>
      </c>
      <c r="B166" t="s">
        <v>344</v>
      </c>
      <c r="C166" t="s">
        <v>22</v>
      </c>
      <c r="D166" t="s">
        <v>524</v>
      </c>
      <c r="E166" t="s">
        <v>37</v>
      </c>
      <c r="F166" t="s">
        <v>46</v>
      </c>
      <c r="G166" t="s">
        <v>47</v>
      </c>
      <c r="H166" t="s">
        <v>27</v>
      </c>
      <c r="I166" t="s">
        <v>28</v>
      </c>
      <c r="J166">
        <v>12660.7</v>
      </c>
      <c r="K166">
        <v>76.430000000000007</v>
      </c>
      <c r="L166">
        <v>13.76</v>
      </c>
      <c r="M166">
        <v>22.99</v>
      </c>
      <c r="N166">
        <v>12727.9</v>
      </c>
      <c r="O166">
        <v>380132.53</v>
      </c>
      <c r="P166">
        <v>403</v>
      </c>
      <c r="Q166" t="s">
        <v>53</v>
      </c>
      <c r="R166" t="s">
        <v>54</v>
      </c>
      <c r="S166" t="s">
        <v>86</v>
      </c>
      <c r="T166" t="s">
        <v>41</v>
      </c>
      <c r="U166" s="3">
        <f t="shared" si="2"/>
        <v>45748</v>
      </c>
    </row>
    <row r="167" spans="1:21" x14ac:dyDescent="0.35">
      <c r="A167" t="s">
        <v>525</v>
      </c>
      <c r="B167" t="s">
        <v>526</v>
      </c>
      <c r="C167" t="s">
        <v>22</v>
      </c>
      <c r="D167" t="s">
        <v>527</v>
      </c>
      <c r="E167" t="s">
        <v>37</v>
      </c>
      <c r="F167" t="s">
        <v>59</v>
      </c>
      <c r="G167" t="s">
        <v>103</v>
      </c>
      <c r="H167" t="s">
        <v>66</v>
      </c>
      <c r="I167" t="s">
        <v>40</v>
      </c>
      <c r="J167">
        <v>199460.14</v>
      </c>
      <c r="K167">
        <v>1781.95</v>
      </c>
      <c r="L167">
        <v>320.75</v>
      </c>
      <c r="M167">
        <v>314.73</v>
      </c>
      <c r="N167">
        <v>201248.11</v>
      </c>
      <c r="O167">
        <v>376233.76</v>
      </c>
      <c r="P167">
        <v>442</v>
      </c>
      <c r="Q167" t="s">
        <v>53</v>
      </c>
      <c r="R167" t="s">
        <v>30</v>
      </c>
      <c r="S167" t="s">
        <v>86</v>
      </c>
      <c r="T167" t="s">
        <v>55</v>
      </c>
      <c r="U167" s="3">
        <f t="shared" si="2"/>
        <v>45717</v>
      </c>
    </row>
    <row r="168" spans="1:21" x14ac:dyDescent="0.35">
      <c r="A168" t="s">
        <v>528</v>
      </c>
      <c r="B168" t="s">
        <v>529</v>
      </c>
      <c r="C168" t="s">
        <v>35</v>
      </c>
      <c r="D168" t="s">
        <v>530</v>
      </c>
      <c r="E168" t="s">
        <v>70</v>
      </c>
      <c r="F168" t="s">
        <v>59</v>
      </c>
      <c r="G168" t="s">
        <v>103</v>
      </c>
      <c r="H168" t="s">
        <v>39</v>
      </c>
      <c r="I168" t="s">
        <v>61</v>
      </c>
      <c r="J168">
        <v>191006.06</v>
      </c>
      <c r="K168">
        <v>1489.21</v>
      </c>
      <c r="L168">
        <v>268.06</v>
      </c>
      <c r="M168">
        <v>223.29</v>
      </c>
      <c r="N168">
        <v>192540.04</v>
      </c>
      <c r="O168">
        <v>374471.22</v>
      </c>
      <c r="P168">
        <v>516</v>
      </c>
      <c r="Q168" t="s">
        <v>74</v>
      </c>
      <c r="R168" t="s">
        <v>75</v>
      </c>
      <c r="S168" t="s">
        <v>86</v>
      </c>
      <c r="T168" t="s">
        <v>55</v>
      </c>
      <c r="U168" s="3">
        <f t="shared" si="2"/>
        <v>45809</v>
      </c>
    </row>
    <row r="169" spans="1:21" x14ac:dyDescent="0.35">
      <c r="A169" t="s">
        <v>531</v>
      </c>
      <c r="B169" t="s">
        <v>140</v>
      </c>
      <c r="C169" t="s">
        <v>22</v>
      </c>
      <c r="D169" t="s">
        <v>532</v>
      </c>
      <c r="E169" t="s">
        <v>24</v>
      </c>
      <c r="F169" t="s">
        <v>25</v>
      </c>
      <c r="G169" t="s">
        <v>26</v>
      </c>
      <c r="H169" t="s">
        <v>39</v>
      </c>
      <c r="I169" t="s">
        <v>61</v>
      </c>
      <c r="J169">
        <v>190280.61</v>
      </c>
      <c r="K169">
        <v>272.51</v>
      </c>
      <c r="L169">
        <v>49.05</v>
      </c>
      <c r="M169">
        <v>415.15</v>
      </c>
      <c r="N169">
        <v>190187.02</v>
      </c>
      <c r="O169">
        <v>372589.03</v>
      </c>
      <c r="P169">
        <v>502</v>
      </c>
      <c r="Q169" t="s">
        <v>74</v>
      </c>
      <c r="R169" t="s">
        <v>54</v>
      </c>
      <c r="S169" t="s">
        <v>62</v>
      </c>
      <c r="T169" t="s">
        <v>41</v>
      </c>
      <c r="U169" s="3">
        <f t="shared" si="2"/>
        <v>45992</v>
      </c>
    </row>
    <row r="170" spans="1:21" x14ac:dyDescent="0.35">
      <c r="A170" t="s">
        <v>533</v>
      </c>
      <c r="B170" t="s">
        <v>534</v>
      </c>
      <c r="C170" t="s">
        <v>22</v>
      </c>
      <c r="D170" t="s">
        <v>535</v>
      </c>
      <c r="E170" t="s">
        <v>70</v>
      </c>
      <c r="F170" t="s">
        <v>59</v>
      </c>
      <c r="G170" t="s">
        <v>103</v>
      </c>
      <c r="H170" t="s">
        <v>39</v>
      </c>
      <c r="I170" t="s">
        <v>40</v>
      </c>
      <c r="J170">
        <v>97662.43</v>
      </c>
      <c r="K170">
        <v>178.86</v>
      </c>
      <c r="L170">
        <v>32.19</v>
      </c>
      <c r="M170">
        <v>305.36</v>
      </c>
      <c r="N170">
        <v>97568.12</v>
      </c>
      <c r="O170">
        <v>369812.97</v>
      </c>
      <c r="P170">
        <v>846</v>
      </c>
      <c r="Q170" t="s">
        <v>29</v>
      </c>
      <c r="R170" t="s">
        <v>75</v>
      </c>
      <c r="S170" t="s">
        <v>62</v>
      </c>
      <c r="T170" t="s">
        <v>32</v>
      </c>
      <c r="U170" s="3">
        <f t="shared" si="2"/>
        <v>45962</v>
      </c>
    </row>
    <row r="171" spans="1:21" x14ac:dyDescent="0.35">
      <c r="A171" t="s">
        <v>536</v>
      </c>
      <c r="B171" t="s">
        <v>537</v>
      </c>
      <c r="C171" t="s">
        <v>22</v>
      </c>
      <c r="D171" t="s">
        <v>538</v>
      </c>
      <c r="E171" t="s">
        <v>45</v>
      </c>
      <c r="F171" t="s">
        <v>38</v>
      </c>
      <c r="G171" t="s">
        <v>103</v>
      </c>
      <c r="H171" t="s">
        <v>27</v>
      </c>
      <c r="I171" t="s">
        <v>61</v>
      </c>
      <c r="J171">
        <v>57402.35</v>
      </c>
      <c r="K171">
        <v>923.74</v>
      </c>
      <c r="L171">
        <v>166.27</v>
      </c>
      <c r="M171">
        <v>486.05</v>
      </c>
      <c r="N171">
        <v>58006.31</v>
      </c>
      <c r="O171">
        <v>369749.02</v>
      </c>
      <c r="P171">
        <v>617</v>
      </c>
      <c r="Q171" t="s">
        <v>29</v>
      </c>
      <c r="R171" t="s">
        <v>54</v>
      </c>
      <c r="S171" t="s">
        <v>31</v>
      </c>
      <c r="T171" t="s">
        <v>41</v>
      </c>
      <c r="U171" s="3">
        <f t="shared" si="2"/>
        <v>45962</v>
      </c>
    </row>
    <row r="172" spans="1:21" x14ac:dyDescent="0.35">
      <c r="A172" t="s">
        <v>539</v>
      </c>
      <c r="B172" t="s">
        <v>540</v>
      </c>
      <c r="C172" t="s">
        <v>22</v>
      </c>
      <c r="D172" t="s">
        <v>541</v>
      </c>
      <c r="E172" t="s">
        <v>37</v>
      </c>
      <c r="F172" t="s">
        <v>25</v>
      </c>
      <c r="G172" t="s">
        <v>103</v>
      </c>
      <c r="H172" t="s">
        <v>66</v>
      </c>
      <c r="I172" t="s">
        <v>28</v>
      </c>
      <c r="J172">
        <v>103811.45</v>
      </c>
      <c r="K172">
        <v>1418.09</v>
      </c>
      <c r="L172">
        <v>255.26</v>
      </c>
      <c r="M172">
        <v>3.57</v>
      </c>
      <c r="N172">
        <v>105481.23</v>
      </c>
      <c r="O172">
        <v>371939.27</v>
      </c>
      <c r="P172">
        <v>474</v>
      </c>
      <c r="Q172" t="s">
        <v>74</v>
      </c>
      <c r="R172" t="s">
        <v>75</v>
      </c>
      <c r="S172" t="s">
        <v>31</v>
      </c>
      <c r="T172" t="s">
        <v>55</v>
      </c>
      <c r="U172" s="3">
        <f t="shared" si="2"/>
        <v>45992</v>
      </c>
    </row>
    <row r="173" spans="1:21" x14ac:dyDescent="0.35">
      <c r="A173" t="s">
        <v>542</v>
      </c>
      <c r="B173" t="s">
        <v>543</v>
      </c>
      <c r="C173" t="s">
        <v>22</v>
      </c>
      <c r="D173" t="s">
        <v>191</v>
      </c>
      <c r="E173" t="s">
        <v>70</v>
      </c>
      <c r="F173" t="s">
        <v>38</v>
      </c>
      <c r="G173" t="s">
        <v>60</v>
      </c>
      <c r="H173" t="s">
        <v>39</v>
      </c>
      <c r="I173" t="s">
        <v>40</v>
      </c>
      <c r="J173">
        <v>158186</v>
      </c>
      <c r="K173">
        <v>1918.92</v>
      </c>
      <c r="L173">
        <v>345.41</v>
      </c>
      <c r="M173">
        <v>367.06</v>
      </c>
      <c r="N173">
        <v>160083.26999999999</v>
      </c>
      <c r="O173">
        <v>374701.85</v>
      </c>
      <c r="P173">
        <v>594</v>
      </c>
      <c r="Q173" t="s">
        <v>53</v>
      </c>
      <c r="R173" t="s">
        <v>75</v>
      </c>
      <c r="S173" t="s">
        <v>31</v>
      </c>
      <c r="T173" t="s">
        <v>55</v>
      </c>
      <c r="U173" s="3">
        <f t="shared" si="2"/>
        <v>45992</v>
      </c>
    </row>
    <row r="174" spans="1:21" x14ac:dyDescent="0.35">
      <c r="A174" t="s">
        <v>544</v>
      </c>
      <c r="B174" t="s">
        <v>545</v>
      </c>
      <c r="C174" t="s">
        <v>22</v>
      </c>
      <c r="D174" t="s">
        <v>546</v>
      </c>
      <c r="E174" t="s">
        <v>24</v>
      </c>
      <c r="F174" t="s">
        <v>59</v>
      </c>
      <c r="G174" t="s">
        <v>26</v>
      </c>
      <c r="H174" t="s">
        <v>27</v>
      </c>
      <c r="I174" t="s">
        <v>40</v>
      </c>
      <c r="J174">
        <v>183309.11</v>
      </c>
      <c r="K174">
        <v>3039.77</v>
      </c>
      <c r="L174">
        <v>547.16</v>
      </c>
      <c r="M174">
        <v>427.44</v>
      </c>
      <c r="N174">
        <v>186468.6</v>
      </c>
      <c r="O174">
        <v>381907.86</v>
      </c>
      <c r="P174">
        <v>345</v>
      </c>
      <c r="Q174" t="s">
        <v>53</v>
      </c>
      <c r="R174" t="s">
        <v>75</v>
      </c>
      <c r="S174" t="s">
        <v>86</v>
      </c>
      <c r="T174" t="s">
        <v>55</v>
      </c>
      <c r="U174" s="3">
        <f t="shared" si="2"/>
        <v>45689</v>
      </c>
    </row>
    <row r="175" spans="1:21" x14ac:dyDescent="0.35">
      <c r="A175" t="s">
        <v>547</v>
      </c>
      <c r="B175" t="s">
        <v>267</v>
      </c>
      <c r="C175" t="s">
        <v>95</v>
      </c>
      <c r="D175" t="s">
        <v>548</v>
      </c>
      <c r="E175" t="s">
        <v>37</v>
      </c>
      <c r="F175" t="s">
        <v>25</v>
      </c>
      <c r="G175" t="s">
        <v>26</v>
      </c>
      <c r="H175" t="s">
        <v>66</v>
      </c>
      <c r="I175" t="s">
        <v>28</v>
      </c>
      <c r="J175">
        <v>162444.04999999999</v>
      </c>
      <c r="K175">
        <v>1598.17</v>
      </c>
      <c r="L175">
        <v>287.67</v>
      </c>
      <c r="M175">
        <v>225.68</v>
      </c>
      <c r="N175">
        <v>164104.21</v>
      </c>
      <c r="O175">
        <v>389298.24</v>
      </c>
      <c r="P175">
        <v>860</v>
      </c>
      <c r="Q175" t="s">
        <v>74</v>
      </c>
      <c r="R175" t="s">
        <v>54</v>
      </c>
      <c r="S175" t="s">
        <v>86</v>
      </c>
      <c r="T175" t="s">
        <v>55</v>
      </c>
      <c r="U175" s="3">
        <f t="shared" si="2"/>
        <v>45931</v>
      </c>
    </row>
    <row r="176" spans="1:21" x14ac:dyDescent="0.35">
      <c r="A176" t="s">
        <v>549</v>
      </c>
      <c r="B176" t="s">
        <v>306</v>
      </c>
      <c r="C176" t="s">
        <v>95</v>
      </c>
      <c r="D176" t="s">
        <v>550</v>
      </c>
      <c r="E176" t="s">
        <v>45</v>
      </c>
      <c r="F176" t="s">
        <v>25</v>
      </c>
      <c r="G176" t="s">
        <v>47</v>
      </c>
      <c r="H176" t="s">
        <v>27</v>
      </c>
      <c r="I176" t="s">
        <v>40</v>
      </c>
      <c r="J176">
        <v>98379.14</v>
      </c>
      <c r="K176">
        <v>1399.45</v>
      </c>
      <c r="L176">
        <v>251.9</v>
      </c>
      <c r="M176">
        <v>376.98</v>
      </c>
      <c r="N176">
        <v>99653.51</v>
      </c>
      <c r="O176">
        <v>396164.29</v>
      </c>
      <c r="P176">
        <v>487</v>
      </c>
      <c r="Q176" t="s">
        <v>29</v>
      </c>
      <c r="R176" t="s">
        <v>30</v>
      </c>
      <c r="S176" t="s">
        <v>79</v>
      </c>
      <c r="T176" t="s">
        <v>32</v>
      </c>
      <c r="U176" s="3">
        <f t="shared" si="2"/>
        <v>45717</v>
      </c>
    </row>
    <row r="177" spans="1:21" x14ac:dyDescent="0.35">
      <c r="A177" t="s">
        <v>551</v>
      </c>
      <c r="B177" t="s">
        <v>143</v>
      </c>
      <c r="C177" t="s">
        <v>35</v>
      </c>
      <c r="D177" t="s">
        <v>552</v>
      </c>
      <c r="E177" t="s">
        <v>24</v>
      </c>
      <c r="F177" t="s">
        <v>25</v>
      </c>
      <c r="G177" t="s">
        <v>60</v>
      </c>
      <c r="H177" t="s">
        <v>52</v>
      </c>
      <c r="I177" t="s">
        <v>61</v>
      </c>
      <c r="J177">
        <v>144933.82</v>
      </c>
      <c r="K177">
        <v>447.06</v>
      </c>
      <c r="L177">
        <v>80.47</v>
      </c>
      <c r="M177">
        <v>25.81</v>
      </c>
      <c r="N177">
        <v>145435.54</v>
      </c>
      <c r="O177">
        <v>398910.56</v>
      </c>
      <c r="P177">
        <v>452</v>
      </c>
      <c r="Q177" t="s">
        <v>29</v>
      </c>
      <c r="R177" t="s">
        <v>54</v>
      </c>
      <c r="S177" t="s">
        <v>86</v>
      </c>
      <c r="T177" t="s">
        <v>55</v>
      </c>
      <c r="U177" s="3">
        <f t="shared" si="2"/>
        <v>45809</v>
      </c>
    </row>
    <row r="178" spans="1:21" x14ac:dyDescent="0.35">
      <c r="A178" t="s">
        <v>553</v>
      </c>
      <c r="B178" t="s">
        <v>21</v>
      </c>
      <c r="C178" t="s">
        <v>35</v>
      </c>
      <c r="D178" t="s">
        <v>554</v>
      </c>
      <c r="E178" t="s">
        <v>45</v>
      </c>
      <c r="F178" t="s">
        <v>25</v>
      </c>
      <c r="G178" t="s">
        <v>47</v>
      </c>
      <c r="H178" t="s">
        <v>52</v>
      </c>
      <c r="I178" t="s">
        <v>28</v>
      </c>
      <c r="J178">
        <v>134643.51</v>
      </c>
      <c r="K178">
        <v>1975.45</v>
      </c>
      <c r="L178">
        <v>355.58</v>
      </c>
      <c r="M178">
        <v>204.37</v>
      </c>
      <c r="N178">
        <v>136770.17000000001</v>
      </c>
      <c r="O178">
        <v>404552.15</v>
      </c>
      <c r="P178">
        <v>678</v>
      </c>
      <c r="Q178" t="s">
        <v>74</v>
      </c>
      <c r="R178" t="s">
        <v>54</v>
      </c>
      <c r="S178" t="s">
        <v>62</v>
      </c>
      <c r="T178" t="s">
        <v>32</v>
      </c>
      <c r="U178" s="3">
        <f t="shared" si="2"/>
        <v>45689</v>
      </c>
    </row>
    <row r="179" spans="1:21" x14ac:dyDescent="0.35">
      <c r="A179" t="s">
        <v>555</v>
      </c>
      <c r="B179" t="s">
        <v>504</v>
      </c>
      <c r="C179" t="s">
        <v>35</v>
      </c>
      <c r="D179" t="s">
        <v>556</v>
      </c>
      <c r="E179" t="s">
        <v>70</v>
      </c>
      <c r="F179" t="s">
        <v>59</v>
      </c>
      <c r="G179" t="s">
        <v>60</v>
      </c>
      <c r="H179" t="s">
        <v>27</v>
      </c>
      <c r="I179" t="s">
        <v>28</v>
      </c>
      <c r="J179">
        <v>95584.69</v>
      </c>
      <c r="K179">
        <v>769.43</v>
      </c>
      <c r="L179">
        <v>138.5</v>
      </c>
      <c r="M179">
        <v>294.82</v>
      </c>
      <c r="N179">
        <v>96197.8</v>
      </c>
      <c r="O179">
        <v>404702.63</v>
      </c>
      <c r="P179">
        <v>689</v>
      </c>
      <c r="Q179" t="s">
        <v>74</v>
      </c>
      <c r="R179" t="s">
        <v>30</v>
      </c>
      <c r="S179" t="s">
        <v>79</v>
      </c>
      <c r="T179" t="s">
        <v>32</v>
      </c>
      <c r="U179" s="3">
        <f t="shared" si="2"/>
        <v>45931</v>
      </c>
    </row>
    <row r="180" spans="1:21" x14ac:dyDescent="0.35">
      <c r="A180" t="s">
        <v>557</v>
      </c>
      <c r="B180" t="s">
        <v>558</v>
      </c>
      <c r="C180" t="s">
        <v>35</v>
      </c>
      <c r="D180" t="s">
        <v>559</v>
      </c>
      <c r="E180" t="s">
        <v>37</v>
      </c>
      <c r="F180" t="s">
        <v>25</v>
      </c>
      <c r="G180" t="s">
        <v>26</v>
      </c>
      <c r="H180" t="s">
        <v>66</v>
      </c>
      <c r="I180" t="s">
        <v>40</v>
      </c>
      <c r="J180">
        <v>64316.3</v>
      </c>
      <c r="K180">
        <v>1144.04</v>
      </c>
      <c r="L180">
        <v>205.93</v>
      </c>
      <c r="M180">
        <v>84.37</v>
      </c>
      <c r="N180">
        <v>65581.899999999994</v>
      </c>
      <c r="O180">
        <v>414524.3</v>
      </c>
      <c r="P180">
        <v>821</v>
      </c>
      <c r="Q180" t="s">
        <v>53</v>
      </c>
      <c r="R180" t="s">
        <v>30</v>
      </c>
      <c r="S180" t="s">
        <v>86</v>
      </c>
      <c r="T180" t="s">
        <v>41</v>
      </c>
      <c r="U180" s="3">
        <f t="shared" si="2"/>
        <v>45748</v>
      </c>
    </row>
    <row r="181" spans="1:21" x14ac:dyDescent="0.35">
      <c r="A181" t="s">
        <v>560</v>
      </c>
      <c r="B181" t="s">
        <v>288</v>
      </c>
      <c r="C181" t="s">
        <v>22</v>
      </c>
      <c r="D181" t="s">
        <v>561</v>
      </c>
      <c r="E181" t="s">
        <v>24</v>
      </c>
      <c r="F181" t="s">
        <v>38</v>
      </c>
      <c r="G181" t="s">
        <v>47</v>
      </c>
      <c r="H181" t="s">
        <v>52</v>
      </c>
      <c r="I181" t="s">
        <v>40</v>
      </c>
      <c r="J181">
        <v>160919.47</v>
      </c>
      <c r="K181">
        <v>475.54</v>
      </c>
      <c r="L181">
        <v>85.6</v>
      </c>
      <c r="M181">
        <v>445.37</v>
      </c>
      <c r="N181">
        <v>161035.24</v>
      </c>
      <c r="O181">
        <v>420578.48</v>
      </c>
      <c r="P181">
        <v>689</v>
      </c>
      <c r="Q181" t="s">
        <v>74</v>
      </c>
      <c r="R181" t="s">
        <v>75</v>
      </c>
      <c r="S181" t="s">
        <v>31</v>
      </c>
      <c r="T181" t="s">
        <v>55</v>
      </c>
      <c r="U181" s="3">
        <f t="shared" si="2"/>
        <v>45809</v>
      </c>
    </row>
    <row r="182" spans="1:21" x14ac:dyDescent="0.35">
      <c r="A182" t="s">
        <v>562</v>
      </c>
      <c r="B182" t="s">
        <v>276</v>
      </c>
      <c r="C182" t="s">
        <v>35</v>
      </c>
      <c r="D182" t="s">
        <v>563</v>
      </c>
      <c r="E182" t="s">
        <v>70</v>
      </c>
      <c r="F182" t="s">
        <v>46</v>
      </c>
      <c r="G182" t="s">
        <v>60</v>
      </c>
      <c r="H182" t="s">
        <v>39</v>
      </c>
      <c r="I182" t="s">
        <v>61</v>
      </c>
      <c r="J182">
        <v>97006.74</v>
      </c>
      <c r="K182">
        <v>1377.45</v>
      </c>
      <c r="L182">
        <v>247.94</v>
      </c>
      <c r="M182">
        <v>198.66</v>
      </c>
      <c r="N182">
        <v>98433.47</v>
      </c>
      <c r="O182">
        <v>426271.73</v>
      </c>
      <c r="P182">
        <v>575</v>
      </c>
      <c r="Q182" t="s">
        <v>74</v>
      </c>
      <c r="R182" t="s">
        <v>54</v>
      </c>
      <c r="S182" t="s">
        <v>79</v>
      </c>
      <c r="T182" t="s">
        <v>41</v>
      </c>
      <c r="U182" s="3">
        <f t="shared" si="2"/>
        <v>45870</v>
      </c>
    </row>
    <row r="183" spans="1:21" x14ac:dyDescent="0.35">
      <c r="A183" t="s">
        <v>564</v>
      </c>
      <c r="B183" t="s">
        <v>196</v>
      </c>
      <c r="C183" t="s">
        <v>22</v>
      </c>
      <c r="D183" t="s">
        <v>565</v>
      </c>
      <c r="E183" t="s">
        <v>70</v>
      </c>
      <c r="F183" t="s">
        <v>46</v>
      </c>
      <c r="G183" t="s">
        <v>47</v>
      </c>
      <c r="H183" t="s">
        <v>66</v>
      </c>
      <c r="I183" t="s">
        <v>40</v>
      </c>
      <c r="J183">
        <v>37081.42</v>
      </c>
      <c r="K183">
        <v>631.42999999999995</v>
      </c>
      <c r="L183">
        <v>113.66</v>
      </c>
      <c r="M183">
        <v>103.28</v>
      </c>
      <c r="N183">
        <v>37723.230000000003</v>
      </c>
      <c r="O183">
        <v>422900.82</v>
      </c>
      <c r="P183">
        <v>674</v>
      </c>
      <c r="Q183" t="s">
        <v>29</v>
      </c>
      <c r="R183" t="s">
        <v>30</v>
      </c>
      <c r="S183" t="s">
        <v>31</v>
      </c>
      <c r="T183" t="s">
        <v>41</v>
      </c>
      <c r="U183" s="3">
        <f t="shared" si="2"/>
        <v>45870</v>
      </c>
    </row>
    <row r="184" spans="1:21" x14ac:dyDescent="0.35">
      <c r="A184" t="s">
        <v>566</v>
      </c>
      <c r="B184" t="s">
        <v>567</v>
      </c>
      <c r="C184" t="s">
        <v>95</v>
      </c>
      <c r="D184" t="s">
        <v>568</v>
      </c>
      <c r="E184" t="s">
        <v>24</v>
      </c>
      <c r="F184" t="s">
        <v>38</v>
      </c>
      <c r="G184" t="s">
        <v>26</v>
      </c>
      <c r="H184" t="s">
        <v>48</v>
      </c>
      <c r="I184" t="s">
        <v>61</v>
      </c>
      <c r="J184">
        <v>142715.70000000001</v>
      </c>
      <c r="K184">
        <v>2539.46</v>
      </c>
      <c r="L184">
        <v>457.1</v>
      </c>
      <c r="M184">
        <v>299.58999999999997</v>
      </c>
      <c r="N184">
        <v>145412.67000000001</v>
      </c>
      <c r="O184">
        <v>423674.28</v>
      </c>
      <c r="P184">
        <v>481</v>
      </c>
      <c r="Q184" t="s">
        <v>53</v>
      </c>
      <c r="R184" t="s">
        <v>54</v>
      </c>
      <c r="S184" t="s">
        <v>86</v>
      </c>
      <c r="T184" t="s">
        <v>55</v>
      </c>
      <c r="U184" s="3">
        <f t="shared" si="2"/>
        <v>45870</v>
      </c>
    </row>
    <row r="185" spans="1:21" x14ac:dyDescent="0.35">
      <c r="A185" t="s">
        <v>569</v>
      </c>
      <c r="B185" t="s">
        <v>359</v>
      </c>
      <c r="C185" t="s">
        <v>22</v>
      </c>
      <c r="D185" t="s">
        <v>570</v>
      </c>
      <c r="E185" t="s">
        <v>24</v>
      </c>
      <c r="F185" t="s">
        <v>46</v>
      </c>
      <c r="G185" t="s">
        <v>103</v>
      </c>
      <c r="H185" t="s">
        <v>39</v>
      </c>
      <c r="I185" t="s">
        <v>28</v>
      </c>
      <c r="J185">
        <v>163633.48000000001</v>
      </c>
      <c r="K185">
        <v>2791.64</v>
      </c>
      <c r="L185">
        <v>502.5</v>
      </c>
      <c r="M185">
        <v>335.5</v>
      </c>
      <c r="N185">
        <v>166592.12</v>
      </c>
      <c r="O185">
        <v>423869.38</v>
      </c>
      <c r="P185">
        <v>776</v>
      </c>
      <c r="Q185" t="s">
        <v>29</v>
      </c>
      <c r="R185" t="s">
        <v>30</v>
      </c>
      <c r="S185" t="s">
        <v>62</v>
      </c>
      <c r="T185" t="s">
        <v>41</v>
      </c>
      <c r="U185" s="3">
        <f t="shared" si="2"/>
        <v>45901</v>
      </c>
    </row>
    <row r="186" spans="1:21" x14ac:dyDescent="0.35">
      <c r="A186" t="s">
        <v>571</v>
      </c>
      <c r="B186" t="s">
        <v>273</v>
      </c>
      <c r="C186" t="s">
        <v>95</v>
      </c>
      <c r="D186" t="s">
        <v>572</v>
      </c>
      <c r="E186" t="s">
        <v>70</v>
      </c>
      <c r="F186" t="s">
        <v>46</v>
      </c>
      <c r="G186" t="s">
        <v>103</v>
      </c>
      <c r="H186" t="s">
        <v>52</v>
      </c>
      <c r="I186" t="s">
        <v>28</v>
      </c>
      <c r="J186">
        <v>122156.56</v>
      </c>
      <c r="K186">
        <v>971.04</v>
      </c>
      <c r="L186">
        <v>174.79</v>
      </c>
      <c r="M186">
        <v>106.36</v>
      </c>
      <c r="N186">
        <v>123196.03</v>
      </c>
      <c r="O186">
        <v>425569.36</v>
      </c>
      <c r="P186">
        <v>398</v>
      </c>
      <c r="Q186" t="s">
        <v>53</v>
      </c>
      <c r="R186" t="s">
        <v>30</v>
      </c>
      <c r="S186" t="s">
        <v>62</v>
      </c>
      <c r="T186" t="s">
        <v>41</v>
      </c>
      <c r="U186" s="3">
        <f t="shared" si="2"/>
        <v>45839</v>
      </c>
    </row>
    <row r="187" spans="1:21" x14ac:dyDescent="0.35">
      <c r="A187" t="s">
        <v>573</v>
      </c>
      <c r="B187" t="s">
        <v>459</v>
      </c>
      <c r="C187" t="s">
        <v>22</v>
      </c>
      <c r="D187" t="s">
        <v>574</v>
      </c>
      <c r="E187" t="s">
        <v>45</v>
      </c>
      <c r="F187" t="s">
        <v>46</v>
      </c>
      <c r="G187" t="s">
        <v>60</v>
      </c>
      <c r="H187" t="s">
        <v>27</v>
      </c>
      <c r="I187" t="s">
        <v>40</v>
      </c>
      <c r="J187">
        <v>160305.17000000001</v>
      </c>
      <c r="K187">
        <v>2579.8000000000002</v>
      </c>
      <c r="L187">
        <v>464.36</v>
      </c>
      <c r="M187">
        <v>188.39</v>
      </c>
      <c r="N187">
        <v>163160.94</v>
      </c>
      <c r="O187">
        <v>433407.41</v>
      </c>
      <c r="P187">
        <v>540</v>
      </c>
      <c r="Q187" t="s">
        <v>74</v>
      </c>
      <c r="R187" t="s">
        <v>54</v>
      </c>
      <c r="S187" t="s">
        <v>31</v>
      </c>
      <c r="T187" t="s">
        <v>32</v>
      </c>
      <c r="U187" s="3">
        <f t="shared" si="2"/>
        <v>45809</v>
      </c>
    </row>
    <row r="188" spans="1:21" x14ac:dyDescent="0.35">
      <c r="A188" t="s">
        <v>575</v>
      </c>
      <c r="B188" t="s">
        <v>576</v>
      </c>
      <c r="C188" t="s">
        <v>95</v>
      </c>
      <c r="D188" t="s">
        <v>577</v>
      </c>
      <c r="E188" t="s">
        <v>45</v>
      </c>
      <c r="F188" t="s">
        <v>59</v>
      </c>
      <c r="G188" t="s">
        <v>60</v>
      </c>
      <c r="H188" t="s">
        <v>27</v>
      </c>
      <c r="I188" t="s">
        <v>61</v>
      </c>
      <c r="J188">
        <v>113522.1</v>
      </c>
      <c r="K188">
        <v>883.21</v>
      </c>
      <c r="L188">
        <v>158.97999999999999</v>
      </c>
      <c r="M188">
        <v>274.8</v>
      </c>
      <c r="N188">
        <v>114289.49</v>
      </c>
      <c r="O188">
        <v>429591.21</v>
      </c>
      <c r="P188">
        <v>440</v>
      </c>
      <c r="Q188" t="s">
        <v>29</v>
      </c>
      <c r="R188" t="s">
        <v>54</v>
      </c>
      <c r="S188" t="s">
        <v>86</v>
      </c>
      <c r="T188" t="s">
        <v>55</v>
      </c>
      <c r="U188" s="3">
        <f t="shared" si="2"/>
        <v>45689</v>
      </c>
    </row>
    <row r="189" spans="1:21" x14ac:dyDescent="0.35">
      <c r="A189" t="s">
        <v>578</v>
      </c>
      <c r="B189" t="s">
        <v>579</v>
      </c>
      <c r="C189" t="s">
        <v>95</v>
      </c>
      <c r="D189" t="s">
        <v>580</v>
      </c>
      <c r="E189" t="s">
        <v>70</v>
      </c>
      <c r="F189" t="s">
        <v>46</v>
      </c>
      <c r="G189" t="s">
        <v>60</v>
      </c>
      <c r="H189" t="s">
        <v>52</v>
      </c>
      <c r="I189" t="s">
        <v>61</v>
      </c>
      <c r="J189">
        <v>117895.12</v>
      </c>
      <c r="K189">
        <v>1491.48</v>
      </c>
      <c r="L189">
        <v>268.47000000000003</v>
      </c>
      <c r="M189">
        <v>50.07</v>
      </c>
      <c r="N189">
        <v>119605</v>
      </c>
      <c r="O189">
        <v>439558.67</v>
      </c>
      <c r="P189">
        <v>433</v>
      </c>
      <c r="Q189" t="s">
        <v>29</v>
      </c>
      <c r="R189" t="s">
        <v>75</v>
      </c>
      <c r="S189" t="s">
        <v>86</v>
      </c>
      <c r="T189" t="s">
        <v>55</v>
      </c>
      <c r="U189" s="3">
        <f t="shared" si="2"/>
        <v>45658</v>
      </c>
    </row>
    <row r="190" spans="1:21" x14ac:dyDescent="0.35">
      <c r="A190" t="s">
        <v>581</v>
      </c>
      <c r="B190" t="s">
        <v>251</v>
      </c>
      <c r="C190" t="s">
        <v>22</v>
      </c>
      <c r="D190" t="s">
        <v>582</v>
      </c>
      <c r="E190" t="s">
        <v>70</v>
      </c>
      <c r="F190" t="s">
        <v>59</v>
      </c>
      <c r="G190" t="s">
        <v>47</v>
      </c>
      <c r="H190" t="s">
        <v>66</v>
      </c>
      <c r="I190" t="s">
        <v>28</v>
      </c>
      <c r="J190">
        <v>108725.89</v>
      </c>
      <c r="K190">
        <v>1760.22</v>
      </c>
      <c r="L190">
        <v>316.83999999999997</v>
      </c>
      <c r="M190">
        <v>57.79</v>
      </c>
      <c r="N190">
        <v>110745.16</v>
      </c>
      <c r="O190">
        <v>437947.92</v>
      </c>
      <c r="P190">
        <v>324</v>
      </c>
      <c r="Q190" t="s">
        <v>74</v>
      </c>
      <c r="R190" t="s">
        <v>30</v>
      </c>
      <c r="S190" t="s">
        <v>62</v>
      </c>
      <c r="T190" t="s">
        <v>55</v>
      </c>
      <c r="U190" s="3">
        <f t="shared" si="2"/>
        <v>45992</v>
      </c>
    </row>
    <row r="191" spans="1:21" x14ac:dyDescent="0.35">
      <c r="A191" t="s">
        <v>583</v>
      </c>
      <c r="B191" t="s">
        <v>584</v>
      </c>
      <c r="C191" t="s">
        <v>95</v>
      </c>
      <c r="D191" t="s">
        <v>585</v>
      </c>
      <c r="E191" t="s">
        <v>37</v>
      </c>
      <c r="F191" t="s">
        <v>46</v>
      </c>
      <c r="G191" t="s">
        <v>26</v>
      </c>
      <c r="H191" t="s">
        <v>27</v>
      </c>
      <c r="I191" t="s">
        <v>40</v>
      </c>
      <c r="J191">
        <v>138417.5</v>
      </c>
      <c r="K191">
        <v>633.79</v>
      </c>
      <c r="L191">
        <v>114.08</v>
      </c>
      <c r="M191">
        <v>447.39</v>
      </c>
      <c r="N191">
        <v>138717.98000000001</v>
      </c>
      <c r="O191">
        <v>433997.69</v>
      </c>
      <c r="P191">
        <v>449</v>
      </c>
      <c r="Q191" t="s">
        <v>29</v>
      </c>
      <c r="R191" t="s">
        <v>75</v>
      </c>
      <c r="S191" t="s">
        <v>62</v>
      </c>
      <c r="T191" t="s">
        <v>41</v>
      </c>
      <c r="U191" s="3">
        <f t="shared" si="2"/>
        <v>45778</v>
      </c>
    </row>
    <row r="192" spans="1:21" x14ac:dyDescent="0.35">
      <c r="A192" t="s">
        <v>586</v>
      </c>
      <c r="B192" t="s">
        <v>178</v>
      </c>
      <c r="C192" t="s">
        <v>95</v>
      </c>
      <c r="D192" t="s">
        <v>587</v>
      </c>
      <c r="E192" t="s">
        <v>70</v>
      </c>
      <c r="F192" t="s">
        <v>38</v>
      </c>
      <c r="G192" t="s">
        <v>47</v>
      </c>
      <c r="H192" t="s">
        <v>66</v>
      </c>
      <c r="I192" t="s">
        <v>28</v>
      </c>
      <c r="J192">
        <v>132656.63</v>
      </c>
      <c r="K192">
        <v>508.26</v>
      </c>
      <c r="L192">
        <v>91.49</v>
      </c>
      <c r="M192">
        <v>99.08</v>
      </c>
      <c r="N192">
        <v>133157.29999999999</v>
      </c>
      <c r="O192">
        <v>435266.88</v>
      </c>
      <c r="P192">
        <v>540</v>
      </c>
      <c r="Q192" t="s">
        <v>29</v>
      </c>
      <c r="R192" t="s">
        <v>54</v>
      </c>
      <c r="S192" t="s">
        <v>62</v>
      </c>
      <c r="T192" t="s">
        <v>55</v>
      </c>
      <c r="U192" s="3">
        <f t="shared" si="2"/>
        <v>45689</v>
      </c>
    </row>
    <row r="193" spans="1:21" x14ac:dyDescent="0.35">
      <c r="A193" t="s">
        <v>588</v>
      </c>
      <c r="B193" t="s">
        <v>325</v>
      </c>
      <c r="C193" t="s">
        <v>95</v>
      </c>
      <c r="D193" t="s">
        <v>589</v>
      </c>
      <c r="E193" t="s">
        <v>24</v>
      </c>
      <c r="F193" t="s">
        <v>25</v>
      </c>
      <c r="G193" t="s">
        <v>60</v>
      </c>
      <c r="H193" t="s">
        <v>66</v>
      </c>
      <c r="I193" t="s">
        <v>28</v>
      </c>
      <c r="J193">
        <v>43930.57</v>
      </c>
      <c r="K193">
        <v>530</v>
      </c>
      <c r="L193">
        <v>95.4</v>
      </c>
      <c r="M193">
        <v>402.99</v>
      </c>
      <c r="N193">
        <v>44152.98</v>
      </c>
      <c r="O193">
        <v>441122.42</v>
      </c>
      <c r="P193">
        <v>876</v>
      </c>
      <c r="Q193" t="s">
        <v>53</v>
      </c>
      <c r="R193" t="s">
        <v>54</v>
      </c>
      <c r="S193" t="s">
        <v>62</v>
      </c>
      <c r="T193" t="s">
        <v>41</v>
      </c>
      <c r="U193" s="3">
        <f t="shared" si="2"/>
        <v>45962</v>
      </c>
    </row>
    <row r="194" spans="1:21" x14ac:dyDescent="0.35">
      <c r="A194" t="s">
        <v>590</v>
      </c>
      <c r="B194" t="s">
        <v>107</v>
      </c>
      <c r="C194" t="s">
        <v>22</v>
      </c>
      <c r="D194" t="s">
        <v>591</v>
      </c>
      <c r="E194" t="s">
        <v>45</v>
      </c>
      <c r="F194" t="s">
        <v>38</v>
      </c>
      <c r="G194" t="s">
        <v>103</v>
      </c>
      <c r="H194" t="s">
        <v>27</v>
      </c>
      <c r="I194" t="s">
        <v>40</v>
      </c>
      <c r="J194">
        <v>76411.839999999997</v>
      </c>
      <c r="K194">
        <v>1030.08</v>
      </c>
      <c r="L194">
        <v>185.41</v>
      </c>
      <c r="M194">
        <v>263.52</v>
      </c>
      <c r="N194">
        <v>77363.81</v>
      </c>
      <c r="O194">
        <v>450486.04</v>
      </c>
      <c r="P194">
        <v>787</v>
      </c>
      <c r="Q194" t="s">
        <v>74</v>
      </c>
      <c r="R194" t="s">
        <v>75</v>
      </c>
      <c r="S194" t="s">
        <v>79</v>
      </c>
      <c r="T194" t="s">
        <v>41</v>
      </c>
      <c r="U194" s="3">
        <f t="shared" si="2"/>
        <v>45870</v>
      </c>
    </row>
    <row r="195" spans="1:21" x14ac:dyDescent="0.35">
      <c r="A195" t="s">
        <v>592</v>
      </c>
      <c r="B195" t="s">
        <v>593</v>
      </c>
      <c r="C195" t="s">
        <v>95</v>
      </c>
      <c r="D195" t="s">
        <v>594</v>
      </c>
      <c r="E195" t="s">
        <v>70</v>
      </c>
      <c r="F195" t="s">
        <v>59</v>
      </c>
      <c r="G195" t="s">
        <v>26</v>
      </c>
      <c r="H195" t="s">
        <v>48</v>
      </c>
      <c r="I195" t="s">
        <v>61</v>
      </c>
      <c r="J195">
        <v>13789.3</v>
      </c>
      <c r="K195">
        <v>22.35</v>
      </c>
      <c r="L195">
        <v>4.0199999999999996</v>
      </c>
      <c r="M195">
        <v>471.02</v>
      </c>
      <c r="N195">
        <v>13344.65</v>
      </c>
      <c r="O195">
        <v>449080.84</v>
      </c>
      <c r="P195">
        <v>871</v>
      </c>
      <c r="Q195" t="s">
        <v>74</v>
      </c>
      <c r="R195" t="s">
        <v>75</v>
      </c>
      <c r="S195" t="s">
        <v>31</v>
      </c>
      <c r="T195" t="s">
        <v>41</v>
      </c>
      <c r="U195" s="3">
        <f t="shared" ref="U195:U258" si="3">DATE(YEAR(B195),MONTH(B195),1)</f>
        <v>45689</v>
      </c>
    </row>
    <row r="196" spans="1:21" x14ac:dyDescent="0.35">
      <c r="A196" t="s">
        <v>595</v>
      </c>
      <c r="B196" t="s">
        <v>596</v>
      </c>
      <c r="C196" t="s">
        <v>35</v>
      </c>
      <c r="D196" t="s">
        <v>597</v>
      </c>
      <c r="E196" t="s">
        <v>70</v>
      </c>
      <c r="F196" t="s">
        <v>38</v>
      </c>
      <c r="G196" t="s">
        <v>60</v>
      </c>
      <c r="H196" t="s">
        <v>39</v>
      </c>
      <c r="I196" t="s">
        <v>28</v>
      </c>
      <c r="J196">
        <v>154476.78</v>
      </c>
      <c r="K196">
        <v>2137.21</v>
      </c>
      <c r="L196">
        <v>384.7</v>
      </c>
      <c r="M196">
        <v>23.67</v>
      </c>
      <c r="N196">
        <v>156975.01999999999</v>
      </c>
      <c r="O196">
        <v>452287.03</v>
      </c>
      <c r="P196">
        <v>637</v>
      </c>
      <c r="Q196" t="s">
        <v>53</v>
      </c>
      <c r="R196" t="s">
        <v>30</v>
      </c>
      <c r="S196" t="s">
        <v>86</v>
      </c>
      <c r="T196" t="s">
        <v>32</v>
      </c>
      <c r="U196" s="3">
        <f t="shared" si="3"/>
        <v>45717</v>
      </c>
    </row>
    <row r="197" spans="1:21" x14ac:dyDescent="0.35">
      <c r="A197" t="s">
        <v>598</v>
      </c>
      <c r="B197" t="s">
        <v>202</v>
      </c>
      <c r="C197" t="s">
        <v>22</v>
      </c>
      <c r="D197" t="s">
        <v>599</v>
      </c>
      <c r="E197" t="s">
        <v>24</v>
      </c>
      <c r="F197" t="s">
        <v>46</v>
      </c>
      <c r="G197" t="s">
        <v>60</v>
      </c>
      <c r="H197" t="s">
        <v>66</v>
      </c>
      <c r="I197" t="s">
        <v>40</v>
      </c>
      <c r="J197">
        <v>15554.15</v>
      </c>
      <c r="K197">
        <v>146.27000000000001</v>
      </c>
      <c r="L197">
        <v>26.33</v>
      </c>
      <c r="M197">
        <v>32.74</v>
      </c>
      <c r="N197">
        <v>15694.01</v>
      </c>
      <c r="O197">
        <v>451592.29</v>
      </c>
      <c r="P197">
        <v>372</v>
      </c>
      <c r="Q197" t="s">
        <v>74</v>
      </c>
      <c r="R197" t="s">
        <v>75</v>
      </c>
      <c r="S197" t="s">
        <v>31</v>
      </c>
      <c r="T197" t="s">
        <v>55</v>
      </c>
      <c r="U197" s="3">
        <f t="shared" si="3"/>
        <v>45809</v>
      </c>
    </row>
    <row r="198" spans="1:21" x14ac:dyDescent="0.35">
      <c r="A198" t="s">
        <v>600</v>
      </c>
      <c r="B198" t="s">
        <v>601</v>
      </c>
      <c r="C198" t="s">
        <v>95</v>
      </c>
      <c r="D198" t="s">
        <v>602</v>
      </c>
      <c r="E198" t="s">
        <v>70</v>
      </c>
      <c r="F198" t="s">
        <v>59</v>
      </c>
      <c r="G198" t="s">
        <v>47</v>
      </c>
      <c r="H198" t="s">
        <v>48</v>
      </c>
      <c r="I198" t="s">
        <v>40</v>
      </c>
      <c r="J198">
        <v>27377.99</v>
      </c>
      <c r="K198">
        <v>136.68</v>
      </c>
      <c r="L198">
        <v>24.6</v>
      </c>
      <c r="M198">
        <v>53.76</v>
      </c>
      <c r="N198">
        <v>27485.51</v>
      </c>
      <c r="O198">
        <v>451511.24</v>
      </c>
      <c r="P198">
        <v>711</v>
      </c>
      <c r="Q198" t="s">
        <v>53</v>
      </c>
      <c r="R198" t="s">
        <v>75</v>
      </c>
      <c r="S198" t="s">
        <v>86</v>
      </c>
      <c r="T198" t="s">
        <v>55</v>
      </c>
      <c r="U198" s="3">
        <f t="shared" si="3"/>
        <v>45748</v>
      </c>
    </row>
    <row r="199" spans="1:21" x14ac:dyDescent="0.35">
      <c r="A199" t="s">
        <v>603</v>
      </c>
      <c r="B199" t="s">
        <v>190</v>
      </c>
      <c r="C199" t="s">
        <v>35</v>
      </c>
      <c r="D199" t="s">
        <v>604</v>
      </c>
      <c r="E199" t="s">
        <v>24</v>
      </c>
      <c r="F199" t="s">
        <v>25</v>
      </c>
      <c r="G199" t="s">
        <v>60</v>
      </c>
      <c r="H199" t="s">
        <v>66</v>
      </c>
      <c r="I199" t="s">
        <v>40</v>
      </c>
      <c r="J199">
        <v>97467.81</v>
      </c>
      <c r="K199">
        <v>1748.81</v>
      </c>
      <c r="L199">
        <v>314.79000000000002</v>
      </c>
      <c r="M199">
        <v>428.28</v>
      </c>
      <c r="N199">
        <v>99103.13</v>
      </c>
      <c r="O199">
        <v>459738.76</v>
      </c>
      <c r="P199">
        <v>322</v>
      </c>
      <c r="Q199" t="s">
        <v>29</v>
      </c>
      <c r="R199" t="s">
        <v>75</v>
      </c>
      <c r="S199" t="s">
        <v>31</v>
      </c>
      <c r="T199" t="s">
        <v>41</v>
      </c>
      <c r="U199" s="3">
        <f t="shared" si="3"/>
        <v>45717</v>
      </c>
    </row>
    <row r="200" spans="1:21" x14ac:dyDescent="0.35">
      <c r="A200" t="s">
        <v>605</v>
      </c>
      <c r="B200" t="s">
        <v>158</v>
      </c>
      <c r="C200" t="s">
        <v>22</v>
      </c>
      <c r="D200" t="s">
        <v>606</v>
      </c>
      <c r="E200" t="s">
        <v>45</v>
      </c>
      <c r="F200" t="s">
        <v>46</v>
      </c>
      <c r="G200" t="s">
        <v>103</v>
      </c>
      <c r="H200" t="s">
        <v>48</v>
      </c>
      <c r="I200" t="s">
        <v>61</v>
      </c>
      <c r="J200">
        <v>33978.58</v>
      </c>
      <c r="K200">
        <v>598.72</v>
      </c>
      <c r="L200">
        <v>107.77</v>
      </c>
      <c r="M200">
        <v>366.56</v>
      </c>
      <c r="N200">
        <v>34318.51</v>
      </c>
      <c r="O200">
        <v>457289.26</v>
      </c>
      <c r="P200">
        <v>449</v>
      </c>
      <c r="Q200" t="s">
        <v>29</v>
      </c>
      <c r="R200" t="s">
        <v>75</v>
      </c>
      <c r="S200" t="s">
        <v>62</v>
      </c>
      <c r="T200" t="s">
        <v>41</v>
      </c>
      <c r="U200" s="3">
        <f t="shared" si="3"/>
        <v>45992</v>
      </c>
    </row>
    <row r="201" spans="1:21" x14ac:dyDescent="0.35">
      <c r="A201" t="s">
        <v>607</v>
      </c>
      <c r="B201" t="s">
        <v>608</v>
      </c>
      <c r="C201" t="s">
        <v>35</v>
      </c>
      <c r="D201" t="s">
        <v>609</v>
      </c>
      <c r="E201" t="s">
        <v>37</v>
      </c>
      <c r="F201" t="s">
        <v>46</v>
      </c>
      <c r="G201" t="s">
        <v>47</v>
      </c>
      <c r="H201" t="s">
        <v>27</v>
      </c>
      <c r="I201" t="s">
        <v>40</v>
      </c>
      <c r="J201">
        <v>112014.72</v>
      </c>
      <c r="K201">
        <v>248.86</v>
      </c>
      <c r="L201">
        <v>44.79</v>
      </c>
      <c r="M201">
        <v>295.05</v>
      </c>
      <c r="N201">
        <v>112013.32</v>
      </c>
      <c r="O201">
        <v>466332.36</v>
      </c>
      <c r="P201">
        <v>534</v>
      </c>
      <c r="Q201" t="s">
        <v>53</v>
      </c>
      <c r="R201" t="s">
        <v>54</v>
      </c>
      <c r="S201" t="s">
        <v>62</v>
      </c>
      <c r="T201" t="s">
        <v>55</v>
      </c>
      <c r="U201" s="3">
        <f t="shared" si="3"/>
        <v>45901</v>
      </c>
    </row>
    <row r="202" spans="1:21" x14ac:dyDescent="0.35">
      <c r="A202" t="s">
        <v>610</v>
      </c>
      <c r="B202" t="s">
        <v>319</v>
      </c>
      <c r="C202" t="s">
        <v>35</v>
      </c>
      <c r="D202" t="s">
        <v>611</v>
      </c>
      <c r="E202" t="s">
        <v>24</v>
      </c>
      <c r="F202" t="s">
        <v>25</v>
      </c>
      <c r="G202" t="s">
        <v>26</v>
      </c>
      <c r="H202" t="s">
        <v>27</v>
      </c>
      <c r="I202" t="s">
        <v>28</v>
      </c>
      <c r="J202">
        <v>76213.429999999993</v>
      </c>
      <c r="K202">
        <v>415.31</v>
      </c>
      <c r="L202">
        <v>74.760000000000005</v>
      </c>
      <c r="M202">
        <v>22.03</v>
      </c>
      <c r="N202">
        <v>76681.47</v>
      </c>
      <c r="O202">
        <v>463637.61</v>
      </c>
      <c r="P202">
        <v>752</v>
      </c>
      <c r="Q202" t="s">
        <v>53</v>
      </c>
      <c r="R202" t="s">
        <v>30</v>
      </c>
      <c r="S202" t="s">
        <v>79</v>
      </c>
      <c r="T202" t="s">
        <v>41</v>
      </c>
      <c r="U202" s="3">
        <f t="shared" si="3"/>
        <v>45931</v>
      </c>
    </row>
    <row r="203" spans="1:21" x14ac:dyDescent="0.35">
      <c r="A203" t="s">
        <v>612</v>
      </c>
      <c r="B203" t="s">
        <v>613</v>
      </c>
      <c r="C203" t="s">
        <v>35</v>
      </c>
      <c r="D203" t="s">
        <v>614</v>
      </c>
      <c r="E203" t="s">
        <v>70</v>
      </c>
      <c r="F203" t="s">
        <v>59</v>
      </c>
      <c r="G203" t="s">
        <v>60</v>
      </c>
      <c r="H203" t="s">
        <v>27</v>
      </c>
      <c r="I203" t="s">
        <v>40</v>
      </c>
      <c r="J203">
        <v>76295.240000000005</v>
      </c>
      <c r="K203">
        <v>785.86</v>
      </c>
      <c r="L203">
        <v>141.44999999999999</v>
      </c>
      <c r="M203">
        <v>340.59</v>
      </c>
      <c r="N203">
        <v>76881.960000000006</v>
      </c>
      <c r="O203">
        <v>470158.54</v>
      </c>
      <c r="P203">
        <v>455</v>
      </c>
      <c r="Q203" t="s">
        <v>74</v>
      </c>
      <c r="R203" t="s">
        <v>30</v>
      </c>
      <c r="S203" t="s">
        <v>31</v>
      </c>
      <c r="T203" t="s">
        <v>55</v>
      </c>
      <c r="U203" s="3">
        <f t="shared" si="3"/>
        <v>45870</v>
      </c>
    </row>
    <row r="204" spans="1:21" x14ac:dyDescent="0.35">
      <c r="A204" t="s">
        <v>615</v>
      </c>
      <c r="B204" t="s">
        <v>294</v>
      </c>
      <c r="C204" t="s">
        <v>22</v>
      </c>
      <c r="D204" t="s">
        <v>616</v>
      </c>
      <c r="E204" t="s">
        <v>45</v>
      </c>
      <c r="F204" t="s">
        <v>25</v>
      </c>
      <c r="G204" t="s">
        <v>103</v>
      </c>
      <c r="H204" t="s">
        <v>48</v>
      </c>
      <c r="I204" t="s">
        <v>61</v>
      </c>
      <c r="J204">
        <v>171891.88</v>
      </c>
      <c r="K204">
        <v>885.83</v>
      </c>
      <c r="L204">
        <v>159.44999999999999</v>
      </c>
      <c r="M204">
        <v>132.65</v>
      </c>
      <c r="N204">
        <v>172804.51</v>
      </c>
      <c r="O204">
        <v>468453.32</v>
      </c>
      <c r="P204">
        <v>363</v>
      </c>
      <c r="Q204" t="s">
        <v>53</v>
      </c>
      <c r="R204" t="s">
        <v>75</v>
      </c>
      <c r="S204" t="s">
        <v>86</v>
      </c>
      <c r="T204" t="s">
        <v>55</v>
      </c>
      <c r="U204" s="3">
        <f t="shared" si="3"/>
        <v>45870</v>
      </c>
    </row>
    <row r="205" spans="1:21" x14ac:dyDescent="0.35">
      <c r="A205" t="s">
        <v>617</v>
      </c>
      <c r="B205" t="s">
        <v>618</v>
      </c>
      <c r="C205" t="s">
        <v>22</v>
      </c>
      <c r="D205" t="s">
        <v>619</v>
      </c>
      <c r="E205" t="s">
        <v>70</v>
      </c>
      <c r="F205" t="s">
        <v>25</v>
      </c>
      <c r="G205" t="s">
        <v>60</v>
      </c>
      <c r="H205" t="s">
        <v>48</v>
      </c>
      <c r="I205" t="s">
        <v>28</v>
      </c>
      <c r="J205">
        <v>16177.71</v>
      </c>
      <c r="K205">
        <v>297.32</v>
      </c>
      <c r="L205">
        <v>53.52</v>
      </c>
      <c r="M205">
        <v>225.41</v>
      </c>
      <c r="N205">
        <v>16303.14</v>
      </c>
      <c r="O205">
        <v>467113.45</v>
      </c>
      <c r="P205">
        <v>895</v>
      </c>
      <c r="Q205" t="s">
        <v>29</v>
      </c>
      <c r="R205" t="s">
        <v>54</v>
      </c>
      <c r="S205" t="s">
        <v>86</v>
      </c>
      <c r="T205" t="s">
        <v>41</v>
      </c>
      <c r="U205" s="3">
        <f t="shared" si="3"/>
        <v>45748</v>
      </c>
    </row>
    <row r="206" spans="1:21" x14ac:dyDescent="0.35">
      <c r="A206" t="s">
        <v>620</v>
      </c>
      <c r="B206" t="s">
        <v>279</v>
      </c>
      <c r="C206" t="s">
        <v>95</v>
      </c>
      <c r="D206" t="s">
        <v>621</v>
      </c>
      <c r="E206" t="s">
        <v>24</v>
      </c>
      <c r="F206" t="s">
        <v>25</v>
      </c>
      <c r="G206" t="s">
        <v>47</v>
      </c>
      <c r="H206" t="s">
        <v>39</v>
      </c>
      <c r="I206" t="s">
        <v>28</v>
      </c>
      <c r="J206">
        <v>18615.560000000001</v>
      </c>
      <c r="K206">
        <v>154.99</v>
      </c>
      <c r="L206">
        <v>27.9</v>
      </c>
      <c r="M206">
        <v>483.91</v>
      </c>
      <c r="N206">
        <v>18314.54</v>
      </c>
      <c r="O206">
        <v>468392.05</v>
      </c>
      <c r="P206">
        <v>300</v>
      </c>
      <c r="Q206" t="s">
        <v>29</v>
      </c>
      <c r="R206" t="s">
        <v>30</v>
      </c>
      <c r="S206" t="s">
        <v>62</v>
      </c>
      <c r="T206" t="s">
        <v>32</v>
      </c>
      <c r="U206" s="3">
        <f t="shared" si="3"/>
        <v>45870</v>
      </c>
    </row>
    <row r="207" spans="1:21" x14ac:dyDescent="0.35">
      <c r="A207" t="s">
        <v>622</v>
      </c>
      <c r="B207" t="s">
        <v>231</v>
      </c>
      <c r="C207" t="s">
        <v>35</v>
      </c>
      <c r="D207" t="s">
        <v>623</v>
      </c>
      <c r="E207" t="s">
        <v>70</v>
      </c>
      <c r="F207" t="s">
        <v>46</v>
      </c>
      <c r="G207" t="s">
        <v>26</v>
      </c>
      <c r="H207" t="s">
        <v>39</v>
      </c>
      <c r="I207" t="s">
        <v>61</v>
      </c>
      <c r="J207">
        <v>57301.279999999999</v>
      </c>
      <c r="K207">
        <v>159.41</v>
      </c>
      <c r="L207">
        <v>28.69</v>
      </c>
      <c r="M207">
        <v>276.63</v>
      </c>
      <c r="N207">
        <v>57212.75</v>
      </c>
      <c r="O207">
        <v>476146.15</v>
      </c>
      <c r="P207">
        <v>856</v>
      </c>
      <c r="Q207" t="s">
        <v>53</v>
      </c>
      <c r="R207" t="s">
        <v>30</v>
      </c>
      <c r="S207" t="s">
        <v>31</v>
      </c>
      <c r="T207" t="s">
        <v>32</v>
      </c>
      <c r="U207" s="3">
        <f t="shared" si="3"/>
        <v>45658</v>
      </c>
    </row>
    <row r="208" spans="1:21" x14ac:dyDescent="0.35">
      <c r="A208" t="s">
        <v>624</v>
      </c>
      <c r="B208" t="s">
        <v>294</v>
      </c>
      <c r="C208" t="s">
        <v>95</v>
      </c>
      <c r="D208" t="s">
        <v>625</v>
      </c>
      <c r="E208" t="s">
        <v>45</v>
      </c>
      <c r="F208" t="s">
        <v>38</v>
      </c>
      <c r="G208" t="s">
        <v>47</v>
      </c>
      <c r="H208" t="s">
        <v>66</v>
      </c>
      <c r="I208" t="s">
        <v>40</v>
      </c>
      <c r="J208">
        <v>117182</v>
      </c>
      <c r="K208">
        <v>1834.03</v>
      </c>
      <c r="L208">
        <v>330.13</v>
      </c>
      <c r="M208">
        <v>150.36000000000001</v>
      </c>
      <c r="N208">
        <v>119195.8</v>
      </c>
      <c r="O208">
        <v>475432.62</v>
      </c>
      <c r="P208">
        <v>542</v>
      </c>
      <c r="Q208" t="s">
        <v>74</v>
      </c>
      <c r="R208" t="s">
        <v>75</v>
      </c>
      <c r="S208" t="s">
        <v>79</v>
      </c>
      <c r="T208" t="s">
        <v>55</v>
      </c>
      <c r="U208" s="3">
        <f t="shared" si="3"/>
        <v>45870</v>
      </c>
    </row>
    <row r="209" spans="1:21" x14ac:dyDescent="0.35">
      <c r="A209" t="s">
        <v>626</v>
      </c>
      <c r="B209" t="s">
        <v>627</v>
      </c>
      <c r="C209" t="s">
        <v>35</v>
      </c>
      <c r="D209" t="s">
        <v>628</v>
      </c>
      <c r="E209" t="s">
        <v>70</v>
      </c>
      <c r="F209" t="s">
        <v>25</v>
      </c>
      <c r="G209" t="s">
        <v>103</v>
      </c>
      <c r="H209" t="s">
        <v>48</v>
      </c>
      <c r="I209" t="s">
        <v>61</v>
      </c>
      <c r="J209">
        <v>55020.46</v>
      </c>
      <c r="K209">
        <v>560.42999999999995</v>
      </c>
      <c r="L209">
        <v>100.88</v>
      </c>
      <c r="M209">
        <v>409.81</v>
      </c>
      <c r="N209">
        <v>55271.96</v>
      </c>
      <c r="O209">
        <v>482171.89</v>
      </c>
      <c r="P209">
        <v>538</v>
      </c>
      <c r="Q209" t="s">
        <v>74</v>
      </c>
      <c r="R209" t="s">
        <v>30</v>
      </c>
      <c r="S209" t="s">
        <v>31</v>
      </c>
      <c r="T209" t="s">
        <v>55</v>
      </c>
      <c r="U209" s="3">
        <f t="shared" si="3"/>
        <v>45658</v>
      </c>
    </row>
    <row r="210" spans="1:21" x14ac:dyDescent="0.35">
      <c r="A210" t="s">
        <v>629</v>
      </c>
      <c r="B210" t="s">
        <v>630</v>
      </c>
      <c r="C210" t="s">
        <v>22</v>
      </c>
      <c r="D210" t="s">
        <v>631</v>
      </c>
      <c r="E210" t="s">
        <v>70</v>
      </c>
      <c r="F210" t="s">
        <v>25</v>
      </c>
      <c r="G210" t="s">
        <v>60</v>
      </c>
      <c r="H210" t="s">
        <v>52</v>
      </c>
      <c r="I210" t="s">
        <v>40</v>
      </c>
      <c r="J210">
        <v>186688.91</v>
      </c>
      <c r="K210">
        <v>3720.58</v>
      </c>
      <c r="L210">
        <v>669.7</v>
      </c>
      <c r="M210">
        <v>412.29</v>
      </c>
      <c r="N210">
        <v>190666.9</v>
      </c>
      <c r="O210">
        <v>491503.3</v>
      </c>
      <c r="P210">
        <v>534</v>
      </c>
      <c r="Q210" t="s">
        <v>74</v>
      </c>
      <c r="R210" t="s">
        <v>75</v>
      </c>
      <c r="S210" t="s">
        <v>31</v>
      </c>
      <c r="T210" t="s">
        <v>41</v>
      </c>
      <c r="U210" s="3">
        <f t="shared" si="3"/>
        <v>45992</v>
      </c>
    </row>
    <row r="211" spans="1:21" x14ac:dyDescent="0.35">
      <c r="A211" t="s">
        <v>632</v>
      </c>
      <c r="B211" t="s">
        <v>94</v>
      </c>
      <c r="C211" t="s">
        <v>35</v>
      </c>
      <c r="D211" t="s">
        <v>633</v>
      </c>
      <c r="E211" t="s">
        <v>70</v>
      </c>
      <c r="F211" t="s">
        <v>38</v>
      </c>
      <c r="G211" t="s">
        <v>60</v>
      </c>
      <c r="H211" t="s">
        <v>66</v>
      </c>
      <c r="I211" t="s">
        <v>61</v>
      </c>
      <c r="J211">
        <v>131460.59</v>
      </c>
      <c r="K211">
        <v>1024.0899999999999</v>
      </c>
      <c r="L211">
        <v>184.34</v>
      </c>
      <c r="M211">
        <v>404.05</v>
      </c>
      <c r="N211">
        <v>132264.97</v>
      </c>
      <c r="O211">
        <v>489387.05</v>
      </c>
      <c r="P211">
        <v>326</v>
      </c>
      <c r="Q211" t="s">
        <v>53</v>
      </c>
      <c r="R211" t="s">
        <v>30</v>
      </c>
      <c r="S211" t="s">
        <v>79</v>
      </c>
      <c r="T211" t="s">
        <v>41</v>
      </c>
      <c r="U211" s="3">
        <f t="shared" si="3"/>
        <v>45839</v>
      </c>
    </row>
    <row r="212" spans="1:21" x14ac:dyDescent="0.35">
      <c r="A212" t="s">
        <v>634</v>
      </c>
      <c r="B212" t="s">
        <v>635</v>
      </c>
      <c r="C212" t="s">
        <v>95</v>
      </c>
      <c r="D212" t="s">
        <v>636</v>
      </c>
      <c r="E212" t="s">
        <v>70</v>
      </c>
      <c r="F212" t="s">
        <v>59</v>
      </c>
      <c r="G212" t="s">
        <v>26</v>
      </c>
      <c r="H212" t="s">
        <v>52</v>
      </c>
      <c r="I212" t="s">
        <v>61</v>
      </c>
      <c r="J212">
        <v>162800.49</v>
      </c>
      <c r="K212">
        <v>2516.1</v>
      </c>
      <c r="L212">
        <v>452.9</v>
      </c>
      <c r="M212">
        <v>254.31</v>
      </c>
      <c r="N212">
        <v>165515.18</v>
      </c>
      <c r="O212">
        <v>488191.34</v>
      </c>
      <c r="P212">
        <v>772</v>
      </c>
      <c r="Q212" t="s">
        <v>29</v>
      </c>
      <c r="R212" t="s">
        <v>54</v>
      </c>
      <c r="S212" t="s">
        <v>86</v>
      </c>
      <c r="T212" t="s">
        <v>55</v>
      </c>
      <c r="U212" s="3">
        <f t="shared" si="3"/>
        <v>45748</v>
      </c>
    </row>
    <row r="213" spans="1:21" x14ac:dyDescent="0.35">
      <c r="A213" t="s">
        <v>637</v>
      </c>
      <c r="B213" t="s">
        <v>638</v>
      </c>
      <c r="C213" t="s">
        <v>35</v>
      </c>
      <c r="D213" t="s">
        <v>639</v>
      </c>
      <c r="E213" t="s">
        <v>24</v>
      </c>
      <c r="F213" t="s">
        <v>46</v>
      </c>
      <c r="G213" t="s">
        <v>47</v>
      </c>
      <c r="H213" t="s">
        <v>48</v>
      </c>
      <c r="I213" t="s">
        <v>40</v>
      </c>
      <c r="J213">
        <v>77091.63</v>
      </c>
      <c r="K213">
        <v>637.87</v>
      </c>
      <c r="L213">
        <v>114.82</v>
      </c>
      <c r="M213">
        <v>234.08</v>
      </c>
      <c r="N213">
        <v>77610.240000000005</v>
      </c>
      <c r="O213">
        <v>485048.02</v>
      </c>
      <c r="P213">
        <v>884</v>
      </c>
      <c r="Q213" t="s">
        <v>29</v>
      </c>
      <c r="R213" t="s">
        <v>54</v>
      </c>
      <c r="S213" t="s">
        <v>79</v>
      </c>
      <c r="T213" t="s">
        <v>41</v>
      </c>
      <c r="U213" s="3">
        <f t="shared" si="3"/>
        <v>45778</v>
      </c>
    </row>
    <row r="214" spans="1:21" x14ac:dyDescent="0.35">
      <c r="A214" t="s">
        <v>640</v>
      </c>
      <c r="B214" t="s">
        <v>641</v>
      </c>
      <c r="C214" t="s">
        <v>35</v>
      </c>
      <c r="D214" t="s">
        <v>642</v>
      </c>
      <c r="E214" t="s">
        <v>70</v>
      </c>
      <c r="F214" t="s">
        <v>25</v>
      </c>
      <c r="G214" t="s">
        <v>60</v>
      </c>
      <c r="H214" t="s">
        <v>27</v>
      </c>
      <c r="I214" t="s">
        <v>61</v>
      </c>
      <c r="J214">
        <v>186453.21</v>
      </c>
      <c r="K214">
        <v>626.04999999999995</v>
      </c>
      <c r="L214">
        <v>112.69</v>
      </c>
      <c r="M214">
        <v>476.16</v>
      </c>
      <c r="N214">
        <v>186715.79</v>
      </c>
      <c r="O214">
        <v>490548.74</v>
      </c>
      <c r="P214">
        <v>497</v>
      </c>
      <c r="Q214" t="s">
        <v>74</v>
      </c>
      <c r="R214" t="s">
        <v>75</v>
      </c>
      <c r="S214" t="s">
        <v>31</v>
      </c>
      <c r="T214" t="s">
        <v>32</v>
      </c>
      <c r="U214" s="3">
        <f t="shared" si="3"/>
        <v>45931</v>
      </c>
    </row>
    <row r="215" spans="1:21" x14ac:dyDescent="0.35">
      <c r="A215" t="s">
        <v>643</v>
      </c>
      <c r="B215" t="s">
        <v>630</v>
      </c>
      <c r="C215" t="s">
        <v>95</v>
      </c>
      <c r="D215" t="s">
        <v>644</v>
      </c>
      <c r="E215" t="s">
        <v>37</v>
      </c>
      <c r="F215" t="s">
        <v>59</v>
      </c>
      <c r="G215" t="s">
        <v>26</v>
      </c>
      <c r="H215" t="s">
        <v>27</v>
      </c>
      <c r="I215" t="s">
        <v>40</v>
      </c>
      <c r="J215">
        <v>171705.87</v>
      </c>
      <c r="K215">
        <v>1604.74</v>
      </c>
      <c r="L215">
        <v>288.85000000000002</v>
      </c>
      <c r="M215">
        <v>325.14999999999998</v>
      </c>
      <c r="N215">
        <v>173274.31</v>
      </c>
      <c r="O215">
        <v>490780.06</v>
      </c>
      <c r="P215">
        <v>853</v>
      </c>
      <c r="Q215" t="s">
        <v>74</v>
      </c>
      <c r="R215" t="s">
        <v>54</v>
      </c>
      <c r="S215" t="s">
        <v>79</v>
      </c>
      <c r="T215" t="s">
        <v>55</v>
      </c>
      <c r="U215" s="3">
        <f t="shared" si="3"/>
        <v>45992</v>
      </c>
    </row>
    <row r="216" spans="1:21" x14ac:dyDescent="0.35">
      <c r="A216" t="s">
        <v>645</v>
      </c>
      <c r="B216" t="s">
        <v>107</v>
      </c>
      <c r="C216" t="s">
        <v>95</v>
      </c>
      <c r="D216" t="s">
        <v>646</v>
      </c>
      <c r="E216" t="s">
        <v>24</v>
      </c>
      <c r="F216" t="s">
        <v>25</v>
      </c>
      <c r="G216" t="s">
        <v>26</v>
      </c>
      <c r="H216" t="s">
        <v>66</v>
      </c>
      <c r="I216" t="s">
        <v>61</v>
      </c>
      <c r="J216">
        <v>67810.97</v>
      </c>
      <c r="K216">
        <v>278.85000000000002</v>
      </c>
      <c r="L216">
        <v>50.19</v>
      </c>
      <c r="M216">
        <v>407.78</v>
      </c>
      <c r="N216">
        <v>67732.23</v>
      </c>
      <c r="O216">
        <v>499339.74</v>
      </c>
      <c r="P216">
        <v>721</v>
      </c>
      <c r="Q216" t="s">
        <v>53</v>
      </c>
      <c r="R216" t="s">
        <v>30</v>
      </c>
      <c r="S216" t="s">
        <v>79</v>
      </c>
      <c r="T216" t="s">
        <v>32</v>
      </c>
      <c r="U216" s="3">
        <f t="shared" si="3"/>
        <v>45870</v>
      </c>
    </row>
    <row r="217" spans="1:21" x14ac:dyDescent="0.35">
      <c r="A217" t="s">
        <v>647</v>
      </c>
      <c r="B217" t="s">
        <v>208</v>
      </c>
      <c r="C217" t="s">
        <v>95</v>
      </c>
      <c r="D217" t="s">
        <v>648</v>
      </c>
      <c r="E217" t="s">
        <v>70</v>
      </c>
      <c r="F217" t="s">
        <v>25</v>
      </c>
      <c r="G217" t="s">
        <v>47</v>
      </c>
      <c r="H217" t="s">
        <v>48</v>
      </c>
      <c r="I217" t="s">
        <v>40</v>
      </c>
      <c r="J217">
        <v>9473.4699999999993</v>
      </c>
      <c r="K217">
        <v>116.22</v>
      </c>
      <c r="L217">
        <v>20.92</v>
      </c>
      <c r="M217">
        <v>467.5</v>
      </c>
      <c r="N217">
        <v>9143.11</v>
      </c>
      <c r="O217">
        <v>506498.88</v>
      </c>
      <c r="P217">
        <v>631</v>
      </c>
      <c r="Q217" t="s">
        <v>29</v>
      </c>
      <c r="R217" t="s">
        <v>30</v>
      </c>
      <c r="S217" t="s">
        <v>62</v>
      </c>
      <c r="T217" t="s">
        <v>41</v>
      </c>
      <c r="U217" s="3">
        <f t="shared" si="3"/>
        <v>45931</v>
      </c>
    </row>
    <row r="218" spans="1:21" x14ac:dyDescent="0.35">
      <c r="A218" t="s">
        <v>649</v>
      </c>
      <c r="B218" t="s">
        <v>650</v>
      </c>
      <c r="C218" t="s">
        <v>35</v>
      </c>
      <c r="D218" t="s">
        <v>651</v>
      </c>
      <c r="E218" t="s">
        <v>37</v>
      </c>
      <c r="F218" t="s">
        <v>59</v>
      </c>
      <c r="G218" t="s">
        <v>47</v>
      </c>
      <c r="H218" t="s">
        <v>48</v>
      </c>
      <c r="I218" t="s">
        <v>28</v>
      </c>
      <c r="J218">
        <v>56469.37</v>
      </c>
      <c r="K218">
        <v>375.27</v>
      </c>
      <c r="L218">
        <v>67.55</v>
      </c>
      <c r="M218">
        <v>477.71</v>
      </c>
      <c r="N218">
        <v>56434.48</v>
      </c>
      <c r="O218">
        <v>511205.21</v>
      </c>
      <c r="P218">
        <v>865</v>
      </c>
      <c r="Q218" t="s">
        <v>74</v>
      </c>
      <c r="R218" t="s">
        <v>54</v>
      </c>
      <c r="S218" t="s">
        <v>79</v>
      </c>
      <c r="T218" t="s">
        <v>41</v>
      </c>
      <c r="U218" s="3">
        <f t="shared" si="3"/>
        <v>45809</v>
      </c>
    </row>
    <row r="219" spans="1:21" x14ac:dyDescent="0.35">
      <c r="A219" t="s">
        <v>652</v>
      </c>
      <c r="B219" t="s">
        <v>81</v>
      </c>
      <c r="C219" t="s">
        <v>95</v>
      </c>
      <c r="D219" t="s">
        <v>653</v>
      </c>
      <c r="E219" t="s">
        <v>24</v>
      </c>
      <c r="F219" t="s">
        <v>25</v>
      </c>
      <c r="G219" t="s">
        <v>60</v>
      </c>
      <c r="H219" t="s">
        <v>48</v>
      </c>
      <c r="I219" t="s">
        <v>40</v>
      </c>
      <c r="J219">
        <v>129164.59</v>
      </c>
      <c r="K219">
        <v>163.63</v>
      </c>
      <c r="L219">
        <v>29.45</v>
      </c>
      <c r="M219">
        <v>322.48</v>
      </c>
      <c r="N219">
        <v>129035.19</v>
      </c>
      <c r="O219">
        <v>518702.63</v>
      </c>
      <c r="P219">
        <v>610</v>
      </c>
      <c r="Q219" t="s">
        <v>29</v>
      </c>
      <c r="R219" t="s">
        <v>54</v>
      </c>
      <c r="S219" t="s">
        <v>62</v>
      </c>
      <c r="T219" t="s">
        <v>41</v>
      </c>
      <c r="U219" s="3">
        <f t="shared" si="3"/>
        <v>45931</v>
      </c>
    </row>
    <row r="220" spans="1:21" x14ac:dyDescent="0.35">
      <c r="A220" t="s">
        <v>654</v>
      </c>
      <c r="B220" t="s">
        <v>425</v>
      </c>
      <c r="C220" t="s">
        <v>35</v>
      </c>
      <c r="D220" t="s">
        <v>655</v>
      </c>
      <c r="E220" t="s">
        <v>45</v>
      </c>
      <c r="F220" t="s">
        <v>38</v>
      </c>
      <c r="G220" t="s">
        <v>60</v>
      </c>
      <c r="H220" t="s">
        <v>27</v>
      </c>
      <c r="I220" t="s">
        <v>61</v>
      </c>
      <c r="J220">
        <v>15660.82</v>
      </c>
      <c r="K220">
        <v>127.31</v>
      </c>
      <c r="L220">
        <v>22.92</v>
      </c>
      <c r="M220">
        <v>357.92</v>
      </c>
      <c r="N220">
        <v>15453.13</v>
      </c>
      <c r="O220">
        <v>523435.58</v>
      </c>
      <c r="P220">
        <v>429</v>
      </c>
      <c r="Q220" t="s">
        <v>53</v>
      </c>
      <c r="R220" t="s">
        <v>75</v>
      </c>
      <c r="S220" t="s">
        <v>62</v>
      </c>
      <c r="T220" t="s">
        <v>41</v>
      </c>
      <c r="U220" s="3">
        <f t="shared" si="3"/>
        <v>45778</v>
      </c>
    </row>
    <row r="221" spans="1:21" x14ac:dyDescent="0.35">
      <c r="A221" t="s">
        <v>656</v>
      </c>
      <c r="B221" t="s">
        <v>657</v>
      </c>
      <c r="C221" t="s">
        <v>95</v>
      </c>
      <c r="D221" t="s">
        <v>658</v>
      </c>
      <c r="E221" t="s">
        <v>37</v>
      </c>
      <c r="F221" t="s">
        <v>59</v>
      </c>
      <c r="G221" t="s">
        <v>103</v>
      </c>
      <c r="H221" t="s">
        <v>48</v>
      </c>
      <c r="I221" t="s">
        <v>28</v>
      </c>
      <c r="J221">
        <v>162330.94</v>
      </c>
      <c r="K221">
        <v>165.92</v>
      </c>
      <c r="L221">
        <v>29.87</v>
      </c>
      <c r="M221">
        <v>421.89</v>
      </c>
      <c r="N221">
        <v>162104.84</v>
      </c>
      <c r="O221">
        <v>519453.37</v>
      </c>
      <c r="P221">
        <v>882</v>
      </c>
      <c r="Q221" t="s">
        <v>29</v>
      </c>
      <c r="R221" t="s">
        <v>54</v>
      </c>
      <c r="S221" t="s">
        <v>86</v>
      </c>
      <c r="T221" t="s">
        <v>55</v>
      </c>
      <c r="U221" s="3">
        <f t="shared" si="3"/>
        <v>45778</v>
      </c>
    </row>
    <row r="222" spans="1:21" x14ac:dyDescent="0.35">
      <c r="A222" t="s">
        <v>659</v>
      </c>
      <c r="B222" t="s">
        <v>660</v>
      </c>
      <c r="C222" t="s">
        <v>22</v>
      </c>
      <c r="D222" t="s">
        <v>51</v>
      </c>
      <c r="E222" t="s">
        <v>24</v>
      </c>
      <c r="F222" t="s">
        <v>25</v>
      </c>
      <c r="G222" t="s">
        <v>60</v>
      </c>
      <c r="H222" t="s">
        <v>66</v>
      </c>
      <c r="I222" t="s">
        <v>40</v>
      </c>
      <c r="J222">
        <v>13166.43</v>
      </c>
      <c r="K222">
        <v>172.25</v>
      </c>
      <c r="L222">
        <v>31</v>
      </c>
      <c r="M222">
        <v>393.9</v>
      </c>
      <c r="N222">
        <v>12975.78</v>
      </c>
      <c r="O222">
        <v>527934.64</v>
      </c>
      <c r="P222">
        <v>348</v>
      </c>
      <c r="Q222" t="s">
        <v>74</v>
      </c>
      <c r="R222" t="s">
        <v>30</v>
      </c>
      <c r="S222" t="s">
        <v>79</v>
      </c>
      <c r="T222" t="s">
        <v>55</v>
      </c>
      <c r="U222" s="3">
        <f t="shared" si="3"/>
        <v>45992</v>
      </c>
    </row>
    <row r="223" spans="1:21" x14ac:dyDescent="0.35">
      <c r="A223" t="s">
        <v>661</v>
      </c>
      <c r="B223" t="s">
        <v>662</v>
      </c>
      <c r="C223" t="s">
        <v>22</v>
      </c>
      <c r="D223" t="s">
        <v>663</v>
      </c>
      <c r="E223" t="s">
        <v>45</v>
      </c>
      <c r="F223" t="s">
        <v>46</v>
      </c>
      <c r="G223" t="s">
        <v>26</v>
      </c>
      <c r="H223" t="s">
        <v>39</v>
      </c>
      <c r="I223" t="s">
        <v>28</v>
      </c>
      <c r="J223">
        <v>104251.5</v>
      </c>
      <c r="K223">
        <v>614.97</v>
      </c>
      <c r="L223">
        <v>110.69</v>
      </c>
      <c r="M223">
        <v>388.03</v>
      </c>
      <c r="N223">
        <v>104589.13</v>
      </c>
      <c r="O223">
        <v>525304.86</v>
      </c>
      <c r="P223">
        <v>572</v>
      </c>
      <c r="Q223" t="s">
        <v>29</v>
      </c>
      <c r="R223" t="s">
        <v>54</v>
      </c>
      <c r="S223" t="s">
        <v>62</v>
      </c>
      <c r="T223" t="s">
        <v>32</v>
      </c>
      <c r="U223" s="3">
        <f t="shared" si="3"/>
        <v>45870</v>
      </c>
    </row>
    <row r="224" spans="1:21" x14ac:dyDescent="0.35">
      <c r="A224" t="s">
        <v>664</v>
      </c>
      <c r="B224" t="s">
        <v>579</v>
      </c>
      <c r="C224" t="s">
        <v>95</v>
      </c>
      <c r="D224" t="s">
        <v>665</v>
      </c>
      <c r="E224" t="s">
        <v>37</v>
      </c>
      <c r="F224" t="s">
        <v>38</v>
      </c>
      <c r="G224" t="s">
        <v>103</v>
      </c>
      <c r="H224" t="s">
        <v>66</v>
      </c>
      <c r="I224" t="s">
        <v>28</v>
      </c>
      <c r="J224">
        <v>37712.410000000003</v>
      </c>
      <c r="K224">
        <v>510.58</v>
      </c>
      <c r="L224">
        <v>91.9</v>
      </c>
      <c r="M224">
        <v>51.58</v>
      </c>
      <c r="N224">
        <v>38263.31</v>
      </c>
      <c r="O224">
        <v>524388.12</v>
      </c>
      <c r="P224">
        <v>356</v>
      </c>
      <c r="Q224" t="s">
        <v>74</v>
      </c>
      <c r="R224" t="s">
        <v>75</v>
      </c>
      <c r="S224" t="s">
        <v>31</v>
      </c>
      <c r="T224" t="s">
        <v>32</v>
      </c>
      <c r="U224" s="3">
        <f t="shared" si="3"/>
        <v>45658</v>
      </c>
    </row>
    <row r="225" spans="1:21" x14ac:dyDescent="0.35">
      <c r="A225" t="s">
        <v>666</v>
      </c>
      <c r="B225" t="s">
        <v>667</v>
      </c>
      <c r="C225" t="s">
        <v>22</v>
      </c>
      <c r="D225" t="s">
        <v>668</v>
      </c>
      <c r="E225" t="s">
        <v>24</v>
      </c>
      <c r="F225" t="s">
        <v>46</v>
      </c>
      <c r="G225" t="s">
        <v>47</v>
      </c>
      <c r="H225" t="s">
        <v>48</v>
      </c>
      <c r="I225" t="s">
        <v>61</v>
      </c>
      <c r="J225">
        <v>127402.45</v>
      </c>
      <c r="K225">
        <v>2338.2199999999998</v>
      </c>
      <c r="L225">
        <v>420.88</v>
      </c>
      <c r="M225">
        <v>105.83</v>
      </c>
      <c r="N225">
        <v>130055.72</v>
      </c>
      <c r="O225">
        <v>525291.9</v>
      </c>
      <c r="P225">
        <v>816</v>
      </c>
      <c r="Q225" t="s">
        <v>53</v>
      </c>
      <c r="R225" t="s">
        <v>75</v>
      </c>
      <c r="S225" t="s">
        <v>86</v>
      </c>
      <c r="T225" t="s">
        <v>41</v>
      </c>
      <c r="U225" s="3">
        <f t="shared" si="3"/>
        <v>45717</v>
      </c>
    </row>
    <row r="226" spans="1:21" x14ac:dyDescent="0.35">
      <c r="A226" t="s">
        <v>669</v>
      </c>
      <c r="B226" t="s">
        <v>276</v>
      </c>
      <c r="C226" t="s">
        <v>35</v>
      </c>
      <c r="D226" t="s">
        <v>670</v>
      </c>
      <c r="E226" t="s">
        <v>70</v>
      </c>
      <c r="F226" t="s">
        <v>46</v>
      </c>
      <c r="G226" t="s">
        <v>60</v>
      </c>
      <c r="H226" t="s">
        <v>48</v>
      </c>
      <c r="I226" t="s">
        <v>61</v>
      </c>
      <c r="J226">
        <v>80472.84</v>
      </c>
      <c r="K226">
        <v>1574.64</v>
      </c>
      <c r="L226">
        <v>283.44</v>
      </c>
      <c r="M226">
        <v>472.23</v>
      </c>
      <c r="N226">
        <v>81858.69</v>
      </c>
      <c r="O226">
        <v>521379.48</v>
      </c>
      <c r="P226">
        <v>423</v>
      </c>
      <c r="Q226" t="s">
        <v>53</v>
      </c>
      <c r="R226" t="s">
        <v>75</v>
      </c>
      <c r="S226" t="s">
        <v>31</v>
      </c>
      <c r="T226" t="s">
        <v>41</v>
      </c>
      <c r="U226" s="3">
        <f t="shared" si="3"/>
        <v>45870</v>
      </c>
    </row>
    <row r="227" spans="1:21" x14ac:dyDescent="0.35">
      <c r="A227" t="s">
        <v>671</v>
      </c>
      <c r="B227" t="s">
        <v>518</v>
      </c>
      <c r="C227" t="s">
        <v>22</v>
      </c>
      <c r="D227" t="s">
        <v>672</v>
      </c>
      <c r="E227" t="s">
        <v>24</v>
      </c>
      <c r="F227" t="s">
        <v>38</v>
      </c>
      <c r="G227" t="s">
        <v>26</v>
      </c>
      <c r="H227" t="s">
        <v>39</v>
      </c>
      <c r="I227" t="s">
        <v>61</v>
      </c>
      <c r="J227">
        <v>36272.31</v>
      </c>
      <c r="K227">
        <v>686.37</v>
      </c>
      <c r="L227">
        <v>123.55</v>
      </c>
      <c r="M227">
        <v>23.09</v>
      </c>
      <c r="N227">
        <v>37059.14</v>
      </c>
      <c r="O227">
        <v>520064.64</v>
      </c>
      <c r="P227">
        <v>634</v>
      </c>
      <c r="Q227" t="s">
        <v>53</v>
      </c>
      <c r="R227" t="s">
        <v>75</v>
      </c>
      <c r="S227" t="s">
        <v>86</v>
      </c>
      <c r="T227" t="s">
        <v>55</v>
      </c>
      <c r="U227" s="3">
        <f t="shared" si="3"/>
        <v>45839</v>
      </c>
    </row>
    <row r="228" spans="1:21" x14ac:dyDescent="0.35">
      <c r="A228" t="s">
        <v>673</v>
      </c>
      <c r="B228" t="s">
        <v>674</v>
      </c>
      <c r="C228" t="s">
        <v>95</v>
      </c>
      <c r="D228" t="s">
        <v>675</v>
      </c>
      <c r="E228" t="s">
        <v>70</v>
      </c>
      <c r="F228" t="s">
        <v>46</v>
      </c>
      <c r="G228" t="s">
        <v>26</v>
      </c>
      <c r="H228" t="s">
        <v>39</v>
      </c>
      <c r="I228" t="s">
        <v>40</v>
      </c>
      <c r="J228">
        <v>20545.78</v>
      </c>
      <c r="K228">
        <v>365.62</v>
      </c>
      <c r="L228">
        <v>65.81</v>
      </c>
      <c r="M228">
        <v>389.35</v>
      </c>
      <c r="N228">
        <v>20587.86</v>
      </c>
      <c r="O228">
        <v>523818.62</v>
      </c>
      <c r="P228">
        <v>382</v>
      </c>
      <c r="Q228" t="s">
        <v>53</v>
      </c>
      <c r="R228" t="s">
        <v>54</v>
      </c>
      <c r="S228" t="s">
        <v>79</v>
      </c>
      <c r="T228" t="s">
        <v>41</v>
      </c>
      <c r="U228" s="3">
        <f t="shared" si="3"/>
        <v>45931</v>
      </c>
    </row>
    <row r="229" spans="1:21" x14ac:dyDescent="0.35">
      <c r="A229" t="s">
        <v>676</v>
      </c>
      <c r="B229" t="s">
        <v>81</v>
      </c>
      <c r="C229" t="s">
        <v>35</v>
      </c>
      <c r="D229" t="s">
        <v>677</v>
      </c>
      <c r="E229" t="s">
        <v>45</v>
      </c>
      <c r="F229" t="s">
        <v>38</v>
      </c>
      <c r="G229" t="s">
        <v>26</v>
      </c>
      <c r="H229" t="s">
        <v>52</v>
      </c>
      <c r="I229" t="s">
        <v>28</v>
      </c>
      <c r="J229">
        <v>187628.47</v>
      </c>
      <c r="K229">
        <v>2304.08</v>
      </c>
      <c r="L229">
        <v>414.73</v>
      </c>
      <c r="M229">
        <v>145.97999999999999</v>
      </c>
      <c r="N229">
        <v>190201.3</v>
      </c>
      <c r="O229">
        <v>532386.92000000004</v>
      </c>
      <c r="P229">
        <v>488</v>
      </c>
      <c r="Q229" t="s">
        <v>74</v>
      </c>
      <c r="R229" t="s">
        <v>54</v>
      </c>
      <c r="S229" t="s">
        <v>62</v>
      </c>
      <c r="T229" t="s">
        <v>32</v>
      </c>
      <c r="U229" s="3">
        <f t="shared" si="3"/>
        <v>45931</v>
      </c>
    </row>
    <row r="230" spans="1:21" x14ac:dyDescent="0.35">
      <c r="A230" t="s">
        <v>678</v>
      </c>
      <c r="B230" t="s">
        <v>367</v>
      </c>
      <c r="C230" t="s">
        <v>22</v>
      </c>
      <c r="D230" t="s">
        <v>679</v>
      </c>
      <c r="E230" t="s">
        <v>45</v>
      </c>
      <c r="F230" t="s">
        <v>59</v>
      </c>
      <c r="G230" t="s">
        <v>60</v>
      </c>
      <c r="H230" t="s">
        <v>52</v>
      </c>
      <c r="I230" t="s">
        <v>40</v>
      </c>
      <c r="J230">
        <v>113266.72</v>
      </c>
      <c r="K230">
        <v>906.6</v>
      </c>
      <c r="L230">
        <v>163.19</v>
      </c>
      <c r="M230">
        <v>285.27</v>
      </c>
      <c r="N230">
        <v>114051.24</v>
      </c>
      <c r="O230">
        <v>536793.09</v>
      </c>
      <c r="P230">
        <v>526</v>
      </c>
      <c r="Q230" t="s">
        <v>29</v>
      </c>
      <c r="R230" t="s">
        <v>54</v>
      </c>
      <c r="S230" t="s">
        <v>62</v>
      </c>
      <c r="T230" t="s">
        <v>55</v>
      </c>
      <c r="U230" s="3">
        <f t="shared" si="3"/>
        <v>45717</v>
      </c>
    </row>
    <row r="231" spans="1:21" x14ac:dyDescent="0.35">
      <c r="A231" t="s">
        <v>680</v>
      </c>
      <c r="B231" t="s">
        <v>526</v>
      </c>
      <c r="C231" t="s">
        <v>35</v>
      </c>
      <c r="D231" t="s">
        <v>681</v>
      </c>
      <c r="E231" t="s">
        <v>37</v>
      </c>
      <c r="F231" t="s">
        <v>59</v>
      </c>
      <c r="G231" t="s">
        <v>26</v>
      </c>
      <c r="H231" t="s">
        <v>52</v>
      </c>
      <c r="I231" t="s">
        <v>28</v>
      </c>
      <c r="J231">
        <v>169066.83</v>
      </c>
      <c r="K231">
        <v>2252.5300000000002</v>
      </c>
      <c r="L231">
        <v>405.46</v>
      </c>
      <c r="M231">
        <v>182.35</v>
      </c>
      <c r="N231">
        <v>171542.47</v>
      </c>
      <c r="O231">
        <v>532366.88</v>
      </c>
      <c r="P231">
        <v>845</v>
      </c>
      <c r="Q231" t="s">
        <v>74</v>
      </c>
      <c r="R231" t="s">
        <v>75</v>
      </c>
      <c r="S231" t="s">
        <v>62</v>
      </c>
      <c r="T231" t="s">
        <v>32</v>
      </c>
      <c r="U231" s="3">
        <f t="shared" si="3"/>
        <v>45717</v>
      </c>
    </row>
    <row r="232" spans="1:21" x14ac:dyDescent="0.35">
      <c r="A232" t="s">
        <v>682</v>
      </c>
      <c r="B232" t="s">
        <v>683</v>
      </c>
      <c r="C232" t="s">
        <v>22</v>
      </c>
      <c r="D232" t="s">
        <v>684</v>
      </c>
      <c r="E232" t="s">
        <v>45</v>
      </c>
      <c r="F232" t="s">
        <v>38</v>
      </c>
      <c r="G232" t="s">
        <v>26</v>
      </c>
      <c r="H232" t="s">
        <v>39</v>
      </c>
      <c r="I232" t="s">
        <v>61</v>
      </c>
      <c r="J232">
        <v>128309.22</v>
      </c>
      <c r="K232">
        <v>1530.45</v>
      </c>
      <c r="L232">
        <v>275.48</v>
      </c>
      <c r="M232">
        <v>109.61</v>
      </c>
      <c r="N232">
        <v>130005.54</v>
      </c>
      <c r="O232">
        <v>540922.54</v>
      </c>
      <c r="P232">
        <v>614</v>
      </c>
      <c r="Q232" t="s">
        <v>29</v>
      </c>
      <c r="R232" t="s">
        <v>54</v>
      </c>
      <c r="S232" t="s">
        <v>79</v>
      </c>
      <c r="T232" t="s">
        <v>55</v>
      </c>
      <c r="U232" s="3">
        <f t="shared" si="3"/>
        <v>45870</v>
      </c>
    </row>
    <row r="233" spans="1:21" x14ac:dyDescent="0.35">
      <c r="A233" t="s">
        <v>685</v>
      </c>
      <c r="B233" t="s">
        <v>686</v>
      </c>
      <c r="C233" t="s">
        <v>35</v>
      </c>
      <c r="D233" t="s">
        <v>687</v>
      </c>
      <c r="E233" t="s">
        <v>70</v>
      </c>
      <c r="F233" t="s">
        <v>25</v>
      </c>
      <c r="G233" t="s">
        <v>103</v>
      </c>
      <c r="H233" t="s">
        <v>39</v>
      </c>
      <c r="I233" t="s">
        <v>40</v>
      </c>
      <c r="J233">
        <v>16187.99</v>
      </c>
      <c r="K233">
        <v>30.98</v>
      </c>
      <c r="L233">
        <v>5.58</v>
      </c>
      <c r="M233">
        <v>81.63</v>
      </c>
      <c r="N233">
        <v>16142.92</v>
      </c>
      <c r="O233">
        <v>546144.56999999995</v>
      </c>
      <c r="P233">
        <v>523</v>
      </c>
      <c r="Q233" t="s">
        <v>29</v>
      </c>
      <c r="R233" t="s">
        <v>54</v>
      </c>
      <c r="S233" t="s">
        <v>79</v>
      </c>
      <c r="T233" t="s">
        <v>55</v>
      </c>
      <c r="U233" s="3">
        <f t="shared" si="3"/>
        <v>45901</v>
      </c>
    </row>
    <row r="234" spans="1:21" x14ac:dyDescent="0.35">
      <c r="A234" t="s">
        <v>688</v>
      </c>
      <c r="B234" t="s">
        <v>113</v>
      </c>
      <c r="C234" t="s">
        <v>35</v>
      </c>
      <c r="D234" t="s">
        <v>689</v>
      </c>
      <c r="E234" t="s">
        <v>70</v>
      </c>
      <c r="F234" t="s">
        <v>59</v>
      </c>
      <c r="G234" t="s">
        <v>47</v>
      </c>
      <c r="H234" t="s">
        <v>48</v>
      </c>
      <c r="I234" t="s">
        <v>28</v>
      </c>
      <c r="J234">
        <v>53377.26</v>
      </c>
      <c r="K234">
        <v>663.2</v>
      </c>
      <c r="L234">
        <v>119.38</v>
      </c>
      <c r="M234">
        <v>314.35000000000002</v>
      </c>
      <c r="N234">
        <v>53845.49</v>
      </c>
      <c r="O234">
        <v>542054.67000000004</v>
      </c>
      <c r="P234">
        <v>707</v>
      </c>
      <c r="Q234" t="s">
        <v>53</v>
      </c>
      <c r="R234" t="s">
        <v>75</v>
      </c>
      <c r="S234" t="s">
        <v>62</v>
      </c>
      <c r="T234" t="s">
        <v>55</v>
      </c>
      <c r="U234" s="3">
        <f t="shared" si="3"/>
        <v>45839</v>
      </c>
    </row>
    <row r="235" spans="1:21" x14ac:dyDescent="0.35">
      <c r="A235" t="s">
        <v>690</v>
      </c>
      <c r="B235" t="s">
        <v>691</v>
      </c>
      <c r="C235" t="s">
        <v>95</v>
      </c>
      <c r="D235" t="s">
        <v>692</v>
      </c>
      <c r="E235" t="s">
        <v>45</v>
      </c>
      <c r="F235" t="s">
        <v>46</v>
      </c>
      <c r="G235" t="s">
        <v>26</v>
      </c>
      <c r="H235" t="s">
        <v>48</v>
      </c>
      <c r="I235" t="s">
        <v>61</v>
      </c>
      <c r="J235">
        <v>194566.44</v>
      </c>
      <c r="K235">
        <v>764.7</v>
      </c>
      <c r="L235">
        <v>137.65</v>
      </c>
      <c r="M235">
        <v>299.27</v>
      </c>
      <c r="N235">
        <v>195169.52</v>
      </c>
      <c r="O235">
        <v>538009.86</v>
      </c>
      <c r="P235">
        <v>771</v>
      </c>
      <c r="Q235" t="s">
        <v>74</v>
      </c>
      <c r="R235" t="s">
        <v>75</v>
      </c>
      <c r="S235" t="s">
        <v>31</v>
      </c>
      <c r="T235" t="s">
        <v>41</v>
      </c>
      <c r="U235" s="3">
        <f t="shared" si="3"/>
        <v>45992</v>
      </c>
    </row>
    <row r="236" spans="1:21" x14ac:dyDescent="0.35">
      <c r="A236" t="s">
        <v>693</v>
      </c>
      <c r="B236" t="s">
        <v>425</v>
      </c>
      <c r="C236" t="s">
        <v>22</v>
      </c>
      <c r="D236" t="s">
        <v>694</v>
      </c>
      <c r="E236" t="s">
        <v>37</v>
      </c>
      <c r="F236" t="s">
        <v>46</v>
      </c>
      <c r="G236" t="s">
        <v>103</v>
      </c>
      <c r="H236" t="s">
        <v>39</v>
      </c>
      <c r="I236" t="s">
        <v>40</v>
      </c>
      <c r="J236">
        <v>87039.37</v>
      </c>
      <c r="K236">
        <v>1637.66</v>
      </c>
      <c r="L236">
        <v>294.77999999999997</v>
      </c>
      <c r="M236">
        <v>28.53</v>
      </c>
      <c r="N236">
        <v>88943.28</v>
      </c>
      <c r="O236">
        <v>536727.68000000005</v>
      </c>
      <c r="P236">
        <v>820</v>
      </c>
      <c r="Q236" t="s">
        <v>53</v>
      </c>
      <c r="R236" t="s">
        <v>75</v>
      </c>
      <c r="S236" t="s">
        <v>79</v>
      </c>
      <c r="T236" t="s">
        <v>55</v>
      </c>
      <c r="U236" s="3">
        <f t="shared" si="3"/>
        <v>45778</v>
      </c>
    </row>
    <row r="237" spans="1:21" x14ac:dyDescent="0.35">
      <c r="A237" t="s">
        <v>695</v>
      </c>
      <c r="B237" t="s">
        <v>373</v>
      </c>
      <c r="C237" t="s">
        <v>22</v>
      </c>
      <c r="D237" t="s">
        <v>696</v>
      </c>
      <c r="E237" t="s">
        <v>45</v>
      </c>
      <c r="F237" t="s">
        <v>38</v>
      </c>
      <c r="G237" t="s">
        <v>60</v>
      </c>
      <c r="H237" t="s">
        <v>27</v>
      </c>
      <c r="I237" t="s">
        <v>28</v>
      </c>
      <c r="J237">
        <v>48964.57</v>
      </c>
      <c r="K237">
        <v>526.9</v>
      </c>
      <c r="L237">
        <v>94.84</v>
      </c>
      <c r="M237">
        <v>468.99</v>
      </c>
      <c r="N237">
        <v>49117.32</v>
      </c>
      <c r="O237">
        <v>543313.18999999994</v>
      </c>
      <c r="P237">
        <v>619</v>
      </c>
      <c r="Q237" t="s">
        <v>29</v>
      </c>
      <c r="R237" t="s">
        <v>30</v>
      </c>
      <c r="S237" t="s">
        <v>79</v>
      </c>
      <c r="T237" t="s">
        <v>41</v>
      </c>
      <c r="U237" s="3">
        <f t="shared" si="3"/>
        <v>45809</v>
      </c>
    </row>
    <row r="238" spans="1:21" x14ac:dyDescent="0.35">
      <c r="A238" t="s">
        <v>697</v>
      </c>
      <c r="B238" t="s">
        <v>698</v>
      </c>
      <c r="C238" t="s">
        <v>22</v>
      </c>
      <c r="D238" t="s">
        <v>699</v>
      </c>
      <c r="E238" t="s">
        <v>37</v>
      </c>
      <c r="F238" t="s">
        <v>38</v>
      </c>
      <c r="G238" t="s">
        <v>47</v>
      </c>
      <c r="H238" t="s">
        <v>27</v>
      </c>
      <c r="I238" t="s">
        <v>28</v>
      </c>
      <c r="J238">
        <v>115737.53</v>
      </c>
      <c r="K238">
        <v>1008.75</v>
      </c>
      <c r="L238">
        <v>181.57</v>
      </c>
      <c r="M238">
        <v>308.16000000000003</v>
      </c>
      <c r="N238">
        <v>116619.69</v>
      </c>
      <c r="O238">
        <v>539984.56000000006</v>
      </c>
      <c r="P238">
        <v>889</v>
      </c>
      <c r="Q238" t="s">
        <v>74</v>
      </c>
      <c r="R238" t="s">
        <v>75</v>
      </c>
      <c r="S238" t="s">
        <v>31</v>
      </c>
      <c r="T238" t="s">
        <v>41</v>
      </c>
      <c r="U238" s="3">
        <f t="shared" si="3"/>
        <v>45778</v>
      </c>
    </row>
    <row r="239" spans="1:21" x14ac:dyDescent="0.35">
      <c r="A239" t="s">
        <v>700</v>
      </c>
      <c r="B239" t="s">
        <v>297</v>
      </c>
      <c r="C239" t="s">
        <v>35</v>
      </c>
      <c r="D239" t="s">
        <v>701</v>
      </c>
      <c r="E239" t="s">
        <v>45</v>
      </c>
      <c r="F239" t="s">
        <v>59</v>
      </c>
      <c r="G239" t="s">
        <v>26</v>
      </c>
      <c r="H239" t="s">
        <v>39</v>
      </c>
      <c r="I239" t="s">
        <v>28</v>
      </c>
      <c r="J239">
        <v>97766.27</v>
      </c>
      <c r="K239">
        <v>337.3</v>
      </c>
      <c r="L239">
        <v>60.71</v>
      </c>
      <c r="M239">
        <v>364.67</v>
      </c>
      <c r="N239">
        <v>97799.61</v>
      </c>
      <c r="O239">
        <v>545486.64</v>
      </c>
      <c r="P239">
        <v>754</v>
      </c>
      <c r="Q239" t="s">
        <v>29</v>
      </c>
      <c r="R239" t="s">
        <v>30</v>
      </c>
      <c r="S239" t="s">
        <v>62</v>
      </c>
      <c r="T239" t="s">
        <v>55</v>
      </c>
      <c r="U239" s="3">
        <f t="shared" si="3"/>
        <v>45809</v>
      </c>
    </row>
    <row r="240" spans="1:21" x14ac:dyDescent="0.35">
      <c r="A240" t="s">
        <v>702</v>
      </c>
      <c r="B240" t="s">
        <v>703</v>
      </c>
      <c r="C240" t="s">
        <v>95</v>
      </c>
      <c r="D240" t="s">
        <v>704</v>
      </c>
      <c r="E240" t="s">
        <v>70</v>
      </c>
      <c r="F240" t="s">
        <v>46</v>
      </c>
      <c r="G240" t="s">
        <v>103</v>
      </c>
      <c r="H240" t="s">
        <v>27</v>
      </c>
      <c r="I240" t="s">
        <v>40</v>
      </c>
      <c r="J240">
        <v>7572.28</v>
      </c>
      <c r="K240">
        <v>9.2899999999999991</v>
      </c>
      <c r="L240">
        <v>1.67</v>
      </c>
      <c r="M240">
        <v>52.67</v>
      </c>
      <c r="N240">
        <v>7530.57</v>
      </c>
      <c r="O240">
        <v>545755.78</v>
      </c>
      <c r="P240">
        <v>609</v>
      </c>
      <c r="Q240" t="s">
        <v>74</v>
      </c>
      <c r="R240" t="s">
        <v>75</v>
      </c>
      <c r="S240" t="s">
        <v>79</v>
      </c>
      <c r="T240" t="s">
        <v>55</v>
      </c>
      <c r="U240" s="3">
        <f t="shared" si="3"/>
        <v>45870</v>
      </c>
    </row>
    <row r="241" spans="1:21" x14ac:dyDescent="0.35">
      <c r="A241" t="s">
        <v>705</v>
      </c>
      <c r="B241" t="s">
        <v>706</v>
      </c>
      <c r="C241" t="s">
        <v>22</v>
      </c>
      <c r="D241" t="s">
        <v>707</v>
      </c>
      <c r="E241" t="s">
        <v>45</v>
      </c>
      <c r="F241" t="s">
        <v>46</v>
      </c>
      <c r="G241" t="s">
        <v>26</v>
      </c>
      <c r="H241" t="s">
        <v>52</v>
      </c>
      <c r="I241" t="s">
        <v>61</v>
      </c>
      <c r="J241">
        <v>9013.9599999999991</v>
      </c>
      <c r="K241">
        <v>130.19</v>
      </c>
      <c r="L241">
        <v>23.43</v>
      </c>
      <c r="M241">
        <v>402</v>
      </c>
      <c r="N241">
        <v>8765.58</v>
      </c>
      <c r="O241">
        <v>553132.82999999996</v>
      </c>
      <c r="P241">
        <v>573</v>
      </c>
      <c r="Q241" t="s">
        <v>74</v>
      </c>
      <c r="R241" t="s">
        <v>75</v>
      </c>
      <c r="S241" t="s">
        <v>79</v>
      </c>
      <c r="T241" t="s">
        <v>55</v>
      </c>
      <c r="U241" s="3">
        <f t="shared" si="3"/>
        <v>45658</v>
      </c>
    </row>
    <row r="242" spans="1:21" x14ac:dyDescent="0.35">
      <c r="A242" t="s">
        <v>708</v>
      </c>
      <c r="B242" t="s">
        <v>325</v>
      </c>
      <c r="C242" t="s">
        <v>22</v>
      </c>
      <c r="D242" t="s">
        <v>709</v>
      </c>
      <c r="E242" t="s">
        <v>70</v>
      </c>
      <c r="F242" t="s">
        <v>46</v>
      </c>
      <c r="G242" t="s">
        <v>47</v>
      </c>
      <c r="H242" t="s">
        <v>48</v>
      </c>
      <c r="I242" t="s">
        <v>61</v>
      </c>
      <c r="J242">
        <v>95606.47</v>
      </c>
      <c r="K242">
        <v>1846.34</v>
      </c>
      <c r="L242">
        <v>332.34</v>
      </c>
      <c r="M242">
        <v>124.67</v>
      </c>
      <c r="N242">
        <v>97660.479999999996</v>
      </c>
      <c r="O242">
        <v>561008.30000000005</v>
      </c>
      <c r="P242">
        <v>355</v>
      </c>
      <c r="Q242" t="s">
        <v>53</v>
      </c>
      <c r="R242" t="s">
        <v>54</v>
      </c>
      <c r="S242" t="s">
        <v>62</v>
      </c>
      <c r="T242" t="s">
        <v>32</v>
      </c>
      <c r="U242" s="3">
        <f t="shared" si="3"/>
        <v>45962</v>
      </c>
    </row>
    <row r="243" spans="1:21" x14ac:dyDescent="0.35">
      <c r="A243" t="s">
        <v>710</v>
      </c>
      <c r="B243" t="s">
        <v>353</v>
      </c>
      <c r="C243" t="s">
        <v>35</v>
      </c>
      <c r="D243" t="s">
        <v>711</v>
      </c>
      <c r="E243" t="s">
        <v>45</v>
      </c>
      <c r="F243" t="s">
        <v>59</v>
      </c>
      <c r="G243" t="s">
        <v>47</v>
      </c>
      <c r="H243" t="s">
        <v>66</v>
      </c>
      <c r="I243" t="s">
        <v>28</v>
      </c>
      <c r="J243">
        <v>151717.82999999999</v>
      </c>
      <c r="K243">
        <v>3025.04</v>
      </c>
      <c r="L243">
        <v>544.51</v>
      </c>
      <c r="M243">
        <v>487.5</v>
      </c>
      <c r="N243">
        <v>154799.88</v>
      </c>
      <c r="O243">
        <v>562330.62</v>
      </c>
      <c r="P243">
        <v>806</v>
      </c>
      <c r="Q243" t="s">
        <v>74</v>
      </c>
      <c r="R243" t="s">
        <v>30</v>
      </c>
      <c r="S243" t="s">
        <v>31</v>
      </c>
      <c r="T243" t="s">
        <v>32</v>
      </c>
      <c r="U243" s="3">
        <f t="shared" si="3"/>
        <v>45992</v>
      </c>
    </row>
    <row r="244" spans="1:21" x14ac:dyDescent="0.35">
      <c r="A244" t="s">
        <v>712</v>
      </c>
      <c r="B244" t="s">
        <v>169</v>
      </c>
      <c r="C244" t="s">
        <v>95</v>
      </c>
      <c r="D244" t="s">
        <v>713</v>
      </c>
      <c r="E244" t="s">
        <v>45</v>
      </c>
      <c r="F244" t="s">
        <v>59</v>
      </c>
      <c r="G244" t="s">
        <v>26</v>
      </c>
      <c r="H244" t="s">
        <v>27</v>
      </c>
      <c r="I244" t="s">
        <v>28</v>
      </c>
      <c r="J244">
        <v>97454.05</v>
      </c>
      <c r="K244">
        <v>219.73</v>
      </c>
      <c r="L244">
        <v>39.549999999999997</v>
      </c>
      <c r="M244">
        <v>38.64</v>
      </c>
      <c r="N244">
        <v>97674.69</v>
      </c>
      <c r="O244">
        <v>568639.4</v>
      </c>
      <c r="P244">
        <v>581</v>
      </c>
      <c r="Q244" t="s">
        <v>74</v>
      </c>
      <c r="R244" t="s">
        <v>30</v>
      </c>
      <c r="S244" t="s">
        <v>31</v>
      </c>
      <c r="T244" t="s">
        <v>55</v>
      </c>
      <c r="U244" s="3">
        <f t="shared" si="3"/>
        <v>45658</v>
      </c>
    </row>
    <row r="245" spans="1:21" x14ac:dyDescent="0.35">
      <c r="A245" t="s">
        <v>714</v>
      </c>
      <c r="B245" t="s">
        <v>715</v>
      </c>
      <c r="C245" t="s">
        <v>22</v>
      </c>
      <c r="D245" t="s">
        <v>716</v>
      </c>
      <c r="E245" t="s">
        <v>45</v>
      </c>
      <c r="F245" t="s">
        <v>59</v>
      </c>
      <c r="G245" t="s">
        <v>103</v>
      </c>
      <c r="H245" t="s">
        <v>66</v>
      </c>
      <c r="I245" t="s">
        <v>28</v>
      </c>
      <c r="J245">
        <v>150276.76</v>
      </c>
      <c r="K245">
        <v>929.98</v>
      </c>
      <c r="L245">
        <v>167.4</v>
      </c>
      <c r="M245">
        <v>438.38</v>
      </c>
      <c r="N245">
        <v>150935.76</v>
      </c>
      <c r="O245">
        <v>572692.71</v>
      </c>
      <c r="P245">
        <v>876</v>
      </c>
      <c r="Q245" t="s">
        <v>29</v>
      </c>
      <c r="R245" t="s">
        <v>54</v>
      </c>
      <c r="S245" t="s">
        <v>79</v>
      </c>
      <c r="T245" t="s">
        <v>32</v>
      </c>
      <c r="U245" s="3">
        <f t="shared" si="3"/>
        <v>45870</v>
      </c>
    </row>
    <row r="246" spans="1:21" x14ac:dyDescent="0.35">
      <c r="A246" t="s">
        <v>717</v>
      </c>
      <c r="B246" t="s">
        <v>601</v>
      </c>
      <c r="C246" t="s">
        <v>22</v>
      </c>
      <c r="D246" t="s">
        <v>718</v>
      </c>
      <c r="E246" t="s">
        <v>45</v>
      </c>
      <c r="F246" t="s">
        <v>38</v>
      </c>
      <c r="G246" t="s">
        <v>60</v>
      </c>
      <c r="H246" t="s">
        <v>39</v>
      </c>
      <c r="I246" t="s">
        <v>40</v>
      </c>
      <c r="J246">
        <v>92299.41</v>
      </c>
      <c r="K246">
        <v>885.75</v>
      </c>
      <c r="L246">
        <v>159.44</v>
      </c>
      <c r="M246">
        <v>448.65</v>
      </c>
      <c r="N246">
        <v>92895.95</v>
      </c>
      <c r="O246">
        <v>574958.22</v>
      </c>
      <c r="P246">
        <v>892</v>
      </c>
      <c r="Q246" t="s">
        <v>29</v>
      </c>
      <c r="R246" t="s">
        <v>75</v>
      </c>
      <c r="S246" t="s">
        <v>31</v>
      </c>
      <c r="T246" t="s">
        <v>41</v>
      </c>
      <c r="U246" s="3">
        <f t="shared" si="3"/>
        <v>45748</v>
      </c>
    </row>
    <row r="247" spans="1:21" x14ac:dyDescent="0.35">
      <c r="A247" t="s">
        <v>719</v>
      </c>
      <c r="B247" t="s">
        <v>81</v>
      </c>
      <c r="C247" t="s">
        <v>95</v>
      </c>
      <c r="D247" t="s">
        <v>173</v>
      </c>
      <c r="E247" t="s">
        <v>24</v>
      </c>
      <c r="F247" t="s">
        <v>46</v>
      </c>
      <c r="G247" t="s">
        <v>60</v>
      </c>
      <c r="H247" t="s">
        <v>66</v>
      </c>
      <c r="I247" t="s">
        <v>61</v>
      </c>
      <c r="J247">
        <v>166284.57999999999</v>
      </c>
      <c r="K247">
        <v>2876.69</v>
      </c>
      <c r="L247">
        <v>517.79999999999995</v>
      </c>
      <c r="M247">
        <v>438.66</v>
      </c>
      <c r="N247">
        <v>169240.41</v>
      </c>
      <c r="O247">
        <v>581019.1</v>
      </c>
      <c r="P247">
        <v>442</v>
      </c>
      <c r="Q247" t="s">
        <v>74</v>
      </c>
      <c r="R247" t="s">
        <v>54</v>
      </c>
      <c r="S247" t="s">
        <v>79</v>
      </c>
      <c r="T247" t="s">
        <v>32</v>
      </c>
      <c r="U247" s="3">
        <f t="shared" si="3"/>
        <v>45931</v>
      </c>
    </row>
    <row r="248" spans="1:21" x14ac:dyDescent="0.35">
      <c r="A248" t="s">
        <v>720</v>
      </c>
      <c r="B248" t="s">
        <v>196</v>
      </c>
      <c r="C248" t="s">
        <v>22</v>
      </c>
      <c r="D248" t="s">
        <v>721</v>
      </c>
      <c r="E248" t="s">
        <v>37</v>
      </c>
      <c r="F248" t="s">
        <v>46</v>
      </c>
      <c r="G248" t="s">
        <v>26</v>
      </c>
      <c r="H248" t="s">
        <v>27</v>
      </c>
      <c r="I248" t="s">
        <v>28</v>
      </c>
      <c r="J248">
        <v>199150.19</v>
      </c>
      <c r="K248">
        <v>2577.5700000000002</v>
      </c>
      <c r="L248">
        <v>463.96</v>
      </c>
      <c r="M248">
        <v>130.47</v>
      </c>
      <c r="N248">
        <v>202061.25</v>
      </c>
      <c r="O248">
        <v>590602.74</v>
      </c>
      <c r="P248">
        <v>407</v>
      </c>
      <c r="Q248" t="s">
        <v>74</v>
      </c>
      <c r="R248" t="s">
        <v>54</v>
      </c>
      <c r="S248" t="s">
        <v>79</v>
      </c>
      <c r="T248" t="s">
        <v>55</v>
      </c>
      <c r="U248" s="3">
        <f t="shared" si="3"/>
        <v>45870</v>
      </c>
    </row>
    <row r="249" spans="1:21" x14ac:dyDescent="0.35">
      <c r="A249" t="s">
        <v>722</v>
      </c>
      <c r="B249" t="s">
        <v>110</v>
      </c>
      <c r="C249" t="s">
        <v>35</v>
      </c>
      <c r="D249" t="s">
        <v>723</v>
      </c>
      <c r="E249" t="s">
        <v>24</v>
      </c>
      <c r="F249" t="s">
        <v>46</v>
      </c>
      <c r="G249" t="s">
        <v>103</v>
      </c>
      <c r="H249" t="s">
        <v>52</v>
      </c>
      <c r="I249" t="s">
        <v>40</v>
      </c>
      <c r="J249">
        <v>107156.98</v>
      </c>
      <c r="K249">
        <v>1865.93</v>
      </c>
      <c r="L249">
        <v>335.87</v>
      </c>
      <c r="M249">
        <v>275.54000000000002</v>
      </c>
      <c r="N249">
        <v>109083.24</v>
      </c>
      <c r="O249">
        <v>585702.91</v>
      </c>
      <c r="P249">
        <v>470</v>
      </c>
      <c r="Q249" t="s">
        <v>74</v>
      </c>
      <c r="R249" t="s">
        <v>75</v>
      </c>
      <c r="S249" t="s">
        <v>86</v>
      </c>
      <c r="T249" t="s">
        <v>32</v>
      </c>
      <c r="U249" s="3">
        <f t="shared" si="3"/>
        <v>45992</v>
      </c>
    </row>
    <row r="250" spans="1:21" x14ac:dyDescent="0.35">
      <c r="A250" t="s">
        <v>724</v>
      </c>
      <c r="B250" t="s">
        <v>725</v>
      </c>
      <c r="C250" t="s">
        <v>22</v>
      </c>
      <c r="D250" t="s">
        <v>726</v>
      </c>
      <c r="E250" t="s">
        <v>70</v>
      </c>
      <c r="F250" t="s">
        <v>59</v>
      </c>
      <c r="G250" t="s">
        <v>103</v>
      </c>
      <c r="H250" t="s">
        <v>52</v>
      </c>
      <c r="I250" t="s">
        <v>40</v>
      </c>
      <c r="J250">
        <v>152628.04999999999</v>
      </c>
      <c r="K250">
        <v>1042.3499999999999</v>
      </c>
      <c r="L250">
        <v>187.62</v>
      </c>
      <c r="M250">
        <v>445</v>
      </c>
      <c r="N250">
        <v>153413.01999999999</v>
      </c>
      <c r="O250">
        <v>584315.57999999996</v>
      </c>
      <c r="P250">
        <v>596</v>
      </c>
      <c r="Q250" t="s">
        <v>29</v>
      </c>
      <c r="R250" t="s">
        <v>54</v>
      </c>
      <c r="S250" t="s">
        <v>62</v>
      </c>
      <c r="T250" t="s">
        <v>41</v>
      </c>
      <c r="U250" s="3">
        <f t="shared" si="3"/>
        <v>45658</v>
      </c>
    </row>
    <row r="251" spans="1:21" x14ac:dyDescent="0.35">
      <c r="A251" t="s">
        <v>727</v>
      </c>
      <c r="B251" t="s">
        <v>728</v>
      </c>
      <c r="C251" t="s">
        <v>95</v>
      </c>
      <c r="D251" t="s">
        <v>729</v>
      </c>
      <c r="E251" t="s">
        <v>45</v>
      </c>
      <c r="F251" t="s">
        <v>38</v>
      </c>
      <c r="G251" t="s">
        <v>47</v>
      </c>
      <c r="H251" t="s">
        <v>48</v>
      </c>
      <c r="I251" t="s">
        <v>28</v>
      </c>
      <c r="J251">
        <v>88148.77</v>
      </c>
      <c r="K251">
        <v>1048.17</v>
      </c>
      <c r="L251">
        <v>188.67</v>
      </c>
      <c r="M251">
        <v>359.64</v>
      </c>
      <c r="N251">
        <v>89025.97</v>
      </c>
      <c r="O251">
        <v>586639.92000000004</v>
      </c>
      <c r="P251">
        <v>854</v>
      </c>
      <c r="Q251" t="s">
        <v>29</v>
      </c>
      <c r="R251" t="s">
        <v>54</v>
      </c>
      <c r="S251" t="s">
        <v>62</v>
      </c>
      <c r="T251" t="s">
        <v>41</v>
      </c>
      <c r="U251" s="3">
        <f t="shared" si="3"/>
        <v>45658</v>
      </c>
    </row>
    <row r="252" spans="1:21" x14ac:dyDescent="0.35">
      <c r="A252" t="s">
        <v>730</v>
      </c>
      <c r="B252" t="s">
        <v>731</v>
      </c>
      <c r="C252" t="s">
        <v>95</v>
      </c>
      <c r="D252" t="s">
        <v>732</v>
      </c>
      <c r="E252" t="s">
        <v>37</v>
      </c>
      <c r="F252" t="s">
        <v>38</v>
      </c>
      <c r="G252" t="s">
        <v>60</v>
      </c>
      <c r="H252" t="s">
        <v>48</v>
      </c>
      <c r="I252" t="s">
        <v>40</v>
      </c>
      <c r="J252">
        <v>144402.31</v>
      </c>
      <c r="K252">
        <v>2645.13</v>
      </c>
      <c r="L252">
        <v>476.12</v>
      </c>
      <c r="M252">
        <v>115.02</v>
      </c>
      <c r="N252">
        <v>147408.54</v>
      </c>
      <c r="O252">
        <v>590881.68000000005</v>
      </c>
      <c r="P252">
        <v>684</v>
      </c>
      <c r="Q252" t="s">
        <v>29</v>
      </c>
      <c r="R252" t="s">
        <v>54</v>
      </c>
      <c r="S252" t="s">
        <v>62</v>
      </c>
      <c r="T252" t="s">
        <v>32</v>
      </c>
      <c r="U252" s="3">
        <f t="shared" si="3"/>
        <v>45870</v>
      </c>
    </row>
    <row r="253" spans="1:21" x14ac:dyDescent="0.35">
      <c r="A253" t="s">
        <v>733</v>
      </c>
      <c r="B253" t="s">
        <v>509</v>
      </c>
      <c r="C253" t="s">
        <v>22</v>
      </c>
      <c r="D253" t="s">
        <v>734</v>
      </c>
      <c r="E253" t="s">
        <v>45</v>
      </c>
      <c r="F253" t="s">
        <v>46</v>
      </c>
      <c r="G253" t="s">
        <v>26</v>
      </c>
      <c r="H253" t="s">
        <v>52</v>
      </c>
      <c r="I253" t="s">
        <v>28</v>
      </c>
      <c r="J253">
        <v>195054.22</v>
      </c>
      <c r="K253">
        <v>2372.92</v>
      </c>
      <c r="L253">
        <v>427.13</v>
      </c>
      <c r="M253">
        <v>91.51</v>
      </c>
      <c r="N253">
        <v>197762.76</v>
      </c>
      <c r="O253">
        <v>600030.96</v>
      </c>
      <c r="P253">
        <v>389</v>
      </c>
      <c r="Q253" t="s">
        <v>74</v>
      </c>
      <c r="R253" t="s">
        <v>30</v>
      </c>
      <c r="S253" t="s">
        <v>31</v>
      </c>
      <c r="T253" t="s">
        <v>55</v>
      </c>
      <c r="U253" s="3">
        <f t="shared" si="3"/>
        <v>45778</v>
      </c>
    </row>
    <row r="254" spans="1:21" x14ac:dyDescent="0.35">
      <c r="A254" t="s">
        <v>735</v>
      </c>
      <c r="B254" t="s">
        <v>237</v>
      </c>
      <c r="C254" t="s">
        <v>22</v>
      </c>
      <c r="D254" t="s">
        <v>736</v>
      </c>
      <c r="E254" t="s">
        <v>45</v>
      </c>
      <c r="F254" t="s">
        <v>38</v>
      </c>
      <c r="G254" t="s">
        <v>60</v>
      </c>
      <c r="H254" t="s">
        <v>39</v>
      </c>
      <c r="I254" t="s">
        <v>28</v>
      </c>
      <c r="J254">
        <v>41629.699999999997</v>
      </c>
      <c r="K254">
        <v>542.67999999999995</v>
      </c>
      <c r="L254">
        <v>97.68</v>
      </c>
      <c r="M254">
        <v>57.12</v>
      </c>
      <c r="N254">
        <v>42212.94</v>
      </c>
      <c r="O254">
        <v>603104.18000000005</v>
      </c>
      <c r="P254">
        <v>595</v>
      </c>
      <c r="Q254" t="s">
        <v>53</v>
      </c>
      <c r="R254" t="s">
        <v>75</v>
      </c>
      <c r="S254" t="s">
        <v>31</v>
      </c>
      <c r="T254" t="s">
        <v>55</v>
      </c>
      <c r="U254" s="3">
        <f t="shared" si="3"/>
        <v>45870</v>
      </c>
    </row>
    <row r="255" spans="1:21" x14ac:dyDescent="0.35">
      <c r="A255" t="s">
        <v>737</v>
      </c>
      <c r="B255" t="s">
        <v>738</v>
      </c>
      <c r="C255" t="s">
        <v>22</v>
      </c>
      <c r="D255" t="s">
        <v>739</v>
      </c>
      <c r="E255" t="s">
        <v>24</v>
      </c>
      <c r="F255" t="s">
        <v>38</v>
      </c>
      <c r="G255" t="s">
        <v>103</v>
      </c>
      <c r="H255" t="s">
        <v>48</v>
      </c>
      <c r="I255" t="s">
        <v>61</v>
      </c>
      <c r="J255">
        <v>1145.4000000000001</v>
      </c>
      <c r="K255">
        <v>20.47</v>
      </c>
      <c r="L255">
        <v>3.68</v>
      </c>
      <c r="M255">
        <v>355.21</v>
      </c>
      <c r="N255">
        <v>814.34</v>
      </c>
      <c r="O255">
        <v>602293.31000000006</v>
      </c>
      <c r="P255">
        <v>480</v>
      </c>
      <c r="Q255" t="s">
        <v>29</v>
      </c>
      <c r="R255" t="s">
        <v>75</v>
      </c>
      <c r="S255" t="s">
        <v>62</v>
      </c>
      <c r="T255" t="s">
        <v>55</v>
      </c>
      <c r="U255" s="3">
        <f t="shared" si="3"/>
        <v>45748</v>
      </c>
    </row>
    <row r="256" spans="1:21" x14ac:dyDescent="0.35">
      <c r="A256" t="s">
        <v>740</v>
      </c>
      <c r="B256" t="s">
        <v>691</v>
      </c>
      <c r="C256" t="s">
        <v>22</v>
      </c>
      <c r="D256" t="s">
        <v>741</v>
      </c>
      <c r="E256" t="s">
        <v>70</v>
      </c>
      <c r="F256" t="s">
        <v>46</v>
      </c>
      <c r="G256" t="s">
        <v>26</v>
      </c>
      <c r="H256" t="s">
        <v>27</v>
      </c>
      <c r="I256" t="s">
        <v>61</v>
      </c>
      <c r="J256">
        <v>97290.3</v>
      </c>
      <c r="K256">
        <v>434.61</v>
      </c>
      <c r="L256">
        <v>78.23</v>
      </c>
      <c r="M256">
        <v>256.91000000000003</v>
      </c>
      <c r="N256">
        <v>97546.23</v>
      </c>
      <c r="O256">
        <v>600890.47</v>
      </c>
      <c r="P256">
        <v>729</v>
      </c>
      <c r="Q256" t="s">
        <v>74</v>
      </c>
      <c r="R256" t="s">
        <v>54</v>
      </c>
      <c r="S256" t="s">
        <v>62</v>
      </c>
      <c r="T256" t="s">
        <v>55</v>
      </c>
      <c r="U256" s="3">
        <f t="shared" si="3"/>
        <v>45992</v>
      </c>
    </row>
    <row r="257" spans="1:21" x14ac:dyDescent="0.35">
      <c r="A257" t="s">
        <v>742</v>
      </c>
      <c r="B257" t="s">
        <v>743</v>
      </c>
      <c r="C257" t="s">
        <v>95</v>
      </c>
      <c r="D257" t="s">
        <v>744</v>
      </c>
      <c r="E257" t="s">
        <v>24</v>
      </c>
      <c r="F257" t="s">
        <v>59</v>
      </c>
      <c r="G257" t="s">
        <v>103</v>
      </c>
      <c r="H257" t="s">
        <v>48</v>
      </c>
      <c r="I257" t="s">
        <v>28</v>
      </c>
      <c r="J257">
        <v>43603.14</v>
      </c>
      <c r="K257">
        <v>848.66</v>
      </c>
      <c r="L257">
        <v>152.76</v>
      </c>
      <c r="M257">
        <v>332</v>
      </c>
      <c r="N257">
        <v>44272.56</v>
      </c>
      <c r="O257">
        <v>599206.36</v>
      </c>
      <c r="P257">
        <v>465</v>
      </c>
      <c r="Q257" t="s">
        <v>53</v>
      </c>
      <c r="R257" t="s">
        <v>75</v>
      </c>
      <c r="S257" t="s">
        <v>62</v>
      </c>
      <c r="T257" t="s">
        <v>32</v>
      </c>
      <c r="U257" s="3">
        <f t="shared" si="3"/>
        <v>45962</v>
      </c>
    </row>
    <row r="258" spans="1:21" x14ac:dyDescent="0.35">
      <c r="A258" t="s">
        <v>745</v>
      </c>
      <c r="B258" t="s">
        <v>746</v>
      </c>
      <c r="C258" t="s">
        <v>22</v>
      </c>
      <c r="D258" t="s">
        <v>747</v>
      </c>
      <c r="E258" t="s">
        <v>45</v>
      </c>
      <c r="F258" t="s">
        <v>46</v>
      </c>
      <c r="G258" t="s">
        <v>26</v>
      </c>
      <c r="H258" t="s">
        <v>66</v>
      </c>
      <c r="I258" t="s">
        <v>61</v>
      </c>
      <c r="J258">
        <v>187748.35</v>
      </c>
      <c r="K258">
        <v>1007.48</v>
      </c>
      <c r="L258">
        <v>181.35</v>
      </c>
      <c r="M258">
        <v>343.67</v>
      </c>
      <c r="N258">
        <v>188593.51</v>
      </c>
      <c r="O258">
        <v>604209.77</v>
      </c>
      <c r="P258">
        <v>342</v>
      </c>
      <c r="Q258" t="s">
        <v>29</v>
      </c>
      <c r="R258" t="s">
        <v>75</v>
      </c>
      <c r="S258" t="s">
        <v>31</v>
      </c>
      <c r="T258" t="s">
        <v>41</v>
      </c>
      <c r="U258" s="3">
        <f t="shared" si="3"/>
        <v>45778</v>
      </c>
    </row>
    <row r="259" spans="1:21" x14ac:dyDescent="0.35">
      <c r="A259" t="s">
        <v>748</v>
      </c>
      <c r="B259" t="s">
        <v>339</v>
      </c>
      <c r="C259" t="s">
        <v>22</v>
      </c>
      <c r="D259" t="s">
        <v>749</v>
      </c>
      <c r="E259" t="s">
        <v>70</v>
      </c>
      <c r="F259" t="s">
        <v>25</v>
      </c>
      <c r="G259" t="s">
        <v>26</v>
      </c>
      <c r="H259" t="s">
        <v>48</v>
      </c>
      <c r="I259" t="s">
        <v>28</v>
      </c>
      <c r="J259">
        <v>9897.43</v>
      </c>
      <c r="K259">
        <v>45.85</v>
      </c>
      <c r="L259">
        <v>8.25</v>
      </c>
      <c r="M259">
        <v>365.58</v>
      </c>
      <c r="N259">
        <v>9585.9500000000007</v>
      </c>
      <c r="O259">
        <v>600309.80000000005</v>
      </c>
      <c r="P259">
        <v>591</v>
      </c>
      <c r="Q259" t="s">
        <v>74</v>
      </c>
      <c r="R259" t="s">
        <v>54</v>
      </c>
      <c r="S259" t="s">
        <v>31</v>
      </c>
      <c r="T259" t="s">
        <v>32</v>
      </c>
      <c r="U259" s="3">
        <f t="shared" ref="U259:U322" si="4">DATE(YEAR(B259),MONTH(B259),1)</f>
        <v>45658</v>
      </c>
    </row>
    <row r="260" spans="1:21" x14ac:dyDescent="0.35">
      <c r="A260" t="s">
        <v>750</v>
      </c>
      <c r="B260" t="s">
        <v>101</v>
      </c>
      <c r="C260" t="s">
        <v>95</v>
      </c>
      <c r="D260" t="s">
        <v>751</v>
      </c>
      <c r="E260" t="s">
        <v>37</v>
      </c>
      <c r="F260" t="s">
        <v>46</v>
      </c>
      <c r="G260" t="s">
        <v>60</v>
      </c>
      <c r="H260" t="s">
        <v>39</v>
      </c>
      <c r="I260" t="s">
        <v>61</v>
      </c>
      <c r="J260">
        <v>198130.94</v>
      </c>
      <c r="K260">
        <v>1219.74</v>
      </c>
      <c r="L260">
        <v>219.55</v>
      </c>
      <c r="M260">
        <v>367.54</v>
      </c>
      <c r="N260">
        <v>199202.69</v>
      </c>
      <c r="O260">
        <v>607300.41</v>
      </c>
      <c r="P260">
        <v>549</v>
      </c>
      <c r="Q260" t="s">
        <v>74</v>
      </c>
      <c r="R260" t="s">
        <v>30</v>
      </c>
      <c r="S260" t="s">
        <v>86</v>
      </c>
      <c r="T260" t="s">
        <v>32</v>
      </c>
      <c r="U260" s="3">
        <f t="shared" si="4"/>
        <v>45870</v>
      </c>
    </row>
    <row r="261" spans="1:21" x14ac:dyDescent="0.35">
      <c r="A261" t="s">
        <v>752</v>
      </c>
      <c r="B261" t="s">
        <v>381</v>
      </c>
      <c r="C261" t="s">
        <v>35</v>
      </c>
      <c r="D261" t="s">
        <v>753</v>
      </c>
      <c r="E261" t="s">
        <v>45</v>
      </c>
      <c r="F261" t="s">
        <v>59</v>
      </c>
      <c r="G261" t="s">
        <v>60</v>
      </c>
      <c r="H261" t="s">
        <v>27</v>
      </c>
      <c r="I261" t="s">
        <v>28</v>
      </c>
      <c r="J261">
        <v>22002.400000000001</v>
      </c>
      <c r="K261">
        <v>354.77</v>
      </c>
      <c r="L261">
        <v>63.86</v>
      </c>
      <c r="M261">
        <v>79.67</v>
      </c>
      <c r="N261">
        <v>22341.360000000001</v>
      </c>
      <c r="O261">
        <v>608312.43000000005</v>
      </c>
      <c r="P261">
        <v>841</v>
      </c>
      <c r="Q261" t="s">
        <v>53</v>
      </c>
      <c r="R261" t="s">
        <v>30</v>
      </c>
      <c r="S261" t="s">
        <v>62</v>
      </c>
      <c r="T261" t="s">
        <v>55</v>
      </c>
      <c r="U261" s="3">
        <f t="shared" si="4"/>
        <v>45962</v>
      </c>
    </row>
    <row r="262" spans="1:21" x14ac:dyDescent="0.35">
      <c r="A262" t="s">
        <v>754</v>
      </c>
      <c r="B262" t="s">
        <v>683</v>
      </c>
      <c r="C262" t="s">
        <v>22</v>
      </c>
      <c r="D262" t="s">
        <v>755</v>
      </c>
      <c r="E262" t="s">
        <v>24</v>
      </c>
      <c r="F262" t="s">
        <v>46</v>
      </c>
      <c r="G262" t="s">
        <v>26</v>
      </c>
      <c r="H262" t="s">
        <v>27</v>
      </c>
      <c r="I262" t="s">
        <v>40</v>
      </c>
      <c r="J262">
        <v>85481.95</v>
      </c>
      <c r="K262">
        <v>301.79000000000002</v>
      </c>
      <c r="L262">
        <v>54.32</v>
      </c>
      <c r="M262">
        <v>347.5</v>
      </c>
      <c r="N262">
        <v>85490.559999999998</v>
      </c>
      <c r="O262">
        <v>613328.63</v>
      </c>
      <c r="P262">
        <v>524</v>
      </c>
      <c r="Q262" t="s">
        <v>53</v>
      </c>
      <c r="R262" t="s">
        <v>75</v>
      </c>
      <c r="S262" t="s">
        <v>79</v>
      </c>
      <c r="T262" t="s">
        <v>32</v>
      </c>
      <c r="U262" s="3">
        <f t="shared" si="4"/>
        <v>45870</v>
      </c>
    </row>
    <row r="263" spans="1:21" x14ac:dyDescent="0.35">
      <c r="A263" t="s">
        <v>756</v>
      </c>
      <c r="B263" t="s">
        <v>178</v>
      </c>
      <c r="C263" t="s">
        <v>22</v>
      </c>
      <c r="D263" t="s">
        <v>757</v>
      </c>
      <c r="E263" t="s">
        <v>70</v>
      </c>
      <c r="F263" t="s">
        <v>59</v>
      </c>
      <c r="G263" t="s">
        <v>60</v>
      </c>
      <c r="H263" t="s">
        <v>39</v>
      </c>
      <c r="I263" t="s">
        <v>61</v>
      </c>
      <c r="J263">
        <v>166478.15</v>
      </c>
      <c r="K263">
        <v>1469.29</v>
      </c>
      <c r="L263">
        <v>264.47000000000003</v>
      </c>
      <c r="M263">
        <v>317.42</v>
      </c>
      <c r="N263">
        <v>167894.49</v>
      </c>
      <c r="O263">
        <v>618413.6</v>
      </c>
      <c r="P263">
        <v>545</v>
      </c>
      <c r="Q263" t="s">
        <v>74</v>
      </c>
      <c r="R263" t="s">
        <v>75</v>
      </c>
      <c r="S263" t="s">
        <v>62</v>
      </c>
      <c r="T263" t="s">
        <v>55</v>
      </c>
      <c r="U263" s="3">
        <f t="shared" si="4"/>
        <v>45689</v>
      </c>
    </row>
    <row r="264" spans="1:21" x14ac:dyDescent="0.35">
      <c r="A264" t="s">
        <v>758</v>
      </c>
      <c r="B264" t="s">
        <v>698</v>
      </c>
      <c r="C264" t="s">
        <v>35</v>
      </c>
      <c r="D264" t="s">
        <v>759</v>
      </c>
      <c r="E264" t="s">
        <v>37</v>
      </c>
      <c r="F264" t="s">
        <v>25</v>
      </c>
      <c r="G264" t="s">
        <v>47</v>
      </c>
      <c r="H264" t="s">
        <v>39</v>
      </c>
      <c r="I264" t="s">
        <v>28</v>
      </c>
      <c r="J264">
        <v>19239.650000000001</v>
      </c>
      <c r="K264">
        <v>147.27000000000001</v>
      </c>
      <c r="L264">
        <v>26.51</v>
      </c>
      <c r="M264">
        <v>194.82</v>
      </c>
      <c r="N264">
        <v>19218.61</v>
      </c>
      <c r="O264">
        <v>615746</v>
      </c>
      <c r="P264">
        <v>443</v>
      </c>
      <c r="Q264" t="s">
        <v>53</v>
      </c>
      <c r="R264" t="s">
        <v>30</v>
      </c>
      <c r="S264" t="s">
        <v>31</v>
      </c>
      <c r="T264" t="s">
        <v>55</v>
      </c>
      <c r="U264" s="3">
        <f t="shared" si="4"/>
        <v>45778</v>
      </c>
    </row>
    <row r="265" spans="1:21" x14ac:dyDescent="0.35">
      <c r="A265" t="s">
        <v>760</v>
      </c>
      <c r="B265" t="s">
        <v>761</v>
      </c>
      <c r="C265" t="s">
        <v>35</v>
      </c>
      <c r="D265" t="s">
        <v>762</v>
      </c>
      <c r="E265" t="s">
        <v>70</v>
      </c>
      <c r="F265" t="s">
        <v>46</v>
      </c>
      <c r="G265" t="s">
        <v>47</v>
      </c>
      <c r="H265" t="s">
        <v>52</v>
      </c>
      <c r="I265" t="s">
        <v>28</v>
      </c>
      <c r="J265">
        <v>54144.01</v>
      </c>
      <c r="K265">
        <v>1030.28</v>
      </c>
      <c r="L265">
        <v>185.45</v>
      </c>
      <c r="M265">
        <v>291.01</v>
      </c>
      <c r="N265">
        <v>55068.73</v>
      </c>
      <c r="O265">
        <v>617660.22</v>
      </c>
      <c r="P265">
        <v>518</v>
      </c>
      <c r="Q265" t="s">
        <v>74</v>
      </c>
      <c r="R265" t="s">
        <v>54</v>
      </c>
      <c r="S265" t="s">
        <v>31</v>
      </c>
      <c r="T265" t="s">
        <v>32</v>
      </c>
      <c r="U265" s="3">
        <f t="shared" si="4"/>
        <v>45658</v>
      </c>
    </row>
    <row r="266" spans="1:21" x14ac:dyDescent="0.35">
      <c r="A266" t="s">
        <v>763</v>
      </c>
      <c r="B266" t="s">
        <v>231</v>
      </c>
      <c r="C266" t="s">
        <v>22</v>
      </c>
      <c r="D266" t="s">
        <v>235</v>
      </c>
      <c r="E266" t="s">
        <v>37</v>
      </c>
      <c r="F266" t="s">
        <v>38</v>
      </c>
      <c r="G266" t="s">
        <v>26</v>
      </c>
      <c r="H266" t="s">
        <v>39</v>
      </c>
      <c r="I266" t="s">
        <v>28</v>
      </c>
      <c r="J266">
        <v>151570.43</v>
      </c>
      <c r="K266">
        <v>2586.52</v>
      </c>
      <c r="L266">
        <v>465.57</v>
      </c>
      <c r="M266">
        <v>210.63</v>
      </c>
      <c r="N266">
        <v>154411.89000000001</v>
      </c>
      <c r="O266">
        <v>616366.77</v>
      </c>
      <c r="P266">
        <v>665</v>
      </c>
      <c r="Q266" t="s">
        <v>74</v>
      </c>
      <c r="R266" t="s">
        <v>30</v>
      </c>
      <c r="S266" t="s">
        <v>79</v>
      </c>
      <c r="T266" t="s">
        <v>55</v>
      </c>
      <c r="U266" s="3">
        <f t="shared" si="4"/>
        <v>45658</v>
      </c>
    </row>
    <row r="267" spans="1:21" x14ac:dyDescent="0.35">
      <c r="A267" t="s">
        <v>764</v>
      </c>
      <c r="B267" t="s">
        <v>660</v>
      </c>
      <c r="C267" t="s">
        <v>95</v>
      </c>
      <c r="D267" t="s">
        <v>765</v>
      </c>
      <c r="E267" t="s">
        <v>24</v>
      </c>
      <c r="F267" t="s">
        <v>38</v>
      </c>
      <c r="G267" t="s">
        <v>47</v>
      </c>
      <c r="H267" t="s">
        <v>48</v>
      </c>
      <c r="I267" t="s">
        <v>40</v>
      </c>
      <c r="J267">
        <v>167562.04</v>
      </c>
      <c r="K267">
        <v>3047.38</v>
      </c>
      <c r="L267">
        <v>548.53</v>
      </c>
      <c r="M267">
        <v>17.920000000000002</v>
      </c>
      <c r="N267">
        <v>171140.03</v>
      </c>
      <c r="O267">
        <v>613655.82999999996</v>
      </c>
      <c r="P267">
        <v>377</v>
      </c>
      <c r="Q267" t="s">
        <v>53</v>
      </c>
      <c r="R267" t="s">
        <v>54</v>
      </c>
      <c r="S267" t="s">
        <v>86</v>
      </c>
      <c r="T267" t="s">
        <v>41</v>
      </c>
      <c r="U267" s="3">
        <f t="shared" si="4"/>
        <v>45992</v>
      </c>
    </row>
    <row r="268" spans="1:21" x14ac:dyDescent="0.35">
      <c r="A268" t="s">
        <v>766</v>
      </c>
      <c r="B268" t="s">
        <v>254</v>
      </c>
      <c r="C268" t="s">
        <v>35</v>
      </c>
      <c r="D268" t="s">
        <v>767</v>
      </c>
      <c r="E268" t="s">
        <v>70</v>
      </c>
      <c r="F268" t="s">
        <v>46</v>
      </c>
      <c r="G268" t="s">
        <v>47</v>
      </c>
      <c r="H268" t="s">
        <v>39</v>
      </c>
      <c r="I268" t="s">
        <v>61</v>
      </c>
      <c r="J268">
        <v>20985.53</v>
      </c>
      <c r="K268">
        <v>311.02</v>
      </c>
      <c r="L268">
        <v>55.98</v>
      </c>
      <c r="M268">
        <v>316.75</v>
      </c>
      <c r="N268">
        <v>21035.78</v>
      </c>
      <c r="O268">
        <v>611095.35</v>
      </c>
      <c r="P268">
        <v>662</v>
      </c>
      <c r="Q268" t="s">
        <v>53</v>
      </c>
      <c r="R268" t="s">
        <v>75</v>
      </c>
      <c r="S268" t="s">
        <v>62</v>
      </c>
      <c r="T268" t="s">
        <v>32</v>
      </c>
      <c r="U268" s="3">
        <f t="shared" si="4"/>
        <v>45809</v>
      </c>
    </row>
    <row r="269" spans="1:21" x14ac:dyDescent="0.35">
      <c r="A269" t="s">
        <v>768</v>
      </c>
      <c r="B269" t="s">
        <v>558</v>
      </c>
      <c r="C269" t="s">
        <v>95</v>
      </c>
      <c r="D269" t="s">
        <v>483</v>
      </c>
      <c r="E269" t="s">
        <v>45</v>
      </c>
      <c r="F269" t="s">
        <v>59</v>
      </c>
      <c r="G269" t="s">
        <v>47</v>
      </c>
      <c r="H269" t="s">
        <v>39</v>
      </c>
      <c r="I269" t="s">
        <v>40</v>
      </c>
      <c r="J269">
        <v>20677.849999999999</v>
      </c>
      <c r="K269">
        <v>405.29</v>
      </c>
      <c r="L269">
        <v>72.95</v>
      </c>
      <c r="M269">
        <v>290.27999999999997</v>
      </c>
      <c r="N269">
        <v>20865.810000000001</v>
      </c>
      <c r="O269">
        <v>614363.36</v>
      </c>
      <c r="P269">
        <v>595</v>
      </c>
      <c r="Q269" t="s">
        <v>29</v>
      </c>
      <c r="R269" t="s">
        <v>75</v>
      </c>
      <c r="S269" t="s">
        <v>31</v>
      </c>
      <c r="T269" t="s">
        <v>32</v>
      </c>
      <c r="U269" s="3">
        <f t="shared" si="4"/>
        <v>45748</v>
      </c>
    </row>
    <row r="270" spans="1:21" x14ac:dyDescent="0.35">
      <c r="A270" t="s">
        <v>769</v>
      </c>
      <c r="B270" t="s">
        <v>193</v>
      </c>
      <c r="C270" t="s">
        <v>95</v>
      </c>
      <c r="D270" t="s">
        <v>770</v>
      </c>
      <c r="E270" t="s">
        <v>24</v>
      </c>
      <c r="F270" t="s">
        <v>46</v>
      </c>
      <c r="G270" t="s">
        <v>26</v>
      </c>
      <c r="H270" t="s">
        <v>48</v>
      </c>
      <c r="I270" t="s">
        <v>40</v>
      </c>
      <c r="J270">
        <v>76284.63</v>
      </c>
      <c r="K270">
        <v>433.96</v>
      </c>
      <c r="L270">
        <v>78.11</v>
      </c>
      <c r="M270">
        <v>459.71</v>
      </c>
      <c r="N270">
        <v>76336.990000000005</v>
      </c>
      <c r="O270">
        <v>620395.14</v>
      </c>
      <c r="P270">
        <v>826</v>
      </c>
      <c r="Q270" t="s">
        <v>29</v>
      </c>
      <c r="R270" t="s">
        <v>75</v>
      </c>
      <c r="S270" t="s">
        <v>86</v>
      </c>
      <c r="T270" t="s">
        <v>32</v>
      </c>
      <c r="U270" s="3">
        <f t="shared" si="4"/>
        <v>45689</v>
      </c>
    </row>
    <row r="271" spans="1:21" x14ac:dyDescent="0.35">
      <c r="A271" t="s">
        <v>771</v>
      </c>
      <c r="B271" t="s">
        <v>667</v>
      </c>
      <c r="C271" t="s">
        <v>22</v>
      </c>
      <c r="D271" t="s">
        <v>772</v>
      </c>
      <c r="E271" t="s">
        <v>24</v>
      </c>
      <c r="F271" t="s">
        <v>38</v>
      </c>
      <c r="G271" t="s">
        <v>103</v>
      </c>
      <c r="H271" t="s">
        <v>27</v>
      </c>
      <c r="I271" t="s">
        <v>40</v>
      </c>
      <c r="J271">
        <v>185421.51</v>
      </c>
      <c r="K271">
        <v>2832.85</v>
      </c>
      <c r="L271">
        <v>509.91</v>
      </c>
      <c r="M271">
        <v>122.32</v>
      </c>
      <c r="N271">
        <v>188641.95</v>
      </c>
      <c r="O271">
        <v>626519.31000000006</v>
      </c>
      <c r="P271">
        <v>777</v>
      </c>
      <c r="Q271" t="s">
        <v>74</v>
      </c>
      <c r="R271" t="s">
        <v>75</v>
      </c>
      <c r="S271" t="s">
        <v>62</v>
      </c>
      <c r="T271" t="s">
        <v>55</v>
      </c>
      <c r="U271" s="3">
        <f t="shared" si="4"/>
        <v>45717</v>
      </c>
    </row>
    <row r="272" spans="1:21" x14ac:dyDescent="0.35">
      <c r="A272" t="s">
        <v>773</v>
      </c>
      <c r="B272" t="s">
        <v>331</v>
      </c>
      <c r="C272" t="s">
        <v>22</v>
      </c>
      <c r="D272" t="s">
        <v>774</v>
      </c>
      <c r="E272" t="s">
        <v>37</v>
      </c>
      <c r="F272" t="s">
        <v>59</v>
      </c>
      <c r="G272" t="s">
        <v>47</v>
      </c>
      <c r="H272" t="s">
        <v>48</v>
      </c>
      <c r="I272" t="s">
        <v>40</v>
      </c>
      <c r="J272">
        <v>2322.0100000000002</v>
      </c>
      <c r="K272">
        <v>45.43</v>
      </c>
      <c r="L272">
        <v>8.18</v>
      </c>
      <c r="M272">
        <v>180.06</v>
      </c>
      <c r="N272">
        <v>2195.56</v>
      </c>
      <c r="O272">
        <v>621770.01</v>
      </c>
      <c r="P272">
        <v>674</v>
      </c>
      <c r="Q272" t="s">
        <v>53</v>
      </c>
      <c r="R272" t="s">
        <v>75</v>
      </c>
      <c r="S272" t="s">
        <v>79</v>
      </c>
      <c r="T272" t="s">
        <v>41</v>
      </c>
      <c r="U272" s="3">
        <f t="shared" si="4"/>
        <v>45839</v>
      </c>
    </row>
    <row r="273" spans="1:21" x14ac:dyDescent="0.35">
      <c r="A273" t="s">
        <v>775</v>
      </c>
      <c r="B273" t="s">
        <v>776</v>
      </c>
      <c r="C273" t="s">
        <v>22</v>
      </c>
      <c r="D273" t="s">
        <v>777</v>
      </c>
      <c r="E273" t="s">
        <v>37</v>
      </c>
      <c r="F273" t="s">
        <v>38</v>
      </c>
      <c r="G273" t="s">
        <v>47</v>
      </c>
      <c r="H273" t="s">
        <v>27</v>
      </c>
      <c r="I273" t="s">
        <v>61</v>
      </c>
      <c r="J273">
        <v>85665.7</v>
      </c>
      <c r="K273">
        <v>649.46</v>
      </c>
      <c r="L273">
        <v>116.9</v>
      </c>
      <c r="M273">
        <v>270.2</v>
      </c>
      <c r="N273">
        <v>86161.86</v>
      </c>
      <c r="O273">
        <v>631127.32999999996</v>
      </c>
      <c r="P273">
        <v>546</v>
      </c>
      <c r="Q273" t="s">
        <v>53</v>
      </c>
      <c r="R273" t="s">
        <v>30</v>
      </c>
      <c r="S273" t="s">
        <v>31</v>
      </c>
      <c r="T273" t="s">
        <v>41</v>
      </c>
      <c r="U273" s="3">
        <f t="shared" si="4"/>
        <v>45839</v>
      </c>
    </row>
    <row r="274" spans="1:21" x14ac:dyDescent="0.35">
      <c r="A274" t="s">
        <v>778</v>
      </c>
      <c r="B274" t="s">
        <v>779</v>
      </c>
      <c r="C274" t="s">
        <v>95</v>
      </c>
      <c r="D274" t="s">
        <v>780</v>
      </c>
      <c r="E274" t="s">
        <v>70</v>
      </c>
      <c r="F274" t="s">
        <v>38</v>
      </c>
      <c r="G274" t="s">
        <v>26</v>
      </c>
      <c r="H274" t="s">
        <v>66</v>
      </c>
      <c r="I274" t="s">
        <v>61</v>
      </c>
      <c r="J274">
        <v>24044.29</v>
      </c>
      <c r="K274">
        <v>233.06</v>
      </c>
      <c r="L274">
        <v>41.95</v>
      </c>
      <c r="M274">
        <v>48.26</v>
      </c>
      <c r="N274">
        <v>24271.040000000001</v>
      </c>
      <c r="O274">
        <v>627361.62</v>
      </c>
      <c r="P274">
        <v>781</v>
      </c>
      <c r="Q274" t="s">
        <v>53</v>
      </c>
      <c r="R274" t="s">
        <v>75</v>
      </c>
      <c r="S274" t="s">
        <v>31</v>
      </c>
      <c r="T274" t="s">
        <v>55</v>
      </c>
      <c r="U274" s="3">
        <f t="shared" si="4"/>
        <v>45658</v>
      </c>
    </row>
    <row r="275" spans="1:21" x14ac:dyDescent="0.35">
      <c r="A275" t="s">
        <v>781</v>
      </c>
      <c r="B275" t="s">
        <v>638</v>
      </c>
      <c r="C275" t="s">
        <v>22</v>
      </c>
      <c r="D275" t="s">
        <v>782</v>
      </c>
      <c r="E275" t="s">
        <v>70</v>
      </c>
      <c r="F275" t="s">
        <v>25</v>
      </c>
      <c r="G275" t="s">
        <v>26</v>
      </c>
      <c r="H275" t="s">
        <v>27</v>
      </c>
      <c r="I275" t="s">
        <v>40</v>
      </c>
      <c r="J275">
        <v>8292.06</v>
      </c>
      <c r="K275">
        <v>129.66999999999999</v>
      </c>
      <c r="L275">
        <v>23.34</v>
      </c>
      <c r="M275">
        <v>373.16</v>
      </c>
      <c r="N275">
        <v>8071.91</v>
      </c>
      <c r="O275">
        <v>627256.43000000005</v>
      </c>
      <c r="P275">
        <v>704</v>
      </c>
      <c r="Q275" t="s">
        <v>29</v>
      </c>
      <c r="R275" t="s">
        <v>30</v>
      </c>
      <c r="S275" t="s">
        <v>79</v>
      </c>
      <c r="T275" t="s">
        <v>41</v>
      </c>
      <c r="U275" s="3">
        <f t="shared" si="4"/>
        <v>45778</v>
      </c>
    </row>
    <row r="276" spans="1:21" x14ac:dyDescent="0.35">
      <c r="A276" t="s">
        <v>783</v>
      </c>
      <c r="B276" t="s">
        <v>784</v>
      </c>
      <c r="C276" t="s">
        <v>22</v>
      </c>
      <c r="D276" t="s">
        <v>785</v>
      </c>
      <c r="E276" t="s">
        <v>45</v>
      </c>
      <c r="F276" t="s">
        <v>59</v>
      </c>
      <c r="G276" t="s">
        <v>103</v>
      </c>
      <c r="H276" t="s">
        <v>48</v>
      </c>
      <c r="I276" t="s">
        <v>61</v>
      </c>
      <c r="J276">
        <v>114381.3</v>
      </c>
      <c r="K276">
        <v>1110.75</v>
      </c>
      <c r="L276">
        <v>199.94</v>
      </c>
      <c r="M276">
        <v>103.21</v>
      </c>
      <c r="N276">
        <v>115588.78</v>
      </c>
      <c r="O276">
        <v>623495.53</v>
      </c>
      <c r="P276">
        <v>559</v>
      </c>
      <c r="Q276" t="s">
        <v>74</v>
      </c>
      <c r="R276" t="s">
        <v>75</v>
      </c>
      <c r="S276" t="s">
        <v>86</v>
      </c>
      <c r="T276" t="s">
        <v>41</v>
      </c>
      <c r="U276" s="3">
        <f t="shared" si="4"/>
        <v>45901</v>
      </c>
    </row>
    <row r="277" spans="1:21" x14ac:dyDescent="0.35">
      <c r="A277" t="s">
        <v>786</v>
      </c>
      <c r="B277" t="s">
        <v>787</v>
      </c>
      <c r="C277" t="s">
        <v>22</v>
      </c>
      <c r="D277" t="s">
        <v>788</v>
      </c>
      <c r="E277" t="s">
        <v>37</v>
      </c>
      <c r="F277" t="s">
        <v>38</v>
      </c>
      <c r="G277" t="s">
        <v>47</v>
      </c>
      <c r="H277" t="s">
        <v>52</v>
      </c>
      <c r="I277" t="s">
        <v>61</v>
      </c>
      <c r="J277">
        <v>75252.62</v>
      </c>
      <c r="K277">
        <v>999.65</v>
      </c>
      <c r="L277">
        <v>179.94</v>
      </c>
      <c r="M277">
        <v>436.49</v>
      </c>
      <c r="N277">
        <v>75995.72</v>
      </c>
      <c r="O277">
        <v>620743.25</v>
      </c>
      <c r="P277">
        <v>312</v>
      </c>
      <c r="Q277" t="s">
        <v>53</v>
      </c>
      <c r="R277" t="s">
        <v>30</v>
      </c>
      <c r="S277" t="s">
        <v>31</v>
      </c>
      <c r="T277" t="s">
        <v>32</v>
      </c>
      <c r="U277" s="3">
        <f t="shared" si="4"/>
        <v>45931</v>
      </c>
    </row>
    <row r="278" spans="1:21" x14ac:dyDescent="0.35">
      <c r="A278" t="s">
        <v>789</v>
      </c>
      <c r="B278" t="s">
        <v>790</v>
      </c>
      <c r="C278" t="s">
        <v>35</v>
      </c>
      <c r="D278" t="s">
        <v>791</v>
      </c>
      <c r="E278" t="s">
        <v>37</v>
      </c>
      <c r="F278" t="s">
        <v>25</v>
      </c>
      <c r="G278" t="s">
        <v>26</v>
      </c>
      <c r="H278" t="s">
        <v>39</v>
      </c>
      <c r="I278" t="s">
        <v>28</v>
      </c>
      <c r="J278">
        <v>56871.78</v>
      </c>
      <c r="K278">
        <v>325.54000000000002</v>
      </c>
      <c r="L278">
        <v>58.6</v>
      </c>
      <c r="M278">
        <v>171.29</v>
      </c>
      <c r="N278">
        <v>57084.63</v>
      </c>
      <c r="O278">
        <v>630472.19999999995</v>
      </c>
      <c r="P278">
        <v>316</v>
      </c>
      <c r="Q278" t="s">
        <v>74</v>
      </c>
      <c r="R278" t="s">
        <v>54</v>
      </c>
      <c r="S278" t="s">
        <v>79</v>
      </c>
      <c r="T278" t="s">
        <v>32</v>
      </c>
      <c r="U278" s="3">
        <f t="shared" si="4"/>
        <v>45717</v>
      </c>
    </row>
    <row r="279" spans="1:21" x14ac:dyDescent="0.35">
      <c r="A279" t="s">
        <v>792</v>
      </c>
      <c r="B279" t="s">
        <v>545</v>
      </c>
      <c r="C279" t="s">
        <v>35</v>
      </c>
      <c r="D279" t="s">
        <v>793</v>
      </c>
      <c r="E279" t="s">
        <v>24</v>
      </c>
      <c r="F279" t="s">
        <v>59</v>
      </c>
      <c r="G279" t="s">
        <v>103</v>
      </c>
      <c r="H279" t="s">
        <v>52</v>
      </c>
      <c r="I279" t="s">
        <v>28</v>
      </c>
      <c r="J279">
        <v>129122.2</v>
      </c>
      <c r="K279">
        <v>1752.57</v>
      </c>
      <c r="L279">
        <v>315.45999999999998</v>
      </c>
      <c r="M279">
        <v>307.83999999999997</v>
      </c>
      <c r="N279">
        <v>130882.39</v>
      </c>
      <c r="O279">
        <v>626349.93999999994</v>
      </c>
      <c r="P279">
        <v>757</v>
      </c>
      <c r="Q279" t="s">
        <v>29</v>
      </c>
      <c r="R279" t="s">
        <v>54</v>
      </c>
      <c r="S279" t="s">
        <v>62</v>
      </c>
      <c r="T279" t="s">
        <v>55</v>
      </c>
      <c r="U279" s="3">
        <f t="shared" si="4"/>
        <v>45689</v>
      </c>
    </row>
    <row r="280" spans="1:21" x14ac:dyDescent="0.35">
      <c r="A280" t="s">
        <v>794</v>
      </c>
      <c r="B280" t="s">
        <v>795</v>
      </c>
      <c r="C280" t="s">
        <v>35</v>
      </c>
      <c r="D280" t="s">
        <v>796</v>
      </c>
      <c r="E280" t="s">
        <v>70</v>
      </c>
      <c r="F280" t="s">
        <v>38</v>
      </c>
      <c r="G280" t="s">
        <v>60</v>
      </c>
      <c r="H280" t="s">
        <v>39</v>
      </c>
      <c r="I280" t="s">
        <v>40</v>
      </c>
      <c r="J280">
        <v>107464.17</v>
      </c>
      <c r="K280">
        <v>2005.82</v>
      </c>
      <c r="L280">
        <v>361.05</v>
      </c>
      <c r="M280">
        <v>94.46</v>
      </c>
      <c r="N280">
        <v>109736.58</v>
      </c>
      <c r="O280">
        <v>621827.83999999997</v>
      </c>
      <c r="P280">
        <v>586</v>
      </c>
      <c r="Q280" t="s">
        <v>74</v>
      </c>
      <c r="R280" t="s">
        <v>30</v>
      </c>
      <c r="S280" t="s">
        <v>62</v>
      </c>
      <c r="T280" t="s">
        <v>41</v>
      </c>
      <c r="U280" s="3">
        <f t="shared" si="4"/>
        <v>45809</v>
      </c>
    </row>
    <row r="281" spans="1:21" x14ac:dyDescent="0.35">
      <c r="A281" t="s">
        <v>797</v>
      </c>
      <c r="B281" t="s">
        <v>798</v>
      </c>
      <c r="C281" t="s">
        <v>35</v>
      </c>
      <c r="D281" t="s">
        <v>799</v>
      </c>
      <c r="E281" t="s">
        <v>70</v>
      </c>
      <c r="F281" t="s">
        <v>59</v>
      </c>
      <c r="G281" t="s">
        <v>26</v>
      </c>
      <c r="H281" t="s">
        <v>52</v>
      </c>
      <c r="I281" t="s">
        <v>40</v>
      </c>
      <c r="J281">
        <v>36290.199999999997</v>
      </c>
      <c r="K281">
        <v>212.37</v>
      </c>
      <c r="L281">
        <v>38.229999999999997</v>
      </c>
      <c r="M281">
        <v>196.73</v>
      </c>
      <c r="N281">
        <v>36344.07</v>
      </c>
      <c r="O281">
        <v>620868.73</v>
      </c>
      <c r="P281">
        <v>431</v>
      </c>
      <c r="Q281" t="s">
        <v>74</v>
      </c>
      <c r="R281" t="s">
        <v>75</v>
      </c>
      <c r="S281" t="s">
        <v>86</v>
      </c>
      <c r="T281" t="s">
        <v>41</v>
      </c>
      <c r="U281" s="3">
        <f t="shared" si="4"/>
        <v>45778</v>
      </c>
    </row>
    <row r="282" spans="1:21" x14ac:dyDescent="0.35">
      <c r="A282" t="s">
        <v>800</v>
      </c>
      <c r="B282" t="s">
        <v>801</v>
      </c>
      <c r="C282" t="s">
        <v>95</v>
      </c>
      <c r="D282" t="s">
        <v>594</v>
      </c>
      <c r="E282" t="s">
        <v>37</v>
      </c>
      <c r="F282" t="s">
        <v>38</v>
      </c>
      <c r="G282" t="s">
        <v>26</v>
      </c>
      <c r="H282" t="s">
        <v>52</v>
      </c>
      <c r="I282" t="s">
        <v>40</v>
      </c>
      <c r="J282">
        <v>3321.6</v>
      </c>
      <c r="K282">
        <v>41.08</v>
      </c>
      <c r="L282">
        <v>7.39</v>
      </c>
      <c r="M282">
        <v>497.36</v>
      </c>
      <c r="N282">
        <v>2872.71</v>
      </c>
      <c r="O282">
        <v>617783.96</v>
      </c>
      <c r="P282">
        <v>336</v>
      </c>
      <c r="Q282" t="s">
        <v>29</v>
      </c>
      <c r="R282" t="s">
        <v>75</v>
      </c>
      <c r="S282" t="s">
        <v>31</v>
      </c>
      <c r="T282" t="s">
        <v>55</v>
      </c>
      <c r="U282" s="3">
        <f t="shared" si="4"/>
        <v>45778</v>
      </c>
    </row>
    <row r="283" spans="1:21" x14ac:dyDescent="0.35">
      <c r="A283" t="s">
        <v>802</v>
      </c>
      <c r="B283" t="s">
        <v>128</v>
      </c>
      <c r="C283" t="s">
        <v>95</v>
      </c>
      <c r="D283" t="s">
        <v>803</v>
      </c>
      <c r="E283" t="s">
        <v>70</v>
      </c>
      <c r="F283" t="s">
        <v>59</v>
      </c>
      <c r="G283" t="s">
        <v>47</v>
      </c>
      <c r="H283" t="s">
        <v>66</v>
      </c>
      <c r="I283" t="s">
        <v>40</v>
      </c>
      <c r="J283">
        <v>126643.31</v>
      </c>
      <c r="K283">
        <v>1808.41</v>
      </c>
      <c r="L283">
        <v>325.51</v>
      </c>
      <c r="M283">
        <v>327.38</v>
      </c>
      <c r="N283">
        <v>128449.85</v>
      </c>
      <c r="O283">
        <v>617328.38</v>
      </c>
      <c r="P283">
        <v>599</v>
      </c>
      <c r="Q283" t="s">
        <v>29</v>
      </c>
      <c r="R283" t="s">
        <v>54</v>
      </c>
      <c r="S283" t="s">
        <v>31</v>
      </c>
      <c r="T283" t="s">
        <v>41</v>
      </c>
      <c r="U283" s="3">
        <f t="shared" si="4"/>
        <v>45748</v>
      </c>
    </row>
    <row r="284" spans="1:21" x14ac:dyDescent="0.35">
      <c r="A284" t="s">
        <v>804</v>
      </c>
      <c r="B284" t="s">
        <v>450</v>
      </c>
      <c r="C284" t="s">
        <v>22</v>
      </c>
      <c r="D284" t="s">
        <v>805</v>
      </c>
      <c r="E284" t="s">
        <v>24</v>
      </c>
      <c r="F284" t="s">
        <v>46</v>
      </c>
      <c r="G284" t="s">
        <v>103</v>
      </c>
      <c r="H284" t="s">
        <v>27</v>
      </c>
      <c r="I284" t="s">
        <v>28</v>
      </c>
      <c r="J284">
        <v>1805.63</v>
      </c>
      <c r="K284">
        <v>11.84</v>
      </c>
      <c r="L284">
        <v>2.13</v>
      </c>
      <c r="M284">
        <v>335.24</v>
      </c>
      <c r="N284">
        <v>1484.36</v>
      </c>
      <c r="O284">
        <v>614966.97</v>
      </c>
      <c r="P284">
        <v>432</v>
      </c>
      <c r="Q284" t="s">
        <v>29</v>
      </c>
      <c r="R284" t="s">
        <v>30</v>
      </c>
      <c r="S284" t="s">
        <v>79</v>
      </c>
      <c r="T284" t="s">
        <v>41</v>
      </c>
      <c r="U284" s="3">
        <f t="shared" si="4"/>
        <v>45992</v>
      </c>
    </row>
    <row r="285" spans="1:21" x14ac:dyDescent="0.35">
      <c r="A285" t="s">
        <v>806</v>
      </c>
      <c r="B285" t="s">
        <v>807</v>
      </c>
      <c r="C285" t="s">
        <v>22</v>
      </c>
      <c r="D285" t="s">
        <v>808</v>
      </c>
      <c r="E285" t="s">
        <v>45</v>
      </c>
      <c r="F285" t="s">
        <v>25</v>
      </c>
      <c r="G285" t="s">
        <v>47</v>
      </c>
      <c r="H285" t="s">
        <v>52</v>
      </c>
      <c r="I285" t="s">
        <v>61</v>
      </c>
      <c r="J285">
        <v>143815.65</v>
      </c>
      <c r="K285">
        <v>1986.96</v>
      </c>
      <c r="L285">
        <v>357.65</v>
      </c>
      <c r="M285">
        <v>407.14</v>
      </c>
      <c r="N285">
        <v>145753.12</v>
      </c>
      <c r="O285">
        <v>614706.23</v>
      </c>
      <c r="P285">
        <v>654</v>
      </c>
      <c r="Q285" t="s">
        <v>53</v>
      </c>
      <c r="R285" t="s">
        <v>30</v>
      </c>
      <c r="S285" t="s">
        <v>79</v>
      </c>
      <c r="T285" t="s">
        <v>55</v>
      </c>
      <c r="U285" s="3">
        <f t="shared" si="4"/>
        <v>45839</v>
      </c>
    </row>
    <row r="286" spans="1:21" x14ac:dyDescent="0.35">
      <c r="A286" t="s">
        <v>809</v>
      </c>
      <c r="B286" t="s">
        <v>359</v>
      </c>
      <c r="C286" t="s">
        <v>35</v>
      </c>
      <c r="D286" t="s">
        <v>810</v>
      </c>
      <c r="E286" t="s">
        <v>70</v>
      </c>
      <c r="F286" t="s">
        <v>38</v>
      </c>
      <c r="G286" t="s">
        <v>26</v>
      </c>
      <c r="H286" t="s">
        <v>27</v>
      </c>
      <c r="I286" t="s">
        <v>28</v>
      </c>
      <c r="J286">
        <v>104387.68</v>
      </c>
      <c r="K286">
        <v>872.48</v>
      </c>
      <c r="L286">
        <v>157.05000000000001</v>
      </c>
      <c r="M286">
        <v>95.54</v>
      </c>
      <c r="N286">
        <v>105321.67</v>
      </c>
      <c r="O286">
        <v>622118.51</v>
      </c>
      <c r="P286">
        <v>751</v>
      </c>
      <c r="Q286" t="s">
        <v>29</v>
      </c>
      <c r="R286" t="s">
        <v>75</v>
      </c>
      <c r="S286" t="s">
        <v>86</v>
      </c>
      <c r="T286" t="s">
        <v>55</v>
      </c>
      <c r="U286" s="3">
        <f t="shared" si="4"/>
        <v>45901</v>
      </c>
    </row>
    <row r="287" spans="1:21" x14ac:dyDescent="0.35">
      <c r="A287" t="s">
        <v>811</v>
      </c>
      <c r="B287" t="s">
        <v>746</v>
      </c>
      <c r="C287" t="s">
        <v>95</v>
      </c>
      <c r="D287" t="s">
        <v>812</v>
      </c>
      <c r="E287" t="s">
        <v>24</v>
      </c>
      <c r="F287" t="s">
        <v>46</v>
      </c>
      <c r="G287" t="s">
        <v>103</v>
      </c>
      <c r="H287" t="s">
        <v>52</v>
      </c>
      <c r="I287" t="s">
        <v>40</v>
      </c>
      <c r="J287">
        <v>61965.99</v>
      </c>
      <c r="K287">
        <v>675.32</v>
      </c>
      <c r="L287">
        <v>121.56</v>
      </c>
      <c r="M287">
        <v>4.2699999999999996</v>
      </c>
      <c r="N287">
        <v>62758.6</v>
      </c>
      <c r="O287">
        <v>623523.68999999994</v>
      </c>
      <c r="P287">
        <v>622</v>
      </c>
      <c r="Q287" t="s">
        <v>53</v>
      </c>
      <c r="R287" t="s">
        <v>54</v>
      </c>
      <c r="S287" t="s">
        <v>62</v>
      </c>
      <c r="T287" t="s">
        <v>41</v>
      </c>
      <c r="U287" s="3">
        <f t="shared" si="4"/>
        <v>45778</v>
      </c>
    </row>
    <row r="288" spans="1:21" x14ac:dyDescent="0.35">
      <c r="A288" t="s">
        <v>813</v>
      </c>
      <c r="B288" t="s">
        <v>158</v>
      </c>
      <c r="C288" t="s">
        <v>95</v>
      </c>
      <c r="D288" t="s">
        <v>814</v>
      </c>
      <c r="E288" t="s">
        <v>37</v>
      </c>
      <c r="F288" t="s">
        <v>46</v>
      </c>
      <c r="G288" t="s">
        <v>47</v>
      </c>
      <c r="H288" t="s">
        <v>48</v>
      </c>
      <c r="I288" t="s">
        <v>28</v>
      </c>
      <c r="J288">
        <v>152242.12</v>
      </c>
      <c r="K288">
        <v>2887.14</v>
      </c>
      <c r="L288">
        <v>519.69000000000005</v>
      </c>
      <c r="M288">
        <v>305.41000000000003</v>
      </c>
      <c r="N288">
        <v>155343.54</v>
      </c>
      <c r="O288">
        <v>621183.13</v>
      </c>
      <c r="P288">
        <v>589</v>
      </c>
      <c r="Q288" t="s">
        <v>29</v>
      </c>
      <c r="R288" t="s">
        <v>30</v>
      </c>
      <c r="S288" t="s">
        <v>79</v>
      </c>
      <c r="T288" t="s">
        <v>32</v>
      </c>
      <c r="U288" s="3">
        <f t="shared" si="4"/>
        <v>45992</v>
      </c>
    </row>
    <row r="289" spans="1:21" x14ac:dyDescent="0.35">
      <c r="A289" t="s">
        <v>815</v>
      </c>
      <c r="B289" t="s">
        <v>816</v>
      </c>
      <c r="C289" t="s">
        <v>35</v>
      </c>
      <c r="D289" t="s">
        <v>817</v>
      </c>
      <c r="E289" t="s">
        <v>24</v>
      </c>
      <c r="F289" t="s">
        <v>46</v>
      </c>
      <c r="G289" t="s">
        <v>103</v>
      </c>
      <c r="H289" t="s">
        <v>66</v>
      </c>
      <c r="I289" t="s">
        <v>40</v>
      </c>
      <c r="J289">
        <v>5919.65</v>
      </c>
      <c r="K289">
        <v>96.99</v>
      </c>
      <c r="L289">
        <v>17.46</v>
      </c>
      <c r="M289">
        <v>485.45</v>
      </c>
      <c r="N289">
        <v>5548.65</v>
      </c>
      <c r="O289">
        <v>619203.44999999995</v>
      </c>
      <c r="P289">
        <v>835</v>
      </c>
      <c r="Q289" t="s">
        <v>29</v>
      </c>
      <c r="R289" t="s">
        <v>30</v>
      </c>
      <c r="S289" t="s">
        <v>86</v>
      </c>
      <c r="T289" t="s">
        <v>55</v>
      </c>
      <c r="U289" s="3">
        <f t="shared" si="4"/>
        <v>45717</v>
      </c>
    </row>
    <row r="290" spans="1:21" x14ac:dyDescent="0.35">
      <c r="A290" t="s">
        <v>818</v>
      </c>
      <c r="B290" t="s">
        <v>819</v>
      </c>
      <c r="C290" t="s">
        <v>22</v>
      </c>
      <c r="D290" t="s">
        <v>365</v>
      </c>
      <c r="E290" t="s">
        <v>70</v>
      </c>
      <c r="F290" t="s">
        <v>38</v>
      </c>
      <c r="G290" t="s">
        <v>60</v>
      </c>
      <c r="H290" t="s">
        <v>27</v>
      </c>
      <c r="I290" t="s">
        <v>40</v>
      </c>
      <c r="J290">
        <v>15351.43</v>
      </c>
      <c r="K290">
        <v>261.60000000000002</v>
      </c>
      <c r="L290">
        <v>47.09</v>
      </c>
      <c r="M290">
        <v>331.67</v>
      </c>
      <c r="N290">
        <v>15328.45</v>
      </c>
      <c r="O290">
        <v>623754.99</v>
      </c>
      <c r="P290">
        <v>515</v>
      </c>
      <c r="Q290" t="s">
        <v>74</v>
      </c>
      <c r="R290" t="s">
        <v>54</v>
      </c>
      <c r="S290" t="s">
        <v>86</v>
      </c>
      <c r="T290" t="s">
        <v>32</v>
      </c>
      <c r="U290" s="3">
        <f t="shared" si="4"/>
        <v>45717</v>
      </c>
    </row>
    <row r="291" spans="1:21" x14ac:dyDescent="0.35">
      <c r="A291" t="s">
        <v>820</v>
      </c>
      <c r="B291" t="s">
        <v>137</v>
      </c>
      <c r="C291" t="s">
        <v>35</v>
      </c>
      <c r="D291" t="s">
        <v>821</v>
      </c>
      <c r="E291" t="s">
        <v>37</v>
      </c>
      <c r="F291" t="s">
        <v>46</v>
      </c>
      <c r="G291" t="s">
        <v>60</v>
      </c>
      <c r="H291" t="s">
        <v>52</v>
      </c>
      <c r="I291" t="s">
        <v>61</v>
      </c>
      <c r="J291">
        <v>150517.54</v>
      </c>
      <c r="K291">
        <v>1510.52</v>
      </c>
      <c r="L291">
        <v>271.89</v>
      </c>
      <c r="M291">
        <v>156.66999999999999</v>
      </c>
      <c r="N291">
        <v>152143.28</v>
      </c>
      <c r="O291">
        <v>625547.04</v>
      </c>
      <c r="P291">
        <v>678</v>
      </c>
      <c r="Q291" t="s">
        <v>74</v>
      </c>
      <c r="R291" t="s">
        <v>30</v>
      </c>
      <c r="S291" t="s">
        <v>62</v>
      </c>
      <c r="T291" t="s">
        <v>55</v>
      </c>
      <c r="U291" s="3">
        <f t="shared" si="4"/>
        <v>45748</v>
      </c>
    </row>
    <row r="292" spans="1:21" x14ac:dyDescent="0.35">
      <c r="A292" t="s">
        <v>822</v>
      </c>
      <c r="B292" t="s">
        <v>823</v>
      </c>
      <c r="C292" t="s">
        <v>95</v>
      </c>
      <c r="D292" t="s">
        <v>824</v>
      </c>
      <c r="E292" t="s">
        <v>70</v>
      </c>
      <c r="F292" t="s">
        <v>25</v>
      </c>
      <c r="G292" t="s">
        <v>47</v>
      </c>
      <c r="H292" t="s">
        <v>66</v>
      </c>
      <c r="I292" t="s">
        <v>28</v>
      </c>
      <c r="J292">
        <v>171217.25</v>
      </c>
      <c r="K292">
        <v>1045.42</v>
      </c>
      <c r="L292">
        <v>188.18</v>
      </c>
      <c r="M292">
        <v>176.22</v>
      </c>
      <c r="N292">
        <v>172274.63</v>
      </c>
      <c r="O292">
        <v>633679.48</v>
      </c>
      <c r="P292">
        <v>356</v>
      </c>
      <c r="Q292" t="s">
        <v>29</v>
      </c>
      <c r="R292" t="s">
        <v>54</v>
      </c>
      <c r="S292" t="s">
        <v>62</v>
      </c>
      <c r="T292" t="s">
        <v>55</v>
      </c>
      <c r="U292" s="3">
        <f t="shared" si="4"/>
        <v>45748</v>
      </c>
    </row>
    <row r="293" spans="1:21" x14ac:dyDescent="0.35">
      <c r="A293" t="s">
        <v>825</v>
      </c>
      <c r="B293" t="s">
        <v>529</v>
      </c>
      <c r="C293" t="s">
        <v>22</v>
      </c>
      <c r="D293" t="s">
        <v>826</v>
      </c>
      <c r="E293" t="s">
        <v>24</v>
      </c>
      <c r="F293" t="s">
        <v>38</v>
      </c>
      <c r="G293" t="s">
        <v>60</v>
      </c>
      <c r="H293" t="s">
        <v>39</v>
      </c>
      <c r="I293" t="s">
        <v>61</v>
      </c>
      <c r="J293">
        <v>122678.06</v>
      </c>
      <c r="K293">
        <v>1751.32</v>
      </c>
      <c r="L293">
        <v>315.24</v>
      </c>
      <c r="M293">
        <v>1.84</v>
      </c>
      <c r="N293">
        <v>124742.78</v>
      </c>
      <c r="O293">
        <v>631534.51</v>
      </c>
      <c r="P293">
        <v>406</v>
      </c>
      <c r="Q293" t="s">
        <v>29</v>
      </c>
      <c r="R293" t="s">
        <v>75</v>
      </c>
      <c r="S293" t="s">
        <v>79</v>
      </c>
      <c r="T293" t="s">
        <v>32</v>
      </c>
      <c r="U293" s="3">
        <f t="shared" si="4"/>
        <v>45809</v>
      </c>
    </row>
    <row r="294" spans="1:21" x14ac:dyDescent="0.35">
      <c r="A294" t="s">
        <v>827</v>
      </c>
      <c r="B294" t="s">
        <v>828</v>
      </c>
      <c r="C294" t="s">
        <v>95</v>
      </c>
      <c r="D294" t="s">
        <v>829</v>
      </c>
      <c r="E294" t="s">
        <v>70</v>
      </c>
      <c r="F294" t="s">
        <v>46</v>
      </c>
      <c r="G294" t="s">
        <v>26</v>
      </c>
      <c r="H294" t="s">
        <v>52</v>
      </c>
      <c r="I294" t="s">
        <v>61</v>
      </c>
      <c r="J294">
        <v>29221.91</v>
      </c>
      <c r="K294">
        <v>51.33</v>
      </c>
      <c r="L294">
        <v>9.24</v>
      </c>
      <c r="M294">
        <v>28.05</v>
      </c>
      <c r="N294">
        <v>29254.43</v>
      </c>
      <c r="O294">
        <v>636538.62</v>
      </c>
      <c r="P294">
        <v>454</v>
      </c>
      <c r="Q294" t="s">
        <v>53</v>
      </c>
      <c r="R294" t="s">
        <v>30</v>
      </c>
      <c r="S294" t="s">
        <v>62</v>
      </c>
      <c r="T294" t="s">
        <v>55</v>
      </c>
      <c r="U294" s="3">
        <f t="shared" si="4"/>
        <v>45870</v>
      </c>
    </row>
    <row r="295" spans="1:21" x14ac:dyDescent="0.35">
      <c r="A295" t="s">
        <v>830</v>
      </c>
      <c r="B295" t="s">
        <v>831</v>
      </c>
      <c r="C295" t="s">
        <v>35</v>
      </c>
      <c r="D295" t="s">
        <v>832</v>
      </c>
      <c r="E295" t="s">
        <v>24</v>
      </c>
      <c r="F295" t="s">
        <v>25</v>
      </c>
      <c r="G295" t="s">
        <v>26</v>
      </c>
      <c r="H295" t="s">
        <v>48</v>
      </c>
      <c r="I295" t="s">
        <v>61</v>
      </c>
      <c r="J295">
        <v>179736.43</v>
      </c>
      <c r="K295">
        <v>1324.76</v>
      </c>
      <c r="L295">
        <v>238.46</v>
      </c>
      <c r="M295">
        <v>24.01</v>
      </c>
      <c r="N295">
        <v>181275.64</v>
      </c>
      <c r="O295">
        <v>632861.19999999995</v>
      </c>
      <c r="P295">
        <v>476</v>
      </c>
      <c r="Q295" t="s">
        <v>53</v>
      </c>
      <c r="R295" t="s">
        <v>54</v>
      </c>
      <c r="S295" t="s">
        <v>86</v>
      </c>
      <c r="T295" t="s">
        <v>41</v>
      </c>
      <c r="U295" s="3">
        <f t="shared" si="4"/>
        <v>45809</v>
      </c>
    </row>
    <row r="296" spans="1:21" x14ac:dyDescent="0.35">
      <c r="A296" t="s">
        <v>833</v>
      </c>
      <c r="B296" t="s">
        <v>834</v>
      </c>
      <c r="C296" t="s">
        <v>35</v>
      </c>
      <c r="D296" t="s">
        <v>835</v>
      </c>
      <c r="E296" t="s">
        <v>24</v>
      </c>
      <c r="F296" t="s">
        <v>38</v>
      </c>
      <c r="G296" t="s">
        <v>26</v>
      </c>
      <c r="H296" t="s">
        <v>27</v>
      </c>
      <c r="I296" t="s">
        <v>61</v>
      </c>
      <c r="J296">
        <v>54244.08</v>
      </c>
      <c r="K296">
        <v>333.68</v>
      </c>
      <c r="L296">
        <v>60.06</v>
      </c>
      <c r="M296">
        <v>138.22999999999999</v>
      </c>
      <c r="N296">
        <v>54499.59</v>
      </c>
      <c r="O296">
        <v>631719.68999999994</v>
      </c>
      <c r="P296">
        <v>855</v>
      </c>
      <c r="Q296" t="s">
        <v>74</v>
      </c>
      <c r="R296" t="s">
        <v>75</v>
      </c>
      <c r="S296" t="s">
        <v>31</v>
      </c>
      <c r="T296" t="s">
        <v>32</v>
      </c>
      <c r="U296" s="3">
        <f t="shared" si="4"/>
        <v>45689</v>
      </c>
    </row>
    <row r="297" spans="1:21" x14ac:dyDescent="0.35">
      <c r="A297" t="s">
        <v>836</v>
      </c>
      <c r="B297" t="s">
        <v>837</v>
      </c>
      <c r="C297" t="s">
        <v>35</v>
      </c>
      <c r="D297" t="s">
        <v>838</v>
      </c>
      <c r="E297" t="s">
        <v>37</v>
      </c>
      <c r="F297" t="s">
        <v>25</v>
      </c>
      <c r="G297" t="s">
        <v>60</v>
      </c>
      <c r="H297" t="s">
        <v>48</v>
      </c>
      <c r="I297" t="s">
        <v>40</v>
      </c>
      <c r="J297">
        <v>166885.29</v>
      </c>
      <c r="K297">
        <v>703.7</v>
      </c>
      <c r="L297">
        <v>126.67</v>
      </c>
      <c r="M297">
        <v>163.66999999999999</v>
      </c>
      <c r="N297">
        <v>167551.99</v>
      </c>
      <c r="O297">
        <v>631712.49</v>
      </c>
      <c r="P297">
        <v>651</v>
      </c>
      <c r="Q297" t="s">
        <v>29</v>
      </c>
      <c r="R297" t="s">
        <v>30</v>
      </c>
      <c r="S297" t="s">
        <v>31</v>
      </c>
      <c r="T297" t="s">
        <v>41</v>
      </c>
      <c r="U297" s="3">
        <f t="shared" si="4"/>
        <v>45992</v>
      </c>
    </row>
    <row r="298" spans="1:21" x14ac:dyDescent="0.35">
      <c r="A298" t="s">
        <v>839</v>
      </c>
      <c r="B298" t="s">
        <v>317</v>
      </c>
      <c r="C298" t="s">
        <v>95</v>
      </c>
      <c r="D298" t="s">
        <v>840</v>
      </c>
      <c r="E298" t="s">
        <v>70</v>
      </c>
      <c r="F298" t="s">
        <v>25</v>
      </c>
      <c r="G298" t="s">
        <v>103</v>
      </c>
      <c r="H298" t="s">
        <v>52</v>
      </c>
      <c r="I298" t="s">
        <v>61</v>
      </c>
      <c r="J298">
        <v>174122.96</v>
      </c>
      <c r="K298">
        <v>1595.02</v>
      </c>
      <c r="L298">
        <v>287.10000000000002</v>
      </c>
      <c r="M298">
        <v>166.29</v>
      </c>
      <c r="N298">
        <v>175838.79</v>
      </c>
      <c r="O298">
        <v>633163.86</v>
      </c>
      <c r="P298">
        <v>719</v>
      </c>
      <c r="Q298" t="s">
        <v>29</v>
      </c>
      <c r="R298" t="s">
        <v>75</v>
      </c>
      <c r="S298" t="s">
        <v>31</v>
      </c>
      <c r="T298" t="s">
        <v>32</v>
      </c>
      <c r="U298" s="3">
        <f t="shared" si="4"/>
        <v>45931</v>
      </c>
    </row>
    <row r="299" spans="1:21" x14ac:dyDescent="0.35">
      <c r="A299" t="s">
        <v>841</v>
      </c>
      <c r="B299" t="s">
        <v>683</v>
      </c>
      <c r="C299" t="s">
        <v>22</v>
      </c>
      <c r="D299" t="s">
        <v>842</v>
      </c>
      <c r="E299" t="s">
        <v>37</v>
      </c>
      <c r="F299" t="s">
        <v>25</v>
      </c>
      <c r="G299" t="s">
        <v>26</v>
      </c>
      <c r="H299" t="s">
        <v>48</v>
      </c>
      <c r="I299" t="s">
        <v>61</v>
      </c>
      <c r="J299">
        <v>146746.34</v>
      </c>
      <c r="K299">
        <v>961.98</v>
      </c>
      <c r="L299">
        <v>173.16</v>
      </c>
      <c r="M299">
        <v>411.24</v>
      </c>
      <c r="N299">
        <v>147470.24</v>
      </c>
      <c r="O299">
        <v>637975.69999999995</v>
      </c>
      <c r="P299">
        <v>702</v>
      </c>
      <c r="Q299" t="s">
        <v>74</v>
      </c>
      <c r="R299" t="s">
        <v>75</v>
      </c>
      <c r="S299" t="s">
        <v>62</v>
      </c>
      <c r="T299" t="s">
        <v>55</v>
      </c>
      <c r="U299" s="3">
        <f t="shared" si="4"/>
        <v>45870</v>
      </c>
    </row>
    <row r="300" spans="1:21" x14ac:dyDescent="0.35">
      <c r="A300" t="s">
        <v>843</v>
      </c>
      <c r="B300" t="s">
        <v>844</v>
      </c>
      <c r="C300" t="s">
        <v>95</v>
      </c>
      <c r="D300" t="s">
        <v>845</v>
      </c>
      <c r="E300" t="s">
        <v>24</v>
      </c>
      <c r="F300" t="s">
        <v>46</v>
      </c>
      <c r="G300" t="s">
        <v>26</v>
      </c>
      <c r="H300" t="s">
        <v>27</v>
      </c>
      <c r="I300" t="s">
        <v>61</v>
      </c>
      <c r="J300">
        <v>44994.43</v>
      </c>
      <c r="K300">
        <v>259.73</v>
      </c>
      <c r="L300">
        <v>46.75</v>
      </c>
      <c r="M300">
        <v>482.74</v>
      </c>
      <c r="N300">
        <v>44818.17</v>
      </c>
      <c r="O300">
        <v>647055.35999999999</v>
      </c>
      <c r="P300">
        <v>433</v>
      </c>
      <c r="Q300" t="s">
        <v>29</v>
      </c>
      <c r="R300" t="s">
        <v>75</v>
      </c>
      <c r="S300" t="s">
        <v>79</v>
      </c>
      <c r="T300" t="s">
        <v>41</v>
      </c>
      <c r="U300" s="3">
        <f t="shared" si="4"/>
        <v>45992</v>
      </c>
    </row>
    <row r="301" spans="1:21" x14ac:dyDescent="0.35">
      <c r="A301" t="s">
        <v>846</v>
      </c>
      <c r="B301" t="s">
        <v>847</v>
      </c>
      <c r="C301" t="s">
        <v>22</v>
      </c>
      <c r="D301" t="s">
        <v>848</v>
      </c>
      <c r="E301" t="s">
        <v>45</v>
      </c>
      <c r="F301" t="s">
        <v>59</v>
      </c>
      <c r="G301" t="s">
        <v>103</v>
      </c>
      <c r="H301" t="s">
        <v>66</v>
      </c>
      <c r="I301" t="s">
        <v>40</v>
      </c>
      <c r="J301">
        <v>89000.36</v>
      </c>
      <c r="K301">
        <v>257.52999999999997</v>
      </c>
      <c r="L301">
        <v>46.36</v>
      </c>
      <c r="M301">
        <v>11.96</v>
      </c>
      <c r="N301">
        <v>89292.29</v>
      </c>
      <c r="O301">
        <v>654086.19999999995</v>
      </c>
      <c r="P301">
        <v>395</v>
      </c>
      <c r="Q301" t="s">
        <v>74</v>
      </c>
      <c r="R301" t="s">
        <v>54</v>
      </c>
      <c r="S301" t="s">
        <v>62</v>
      </c>
      <c r="T301" t="s">
        <v>41</v>
      </c>
      <c r="U301" s="3">
        <f t="shared" si="4"/>
        <v>45901</v>
      </c>
    </row>
    <row r="302" spans="1:21" x14ac:dyDescent="0.35">
      <c r="A302" t="s">
        <v>849</v>
      </c>
      <c r="B302" t="s">
        <v>850</v>
      </c>
      <c r="C302" t="s">
        <v>95</v>
      </c>
      <c r="D302" t="s">
        <v>851</v>
      </c>
      <c r="E302" t="s">
        <v>37</v>
      </c>
      <c r="F302" t="s">
        <v>38</v>
      </c>
      <c r="G302" t="s">
        <v>103</v>
      </c>
      <c r="H302" t="s">
        <v>39</v>
      </c>
      <c r="I302" t="s">
        <v>61</v>
      </c>
      <c r="J302">
        <v>129936.03</v>
      </c>
      <c r="K302">
        <v>1475.25</v>
      </c>
      <c r="L302">
        <v>265.55</v>
      </c>
      <c r="M302">
        <v>432.25</v>
      </c>
      <c r="N302">
        <v>131244.57999999999</v>
      </c>
      <c r="O302">
        <v>654796.44999999995</v>
      </c>
      <c r="P302">
        <v>865</v>
      </c>
      <c r="Q302" t="s">
        <v>53</v>
      </c>
      <c r="R302" t="s">
        <v>75</v>
      </c>
      <c r="S302" t="s">
        <v>31</v>
      </c>
      <c r="T302" t="s">
        <v>32</v>
      </c>
      <c r="U302" s="3">
        <f t="shared" si="4"/>
        <v>45809</v>
      </c>
    </row>
    <row r="303" spans="1:21" x14ac:dyDescent="0.35">
      <c r="A303" t="s">
        <v>852</v>
      </c>
      <c r="B303" t="s">
        <v>853</v>
      </c>
      <c r="C303" t="s">
        <v>35</v>
      </c>
      <c r="D303" t="s">
        <v>854</v>
      </c>
      <c r="E303" t="s">
        <v>45</v>
      </c>
      <c r="F303" t="s">
        <v>38</v>
      </c>
      <c r="G303" t="s">
        <v>60</v>
      </c>
      <c r="H303" t="s">
        <v>48</v>
      </c>
      <c r="I303" t="s">
        <v>40</v>
      </c>
      <c r="J303">
        <v>104466.82</v>
      </c>
      <c r="K303">
        <v>1755.52</v>
      </c>
      <c r="L303">
        <v>315.99</v>
      </c>
      <c r="M303">
        <v>238.93</v>
      </c>
      <c r="N303">
        <v>106299.4</v>
      </c>
      <c r="O303">
        <v>650102.06000000006</v>
      </c>
      <c r="P303">
        <v>900</v>
      </c>
      <c r="Q303" t="s">
        <v>53</v>
      </c>
      <c r="R303" t="s">
        <v>75</v>
      </c>
      <c r="S303" t="s">
        <v>31</v>
      </c>
      <c r="T303" t="s">
        <v>32</v>
      </c>
      <c r="U303" s="3">
        <f t="shared" si="4"/>
        <v>45809</v>
      </c>
    </row>
    <row r="304" spans="1:21" x14ac:dyDescent="0.35">
      <c r="A304" t="s">
        <v>855</v>
      </c>
      <c r="B304" t="s">
        <v>856</v>
      </c>
      <c r="C304" t="s">
        <v>95</v>
      </c>
      <c r="D304" t="s">
        <v>857</v>
      </c>
      <c r="E304" t="s">
        <v>45</v>
      </c>
      <c r="F304" t="s">
        <v>59</v>
      </c>
      <c r="G304" t="s">
        <v>26</v>
      </c>
      <c r="H304" t="s">
        <v>39</v>
      </c>
      <c r="I304" t="s">
        <v>28</v>
      </c>
      <c r="J304">
        <v>123620.34</v>
      </c>
      <c r="K304">
        <v>1848.88</v>
      </c>
      <c r="L304">
        <v>332.8</v>
      </c>
      <c r="M304">
        <v>448.9</v>
      </c>
      <c r="N304">
        <v>125353.12</v>
      </c>
      <c r="O304">
        <v>649349.15</v>
      </c>
      <c r="P304">
        <v>772</v>
      </c>
      <c r="Q304" t="s">
        <v>53</v>
      </c>
      <c r="R304" t="s">
        <v>75</v>
      </c>
      <c r="S304" t="s">
        <v>62</v>
      </c>
      <c r="T304" t="s">
        <v>55</v>
      </c>
      <c r="U304" s="3">
        <f t="shared" si="4"/>
        <v>45870</v>
      </c>
    </row>
    <row r="305" spans="1:21" x14ac:dyDescent="0.35">
      <c r="A305" t="s">
        <v>858</v>
      </c>
      <c r="B305" t="s">
        <v>859</v>
      </c>
      <c r="C305" t="s">
        <v>95</v>
      </c>
      <c r="D305" t="s">
        <v>860</v>
      </c>
      <c r="E305" t="s">
        <v>70</v>
      </c>
      <c r="F305" t="s">
        <v>25</v>
      </c>
      <c r="G305" t="s">
        <v>103</v>
      </c>
      <c r="H305" t="s">
        <v>48</v>
      </c>
      <c r="I305" t="s">
        <v>61</v>
      </c>
      <c r="J305">
        <v>146268.82</v>
      </c>
      <c r="K305">
        <v>460.45</v>
      </c>
      <c r="L305">
        <v>82.88</v>
      </c>
      <c r="M305">
        <v>174.02</v>
      </c>
      <c r="N305">
        <v>146638.13</v>
      </c>
      <c r="O305">
        <v>650129.6</v>
      </c>
      <c r="P305">
        <v>538</v>
      </c>
      <c r="Q305" t="s">
        <v>29</v>
      </c>
      <c r="R305" t="s">
        <v>30</v>
      </c>
      <c r="S305" t="s">
        <v>31</v>
      </c>
      <c r="T305" t="s">
        <v>55</v>
      </c>
      <c r="U305" s="3">
        <f t="shared" si="4"/>
        <v>45658</v>
      </c>
    </row>
    <row r="306" spans="1:21" x14ac:dyDescent="0.35">
      <c r="A306" t="s">
        <v>861</v>
      </c>
      <c r="B306" t="s">
        <v>447</v>
      </c>
      <c r="C306" t="s">
        <v>95</v>
      </c>
      <c r="D306" t="s">
        <v>862</v>
      </c>
      <c r="E306" t="s">
        <v>45</v>
      </c>
      <c r="F306" t="s">
        <v>46</v>
      </c>
      <c r="G306" t="s">
        <v>60</v>
      </c>
      <c r="H306" t="s">
        <v>39</v>
      </c>
      <c r="I306" t="s">
        <v>40</v>
      </c>
      <c r="J306">
        <v>34997.279999999999</v>
      </c>
      <c r="K306">
        <v>255.71</v>
      </c>
      <c r="L306">
        <v>46.03</v>
      </c>
      <c r="M306">
        <v>250.7</v>
      </c>
      <c r="N306">
        <v>35048.32</v>
      </c>
      <c r="O306">
        <v>654232.05000000005</v>
      </c>
      <c r="P306">
        <v>854</v>
      </c>
      <c r="Q306" t="s">
        <v>53</v>
      </c>
      <c r="R306" t="s">
        <v>54</v>
      </c>
      <c r="S306" t="s">
        <v>86</v>
      </c>
      <c r="T306" t="s">
        <v>55</v>
      </c>
      <c r="U306" s="3">
        <f t="shared" si="4"/>
        <v>45748</v>
      </c>
    </row>
    <row r="307" spans="1:21" x14ac:dyDescent="0.35">
      <c r="A307" t="s">
        <v>863</v>
      </c>
      <c r="B307" t="s">
        <v>367</v>
      </c>
      <c r="C307" t="s">
        <v>35</v>
      </c>
      <c r="D307" t="s">
        <v>864</v>
      </c>
      <c r="E307" t="s">
        <v>70</v>
      </c>
      <c r="F307" t="s">
        <v>46</v>
      </c>
      <c r="G307" t="s">
        <v>60</v>
      </c>
      <c r="H307" t="s">
        <v>48</v>
      </c>
      <c r="I307" t="s">
        <v>61</v>
      </c>
      <c r="J307">
        <v>101156.79</v>
      </c>
      <c r="K307">
        <v>977.39</v>
      </c>
      <c r="L307">
        <v>175.93</v>
      </c>
      <c r="M307">
        <v>286.42</v>
      </c>
      <c r="N307">
        <v>102023.69</v>
      </c>
      <c r="O307">
        <v>650462.66</v>
      </c>
      <c r="P307">
        <v>837</v>
      </c>
      <c r="Q307" t="s">
        <v>53</v>
      </c>
      <c r="R307" t="s">
        <v>54</v>
      </c>
      <c r="S307" t="s">
        <v>62</v>
      </c>
      <c r="T307" t="s">
        <v>41</v>
      </c>
      <c r="U307" s="3">
        <f t="shared" si="4"/>
        <v>45717</v>
      </c>
    </row>
    <row r="308" spans="1:21" x14ac:dyDescent="0.35">
      <c r="A308" t="s">
        <v>865</v>
      </c>
      <c r="B308" t="s">
        <v>270</v>
      </c>
      <c r="C308" t="s">
        <v>35</v>
      </c>
      <c r="D308" t="s">
        <v>866</v>
      </c>
      <c r="E308" t="s">
        <v>45</v>
      </c>
      <c r="F308" t="s">
        <v>38</v>
      </c>
      <c r="G308" t="s">
        <v>26</v>
      </c>
      <c r="H308" t="s">
        <v>27</v>
      </c>
      <c r="I308" t="s">
        <v>40</v>
      </c>
      <c r="J308">
        <v>123820.35</v>
      </c>
      <c r="K308">
        <v>2067.56</v>
      </c>
      <c r="L308">
        <v>372.16</v>
      </c>
      <c r="M308">
        <v>325.69</v>
      </c>
      <c r="N308">
        <v>125934.38</v>
      </c>
      <c r="O308">
        <v>646421.28</v>
      </c>
      <c r="P308">
        <v>465</v>
      </c>
      <c r="Q308" t="s">
        <v>53</v>
      </c>
      <c r="R308" t="s">
        <v>75</v>
      </c>
      <c r="S308" t="s">
        <v>62</v>
      </c>
      <c r="T308" t="s">
        <v>41</v>
      </c>
      <c r="U308" s="3">
        <f t="shared" si="4"/>
        <v>45717</v>
      </c>
    </row>
    <row r="309" spans="1:21" x14ac:dyDescent="0.35">
      <c r="A309" t="s">
        <v>867</v>
      </c>
      <c r="B309" t="s">
        <v>499</v>
      </c>
      <c r="C309" t="s">
        <v>22</v>
      </c>
      <c r="D309" t="s">
        <v>868</v>
      </c>
      <c r="E309" t="s">
        <v>24</v>
      </c>
      <c r="F309" t="s">
        <v>38</v>
      </c>
      <c r="G309" t="s">
        <v>47</v>
      </c>
      <c r="H309" t="s">
        <v>27</v>
      </c>
      <c r="I309" t="s">
        <v>61</v>
      </c>
      <c r="J309">
        <v>25565.96</v>
      </c>
      <c r="K309">
        <v>408.74</v>
      </c>
      <c r="L309">
        <v>73.569999999999993</v>
      </c>
      <c r="M309">
        <v>253.57</v>
      </c>
      <c r="N309">
        <v>25794.7</v>
      </c>
      <c r="O309">
        <v>648716.52</v>
      </c>
      <c r="P309">
        <v>434</v>
      </c>
      <c r="Q309" t="s">
        <v>53</v>
      </c>
      <c r="R309" t="s">
        <v>75</v>
      </c>
      <c r="S309" t="s">
        <v>79</v>
      </c>
      <c r="T309" t="s">
        <v>55</v>
      </c>
      <c r="U309" s="3">
        <f t="shared" si="4"/>
        <v>45748</v>
      </c>
    </row>
    <row r="310" spans="1:21" x14ac:dyDescent="0.35">
      <c r="A310" t="s">
        <v>869</v>
      </c>
      <c r="B310" t="s">
        <v>870</v>
      </c>
      <c r="C310" t="s">
        <v>35</v>
      </c>
      <c r="D310" t="s">
        <v>871</v>
      </c>
      <c r="E310" t="s">
        <v>45</v>
      </c>
      <c r="F310" t="s">
        <v>38</v>
      </c>
      <c r="G310" t="s">
        <v>47</v>
      </c>
      <c r="H310" t="s">
        <v>66</v>
      </c>
      <c r="I310" t="s">
        <v>40</v>
      </c>
      <c r="J310">
        <v>87663.03</v>
      </c>
      <c r="K310">
        <v>1678.68</v>
      </c>
      <c r="L310">
        <v>302.16000000000003</v>
      </c>
      <c r="M310">
        <v>141.61000000000001</v>
      </c>
      <c r="N310">
        <v>89502.26</v>
      </c>
      <c r="O310">
        <v>652167.64</v>
      </c>
      <c r="P310">
        <v>895</v>
      </c>
      <c r="Q310" t="s">
        <v>29</v>
      </c>
      <c r="R310" t="s">
        <v>75</v>
      </c>
      <c r="S310" t="s">
        <v>62</v>
      </c>
      <c r="T310" t="s">
        <v>41</v>
      </c>
      <c r="U310" s="3">
        <f t="shared" si="4"/>
        <v>45839</v>
      </c>
    </row>
    <row r="311" spans="1:21" x14ac:dyDescent="0.35">
      <c r="A311" t="s">
        <v>872</v>
      </c>
      <c r="B311" t="s">
        <v>847</v>
      </c>
      <c r="C311" t="s">
        <v>95</v>
      </c>
      <c r="D311" t="s">
        <v>873</v>
      </c>
      <c r="E311" t="s">
        <v>24</v>
      </c>
      <c r="F311" t="s">
        <v>25</v>
      </c>
      <c r="G311" t="s">
        <v>60</v>
      </c>
      <c r="H311" t="s">
        <v>66</v>
      </c>
      <c r="I311" t="s">
        <v>28</v>
      </c>
      <c r="J311">
        <v>105935.94</v>
      </c>
      <c r="K311">
        <v>1128.73</v>
      </c>
      <c r="L311">
        <v>203.17</v>
      </c>
      <c r="M311">
        <v>445.99</v>
      </c>
      <c r="N311">
        <v>106821.85</v>
      </c>
      <c r="O311">
        <v>657688.17000000004</v>
      </c>
      <c r="P311">
        <v>595</v>
      </c>
      <c r="Q311" t="s">
        <v>74</v>
      </c>
      <c r="R311" t="s">
        <v>54</v>
      </c>
      <c r="S311" t="s">
        <v>62</v>
      </c>
      <c r="T311" t="s">
        <v>32</v>
      </c>
      <c r="U311" s="3">
        <f t="shared" si="4"/>
        <v>45901</v>
      </c>
    </row>
    <row r="312" spans="1:21" x14ac:dyDescent="0.35">
      <c r="A312" t="s">
        <v>874</v>
      </c>
      <c r="B312" t="s">
        <v>875</v>
      </c>
      <c r="C312" t="s">
        <v>35</v>
      </c>
      <c r="D312" t="s">
        <v>876</v>
      </c>
      <c r="E312" t="s">
        <v>70</v>
      </c>
      <c r="F312" t="s">
        <v>46</v>
      </c>
      <c r="G312" t="s">
        <v>60</v>
      </c>
      <c r="H312" t="s">
        <v>48</v>
      </c>
      <c r="I312" t="s">
        <v>61</v>
      </c>
      <c r="J312">
        <v>131943.03</v>
      </c>
      <c r="K312">
        <v>2083.88</v>
      </c>
      <c r="L312">
        <v>375.1</v>
      </c>
      <c r="M312">
        <v>288.64999999999998</v>
      </c>
      <c r="N312">
        <v>134113.35999999999</v>
      </c>
      <c r="O312">
        <v>657761.43000000005</v>
      </c>
      <c r="P312">
        <v>872</v>
      </c>
      <c r="Q312" t="s">
        <v>74</v>
      </c>
      <c r="R312" t="s">
        <v>30</v>
      </c>
      <c r="S312" t="s">
        <v>79</v>
      </c>
      <c r="T312" t="s">
        <v>55</v>
      </c>
      <c r="U312" s="3">
        <f t="shared" si="4"/>
        <v>45658</v>
      </c>
    </row>
    <row r="313" spans="1:21" x14ac:dyDescent="0.35">
      <c r="A313" t="s">
        <v>877</v>
      </c>
      <c r="B313" t="s">
        <v>187</v>
      </c>
      <c r="C313" t="s">
        <v>95</v>
      </c>
      <c r="D313" t="s">
        <v>878</v>
      </c>
      <c r="E313" t="s">
        <v>37</v>
      </c>
      <c r="F313" t="s">
        <v>25</v>
      </c>
      <c r="G313" t="s">
        <v>103</v>
      </c>
      <c r="H313" t="s">
        <v>52</v>
      </c>
      <c r="I313" t="s">
        <v>40</v>
      </c>
      <c r="J313">
        <v>179549.61</v>
      </c>
      <c r="K313">
        <v>2107.52</v>
      </c>
      <c r="L313">
        <v>379.35</v>
      </c>
      <c r="M313">
        <v>6.14</v>
      </c>
      <c r="N313">
        <v>182030.34</v>
      </c>
      <c r="O313">
        <v>657903.27</v>
      </c>
      <c r="P313">
        <v>471</v>
      </c>
      <c r="Q313" t="s">
        <v>74</v>
      </c>
      <c r="R313" t="s">
        <v>30</v>
      </c>
      <c r="S313" t="s">
        <v>79</v>
      </c>
      <c r="T313" t="s">
        <v>55</v>
      </c>
      <c r="U313" s="3">
        <f t="shared" si="4"/>
        <v>45717</v>
      </c>
    </row>
    <row r="314" spans="1:21" x14ac:dyDescent="0.35">
      <c r="A314" t="s">
        <v>879</v>
      </c>
      <c r="B314" t="s">
        <v>122</v>
      </c>
      <c r="C314" t="s">
        <v>95</v>
      </c>
      <c r="D314" t="s">
        <v>880</v>
      </c>
      <c r="E314" t="s">
        <v>37</v>
      </c>
      <c r="F314" t="s">
        <v>46</v>
      </c>
      <c r="G314" t="s">
        <v>60</v>
      </c>
      <c r="H314" t="s">
        <v>66</v>
      </c>
      <c r="I314" t="s">
        <v>61</v>
      </c>
      <c r="J314">
        <v>15560.91</v>
      </c>
      <c r="K314">
        <v>50.93</v>
      </c>
      <c r="L314">
        <v>9.17</v>
      </c>
      <c r="M314">
        <v>209.97</v>
      </c>
      <c r="N314">
        <v>15411.04</v>
      </c>
      <c r="O314">
        <v>662685.64</v>
      </c>
      <c r="P314">
        <v>875</v>
      </c>
      <c r="Q314" t="s">
        <v>74</v>
      </c>
      <c r="R314" t="s">
        <v>54</v>
      </c>
      <c r="S314" t="s">
        <v>86</v>
      </c>
      <c r="T314" t="s">
        <v>32</v>
      </c>
      <c r="U314" s="3">
        <f t="shared" si="4"/>
        <v>45962</v>
      </c>
    </row>
    <row r="315" spans="1:21" x14ac:dyDescent="0.35">
      <c r="A315" t="s">
        <v>881</v>
      </c>
      <c r="B315" t="s">
        <v>202</v>
      </c>
      <c r="C315" t="s">
        <v>35</v>
      </c>
      <c r="D315" t="s">
        <v>882</v>
      </c>
      <c r="E315" t="s">
        <v>37</v>
      </c>
      <c r="F315" t="s">
        <v>46</v>
      </c>
      <c r="G315" t="s">
        <v>47</v>
      </c>
      <c r="H315" t="s">
        <v>48</v>
      </c>
      <c r="I315" t="s">
        <v>40</v>
      </c>
      <c r="J315">
        <v>21791.9</v>
      </c>
      <c r="K315">
        <v>156.72999999999999</v>
      </c>
      <c r="L315">
        <v>28.21</v>
      </c>
      <c r="M315">
        <v>143.61000000000001</v>
      </c>
      <c r="N315">
        <v>21833.23</v>
      </c>
      <c r="O315">
        <v>658924.19999999995</v>
      </c>
      <c r="P315">
        <v>302</v>
      </c>
      <c r="Q315" t="s">
        <v>74</v>
      </c>
      <c r="R315" t="s">
        <v>54</v>
      </c>
      <c r="S315" t="s">
        <v>79</v>
      </c>
      <c r="T315" t="s">
        <v>41</v>
      </c>
      <c r="U315" s="3">
        <f t="shared" si="4"/>
        <v>45809</v>
      </c>
    </row>
    <row r="316" spans="1:21" x14ac:dyDescent="0.35">
      <c r="A316" t="s">
        <v>883</v>
      </c>
      <c r="B316" t="s">
        <v>306</v>
      </c>
      <c r="C316" t="s">
        <v>22</v>
      </c>
      <c r="D316" t="s">
        <v>884</v>
      </c>
      <c r="E316" t="s">
        <v>24</v>
      </c>
      <c r="F316" t="s">
        <v>46</v>
      </c>
      <c r="G316" t="s">
        <v>26</v>
      </c>
      <c r="H316" t="s">
        <v>52</v>
      </c>
      <c r="I316" t="s">
        <v>40</v>
      </c>
      <c r="J316">
        <v>62982.87</v>
      </c>
      <c r="K316">
        <v>82.41</v>
      </c>
      <c r="L316">
        <v>14.83</v>
      </c>
      <c r="M316">
        <v>124.49</v>
      </c>
      <c r="N316">
        <v>62955.62</v>
      </c>
      <c r="O316">
        <v>659148.68000000005</v>
      </c>
      <c r="P316">
        <v>810</v>
      </c>
      <c r="Q316" t="s">
        <v>29</v>
      </c>
      <c r="R316" t="s">
        <v>75</v>
      </c>
      <c r="S316" t="s">
        <v>86</v>
      </c>
      <c r="T316" t="s">
        <v>55</v>
      </c>
      <c r="U316" s="3">
        <f t="shared" si="4"/>
        <v>45717</v>
      </c>
    </row>
    <row r="317" spans="1:21" x14ac:dyDescent="0.35">
      <c r="A317" t="s">
        <v>885</v>
      </c>
      <c r="B317" t="s">
        <v>784</v>
      </c>
      <c r="C317" t="s">
        <v>95</v>
      </c>
      <c r="D317" t="s">
        <v>886</v>
      </c>
      <c r="E317" t="s">
        <v>37</v>
      </c>
      <c r="F317" t="s">
        <v>38</v>
      </c>
      <c r="G317" t="s">
        <v>60</v>
      </c>
      <c r="H317" t="s">
        <v>39</v>
      </c>
      <c r="I317" t="s">
        <v>40</v>
      </c>
      <c r="J317">
        <v>97361.59</v>
      </c>
      <c r="K317">
        <v>1071.6300000000001</v>
      </c>
      <c r="L317">
        <v>192.89</v>
      </c>
      <c r="M317">
        <v>470.06</v>
      </c>
      <c r="N317">
        <v>98156.05</v>
      </c>
      <c r="O317">
        <v>655821.14</v>
      </c>
      <c r="P317">
        <v>656</v>
      </c>
      <c r="Q317" t="s">
        <v>29</v>
      </c>
      <c r="R317" t="s">
        <v>54</v>
      </c>
      <c r="S317" t="s">
        <v>62</v>
      </c>
      <c r="T317" t="s">
        <v>41</v>
      </c>
      <c r="U317" s="3">
        <f t="shared" si="4"/>
        <v>45901</v>
      </c>
    </row>
    <row r="318" spans="1:21" x14ac:dyDescent="0.35">
      <c r="A318" t="s">
        <v>887</v>
      </c>
      <c r="B318" t="s">
        <v>888</v>
      </c>
      <c r="C318" t="s">
        <v>35</v>
      </c>
      <c r="D318" t="s">
        <v>889</v>
      </c>
      <c r="E318" t="s">
        <v>37</v>
      </c>
      <c r="F318" t="s">
        <v>59</v>
      </c>
      <c r="G318" t="s">
        <v>60</v>
      </c>
      <c r="H318" t="s">
        <v>48</v>
      </c>
      <c r="I318" t="s">
        <v>61</v>
      </c>
      <c r="J318">
        <v>51679.9</v>
      </c>
      <c r="K318">
        <v>981.61</v>
      </c>
      <c r="L318">
        <v>176.69</v>
      </c>
      <c r="M318">
        <v>393.36</v>
      </c>
      <c r="N318">
        <v>52444.84</v>
      </c>
      <c r="O318">
        <v>662715.72</v>
      </c>
      <c r="P318">
        <v>834</v>
      </c>
      <c r="Q318" t="s">
        <v>29</v>
      </c>
      <c r="R318" t="s">
        <v>54</v>
      </c>
      <c r="S318" t="s">
        <v>79</v>
      </c>
      <c r="T318" t="s">
        <v>55</v>
      </c>
      <c r="U318" s="3">
        <f t="shared" si="4"/>
        <v>45962</v>
      </c>
    </row>
    <row r="319" spans="1:21" x14ac:dyDescent="0.35">
      <c r="A319" t="s">
        <v>890</v>
      </c>
      <c r="B319" t="s">
        <v>891</v>
      </c>
      <c r="C319" t="s">
        <v>22</v>
      </c>
      <c r="D319" t="s">
        <v>892</v>
      </c>
      <c r="E319" t="s">
        <v>70</v>
      </c>
      <c r="F319" t="s">
        <v>46</v>
      </c>
      <c r="G319" t="s">
        <v>103</v>
      </c>
      <c r="H319" t="s">
        <v>52</v>
      </c>
      <c r="I319" t="s">
        <v>40</v>
      </c>
      <c r="J319">
        <v>71738.070000000007</v>
      </c>
      <c r="K319">
        <v>700.04</v>
      </c>
      <c r="L319">
        <v>126.01</v>
      </c>
      <c r="M319">
        <v>381.6</v>
      </c>
      <c r="N319">
        <v>72182.52</v>
      </c>
      <c r="O319">
        <v>660652.46</v>
      </c>
      <c r="P319">
        <v>605</v>
      </c>
      <c r="Q319" t="s">
        <v>74</v>
      </c>
      <c r="R319" t="s">
        <v>75</v>
      </c>
      <c r="S319" t="s">
        <v>86</v>
      </c>
      <c r="T319" t="s">
        <v>41</v>
      </c>
      <c r="U319" s="3">
        <f t="shared" si="4"/>
        <v>45658</v>
      </c>
    </row>
    <row r="320" spans="1:21" x14ac:dyDescent="0.35">
      <c r="A320" t="s">
        <v>893</v>
      </c>
      <c r="B320" t="s">
        <v>894</v>
      </c>
      <c r="C320" t="s">
        <v>95</v>
      </c>
      <c r="D320" t="s">
        <v>895</v>
      </c>
      <c r="E320" t="s">
        <v>70</v>
      </c>
      <c r="F320" t="s">
        <v>46</v>
      </c>
      <c r="G320" t="s">
        <v>26</v>
      </c>
      <c r="H320" t="s">
        <v>48</v>
      </c>
      <c r="I320" t="s">
        <v>61</v>
      </c>
      <c r="J320">
        <v>188781.94</v>
      </c>
      <c r="K320">
        <v>3514.62</v>
      </c>
      <c r="L320">
        <v>632.63</v>
      </c>
      <c r="M320">
        <v>431.46</v>
      </c>
      <c r="N320">
        <v>192497.73</v>
      </c>
      <c r="O320">
        <v>657381.39</v>
      </c>
      <c r="P320">
        <v>610</v>
      </c>
      <c r="Q320" t="s">
        <v>29</v>
      </c>
      <c r="R320" t="s">
        <v>30</v>
      </c>
      <c r="S320" t="s">
        <v>86</v>
      </c>
      <c r="T320" t="s">
        <v>32</v>
      </c>
      <c r="U320" s="3">
        <f t="shared" si="4"/>
        <v>45809</v>
      </c>
    </row>
    <row r="321" spans="1:21" x14ac:dyDescent="0.35">
      <c r="A321" t="s">
        <v>896</v>
      </c>
      <c r="B321" t="s">
        <v>543</v>
      </c>
      <c r="C321" t="s">
        <v>35</v>
      </c>
      <c r="D321" t="s">
        <v>897</v>
      </c>
      <c r="E321" t="s">
        <v>37</v>
      </c>
      <c r="F321" t="s">
        <v>38</v>
      </c>
      <c r="G321" t="s">
        <v>60</v>
      </c>
      <c r="H321" t="s">
        <v>39</v>
      </c>
      <c r="I321" t="s">
        <v>61</v>
      </c>
      <c r="J321">
        <v>38202.550000000003</v>
      </c>
      <c r="K321">
        <v>427.15</v>
      </c>
      <c r="L321">
        <v>76.89</v>
      </c>
      <c r="M321">
        <v>476.91</v>
      </c>
      <c r="N321">
        <v>38229.68</v>
      </c>
      <c r="O321">
        <v>657020.1</v>
      </c>
      <c r="P321">
        <v>301</v>
      </c>
      <c r="Q321" t="s">
        <v>29</v>
      </c>
      <c r="R321" t="s">
        <v>75</v>
      </c>
      <c r="S321" t="s">
        <v>31</v>
      </c>
      <c r="T321" t="s">
        <v>41</v>
      </c>
      <c r="U321" s="3">
        <f t="shared" si="4"/>
        <v>45992</v>
      </c>
    </row>
    <row r="322" spans="1:21" x14ac:dyDescent="0.35">
      <c r="A322" t="s">
        <v>898</v>
      </c>
      <c r="B322" t="s">
        <v>899</v>
      </c>
      <c r="C322" t="s">
        <v>35</v>
      </c>
      <c r="D322" t="s">
        <v>900</v>
      </c>
      <c r="E322" t="s">
        <v>70</v>
      </c>
      <c r="F322" t="s">
        <v>25</v>
      </c>
      <c r="G322" t="s">
        <v>47</v>
      </c>
      <c r="H322" t="s">
        <v>39</v>
      </c>
      <c r="I322" t="s">
        <v>28</v>
      </c>
      <c r="J322">
        <v>88849.53</v>
      </c>
      <c r="K322">
        <v>655.58</v>
      </c>
      <c r="L322">
        <v>118</v>
      </c>
      <c r="M322">
        <v>174.58</v>
      </c>
      <c r="N322">
        <v>89448.53</v>
      </c>
      <c r="O322">
        <v>652399.79</v>
      </c>
      <c r="P322">
        <v>732</v>
      </c>
      <c r="Q322" t="s">
        <v>29</v>
      </c>
      <c r="R322" t="s">
        <v>30</v>
      </c>
      <c r="S322" t="s">
        <v>31</v>
      </c>
      <c r="T322" t="s">
        <v>55</v>
      </c>
      <c r="U322" s="3">
        <f t="shared" si="4"/>
        <v>45658</v>
      </c>
    </row>
    <row r="323" spans="1:21" x14ac:dyDescent="0.35">
      <c r="A323" t="s">
        <v>901</v>
      </c>
      <c r="B323" t="s">
        <v>158</v>
      </c>
      <c r="C323" t="s">
        <v>22</v>
      </c>
      <c r="D323" t="s">
        <v>902</v>
      </c>
      <c r="E323" t="s">
        <v>45</v>
      </c>
      <c r="F323" t="s">
        <v>38</v>
      </c>
      <c r="G323" t="s">
        <v>60</v>
      </c>
      <c r="H323" t="s">
        <v>39</v>
      </c>
      <c r="I323" t="s">
        <v>28</v>
      </c>
      <c r="J323">
        <v>124176.11</v>
      </c>
      <c r="K323">
        <v>1039.6300000000001</v>
      </c>
      <c r="L323">
        <v>187.13</v>
      </c>
      <c r="M323">
        <v>416.01</v>
      </c>
      <c r="N323">
        <v>124986.86</v>
      </c>
      <c r="O323">
        <v>652390.65</v>
      </c>
      <c r="P323">
        <v>492</v>
      </c>
      <c r="Q323" t="s">
        <v>74</v>
      </c>
      <c r="R323" t="s">
        <v>54</v>
      </c>
      <c r="S323" t="s">
        <v>62</v>
      </c>
      <c r="T323" t="s">
        <v>55</v>
      </c>
      <c r="U323" s="3">
        <f t="shared" ref="U323:U386" si="5">DATE(YEAR(B323),MONTH(B323),1)</f>
        <v>45992</v>
      </c>
    </row>
    <row r="324" spans="1:21" x14ac:dyDescent="0.35">
      <c r="A324" t="s">
        <v>903</v>
      </c>
      <c r="B324" t="s">
        <v>184</v>
      </c>
      <c r="C324" t="s">
        <v>95</v>
      </c>
      <c r="D324" t="s">
        <v>904</v>
      </c>
      <c r="E324" t="s">
        <v>45</v>
      </c>
      <c r="F324" t="s">
        <v>59</v>
      </c>
      <c r="G324" t="s">
        <v>60</v>
      </c>
      <c r="H324" t="s">
        <v>39</v>
      </c>
      <c r="I324" t="s">
        <v>61</v>
      </c>
      <c r="J324">
        <v>13322.56</v>
      </c>
      <c r="K324">
        <v>264.91000000000003</v>
      </c>
      <c r="L324">
        <v>47.68</v>
      </c>
      <c r="M324">
        <v>464.35</v>
      </c>
      <c r="N324">
        <v>13170.8</v>
      </c>
      <c r="O324">
        <v>652322.96</v>
      </c>
      <c r="P324">
        <v>520</v>
      </c>
      <c r="Q324" t="s">
        <v>29</v>
      </c>
      <c r="R324" t="s">
        <v>30</v>
      </c>
      <c r="S324" t="s">
        <v>31</v>
      </c>
      <c r="T324" t="s">
        <v>41</v>
      </c>
      <c r="U324" s="3">
        <f t="shared" si="5"/>
        <v>45778</v>
      </c>
    </row>
    <row r="325" spans="1:21" x14ac:dyDescent="0.35">
      <c r="A325" t="s">
        <v>905</v>
      </c>
      <c r="B325" t="s">
        <v>245</v>
      </c>
      <c r="C325" t="s">
        <v>22</v>
      </c>
      <c r="D325" t="s">
        <v>906</v>
      </c>
      <c r="E325" t="s">
        <v>70</v>
      </c>
      <c r="F325" t="s">
        <v>38</v>
      </c>
      <c r="G325" t="s">
        <v>26</v>
      </c>
      <c r="H325" t="s">
        <v>39</v>
      </c>
      <c r="I325" t="s">
        <v>40</v>
      </c>
      <c r="J325">
        <v>31224.31</v>
      </c>
      <c r="K325">
        <v>515.17999999999995</v>
      </c>
      <c r="L325">
        <v>92.73</v>
      </c>
      <c r="M325">
        <v>143.18</v>
      </c>
      <c r="N325">
        <v>31689.040000000001</v>
      </c>
      <c r="O325">
        <v>654098.06999999995</v>
      </c>
      <c r="P325">
        <v>314</v>
      </c>
      <c r="Q325" t="s">
        <v>29</v>
      </c>
      <c r="R325" t="s">
        <v>54</v>
      </c>
      <c r="S325" t="s">
        <v>31</v>
      </c>
      <c r="T325" t="s">
        <v>32</v>
      </c>
      <c r="U325" s="3">
        <f t="shared" si="5"/>
        <v>45778</v>
      </c>
    </row>
    <row r="326" spans="1:21" x14ac:dyDescent="0.35">
      <c r="A326" t="s">
        <v>907</v>
      </c>
      <c r="B326" t="s">
        <v>908</v>
      </c>
      <c r="C326" t="s">
        <v>35</v>
      </c>
      <c r="D326" t="s">
        <v>909</v>
      </c>
      <c r="E326" t="s">
        <v>45</v>
      </c>
      <c r="F326" t="s">
        <v>38</v>
      </c>
      <c r="G326" t="s">
        <v>60</v>
      </c>
      <c r="H326" t="s">
        <v>48</v>
      </c>
      <c r="I326" t="s">
        <v>28</v>
      </c>
      <c r="J326">
        <v>14732.71</v>
      </c>
      <c r="K326">
        <v>157.29</v>
      </c>
      <c r="L326">
        <v>28.31</v>
      </c>
      <c r="M326">
        <v>249.06</v>
      </c>
      <c r="N326">
        <v>14669.25</v>
      </c>
      <c r="O326">
        <v>650903.47</v>
      </c>
      <c r="P326">
        <v>547</v>
      </c>
      <c r="Q326" t="s">
        <v>29</v>
      </c>
      <c r="R326" t="s">
        <v>75</v>
      </c>
      <c r="S326" t="s">
        <v>86</v>
      </c>
      <c r="T326" t="s">
        <v>55</v>
      </c>
      <c r="U326" s="3">
        <f t="shared" si="5"/>
        <v>45870</v>
      </c>
    </row>
    <row r="327" spans="1:21" x14ac:dyDescent="0.35">
      <c r="A327" t="s">
        <v>910</v>
      </c>
      <c r="B327" t="s">
        <v>911</v>
      </c>
      <c r="C327" t="s">
        <v>22</v>
      </c>
      <c r="D327" t="s">
        <v>912</v>
      </c>
      <c r="E327" t="s">
        <v>37</v>
      </c>
      <c r="F327" t="s">
        <v>59</v>
      </c>
      <c r="G327" t="s">
        <v>103</v>
      </c>
      <c r="H327" t="s">
        <v>52</v>
      </c>
      <c r="I327" t="s">
        <v>40</v>
      </c>
      <c r="J327">
        <v>51739.77</v>
      </c>
      <c r="K327">
        <v>465.46</v>
      </c>
      <c r="L327">
        <v>83.78</v>
      </c>
      <c r="M327">
        <v>269.2</v>
      </c>
      <c r="N327">
        <v>52019.81</v>
      </c>
      <c r="O327">
        <v>653344.84</v>
      </c>
      <c r="P327">
        <v>500</v>
      </c>
      <c r="Q327" t="s">
        <v>29</v>
      </c>
      <c r="R327" t="s">
        <v>75</v>
      </c>
      <c r="S327" t="s">
        <v>86</v>
      </c>
      <c r="T327" t="s">
        <v>41</v>
      </c>
      <c r="U327" s="3">
        <f t="shared" si="5"/>
        <v>45931</v>
      </c>
    </row>
    <row r="328" spans="1:21" x14ac:dyDescent="0.35">
      <c r="A328" t="s">
        <v>913</v>
      </c>
      <c r="B328" t="s">
        <v>914</v>
      </c>
      <c r="C328" t="s">
        <v>95</v>
      </c>
      <c r="D328" t="s">
        <v>915</v>
      </c>
      <c r="E328" t="s">
        <v>70</v>
      </c>
      <c r="F328" t="s">
        <v>59</v>
      </c>
      <c r="G328" t="s">
        <v>60</v>
      </c>
      <c r="H328" t="s">
        <v>39</v>
      </c>
      <c r="I328" t="s">
        <v>40</v>
      </c>
      <c r="J328">
        <v>159040.01999999999</v>
      </c>
      <c r="K328">
        <v>1433.86</v>
      </c>
      <c r="L328">
        <v>258.08999999999997</v>
      </c>
      <c r="M328">
        <v>39.119999999999997</v>
      </c>
      <c r="N328">
        <v>160692.85</v>
      </c>
      <c r="O328">
        <v>653048.63</v>
      </c>
      <c r="P328">
        <v>622</v>
      </c>
      <c r="Q328" t="s">
        <v>53</v>
      </c>
      <c r="R328" t="s">
        <v>30</v>
      </c>
      <c r="S328" t="s">
        <v>79</v>
      </c>
      <c r="T328" t="s">
        <v>41</v>
      </c>
      <c r="U328" s="3">
        <f t="shared" si="5"/>
        <v>45992</v>
      </c>
    </row>
    <row r="329" spans="1:21" x14ac:dyDescent="0.35">
      <c r="A329" t="s">
        <v>916</v>
      </c>
      <c r="B329" t="s">
        <v>917</v>
      </c>
      <c r="C329" t="s">
        <v>35</v>
      </c>
      <c r="D329" t="s">
        <v>918</v>
      </c>
      <c r="E329" t="s">
        <v>70</v>
      </c>
      <c r="F329" t="s">
        <v>38</v>
      </c>
      <c r="G329" t="s">
        <v>26</v>
      </c>
      <c r="H329" t="s">
        <v>52</v>
      </c>
      <c r="I329" t="s">
        <v>61</v>
      </c>
      <c r="J329">
        <v>189166.04</v>
      </c>
      <c r="K329">
        <v>2676.35</v>
      </c>
      <c r="L329">
        <v>481.74</v>
      </c>
      <c r="M329">
        <v>86.44</v>
      </c>
      <c r="N329">
        <v>192237.69</v>
      </c>
      <c r="O329">
        <v>662741.74</v>
      </c>
      <c r="P329">
        <v>800</v>
      </c>
      <c r="Q329" t="s">
        <v>29</v>
      </c>
      <c r="R329" t="s">
        <v>75</v>
      </c>
      <c r="S329" t="s">
        <v>31</v>
      </c>
      <c r="T329" t="s">
        <v>32</v>
      </c>
      <c r="U329" s="3">
        <f t="shared" si="5"/>
        <v>45870</v>
      </c>
    </row>
    <row r="330" spans="1:21" x14ac:dyDescent="0.35">
      <c r="A330" t="s">
        <v>919</v>
      </c>
      <c r="B330" t="s">
        <v>245</v>
      </c>
      <c r="C330" t="s">
        <v>95</v>
      </c>
      <c r="D330" t="s">
        <v>920</v>
      </c>
      <c r="E330" t="s">
        <v>45</v>
      </c>
      <c r="F330" t="s">
        <v>59</v>
      </c>
      <c r="G330" t="s">
        <v>47</v>
      </c>
      <c r="H330" t="s">
        <v>39</v>
      </c>
      <c r="I330" t="s">
        <v>61</v>
      </c>
      <c r="J330">
        <v>188161.76</v>
      </c>
      <c r="K330">
        <v>2647.6</v>
      </c>
      <c r="L330">
        <v>476.57</v>
      </c>
      <c r="M330">
        <v>128.66999999999999</v>
      </c>
      <c r="N330">
        <v>191157.26</v>
      </c>
      <c r="O330">
        <v>660328.57999999996</v>
      </c>
      <c r="P330">
        <v>569</v>
      </c>
      <c r="Q330" t="s">
        <v>74</v>
      </c>
      <c r="R330" t="s">
        <v>54</v>
      </c>
      <c r="S330" t="s">
        <v>86</v>
      </c>
      <c r="T330" t="s">
        <v>32</v>
      </c>
      <c r="U330" s="3">
        <f t="shared" si="5"/>
        <v>45778</v>
      </c>
    </row>
    <row r="331" spans="1:21" x14ac:dyDescent="0.35">
      <c r="A331" t="s">
        <v>921</v>
      </c>
      <c r="B331" t="s">
        <v>137</v>
      </c>
      <c r="C331" t="s">
        <v>22</v>
      </c>
      <c r="D331" t="s">
        <v>922</v>
      </c>
      <c r="E331" t="s">
        <v>24</v>
      </c>
      <c r="F331" t="s">
        <v>46</v>
      </c>
      <c r="G331" t="s">
        <v>103</v>
      </c>
      <c r="H331" t="s">
        <v>39</v>
      </c>
      <c r="I331" t="s">
        <v>28</v>
      </c>
      <c r="J331">
        <v>142322.54999999999</v>
      </c>
      <c r="K331">
        <v>2510.06</v>
      </c>
      <c r="L331">
        <v>451.81</v>
      </c>
      <c r="M331">
        <v>92.53</v>
      </c>
      <c r="N331">
        <v>145191.89000000001</v>
      </c>
      <c r="O331">
        <v>659765.91</v>
      </c>
      <c r="P331">
        <v>398</v>
      </c>
      <c r="Q331" t="s">
        <v>53</v>
      </c>
      <c r="R331" t="s">
        <v>75</v>
      </c>
      <c r="S331" t="s">
        <v>79</v>
      </c>
      <c r="T331" t="s">
        <v>55</v>
      </c>
      <c r="U331" s="3">
        <f t="shared" si="5"/>
        <v>45748</v>
      </c>
    </row>
    <row r="332" spans="1:21" x14ac:dyDescent="0.35">
      <c r="A332" t="s">
        <v>923</v>
      </c>
      <c r="B332" t="s">
        <v>924</v>
      </c>
      <c r="C332" t="s">
        <v>95</v>
      </c>
      <c r="D332" t="s">
        <v>925</v>
      </c>
      <c r="E332" t="s">
        <v>24</v>
      </c>
      <c r="F332" t="s">
        <v>59</v>
      </c>
      <c r="G332" t="s">
        <v>60</v>
      </c>
      <c r="H332" t="s">
        <v>52</v>
      </c>
      <c r="I332" t="s">
        <v>61</v>
      </c>
      <c r="J332">
        <v>105125.81</v>
      </c>
      <c r="K332">
        <v>1864.65</v>
      </c>
      <c r="L332">
        <v>335.64</v>
      </c>
      <c r="M332">
        <v>489.82</v>
      </c>
      <c r="N332">
        <v>106836.28</v>
      </c>
      <c r="O332">
        <v>666853.99</v>
      </c>
      <c r="P332">
        <v>787</v>
      </c>
      <c r="Q332" t="s">
        <v>29</v>
      </c>
      <c r="R332" t="s">
        <v>30</v>
      </c>
      <c r="S332" t="s">
        <v>79</v>
      </c>
      <c r="T332" t="s">
        <v>55</v>
      </c>
      <c r="U332" s="3">
        <f t="shared" si="5"/>
        <v>45748</v>
      </c>
    </row>
    <row r="333" spans="1:21" x14ac:dyDescent="0.35">
      <c r="A333" t="s">
        <v>926</v>
      </c>
      <c r="B333" t="s">
        <v>927</v>
      </c>
      <c r="C333" t="s">
        <v>22</v>
      </c>
      <c r="D333" t="s">
        <v>928</v>
      </c>
      <c r="E333" t="s">
        <v>70</v>
      </c>
      <c r="F333" t="s">
        <v>59</v>
      </c>
      <c r="G333" t="s">
        <v>26</v>
      </c>
      <c r="H333" t="s">
        <v>52</v>
      </c>
      <c r="I333" t="s">
        <v>28</v>
      </c>
      <c r="J333">
        <v>129331.53</v>
      </c>
      <c r="K333">
        <v>516.69000000000005</v>
      </c>
      <c r="L333">
        <v>93</v>
      </c>
      <c r="M333">
        <v>473.61</v>
      </c>
      <c r="N333">
        <v>129467.61</v>
      </c>
      <c r="O333">
        <v>666878.74</v>
      </c>
      <c r="P333">
        <v>619</v>
      </c>
      <c r="Q333" t="s">
        <v>74</v>
      </c>
      <c r="R333" t="s">
        <v>54</v>
      </c>
      <c r="S333" t="s">
        <v>62</v>
      </c>
      <c r="T333" t="s">
        <v>41</v>
      </c>
      <c r="U333" s="3">
        <f t="shared" si="5"/>
        <v>45748</v>
      </c>
    </row>
    <row r="334" spans="1:21" x14ac:dyDescent="0.35">
      <c r="A334" t="s">
        <v>929</v>
      </c>
      <c r="B334" t="s">
        <v>490</v>
      </c>
      <c r="C334" t="s">
        <v>22</v>
      </c>
      <c r="D334" t="s">
        <v>930</v>
      </c>
      <c r="E334" t="s">
        <v>37</v>
      </c>
      <c r="F334" t="s">
        <v>38</v>
      </c>
      <c r="G334" t="s">
        <v>26</v>
      </c>
      <c r="H334" t="s">
        <v>66</v>
      </c>
      <c r="I334" t="s">
        <v>28</v>
      </c>
      <c r="J334">
        <v>126618.89</v>
      </c>
      <c r="K334">
        <v>2418.38</v>
      </c>
      <c r="L334">
        <v>435.31</v>
      </c>
      <c r="M334">
        <v>322.49</v>
      </c>
      <c r="N334">
        <v>129150.09</v>
      </c>
      <c r="O334">
        <v>667315.36</v>
      </c>
      <c r="P334">
        <v>754</v>
      </c>
      <c r="Q334" t="s">
        <v>29</v>
      </c>
      <c r="R334" t="s">
        <v>30</v>
      </c>
      <c r="S334" t="s">
        <v>31</v>
      </c>
      <c r="T334" t="s">
        <v>32</v>
      </c>
      <c r="U334" s="3">
        <f t="shared" si="5"/>
        <v>45658</v>
      </c>
    </row>
    <row r="335" spans="1:21" x14ac:dyDescent="0.35">
      <c r="A335" t="s">
        <v>931</v>
      </c>
      <c r="B335" t="s">
        <v>932</v>
      </c>
      <c r="C335" t="s">
        <v>95</v>
      </c>
      <c r="D335" t="s">
        <v>933</v>
      </c>
      <c r="E335" t="s">
        <v>70</v>
      </c>
      <c r="F335" t="s">
        <v>38</v>
      </c>
      <c r="G335" t="s">
        <v>47</v>
      </c>
      <c r="H335" t="s">
        <v>52</v>
      </c>
      <c r="I335" t="s">
        <v>40</v>
      </c>
      <c r="J335">
        <v>80871.94</v>
      </c>
      <c r="K335">
        <v>374.21</v>
      </c>
      <c r="L335">
        <v>67.36</v>
      </c>
      <c r="M335">
        <v>205.29</v>
      </c>
      <c r="N335">
        <v>81108.22</v>
      </c>
      <c r="O335">
        <v>665092.06999999995</v>
      </c>
      <c r="P335">
        <v>510</v>
      </c>
      <c r="Q335" t="s">
        <v>74</v>
      </c>
      <c r="R335" t="s">
        <v>30</v>
      </c>
      <c r="S335" t="s">
        <v>31</v>
      </c>
      <c r="T335" t="s">
        <v>55</v>
      </c>
      <c r="U335" s="3">
        <f t="shared" si="5"/>
        <v>45901</v>
      </c>
    </row>
    <row r="336" spans="1:21" x14ac:dyDescent="0.35">
      <c r="A336" t="s">
        <v>934</v>
      </c>
      <c r="B336" t="s">
        <v>935</v>
      </c>
      <c r="C336" t="s">
        <v>95</v>
      </c>
      <c r="D336" t="s">
        <v>936</v>
      </c>
      <c r="E336" t="s">
        <v>24</v>
      </c>
      <c r="F336" t="s">
        <v>38</v>
      </c>
      <c r="G336" t="s">
        <v>103</v>
      </c>
      <c r="H336" t="s">
        <v>66</v>
      </c>
      <c r="I336" t="s">
        <v>40</v>
      </c>
      <c r="J336">
        <v>55962.98</v>
      </c>
      <c r="K336">
        <v>323.89999999999998</v>
      </c>
      <c r="L336">
        <v>58.3</v>
      </c>
      <c r="M336">
        <v>219.16</v>
      </c>
      <c r="N336">
        <v>56126.02</v>
      </c>
      <c r="O336">
        <v>662480.15</v>
      </c>
      <c r="P336">
        <v>764</v>
      </c>
      <c r="Q336" t="s">
        <v>53</v>
      </c>
      <c r="R336" t="s">
        <v>54</v>
      </c>
      <c r="S336" t="s">
        <v>31</v>
      </c>
      <c r="T336" t="s">
        <v>41</v>
      </c>
      <c r="U336" s="3">
        <f t="shared" si="5"/>
        <v>45901</v>
      </c>
    </row>
    <row r="337" spans="1:21" x14ac:dyDescent="0.35">
      <c r="A337" t="s">
        <v>937</v>
      </c>
      <c r="B337" t="s">
        <v>938</v>
      </c>
      <c r="C337" t="s">
        <v>22</v>
      </c>
      <c r="D337" t="s">
        <v>939</v>
      </c>
      <c r="E337" t="s">
        <v>37</v>
      </c>
      <c r="F337" t="s">
        <v>46</v>
      </c>
      <c r="G337" t="s">
        <v>103</v>
      </c>
      <c r="H337" t="s">
        <v>39</v>
      </c>
      <c r="I337" t="s">
        <v>61</v>
      </c>
      <c r="J337">
        <v>133213.07999999999</v>
      </c>
      <c r="K337">
        <v>1900.44</v>
      </c>
      <c r="L337">
        <v>342.08</v>
      </c>
      <c r="M337">
        <v>57.26</v>
      </c>
      <c r="N337">
        <v>135398.34</v>
      </c>
      <c r="O337">
        <v>658225.09</v>
      </c>
      <c r="P337">
        <v>795</v>
      </c>
      <c r="Q337" t="s">
        <v>53</v>
      </c>
      <c r="R337" t="s">
        <v>75</v>
      </c>
      <c r="S337" t="s">
        <v>79</v>
      </c>
      <c r="T337" t="s">
        <v>55</v>
      </c>
      <c r="U337" s="3">
        <f t="shared" si="5"/>
        <v>45962</v>
      </c>
    </row>
    <row r="338" spans="1:21" x14ac:dyDescent="0.35">
      <c r="A338" t="s">
        <v>940</v>
      </c>
      <c r="B338" t="s">
        <v>300</v>
      </c>
      <c r="C338" t="s">
        <v>22</v>
      </c>
      <c r="D338" t="s">
        <v>941</v>
      </c>
      <c r="E338" t="s">
        <v>70</v>
      </c>
      <c r="F338" t="s">
        <v>38</v>
      </c>
      <c r="G338" t="s">
        <v>47</v>
      </c>
      <c r="H338" t="s">
        <v>48</v>
      </c>
      <c r="I338" t="s">
        <v>61</v>
      </c>
      <c r="J338">
        <v>43465.62</v>
      </c>
      <c r="K338">
        <v>582.08000000000004</v>
      </c>
      <c r="L338">
        <v>104.77</v>
      </c>
      <c r="M338">
        <v>456.78</v>
      </c>
      <c r="N338">
        <v>43695.69</v>
      </c>
      <c r="O338">
        <v>656786.24</v>
      </c>
      <c r="P338">
        <v>838</v>
      </c>
      <c r="Q338" t="s">
        <v>29</v>
      </c>
      <c r="R338" t="s">
        <v>75</v>
      </c>
      <c r="S338" t="s">
        <v>31</v>
      </c>
      <c r="T338" t="s">
        <v>32</v>
      </c>
      <c r="U338" s="3">
        <f t="shared" si="5"/>
        <v>45839</v>
      </c>
    </row>
    <row r="339" spans="1:21" x14ac:dyDescent="0.35">
      <c r="A339" t="s">
        <v>942</v>
      </c>
      <c r="B339" t="s">
        <v>181</v>
      </c>
      <c r="C339" t="s">
        <v>95</v>
      </c>
      <c r="D339" t="s">
        <v>943</v>
      </c>
      <c r="E339" t="s">
        <v>24</v>
      </c>
      <c r="F339" t="s">
        <v>46</v>
      </c>
      <c r="G339" t="s">
        <v>26</v>
      </c>
      <c r="H339" t="s">
        <v>52</v>
      </c>
      <c r="I339" t="s">
        <v>61</v>
      </c>
      <c r="J339">
        <v>80640.350000000006</v>
      </c>
      <c r="K339">
        <v>1275.24</v>
      </c>
      <c r="L339">
        <v>229.54</v>
      </c>
      <c r="M339">
        <v>40.799999999999997</v>
      </c>
      <c r="N339">
        <v>82104.33</v>
      </c>
      <c r="O339">
        <v>664747.43000000005</v>
      </c>
      <c r="P339">
        <v>776</v>
      </c>
      <c r="Q339" t="s">
        <v>74</v>
      </c>
      <c r="R339" t="s">
        <v>30</v>
      </c>
      <c r="S339" t="s">
        <v>31</v>
      </c>
      <c r="T339" t="s">
        <v>41</v>
      </c>
      <c r="U339" s="3">
        <f t="shared" si="5"/>
        <v>45778</v>
      </c>
    </row>
    <row r="340" spans="1:21" x14ac:dyDescent="0.35">
      <c r="A340" t="s">
        <v>944</v>
      </c>
      <c r="B340" t="s">
        <v>128</v>
      </c>
      <c r="C340" t="s">
        <v>22</v>
      </c>
      <c r="D340" t="s">
        <v>945</v>
      </c>
      <c r="E340" t="s">
        <v>45</v>
      </c>
      <c r="F340" t="s">
        <v>59</v>
      </c>
      <c r="G340" t="s">
        <v>103</v>
      </c>
      <c r="H340" t="s">
        <v>48</v>
      </c>
      <c r="I340" t="s">
        <v>61</v>
      </c>
      <c r="J340">
        <v>169357.67</v>
      </c>
      <c r="K340">
        <v>1811.52</v>
      </c>
      <c r="L340">
        <v>326.07</v>
      </c>
      <c r="M340">
        <v>43.17</v>
      </c>
      <c r="N340">
        <v>171452.09</v>
      </c>
      <c r="O340">
        <v>664848.31000000006</v>
      </c>
      <c r="P340">
        <v>369</v>
      </c>
      <c r="Q340" t="s">
        <v>29</v>
      </c>
      <c r="R340" t="s">
        <v>30</v>
      </c>
      <c r="S340" t="s">
        <v>62</v>
      </c>
      <c r="T340" t="s">
        <v>32</v>
      </c>
      <c r="U340" s="3">
        <f t="shared" si="5"/>
        <v>45748</v>
      </c>
    </row>
    <row r="341" spans="1:21" x14ac:dyDescent="0.35">
      <c r="A341" t="s">
        <v>946</v>
      </c>
      <c r="B341" t="s">
        <v>911</v>
      </c>
      <c r="C341" t="s">
        <v>95</v>
      </c>
      <c r="D341" t="s">
        <v>947</v>
      </c>
      <c r="E341" t="s">
        <v>24</v>
      </c>
      <c r="F341" t="s">
        <v>46</v>
      </c>
      <c r="G341" t="s">
        <v>26</v>
      </c>
      <c r="H341" t="s">
        <v>52</v>
      </c>
      <c r="I341" t="s">
        <v>40</v>
      </c>
      <c r="J341">
        <v>155682.97</v>
      </c>
      <c r="K341">
        <v>2587.77</v>
      </c>
      <c r="L341">
        <v>465.8</v>
      </c>
      <c r="M341">
        <v>139.37</v>
      </c>
      <c r="N341">
        <v>158597.17000000001</v>
      </c>
      <c r="O341">
        <v>664884.74</v>
      </c>
      <c r="P341">
        <v>387</v>
      </c>
      <c r="Q341" t="s">
        <v>74</v>
      </c>
      <c r="R341" t="s">
        <v>75</v>
      </c>
      <c r="S341" t="s">
        <v>86</v>
      </c>
      <c r="T341" t="s">
        <v>55</v>
      </c>
      <c r="U341" s="3">
        <f t="shared" si="5"/>
        <v>45931</v>
      </c>
    </row>
    <row r="342" spans="1:21" x14ac:dyDescent="0.35">
      <c r="A342" t="s">
        <v>948</v>
      </c>
      <c r="B342" t="s">
        <v>949</v>
      </c>
      <c r="C342" t="s">
        <v>95</v>
      </c>
      <c r="D342" t="s">
        <v>950</v>
      </c>
      <c r="E342" t="s">
        <v>45</v>
      </c>
      <c r="F342" t="s">
        <v>38</v>
      </c>
      <c r="G342" t="s">
        <v>103</v>
      </c>
      <c r="H342" t="s">
        <v>52</v>
      </c>
      <c r="I342" t="s">
        <v>61</v>
      </c>
      <c r="J342">
        <v>133485.35</v>
      </c>
      <c r="K342">
        <v>1086.3699999999999</v>
      </c>
      <c r="L342">
        <v>195.55</v>
      </c>
      <c r="M342">
        <v>94.69</v>
      </c>
      <c r="N342">
        <v>134672.57999999999</v>
      </c>
      <c r="O342">
        <v>674675.73</v>
      </c>
      <c r="P342">
        <v>735</v>
      </c>
      <c r="Q342" t="s">
        <v>29</v>
      </c>
      <c r="R342" t="s">
        <v>30</v>
      </c>
      <c r="S342" t="s">
        <v>79</v>
      </c>
      <c r="T342" t="s">
        <v>32</v>
      </c>
      <c r="U342" s="3">
        <f t="shared" si="5"/>
        <v>45658</v>
      </c>
    </row>
    <row r="343" spans="1:21" x14ac:dyDescent="0.35">
      <c r="A343" t="s">
        <v>951</v>
      </c>
      <c r="B343" t="s">
        <v>831</v>
      </c>
      <c r="C343" t="s">
        <v>35</v>
      </c>
      <c r="D343" t="s">
        <v>952</v>
      </c>
      <c r="E343" t="s">
        <v>70</v>
      </c>
      <c r="F343" t="s">
        <v>25</v>
      </c>
      <c r="G343" t="s">
        <v>47</v>
      </c>
      <c r="H343" t="s">
        <v>52</v>
      </c>
      <c r="I343" t="s">
        <v>28</v>
      </c>
      <c r="J343">
        <v>140161.09</v>
      </c>
      <c r="K343">
        <v>2590.38</v>
      </c>
      <c r="L343">
        <v>466.27</v>
      </c>
      <c r="M343">
        <v>2.25</v>
      </c>
      <c r="N343">
        <v>143215.49</v>
      </c>
      <c r="O343">
        <v>682222.91</v>
      </c>
      <c r="P343">
        <v>801</v>
      </c>
      <c r="Q343" t="s">
        <v>74</v>
      </c>
      <c r="R343" t="s">
        <v>75</v>
      </c>
      <c r="S343" t="s">
        <v>79</v>
      </c>
      <c r="T343" t="s">
        <v>32</v>
      </c>
      <c r="U343" s="3">
        <f t="shared" si="5"/>
        <v>45809</v>
      </c>
    </row>
    <row r="344" spans="1:21" x14ac:dyDescent="0.35">
      <c r="A344" t="s">
        <v>953</v>
      </c>
      <c r="B344" t="s">
        <v>468</v>
      </c>
      <c r="C344" t="s">
        <v>35</v>
      </c>
      <c r="D344" t="s">
        <v>954</v>
      </c>
      <c r="E344" t="s">
        <v>70</v>
      </c>
      <c r="F344" t="s">
        <v>46</v>
      </c>
      <c r="G344" t="s">
        <v>47</v>
      </c>
      <c r="H344" t="s">
        <v>48</v>
      </c>
      <c r="I344" t="s">
        <v>61</v>
      </c>
      <c r="J344">
        <v>117147.91</v>
      </c>
      <c r="K344">
        <v>922.65</v>
      </c>
      <c r="L344">
        <v>166.08</v>
      </c>
      <c r="M344">
        <v>446.9</v>
      </c>
      <c r="N344">
        <v>117789.74</v>
      </c>
      <c r="O344">
        <v>682989.35</v>
      </c>
      <c r="P344">
        <v>320</v>
      </c>
      <c r="Q344" t="s">
        <v>74</v>
      </c>
      <c r="R344" t="s">
        <v>30</v>
      </c>
      <c r="S344" t="s">
        <v>86</v>
      </c>
      <c r="T344" t="s">
        <v>32</v>
      </c>
      <c r="U344" s="3">
        <f t="shared" si="5"/>
        <v>45931</v>
      </c>
    </row>
    <row r="345" spans="1:21" x14ac:dyDescent="0.35">
      <c r="A345" t="s">
        <v>955</v>
      </c>
      <c r="B345" t="s">
        <v>431</v>
      </c>
      <c r="C345" t="s">
        <v>95</v>
      </c>
      <c r="D345" t="s">
        <v>956</v>
      </c>
      <c r="E345" t="s">
        <v>24</v>
      </c>
      <c r="F345" t="s">
        <v>25</v>
      </c>
      <c r="G345" t="s">
        <v>47</v>
      </c>
      <c r="H345" t="s">
        <v>66</v>
      </c>
      <c r="I345" t="s">
        <v>28</v>
      </c>
      <c r="J345">
        <v>90770.32</v>
      </c>
      <c r="K345">
        <v>1790.25</v>
      </c>
      <c r="L345">
        <v>322.25</v>
      </c>
      <c r="M345">
        <v>100.19</v>
      </c>
      <c r="N345">
        <v>92782.63</v>
      </c>
      <c r="O345">
        <v>689799.93</v>
      </c>
      <c r="P345">
        <v>839</v>
      </c>
      <c r="Q345" t="s">
        <v>53</v>
      </c>
      <c r="R345" t="s">
        <v>54</v>
      </c>
      <c r="S345" t="s">
        <v>86</v>
      </c>
      <c r="T345" t="s">
        <v>55</v>
      </c>
      <c r="U345" s="3">
        <f t="shared" si="5"/>
        <v>45870</v>
      </c>
    </row>
    <row r="346" spans="1:21" x14ac:dyDescent="0.35">
      <c r="A346" t="s">
        <v>957</v>
      </c>
      <c r="B346" t="s">
        <v>140</v>
      </c>
      <c r="C346" t="s">
        <v>22</v>
      </c>
      <c r="D346" t="s">
        <v>958</v>
      </c>
      <c r="E346" t="s">
        <v>45</v>
      </c>
      <c r="F346" t="s">
        <v>59</v>
      </c>
      <c r="G346" t="s">
        <v>103</v>
      </c>
      <c r="H346" t="s">
        <v>66</v>
      </c>
      <c r="I346" t="s">
        <v>61</v>
      </c>
      <c r="J346">
        <v>66627.13</v>
      </c>
      <c r="K346">
        <v>1023.69</v>
      </c>
      <c r="L346">
        <v>184.26</v>
      </c>
      <c r="M346">
        <v>379.72</v>
      </c>
      <c r="N346">
        <v>67455.360000000001</v>
      </c>
      <c r="O346">
        <v>689750.45</v>
      </c>
      <c r="P346">
        <v>616</v>
      </c>
      <c r="Q346" t="s">
        <v>53</v>
      </c>
      <c r="R346" t="s">
        <v>54</v>
      </c>
      <c r="S346" t="s">
        <v>79</v>
      </c>
      <c r="T346" t="s">
        <v>55</v>
      </c>
      <c r="U346" s="3">
        <f t="shared" si="5"/>
        <v>45992</v>
      </c>
    </row>
    <row r="347" spans="1:21" x14ac:dyDescent="0.35">
      <c r="A347" t="s">
        <v>959</v>
      </c>
      <c r="B347" t="s">
        <v>790</v>
      </c>
      <c r="C347" t="s">
        <v>95</v>
      </c>
      <c r="D347" t="s">
        <v>960</v>
      </c>
      <c r="E347" t="s">
        <v>24</v>
      </c>
      <c r="F347" t="s">
        <v>46</v>
      </c>
      <c r="G347" t="s">
        <v>60</v>
      </c>
      <c r="H347" t="s">
        <v>48</v>
      </c>
      <c r="I347" t="s">
        <v>61</v>
      </c>
      <c r="J347">
        <v>147488.31</v>
      </c>
      <c r="K347">
        <v>397.63</v>
      </c>
      <c r="L347">
        <v>71.569999999999993</v>
      </c>
      <c r="M347">
        <v>364.96</v>
      </c>
      <c r="N347">
        <v>147592.54999999999</v>
      </c>
      <c r="O347">
        <v>685216.02</v>
      </c>
      <c r="P347">
        <v>898</v>
      </c>
      <c r="Q347" t="s">
        <v>74</v>
      </c>
      <c r="R347" t="s">
        <v>75</v>
      </c>
      <c r="S347" t="s">
        <v>31</v>
      </c>
      <c r="T347" t="s">
        <v>41</v>
      </c>
      <c r="U347" s="3">
        <f t="shared" si="5"/>
        <v>45717</v>
      </c>
    </row>
    <row r="348" spans="1:21" x14ac:dyDescent="0.35">
      <c r="A348" t="s">
        <v>961</v>
      </c>
      <c r="B348" t="s">
        <v>962</v>
      </c>
      <c r="C348" t="s">
        <v>22</v>
      </c>
      <c r="D348" t="s">
        <v>963</v>
      </c>
      <c r="E348" t="s">
        <v>70</v>
      </c>
      <c r="F348" t="s">
        <v>59</v>
      </c>
      <c r="G348" t="s">
        <v>60</v>
      </c>
      <c r="H348" t="s">
        <v>39</v>
      </c>
      <c r="I348" t="s">
        <v>40</v>
      </c>
      <c r="J348">
        <v>189878.56</v>
      </c>
      <c r="K348">
        <v>1872.86</v>
      </c>
      <c r="L348">
        <v>337.11</v>
      </c>
      <c r="M348">
        <v>301.3</v>
      </c>
      <c r="N348">
        <v>191787.23</v>
      </c>
      <c r="O348">
        <v>692217.63</v>
      </c>
      <c r="P348">
        <v>539</v>
      </c>
      <c r="Q348" t="s">
        <v>53</v>
      </c>
      <c r="R348" t="s">
        <v>75</v>
      </c>
      <c r="S348" t="s">
        <v>79</v>
      </c>
      <c r="T348" t="s">
        <v>55</v>
      </c>
      <c r="U348" s="3">
        <f t="shared" si="5"/>
        <v>45870</v>
      </c>
    </row>
    <row r="349" spans="1:21" x14ac:dyDescent="0.35">
      <c r="A349" t="s">
        <v>964</v>
      </c>
      <c r="B349" t="s">
        <v>965</v>
      </c>
      <c r="C349" t="s">
        <v>35</v>
      </c>
      <c r="D349" t="s">
        <v>966</v>
      </c>
      <c r="E349" t="s">
        <v>37</v>
      </c>
      <c r="F349" t="s">
        <v>46</v>
      </c>
      <c r="G349" t="s">
        <v>26</v>
      </c>
      <c r="H349" t="s">
        <v>39</v>
      </c>
      <c r="I349" t="s">
        <v>28</v>
      </c>
      <c r="J349">
        <v>35007.050000000003</v>
      </c>
      <c r="K349">
        <v>603.80999999999995</v>
      </c>
      <c r="L349">
        <v>108.69</v>
      </c>
      <c r="M349">
        <v>87.06</v>
      </c>
      <c r="N349">
        <v>35632.49</v>
      </c>
      <c r="O349">
        <v>690222.58</v>
      </c>
      <c r="P349">
        <v>853</v>
      </c>
      <c r="Q349" t="s">
        <v>29</v>
      </c>
      <c r="R349" t="s">
        <v>54</v>
      </c>
      <c r="S349" t="s">
        <v>31</v>
      </c>
      <c r="T349" t="s">
        <v>55</v>
      </c>
      <c r="U349" s="3">
        <f t="shared" si="5"/>
        <v>45658</v>
      </c>
    </row>
    <row r="350" spans="1:21" x14ac:dyDescent="0.35">
      <c r="A350" t="s">
        <v>967</v>
      </c>
      <c r="B350" t="s">
        <v>251</v>
      </c>
      <c r="C350" t="s">
        <v>22</v>
      </c>
      <c r="D350" t="s">
        <v>968</v>
      </c>
      <c r="E350" t="s">
        <v>24</v>
      </c>
      <c r="F350" t="s">
        <v>25</v>
      </c>
      <c r="G350" t="s">
        <v>26</v>
      </c>
      <c r="H350" t="s">
        <v>52</v>
      </c>
      <c r="I350" t="s">
        <v>40</v>
      </c>
      <c r="J350">
        <v>181783.38</v>
      </c>
      <c r="K350">
        <v>683.9</v>
      </c>
      <c r="L350">
        <v>123.1</v>
      </c>
      <c r="M350">
        <v>114.76</v>
      </c>
      <c r="N350">
        <v>182475.62</v>
      </c>
      <c r="O350">
        <v>694289.41</v>
      </c>
      <c r="P350">
        <v>546</v>
      </c>
      <c r="Q350" t="s">
        <v>29</v>
      </c>
      <c r="R350" t="s">
        <v>54</v>
      </c>
      <c r="S350" t="s">
        <v>62</v>
      </c>
      <c r="T350" t="s">
        <v>41</v>
      </c>
      <c r="U350" s="3">
        <f t="shared" si="5"/>
        <v>45992</v>
      </c>
    </row>
    <row r="351" spans="1:21" x14ac:dyDescent="0.35">
      <c r="A351" t="s">
        <v>969</v>
      </c>
      <c r="B351" t="s">
        <v>81</v>
      </c>
      <c r="C351" t="s">
        <v>22</v>
      </c>
      <c r="D351" t="s">
        <v>970</v>
      </c>
      <c r="E351" t="s">
        <v>45</v>
      </c>
      <c r="F351" t="s">
        <v>59</v>
      </c>
      <c r="G351" t="s">
        <v>26</v>
      </c>
      <c r="H351" t="s">
        <v>39</v>
      </c>
      <c r="I351" t="s">
        <v>61</v>
      </c>
      <c r="J351">
        <v>13654.89</v>
      </c>
      <c r="K351">
        <v>64.739999999999995</v>
      </c>
      <c r="L351">
        <v>11.65</v>
      </c>
      <c r="M351">
        <v>447.5</v>
      </c>
      <c r="N351">
        <v>13283.78</v>
      </c>
      <c r="O351">
        <v>699649.79</v>
      </c>
      <c r="P351">
        <v>527</v>
      </c>
      <c r="Q351" t="s">
        <v>29</v>
      </c>
      <c r="R351" t="s">
        <v>75</v>
      </c>
      <c r="S351" t="s">
        <v>31</v>
      </c>
      <c r="T351" t="s">
        <v>55</v>
      </c>
      <c r="U351" s="3">
        <f t="shared" si="5"/>
        <v>45931</v>
      </c>
    </row>
    <row r="352" spans="1:21" x14ac:dyDescent="0.35">
      <c r="A352" t="s">
        <v>971</v>
      </c>
      <c r="B352" t="s">
        <v>972</v>
      </c>
      <c r="C352" t="s">
        <v>95</v>
      </c>
      <c r="D352" t="s">
        <v>973</v>
      </c>
      <c r="E352" t="s">
        <v>24</v>
      </c>
      <c r="F352" t="s">
        <v>59</v>
      </c>
      <c r="G352" t="s">
        <v>60</v>
      </c>
      <c r="H352" t="s">
        <v>66</v>
      </c>
      <c r="I352" t="s">
        <v>61</v>
      </c>
      <c r="J352">
        <v>166530.82999999999</v>
      </c>
      <c r="K352">
        <v>2397.13</v>
      </c>
      <c r="L352">
        <v>431.48</v>
      </c>
      <c r="M352">
        <v>60.28</v>
      </c>
      <c r="N352">
        <v>169299.16</v>
      </c>
      <c r="O352">
        <v>700052.91</v>
      </c>
      <c r="P352">
        <v>797</v>
      </c>
      <c r="Q352" t="s">
        <v>29</v>
      </c>
      <c r="R352" t="s">
        <v>75</v>
      </c>
      <c r="S352" t="s">
        <v>62</v>
      </c>
      <c r="T352" t="s">
        <v>41</v>
      </c>
      <c r="U352" s="3">
        <f t="shared" si="5"/>
        <v>45870</v>
      </c>
    </row>
    <row r="353" spans="1:21" x14ac:dyDescent="0.35">
      <c r="A353" t="s">
        <v>974</v>
      </c>
      <c r="B353" t="s">
        <v>408</v>
      </c>
      <c r="C353" t="s">
        <v>35</v>
      </c>
      <c r="D353" t="s">
        <v>975</v>
      </c>
      <c r="E353" t="s">
        <v>37</v>
      </c>
      <c r="F353" t="s">
        <v>25</v>
      </c>
      <c r="G353" t="s">
        <v>60</v>
      </c>
      <c r="H353" t="s">
        <v>39</v>
      </c>
      <c r="I353" t="s">
        <v>40</v>
      </c>
      <c r="J353">
        <v>100978.28</v>
      </c>
      <c r="K353">
        <v>233.23</v>
      </c>
      <c r="L353">
        <v>41.98</v>
      </c>
      <c r="M353">
        <v>49.18</v>
      </c>
      <c r="N353">
        <v>101204.31</v>
      </c>
      <c r="O353">
        <v>702506.83</v>
      </c>
      <c r="P353">
        <v>716</v>
      </c>
      <c r="Q353" t="s">
        <v>74</v>
      </c>
      <c r="R353" t="s">
        <v>30</v>
      </c>
      <c r="S353" t="s">
        <v>79</v>
      </c>
      <c r="T353" t="s">
        <v>32</v>
      </c>
      <c r="U353" s="3">
        <f t="shared" si="5"/>
        <v>45870</v>
      </c>
    </row>
    <row r="354" spans="1:21" x14ac:dyDescent="0.35">
      <c r="A354" t="s">
        <v>976</v>
      </c>
      <c r="B354" t="s">
        <v>388</v>
      </c>
      <c r="C354" t="s">
        <v>35</v>
      </c>
      <c r="D354" t="s">
        <v>977</v>
      </c>
      <c r="E354" t="s">
        <v>70</v>
      </c>
      <c r="F354" t="s">
        <v>25</v>
      </c>
      <c r="G354" t="s">
        <v>47</v>
      </c>
      <c r="H354" t="s">
        <v>27</v>
      </c>
      <c r="I354" t="s">
        <v>28</v>
      </c>
      <c r="J354">
        <v>126378.44</v>
      </c>
      <c r="K354">
        <v>1462.54</v>
      </c>
      <c r="L354">
        <v>263.26</v>
      </c>
      <c r="M354">
        <v>165.13</v>
      </c>
      <c r="N354">
        <v>127939.11</v>
      </c>
      <c r="O354">
        <v>699241.08</v>
      </c>
      <c r="P354">
        <v>728</v>
      </c>
      <c r="Q354" t="s">
        <v>53</v>
      </c>
      <c r="R354" t="s">
        <v>30</v>
      </c>
      <c r="S354" t="s">
        <v>62</v>
      </c>
      <c r="T354" t="s">
        <v>41</v>
      </c>
      <c r="U354" s="3">
        <f t="shared" si="5"/>
        <v>45778</v>
      </c>
    </row>
    <row r="355" spans="1:21" x14ac:dyDescent="0.35">
      <c r="A355" t="s">
        <v>978</v>
      </c>
      <c r="B355" t="s">
        <v>422</v>
      </c>
      <c r="C355" t="s">
        <v>35</v>
      </c>
      <c r="D355" t="s">
        <v>979</v>
      </c>
      <c r="E355" t="s">
        <v>24</v>
      </c>
      <c r="F355" t="s">
        <v>25</v>
      </c>
      <c r="G355" t="s">
        <v>60</v>
      </c>
      <c r="H355" t="s">
        <v>27</v>
      </c>
      <c r="I355" t="s">
        <v>61</v>
      </c>
      <c r="J355">
        <v>21424.38</v>
      </c>
      <c r="K355">
        <v>367.13</v>
      </c>
      <c r="L355">
        <v>66.08</v>
      </c>
      <c r="M355">
        <v>182.2</v>
      </c>
      <c r="N355">
        <v>21675.39</v>
      </c>
      <c r="O355">
        <v>703880.23</v>
      </c>
      <c r="P355">
        <v>485</v>
      </c>
      <c r="Q355" t="s">
        <v>53</v>
      </c>
      <c r="R355" t="s">
        <v>30</v>
      </c>
      <c r="S355" t="s">
        <v>62</v>
      </c>
      <c r="T355" t="s">
        <v>55</v>
      </c>
      <c r="U355" s="3">
        <f t="shared" si="5"/>
        <v>45717</v>
      </c>
    </row>
    <row r="356" spans="1:21" x14ac:dyDescent="0.35">
      <c r="A356" t="s">
        <v>980</v>
      </c>
      <c r="B356" t="s">
        <v>981</v>
      </c>
      <c r="C356" t="s">
        <v>35</v>
      </c>
      <c r="D356" t="s">
        <v>982</v>
      </c>
      <c r="E356" t="s">
        <v>37</v>
      </c>
      <c r="F356" t="s">
        <v>46</v>
      </c>
      <c r="G356" t="s">
        <v>26</v>
      </c>
      <c r="H356" t="s">
        <v>27</v>
      </c>
      <c r="I356" t="s">
        <v>28</v>
      </c>
      <c r="J356">
        <v>32125.81</v>
      </c>
      <c r="K356">
        <v>136.93</v>
      </c>
      <c r="L356">
        <v>24.65</v>
      </c>
      <c r="M356">
        <v>457.47</v>
      </c>
      <c r="N356">
        <v>31829.919999999998</v>
      </c>
      <c r="O356">
        <v>708701.43</v>
      </c>
      <c r="P356">
        <v>360</v>
      </c>
      <c r="Q356" t="s">
        <v>53</v>
      </c>
      <c r="R356" t="s">
        <v>75</v>
      </c>
      <c r="S356" t="s">
        <v>62</v>
      </c>
      <c r="T356" t="s">
        <v>41</v>
      </c>
      <c r="U356" s="3">
        <f t="shared" si="5"/>
        <v>45962</v>
      </c>
    </row>
    <row r="357" spans="1:21" x14ac:dyDescent="0.35">
      <c r="A357" t="s">
        <v>983</v>
      </c>
      <c r="B357" t="s">
        <v>21</v>
      </c>
      <c r="C357" t="s">
        <v>95</v>
      </c>
      <c r="D357" t="s">
        <v>984</v>
      </c>
      <c r="E357" t="s">
        <v>45</v>
      </c>
      <c r="F357" t="s">
        <v>38</v>
      </c>
      <c r="G357" t="s">
        <v>47</v>
      </c>
      <c r="H357" t="s">
        <v>52</v>
      </c>
      <c r="I357" t="s">
        <v>61</v>
      </c>
      <c r="J357">
        <v>118956.27</v>
      </c>
      <c r="K357">
        <v>1004.67</v>
      </c>
      <c r="L357">
        <v>180.84</v>
      </c>
      <c r="M357">
        <v>435.53</v>
      </c>
      <c r="N357">
        <v>119706.25</v>
      </c>
      <c r="O357">
        <v>706551.73</v>
      </c>
      <c r="P357">
        <v>709</v>
      </c>
      <c r="Q357" t="s">
        <v>53</v>
      </c>
      <c r="R357" t="s">
        <v>30</v>
      </c>
      <c r="S357" t="s">
        <v>79</v>
      </c>
      <c r="T357" t="s">
        <v>32</v>
      </c>
      <c r="U357" s="3">
        <f t="shared" si="5"/>
        <v>45689</v>
      </c>
    </row>
    <row r="358" spans="1:21" x14ac:dyDescent="0.35">
      <c r="A358" t="s">
        <v>985</v>
      </c>
      <c r="B358" t="s">
        <v>276</v>
      </c>
      <c r="C358" t="s">
        <v>22</v>
      </c>
      <c r="D358" t="s">
        <v>986</v>
      </c>
      <c r="E358" t="s">
        <v>24</v>
      </c>
      <c r="F358" t="s">
        <v>38</v>
      </c>
      <c r="G358" t="s">
        <v>26</v>
      </c>
      <c r="H358" t="s">
        <v>48</v>
      </c>
      <c r="I358" t="s">
        <v>28</v>
      </c>
      <c r="J358">
        <v>92311.67</v>
      </c>
      <c r="K358">
        <v>603</v>
      </c>
      <c r="L358">
        <v>108.54</v>
      </c>
      <c r="M358">
        <v>33.42</v>
      </c>
      <c r="N358">
        <v>92989.79</v>
      </c>
      <c r="O358">
        <v>706992.9</v>
      </c>
      <c r="P358">
        <v>340</v>
      </c>
      <c r="Q358" t="s">
        <v>29</v>
      </c>
      <c r="R358" t="s">
        <v>54</v>
      </c>
      <c r="S358" t="s">
        <v>31</v>
      </c>
      <c r="T358" t="s">
        <v>55</v>
      </c>
      <c r="U358" s="3">
        <f t="shared" si="5"/>
        <v>45870</v>
      </c>
    </row>
    <row r="359" spans="1:21" x14ac:dyDescent="0.35">
      <c r="A359" t="s">
        <v>987</v>
      </c>
      <c r="B359" t="s">
        <v>294</v>
      </c>
      <c r="C359" t="s">
        <v>95</v>
      </c>
      <c r="D359" t="s">
        <v>988</v>
      </c>
      <c r="E359" t="s">
        <v>45</v>
      </c>
      <c r="F359" t="s">
        <v>38</v>
      </c>
      <c r="G359" t="s">
        <v>26</v>
      </c>
      <c r="H359" t="s">
        <v>48</v>
      </c>
      <c r="I359" t="s">
        <v>61</v>
      </c>
      <c r="J359">
        <v>199394.71</v>
      </c>
      <c r="K359">
        <v>2567.19</v>
      </c>
      <c r="L359">
        <v>462.09</v>
      </c>
      <c r="M359">
        <v>362.41</v>
      </c>
      <c r="N359">
        <v>202061.58</v>
      </c>
      <c r="O359">
        <v>716025.91</v>
      </c>
      <c r="P359">
        <v>706</v>
      </c>
      <c r="Q359" t="s">
        <v>53</v>
      </c>
      <c r="R359" t="s">
        <v>30</v>
      </c>
      <c r="S359" t="s">
        <v>31</v>
      </c>
      <c r="T359" t="s">
        <v>55</v>
      </c>
      <c r="U359" s="3">
        <f t="shared" si="5"/>
        <v>45870</v>
      </c>
    </row>
    <row r="360" spans="1:21" x14ac:dyDescent="0.35">
      <c r="A360" t="s">
        <v>989</v>
      </c>
      <c r="B360" t="s">
        <v>938</v>
      </c>
      <c r="C360" t="s">
        <v>35</v>
      </c>
      <c r="D360" t="s">
        <v>990</v>
      </c>
      <c r="E360" t="s">
        <v>70</v>
      </c>
      <c r="F360" t="s">
        <v>46</v>
      </c>
      <c r="G360" t="s">
        <v>47</v>
      </c>
      <c r="H360" t="s">
        <v>27</v>
      </c>
      <c r="I360" t="s">
        <v>40</v>
      </c>
      <c r="J360">
        <v>154306.06</v>
      </c>
      <c r="K360">
        <v>2749.03</v>
      </c>
      <c r="L360">
        <v>494.83</v>
      </c>
      <c r="M360">
        <v>179.61</v>
      </c>
      <c r="N360">
        <v>157370.31</v>
      </c>
      <c r="O360">
        <v>713808.63</v>
      </c>
      <c r="P360">
        <v>696</v>
      </c>
      <c r="Q360" t="s">
        <v>74</v>
      </c>
      <c r="R360" t="s">
        <v>75</v>
      </c>
      <c r="S360" t="s">
        <v>86</v>
      </c>
      <c r="T360" t="s">
        <v>41</v>
      </c>
      <c r="U360" s="3">
        <f t="shared" si="5"/>
        <v>45962</v>
      </c>
    </row>
    <row r="361" spans="1:21" x14ac:dyDescent="0.35">
      <c r="A361" t="s">
        <v>991</v>
      </c>
      <c r="B361" t="s">
        <v>992</v>
      </c>
      <c r="C361" t="s">
        <v>35</v>
      </c>
      <c r="D361" t="s">
        <v>993</v>
      </c>
      <c r="E361" t="s">
        <v>37</v>
      </c>
      <c r="F361" t="s">
        <v>59</v>
      </c>
      <c r="G361" t="s">
        <v>60</v>
      </c>
      <c r="H361" t="s">
        <v>27</v>
      </c>
      <c r="I361" t="s">
        <v>28</v>
      </c>
      <c r="J361">
        <v>102954.43</v>
      </c>
      <c r="K361">
        <v>669.84</v>
      </c>
      <c r="L361">
        <v>120.57</v>
      </c>
      <c r="M361">
        <v>239.47</v>
      </c>
      <c r="N361">
        <v>103505.37</v>
      </c>
      <c r="O361">
        <v>719069.74</v>
      </c>
      <c r="P361">
        <v>756</v>
      </c>
      <c r="Q361" t="s">
        <v>53</v>
      </c>
      <c r="R361" t="s">
        <v>75</v>
      </c>
      <c r="S361" t="s">
        <v>79</v>
      </c>
      <c r="T361" t="s">
        <v>55</v>
      </c>
      <c r="U361" s="3">
        <f t="shared" si="5"/>
        <v>45962</v>
      </c>
    </row>
    <row r="362" spans="1:21" x14ac:dyDescent="0.35">
      <c r="A362" t="s">
        <v>994</v>
      </c>
      <c r="B362" t="s">
        <v>228</v>
      </c>
      <c r="C362" t="s">
        <v>22</v>
      </c>
      <c r="D362" t="s">
        <v>995</v>
      </c>
      <c r="E362" t="s">
        <v>70</v>
      </c>
      <c r="F362" t="s">
        <v>46</v>
      </c>
      <c r="G362" t="s">
        <v>103</v>
      </c>
      <c r="H362" t="s">
        <v>39</v>
      </c>
      <c r="I362" t="s">
        <v>28</v>
      </c>
      <c r="J362">
        <v>5552.03</v>
      </c>
      <c r="K362">
        <v>67.349999999999994</v>
      </c>
      <c r="L362">
        <v>12.12</v>
      </c>
      <c r="M362">
        <v>211.7</v>
      </c>
      <c r="N362">
        <v>5419.8</v>
      </c>
      <c r="O362">
        <v>728361.74</v>
      </c>
      <c r="P362">
        <v>369</v>
      </c>
      <c r="Q362" t="s">
        <v>74</v>
      </c>
      <c r="R362" t="s">
        <v>30</v>
      </c>
      <c r="S362" t="s">
        <v>62</v>
      </c>
      <c r="T362" t="s">
        <v>32</v>
      </c>
      <c r="U362" s="3">
        <f t="shared" si="5"/>
        <v>45992</v>
      </c>
    </row>
    <row r="363" spans="1:21" x14ac:dyDescent="0.35">
      <c r="A363" t="s">
        <v>996</v>
      </c>
      <c r="B363" t="s">
        <v>844</v>
      </c>
      <c r="C363" t="s">
        <v>35</v>
      </c>
      <c r="D363" t="s">
        <v>997</v>
      </c>
      <c r="E363" t="s">
        <v>45</v>
      </c>
      <c r="F363" t="s">
        <v>25</v>
      </c>
      <c r="G363" t="s">
        <v>26</v>
      </c>
      <c r="H363" t="s">
        <v>66</v>
      </c>
      <c r="I363" t="s">
        <v>61</v>
      </c>
      <c r="J363">
        <v>161527.39000000001</v>
      </c>
      <c r="K363">
        <v>1619.59</v>
      </c>
      <c r="L363">
        <v>291.52999999999997</v>
      </c>
      <c r="M363">
        <v>267.24</v>
      </c>
      <c r="N363">
        <v>163171.26999999999</v>
      </c>
      <c r="O363">
        <v>737482.26</v>
      </c>
      <c r="P363">
        <v>382</v>
      </c>
      <c r="Q363" t="s">
        <v>29</v>
      </c>
      <c r="R363" t="s">
        <v>54</v>
      </c>
      <c r="S363" t="s">
        <v>86</v>
      </c>
      <c r="T363" t="s">
        <v>55</v>
      </c>
      <c r="U363" s="3">
        <f t="shared" si="5"/>
        <v>45992</v>
      </c>
    </row>
    <row r="364" spans="1:21" x14ac:dyDescent="0.35">
      <c r="A364" t="s">
        <v>998</v>
      </c>
      <c r="B364" t="s">
        <v>746</v>
      </c>
      <c r="C364" t="s">
        <v>35</v>
      </c>
      <c r="D364" t="s">
        <v>999</v>
      </c>
      <c r="E364" t="s">
        <v>37</v>
      </c>
      <c r="F364" t="s">
        <v>38</v>
      </c>
      <c r="G364" t="s">
        <v>103</v>
      </c>
      <c r="H364" t="s">
        <v>66</v>
      </c>
      <c r="I364" t="s">
        <v>28</v>
      </c>
      <c r="J364">
        <v>99366.41</v>
      </c>
      <c r="K364">
        <v>630.24</v>
      </c>
      <c r="L364">
        <v>113.44</v>
      </c>
      <c r="M364">
        <v>327.47000000000003</v>
      </c>
      <c r="N364">
        <v>99782.62</v>
      </c>
      <c r="O364">
        <v>732589.58</v>
      </c>
      <c r="P364">
        <v>354</v>
      </c>
      <c r="Q364" t="s">
        <v>74</v>
      </c>
      <c r="R364" t="s">
        <v>75</v>
      </c>
      <c r="S364" t="s">
        <v>62</v>
      </c>
      <c r="T364" t="s">
        <v>32</v>
      </c>
      <c r="U364" s="3">
        <f t="shared" si="5"/>
        <v>45778</v>
      </c>
    </row>
    <row r="365" spans="1:21" x14ac:dyDescent="0.35">
      <c r="A365" t="s">
        <v>1000</v>
      </c>
      <c r="B365" t="s">
        <v>140</v>
      </c>
      <c r="C365" t="s">
        <v>35</v>
      </c>
      <c r="D365" t="s">
        <v>1001</v>
      </c>
      <c r="E365" t="s">
        <v>70</v>
      </c>
      <c r="F365" t="s">
        <v>59</v>
      </c>
      <c r="G365" t="s">
        <v>103</v>
      </c>
      <c r="H365" t="s">
        <v>66</v>
      </c>
      <c r="I365" t="s">
        <v>40</v>
      </c>
      <c r="J365">
        <v>102834.27</v>
      </c>
      <c r="K365">
        <v>1925.26</v>
      </c>
      <c r="L365">
        <v>346.55</v>
      </c>
      <c r="M365">
        <v>33.46</v>
      </c>
      <c r="N365">
        <v>105072.62</v>
      </c>
      <c r="O365">
        <v>736238.39</v>
      </c>
      <c r="P365">
        <v>519</v>
      </c>
      <c r="Q365" t="s">
        <v>29</v>
      </c>
      <c r="R365" t="s">
        <v>54</v>
      </c>
      <c r="S365" t="s">
        <v>79</v>
      </c>
      <c r="T365" t="s">
        <v>55</v>
      </c>
      <c r="U365" s="3">
        <f t="shared" si="5"/>
        <v>45992</v>
      </c>
    </row>
    <row r="366" spans="1:21" x14ac:dyDescent="0.35">
      <c r="A366" t="s">
        <v>1002</v>
      </c>
      <c r="B366" t="s">
        <v>172</v>
      </c>
      <c r="C366" t="s">
        <v>35</v>
      </c>
      <c r="D366" t="s">
        <v>1003</v>
      </c>
      <c r="E366" t="s">
        <v>45</v>
      </c>
      <c r="F366" t="s">
        <v>25</v>
      </c>
      <c r="G366" t="s">
        <v>60</v>
      </c>
      <c r="H366" t="s">
        <v>52</v>
      </c>
      <c r="I366" t="s">
        <v>40</v>
      </c>
      <c r="J366">
        <v>194790.92</v>
      </c>
      <c r="K366">
        <v>819.37</v>
      </c>
      <c r="L366">
        <v>147.49</v>
      </c>
      <c r="M366">
        <v>15.78</v>
      </c>
      <c r="N366">
        <v>195742</v>
      </c>
      <c r="O366">
        <v>742027.85</v>
      </c>
      <c r="P366">
        <v>520</v>
      </c>
      <c r="Q366" t="s">
        <v>29</v>
      </c>
      <c r="R366" t="s">
        <v>54</v>
      </c>
      <c r="S366" t="s">
        <v>31</v>
      </c>
      <c r="T366" t="s">
        <v>32</v>
      </c>
      <c r="U366" s="3">
        <f t="shared" si="5"/>
        <v>45717</v>
      </c>
    </row>
    <row r="367" spans="1:21" x14ac:dyDescent="0.35">
      <c r="A367" t="s">
        <v>1004</v>
      </c>
      <c r="B367" t="s">
        <v>1005</v>
      </c>
      <c r="C367" t="s">
        <v>35</v>
      </c>
      <c r="D367" t="s">
        <v>1006</v>
      </c>
      <c r="E367" t="s">
        <v>70</v>
      </c>
      <c r="F367" t="s">
        <v>38</v>
      </c>
      <c r="G367" t="s">
        <v>47</v>
      </c>
      <c r="H367" t="s">
        <v>39</v>
      </c>
      <c r="I367" t="s">
        <v>28</v>
      </c>
      <c r="J367">
        <v>157108.22</v>
      </c>
      <c r="K367">
        <v>2148.42</v>
      </c>
      <c r="L367">
        <v>386.72</v>
      </c>
      <c r="M367">
        <v>192.6</v>
      </c>
      <c r="N367">
        <v>159450.76</v>
      </c>
      <c r="O367">
        <v>740893.68</v>
      </c>
      <c r="P367">
        <v>593</v>
      </c>
      <c r="Q367" t="s">
        <v>29</v>
      </c>
      <c r="R367" t="s">
        <v>30</v>
      </c>
      <c r="S367" t="s">
        <v>31</v>
      </c>
      <c r="T367" t="s">
        <v>32</v>
      </c>
      <c r="U367" s="3">
        <f t="shared" si="5"/>
        <v>45901</v>
      </c>
    </row>
    <row r="368" spans="1:21" x14ac:dyDescent="0.35">
      <c r="A368" t="s">
        <v>1007</v>
      </c>
      <c r="B368" t="s">
        <v>279</v>
      </c>
      <c r="C368" t="s">
        <v>95</v>
      </c>
      <c r="D368" t="s">
        <v>1008</v>
      </c>
      <c r="E368" t="s">
        <v>45</v>
      </c>
      <c r="F368" t="s">
        <v>25</v>
      </c>
      <c r="G368" t="s">
        <v>60</v>
      </c>
      <c r="H368" t="s">
        <v>27</v>
      </c>
      <c r="I368" t="s">
        <v>28</v>
      </c>
      <c r="J368">
        <v>127932.44</v>
      </c>
      <c r="K368">
        <v>1084.67</v>
      </c>
      <c r="L368">
        <v>195.24</v>
      </c>
      <c r="M368">
        <v>175.98</v>
      </c>
      <c r="N368">
        <v>129036.37</v>
      </c>
      <c r="O368">
        <v>743812.35</v>
      </c>
      <c r="P368">
        <v>726</v>
      </c>
      <c r="Q368" t="s">
        <v>29</v>
      </c>
      <c r="R368" t="s">
        <v>30</v>
      </c>
      <c r="S368" t="s">
        <v>31</v>
      </c>
      <c r="T368" t="s">
        <v>41</v>
      </c>
      <c r="U368" s="3">
        <f t="shared" si="5"/>
        <v>45870</v>
      </c>
    </row>
    <row r="369" spans="1:21" x14ac:dyDescent="0.35">
      <c r="A369" t="s">
        <v>1009</v>
      </c>
      <c r="B369" t="s">
        <v>787</v>
      </c>
      <c r="C369" t="s">
        <v>35</v>
      </c>
      <c r="D369" t="s">
        <v>1010</v>
      </c>
      <c r="E369" t="s">
        <v>37</v>
      </c>
      <c r="F369" t="s">
        <v>59</v>
      </c>
      <c r="G369" t="s">
        <v>47</v>
      </c>
      <c r="H369" t="s">
        <v>27</v>
      </c>
      <c r="I369" t="s">
        <v>61</v>
      </c>
      <c r="J369">
        <v>33459.040000000001</v>
      </c>
      <c r="K369">
        <v>390.9</v>
      </c>
      <c r="L369">
        <v>70.36</v>
      </c>
      <c r="M369">
        <v>365.44</v>
      </c>
      <c r="N369">
        <v>33554.86</v>
      </c>
      <c r="O369">
        <v>744253.9</v>
      </c>
      <c r="P369">
        <v>523</v>
      </c>
      <c r="Q369" t="s">
        <v>53</v>
      </c>
      <c r="R369" t="s">
        <v>30</v>
      </c>
      <c r="S369" t="s">
        <v>31</v>
      </c>
      <c r="T369" t="s">
        <v>41</v>
      </c>
      <c r="U369" s="3">
        <f t="shared" si="5"/>
        <v>45931</v>
      </c>
    </row>
    <row r="370" spans="1:21" x14ac:dyDescent="0.35">
      <c r="A370" t="s">
        <v>1011</v>
      </c>
      <c r="B370" t="s">
        <v>485</v>
      </c>
      <c r="C370" t="s">
        <v>35</v>
      </c>
      <c r="D370" t="s">
        <v>1012</v>
      </c>
      <c r="E370" t="s">
        <v>45</v>
      </c>
      <c r="F370" t="s">
        <v>38</v>
      </c>
      <c r="G370" t="s">
        <v>26</v>
      </c>
      <c r="H370" t="s">
        <v>66</v>
      </c>
      <c r="I370" t="s">
        <v>40</v>
      </c>
      <c r="J370">
        <v>107274.83</v>
      </c>
      <c r="K370">
        <v>2144.65</v>
      </c>
      <c r="L370">
        <v>386.04</v>
      </c>
      <c r="M370">
        <v>32.01</v>
      </c>
      <c r="N370">
        <v>109773.51</v>
      </c>
      <c r="O370">
        <v>739947.04</v>
      </c>
      <c r="P370">
        <v>736</v>
      </c>
      <c r="Q370" t="s">
        <v>53</v>
      </c>
      <c r="R370" t="s">
        <v>75</v>
      </c>
      <c r="S370" t="s">
        <v>62</v>
      </c>
      <c r="T370" t="s">
        <v>41</v>
      </c>
      <c r="U370" s="3">
        <f t="shared" si="5"/>
        <v>45658</v>
      </c>
    </row>
    <row r="371" spans="1:21" x14ac:dyDescent="0.35">
      <c r="A371" t="s">
        <v>1013</v>
      </c>
      <c r="B371" t="s">
        <v>823</v>
      </c>
      <c r="C371" t="s">
        <v>95</v>
      </c>
      <c r="D371" t="s">
        <v>1014</v>
      </c>
      <c r="E371" t="s">
        <v>24</v>
      </c>
      <c r="F371" t="s">
        <v>38</v>
      </c>
      <c r="G371" t="s">
        <v>26</v>
      </c>
      <c r="H371" t="s">
        <v>27</v>
      </c>
      <c r="I371" t="s">
        <v>61</v>
      </c>
      <c r="J371">
        <v>95415.55</v>
      </c>
      <c r="K371">
        <v>1448.97</v>
      </c>
      <c r="L371">
        <v>260.81</v>
      </c>
      <c r="M371">
        <v>115.47</v>
      </c>
      <c r="N371">
        <v>97009.86</v>
      </c>
      <c r="O371">
        <v>743417.14</v>
      </c>
      <c r="P371">
        <v>794</v>
      </c>
      <c r="Q371" t="s">
        <v>29</v>
      </c>
      <c r="R371" t="s">
        <v>75</v>
      </c>
      <c r="S371" t="s">
        <v>31</v>
      </c>
      <c r="T371" t="s">
        <v>41</v>
      </c>
      <c r="U371" s="3">
        <f t="shared" si="5"/>
        <v>45748</v>
      </c>
    </row>
    <row r="372" spans="1:21" x14ac:dyDescent="0.35">
      <c r="A372" t="s">
        <v>1015</v>
      </c>
      <c r="B372" t="s">
        <v>1016</v>
      </c>
      <c r="C372" t="s">
        <v>22</v>
      </c>
      <c r="D372" t="s">
        <v>1017</v>
      </c>
      <c r="E372" t="s">
        <v>70</v>
      </c>
      <c r="F372" t="s">
        <v>46</v>
      </c>
      <c r="G372" t="s">
        <v>60</v>
      </c>
      <c r="H372" t="s">
        <v>52</v>
      </c>
      <c r="I372" t="s">
        <v>28</v>
      </c>
      <c r="J372">
        <v>199334.98</v>
      </c>
      <c r="K372">
        <v>2464.11</v>
      </c>
      <c r="L372">
        <v>443.54</v>
      </c>
      <c r="M372">
        <v>325.5</v>
      </c>
      <c r="N372">
        <v>201917.13</v>
      </c>
      <c r="O372">
        <v>743204.21</v>
      </c>
      <c r="P372">
        <v>831</v>
      </c>
      <c r="Q372" t="s">
        <v>74</v>
      </c>
      <c r="R372" t="s">
        <v>75</v>
      </c>
      <c r="S372" t="s">
        <v>62</v>
      </c>
      <c r="T372" t="s">
        <v>41</v>
      </c>
      <c r="U372" s="3">
        <f t="shared" si="5"/>
        <v>45931</v>
      </c>
    </row>
    <row r="373" spans="1:21" x14ac:dyDescent="0.35">
      <c r="A373" t="s">
        <v>1018</v>
      </c>
      <c r="B373" t="s">
        <v>125</v>
      </c>
      <c r="C373" t="s">
        <v>35</v>
      </c>
      <c r="D373" t="s">
        <v>1019</v>
      </c>
      <c r="E373" t="s">
        <v>45</v>
      </c>
      <c r="F373" t="s">
        <v>25</v>
      </c>
      <c r="G373" t="s">
        <v>47</v>
      </c>
      <c r="H373" t="s">
        <v>66</v>
      </c>
      <c r="I373" t="s">
        <v>28</v>
      </c>
      <c r="J373">
        <v>143975.03</v>
      </c>
      <c r="K373">
        <v>1835.27</v>
      </c>
      <c r="L373">
        <v>330.35</v>
      </c>
      <c r="M373">
        <v>487.07</v>
      </c>
      <c r="N373">
        <v>145653.57999999999</v>
      </c>
      <c r="O373">
        <v>742193.45</v>
      </c>
      <c r="P373">
        <v>382</v>
      </c>
      <c r="Q373" t="s">
        <v>29</v>
      </c>
      <c r="R373" t="s">
        <v>30</v>
      </c>
      <c r="S373" t="s">
        <v>62</v>
      </c>
      <c r="T373" t="s">
        <v>41</v>
      </c>
      <c r="U373" s="3">
        <f t="shared" si="5"/>
        <v>45778</v>
      </c>
    </row>
    <row r="374" spans="1:21" x14ac:dyDescent="0.35">
      <c r="A374" t="s">
        <v>1020</v>
      </c>
      <c r="B374" t="s">
        <v>214</v>
      </c>
      <c r="C374" t="s">
        <v>35</v>
      </c>
      <c r="D374" t="s">
        <v>1021</v>
      </c>
      <c r="E374" t="s">
        <v>24</v>
      </c>
      <c r="F374" t="s">
        <v>38</v>
      </c>
      <c r="G374" t="s">
        <v>26</v>
      </c>
      <c r="H374" t="s">
        <v>66</v>
      </c>
      <c r="I374" t="s">
        <v>28</v>
      </c>
      <c r="J374">
        <v>1964.65</v>
      </c>
      <c r="K374">
        <v>8.0299999999999994</v>
      </c>
      <c r="L374">
        <v>1.45</v>
      </c>
      <c r="M374">
        <v>130.85</v>
      </c>
      <c r="N374">
        <v>1843.28</v>
      </c>
      <c r="O374">
        <v>751217.98</v>
      </c>
      <c r="P374">
        <v>678</v>
      </c>
      <c r="Q374" t="s">
        <v>53</v>
      </c>
      <c r="R374" t="s">
        <v>54</v>
      </c>
      <c r="S374" t="s">
        <v>79</v>
      </c>
      <c r="T374" t="s">
        <v>32</v>
      </c>
      <c r="U374" s="3">
        <f t="shared" si="5"/>
        <v>45839</v>
      </c>
    </row>
    <row r="375" spans="1:21" x14ac:dyDescent="0.35">
      <c r="A375" t="s">
        <v>1022</v>
      </c>
      <c r="B375" t="s">
        <v>134</v>
      </c>
      <c r="C375" t="s">
        <v>95</v>
      </c>
      <c r="D375" t="s">
        <v>1023</v>
      </c>
      <c r="E375" t="s">
        <v>45</v>
      </c>
      <c r="F375" t="s">
        <v>25</v>
      </c>
      <c r="G375" t="s">
        <v>60</v>
      </c>
      <c r="H375" t="s">
        <v>39</v>
      </c>
      <c r="I375" t="s">
        <v>28</v>
      </c>
      <c r="J375">
        <v>27432.3</v>
      </c>
      <c r="K375">
        <v>522.33000000000004</v>
      </c>
      <c r="L375">
        <v>94.02</v>
      </c>
      <c r="M375">
        <v>399.65</v>
      </c>
      <c r="N375">
        <v>27649</v>
      </c>
      <c r="O375">
        <v>759926.79</v>
      </c>
      <c r="P375">
        <v>625</v>
      </c>
      <c r="Q375" t="s">
        <v>29</v>
      </c>
      <c r="R375" t="s">
        <v>54</v>
      </c>
      <c r="S375" t="s">
        <v>62</v>
      </c>
      <c r="T375" t="s">
        <v>55</v>
      </c>
      <c r="U375" s="3">
        <f t="shared" si="5"/>
        <v>45717</v>
      </c>
    </row>
    <row r="376" spans="1:21" x14ac:dyDescent="0.35">
      <c r="A376" t="s">
        <v>1024</v>
      </c>
      <c r="B376" t="s">
        <v>169</v>
      </c>
      <c r="C376" t="s">
        <v>95</v>
      </c>
      <c r="D376" t="s">
        <v>1025</v>
      </c>
      <c r="E376" t="s">
        <v>45</v>
      </c>
      <c r="F376" t="s">
        <v>59</v>
      </c>
      <c r="G376" t="s">
        <v>60</v>
      </c>
      <c r="H376" t="s">
        <v>39</v>
      </c>
      <c r="I376" t="s">
        <v>40</v>
      </c>
      <c r="J376">
        <v>139014.32999999999</v>
      </c>
      <c r="K376">
        <v>2594.21</v>
      </c>
      <c r="L376">
        <v>466.96</v>
      </c>
      <c r="M376">
        <v>123.32</v>
      </c>
      <c r="N376">
        <v>141952.18</v>
      </c>
      <c r="O376">
        <v>767021.35</v>
      </c>
      <c r="P376">
        <v>725</v>
      </c>
      <c r="Q376" t="s">
        <v>53</v>
      </c>
      <c r="R376" t="s">
        <v>54</v>
      </c>
      <c r="S376" t="s">
        <v>31</v>
      </c>
      <c r="T376" t="s">
        <v>55</v>
      </c>
      <c r="U376" s="3">
        <f t="shared" si="5"/>
        <v>45658</v>
      </c>
    </row>
    <row r="377" spans="1:21" x14ac:dyDescent="0.35">
      <c r="A377" t="s">
        <v>1026</v>
      </c>
      <c r="B377" t="s">
        <v>1027</v>
      </c>
      <c r="C377" t="s">
        <v>35</v>
      </c>
      <c r="D377" t="s">
        <v>1028</v>
      </c>
      <c r="E377" t="s">
        <v>70</v>
      </c>
      <c r="F377" t="s">
        <v>46</v>
      </c>
      <c r="G377" t="s">
        <v>60</v>
      </c>
      <c r="H377" t="s">
        <v>39</v>
      </c>
      <c r="I377" t="s">
        <v>40</v>
      </c>
      <c r="J377">
        <v>37702.730000000003</v>
      </c>
      <c r="K377">
        <v>63.29</v>
      </c>
      <c r="L377">
        <v>11.39</v>
      </c>
      <c r="M377">
        <v>62.98</v>
      </c>
      <c r="N377">
        <v>37714.43</v>
      </c>
      <c r="O377">
        <v>774360.19</v>
      </c>
      <c r="P377">
        <v>537</v>
      </c>
      <c r="Q377" t="s">
        <v>74</v>
      </c>
      <c r="R377" t="s">
        <v>54</v>
      </c>
      <c r="S377" t="s">
        <v>62</v>
      </c>
      <c r="T377" t="s">
        <v>41</v>
      </c>
      <c r="U377" s="3">
        <f t="shared" si="5"/>
        <v>45901</v>
      </c>
    </row>
    <row r="378" spans="1:21" x14ac:dyDescent="0.35">
      <c r="A378" t="s">
        <v>1029</v>
      </c>
      <c r="B378" t="s">
        <v>798</v>
      </c>
      <c r="C378" t="s">
        <v>22</v>
      </c>
      <c r="D378" t="s">
        <v>1030</v>
      </c>
      <c r="E378" t="s">
        <v>70</v>
      </c>
      <c r="F378" t="s">
        <v>46</v>
      </c>
      <c r="G378" t="s">
        <v>60</v>
      </c>
      <c r="H378" t="s">
        <v>27</v>
      </c>
      <c r="I378" t="s">
        <v>61</v>
      </c>
      <c r="J378">
        <v>13773.66</v>
      </c>
      <c r="K378">
        <v>72.02</v>
      </c>
      <c r="L378">
        <v>12.96</v>
      </c>
      <c r="M378">
        <v>445.4</v>
      </c>
      <c r="N378">
        <v>13413.24</v>
      </c>
      <c r="O378">
        <v>774478.38</v>
      </c>
      <c r="P378">
        <v>791</v>
      </c>
      <c r="Q378" t="s">
        <v>29</v>
      </c>
      <c r="R378" t="s">
        <v>54</v>
      </c>
      <c r="S378" t="s">
        <v>86</v>
      </c>
      <c r="T378" t="s">
        <v>32</v>
      </c>
      <c r="U378" s="3">
        <f t="shared" si="5"/>
        <v>45778</v>
      </c>
    </row>
    <row r="379" spans="1:21" x14ac:dyDescent="0.35">
      <c r="A379" t="s">
        <v>1031</v>
      </c>
      <c r="B379" t="s">
        <v>938</v>
      </c>
      <c r="C379" t="s">
        <v>95</v>
      </c>
      <c r="D379" t="s">
        <v>1032</v>
      </c>
      <c r="E379" t="s">
        <v>45</v>
      </c>
      <c r="F379" t="s">
        <v>25</v>
      </c>
      <c r="G379" t="s">
        <v>47</v>
      </c>
      <c r="H379" t="s">
        <v>48</v>
      </c>
      <c r="I379" t="s">
        <v>28</v>
      </c>
      <c r="J379">
        <v>61701.81</v>
      </c>
      <c r="K379">
        <v>1081.22</v>
      </c>
      <c r="L379">
        <v>194.62</v>
      </c>
      <c r="M379">
        <v>261.07</v>
      </c>
      <c r="N379">
        <v>62716.58</v>
      </c>
      <c r="O379">
        <v>781823.87</v>
      </c>
      <c r="P379">
        <v>658</v>
      </c>
      <c r="Q379" t="s">
        <v>29</v>
      </c>
      <c r="R379" t="s">
        <v>30</v>
      </c>
      <c r="S379" t="s">
        <v>79</v>
      </c>
      <c r="T379" t="s">
        <v>41</v>
      </c>
      <c r="U379" s="3">
        <f t="shared" si="5"/>
        <v>45962</v>
      </c>
    </row>
    <row r="380" spans="1:21" x14ac:dyDescent="0.35">
      <c r="A380" t="s">
        <v>1033</v>
      </c>
      <c r="B380" t="s">
        <v>515</v>
      </c>
      <c r="C380" t="s">
        <v>95</v>
      </c>
      <c r="D380" t="s">
        <v>1034</v>
      </c>
      <c r="E380" t="s">
        <v>37</v>
      </c>
      <c r="F380" t="s">
        <v>38</v>
      </c>
      <c r="G380" t="s">
        <v>26</v>
      </c>
      <c r="H380" t="s">
        <v>39</v>
      </c>
      <c r="I380" t="s">
        <v>28</v>
      </c>
      <c r="J380">
        <v>108108.43</v>
      </c>
      <c r="K380">
        <v>2018.38</v>
      </c>
      <c r="L380">
        <v>363.31</v>
      </c>
      <c r="M380">
        <v>232.21</v>
      </c>
      <c r="N380">
        <v>110257.91</v>
      </c>
      <c r="O380">
        <v>790968.07</v>
      </c>
      <c r="P380">
        <v>558</v>
      </c>
      <c r="Q380" t="s">
        <v>53</v>
      </c>
      <c r="R380" t="s">
        <v>54</v>
      </c>
      <c r="S380" t="s">
        <v>31</v>
      </c>
      <c r="T380" t="s">
        <v>41</v>
      </c>
      <c r="U380" s="3">
        <f t="shared" si="5"/>
        <v>45839</v>
      </c>
    </row>
    <row r="381" spans="1:21" x14ac:dyDescent="0.35">
      <c r="A381" t="s">
        <v>1035</v>
      </c>
      <c r="B381" t="s">
        <v>1036</v>
      </c>
      <c r="C381" t="s">
        <v>35</v>
      </c>
      <c r="D381" t="s">
        <v>1037</v>
      </c>
      <c r="E381" t="s">
        <v>24</v>
      </c>
      <c r="F381" t="s">
        <v>59</v>
      </c>
      <c r="G381" t="s">
        <v>103</v>
      </c>
      <c r="H381" t="s">
        <v>66</v>
      </c>
      <c r="I381" t="s">
        <v>61</v>
      </c>
      <c r="J381">
        <v>49265.63</v>
      </c>
      <c r="K381">
        <v>971.18</v>
      </c>
      <c r="L381">
        <v>174.81</v>
      </c>
      <c r="M381">
        <v>325.86</v>
      </c>
      <c r="N381">
        <v>50085.760000000002</v>
      </c>
      <c r="O381">
        <v>787129.9</v>
      </c>
      <c r="P381">
        <v>829</v>
      </c>
      <c r="Q381" t="s">
        <v>29</v>
      </c>
      <c r="R381" t="s">
        <v>75</v>
      </c>
      <c r="S381" t="s">
        <v>31</v>
      </c>
      <c r="T381" t="s">
        <v>32</v>
      </c>
      <c r="U381" s="3">
        <f t="shared" si="5"/>
        <v>45658</v>
      </c>
    </row>
    <row r="382" spans="1:21" x14ac:dyDescent="0.35">
      <c r="A382" t="s">
        <v>1038</v>
      </c>
      <c r="B382" t="s">
        <v>1039</v>
      </c>
      <c r="C382" t="s">
        <v>35</v>
      </c>
      <c r="D382" t="s">
        <v>1040</v>
      </c>
      <c r="E382" t="s">
        <v>24</v>
      </c>
      <c r="F382" t="s">
        <v>46</v>
      </c>
      <c r="G382" t="s">
        <v>103</v>
      </c>
      <c r="H382" t="s">
        <v>39</v>
      </c>
      <c r="I382" t="s">
        <v>40</v>
      </c>
      <c r="J382">
        <v>109426.05</v>
      </c>
      <c r="K382">
        <v>175.45</v>
      </c>
      <c r="L382">
        <v>31.58</v>
      </c>
      <c r="M382">
        <v>185.61</v>
      </c>
      <c r="N382">
        <v>109447.47</v>
      </c>
      <c r="O382">
        <v>792608.73</v>
      </c>
      <c r="P382">
        <v>746</v>
      </c>
      <c r="Q382" t="s">
        <v>53</v>
      </c>
      <c r="R382" t="s">
        <v>75</v>
      </c>
      <c r="S382" t="s">
        <v>86</v>
      </c>
      <c r="T382" t="s">
        <v>55</v>
      </c>
      <c r="U382" s="3">
        <f t="shared" si="5"/>
        <v>45809</v>
      </c>
    </row>
    <row r="383" spans="1:21" x14ac:dyDescent="0.35">
      <c r="A383" t="s">
        <v>1041</v>
      </c>
      <c r="B383" t="s">
        <v>1042</v>
      </c>
      <c r="C383" t="s">
        <v>95</v>
      </c>
      <c r="D383" t="s">
        <v>1043</v>
      </c>
      <c r="E383" t="s">
        <v>24</v>
      </c>
      <c r="F383" t="s">
        <v>38</v>
      </c>
      <c r="G383" t="s">
        <v>103</v>
      </c>
      <c r="H383" t="s">
        <v>39</v>
      </c>
      <c r="I383" t="s">
        <v>28</v>
      </c>
      <c r="J383">
        <v>184092.58</v>
      </c>
      <c r="K383">
        <v>864.51</v>
      </c>
      <c r="L383">
        <v>155.61000000000001</v>
      </c>
      <c r="M383">
        <v>461.2</v>
      </c>
      <c r="N383">
        <v>184651.5</v>
      </c>
      <c r="O383">
        <v>799377.36</v>
      </c>
      <c r="P383">
        <v>879</v>
      </c>
      <c r="Q383" t="s">
        <v>74</v>
      </c>
      <c r="R383" t="s">
        <v>75</v>
      </c>
      <c r="S383" t="s">
        <v>62</v>
      </c>
      <c r="T383" t="s">
        <v>32</v>
      </c>
      <c r="U383" s="3">
        <f t="shared" si="5"/>
        <v>45809</v>
      </c>
    </row>
    <row r="384" spans="1:21" x14ac:dyDescent="0.35">
      <c r="A384" t="s">
        <v>1044</v>
      </c>
      <c r="B384" t="s">
        <v>746</v>
      </c>
      <c r="C384" t="s">
        <v>35</v>
      </c>
      <c r="D384" t="s">
        <v>1045</v>
      </c>
      <c r="E384" t="s">
        <v>24</v>
      </c>
      <c r="F384" t="s">
        <v>38</v>
      </c>
      <c r="G384" t="s">
        <v>103</v>
      </c>
      <c r="H384" t="s">
        <v>66</v>
      </c>
      <c r="I384" t="s">
        <v>28</v>
      </c>
      <c r="J384">
        <v>57962.720000000001</v>
      </c>
      <c r="K384">
        <v>955.98</v>
      </c>
      <c r="L384">
        <v>172.08</v>
      </c>
      <c r="M384">
        <v>448.52</v>
      </c>
      <c r="N384">
        <v>58642.26</v>
      </c>
      <c r="O384">
        <v>799326.15</v>
      </c>
      <c r="P384">
        <v>710</v>
      </c>
      <c r="Q384" t="s">
        <v>53</v>
      </c>
      <c r="R384" t="s">
        <v>30</v>
      </c>
      <c r="S384" t="s">
        <v>86</v>
      </c>
      <c r="T384" t="s">
        <v>41</v>
      </c>
      <c r="U384" s="3">
        <f t="shared" si="5"/>
        <v>45778</v>
      </c>
    </row>
    <row r="385" spans="1:21" x14ac:dyDescent="0.35">
      <c r="A385" t="s">
        <v>1046</v>
      </c>
      <c r="B385" t="s">
        <v>422</v>
      </c>
      <c r="C385" t="s">
        <v>35</v>
      </c>
      <c r="D385" t="s">
        <v>1047</v>
      </c>
      <c r="E385" t="s">
        <v>37</v>
      </c>
      <c r="F385" t="s">
        <v>38</v>
      </c>
      <c r="G385" t="s">
        <v>103</v>
      </c>
      <c r="H385" t="s">
        <v>39</v>
      </c>
      <c r="I385" t="s">
        <v>28</v>
      </c>
      <c r="J385">
        <v>41994.559999999998</v>
      </c>
      <c r="K385">
        <v>260.72000000000003</v>
      </c>
      <c r="L385">
        <v>46.93</v>
      </c>
      <c r="M385">
        <v>477.19</v>
      </c>
      <c r="N385">
        <v>41825.019999999997</v>
      </c>
      <c r="O385">
        <v>806396.07</v>
      </c>
      <c r="P385">
        <v>856</v>
      </c>
      <c r="Q385" t="s">
        <v>29</v>
      </c>
      <c r="R385" t="s">
        <v>54</v>
      </c>
      <c r="S385" t="s">
        <v>86</v>
      </c>
      <c r="T385" t="s">
        <v>41</v>
      </c>
      <c r="U385" s="3">
        <f t="shared" si="5"/>
        <v>45717</v>
      </c>
    </row>
    <row r="386" spans="1:21" x14ac:dyDescent="0.35">
      <c r="A386" t="s">
        <v>1048</v>
      </c>
      <c r="B386" t="s">
        <v>1049</v>
      </c>
      <c r="C386" t="s">
        <v>22</v>
      </c>
      <c r="D386" t="s">
        <v>1050</v>
      </c>
      <c r="E386" t="s">
        <v>24</v>
      </c>
      <c r="F386" t="s">
        <v>46</v>
      </c>
      <c r="G386" t="s">
        <v>47</v>
      </c>
      <c r="H386" t="s">
        <v>39</v>
      </c>
      <c r="I386" t="s">
        <v>61</v>
      </c>
      <c r="J386">
        <v>172133.44</v>
      </c>
      <c r="K386">
        <v>2361.37</v>
      </c>
      <c r="L386">
        <v>425.05</v>
      </c>
      <c r="M386">
        <v>173.47</v>
      </c>
      <c r="N386">
        <v>174746.39</v>
      </c>
      <c r="O386">
        <v>809445.6</v>
      </c>
      <c r="P386">
        <v>444</v>
      </c>
      <c r="Q386" t="s">
        <v>53</v>
      </c>
      <c r="R386" t="s">
        <v>30</v>
      </c>
      <c r="S386" t="s">
        <v>79</v>
      </c>
      <c r="T386" t="s">
        <v>55</v>
      </c>
      <c r="U386" s="3">
        <f t="shared" si="5"/>
        <v>45992</v>
      </c>
    </row>
    <row r="387" spans="1:21" x14ac:dyDescent="0.35">
      <c r="A387" t="s">
        <v>1051</v>
      </c>
      <c r="B387" t="s">
        <v>309</v>
      </c>
      <c r="C387" t="s">
        <v>95</v>
      </c>
      <c r="D387" t="s">
        <v>1052</v>
      </c>
      <c r="E387" t="s">
        <v>70</v>
      </c>
      <c r="F387" t="s">
        <v>38</v>
      </c>
      <c r="G387" t="s">
        <v>26</v>
      </c>
      <c r="H387" t="s">
        <v>39</v>
      </c>
      <c r="I387" t="s">
        <v>61</v>
      </c>
      <c r="J387">
        <v>65590.97</v>
      </c>
      <c r="K387">
        <v>924.34</v>
      </c>
      <c r="L387">
        <v>166.38</v>
      </c>
      <c r="M387">
        <v>288.31</v>
      </c>
      <c r="N387">
        <v>66393.38</v>
      </c>
      <c r="O387">
        <v>811127.51</v>
      </c>
      <c r="P387">
        <v>781</v>
      </c>
      <c r="Q387" t="s">
        <v>29</v>
      </c>
      <c r="R387" t="s">
        <v>30</v>
      </c>
      <c r="S387" t="s">
        <v>31</v>
      </c>
      <c r="T387" t="s">
        <v>41</v>
      </c>
      <c r="U387" s="3">
        <f t="shared" ref="U387:U450" si="6">DATE(YEAR(B387),MONTH(B387),1)</f>
        <v>45658</v>
      </c>
    </row>
    <row r="388" spans="1:21" x14ac:dyDescent="0.35">
      <c r="A388" t="s">
        <v>1053</v>
      </c>
      <c r="B388" t="s">
        <v>294</v>
      </c>
      <c r="C388" t="s">
        <v>95</v>
      </c>
      <c r="D388" t="s">
        <v>1054</v>
      </c>
      <c r="E388" t="s">
        <v>70</v>
      </c>
      <c r="F388" t="s">
        <v>46</v>
      </c>
      <c r="G388" t="s">
        <v>26</v>
      </c>
      <c r="H388" t="s">
        <v>27</v>
      </c>
      <c r="I388" t="s">
        <v>61</v>
      </c>
      <c r="J388">
        <v>98174.31</v>
      </c>
      <c r="K388">
        <v>575.17999999999995</v>
      </c>
      <c r="L388">
        <v>103.53</v>
      </c>
      <c r="M388">
        <v>415.37</v>
      </c>
      <c r="N388">
        <v>98437.65</v>
      </c>
      <c r="O388">
        <v>815001.41</v>
      </c>
      <c r="P388">
        <v>335</v>
      </c>
      <c r="Q388" t="s">
        <v>29</v>
      </c>
      <c r="R388" t="s">
        <v>75</v>
      </c>
      <c r="S388" t="s">
        <v>86</v>
      </c>
      <c r="T388" t="s">
        <v>41</v>
      </c>
      <c r="U388" s="3">
        <f t="shared" si="6"/>
        <v>45870</v>
      </c>
    </row>
    <row r="389" spans="1:21" x14ac:dyDescent="0.35">
      <c r="A389" t="s">
        <v>1055</v>
      </c>
      <c r="B389" t="s">
        <v>91</v>
      </c>
      <c r="C389" t="s">
        <v>22</v>
      </c>
      <c r="D389" t="s">
        <v>1056</v>
      </c>
      <c r="E389" t="s">
        <v>70</v>
      </c>
      <c r="F389" t="s">
        <v>59</v>
      </c>
      <c r="G389" t="s">
        <v>60</v>
      </c>
      <c r="H389" t="s">
        <v>66</v>
      </c>
      <c r="I389" t="s">
        <v>40</v>
      </c>
      <c r="J389">
        <v>43849.27</v>
      </c>
      <c r="K389">
        <v>386.38</v>
      </c>
      <c r="L389">
        <v>69.55</v>
      </c>
      <c r="M389">
        <v>352.39</v>
      </c>
      <c r="N389">
        <v>43952.81</v>
      </c>
      <c r="O389">
        <v>822308.8</v>
      </c>
      <c r="P389">
        <v>854</v>
      </c>
      <c r="Q389" t="s">
        <v>74</v>
      </c>
      <c r="R389" t="s">
        <v>54</v>
      </c>
      <c r="S389" t="s">
        <v>62</v>
      </c>
      <c r="T389" t="s">
        <v>55</v>
      </c>
      <c r="U389" s="3">
        <f t="shared" si="6"/>
        <v>45931</v>
      </c>
    </row>
    <row r="390" spans="1:21" x14ac:dyDescent="0.35">
      <c r="A390" t="s">
        <v>1057</v>
      </c>
      <c r="B390" t="s">
        <v>353</v>
      </c>
      <c r="C390" t="s">
        <v>95</v>
      </c>
      <c r="D390" t="s">
        <v>1058</v>
      </c>
      <c r="E390" t="s">
        <v>45</v>
      </c>
      <c r="F390" t="s">
        <v>59</v>
      </c>
      <c r="G390" t="s">
        <v>26</v>
      </c>
      <c r="H390" t="s">
        <v>48</v>
      </c>
      <c r="I390" t="s">
        <v>40</v>
      </c>
      <c r="J390">
        <v>41290.089999999997</v>
      </c>
      <c r="K390">
        <v>446.23</v>
      </c>
      <c r="L390">
        <v>80.319999999999993</v>
      </c>
      <c r="M390">
        <v>123.87</v>
      </c>
      <c r="N390">
        <v>41692.769999999997</v>
      </c>
      <c r="O390">
        <v>820911.22</v>
      </c>
      <c r="P390">
        <v>814</v>
      </c>
      <c r="Q390" t="s">
        <v>74</v>
      </c>
      <c r="R390" t="s">
        <v>75</v>
      </c>
      <c r="S390" t="s">
        <v>31</v>
      </c>
      <c r="T390" t="s">
        <v>32</v>
      </c>
      <c r="U390" s="3">
        <f t="shared" si="6"/>
        <v>45992</v>
      </c>
    </row>
    <row r="391" spans="1:21" x14ac:dyDescent="0.35">
      <c r="A391" t="s">
        <v>1059</v>
      </c>
      <c r="B391" t="s">
        <v>576</v>
      </c>
      <c r="C391" t="s">
        <v>22</v>
      </c>
      <c r="D391" t="s">
        <v>1060</v>
      </c>
      <c r="E391" t="s">
        <v>24</v>
      </c>
      <c r="F391" t="s">
        <v>59</v>
      </c>
      <c r="G391" t="s">
        <v>47</v>
      </c>
      <c r="H391" t="s">
        <v>52</v>
      </c>
      <c r="I391" t="s">
        <v>28</v>
      </c>
      <c r="J391">
        <v>114819.96</v>
      </c>
      <c r="K391">
        <v>375.73</v>
      </c>
      <c r="L391">
        <v>67.63</v>
      </c>
      <c r="M391">
        <v>162.5</v>
      </c>
      <c r="N391">
        <v>115100.82</v>
      </c>
      <c r="O391">
        <v>827744.62</v>
      </c>
      <c r="P391">
        <v>501</v>
      </c>
      <c r="Q391" t="s">
        <v>74</v>
      </c>
      <c r="R391" t="s">
        <v>75</v>
      </c>
      <c r="S391" t="s">
        <v>86</v>
      </c>
      <c r="T391" t="s">
        <v>41</v>
      </c>
      <c r="U391" s="3">
        <f t="shared" si="6"/>
        <v>45689</v>
      </c>
    </row>
    <row r="392" spans="1:21" x14ac:dyDescent="0.35">
      <c r="A392" t="s">
        <v>1061</v>
      </c>
      <c r="B392" t="s">
        <v>992</v>
      </c>
      <c r="C392" t="s">
        <v>35</v>
      </c>
      <c r="D392" t="s">
        <v>1062</v>
      </c>
      <c r="E392" t="s">
        <v>45</v>
      </c>
      <c r="F392" t="s">
        <v>59</v>
      </c>
      <c r="G392" t="s">
        <v>47</v>
      </c>
      <c r="H392" t="s">
        <v>48</v>
      </c>
      <c r="I392" t="s">
        <v>61</v>
      </c>
      <c r="J392">
        <v>10148.44</v>
      </c>
      <c r="K392">
        <v>153.09</v>
      </c>
      <c r="L392">
        <v>27.56</v>
      </c>
      <c r="M392">
        <v>388.48</v>
      </c>
      <c r="N392">
        <v>9940.61</v>
      </c>
      <c r="O392">
        <v>827311.48</v>
      </c>
      <c r="P392">
        <v>771</v>
      </c>
      <c r="Q392" t="s">
        <v>53</v>
      </c>
      <c r="R392" t="s">
        <v>54</v>
      </c>
      <c r="S392" t="s">
        <v>86</v>
      </c>
      <c r="T392" t="s">
        <v>32</v>
      </c>
      <c r="U392" s="3">
        <f t="shared" si="6"/>
        <v>45962</v>
      </c>
    </row>
    <row r="393" spans="1:21" x14ac:dyDescent="0.35">
      <c r="A393" t="s">
        <v>1063</v>
      </c>
      <c r="B393" t="s">
        <v>608</v>
      </c>
      <c r="C393" t="s">
        <v>35</v>
      </c>
      <c r="D393" t="s">
        <v>1064</v>
      </c>
      <c r="E393" t="s">
        <v>70</v>
      </c>
      <c r="F393" t="s">
        <v>46</v>
      </c>
      <c r="G393" t="s">
        <v>103</v>
      </c>
      <c r="H393" t="s">
        <v>48</v>
      </c>
      <c r="I393" t="s">
        <v>28</v>
      </c>
      <c r="J393">
        <v>182828.86</v>
      </c>
      <c r="K393">
        <v>3479.24</v>
      </c>
      <c r="L393">
        <v>626.26</v>
      </c>
      <c r="M393">
        <v>132.74</v>
      </c>
      <c r="N393">
        <v>186801.62</v>
      </c>
      <c r="O393">
        <v>829233.93</v>
      </c>
      <c r="P393">
        <v>843</v>
      </c>
      <c r="Q393" t="s">
        <v>53</v>
      </c>
      <c r="R393" t="s">
        <v>75</v>
      </c>
      <c r="S393" t="s">
        <v>79</v>
      </c>
      <c r="T393" t="s">
        <v>32</v>
      </c>
      <c r="U393" s="3">
        <f t="shared" si="6"/>
        <v>45901</v>
      </c>
    </row>
    <row r="394" spans="1:21" x14ac:dyDescent="0.35">
      <c r="A394" t="s">
        <v>1065</v>
      </c>
      <c r="B394" t="s">
        <v>1066</v>
      </c>
      <c r="C394" t="s">
        <v>22</v>
      </c>
      <c r="D394" t="s">
        <v>1067</v>
      </c>
      <c r="E394" t="s">
        <v>45</v>
      </c>
      <c r="F394" t="s">
        <v>59</v>
      </c>
      <c r="G394" t="s">
        <v>26</v>
      </c>
      <c r="H394" t="s">
        <v>52</v>
      </c>
      <c r="I394" t="s">
        <v>28</v>
      </c>
      <c r="J394">
        <v>31952.49</v>
      </c>
      <c r="K394">
        <v>196.57</v>
      </c>
      <c r="L394">
        <v>35.380000000000003</v>
      </c>
      <c r="M394">
        <v>363.79</v>
      </c>
      <c r="N394">
        <v>31820.65</v>
      </c>
      <c r="O394">
        <v>828261.09</v>
      </c>
      <c r="P394">
        <v>775</v>
      </c>
      <c r="Q394" t="s">
        <v>29</v>
      </c>
      <c r="R394" t="s">
        <v>30</v>
      </c>
      <c r="S394" t="s">
        <v>31</v>
      </c>
      <c r="T394" t="s">
        <v>41</v>
      </c>
      <c r="U394" s="3">
        <f t="shared" si="6"/>
        <v>45870</v>
      </c>
    </row>
    <row r="395" spans="1:21" x14ac:dyDescent="0.35">
      <c r="A395" t="s">
        <v>1068</v>
      </c>
      <c r="B395" t="s">
        <v>509</v>
      </c>
      <c r="C395" t="s">
        <v>95</v>
      </c>
      <c r="D395" t="s">
        <v>1069</v>
      </c>
      <c r="E395" t="s">
        <v>70</v>
      </c>
      <c r="F395" t="s">
        <v>46</v>
      </c>
      <c r="G395" t="s">
        <v>60</v>
      </c>
      <c r="H395" t="s">
        <v>52</v>
      </c>
      <c r="I395" t="s">
        <v>28</v>
      </c>
      <c r="J395">
        <v>53260.46</v>
      </c>
      <c r="K395">
        <v>975.33</v>
      </c>
      <c r="L395">
        <v>175.56</v>
      </c>
      <c r="M395">
        <v>128.85</v>
      </c>
      <c r="N395">
        <v>54282.5</v>
      </c>
      <c r="O395">
        <v>834435.84</v>
      </c>
      <c r="P395">
        <v>716</v>
      </c>
      <c r="Q395" t="s">
        <v>53</v>
      </c>
      <c r="R395" t="s">
        <v>75</v>
      </c>
      <c r="S395" t="s">
        <v>86</v>
      </c>
      <c r="T395" t="s">
        <v>32</v>
      </c>
      <c r="U395" s="3">
        <f t="shared" si="6"/>
        <v>45778</v>
      </c>
    </row>
    <row r="396" spans="1:21" x14ac:dyDescent="0.35">
      <c r="A396" t="s">
        <v>1070</v>
      </c>
      <c r="B396" t="s">
        <v>325</v>
      </c>
      <c r="C396" t="s">
        <v>35</v>
      </c>
      <c r="D396" t="s">
        <v>1071</v>
      </c>
      <c r="E396" t="s">
        <v>45</v>
      </c>
      <c r="F396" t="s">
        <v>25</v>
      </c>
      <c r="G396" t="s">
        <v>47</v>
      </c>
      <c r="H396" t="s">
        <v>66</v>
      </c>
      <c r="I396" t="s">
        <v>61</v>
      </c>
      <c r="J396">
        <v>89752.54</v>
      </c>
      <c r="K396">
        <v>1123.9000000000001</v>
      </c>
      <c r="L396">
        <v>202.3</v>
      </c>
      <c r="M396">
        <v>6.02</v>
      </c>
      <c r="N396">
        <v>91072.72</v>
      </c>
      <c r="O396">
        <v>832186.66</v>
      </c>
      <c r="P396">
        <v>595</v>
      </c>
      <c r="Q396" t="s">
        <v>29</v>
      </c>
      <c r="R396" t="s">
        <v>54</v>
      </c>
      <c r="S396" t="s">
        <v>86</v>
      </c>
      <c r="T396" t="s">
        <v>32</v>
      </c>
      <c r="U396" s="3">
        <f t="shared" si="6"/>
        <v>45962</v>
      </c>
    </row>
    <row r="397" spans="1:21" x14ac:dyDescent="0.35">
      <c r="A397" t="s">
        <v>1072</v>
      </c>
      <c r="B397" t="s">
        <v>254</v>
      </c>
      <c r="C397" t="s">
        <v>35</v>
      </c>
      <c r="D397" t="s">
        <v>1073</v>
      </c>
      <c r="E397" t="s">
        <v>24</v>
      </c>
      <c r="F397" t="s">
        <v>38</v>
      </c>
      <c r="G397" t="s">
        <v>26</v>
      </c>
      <c r="H397" t="s">
        <v>66</v>
      </c>
      <c r="I397" t="s">
        <v>61</v>
      </c>
      <c r="J397">
        <v>141757.53</v>
      </c>
      <c r="K397">
        <v>1722.43</v>
      </c>
      <c r="L397">
        <v>310.04000000000002</v>
      </c>
      <c r="M397">
        <v>183.83</v>
      </c>
      <c r="N397">
        <v>143606.17000000001</v>
      </c>
      <c r="O397">
        <v>840535.91</v>
      </c>
      <c r="P397">
        <v>622</v>
      </c>
      <c r="Q397" t="s">
        <v>53</v>
      </c>
      <c r="R397" t="s">
        <v>75</v>
      </c>
      <c r="S397" t="s">
        <v>62</v>
      </c>
      <c r="T397" t="s">
        <v>32</v>
      </c>
      <c r="U397" s="3">
        <f t="shared" si="6"/>
        <v>45809</v>
      </c>
    </row>
    <row r="398" spans="1:21" x14ac:dyDescent="0.35">
      <c r="A398" t="s">
        <v>1074</v>
      </c>
      <c r="B398" t="s">
        <v>1075</v>
      </c>
      <c r="C398" t="s">
        <v>22</v>
      </c>
      <c r="D398" t="s">
        <v>1076</v>
      </c>
      <c r="E398" t="s">
        <v>24</v>
      </c>
      <c r="F398" t="s">
        <v>38</v>
      </c>
      <c r="G398" t="s">
        <v>26</v>
      </c>
      <c r="H398" t="s">
        <v>48</v>
      </c>
      <c r="I398" t="s">
        <v>61</v>
      </c>
      <c r="J398">
        <v>150634.72</v>
      </c>
      <c r="K398">
        <v>511.54</v>
      </c>
      <c r="L398">
        <v>92.08</v>
      </c>
      <c r="M398">
        <v>182.96</v>
      </c>
      <c r="N398">
        <v>151055.38</v>
      </c>
      <c r="O398">
        <v>842378.23999999999</v>
      </c>
      <c r="P398">
        <v>891</v>
      </c>
      <c r="Q398" t="s">
        <v>53</v>
      </c>
      <c r="R398" t="s">
        <v>30</v>
      </c>
      <c r="S398" t="s">
        <v>86</v>
      </c>
      <c r="T398" t="s">
        <v>41</v>
      </c>
      <c r="U398" s="3">
        <f t="shared" si="6"/>
        <v>45901</v>
      </c>
    </row>
    <row r="399" spans="1:21" x14ac:dyDescent="0.35">
      <c r="A399" t="s">
        <v>1077</v>
      </c>
      <c r="B399" t="s">
        <v>518</v>
      </c>
      <c r="C399" t="s">
        <v>35</v>
      </c>
      <c r="D399" t="s">
        <v>1078</v>
      </c>
      <c r="E399" t="s">
        <v>70</v>
      </c>
      <c r="F399" t="s">
        <v>38</v>
      </c>
      <c r="G399" t="s">
        <v>47</v>
      </c>
      <c r="H399" t="s">
        <v>39</v>
      </c>
      <c r="I399" t="s">
        <v>61</v>
      </c>
      <c r="J399">
        <v>13330.13</v>
      </c>
      <c r="K399">
        <v>67.040000000000006</v>
      </c>
      <c r="L399">
        <v>12.07</v>
      </c>
      <c r="M399">
        <v>211.34</v>
      </c>
      <c r="N399">
        <v>13197.9</v>
      </c>
      <c r="O399">
        <v>844981.87</v>
      </c>
      <c r="P399">
        <v>358</v>
      </c>
      <c r="Q399" t="s">
        <v>53</v>
      </c>
      <c r="R399" t="s">
        <v>75</v>
      </c>
      <c r="S399" t="s">
        <v>79</v>
      </c>
      <c r="T399" t="s">
        <v>41</v>
      </c>
      <c r="U399" s="3">
        <f t="shared" si="6"/>
        <v>45839</v>
      </c>
    </row>
    <row r="400" spans="1:21" x14ac:dyDescent="0.35">
      <c r="A400" t="s">
        <v>1079</v>
      </c>
      <c r="B400" t="s">
        <v>267</v>
      </c>
      <c r="C400" t="s">
        <v>95</v>
      </c>
      <c r="D400" t="s">
        <v>1080</v>
      </c>
      <c r="E400" t="s">
        <v>70</v>
      </c>
      <c r="F400" t="s">
        <v>25</v>
      </c>
      <c r="G400" t="s">
        <v>60</v>
      </c>
      <c r="H400" t="s">
        <v>27</v>
      </c>
      <c r="I400" t="s">
        <v>40</v>
      </c>
      <c r="J400">
        <v>97626.03</v>
      </c>
      <c r="K400">
        <v>272.52</v>
      </c>
      <c r="L400">
        <v>49.05</v>
      </c>
      <c r="M400">
        <v>64.459999999999994</v>
      </c>
      <c r="N400">
        <v>97883.14</v>
      </c>
      <c r="O400">
        <v>841960.57</v>
      </c>
      <c r="P400">
        <v>741</v>
      </c>
      <c r="Q400" t="s">
        <v>29</v>
      </c>
      <c r="R400" t="s">
        <v>75</v>
      </c>
      <c r="S400" t="s">
        <v>31</v>
      </c>
      <c r="T400" t="s">
        <v>32</v>
      </c>
      <c r="U400" s="3">
        <f t="shared" si="6"/>
        <v>45931</v>
      </c>
    </row>
    <row r="401" spans="1:21" x14ac:dyDescent="0.35">
      <c r="A401" t="s">
        <v>1081</v>
      </c>
      <c r="B401" t="s">
        <v>579</v>
      </c>
      <c r="C401" t="s">
        <v>95</v>
      </c>
      <c r="D401" t="s">
        <v>1082</v>
      </c>
      <c r="E401" t="s">
        <v>70</v>
      </c>
      <c r="F401" t="s">
        <v>38</v>
      </c>
      <c r="G401" t="s">
        <v>60</v>
      </c>
      <c r="H401" t="s">
        <v>27</v>
      </c>
      <c r="I401" t="s">
        <v>40</v>
      </c>
      <c r="J401">
        <v>25747.68</v>
      </c>
      <c r="K401">
        <v>134.4</v>
      </c>
      <c r="L401">
        <v>24.19</v>
      </c>
      <c r="M401">
        <v>12.6</v>
      </c>
      <c r="N401">
        <v>25893.67</v>
      </c>
      <c r="O401">
        <v>839904.6</v>
      </c>
      <c r="P401">
        <v>531</v>
      </c>
      <c r="Q401" t="s">
        <v>53</v>
      </c>
      <c r="R401" t="s">
        <v>75</v>
      </c>
      <c r="S401" t="s">
        <v>62</v>
      </c>
      <c r="T401" t="s">
        <v>32</v>
      </c>
      <c r="U401" s="3">
        <f t="shared" si="6"/>
        <v>45658</v>
      </c>
    </row>
    <row r="402" spans="1:21" x14ac:dyDescent="0.35">
      <c r="A402" t="s">
        <v>1083</v>
      </c>
      <c r="B402" t="s">
        <v>686</v>
      </c>
      <c r="C402" t="s">
        <v>22</v>
      </c>
      <c r="D402" t="s">
        <v>1084</v>
      </c>
      <c r="E402" t="s">
        <v>45</v>
      </c>
      <c r="F402" t="s">
        <v>46</v>
      </c>
      <c r="G402" t="s">
        <v>47</v>
      </c>
      <c r="H402" t="s">
        <v>27</v>
      </c>
      <c r="I402" t="s">
        <v>28</v>
      </c>
      <c r="J402">
        <v>36136.089999999997</v>
      </c>
      <c r="K402">
        <v>378.19</v>
      </c>
      <c r="L402">
        <v>68.069999999999993</v>
      </c>
      <c r="M402">
        <v>252.96</v>
      </c>
      <c r="N402">
        <v>36329.39</v>
      </c>
      <c r="O402">
        <v>838081.67</v>
      </c>
      <c r="P402">
        <v>595</v>
      </c>
      <c r="Q402" t="s">
        <v>53</v>
      </c>
      <c r="R402" t="s">
        <v>54</v>
      </c>
      <c r="S402" t="s">
        <v>31</v>
      </c>
      <c r="T402" t="s">
        <v>55</v>
      </c>
      <c r="U402" s="3">
        <f t="shared" si="6"/>
        <v>45901</v>
      </c>
    </row>
    <row r="403" spans="1:21" x14ac:dyDescent="0.35">
      <c r="A403" t="s">
        <v>1085</v>
      </c>
      <c r="B403" t="s">
        <v>779</v>
      </c>
      <c r="C403" t="s">
        <v>22</v>
      </c>
      <c r="D403" t="s">
        <v>1086</v>
      </c>
      <c r="E403" t="s">
        <v>45</v>
      </c>
      <c r="F403" t="s">
        <v>38</v>
      </c>
      <c r="G403" t="s">
        <v>26</v>
      </c>
      <c r="H403" t="s">
        <v>48</v>
      </c>
      <c r="I403" t="s">
        <v>28</v>
      </c>
      <c r="J403">
        <v>17406.689999999999</v>
      </c>
      <c r="K403">
        <v>251.12</v>
      </c>
      <c r="L403">
        <v>45.2</v>
      </c>
      <c r="M403">
        <v>4.74</v>
      </c>
      <c r="N403">
        <v>17698.27</v>
      </c>
      <c r="O403">
        <v>841952.11</v>
      </c>
      <c r="P403">
        <v>808</v>
      </c>
      <c r="Q403" t="s">
        <v>53</v>
      </c>
      <c r="R403" t="s">
        <v>75</v>
      </c>
      <c r="S403" t="s">
        <v>86</v>
      </c>
      <c r="T403" t="s">
        <v>32</v>
      </c>
      <c r="U403" s="3">
        <f t="shared" si="6"/>
        <v>45658</v>
      </c>
    </row>
    <row r="404" spans="1:21" x14ac:dyDescent="0.35">
      <c r="A404" t="s">
        <v>1087</v>
      </c>
      <c r="B404" t="s">
        <v>779</v>
      </c>
      <c r="C404" t="s">
        <v>95</v>
      </c>
      <c r="D404" t="s">
        <v>1088</v>
      </c>
      <c r="E404" t="s">
        <v>24</v>
      </c>
      <c r="F404" t="s">
        <v>25</v>
      </c>
      <c r="G404" t="s">
        <v>26</v>
      </c>
      <c r="H404" t="s">
        <v>52</v>
      </c>
      <c r="I404" t="s">
        <v>28</v>
      </c>
      <c r="J404">
        <v>152927.66</v>
      </c>
      <c r="K404">
        <v>780.67</v>
      </c>
      <c r="L404">
        <v>140.52000000000001</v>
      </c>
      <c r="M404">
        <v>128.09</v>
      </c>
      <c r="N404">
        <v>153720.76</v>
      </c>
      <c r="O404">
        <v>844486.75</v>
      </c>
      <c r="P404">
        <v>316</v>
      </c>
      <c r="Q404" t="s">
        <v>53</v>
      </c>
      <c r="R404" t="s">
        <v>30</v>
      </c>
      <c r="S404" t="s">
        <v>86</v>
      </c>
      <c r="T404" t="s">
        <v>41</v>
      </c>
      <c r="U404" s="3">
        <f t="shared" si="6"/>
        <v>45658</v>
      </c>
    </row>
    <row r="405" spans="1:21" x14ac:dyDescent="0.35">
      <c r="A405" t="s">
        <v>1089</v>
      </c>
      <c r="B405" t="s">
        <v>444</v>
      </c>
      <c r="C405" t="s">
        <v>95</v>
      </c>
      <c r="D405" t="s">
        <v>1090</v>
      </c>
      <c r="E405" t="s">
        <v>45</v>
      </c>
      <c r="F405" t="s">
        <v>25</v>
      </c>
      <c r="G405" t="s">
        <v>60</v>
      </c>
      <c r="H405" t="s">
        <v>39</v>
      </c>
      <c r="I405" t="s">
        <v>40</v>
      </c>
      <c r="J405">
        <v>57658.21</v>
      </c>
      <c r="K405">
        <v>624.79</v>
      </c>
      <c r="L405">
        <v>112.46</v>
      </c>
      <c r="M405">
        <v>449.21</v>
      </c>
      <c r="N405">
        <v>57946.25</v>
      </c>
      <c r="O405">
        <v>847246.36</v>
      </c>
      <c r="P405">
        <v>829</v>
      </c>
      <c r="Q405" t="s">
        <v>29</v>
      </c>
      <c r="R405" t="s">
        <v>54</v>
      </c>
      <c r="S405" t="s">
        <v>31</v>
      </c>
      <c r="T405" t="s">
        <v>55</v>
      </c>
      <c r="U405" s="3">
        <f t="shared" si="6"/>
        <v>45962</v>
      </c>
    </row>
    <row r="406" spans="1:21" x14ac:dyDescent="0.35">
      <c r="A406" t="s">
        <v>1091</v>
      </c>
      <c r="B406" t="s">
        <v>1092</v>
      </c>
      <c r="C406" t="s">
        <v>95</v>
      </c>
      <c r="D406" t="s">
        <v>1093</v>
      </c>
      <c r="E406" t="s">
        <v>70</v>
      </c>
      <c r="F406" t="s">
        <v>46</v>
      </c>
      <c r="G406" t="s">
        <v>47</v>
      </c>
      <c r="H406" t="s">
        <v>48</v>
      </c>
      <c r="I406" t="s">
        <v>40</v>
      </c>
      <c r="J406">
        <v>158444.94</v>
      </c>
      <c r="K406">
        <v>382.34</v>
      </c>
      <c r="L406">
        <v>68.819999999999993</v>
      </c>
      <c r="M406">
        <v>259.49</v>
      </c>
      <c r="N406">
        <v>158636.60999999999</v>
      </c>
      <c r="O406">
        <v>843692.09</v>
      </c>
      <c r="P406">
        <v>367</v>
      </c>
      <c r="Q406" t="s">
        <v>53</v>
      </c>
      <c r="R406" t="s">
        <v>30</v>
      </c>
      <c r="S406" t="s">
        <v>86</v>
      </c>
      <c r="T406" t="s">
        <v>41</v>
      </c>
      <c r="U406" s="3">
        <f t="shared" si="6"/>
        <v>45748</v>
      </c>
    </row>
    <row r="407" spans="1:21" x14ac:dyDescent="0.35">
      <c r="A407" t="s">
        <v>1094</v>
      </c>
      <c r="B407" t="s">
        <v>245</v>
      </c>
      <c r="C407" t="s">
        <v>22</v>
      </c>
      <c r="D407" t="s">
        <v>1095</v>
      </c>
      <c r="E407" t="s">
        <v>70</v>
      </c>
      <c r="F407" t="s">
        <v>38</v>
      </c>
      <c r="G407" t="s">
        <v>103</v>
      </c>
      <c r="H407" t="s">
        <v>52</v>
      </c>
      <c r="I407" t="s">
        <v>40</v>
      </c>
      <c r="J407">
        <v>96171.55</v>
      </c>
      <c r="K407">
        <v>573.21</v>
      </c>
      <c r="L407">
        <v>103.18</v>
      </c>
      <c r="M407">
        <v>340.4</v>
      </c>
      <c r="N407">
        <v>96507.54</v>
      </c>
      <c r="O407">
        <v>848943.12</v>
      </c>
      <c r="P407">
        <v>823</v>
      </c>
      <c r="Q407" t="s">
        <v>74</v>
      </c>
      <c r="R407" t="s">
        <v>30</v>
      </c>
      <c r="S407" t="s">
        <v>31</v>
      </c>
      <c r="T407" t="s">
        <v>32</v>
      </c>
      <c r="U407" s="3">
        <f t="shared" si="6"/>
        <v>45778</v>
      </c>
    </row>
    <row r="408" spans="1:21" x14ac:dyDescent="0.35">
      <c r="A408" t="s">
        <v>1096</v>
      </c>
      <c r="B408" t="s">
        <v>431</v>
      </c>
      <c r="C408" t="s">
        <v>22</v>
      </c>
      <c r="D408" t="s">
        <v>966</v>
      </c>
      <c r="E408" t="s">
        <v>70</v>
      </c>
      <c r="F408" t="s">
        <v>25</v>
      </c>
      <c r="G408" t="s">
        <v>47</v>
      </c>
      <c r="H408" t="s">
        <v>52</v>
      </c>
      <c r="I408" t="s">
        <v>28</v>
      </c>
      <c r="J408">
        <v>142072.01999999999</v>
      </c>
      <c r="K408">
        <v>1717.14</v>
      </c>
      <c r="L408">
        <v>309.08999999999997</v>
      </c>
      <c r="M408">
        <v>13.11</v>
      </c>
      <c r="N408">
        <v>144085.14000000001</v>
      </c>
      <c r="O408">
        <v>850141.24</v>
      </c>
      <c r="P408">
        <v>457</v>
      </c>
      <c r="Q408" t="s">
        <v>29</v>
      </c>
      <c r="R408" t="s">
        <v>54</v>
      </c>
      <c r="S408" t="s">
        <v>31</v>
      </c>
      <c r="T408" t="s">
        <v>55</v>
      </c>
      <c r="U408" s="3">
        <f t="shared" si="6"/>
        <v>45870</v>
      </c>
    </row>
    <row r="409" spans="1:21" x14ac:dyDescent="0.35">
      <c r="A409" t="s">
        <v>1097</v>
      </c>
      <c r="B409" t="s">
        <v>593</v>
      </c>
      <c r="C409" t="s">
        <v>35</v>
      </c>
      <c r="D409" t="s">
        <v>1098</v>
      </c>
      <c r="E409" t="s">
        <v>24</v>
      </c>
      <c r="F409" t="s">
        <v>25</v>
      </c>
      <c r="G409" t="s">
        <v>26</v>
      </c>
      <c r="H409" t="s">
        <v>39</v>
      </c>
      <c r="I409" t="s">
        <v>61</v>
      </c>
      <c r="J409">
        <v>5777.13</v>
      </c>
      <c r="K409">
        <v>88.97</v>
      </c>
      <c r="L409">
        <v>16.010000000000002</v>
      </c>
      <c r="M409">
        <v>356.73</v>
      </c>
      <c r="N409">
        <v>5525.38</v>
      </c>
      <c r="O409">
        <v>856633.01</v>
      </c>
      <c r="P409">
        <v>652</v>
      </c>
      <c r="Q409" t="s">
        <v>53</v>
      </c>
      <c r="R409" t="s">
        <v>75</v>
      </c>
      <c r="S409" t="s">
        <v>31</v>
      </c>
      <c r="T409" t="s">
        <v>32</v>
      </c>
      <c r="U409" s="3">
        <f t="shared" si="6"/>
        <v>45689</v>
      </c>
    </row>
    <row r="410" spans="1:21" x14ac:dyDescent="0.35">
      <c r="A410" t="s">
        <v>1099</v>
      </c>
      <c r="B410" t="s">
        <v>1100</v>
      </c>
      <c r="C410" t="s">
        <v>95</v>
      </c>
      <c r="D410" t="s">
        <v>1101</v>
      </c>
      <c r="E410" t="s">
        <v>70</v>
      </c>
      <c r="F410" t="s">
        <v>25</v>
      </c>
      <c r="G410" t="s">
        <v>47</v>
      </c>
      <c r="H410" t="s">
        <v>52</v>
      </c>
      <c r="I410" t="s">
        <v>61</v>
      </c>
      <c r="J410">
        <v>108930.7</v>
      </c>
      <c r="K410">
        <v>1308.83</v>
      </c>
      <c r="L410">
        <v>235.59</v>
      </c>
      <c r="M410">
        <v>138.88</v>
      </c>
      <c r="N410">
        <v>110336.24</v>
      </c>
      <c r="O410">
        <v>858765.29</v>
      </c>
      <c r="P410">
        <v>878</v>
      </c>
      <c r="Q410" t="s">
        <v>53</v>
      </c>
      <c r="R410" t="s">
        <v>75</v>
      </c>
      <c r="S410" t="s">
        <v>62</v>
      </c>
      <c r="T410" t="s">
        <v>41</v>
      </c>
      <c r="U410" s="3">
        <f t="shared" si="6"/>
        <v>45901</v>
      </c>
    </row>
    <row r="411" spans="1:21" x14ac:dyDescent="0.35">
      <c r="A411" t="s">
        <v>1102</v>
      </c>
      <c r="B411" t="s">
        <v>816</v>
      </c>
      <c r="C411" t="s">
        <v>35</v>
      </c>
      <c r="D411" t="s">
        <v>1103</v>
      </c>
      <c r="E411" t="s">
        <v>37</v>
      </c>
      <c r="F411" t="s">
        <v>25</v>
      </c>
      <c r="G411" t="s">
        <v>60</v>
      </c>
      <c r="H411" t="s">
        <v>48</v>
      </c>
      <c r="I411" t="s">
        <v>40</v>
      </c>
      <c r="J411">
        <v>134197.6</v>
      </c>
      <c r="K411">
        <v>1795.43</v>
      </c>
      <c r="L411">
        <v>323.18</v>
      </c>
      <c r="M411">
        <v>199.78</v>
      </c>
      <c r="N411">
        <v>136116.43</v>
      </c>
      <c r="O411">
        <v>858686.5</v>
      </c>
      <c r="P411">
        <v>519</v>
      </c>
      <c r="Q411" t="s">
        <v>29</v>
      </c>
      <c r="R411" t="s">
        <v>75</v>
      </c>
      <c r="S411" t="s">
        <v>79</v>
      </c>
      <c r="T411" t="s">
        <v>32</v>
      </c>
      <c r="U411" s="3">
        <f t="shared" si="6"/>
        <v>45717</v>
      </c>
    </row>
    <row r="412" spans="1:21" x14ac:dyDescent="0.35">
      <c r="A412" t="s">
        <v>1104</v>
      </c>
      <c r="B412" t="s">
        <v>1105</v>
      </c>
      <c r="C412" t="s">
        <v>35</v>
      </c>
      <c r="D412" t="s">
        <v>1106</v>
      </c>
      <c r="E412" t="s">
        <v>24</v>
      </c>
      <c r="F412" t="s">
        <v>25</v>
      </c>
      <c r="G412" t="s">
        <v>60</v>
      </c>
      <c r="H412" t="s">
        <v>48</v>
      </c>
      <c r="I412" t="s">
        <v>40</v>
      </c>
      <c r="J412">
        <v>125418.7</v>
      </c>
      <c r="K412">
        <v>1152.48</v>
      </c>
      <c r="L412">
        <v>207.45</v>
      </c>
      <c r="M412">
        <v>262.48</v>
      </c>
      <c r="N412">
        <v>126516.15</v>
      </c>
      <c r="O412">
        <v>859721.91</v>
      </c>
      <c r="P412">
        <v>644</v>
      </c>
      <c r="Q412" t="s">
        <v>53</v>
      </c>
      <c r="R412" t="s">
        <v>30</v>
      </c>
      <c r="S412" t="s">
        <v>86</v>
      </c>
      <c r="T412" t="s">
        <v>32</v>
      </c>
      <c r="U412" s="3">
        <f t="shared" si="6"/>
        <v>45717</v>
      </c>
    </row>
    <row r="413" spans="1:21" x14ac:dyDescent="0.35">
      <c r="A413" t="s">
        <v>1107</v>
      </c>
      <c r="B413" t="s">
        <v>356</v>
      </c>
      <c r="C413" t="s">
        <v>22</v>
      </c>
      <c r="D413" t="s">
        <v>1108</v>
      </c>
      <c r="E413" t="s">
        <v>37</v>
      </c>
      <c r="F413" t="s">
        <v>59</v>
      </c>
      <c r="G413" t="s">
        <v>103</v>
      </c>
      <c r="H413" t="s">
        <v>66</v>
      </c>
      <c r="I413" t="s">
        <v>28</v>
      </c>
      <c r="J413">
        <v>190370.36</v>
      </c>
      <c r="K413">
        <v>659.9</v>
      </c>
      <c r="L413">
        <v>118.78</v>
      </c>
      <c r="M413">
        <v>286.70999999999998</v>
      </c>
      <c r="N413">
        <v>190862.33</v>
      </c>
      <c r="O413">
        <v>861527.17</v>
      </c>
      <c r="P413">
        <v>794</v>
      </c>
      <c r="Q413" t="s">
        <v>29</v>
      </c>
      <c r="R413" t="s">
        <v>30</v>
      </c>
      <c r="S413" t="s">
        <v>79</v>
      </c>
      <c r="T413" t="s">
        <v>55</v>
      </c>
      <c r="U413" s="3">
        <f t="shared" si="6"/>
        <v>45962</v>
      </c>
    </row>
    <row r="414" spans="1:21" x14ac:dyDescent="0.35">
      <c r="A414" t="s">
        <v>1109</v>
      </c>
      <c r="B414" t="s">
        <v>924</v>
      </c>
      <c r="C414" t="s">
        <v>95</v>
      </c>
      <c r="D414" t="s">
        <v>1110</v>
      </c>
      <c r="E414" t="s">
        <v>37</v>
      </c>
      <c r="F414" t="s">
        <v>38</v>
      </c>
      <c r="G414" t="s">
        <v>103</v>
      </c>
      <c r="H414" t="s">
        <v>66</v>
      </c>
      <c r="I414" t="s">
        <v>28</v>
      </c>
      <c r="J414">
        <v>114454.9</v>
      </c>
      <c r="K414">
        <v>520.96</v>
      </c>
      <c r="L414">
        <v>93.77</v>
      </c>
      <c r="M414">
        <v>125.02</v>
      </c>
      <c r="N414">
        <v>114944.61</v>
      </c>
      <c r="O414">
        <v>868864.58</v>
      </c>
      <c r="P414">
        <v>668</v>
      </c>
      <c r="Q414" t="s">
        <v>29</v>
      </c>
      <c r="R414" t="s">
        <v>30</v>
      </c>
      <c r="S414" t="s">
        <v>79</v>
      </c>
      <c r="T414" t="s">
        <v>41</v>
      </c>
      <c r="U414" s="3">
        <f t="shared" si="6"/>
        <v>45748</v>
      </c>
    </row>
    <row r="415" spans="1:21" x14ac:dyDescent="0.35">
      <c r="A415" t="s">
        <v>1111</v>
      </c>
      <c r="B415" t="s">
        <v>1112</v>
      </c>
      <c r="C415" t="s">
        <v>95</v>
      </c>
      <c r="D415" t="s">
        <v>1113</v>
      </c>
      <c r="E415" t="s">
        <v>24</v>
      </c>
      <c r="F415" t="s">
        <v>25</v>
      </c>
      <c r="G415" t="s">
        <v>26</v>
      </c>
      <c r="H415" t="s">
        <v>39</v>
      </c>
      <c r="I415" t="s">
        <v>61</v>
      </c>
      <c r="J415">
        <v>129485.19</v>
      </c>
      <c r="K415">
        <v>1270.0899999999999</v>
      </c>
      <c r="L415">
        <v>228.62</v>
      </c>
      <c r="M415">
        <v>394.78</v>
      </c>
      <c r="N415">
        <v>130589.12</v>
      </c>
      <c r="O415">
        <v>865459.93</v>
      </c>
      <c r="P415">
        <v>661</v>
      </c>
      <c r="Q415" t="s">
        <v>29</v>
      </c>
      <c r="R415" t="s">
        <v>30</v>
      </c>
      <c r="S415" t="s">
        <v>79</v>
      </c>
      <c r="T415" t="s">
        <v>32</v>
      </c>
      <c r="U415" s="3">
        <f t="shared" si="6"/>
        <v>45962</v>
      </c>
    </row>
    <row r="416" spans="1:21" x14ac:dyDescent="0.35">
      <c r="A416" t="s">
        <v>1114</v>
      </c>
      <c r="B416" t="s">
        <v>1115</v>
      </c>
      <c r="C416" t="s">
        <v>95</v>
      </c>
      <c r="D416" t="s">
        <v>1116</v>
      </c>
      <c r="E416" t="s">
        <v>37</v>
      </c>
      <c r="F416" t="s">
        <v>38</v>
      </c>
      <c r="G416" t="s">
        <v>47</v>
      </c>
      <c r="H416" t="s">
        <v>27</v>
      </c>
      <c r="I416" t="s">
        <v>28</v>
      </c>
      <c r="J416">
        <v>184852.84</v>
      </c>
      <c r="K416">
        <v>1192.06</v>
      </c>
      <c r="L416">
        <v>214.57</v>
      </c>
      <c r="M416">
        <v>299.94</v>
      </c>
      <c r="N416">
        <v>185959.53</v>
      </c>
      <c r="O416">
        <v>868110.68</v>
      </c>
      <c r="P416">
        <v>642</v>
      </c>
      <c r="Q416" t="s">
        <v>74</v>
      </c>
      <c r="R416" t="s">
        <v>30</v>
      </c>
      <c r="S416" t="s">
        <v>31</v>
      </c>
      <c r="T416" t="s">
        <v>41</v>
      </c>
      <c r="U416" s="3">
        <f t="shared" si="6"/>
        <v>45839</v>
      </c>
    </row>
    <row r="417" spans="1:21" x14ac:dyDescent="0.35">
      <c r="A417" t="s">
        <v>1117</v>
      </c>
      <c r="B417" t="s">
        <v>698</v>
      </c>
      <c r="C417" t="s">
        <v>22</v>
      </c>
      <c r="D417" t="s">
        <v>1118</v>
      </c>
      <c r="E417" t="s">
        <v>45</v>
      </c>
      <c r="F417" t="s">
        <v>38</v>
      </c>
      <c r="G417" t="s">
        <v>47</v>
      </c>
      <c r="H417" t="s">
        <v>39</v>
      </c>
      <c r="I417" t="s">
        <v>40</v>
      </c>
      <c r="J417">
        <v>95534.24</v>
      </c>
      <c r="K417">
        <v>282.44</v>
      </c>
      <c r="L417">
        <v>50.84</v>
      </c>
      <c r="M417">
        <v>255.32</v>
      </c>
      <c r="N417">
        <v>95612.2</v>
      </c>
      <c r="O417">
        <v>875899.48</v>
      </c>
      <c r="P417">
        <v>872</v>
      </c>
      <c r="Q417" t="s">
        <v>29</v>
      </c>
      <c r="R417" t="s">
        <v>54</v>
      </c>
      <c r="S417" t="s">
        <v>86</v>
      </c>
      <c r="T417" t="s">
        <v>32</v>
      </c>
      <c r="U417" s="3">
        <f t="shared" si="6"/>
        <v>45778</v>
      </c>
    </row>
    <row r="418" spans="1:21" x14ac:dyDescent="0.35">
      <c r="A418" t="s">
        <v>1119</v>
      </c>
      <c r="B418" t="s">
        <v>691</v>
      </c>
      <c r="C418" t="s">
        <v>22</v>
      </c>
      <c r="D418" t="s">
        <v>1120</v>
      </c>
      <c r="E418" t="s">
        <v>37</v>
      </c>
      <c r="F418" t="s">
        <v>25</v>
      </c>
      <c r="G418" t="s">
        <v>26</v>
      </c>
      <c r="H418" t="s">
        <v>27</v>
      </c>
      <c r="I418" t="s">
        <v>28</v>
      </c>
      <c r="J418">
        <v>2321.1999999999998</v>
      </c>
      <c r="K418">
        <v>25.6</v>
      </c>
      <c r="L418">
        <v>4.6100000000000003</v>
      </c>
      <c r="M418">
        <v>230.21</v>
      </c>
      <c r="N418">
        <v>2121.1999999999998</v>
      </c>
      <c r="O418">
        <v>884140.87</v>
      </c>
      <c r="P418">
        <v>639</v>
      </c>
      <c r="Q418" t="s">
        <v>53</v>
      </c>
      <c r="R418" t="s">
        <v>30</v>
      </c>
      <c r="S418" t="s">
        <v>79</v>
      </c>
      <c r="T418" t="s">
        <v>41</v>
      </c>
      <c r="U418" s="3">
        <f t="shared" si="6"/>
        <v>45992</v>
      </c>
    </row>
    <row r="419" spans="1:21" x14ac:dyDescent="0.35">
      <c r="A419" t="s">
        <v>1121</v>
      </c>
      <c r="B419" t="s">
        <v>381</v>
      </c>
      <c r="C419" t="s">
        <v>35</v>
      </c>
      <c r="D419" t="s">
        <v>1122</v>
      </c>
      <c r="E419" t="s">
        <v>24</v>
      </c>
      <c r="F419" t="s">
        <v>59</v>
      </c>
      <c r="G419" t="s">
        <v>103</v>
      </c>
      <c r="H419" t="s">
        <v>39</v>
      </c>
      <c r="I419" t="s">
        <v>61</v>
      </c>
      <c r="J419">
        <v>72788.009999999995</v>
      </c>
      <c r="K419">
        <v>478.38</v>
      </c>
      <c r="L419">
        <v>86.11</v>
      </c>
      <c r="M419">
        <v>456.89</v>
      </c>
      <c r="N419">
        <v>72895.61</v>
      </c>
      <c r="O419">
        <v>889010.36</v>
      </c>
      <c r="P419">
        <v>674</v>
      </c>
      <c r="Q419" t="s">
        <v>53</v>
      </c>
      <c r="R419" t="s">
        <v>75</v>
      </c>
      <c r="S419" t="s">
        <v>31</v>
      </c>
      <c r="T419" t="s">
        <v>55</v>
      </c>
      <c r="U419" s="3">
        <f t="shared" si="6"/>
        <v>45962</v>
      </c>
    </row>
    <row r="420" spans="1:21" x14ac:dyDescent="0.35">
      <c r="A420" t="s">
        <v>1123</v>
      </c>
      <c r="B420" t="s">
        <v>837</v>
      </c>
      <c r="C420" t="s">
        <v>22</v>
      </c>
      <c r="D420" t="s">
        <v>1124</v>
      </c>
      <c r="E420" t="s">
        <v>24</v>
      </c>
      <c r="F420" t="s">
        <v>38</v>
      </c>
      <c r="G420" t="s">
        <v>60</v>
      </c>
      <c r="H420" t="s">
        <v>52</v>
      </c>
      <c r="I420" t="s">
        <v>40</v>
      </c>
      <c r="J420">
        <v>168190.03</v>
      </c>
      <c r="K420">
        <v>2741.1</v>
      </c>
      <c r="L420">
        <v>493.4</v>
      </c>
      <c r="M420">
        <v>339.78</v>
      </c>
      <c r="N420">
        <v>171084.75</v>
      </c>
      <c r="O420">
        <v>892623.47</v>
      </c>
      <c r="P420">
        <v>830</v>
      </c>
      <c r="Q420" t="s">
        <v>29</v>
      </c>
      <c r="R420" t="s">
        <v>30</v>
      </c>
      <c r="S420" t="s">
        <v>62</v>
      </c>
      <c r="T420" t="s">
        <v>41</v>
      </c>
      <c r="U420" s="3">
        <f t="shared" si="6"/>
        <v>45992</v>
      </c>
    </row>
    <row r="421" spans="1:21" x14ac:dyDescent="0.35">
      <c r="A421" t="s">
        <v>1125</v>
      </c>
      <c r="B421" t="s">
        <v>350</v>
      </c>
      <c r="C421" t="s">
        <v>35</v>
      </c>
      <c r="D421" t="s">
        <v>1126</v>
      </c>
      <c r="E421" t="s">
        <v>24</v>
      </c>
      <c r="F421" t="s">
        <v>25</v>
      </c>
      <c r="G421" t="s">
        <v>26</v>
      </c>
      <c r="H421" t="s">
        <v>39</v>
      </c>
      <c r="I421" t="s">
        <v>61</v>
      </c>
      <c r="J421">
        <v>78898.75</v>
      </c>
      <c r="K421">
        <v>1031.25</v>
      </c>
      <c r="L421">
        <v>185.62</v>
      </c>
      <c r="M421">
        <v>382.31</v>
      </c>
      <c r="N421">
        <v>79733.31</v>
      </c>
      <c r="O421">
        <v>894406.42</v>
      </c>
      <c r="P421">
        <v>540</v>
      </c>
      <c r="Q421" t="s">
        <v>74</v>
      </c>
      <c r="R421" t="s">
        <v>30</v>
      </c>
      <c r="S421" t="s">
        <v>62</v>
      </c>
      <c r="T421" t="s">
        <v>32</v>
      </c>
      <c r="U421" s="3">
        <f t="shared" si="6"/>
        <v>45717</v>
      </c>
    </row>
    <row r="422" spans="1:21" x14ac:dyDescent="0.35">
      <c r="A422" t="s">
        <v>1127</v>
      </c>
      <c r="B422" t="s">
        <v>779</v>
      </c>
      <c r="C422" t="s">
        <v>35</v>
      </c>
      <c r="D422" t="s">
        <v>1128</v>
      </c>
      <c r="E422" t="s">
        <v>45</v>
      </c>
      <c r="F422" t="s">
        <v>25</v>
      </c>
      <c r="G422" t="s">
        <v>26</v>
      </c>
      <c r="H422" t="s">
        <v>27</v>
      </c>
      <c r="I422" t="s">
        <v>28</v>
      </c>
      <c r="J422">
        <v>172677.95</v>
      </c>
      <c r="K422">
        <v>820.31</v>
      </c>
      <c r="L422">
        <v>147.66</v>
      </c>
      <c r="M422">
        <v>125.24</v>
      </c>
      <c r="N422">
        <v>173520.68</v>
      </c>
      <c r="O422">
        <v>892763.98</v>
      </c>
      <c r="P422">
        <v>477</v>
      </c>
      <c r="Q422" t="s">
        <v>53</v>
      </c>
      <c r="R422" t="s">
        <v>54</v>
      </c>
      <c r="S422" t="s">
        <v>62</v>
      </c>
      <c r="T422" t="s">
        <v>41</v>
      </c>
      <c r="U422" s="3">
        <f t="shared" si="6"/>
        <v>45658</v>
      </c>
    </row>
    <row r="423" spans="1:21" x14ac:dyDescent="0.35">
      <c r="A423" t="s">
        <v>1129</v>
      </c>
      <c r="B423" t="s">
        <v>972</v>
      </c>
      <c r="C423" t="s">
        <v>95</v>
      </c>
      <c r="D423" t="s">
        <v>689</v>
      </c>
      <c r="E423" t="s">
        <v>70</v>
      </c>
      <c r="F423" t="s">
        <v>59</v>
      </c>
      <c r="G423" t="s">
        <v>26</v>
      </c>
      <c r="H423" t="s">
        <v>52</v>
      </c>
      <c r="I423" t="s">
        <v>28</v>
      </c>
      <c r="J423">
        <v>146053.44</v>
      </c>
      <c r="K423">
        <v>2555.75</v>
      </c>
      <c r="L423">
        <v>460.03</v>
      </c>
      <c r="M423">
        <v>324.17</v>
      </c>
      <c r="N423">
        <v>148745.04999999999</v>
      </c>
      <c r="O423">
        <v>895079.17</v>
      </c>
      <c r="P423">
        <v>368</v>
      </c>
      <c r="Q423" t="s">
        <v>74</v>
      </c>
      <c r="R423" t="s">
        <v>30</v>
      </c>
      <c r="S423" t="s">
        <v>31</v>
      </c>
      <c r="T423" t="s">
        <v>32</v>
      </c>
      <c r="U423" s="3">
        <f t="shared" si="6"/>
        <v>45870</v>
      </c>
    </row>
    <row r="424" spans="1:21" x14ac:dyDescent="0.35">
      <c r="A424" t="s">
        <v>1130</v>
      </c>
      <c r="B424" t="s">
        <v>534</v>
      </c>
      <c r="C424" t="s">
        <v>35</v>
      </c>
      <c r="D424" t="s">
        <v>1131</v>
      </c>
      <c r="E424" t="s">
        <v>45</v>
      </c>
      <c r="F424" t="s">
        <v>38</v>
      </c>
      <c r="G424" t="s">
        <v>60</v>
      </c>
      <c r="H424" t="s">
        <v>48</v>
      </c>
      <c r="I424" t="s">
        <v>28</v>
      </c>
      <c r="J424">
        <v>147556.5</v>
      </c>
      <c r="K424">
        <v>790.16</v>
      </c>
      <c r="L424">
        <v>142.22999999999999</v>
      </c>
      <c r="M424">
        <v>169.23</v>
      </c>
      <c r="N424">
        <v>148319.66</v>
      </c>
      <c r="O424">
        <v>898672.29</v>
      </c>
      <c r="P424">
        <v>608</v>
      </c>
      <c r="Q424" t="s">
        <v>29</v>
      </c>
      <c r="R424" t="s">
        <v>75</v>
      </c>
      <c r="S424" t="s">
        <v>62</v>
      </c>
      <c r="T424" t="s">
        <v>32</v>
      </c>
      <c r="U424" s="3">
        <f t="shared" si="6"/>
        <v>45962</v>
      </c>
    </row>
    <row r="425" spans="1:21" x14ac:dyDescent="0.35">
      <c r="A425" t="s">
        <v>1132</v>
      </c>
      <c r="B425" t="s">
        <v>474</v>
      </c>
      <c r="C425" t="s">
        <v>95</v>
      </c>
      <c r="D425" t="s">
        <v>1133</v>
      </c>
      <c r="E425" t="s">
        <v>70</v>
      </c>
      <c r="F425" t="s">
        <v>46</v>
      </c>
      <c r="G425" t="s">
        <v>60</v>
      </c>
      <c r="H425" t="s">
        <v>66</v>
      </c>
      <c r="I425" t="s">
        <v>61</v>
      </c>
      <c r="J425">
        <v>179201.04</v>
      </c>
      <c r="K425">
        <v>1815.47</v>
      </c>
      <c r="L425">
        <v>326.77999999999997</v>
      </c>
      <c r="M425">
        <v>63.29</v>
      </c>
      <c r="N425">
        <v>181280</v>
      </c>
      <c r="O425">
        <v>905648</v>
      </c>
      <c r="P425">
        <v>534</v>
      </c>
      <c r="Q425" t="s">
        <v>53</v>
      </c>
      <c r="R425" t="s">
        <v>30</v>
      </c>
      <c r="S425" t="s">
        <v>31</v>
      </c>
      <c r="T425" t="s">
        <v>32</v>
      </c>
      <c r="U425" s="3">
        <f t="shared" si="6"/>
        <v>45992</v>
      </c>
    </row>
    <row r="426" spans="1:21" x14ac:dyDescent="0.35">
      <c r="A426" t="s">
        <v>1134</v>
      </c>
      <c r="B426" t="s">
        <v>779</v>
      </c>
      <c r="C426" t="s">
        <v>22</v>
      </c>
      <c r="D426" t="s">
        <v>1135</v>
      </c>
      <c r="E426" t="s">
        <v>37</v>
      </c>
      <c r="F426" t="s">
        <v>46</v>
      </c>
      <c r="G426" t="s">
        <v>60</v>
      </c>
      <c r="H426" t="s">
        <v>27</v>
      </c>
      <c r="I426" t="s">
        <v>40</v>
      </c>
      <c r="J426">
        <v>188429.46</v>
      </c>
      <c r="K426">
        <v>1246.3800000000001</v>
      </c>
      <c r="L426">
        <v>224.35</v>
      </c>
      <c r="M426">
        <v>408.54</v>
      </c>
      <c r="N426">
        <v>189491.65</v>
      </c>
      <c r="O426">
        <v>908808.76</v>
      </c>
      <c r="P426">
        <v>811</v>
      </c>
      <c r="Q426" t="s">
        <v>29</v>
      </c>
      <c r="R426" t="s">
        <v>54</v>
      </c>
      <c r="S426" t="s">
        <v>62</v>
      </c>
      <c r="T426" t="s">
        <v>41</v>
      </c>
      <c r="U426" s="3">
        <f t="shared" si="6"/>
        <v>45658</v>
      </c>
    </row>
    <row r="427" spans="1:21" x14ac:dyDescent="0.35">
      <c r="A427" t="s">
        <v>1136</v>
      </c>
      <c r="B427" t="s">
        <v>397</v>
      </c>
      <c r="C427" t="s">
        <v>22</v>
      </c>
      <c r="D427" t="s">
        <v>1137</v>
      </c>
      <c r="E427" t="s">
        <v>24</v>
      </c>
      <c r="F427" t="s">
        <v>25</v>
      </c>
      <c r="G427" t="s">
        <v>26</v>
      </c>
      <c r="H427" t="s">
        <v>52</v>
      </c>
      <c r="I427" t="s">
        <v>61</v>
      </c>
      <c r="J427">
        <v>122727.25</v>
      </c>
      <c r="K427">
        <v>1450.08</v>
      </c>
      <c r="L427">
        <v>261.01</v>
      </c>
      <c r="M427">
        <v>47.91</v>
      </c>
      <c r="N427">
        <v>124390.43</v>
      </c>
      <c r="O427">
        <v>917293.91</v>
      </c>
      <c r="P427">
        <v>604</v>
      </c>
      <c r="Q427" t="s">
        <v>74</v>
      </c>
      <c r="R427" t="s">
        <v>30</v>
      </c>
      <c r="S427" t="s">
        <v>31</v>
      </c>
      <c r="T427" t="s">
        <v>32</v>
      </c>
      <c r="U427" s="3">
        <f t="shared" si="6"/>
        <v>45901</v>
      </c>
    </row>
    <row r="428" spans="1:21" x14ac:dyDescent="0.35">
      <c r="A428" t="s">
        <v>1138</v>
      </c>
      <c r="B428" t="s">
        <v>844</v>
      </c>
      <c r="C428" t="s">
        <v>95</v>
      </c>
      <c r="D428" t="s">
        <v>1139</v>
      </c>
      <c r="E428" t="s">
        <v>24</v>
      </c>
      <c r="F428" t="s">
        <v>38</v>
      </c>
      <c r="G428" t="s">
        <v>47</v>
      </c>
      <c r="H428" t="s">
        <v>27</v>
      </c>
      <c r="I428" t="s">
        <v>40</v>
      </c>
      <c r="J428">
        <v>94439.42</v>
      </c>
      <c r="K428">
        <v>1713.06</v>
      </c>
      <c r="L428">
        <v>308.35000000000002</v>
      </c>
      <c r="M428">
        <v>235.55</v>
      </c>
      <c r="N428">
        <v>96225.279999999999</v>
      </c>
      <c r="O428">
        <v>915877.29</v>
      </c>
      <c r="P428">
        <v>313</v>
      </c>
      <c r="Q428" t="s">
        <v>53</v>
      </c>
      <c r="R428" t="s">
        <v>30</v>
      </c>
      <c r="S428" t="s">
        <v>79</v>
      </c>
      <c r="T428" t="s">
        <v>55</v>
      </c>
      <c r="U428" s="3">
        <f t="shared" si="6"/>
        <v>45992</v>
      </c>
    </row>
    <row r="429" spans="1:21" x14ac:dyDescent="0.35">
      <c r="A429" t="s">
        <v>1140</v>
      </c>
      <c r="B429" t="s">
        <v>853</v>
      </c>
      <c r="C429" t="s">
        <v>22</v>
      </c>
      <c r="D429" t="s">
        <v>1141</v>
      </c>
      <c r="E429" t="s">
        <v>70</v>
      </c>
      <c r="F429" t="s">
        <v>59</v>
      </c>
      <c r="G429" t="s">
        <v>26</v>
      </c>
      <c r="H429" t="s">
        <v>48</v>
      </c>
      <c r="I429" t="s">
        <v>40</v>
      </c>
      <c r="J429">
        <v>102883.12</v>
      </c>
      <c r="K429">
        <v>445.36</v>
      </c>
      <c r="L429">
        <v>80.16</v>
      </c>
      <c r="M429">
        <v>431.79</v>
      </c>
      <c r="N429">
        <v>102976.85</v>
      </c>
      <c r="O429">
        <v>922604.16</v>
      </c>
      <c r="P429">
        <v>730</v>
      </c>
      <c r="Q429" t="s">
        <v>74</v>
      </c>
      <c r="R429" t="s">
        <v>30</v>
      </c>
      <c r="S429" t="s">
        <v>62</v>
      </c>
      <c r="T429" t="s">
        <v>55</v>
      </c>
      <c r="U429" s="3">
        <f t="shared" si="6"/>
        <v>45809</v>
      </c>
    </row>
    <row r="430" spans="1:21" x14ac:dyDescent="0.35">
      <c r="A430" t="s">
        <v>1142</v>
      </c>
      <c r="B430" t="s">
        <v>131</v>
      </c>
      <c r="C430" t="s">
        <v>95</v>
      </c>
      <c r="D430" t="s">
        <v>1143</v>
      </c>
      <c r="E430" t="s">
        <v>24</v>
      </c>
      <c r="F430" t="s">
        <v>38</v>
      </c>
      <c r="G430" t="s">
        <v>60</v>
      </c>
      <c r="H430" t="s">
        <v>66</v>
      </c>
      <c r="I430" t="s">
        <v>61</v>
      </c>
      <c r="J430">
        <v>97125.88</v>
      </c>
      <c r="K430">
        <v>1292.94</v>
      </c>
      <c r="L430">
        <v>232.73</v>
      </c>
      <c r="M430">
        <v>176.78</v>
      </c>
      <c r="N430">
        <v>98474.77</v>
      </c>
      <c r="O430">
        <v>924228.18</v>
      </c>
      <c r="P430">
        <v>352</v>
      </c>
      <c r="Q430" t="s">
        <v>74</v>
      </c>
      <c r="R430" t="s">
        <v>30</v>
      </c>
      <c r="S430" t="s">
        <v>31</v>
      </c>
      <c r="T430" t="s">
        <v>32</v>
      </c>
      <c r="U430" s="3">
        <f t="shared" si="6"/>
        <v>45931</v>
      </c>
    </row>
    <row r="431" spans="1:21" x14ac:dyDescent="0.35">
      <c r="A431" t="s">
        <v>1144</v>
      </c>
      <c r="B431" t="s">
        <v>1145</v>
      </c>
      <c r="C431" t="s">
        <v>35</v>
      </c>
      <c r="D431" t="s">
        <v>1146</v>
      </c>
      <c r="E431" t="s">
        <v>37</v>
      </c>
      <c r="F431" t="s">
        <v>46</v>
      </c>
      <c r="G431" t="s">
        <v>60</v>
      </c>
      <c r="H431" t="s">
        <v>66</v>
      </c>
      <c r="I431" t="s">
        <v>28</v>
      </c>
      <c r="J431">
        <v>114290.21</v>
      </c>
      <c r="K431">
        <v>1997.35</v>
      </c>
      <c r="L431">
        <v>359.52</v>
      </c>
      <c r="M431">
        <v>186.24</v>
      </c>
      <c r="N431">
        <v>116460.84</v>
      </c>
      <c r="O431">
        <v>925412.88</v>
      </c>
      <c r="P431">
        <v>598</v>
      </c>
      <c r="Q431" t="s">
        <v>53</v>
      </c>
      <c r="R431" t="s">
        <v>54</v>
      </c>
      <c r="S431" t="s">
        <v>31</v>
      </c>
      <c r="T431" t="s">
        <v>55</v>
      </c>
      <c r="U431" s="3">
        <f t="shared" si="6"/>
        <v>45839</v>
      </c>
    </row>
    <row r="432" spans="1:21" x14ac:dyDescent="0.35">
      <c r="A432" t="s">
        <v>1147</v>
      </c>
      <c r="B432" t="s">
        <v>1148</v>
      </c>
      <c r="C432" t="s">
        <v>22</v>
      </c>
      <c r="D432" t="s">
        <v>1149</v>
      </c>
      <c r="E432" t="s">
        <v>37</v>
      </c>
      <c r="F432" t="s">
        <v>59</v>
      </c>
      <c r="G432" t="s">
        <v>60</v>
      </c>
      <c r="H432" t="s">
        <v>27</v>
      </c>
      <c r="I432" t="s">
        <v>28</v>
      </c>
      <c r="J432">
        <v>69301.7</v>
      </c>
      <c r="K432">
        <v>799.64</v>
      </c>
      <c r="L432">
        <v>143.94</v>
      </c>
      <c r="M432">
        <v>233.25</v>
      </c>
      <c r="N432">
        <v>70012.03</v>
      </c>
      <c r="O432">
        <v>923793.76</v>
      </c>
      <c r="P432">
        <v>723</v>
      </c>
      <c r="Q432" t="s">
        <v>74</v>
      </c>
      <c r="R432" t="s">
        <v>54</v>
      </c>
      <c r="S432" t="s">
        <v>86</v>
      </c>
      <c r="T432" t="s">
        <v>41</v>
      </c>
      <c r="U432" s="3">
        <f t="shared" si="6"/>
        <v>45931</v>
      </c>
    </row>
    <row r="433" spans="1:21" x14ac:dyDescent="0.35">
      <c r="A433" t="s">
        <v>1150</v>
      </c>
      <c r="B433" t="s">
        <v>870</v>
      </c>
      <c r="C433" t="s">
        <v>95</v>
      </c>
      <c r="D433" t="s">
        <v>1151</v>
      </c>
      <c r="E433" t="s">
        <v>37</v>
      </c>
      <c r="F433" t="s">
        <v>38</v>
      </c>
      <c r="G433" t="s">
        <v>26</v>
      </c>
      <c r="H433" t="s">
        <v>27</v>
      </c>
      <c r="I433" t="s">
        <v>28</v>
      </c>
      <c r="J433">
        <v>103446.63</v>
      </c>
      <c r="K433">
        <v>1625.45</v>
      </c>
      <c r="L433">
        <v>292.58</v>
      </c>
      <c r="M433">
        <v>217.28</v>
      </c>
      <c r="N433">
        <v>105147.38</v>
      </c>
      <c r="O433">
        <v>930889.92</v>
      </c>
      <c r="P433">
        <v>663</v>
      </c>
      <c r="Q433" t="s">
        <v>53</v>
      </c>
      <c r="R433" t="s">
        <v>75</v>
      </c>
      <c r="S433" t="s">
        <v>86</v>
      </c>
      <c r="T433" t="s">
        <v>41</v>
      </c>
      <c r="U433" s="3">
        <f t="shared" si="6"/>
        <v>45839</v>
      </c>
    </row>
    <row r="434" spans="1:21" x14ac:dyDescent="0.35">
      <c r="A434" t="s">
        <v>1152</v>
      </c>
      <c r="B434" t="s">
        <v>1153</v>
      </c>
      <c r="C434" t="s">
        <v>95</v>
      </c>
      <c r="D434" t="s">
        <v>1154</v>
      </c>
      <c r="E434" t="s">
        <v>70</v>
      </c>
      <c r="F434" t="s">
        <v>46</v>
      </c>
      <c r="G434" t="s">
        <v>26</v>
      </c>
      <c r="H434" t="s">
        <v>39</v>
      </c>
      <c r="I434" t="s">
        <v>61</v>
      </c>
      <c r="J434">
        <v>97967.21</v>
      </c>
      <c r="K434">
        <v>1660.62</v>
      </c>
      <c r="L434">
        <v>298.91000000000003</v>
      </c>
      <c r="M434">
        <v>421.83</v>
      </c>
      <c r="N434">
        <v>99504.91</v>
      </c>
      <c r="O434">
        <v>937106.31</v>
      </c>
      <c r="P434">
        <v>396</v>
      </c>
      <c r="Q434" t="s">
        <v>74</v>
      </c>
      <c r="R434" t="s">
        <v>30</v>
      </c>
      <c r="S434" t="s">
        <v>86</v>
      </c>
      <c r="T434" t="s">
        <v>32</v>
      </c>
      <c r="U434" s="3">
        <f t="shared" si="6"/>
        <v>45901</v>
      </c>
    </row>
    <row r="435" spans="1:21" x14ac:dyDescent="0.35">
      <c r="A435" t="s">
        <v>1155</v>
      </c>
      <c r="B435" t="s">
        <v>1156</v>
      </c>
      <c r="C435" t="s">
        <v>95</v>
      </c>
      <c r="D435" t="s">
        <v>552</v>
      </c>
      <c r="E435" t="s">
        <v>70</v>
      </c>
      <c r="F435" t="s">
        <v>25</v>
      </c>
      <c r="G435" t="s">
        <v>47</v>
      </c>
      <c r="H435" t="s">
        <v>48</v>
      </c>
      <c r="I435" t="s">
        <v>40</v>
      </c>
      <c r="J435">
        <v>169052.97</v>
      </c>
      <c r="K435">
        <v>1711.87</v>
      </c>
      <c r="L435">
        <v>308.14</v>
      </c>
      <c r="M435">
        <v>88.78</v>
      </c>
      <c r="N435">
        <v>170984.2</v>
      </c>
      <c r="O435">
        <v>937432.58</v>
      </c>
      <c r="P435">
        <v>363</v>
      </c>
      <c r="Q435" t="s">
        <v>29</v>
      </c>
      <c r="R435" t="s">
        <v>30</v>
      </c>
      <c r="S435" t="s">
        <v>79</v>
      </c>
      <c r="T435" t="s">
        <v>55</v>
      </c>
      <c r="U435" s="3">
        <f t="shared" si="6"/>
        <v>45717</v>
      </c>
    </row>
    <row r="436" spans="1:21" x14ac:dyDescent="0.35">
      <c r="A436" t="s">
        <v>1157</v>
      </c>
      <c r="B436" t="s">
        <v>859</v>
      </c>
      <c r="C436" t="s">
        <v>22</v>
      </c>
      <c r="D436" t="s">
        <v>440</v>
      </c>
      <c r="E436" t="s">
        <v>70</v>
      </c>
      <c r="F436" t="s">
        <v>59</v>
      </c>
      <c r="G436" t="s">
        <v>103</v>
      </c>
      <c r="H436" t="s">
        <v>52</v>
      </c>
      <c r="I436" t="s">
        <v>61</v>
      </c>
      <c r="J436">
        <v>74486.45</v>
      </c>
      <c r="K436">
        <v>1229.8399999999999</v>
      </c>
      <c r="L436">
        <v>221.37</v>
      </c>
      <c r="M436">
        <v>189.92</v>
      </c>
      <c r="N436">
        <v>75747.740000000005</v>
      </c>
      <c r="O436">
        <v>946135.8</v>
      </c>
      <c r="P436">
        <v>825</v>
      </c>
      <c r="Q436" t="s">
        <v>53</v>
      </c>
      <c r="R436" t="s">
        <v>75</v>
      </c>
      <c r="S436" t="s">
        <v>62</v>
      </c>
      <c r="T436" t="s">
        <v>41</v>
      </c>
      <c r="U436" s="3">
        <f t="shared" si="6"/>
        <v>45658</v>
      </c>
    </row>
    <row r="437" spans="1:21" x14ac:dyDescent="0.35">
      <c r="A437" t="s">
        <v>1158</v>
      </c>
      <c r="B437" t="s">
        <v>1159</v>
      </c>
      <c r="C437" t="s">
        <v>35</v>
      </c>
      <c r="D437" t="s">
        <v>1160</v>
      </c>
      <c r="E437" t="s">
        <v>24</v>
      </c>
      <c r="F437" t="s">
        <v>38</v>
      </c>
      <c r="G437" t="s">
        <v>103</v>
      </c>
      <c r="H437" t="s">
        <v>39</v>
      </c>
      <c r="I437" t="s">
        <v>28</v>
      </c>
      <c r="J437">
        <v>118076.56</v>
      </c>
      <c r="K437">
        <v>1256.96</v>
      </c>
      <c r="L437">
        <v>226.25</v>
      </c>
      <c r="M437">
        <v>319.16000000000003</v>
      </c>
      <c r="N437">
        <v>119240.61</v>
      </c>
      <c r="O437">
        <v>944745.96</v>
      </c>
      <c r="P437">
        <v>520</v>
      </c>
      <c r="Q437" t="s">
        <v>74</v>
      </c>
      <c r="R437" t="s">
        <v>30</v>
      </c>
      <c r="S437" t="s">
        <v>86</v>
      </c>
      <c r="T437" t="s">
        <v>55</v>
      </c>
      <c r="U437" s="3">
        <f t="shared" si="6"/>
        <v>45809</v>
      </c>
    </row>
    <row r="438" spans="1:21" x14ac:dyDescent="0.35">
      <c r="A438" t="s">
        <v>1161</v>
      </c>
      <c r="B438" t="s">
        <v>1005</v>
      </c>
      <c r="C438" t="s">
        <v>95</v>
      </c>
      <c r="D438" t="s">
        <v>793</v>
      </c>
      <c r="E438" t="s">
        <v>45</v>
      </c>
      <c r="F438" t="s">
        <v>59</v>
      </c>
      <c r="G438" t="s">
        <v>26</v>
      </c>
      <c r="H438" t="s">
        <v>66</v>
      </c>
      <c r="I438" t="s">
        <v>61</v>
      </c>
      <c r="J438">
        <v>181315.44</v>
      </c>
      <c r="K438">
        <v>1716.04</v>
      </c>
      <c r="L438">
        <v>308.89</v>
      </c>
      <c r="M438">
        <v>127.08</v>
      </c>
      <c r="N438">
        <v>183213.29</v>
      </c>
      <c r="O438">
        <v>947067.05</v>
      </c>
      <c r="P438">
        <v>318</v>
      </c>
      <c r="Q438" t="s">
        <v>53</v>
      </c>
      <c r="R438" t="s">
        <v>30</v>
      </c>
      <c r="S438" t="s">
        <v>79</v>
      </c>
      <c r="T438" t="s">
        <v>41</v>
      </c>
      <c r="U438" s="3">
        <f t="shared" si="6"/>
        <v>45901</v>
      </c>
    </row>
    <row r="439" spans="1:21" x14ac:dyDescent="0.35">
      <c r="A439" t="s">
        <v>1162</v>
      </c>
      <c r="B439" t="s">
        <v>1163</v>
      </c>
      <c r="C439" t="s">
        <v>35</v>
      </c>
      <c r="D439" t="s">
        <v>1164</v>
      </c>
      <c r="E439" t="s">
        <v>24</v>
      </c>
      <c r="F439" t="s">
        <v>59</v>
      </c>
      <c r="G439" t="s">
        <v>103</v>
      </c>
      <c r="H439" t="s">
        <v>27</v>
      </c>
      <c r="I439" t="s">
        <v>28</v>
      </c>
      <c r="J439">
        <v>42103.66</v>
      </c>
      <c r="K439">
        <v>52.79</v>
      </c>
      <c r="L439">
        <v>9.5</v>
      </c>
      <c r="M439">
        <v>51.61</v>
      </c>
      <c r="N439">
        <v>42114.34</v>
      </c>
      <c r="O439">
        <v>955486.04</v>
      </c>
      <c r="P439">
        <v>768</v>
      </c>
      <c r="Q439" t="s">
        <v>29</v>
      </c>
      <c r="R439" t="s">
        <v>54</v>
      </c>
      <c r="S439" t="s">
        <v>79</v>
      </c>
      <c r="T439" t="s">
        <v>55</v>
      </c>
      <c r="U439" s="3">
        <f t="shared" si="6"/>
        <v>45809</v>
      </c>
    </row>
    <row r="440" spans="1:21" x14ac:dyDescent="0.35">
      <c r="A440" t="s">
        <v>1165</v>
      </c>
      <c r="B440" t="s">
        <v>397</v>
      </c>
      <c r="C440" t="s">
        <v>95</v>
      </c>
      <c r="D440" t="s">
        <v>1166</v>
      </c>
      <c r="E440" t="s">
        <v>70</v>
      </c>
      <c r="F440" t="s">
        <v>46</v>
      </c>
      <c r="G440" t="s">
        <v>26</v>
      </c>
      <c r="H440" t="s">
        <v>27</v>
      </c>
      <c r="I440" t="s">
        <v>28</v>
      </c>
      <c r="J440">
        <v>98001.07</v>
      </c>
      <c r="K440">
        <v>1529.3</v>
      </c>
      <c r="L440">
        <v>275.27</v>
      </c>
      <c r="M440">
        <v>400.61</v>
      </c>
      <c r="N440">
        <v>99405.03</v>
      </c>
      <c r="O440">
        <v>957073.01</v>
      </c>
      <c r="P440">
        <v>718</v>
      </c>
      <c r="Q440" t="s">
        <v>74</v>
      </c>
      <c r="R440" t="s">
        <v>30</v>
      </c>
      <c r="S440" t="s">
        <v>62</v>
      </c>
      <c r="T440" t="s">
        <v>41</v>
      </c>
      <c r="U440" s="3">
        <f t="shared" si="6"/>
        <v>45901</v>
      </c>
    </row>
    <row r="441" spans="1:21" x14ac:dyDescent="0.35">
      <c r="A441" t="s">
        <v>1167</v>
      </c>
      <c r="B441" t="s">
        <v>408</v>
      </c>
      <c r="C441" t="s">
        <v>35</v>
      </c>
      <c r="D441" t="s">
        <v>1168</v>
      </c>
      <c r="E441" t="s">
        <v>37</v>
      </c>
      <c r="F441" t="s">
        <v>38</v>
      </c>
      <c r="G441" t="s">
        <v>103</v>
      </c>
      <c r="H441" t="s">
        <v>66</v>
      </c>
      <c r="I441" t="s">
        <v>61</v>
      </c>
      <c r="J441">
        <v>145778.1</v>
      </c>
      <c r="K441">
        <v>1569.96</v>
      </c>
      <c r="L441">
        <v>282.58999999999997</v>
      </c>
      <c r="M441">
        <v>437.33</v>
      </c>
      <c r="N441">
        <v>147193.32</v>
      </c>
      <c r="O441">
        <v>956354.59</v>
      </c>
      <c r="P441">
        <v>644</v>
      </c>
      <c r="Q441" t="s">
        <v>29</v>
      </c>
      <c r="R441" t="s">
        <v>54</v>
      </c>
      <c r="S441" t="s">
        <v>31</v>
      </c>
      <c r="T441" t="s">
        <v>55</v>
      </c>
      <c r="U441" s="3">
        <f t="shared" si="6"/>
        <v>45870</v>
      </c>
    </row>
    <row r="442" spans="1:21" x14ac:dyDescent="0.35">
      <c r="A442" t="s">
        <v>1169</v>
      </c>
      <c r="B442" t="s">
        <v>1170</v>
      </c>
      <c r="C442" t="s">
        <v>22</v>
      </c>
      <c r="D442" t="s">
        <v>1171</v>
      </c>
      <c r="E442" t="s">
        <v>37</v>
      </c>
      <c r="F442" t="s">
        <v>46</v>
      </c>
      <c r="G442" t="s">
        <v>26</v>
      </c>
      <c r="H442" t="s">
        <v>27</v>
      </c>
      <c r="I442" t="s">
        <v>40</v>
      </c>
      <c r="J442">
        <v>87977.94</v>
      </c>
      <c r="K442">
        <v>164.12</v>
      </c>
      <c r="L442">
        <v>29.54</v>
      </c>
      <c r="M442">
        <v>301.86</v>
      </c>
      <c r="N442">
        <v>87869.74</v>
      </c>
      <c r="O442">
        <v>962897.57</v>
      </c>
      <c r="P442">
        <v>787</v>
      </c>
      <c r="Q442" t="s">
        <v>29</v>
      </c>
      <c r="R442" t="s">
        <v>75</v>
      </c>
      <c r="S442" t="s">
        <v>31</v>
      </c>
      <c r="T442" t="s">
        <v>32</v>
      </c>
      <c r="U442" s="3">
        <f t="shared" si="6"/>
        <v>45901</v>
      </c>
    </row>
    <row r="443" spans="1:21" x14ac:dyDescent="0.35">
      <c r="A443" t="s">
        <v>1172</v>
      </c>
      <c r="B443" t="s">
        <v>784</v>
      </c>
      <c r="C443" t="s">
        <v>22</v>
      </c>
      <c r="D443" t="s">
        <v>1173</v>
      </c>
      <c r="E443" t="s">
        <v>37</v>
      </c>
      <c r="F443" t="s">
        <v>25</v>
      </c>
      <c r="G443" t="s">
        <v>47</v>
      </c>
      <c r="H443" t="s">
        <v>66</v>
      </c>
      <c r="I443" t="s">
        <v>40</v>
      </c>
      <c r="J443">
        <v>45513.06</v>
      </c>
      <c r="K443">
        <v>693.89</v>
      </c>
      <c r="L443">
        <v>124.9</v>
      </c>
      <c r="M443">
        <v>137.51</v>
      </c>
      <c r="N443">
        <v>46194.34</v>
      </c>
      <c r="O443">
        <v>965497.19</v>
      </c>
      <c r="P443">
        <v>829</v>
      </c>
      <c r="Q443" t="s">
        <v>74</v>
      </c>
      <c r="R443" t="s">
        <v>30</v>
      </c>
      <c r="S443" t="s">
        <v>62</v>
      </c>
      <c r="T443" t="s">
        <v>55</v>
      </c>
      <c r="U443" s="3">
        <f t="shared" si="6"/>
        <v>45901</v>
      </c>
    </row>
    <row r="444" spans="1:21" x14ac:dyDescent="0.35">
      <c r="A444" t="s">
        <v>1174</v>
      </c>
      <c r="B444" t="s">
        <v>411</v>
      </c>
      <c r="C444" t="s">
        <v>22</v>
      </c>
      <c r="D444" t="s">
        <v>1175</v>
      </c>
      <c r="E444" t="s">
        <v>70</v>
      </c>
      <c r="F444" t="s">
        <v>25</v>
      </c>
      <c r="G444" t="s">
        <v>47</v>
      </c>
      <c r="H444" t="s">
        <v>39</v>
      </c>
      <c r="I444" t="s">
        <v>61</v>
      </c>
      <c r="J444">
        <v>121678.96</v>
      </c>
      <c r="K444">
        <v>1900.72</v>
      </c>
      <c r="L444">
        <v>342.13</v>
      </c>
      <c r="M444">
        <v>20.190000000000001</v>
      </c>
      <c r="N444">
        <v>123901.62</v>
      </c>
      <c r="O444">
        <v>961300.9</v>
      </c>
      <c r="P444">
        <v>708</v>
      </c>
      <c r="Q444" t="s">
        <v>29</v>
      </c>
      <c r="R444" t="s">
        <v>75</v>
      </c>
      <c r="S444" t="s">
        <v>86</v>
      </c>
      <c r="T444" t="s">
        <v>32</v>
      </c>
      <c r="U444" s="3">
        <f t="shared" si="6"/>
        <v>45658</v>
      </c>
    </row>
    <row r="445" spans="1:21" x14ac:dyDescent="0.35">
      <c r="A445" t="s">
        <v>1176</v>
      </c>
      <c r="B445" t="s">
        <v>1177</v>
      </c>
      <c r="C445" t="s">
        <v>22</v>
      </c>
      <c r="D445" t="s">
        <v>1178</v>
      </c>
      <c r="E445" t="s">
        <v>70</v>
      </c>
      <c r="F445" t="s">
        <v>38</v>
      </c>
      <c r="G445" t="s">
        <v>103</v>
      </c>
      <c r="H445" t="s">
        <v>48</v>
      </c>
      <c r="I445" t="s">
        <v>40</v>
      </c>
      <c r="J445">
        <v>170441.41</v>
      </c>
      <c r="K445">
        <v>407.34</v>
      </c>
      <c r="L445">
        <v>73.319999999999993</v>
      </c>
      <c r="M445">
        <v>388.83</v>
      </c>
      <c r="N445">
        <v>170533.24</v>
      </c>
      <c r="O445">
        <v>958435.48</v>
      </c>
      <c r="P445">
        <v>809</v>
      </c>
      <c r="Q445" t="s">
        <v>53</v>
      </c>
      <c r="R445" t="s">
        <v>75</v>
      </c>
      <c r="S445" t="s">
        <v>31</v>
      </c>
      <c r="T445" t="s">
        <v>32</v>
      </c>
      <c r="U445" s="3">
        <f t="shared" si="6"/>
        <v>45839</v>
      </c>
    </row>
    <row r="446" spans="1:21" x14ac:dyDescent="0.35">
      <c r="A446" t="s">
        <v>1179</v>
      </c>
      <c r="B446" t="s">
        <v>667</v>
      </c>
      <c r="C446" t="s">
        <v>95</v>
      </c>
      <c r="D446" t="s">
        <v>1180</v>
      </c>
      <c r="E446" t="s">
        <v>70</v>
      </c>
      <c r="F446" t="s">
        <v>46</v>
      </c>
      <c r="G446" t="s">
        <v>26</v>
      </c>
      <c r="H446" t="s">
        <v>52</v>
      </c>
      <c r="I446" t="s">
        <v>28</v>
      </c>
      <c r="J446">
        <v>178857.56</v>
      </c>
      <c r="K446">
        <v>2518.83</v>
      </c>
      <c r="L446">
        <v>453.39</v>
      </c>
      <c r="M446">
        <v>416.26</v>
      </c>
      <c r="N446">
        <v>181413.52</v>
      </c>
      <c r="O446">
        <v>958111.69</v>
      </c>
      <c r="P446">
        <v>825</v>
      </c>
      <c r="Q446" t="s">
        <v>53</v>
      </c>
      <c r="R446" t="s">
        <v>75</v>
      </c>
      <c r="S446" t="s">
        <v>31</v>
      </c>
      <c r="T446" t="s">
        <v>55</v>
      </c>
      <c r="U446" s="3">
        <f t="shared" si="6"/>
        <v>45717</v>
      </c>
    </row>
    <row r="447" spans="1:21" x14ac:dyDescent="0.35">
      <c r="A447" t="s">
        <v>1181</v>
      </c>
      <c r="B447" t="s">
        <v>1163</v>
      </c>
      <c r="C447" t="s">
        <v>35</v>
      </c>
      <c r="D447" t="s">
        <v>1182</v>
      </c>
      <c r="E447" t="s">
        <v>37</v>
      </c>
      <c r="F447" t="s">
        <v>25</v>
      </c>
      <c r="G447" t="s">
        <v>47</v>
      </c>
      <c r="H447" t="s">
        <v>27</v>
      </c>
      <c r="I447" t="s">
        <v>61</v>
      </c>
      <c r="J447">
        <v>140972.88</v>
      </c>
      <c r="K447">
        <v>2242.36</v>
      </c>
      <c r="L447">
        <v>403.62</v>
      </c>
      <c r="M447">
        <v>304.72000000000003</v>
      </c>
      <c r="N447">
        <v>143314.14000000001</v>
      </c>
      <c r="O447">
        <v>967416.74</v>
      </c>
      <c r="P447">
        <v>621</v>
      </c>
      <c r="Q447" t="s">
        <v>53</v>
      </c>
      <c r="R447" t="s">
        <v>54</v>
      </c>
      <c r="S447" t="s">
        <v>62</v>
      </c>
      <c r="T447" t="s">
        <v>55</v>
      </c>
      <c r="U447" s="3">
        <f t="shared" si="6"/>
        <v>45809</v>
      </c>
    </row>
    <row r="448" spans="1:21" x14ac:dyDescent="0.35">
      <c r="A448" t="s">
        <v>1183</v>
      </c>
      <c r="B448" t="s">
        <v>193</v>
      </c>
      <c r="C448" t="s">
        <v>35</v>
      </c>
      <c r="D448" t="s">
        <v>1184</v>
      </c>
      <c r="E448" t="s">
        <v>70</v>
      </c>
      <c r="F448" t="s">
        <v>38</v>
      </c>
      <c r="G448" t="s">
        <v>60</v>
      </c>
      <c r="H448" t="s">
        <v>66</v>
      </c>
      <c r="I448" t="s">
        <v>40</v>
      </c>
      <c r="J448">
        <v>195792.83</v>
      </c>
      <c r="K448">
        <v>1697.29</v>
      </c>
      <c r="L448">
        <v>305.51</v>
      </c>
      <c r="M448">
        <v>224.04</v>
      </c>
      <c r="N448">
        <v>197571.59</v>
      </c>
      <c r="O448">
        <v>976744.76</v>
      </c>
      <c r="P448">
        <v>455</v>
      </c>
      <c r="Q448" t="s">
        <v>74</v>
      </c>
      <c r="R448" t="s">
        <v>75</v>
      </c>
      <c r="S448" t="s">
        <v>31</v>
      </c>
      <c r="T448" t="s">
        <v>41</v>
      </c>
      <c r="U448" s="3">
        <f t="shared" si="6"/>
        <v>45689</v>
      </c>
    </row>
    <row r="449" spans="1:21" x14ac:dyDescent="0.35">
      <c r="A449" t="s">
        <v>1185</v>
      </c>
      <c r="B449" t="s">
        <v>1186</v>
      </c>
      <c r="C449" t="s">
        <v>22</v>
      </c>
      <c r="D449" t="s">
        <v>1187</v>
      </c>
      <c r="E449" t="s">
        <v>70</v>
      </c>
      <c r="F449" t="s">
        <v>46</v>
      </c>
      <c r="G449" t="s">
        <v>103</v>
      </c>
      <c r="H449" t="s">
        <v>39</v>
      </c>
      <c r="I449" t="s">
        <v>40</v>
      </c>
      <c r="J449">
        <v>79299.789999999994</v>
      </c>
      <c r="K449">
        <v>696.28</v>
      </c>
      <c r="L449">
        <v>125.33</v>
      </c>
      <c r="M449">
        <v>231.31</v>
      </c>
      <c r="N449">
        <v>79890.09</v>
      </c>
      <c r="O449">
        <v>984449.86</v>
      </c>
      <c r="P449">
        <v>472</v>
      </c>
      <c r="Q449" t="s">
        <v>29</v>
      </c>
      <c r="R449" t="s">
        <v>30</v>
      </c>
      <c r="S449" t="s">
        <v>62</v>
      </c>
      <c r="T449" t="s">
        <v>32</v>
      </c>
      <c r="U449" s="3">
        <f t="shared" si="6"/>
        <v>45901</v>
      </c>
    </row>
    <row r="450" spans="1:21" x14ac:dyDescent="0.35">
      <c r="A450" t="s">
        <v>1188</v>
      </c>
      <c r="B450" t="s">
        <v>938</v>
      </c>
      <c r="C450" t="s">
        <v>35</v>
      </c>
      <c r="D450" t="s">
        <v>1189</v>
      </c>
      <c r="E450" t="s">
        <v>24</v>
      </c>
      <c r="F450" t="s">
        <v>38</v>
      </c>
      <c r="G450" t="s">
        <v>47</v>
      </c>
      <c r="H450" t="s">
        <v>52</v>
      </c>
      <c r="I450" t="s">
        <v>40</v>
      </c>
      <c r="J450">
        <v>12926.55</v>
      </c>
      <c r="K450">
        <v>51.56</v>
      </c>
      <c r="L450">
        <v>9.2799999999999994</v>
      </c>
      <c r="M450">
        <v>441.78</v>
      </c>
      <c r="N450">
        <v>12545.61</v>
      </c>
      <c r="O450">
        <v>981272.27</v>
      </c>
      <c r="P450">
        <v>429</v>
      </c>
      <c r="Q450" t="s">
        <v>53</v>
      </c>
      <c r="R450" t="s">
        <v>54</v>
      </c>
      <c r="S450" t="s">
        <v>62</v>
      </c>
      <c r="T450" t="s">
        <v>41</v>
      </c>
      <c r="U450" s="3">
        <f t="shared" si="6"/>
        <v>45962</v>
      </c>
    </row>
    <row r="451" spans="1:21" x14ac:dyDescent="0.35">
      <c r="A451" t="s">
        <v>1190</v>
      </c>
      <c r="B451" t="s">
        <v>353</v>
      </c>
      <c r="C451" t="s">
        <v>95</v>
      </c>
      <c r="D451" t="s">
        <v>1191</v>
      </c>
      <c r="E451" t="s">
        <v>37</v>
      </c>
      <c r="F451" t="s">
        <v>59</v>
      </c>
      <c r="G451" t="s">
        <v>60</v>
      </c>
      <c r="H451" t="s">
        <v>48</v>
      </c>
      <c r="I451" t="s">
        <v>28</v>
      </c>
      <c r="J451">
        <v>154676.56</v>
      </c>
      <c r="K451">
        <v>872.49</v>
      </c>
      <c r="L451">
        <v>157.05000000000001</v>
      </c>
      <c r="M451">
        <v>485.22</v>
      </c>
      <c r="N451">
        <v>155220.88</v>
      </c>
      <c r="O451">
        <v>978572.91</v>
      </c>
      <c r="P451">
        <v>872</v>
      </c>
      <c r="Q451" t="s">
        <v>74</v>
      </c>
      <c r="R451" t="s">
        <v>75</v>
      </c>
      <c r="S451" t="s">
        <v>79</v>
      </c>
      <c r="T451" t="s">
        <v>32</v>
      </c>
      <c r="U451" s="3">
        <f t="shared" ref="U451:U514" si="7">DATE(YEAR(B451),MONTH(B451),1)</f>
        <v>45992</v>
      </c>
    </row>
    <row r="452" spans="1:21" x14ac:dyDescent="0.35">
      <c r="A452" t="s">
        <v>1192</v>
      </c>
      <c r="B452" t="s">
        <v>1115</v>
      </c>
      <c r="C452" t="s">
        <v>35</v>
      </c>
      <c r="D452" t="s">
        <v>1193</v>
      </c>
      <c r="E452" t="s">
        <v>24</v>
      </c>
      <c r="F452" t="s">
        <v>46</v>
      </c>
      <c r="G452" t="s">
        <v>103</v>
      </c>
      <c r="H452" t="s">
        <v>27</v>
      </c>
      <c r="I452" t="s">
        <v>40</v>
      </c>
      <c r="J452">
        <v>131428.91</v>
      </c>
      <c r="K452">
        <v>149.75</v>
      </c>
      <c r="L452">
        <v>26.95</v>
      </c>
      <c r="M452">
        <v>268.67</v>
      </c>
      <c r="N452">
        <v>131336.94</v>
      </c>
      <c r="O452">
        <v>986927.05</v>
      </c>
      <c r="P452">
        <v>408</v>
      </c>
      <c r="Q452" t="s">
        <v>53</v>
      </c>
      <c r="R452" t="s">
        <v>30</v>
      </c>
      <c r="S452" t="s">
        <v>31</v>
      </c>
      <c r="T452" t="s">
        <v>32</v>
      </c>
      <c r="U452" s="3">
        <f t="shared" si="7"/>
        <v>45839</v>
      </c>
    </row>
    <row r="453" spans="1:21" x14ac:dyDescent="0.35">
      <c r="A453" t="s">
        <v>1194</v>
      </c>
      <c r="B453" t="s">
        <v>240</v>
      </c>
      <c r="C453" t="s">
        <v>35</v>
      </c>
      <c r="D453" t="s">
        <v>1195</v>
      </c>
      <c r="E453" t="s">
        <v>24</v>
      </c>
      <c r="F453" t="s">
        <v>25</v>
      </c>
      <c r="G453" t="s">
        <v>47</v>
      </c>
      <c r="H453" t="s">
        <v>48</v>
      </c>
      <c r="I453" t="s">
        <v>28</v>
      </c>
      <c r="J453">
        <v>21775.14</v>
      </c>
      <c r="K453">
        <v>418.52</v>
      </c>
      <c r="L453">
        <v>75.33</v>
      </c>
      <c r="M453">
        <v>486.6</v>
      </c>
      <c r="N453">
        <v>21782.39</v>
      </c>
      <c r="O453">
        <v>988641.55</v>
      </c>
      <c r="P453">
        <v>534</v>
      </c>
      <c r="Q453" t="s">
        <v>53</v>
      </c>
      <c r="R453" t="s">
        <v>54</v>
      </c>
      <c r="S453" t="s">
        <v>79</v>
      </c>
      <c r="T453" t="s">
        <v>55</v>
      </c>
      <c r="U453" s="3">
        <f t="shared" si="7"/>
        <v>45931</v>
      </c>
    </row>
    <row r="454" spans="1:21" x14ac:dyDescent="0.35">
      <c r="A454" t="s">
        <v>1196</v>
      </c>
      <c r="B454" t="s">
        <v>276</v>
      </c>
      <c r="C454" t="s">
        <v>35</v>
      </c>
      <c r="D454" t="s">
        <v>1197</v>
      </c>
      <c r="E454" t="s">
        <v>70</v>
      </c>
      <c r="F454" t="s">
        <v>46</v>
      </c>
      <c r="G454" t="s">
        <v>60</v>
      </c>
      <c r="H454" t="s">
        <v>48</v>
      </c>
      <c r="I454" t="s">
        <v>61</v>
      </c>
      <c r="J454">
        <v>27740.76</v>
      </c>
      <c r="K454">
        <v>479.16</v>
      </c>
      <c r="L454">
        <v>86.25</v>
      </c>
      <c r="M454">
        <v>475.57</v>
      </c>
      <c r="N454">
        <v>27830.6</v>
      </c>
      <c r="O454">
        <v>990957.6</v>
      </c>
      <c r="P454">
        <v>388</v>
      </c>
      <c r="Q454" t="s">
        <v>74</v>
      </c>
      <c r="R454" t="s">
        <v>75</v>
      </c>
      <c r="S454" t="s">
        <v>79</v>
      </c>
      <c r="T454" t="s">
        <v>55</v>
      </c>
      <c r="U454" s="3">
        <f t="shared" si="7"/>
        <v>45870</v>
      </c>
    </row>
    <row r="455" spans="1:21" x14ac:dyDescent="0.35">
      <c r="A455" t="s">
        <v>1198</v>
      </c>
      <c r="B455" t="s">
        <v>790</v>
      </c>
      <c r="C455" t="s">
        <v>22</v>
      </c>
      <c r="D455" t="s">
        <v>1199</v>
      </c>
      <c r="E455" t="s">
        <v>45</v>
      </c>
      <c r="F455" t="s">
        <v>38</v>
      </c>
      <c r="G455" t="s">
        <v>26</v>
      </c>
      <c r="H455" t="s">
        <v>52</v>
      </c>
      <c r="I455" t="s">
        <v>28</v>
      </c>
      <c r="J455">
        <v>46701.26</v>
      </c>
      <c r="K455">
        <v>65.33</v>
      </c>
      <c r="L455">
        <v>11.76</v>
      </c>
      <c r="M455">
        <v>161.11000000000001</v>
      </c>
      <c r="N455">
        <v>46617.24</v>
      </c>
      <c r="O455">
        <v>994222.66</v>
      </c>
      <c r="P455">
        <v>441</v>
      </c>
      <c r="Q455" t="s">
        <v>74</v>
      </c>
      <c r="R455" t="s">
        <v>30</v>
      </c>
      <c r="S455" t="s">
        <v>79</v>
      </c>
      <c r="T455" t="s">
        <v>41</v>
      </c>
      <c r="U455" s="3">
        <f t="shared" si="7"/>
        <v>45717</v>
      </c>
    </row>
    <row r="456" spans="1:21" x14ac:dyDescent="0.35">
      <c r="A456" t="s">
        <v>1200</v>
      </c>
      <c r="B456" t="s">
        <v>68</v>
      </c>
      <c r="C456" t="s">
        <v>95</v>
      </c>
      <c r="D456" t="s">
        <v>1201</v>
      </c>
      <c r="E456" t="s">
        <v>70</v>
      </c>
      <c r="F456" t="s">
        <v>46</v>
      </c>
      <c r="G456" t="s">
        <v>60</v>
      </c>
      <c r="H456" t="s">
        <v>27</v>
      </c>
      <c r="I456" t="s">
        <v>61</v>
      </c>
      <c r="J456">
        <v>66254.33</v>
      </c>
      <c r="K456">
        <v>320.89999999999998</v>
      </c>
      <c r="L456">
        <v>57.76</v>
      </c>
      <c r="M456">
        <v>380.96</v>
      </c>
      <c r="N456">
        <v>66252.03</v>
      </c>
      <c r="O456">
        <v>1000413.69</v>
      </c>
      <c r="P456">
        <v>494</v>
      </c>
      <c r="Q456" t="s">
        <v>29</v>
      </c>
      <c r="R456" t="s">
        <v>54</v>
      </c>
      <c r="S456" t="s">
        <v>62</v>
      </c>
      <c r="T456" t="s">
        <v>32</v>
      </c>
      <c r="U456" s="3">
        <f t="shared" si="7"/>
        <v>45962</v>
      </c>
    </row>
    <row r="457" spans="1:21" x14ac:dyDescent="0.35">
      <c r="A457" t="s">
        <v>1202</v>
      </c>
      <c r="B457" t="s">
        <v>1148</v>
      </c>
      <c r="C457" t="s">
        <v>95</v>
      </c>
      <c r="D457" t="s">
        <v>777</v>
      </c>
      <c r="E457" t="s">
        <v>37</v>
      </c>
      <c r="F457" t="s">
        <v>59</v>
      </c>
      <c r="G457" t="s">
        <v>26</v>
      </c>
      <c r="H457" t="s">
        <v>27</v>
      </c>
      <c r="I457" t="s">
        <v>28</v>
      </c>
      <c r="J457">
        <v>158227.46</v>
      </c>
      <c r="K457">
        <v>529.37</v>
      </c>
      <c r="L457">
        <v>95.29</v>
      </c>
      <c r="M457">
        <v>58.32</v>
      </c>
      <c r="N457">
        <v>158793.79999999999</v>
      </c>
      <c r="O457">
        <v>1007102.77</v>
      </c>
      <c r="P457">
        <v>386</v>
      </c>
      <c r="Q457" t="s">
        <v>53</v>
      </c>
      <c r="R457" t="s">
        <v>54</v>
      </c>
      <c r="S457" t="s">
        <v>62</v>
      </c>
      <c r="T457" t="s">
        <v>41</v>
      </c>
      <c r="U457" s="3">
        <f t="shared" si="7"/>
        <v>45931</v>
      </c>
    </row>
    <row r="458" spans="1:21" x14ac:dyDescent="0.35">
      <c r="A458" t="s">
        <v>1203</v>
      </c>
      <c r="B458" t="s">
        <v>1186</v>
      </c>
      <c r="C458" t="s">
        <v>95</v>
      </c>
      <c r="D458" t="s">
        <v>1204</v>
      </c>
      <c r="E458" t="s">
        <v>37</v>
      </c>
      <c r="F458" t="s">
        <v>46</v>
      </c>
      <c r="G458" t="s">
        <v>60</v>
      </c>
      <c r="H458" t="s">
        <v>27</v>
      </c>
      <c r="I458" t="s">
        <v>61</v>
      </c>
      <c r="J458">
        <v>122259.7</v>
      </c>
      <c r="K458">
        <v>1527.55</v>
      </c>
      <c r="L458">
        <v>274.95999999999998</v>
      </c>
      <c r="M458">
        <v>283.58</v>
      </c>
      <c r="N458">
        <v>123778.63</v>
      </c>
      <c r="O458">
        <v>1011707.74</v>
      </c>
      <c r="P458">
        <v>461</v>
      </c>
      <c r="Q458" t="s">
        <v>74</v>
      </c>
      <c r="R458" t="s">
        <v>54</v>
      </c>
      <c r="S458" t="s">
        <v>62</v>
      </c>
      <c r="T458" t="s">
        <v>55</v>
      </c>
      <c r="U458" s="3">
        <f t="shared" si="7"/>
        <v>45901</v>
      </c>
    </row>
    <row r="459" spans="1:21" x14ac:dyDescent="0.35">
      <c r="A459" t="s">
        <v>1205</v>
      </c>
      <c r="B459" t="s">
        <v>1206</v>
      </c>
      <c r="C459" t="s">
        <v>22</v>
      </c>
      <c r="D459" t="s">
        <v>1207</v>
      </c>
      <c r="E459" t="s">
        <v>45</v>
      </c>
      <c r="F459" t="s">
        <v>38</v>
      </c>
      <c r="G459" t="s">
        <v>60</v>
      </c>
      <c r="H459" t="s">
        <v>52</v>
      </c>
      <c r="I459" t="s">
        <v>61</v>
      </c>
      <c r="J459">
        <v>191686.08</v>
      </c>
      <c r="K459">
        <v>3672.06</v>
      </c>
      <c r="L459">
        <v>660.97</v>
      </c>
      <c r="M459">
        <v>332.19</v>
      </c>
      <c r="N459">
        <v>195686.92</v>
      </c>
      <c r="O459">
        <v>1010322.51</v>
      </c>
      <c r="P459">
        <v>301</v>
      </c>
      <c r="Q459" t="s">
        <v>29</v>
      </c>
      <c r="R459" t="s">
        <v>30</v>
      </c>
      <c r="S459" t="s">
        <v>86</v>
      </c>
      <c r="T459" t="s">
        <v>41</v>
      </c>
      <c r="U459" s="3">
        <f t="shared" si="7"/>
        <v>45931</v>
      </c>
    </row>
    <row r="460" spans="1:21" x14ac:dyDescent="0.35">
      <c r="A460" t="s">
        <v>1208</v>
      </c>
      <c r="B460" t="s">
        <v>270</v>
      </c>
      <c r="C460" t="s">
        <v>22</v>
      </c>
      <c r="D460" t="s">
        <v>1209</v>
      </c>
      <c r="E460" t="s">
        <v>45</v>
      </c>
      <c r="F460" t="s">
        <v>38</v>
      </c>
      <c r="G460" t="s">
        <v>26</v>
      </c>
      <c r="H460" t="s">
        <v>39</v>
      </c>
      <c r="I460" t="s">
        <v>61</v>
      </c>
      <c r="J460">
        <v>134768.25</v>
      </c>
      <c r="K460">
        <v>1083.51</v>
      </c>
      <c r="L460">
        <v>195.03</v>
      </c>
      <c r="M460">
        <v>380.33</v>
      </c>
      <c r="N460">
        <v>135666.46</v>
      </c>
      <c r="O460">
        <v>1010660.39</v>
      </c>
      <c r="P460">
        <v>321</v>
      </c>
      <c r="Q460" t="s">
        <v>53</v>
      </c>
      <c r="R460" t="s">
        <v>75</v>
      </c>
      <c r="S460" t="s">
        <v>79</v>
      </c>
      <c r="T460" t="s">
        <v>41</v>
      </c>
      <c r="U460" s="3">
        <f t="shared" si="7"/>
        <v>45717</v>
      </c>
    </row>
    <row r="461" spans="1:21" x14ac:dyDescent="0.35">
      <c r="A461" t="s">
        <v>1210</v>
      </c>
      <c r="B461" t="s">
        <v>761</v>
      </c>
      <c r="C461" t="s">
        <v>22</v>
      </c>
      <c r="D461" t="s">
        <v>1211</v>
      </c>
      <c r="E461" t="s">
        <v>70</v>
      </c>
      <c r="F461" t="s">
        <v>59</v>
      </c>
      <c r="G461" t="s">
        <v>60</v>
      </c>
      <c r="H461" t="s">
        <v>27</v>
      </c>
      <c r="I461" t="s">
        <v>28</v>
      </c>
      <c r="J461">
        <v>194551.3</v>
      </c>
      <c r="K461">
        <v>1900.08</v>
      </c>
      <c r="L461">
        <v>342.01</v>
      </c>
      <c r="M461">
        <v>243.42</v>
      </c>
      <c r="N461">
        <v>196549.97</v>
      </c>
      <c r="O461">
        <v>1013205.5</v>
      </c>
      <c r="P461">
        <v>809</v>
      </c>
      <c r="Q461" t="s">
        <v>29</v>
      </c>
      <c r="R461" t="s">
        <v>75</v>
      </c>
      <c r="S461" t="s">
        <v>79</v>
      </c>
      <c r="T461" t="s">
        <v>41</v>
      </c>
      <c r="U461" s="3">
        <f t="shared" si="7"/>
        <v>45658</v>
      </c>
    </row>
    <row r="462" spans="1:21" x14ac:dyDescent="0.35">
      <c r="A462" t="s">
        <v>1212</v>
      </c>
      <c r="B462" t="s">
        <v>297</v>
      </c>
      <c r="C462" t="s">
        <v>35</v>
      </c>
      <c r="D462" t="s">
        <v>1213</v>
      </c>
      <c r="E462" t="s">
        <v>70</v>
      </c>
      <c r="F462" t="s">
        <v>38</v>
      </c>
      <c r="G462" t="s">
        <v>60</v>
      </c>
      <c r="H462" t="s">
        <v>39</v>
      </c>
      <c r="I462" t="s">
        <v>61</v>
      </c>
      <c r="J462">
        <v>135690.96</v>
      </c>
      <c r="K462">
        <v>2095.75</v>
      </c>
      <c r="L462">
        <v>377.24</v>
      </c>
      <c r="M462">
        <v>449.08</v>
      </c>
      <c r="N462">
        <v>137714.87</v>
      </c>
      <c r="O462">
        <v>1018608.52</v>
      </c>
      <c r="P462">
        <v>531</v>
      </c>
      <c r="Q462" t="s">
        <v>74</v>
      </c>
      <c r="R462" t="s">
        <v>30</v>
      </c>
      <c r="S462" t="s">
        <v>79</v>
      </c>
      <c r="T462" t="s">
        <v>41</v>
      </c>
      <c r="U462" s="3">
        <f t="shared" si="7"/>
        <v>45809</v>
      </c>
    </row>
    <row r="463" spans="1:21" x14ac:dyDescent="0.35">
      <c r="A463" t="s">
        <v>1214</v>
      </c>
      <c r="B463" t="s">
        <v>512</v>
      </c>
      <c r="C463" t="s">
        <v>22</v>
      </c>
      <c r="D463" t="s">
        <v>1215</v>
      </c>
      <c r="E463" t="s">
        <v>45</v>
      </c>
      <c r="F463" t="s">
        <v>38</v>
      </c>
      <c r="G463" t="s">
        <v>26</v>
      </c>
      <c r="H463" t="s">
        <v>27</v>
      </c>
      <c r="I463" t="s">
        <v>28</v>
      </c>
      <c r="J463">
        <v>102523.66</v>
      </c>
      <c r="K463">
        <v>1933.83</v>
      </c>
      <c r="L463">
        <v>348.09</v>
      </c>
      <c r="M463">
        <v>339.17</v>
      </c>
      <c r="N463">
        <v>104466.41</v>
      </c>
      <c r="O463">
        <v>1028594.8</v>
      </c>
      <c r="P463">
        <v>800</v>
      </c>
      <c r="Q463" t="s">
        <v>74</v>
      </c>
      <c r="R463" t="s">
        <v>30</v>
      </c>
      <c r="S463" t="s">
        <v>86</v>
      </c>
      <c r="T463" t="s">
        <v>41</v>
      </c>
      <c r="U463" s="3">
        <f t="shared" si="7"/>
        <v>45962</v>
      </c>
    </row>
    <row r="464" spans="1:21" x14ac:dyDescent="0.35">
      <c r="A464" t="s">
        <v>1216</v>
      </c>
      <c r="B464" t="s">
        <v>496</v>
      </c>
      <c r="C464" t="s">
        <v>22</v>
      </c>
      <c r="D464" t="s">
        <v>1217</v>
      </c>
      <c r="E464" t="s">
        <v>70</v>
      </c>
      <c r="F464" t="s">
        <v>59</v>
      </c>
      <c r="G464" t="s">
        <v>103</v>
      </c>
      <c r="H464" t="s">
        <v>66</v>
      </c>
      <c r="I464" t="s">
        <v>28</v>
      </c>
      <c r="J464">
        <v>113409.61</v>
      </c>
      <c r="K464">
        <v>651.97</v>
      </c>
      <c r="L464">
        <v>117.35</v>
      </c>
      <c r="M464">
        <v>52.24</v>
      </c>
      <c r="N464">
        <v>114126.69</v>
      </c>
      <c r="O464">
        <v>1027945.71</v>
      </c>
      <c r="P464">
        <v>871</v>
      </c>
      <c r="Q464" t="s">
        <v>29</v>
      </c>
      <c r="R464" t="s">
        <v>30</v>
      </c>
      <c r="S464" t="s">
        <v>31</v>
      </c>
      <c r="T464" t="s">
        <v>41</v>
      </c>
      <c r="U464" s="3">
        <f t="shared" si="7"/>
        <v>45901</v>
      </c>
    </row>
    <row r="465" spans="1:21" x14ac:dyDescent="0.35">
      <c r="A465" t="s">
        <v>1218</v>
      </c>
      <c r="B465" t="s">
        <v>1049</v>
      </c>
      <c r="C465" t="s">
        <v>95</v>
      </c>
      <c r="D465" t="s">
        <v>1219</v>
      </c>
      <c r="E465" t="s">
        <v>70</v>
      </c>
      <c r="F465" t="s">
        <v>46</v>
      </c>
      <c r="G465" t="s">
        <v>60</v>
      </c>
      <c r="H465" t="s">
        <v>27</v>
      </c>
      <c r="I465" t="s">
        <v>28</v>
      </c>
      <c r="J465">
        <v>2868.63</v>
      </c>
      <c r="K465">
        <v>54.95</v>
      </c>
      <c r="L465">
        <v>9.89</v>
      </c>
      <c r="M465">
        <v>363.75</v>
      </c>
      <c r="N465">
        <v>2569.7199999999998</v>
      </c>
      <c r="O465">
        <v>1037482.83</v>
      </c>
      <c r="P465">
        <v>532</v>
      </c>
      <c r="Q465" t="s">
        <v>74</v>
      </c>
      <c r="R465" t="s">
        <v>30</v>
      </c>
      <c r="S465" t="s">
        <v>86</v>
      </c>
      <c r="T465" t="s">
        <v>55</v>
      </c>
      <c r="U465" s="3">
        <f t="shared" si="7"/>
        <v>45992</v>
      </c>
    </row>
    <row r="466" spans="1:21" x14ac:dyDescent="0.35">
      <c r="A466" t="s">
        <v>1220</v>
      </c>
      <c r="B466" t="s">
        <v>339</v>
      </c>
      <c r="C466" t="s">
        <v>22</v>
      </c>
      <c r="D466" t="s">
        <v>1221</v>
      </c>
      <c r="E466" t="s">
        <v>45</v>
      </c>
      <c r="F466" t="s">
        <v>46</v>
      </c>
      <c r="G466" t="s">
        <v>47</v>
      </c>
      <c r="H466" t="s">
        <v>39</v>
      </c>
      <c r="I466" t="s">
        <v>40</v>
      </c>
      <c r="J466">
        <v>109016.5</v>
      </c>
      <c r="K466">
        <v>908.87</v>
      </c>
      <c r="L466">
        <v>163.6</v>
      </c>
      <c r="M466">
        <v>347.46</v>
      </c>
      <c r="N466">
        <v>109741.51</v>
      </c>
      <c r="O466">
        <v>1035217.49</v>
      </c>
      <c r="P466">
        <v>898</v>
      </c>
      <c r="Q466" t="s">
        <v>53</v>
      </c>
      <c r="R466" t="s">
        <v>54</v>
      </c>
      <c r="S466" t="s">
        <v>62</v>
      </c>
      <c r="T466" t="s">
        <v>32</v>
      </c>
      <c r="U466" s="3">
        <f t="shared" si="7"/>
        <v>45658</v>
      </c>
    </row>
    <row r="467" spans="1:21" x14ac:dyDescent="0.35">
      <c r="A467" t="s">
        <v>1222</v>
      </c>
      <c r="B467" t="s">
        <v>248</v>
      </c>
      <c r="C467" t="s">
        <v>35</v>
      </c>
      <c r="D467" t="s">
        <v>1223</v>
      </c>
      <c r="E467" t="s">
        <v>37</v>
      </c>
      <c r="F467" t="s">
        <v>38</v>
      </c>
      <c r="G467" t="s">
        <v>26</v>
      </c>
      <c r="H467" t="s">
        <v>48</v>
      </c>
      <c r="I467" t="s">
        <v>61</v>
      </c>
      <c r="J467">
        <v>169516.27</v>
      </c>
      <c r="K467">
        <v>566.73</v>
      </c>
      <c r="L467">
        <v>102.01</v>
      </c>
      <c r="M467">
        <v>362.91</v>
      </c>
      <c r="N467">
        <v>169822.1</v>
      </c>
      <c r="O467">
        <v>1042498.18</v>
      </c>
      <c r="P467">
        <v>678</v>
      </c>
      <c r="Q467" t="s">
        <v>74</v>
      </c>
      <c r="R467" t="s">
        <v>54</v>
      </c>
      <c r="S467" t="s">
        <v>79</v>
      </c>
      <c r="T467" t="s">
        <v>55</v>
      </c>
      <c r="U467" s="3">
        <f t="shared" si="7"/>
        <v>45931</v>
      </c>
    </row>
    <row r="468" spans="1:21" x14ac:dyDescent="0.35">
      <c r="A468" t="s">
        <v>1224</v>
      </c>
      <c r="B468" t="s">
        <v>1225</v>
      </c>
      <c r="C468" t="s">
        <v>35</v>
      </c>
      <c r="D468" t="s">
        <v>1226</v>
      </c>
      <c r="E468" t="s">
        <v>70</v>
      </c>
      <c r="F468" t="s">
        <v>25</v>
      </c>
      <c r="G468" t="s">
        <v>26</v>
      </c>
      <c r="H468" t="s">
        <v>66</v>
      </c>
      <c r="I468" t="s">
        <v>28</v>
      </c>
      <c r="J468">
        <v>129571.63</v>
      </c>
      <c r="K468">
        <v>2159.6999999999998</v>
      </c>
      <c r="L468">
        <v>388.75</v>
      </c>
      <c r="M468">
        <v>220.9</v>
      </c>
      <c r="N468">
        <v>131899.18</v>
      </c>
      <c r="O468">
        <v>1043854.39</v>
      </c>
      <c r="P468">
        <v>721</v>
      </c>
      <c r="Q468" t="s">
        <v>74</v>
      </c>
      <c r="R468" t="s">
        <v>54</v>
      </c>
      <c r="S468" t="s">
        <v>31</v>
      </c>
      <c r="T468" t="s">
        <v>41</v>
      </c>
      <c r="U468" s="3">
        <f t="shared" si="7"/>
        <v>45992</v>
      </c>
    </row>
    <row r="469" spans="1:21" x14ac:dyDescent="0.35">
      <c r="A469" t="s">
        <v>1227</v>
      </c>
      <c r="B469" t="s">
        <v>350</v>
      </c>
      <c r="C469" t="s">
        <v>95</v>
      </c>
      <c r="D469" t="s">
        <v>1228</v>
      </c>
      <c r="E469" t="s">
        <v>24</v>
      </c>
      <c r="F469" t="s">
        <v>46</v>
      </c>
      <c r="G469" t="s">
        <v>26</v>
      </c>
      <c r="H469" t="s">
        <v>66</v>
      </c>
      <c r="I469" t="s">
        <v>61</v>
      </c>
      <c r="J469">
        <v>160746.1</v>
      </c>
      <c r="K469">
        <v>2867.5</v>
      </c>
      <c r="L469">
        <v>516.15</v>
      </c>
      <c r="M469">
        <v>349.73</v>
      </c>
      <c r="N469">
        <v>163780.01999999999</v>
      </c>
      <c r="O469">
        <v>1040328.97</v>
      </c>
      <c r="P469">
        <v>660</v>
      </c>
      <c r="Q469" t="s">
        <v>53</v>
      </c>
      <c r="R469" t="s">
        <v>30</v>
      </c>
      <c r="S469" t="s">
        <v>62</v>
      </c>
      <c r="T469" t="s">
        <v>41</v>
      </c>
      <c r="U469" s="3">
        <f t="shared" si="7"/>
        <v>45717</v>
      </c>
    </row>
    <row r="470" spans="1:21" x14ac:dyDescent="0.35">
      <c r="A470" t="s">
        <v>1229</v>
      </c>
      <c r="B470" t="s">
        <v>526</v>
      </c>
      <c r="C470" t="s">
        <v>22</v>
      </c>
      <c r="D470" t="s">
        <v>1230</v>
      </c>
      <c r="E470" t="s">
        <v>45</v>
      </c>
      <c r="F470" t="s">
        <v>46</v>
      </c>
      <c r="G470" t="s">
        <v>103</v>
      </c>
      <c r="H470" t="s">
        <v>48</v>
      </c>
      <c r="I470" t="s">
        <v>61</v>
      </c>
      <c r="J470">
        <v>6969.57</v>
      </c>
      <c r="K470">
        <v>112.76</v>
      </c>
      <c r="L470">
        <v>20.3</v>
      </c>
      <c r="M470">
        <v>205.34</v>
      </c>
      <c r="N470">
        <v>6897.29</v>
      </c>
      <c r="O470">
        <v>1036388.2</v>
      </c>
      <c r="P470">
        <v>469</v>
      </c>
      <c r="Q470" t="s">
        <v>29</v>
      </c>
      <c r="R470" t="s">
        <v>54</v>
      </c>
      <c r="S470" t="s">
        <v>79</v>
      </c>
      <c r="T470" t="s">
        <v>41</v>
      </c>
      <c r="U470" s="3">
        <f t="shared" si="7"/>
        <v>45717</v>
      </c>
    </row>
    <row r="471" spans="1:21" x14ac:dyDescent="0.35">
      <c r="A471" t="s">
        <v>1231</v>
      </c>
      <c r="B471" t="s">
        <v>529</v>
      </c>
      <c r="C471" t="s">
        <v>95</v>
      </c>
      <c r="D471" t="s">
        <v>1232</v>
      </c>
      <c r="E471" t="s">
        <v>37</v>
      </c>
      <c r="F471" t="s">
        <v>46</v>
      </c>
      <c r="G471" t="s">
        <v>26</v>
      </c>
      <c r="H471" t="s">
        <v>66</v>
      </c>
      <c r="I471" t="s">
        <v>40</v>
      </c>
      <c r="J471">
        <v>124504.93</v>
      </c>
      <c r="K471">
        <v>2145.31</v>
      </c>
      <c r="L471">
        <v>386.16</v>
      </c>
      <c r="M471">
        <v>131.57</v>
      </c>
      <c r="N471">
        <v>126904.83</v>
      </c>
      <c r="O471">
        <v>1043404.92</v>
      </c>
      <c r="P471">
        <v>576</v>
      </c>
      <c r="Q471" t="s">
        <v>74</v>
      </c>
      <c r="R471" t="s">
        <v>75</v>
      </c>
      <c r="S471" t="s">
        <v>86</v>
      </c>
      <c r="T471" t="s">
        <v>55</v>
      </c>
      <c r="U471" s="3">
        <f t="shared" si="7"/>
        <v>45809</v>
      </c>
    </row>
    <row r="472" spans="1:21" x14ac:dyDescent="0.35">
      <c r="A472" t="s">
        <v>1233</v>
      </c>
      <c r="B472" t="s">
        <v>1234</v>
      </c>
      <c r="C472" t="s">
        <v>35</v>
      </c>
      <c r="D472" t="s">
        <v>1235</v>
      </c>
      <c r="E472" t="s">
        <v>37</v>
      </c>
      <c r="F472" t="s">
        <v>38</v>
      </c>
      <c r="G472" t="s">
        <v>26</v>
      </c>
      <c r="H472" t="s">
        <v>48</v>
      </c>
      <c r="I472" t="s">
        <v>40</v>
      </c>
      <c r="J472">
        <v>125500.43</v>
      </c>
      <c r="K472">
        <v>388.51</v>
      </c>
      <c r="L472">
        <v>69.930000000000007</v>
      </c>
      <c r="M472">
        <v>240.48</v>
      </c>
      <c r="N472">
        <v>125718.39</v>
      </c>
      <c r="O472">
        <v>1039892.48</v>
      </c>
      <c r="P472">
        <v>758</v>
      </c>
      <c r="Q472" t="s">
        <v>53</v>
      </c>
      <c r="R472" t="s">
        <v>75</v>
      </c>
      <c r="S472" t="s">
        <v>86</v>
      </c>
      <c r="T472" t="s">
        <v>32</v>
      </c>
      <c r="U472" s="3">
        <f t="shared" si="7"/>
        <v>45778</v>
      </c>
    </row>
    <row r="473" spans="1:21" x14ac:dyDescent="0.35">
      <c r="A473" t="s">
        <v>1236</v>
      </c>
      <c r="B473" t="s">
        <v>1225</v>
      </c>
      <c r="C473" t="s">
        <v>22</v>
      </c>
      <c r="D473" t="s">
        <v>1237</v>
      </c>
      <c r="E473" t="s">
        <v>24</v>
      </c>
      <c r="F473" t="s">
        <v>46</v>
      </c>
      <c r="G473" t="s">
        <v>103</v>
      </c>
      <c r="H473" t="s">
        <v>52</v>
      </c>
      <c r="I473" t="s">
        <v>28</v>
      </c>
      <c r="J473">
        <v>175719.1</v>
      </c>
      <c r="K473">
        <v>350.31</v>
      </c>
      <c r="L473">
        <v>63.06</v>
      </c>
      <c r="M473">
        <v>293.3</v>
      </c>
      <c r="N473">
        <v>175839.17</v>
      </c>
      <c r="O473">
        <v>1038792.19</v>
      </c>
      <c r="P473">
        <v>527</v>
      </c>
      <c r="Q473" t="s">
        <v>74</v>
      </c>
      <c r="R473" t="s">
        <v>75</v>
      </c>
      <c r="S473" t="s">
        <v>79</v>
      </c>
      <c r="T473" t="s">
        <v>32</v>
      </c>
      <c r="U473" s="3">
        <f t="shared" si="7"/>
        <v>45992</v>
      </c>
    </row>
    <row r="474" spans="1:21" x14ac:dyDescent="0.35">
      <c r="A474" t="s">
        <v>1238</v>
      </c>
      <c r="B474" t="s">
        <v>1239</v>
      </c>
      <c r="C474" t="s">
        <v>95</v>
      </c>
      <c r="D474" t="s">
        <v>1240</v>
      </c>
      <c r="E474" t="s">
        <v>24</v>
      </c>
      <c r="F474" t="s">
        <v>59</v>
      </c>
      <c r="G474" t="s">
        <v>103</v>
      </c>
      <c r="H474" t="s">
        <v>39</v>
      </c>
      <c r="I474" t="s">
        <v>28</v>
      </c>
      <c r="J474">
        <v>121821.77</v>
      </c>
      <c r="K474">
        <v>2334.14</v>
      </c>
      <c r="L474">
        <v>420.15</v>
      </c>
      <c r="M474">
        <v>495.34</v>
      </c>
      <c r="N474">
        <v>124080.72</v>
      </c>
      <c r="O474">
        <v>1036632.28</v>
      </c>
      <c r="P474">
        <v>424</v>
      </c>
      <c r="Q474" t="s">
        <v>74</v>
      </c>
      <c r="R474" t="s">
        <v>75</v>
      </c>
      <c r="S474" t="s">
        <v>31</v>
      </c>
      <c r="T474" t="s">
        <v>55</v>
      </c>
      <c r="U474" s="3">
        <f t="shared" si="7"/>
        <v>45689</v>
      </c>
    </row>
    <row r="475" spans="1:21" x14ac:dyDescent="0.35">
      <c r="A475" t="s">
        <v>1241</v>
      </c>
      <c r="B475" t="s">
        <v>312</v>
      </c>
      <c r="C475" t="s">
        <v>35</v>
      </c>
      <c r="D475" t="s">
        <v>1242</v>
      </c>
      <c r="E475" t="s">
        <v>37</v>
      </c>
      <c r="F475" t="s">
        <v>59</v>
      </c>
      <c r="G475" t="s">
        <v>26</v>
      </c>
      <c r="H475" t="s">
        <v>27</v>
      </c>
      <c r="I475" t="s">
        <v>61</v>
      </c>
      <c r="J475">
        <v>122039.67999999999</v>
      </c>
      <c r="K475">
        <v>2012.27</v>
      </c>
      <c r="L475">
        <v>362.21</v>
      </c>
      <c r="M475">
        <v>243.73</v>
      </c>
      <c r="N475">
        <v>124170.43</v>
      </c>
      <c r="O475">
        <v>1032832.81</v>
      </c>
      <c r="P475">
        <v>438</v>
      </c>
      <c r="Q475" t="s">
        <v>53</v>
      </c>
      <c r="R475" t="s">
        <v>75</v>
      </c>
      <c r="S475" t="s">
        <v>86</v>
      </c>
      <c r="T475" t="s">
        <v>55</v>
      </c>
      <c r="U475" s="3">
        <f t="shared" si="7"/>
        <v>45748</v>
      </c>
    </row>
    <row r="476" spans="1:21" x14ac:dyDescent="0.35">
      <c r="A476" t="s">
        <v>1243</v>
      </c>
      <c r="B476" t="s">
        <v>650</v>
      </c>
      <c r="C476" t="s">
        <v>22</v>
      </c>
      <c r="D476" t="s">
        <v>1244</v>
      </c>
      <c r="E476" t="s">
        <v>45</v>
      </c>
      <c r="F476" t="s">
        <v>59</v>
      </c>
      <c r="G476" t="s">
        <v>26</v>
      </c>
      <c r="H476" t="s">
        <v>52</v>
      </c>
      <c r="I476" t="s">
        <v>28</v>
      </c>
      <c r="J476">
        <v>48519.86</v>
      </c>
      <c r="K476">
        <v>865.01</v>
      </c>
      <c r="L476">
        <v>155.69999999999999</v>
      </c>
      <c r="M476">
        <v>220.7</v>
      </c>
      <c r="N476">
        <v>49319.87</v>
      </c>
      <c r="O476">
        <v>1036552.3</v>
      </c>
      <c r="P476">
        <v>393</v>
      </c>
      <c r="Q476" t="s">
        <v>29</v>
      </c>
      <c r="R476" t="s">
        <v>54</v>
      </c>
      <c r="S476" t="s">
        <v>79</v>
      </c>
      <c r="T476" t="s">
        <v>32</v>
      </c>
      <c r="U476" s="3">
        <f t="shared" si="7"/>
        <v>45809</v>
      </c>
    </row>
    <row r="477" spans="1:21" x14ac:dyDescent="0.35">
      <c r="A477" t="s">
        <v>1245</v>
      </c>
      <c r="B477" t="s">
        <v>894</v>
      </c>
      <c r="C477" t="s">
        <v>22</v>
      </c>
      <c r="D477" t="s">
        <v>1246</v>
      </c>
      <c r="E477" t="s">
        <v>24</v>
      </c>
      <c r="F477" t="s">
        <v>25</v>
      </c>
      <c r="G477" t="s">
        <v>60</v>
      </c>
      <c r="H477" t="s">
        <v>27</v>
      </c>
      <c r="I477" t="s">
        <v>40</v>
      </c>
      <c r="J477">
        <v>18125.939999999999</v>
      </c>
      <c r="K477">
        <v>169.69</v>
      </c>
      <c r="L477">
        <v>30.54</v>
      </c>
      <c r="M477">
        <v>43.23</v>
      </c>
      <c r="N477">
        <v>18282.939999999999</v>
      </c>
      <c r="O477">
        <v>1043070.43</v>
      </c>
      <c r="P477">
        <v>729</v>
      </c>
      <c r="Q477" t="s">
        <v>29</v>
      </c>
      <c r="R477" t="s">
        <v>54</v>
      </c>
      <c r="S477" t="s">
        <v>79</v>
      </c>
      <c r="T477" t="s">
        <v>32</v>
      </c>
      <c r="U477" s="3">
        <f t="shared" si="7"/>
        <v>45809</v>
      </c>
    </row>
    <row r="478" spans="1:21" x14ac:dyDescent="0.35">
      <c r="A478" t="s">
        <v>1247</v>
      </c>
      <c r="B478" t="s">
        <v>1105</v>
      </c>
      <c r="C478" t="s">
        <v>35</v>
      </c>
      <c r="D478" t="s">
        <v>1248</v>
      </c>
      <c r="E478" t="s">
        <v>24</v>
      </c>
      <c r="F478" t="s">
        <v>38</v>
      </c>
      <c r="G478" t="s">
        <v>47</v>
      </c>
      <c r="H478" t="s">
        <v>48</v>
      </c>
      <c r="I478" t="s">
        <v>28</v>
      </c>
      <c r="J478">
        <v>85960.99</v>
      </c>
      <c r="K478">
        <v>1034.98</v>
      </c>
      <c r="L478">
        <v>186.3</v>
      </c>
      <c r="M478">
        <v>453.71</v>
      </c>
      <c r="N478">
        <v>86728.56</v>
      </c>
      <c r="O478">
        <v>1045841.44</v>
      </c>
      <c r="P478">
        <v>781</v>
      </c>
      <c r="Q478" t="s">
        <v>74</v>
      </c>
      <c r="R478" t="s">
        <v>30</v>
      </c>
      <c r="S478" t="s">
        <v>31</v>
      </c>
      <c r="T478" t="s">
        <v>41</v>
      </c>
      <c r="U478" s="3">
        <f t="shared" si="7"/>
        <v>45717</v>
      </c>
    </row>
    <row r="479" spans="1:21" x14ac:dyDescent="0.35">
      <c r="A479" t="s">
        <v>1249</v>
      </c>
      <c r="B479" t="s">
        <v>362</v>
      </c>
      <c r="C479" t="s">
        <v>35</v>
      </c>
      <c r="D479" t="s">
        <v>1250</v>
      </c>
      <c r="E479" t="s">
        <v>37</v>
      </c>
      <c r="F479" t="s">
        <v>59</v>
      </c>
      <c r="G479" t="s">
        <v>60</v>
      </c>
      <c r="H479" t="s">
        <v>66</v>
      </c>
      <c r="I479" t="s">
        <v>28</v>
      </c>
      <c r="J479">
        <v>41852.129999999997</v>
      </c>
      <c r="K479">
        <v>614.19000000000005</v>
      </c>
      <c r="L479">
        <v>110.55</v>
      </c>
      <c r="M479">
        <v>223.96</v>
      </c>
      <c r="N479">
        <v>42352.91</v>
      </c>
      <c r="O479">
        <v>1051458.05</v>
      </c>
      <c r="P479">
        <v>337</v>
      </c>
      <c r="Q479" t="s">
        <v>53</v>
      </c>
      <c r="R479" t="s">
        <v>54</v>
      </c>
      <c r="S479" t="s">
        <v>79</v>
      </c>
      <c r="T479" t="s">
        <v>41</v>
      </c>
      <c r="U479" s="3">
        <f t="shared" si="7"/>
        <v>45748</v>
      </c>
    </row>
    <row r="480" spans="1:21" x14ac:dyDescent="0.35">
      <c r="A480" t="s">
        <v>1251</v>
      </c>
      <c r="B480" t="s">
        <v>1252</v>
      </c>
      <c r="C480" t="s">
        <v>22</v>
      </c>
      <c r="D480" t="s">
        <v>1253</v>
      </c>
      <c r="E480" t="s">
        <v>70</v>
      </c>
      <c r="F480" t="s">
        <v>59</v>
      </c>
      <c r="G480" t="s">
        <v>103</v>
      </c>
      <c r="H480" t="s">
        <v>39</v>
      </c>
      <c r="I480" t="s">
        <v>28</v>
      </c>
      <c r="J480">
        <v>102470.48</v>
      </c>
      <c r="K480">
        <v>1472.71</v>
      </c>
      <c r="L480">
        <v>265.08999999999997</v>
      </c>
      <c r="M480">
        <v>341.99</v>
      </c>
      <c r="N480">
        <v>103866.29</v>
      </c>
      <c r="O480">
        <v>1054522.47</v>
      </c>
      <c r="P480">
        <v>402</v>
      </c>
      <c r="Q480" t="s">
        <v>74</v>
      </c>
      <c r="R480" t="s">
        <v>30</v>
      </c>
      <c r="S480" t="s">
        <v>62</v>
      </c>
      <c r="T480" t="s">
        <v>41</v>
      </c>
      <c r="U480" s="3">
        <f t="shared" si="7"/>
        <v>45962</v>
      </c>
    </row>
    <row r="481" spans="1:21" x14ac:dyDescent="0.35">
      <c r="A481" t="s">
        <v>1254</v>
      </c>
      <c r="B481" t="s">
        <v>567</v>
      </c>
      <c r="C481" t="s">
        <v>22</v>
      </c>
      <c r="D481" t="s">
        <v>1255</v>
      </c>
      <c r="E481" t="s">
        <v>45</v>
      </c>
      <c r="F481" t="s">
        <v>25</v>
      </c>
      <c r="G481" t="s">
        <v>47</v>
      </c>
      <c r="H481" t="s">
        <v>52</v>
      </c>
      <c r="I481" t="s">
        <v>28</v>
      </c>
      <c r="J481">
        <v>167287.28</v>
      </c>
      <c r="K481">
        <v>2841.23</v>
      </c>
      <c r="L481">
        <v>511.42</v>
      </c>
      <c r="M481">
        <v>478.33</v>
      </c>
      <c r="N481">
        <v>170161.6</v>
      </c>
      <c r="O481">
        <v>1057990.22</v>
      </c>
      <c r="P481">
        <v>519</v>
      </c>
      <c r="Q481" t="s">
        <v>53</v>
      </c>
      <c r="R481" t="s">
        <v>75</v>
      </c>
      <c r="S481" t="s">
        <v>31</v>
      </c>
      <c r="T481" t="s">
        <v>41</v>
      </c>
      <c r="U481" s="3">
        <f t="shared" si="7"/>
        <v>45870</v>
      </c>
    </row>
    <row r="482" spans="1:21" x14ac:dyDescent="0.35">
      <c r="A482" t="s">
        <v>1256</v>
      </c>
      <c r="B482" t="s">
        <v>211</v>
      </c>
      <c r="C482" t="s">
        <v>22</v>
      </c>
      <c r="D482" t="s">
        <v>1257</v>
      </c>
      <c r="E482" t="s">
        <v>70</v>
      </c>
      <c r="F482" t="s">
        <v>25</v>
      </c>
      <c r="G482" t="s">
        <v>60</v>
      </c>
      <c r="H482" t="s">
        <v>39</v>
      </c>
      <c r="I482" t="s">
        <v>40</v>
      </c>
      <c r="J482">
        <v>118127.22</v>
      </c>
      <c r="K482">
        <v>2095.4299999999998</v>
      </c>
      <c r="L482">
        <v>377.18</v>
      </c>
      <c r="M482">
        <v>374.57</v>
      </c>
      <c r="N482">
        <v>120225.26</v>
      </c>
      <c r="O482">
        <v>1059471.8799999999</v>
      </c>
      <c r="P482">
        <v>827</v>
      </c>
      <c r="Q482" t="s">
        <v>53</v>
      </c>
      <c r="R482" t="s">
        <v>54</v>
      </c>
      <c r="S482" t="s">
        <v>79</v>
      </c>
      <c r="T482" t="s">
        <v>32</v>
      </c>
      <c r="U482" s="3">
        <f t="shared" si="7"/>
        <v>45689</v>
      </c>
    </row>
    <row r="483" spans="1:21" x14ac:dyDescent="0.35">
      <c r="A483" t="s">
        <v>1258</v>
      </c>
      <c r="B483" t="s">
        <v>667</v>
      </c>
      <c r="C483" t="s">
        <v>35</v>
      </c>
      <c r="D483" t="s">
        <v>1259</v>
      </c>
      <c r="E483" t="s">
        <v>45</v>
      </c>
      <c r="F483" t="s">
        <v>46</v>
      </c>
      <c r="G483" t="s">
        <v>47</v>
      </c>
      <c r="H483" t="s">
        <v>52</v>
      </c>
      <c r="I483" t="s">
        <v>61</v>
      </c>
      <c r="J483">
        <v>95292.62</v>
      </c>
      <c r="K483">
        <v>575.73</v>
      </c>
      <c r="L483">
        <v>103.63</v>
      </c>
      <c r="M483">
        <v>191.23</v>
      </c>
      <c r="N483">
        <v>95780.75</v>
      </c>
      <c r="O483">
        <v>1062191.07</v>
      </c>
      <c r="P483">
        <v>699</v>
      </c>
      <c r="Q483" t="s">
        <v>29</v>
      </c>
      <c r="R483" t="s">
        <v>75</v>
      </c>
      <c r="S483" t="s">
        <v>79</v>
      </c>
      <c r="T483" t="s">
        <v>32</v>
      </c>
      <c r="U483" s="3">
        <f t="shared" si="7"/>
        <v>45717</v>
      </c>
    </row>
    <row r="484" spans="1:21" x14ac:dyDescent="0.35">
      <c r="A484" t="s">
        <v>1260</v>
      </c>
      <c r="B484" t="s">
        <v>627</v>
      </c>
      <c r="C484" t="s">
        <v>22</v>
      </c>
      <c r="D484" t="s">
        <v>1076</v>
      </c>
      <c r="E484" t="s">
        <v>45</v>
      </c>
      <c r="F484" t="s">
        <v>46</v>
      </c>
      <c r="G484" t="s">
        <v>103</v>
      </c>
      <c r="H484" t="s">
        <v>39</v>
      </c>
      <c r="I484" t="s">
        <v>61</v>
      </c>
      <c r="J484">
        <v>174094.19</v>
      </c>
      <c r="K484">
        <v>1281.96</v>
      </c>
      <c r="L484">
        <v>230.75</v>
      </c>
      <c r="M484">
        <v>99.73</v>
      </c>
      <c r="N484">
        <v>175507.17</v>
      </c>
      <c r="O484">
        <v>1066543.56</v>
      </c>
      <c r="P484">
        <v>361</v>
      </c>
      <c r="Q484" t="s">
        <v>29</v>
      </c>
      <c r="R484" t="s">
        <v>75</v>
      </c>
      <c r="S484" t="s">
        <v>62</v>
      </c>
      <c r="T484" t="s">
        <v>32</v>
      </c>
      <c r="U484" s="3">
        <f t="shared" si="7"/>
        <v>45658</v>
      </c>
    </row>
    <row r="485" spans="1:21" x14ac:dyDescent="0.35">
      <c r="A485" t="s">
        <v>1261</v>
      </c>
      <c r="B485" t="s">
        <v>319</v>
      </c>
      <c r="C485" t="s">
        <v>22</v>
      </c>
      <c r="D485" t="s">
        <v>1262</v>
      </c>
      <c r="E485" t="s">
        <v>45</v>
      </c>
      <c r="F485" t="s">
        <v>59</v>
      </c>
      <c r="G485" t="s">
        <v>103</v>
      </c>
      <c r="H485" t="s">
        <v>27</v>
      </c>
      <c r="I485" t="s">
        <v>28</v>
      </c>
      <c r="J485">
        <v>66236.509999999995</v>
      </c>
      <c r="K485">
        <v>327.48</v>
      </c>
      <c r="L485">
        <v>58.95</v>
      </c>
      <c r="M485">
        <v>365.36</v>
      </c>
      <c r="N485">
        <v>66257.58</v>
      </c>
      <c r="O485">
        <v>1068293.67</v>
      </c>
      <c r="P485">
        <v>631</v>
      </c>
      <c r="Q485" t="s">
        <v>53</v>
      </c>
      <c r="R485" t="s">
        <v>30</v>
      </c>
      <c r="S485" t="s">
        <v>86</v>
      </c>
      <c r="T485" t="s">
        <v>41</v>
      </c>
      <c r="U485" s="3">
        <f t="shared" si="7"/>
        <v>45931</v>
      </c>
    </row>
    <row r="486" spans="1:21" x14ac:dyDescent="0.35">
      <c r="A486" t="s">
        <v>1263</v>
      </c>
      <c r="B486" t="s">
        <v>1264</v>
      </c>
      <c r="C486" t="s">
        <v>22</v>
      </c>
      <c r="D486" t="s">
        <v>1265</v>
      </c>
      <c r="E486" t="s">
        <v>37</v>
      </c>
      <c r="F486" t="s">
        <v>46</v>
      </c>
      <c r="G486" t="s">
        <v>47</v>
      </c>
      <c r="H486" t="s">
        <v>66</v>
      </c>
      <c r="I486" t="s">
        <v>40</v>
      </c>
      <c r="J486">
        <v>149603.75</v>
      </c>
      <c r="K486">
        <v>418.51</v>
      </c>
      <c r="L486">
        <v>75.33</v>
      </c>
      <c r="M486">
        <v>194.04</v>
      </c>
      <c r="N486">
        <v>149903.54999999999</v>
      </c>
      <c r="O486">
        <v>1064559.3799999999</v>
      </c>
      <c r="P486">
        <v>793</v>
      </c>
      <c r="Q486" t="s">
        <v>74</v>
      </c>
      <c r="R486" t="s">
        <v>75</v>
      </c>
      <c r="S486" t="s">
        <v>86</v>
      </c>
      <c r="T486" t="s">
        <v>32</v>
      </c>
      <c r="U486" s="3">
        <f t="shared" si="7"/>
        <v>45778</v>
      </c>
    </row>
    <row r="487" spans="1:21" x14ac:dyDescent="0.35">
      <c r="A487" t="s">
        <v>1266</v>
      </c>
      <c r="B487" t="s">
        <v>601</v>
      </c>
      <c r="C487" t="s">
        <v>35</v>
      </c>
      <c r="D487" t="s">
        <v>765</v>
      </c>
      <c r="E487" t="s">
        <v>70</v>
      </c>
      <c r="F487" t="s">
        <v>38</v>
      </c>
      <c r="G487" t="s">
        <v>26</v>
      </c>
      <c r="H487" t="s">
        <v>39</v>
      </c>
      <c r="I487" t="s">
        <v>28</v>
      </c>
      <c r="J487">
        <v>61013.23</v>
      </c>
      <c r="K487">
        <v>189.1</v>
      </c>
      <c r="L487">
        <v>34.04</v>
      </c>
      <c r="M487">
        <v>24.28</v>
      </c>
      <c r="N487">
        <v>61212.09</v>
      </c>
      <c r="O487">
        <v>1067558.3899999999</v>
      </c>
      <c r="P487">
        <v>887</v>
      </c>
      <c r="Q487" t="s">
        <v>74</v>
      </c>
      <c r="R487" t="s">
        <v>54</v>
      </c>
      <c r="S487" t="s">
        <v>79</v>
      </c>
      <c r="T487" t="s">
        <v>32</v>
      </c>
      <c r="U487" s="3">
        <f t="shared" si="7"/>
        <v>45748</v>
      </c>
    </row>
    <row r="488" spans="1:21" x14ac:dyDescent="0.35">
      <c r="A488" t="s">
        <v>1267</v>
      </c>
      <c r="B488" t="s">
        <v>618</v>
      </c>
      <c r="C488" t="s">
        <v>35</v>
      </c>
      <c r="D488" t="s">
        <v>1268</v>
      </c>
      <c r="E488" t="s">
        <v>24</v>
      </c>
      <c r="F488" t="s">
        <v>38</v>
      </c>
      <c r="G488" t="s">
        <v>103</v>
      </c>
      <c r="H488" t="s">
        <v>48</v>
      </c>
      <c r="I488" t="s">
        <v>28</v>
      </c>
      <c r="J488">
        <v>191395.18</v>
      </c>
      <c r="K488">
        <v>1623.46</v>
      </c>
      <c r="L488">
        <v>292.22000000000003</v>
      </c>
      <c r="M488">
        <v>153.91</v>
      </c>
      <c r="N488">
        <v>193156.95</v>
      </c>
      <c r="O488">
        <v>1071844.1399999999</v>
      </c>
      <c r="P488">
        <v>862</v>
      </c>
      <c r="Q488" t="s">
        <v>53</v>
      </c>
      <c r="R488" t="s">
        <v>30</v>
      </c>
      <c r="S488" t="s">
        <v>31</v>
      </c>
      <c r="T488" t="s">
        <v>55</v>
      </c>
      <c r="U488" s="3">
        <f t="shared" si="7"/>
        <v>45748</v>
      </c>
    </row>
    <row r="489" spans="1:21" x14ac:dyDescent="0.35">
      <c r="A489" t="s">
        <v>1269</v>
      </c>
      <c r="B489" t="s">
        <v>1270</v>
      </c>
      <c r="C489" t="s">
        <v>35</v>
      </c>
      <c r="D489" t="s">
        <v>1271</v>
      </c>
      <c r="E489" t="s">
        <v>37</v>
      </c>
      <c r="F489" t="s">
        <v>38</v>
      </c>
      <c r="G489" t="s">
        <v>26</v>
      </c>
      <c r="H489" t="s">
        <v>48</v>
      </c>
      <c r="I489" t="s">
        <v>40</v>
      </c>
      <c r="J489">
        <v>151575.28</v>
      </c>
      <c r="K489">
        <v>2319.5100000000002</v>
      </c>
      <c r="L489">
        <v>417.51</v>
      </c>
      <c r="M489">
        <v>160.21</v>
      </c>
      <c r="N489">
        <v>154152.09</v>
      </c>
      <c r="O489">
        <v>1081529.83</v>
      </c>
      <c r="P489">
        <v>342</v>
      </c>
      <c r="Q489" t="s">
        <v>29</v>
      </c>
      <c r="R489" t="s">
        <v>54</v>
      </c>
      <c r="S489" t="s">
        <v>79</v>
      </c>
      <c r="T489" t="s">
        <v>41</v>
      </c>
      <c r="U489" s="3">
        <f t="shared" si="7"/>
        <v>45809</v>
      </c>
    </row>
    <row r="490" spans="1:21" x14ac:dyDescent="0.35">
      <c r="A490" t="s">
        <v>1272</v>
      </c>
      <c r="B490" t="s">
        <v>394</v>
      </c>
      <c r="C490" t="s">
        <v>22</v>
      </c>
      <c r="D490" t="s">
        <v>1273</v>
      </c>
      <c r="E490" t="s">
        <v>37</v>
      </c>
      <c r="F490" t="s">
        <v>59</v>
      </c>
      <c r="G490" t="s">
        <v>103</v>
      </c>
      <c r="H490" t="s">
        <v>52</v>
      </c>
      <c r="I490" t="s">
        <v>28</v>
      </c>
      <c r="J490">
        <v>84654.16</v>
      </c>
      <c r="K490">
        <v>138.69999999999999</v>
      </c>
      <c r="L490">
        <v>24.97</v>
      </c>
      <c r="M490">
        <v>404.25</v>
      </c>
      <c r="N490">
        <v>84413.58</v>
      </c>
      <c r="O490">
        <v>1085713.6200000001</v>
      </c>
      <c r="P490">
        <v>857</v>
      </c>
      <c r="Q490" t="s">
        <v>29</v>
      </c>
      <c r="R490" t="s">
        <v>54</v>
      </c>
      <c r="S490" t="s">
        <v>79</v>
      </c>
      <c r="T490" t="s">
        <v>55</v>
      </c>
      <c r="U490" s="3">
        <f t="shared" si="7"/>
        <v>45901</v>
      </c>
    </row>
    <row r="491" spans="1:21" x14ac:dyDescent="0.35">
      <c r="A491" t="s">
        <v>1274</v>
      </c>
      <c r="B491" t="s">
        <v>391</v>
      </c>
      <c r="C491" t="s">
        <v>22</v>
      </c>
      <c r="D491" t="s">
        <v>1275</v>
      </c>
      <c r="E491" t="s">
        <v>45</v>
      </c>
      <c r="F491" t="s">
        <v>46</v>
      </c>
      <c r="G491" t="s">
        <v>60</v>
      </c>
      <c r="H491" t="s">
        <v>52</v>
      </c>
      <c r="I491" t="s">
        <v>28</v>
      </c>
      <c r="J491">
        <v>106114.75</v>
      </c>
      <c r="K491">
        <v>902.14</v>
      </c>
      <c r="L491">
        <v>162.38999999999999</v>
      </c>
      <c r="M491">
        <v>421.29</v>
      </c>
      <c r="N491">
        <v>106757.99</v>
      </c>
      <c r="O491">
        <v>1083723.45</v>
      </c>
      <c r="P491">
        <v>572</v>
      </c>
      <c r="Q491" t="s">
        <v>74</v>
      </c>
      <c r="R491" t="s">
        <v>75</v>
      </c>
      <c r="S491" t="s">
        <v>31</v>
      </c>
      <c r="T491" t="s">
        <v>41</v>
      </c>
      <c r="U491" s="3">
        <f t="shared" si="7"/>
        <v>45809</v>
      </c>
    </row>
    <row r="492" spans="1:21" x14ac:dyDescent="0.35">
      <c r="A492" t="s">
        <v>1276</v>
      </c>
      <c r="B492" t="s">
        <v>101</v>
      </c>
      <c r="C492" t="s">
        <v>35</v>
      </c>
      <c r="D492" t="s">
        <v>1277</v>
      </c>
      <c r="E492" t="s">
        <v>45</v>
      </c>
      <c r="F492" t="s">
        <v>59</v>
      </c>
      <c r="G492" t="s">
        <v>103</v>
      </c>
      <c r="H492" t="s">
        <v>52</v>
      </c>
      <c r="I492" t="s">
        <v>40</v>
      </c>
      <c r="J492">
        <v>99112.31</v>
      </c>
      <c r="K492">
        <v>742.14</v>
      </c>
      <c r="L492">
        <v>133.59</v>
      </c>
      <c r="M492">
        <v>245.21</v>
      </c>
      <c r="N492">
        <v>99742.83</v>
      </c>
      <c r="O492">
        <v>1087417.1200000001</v>
      </c>
      <c r="P492">
        <v>390</v>
      </c>
      <c r="Q492" t="s">
        <v>74</v>
      </c>
      <c r="R492" t="s">
        <v>75</v>
      </c>
      <c r="S492" t="s">
        <v>31</v>
      </c>
      <c r="T492" t="s">
        <v>55</v>
      </c>
      <c r="U492" s="3">
        <f t="shared" si="7"/>
        <v>45870</v>
      </c>
    </row>
    <row r="493" spans="1:21" x14ac:dyDescent="0.35">
      <c r="A493" t="s">
        <v>1278</v>
      </c>
      <c r="B493" t="s">
        <v>627</v>
      </c>
      <c r="C493" t="s">
        <v>22</v>
      </c>
      <c r="D493" t="s">
        <v>1279</v>
      </c>
      <c r="E493" t="s">
        <v>24</v>
      </c>
      <c r="F493" t="s">
        <v>25</v>
      </c>
      <c r="G493" t="s">
        <v>60</v>
      </c>
      <c r="H493" t="s">
        <v>48</v>
      </c>
      <c r="I493" t="s">
        <v>61</v>
      </c>
      <c r="J493">
        <v>105304.03</v>
      </c>
      <c r="K493">
        <v>1114.73</v>
      </c>
      <c r="L493">
        <v>200.65</v>
      </c>
      <c r="M493">
        <v>450.11</v>
      </c>
      <c r="N493">
        <v>106169.3</v>
      </c>
      <c r="O493">
        <v>1084809.72</v>
      </c>
      <c r="P493">
        <v>626</v>
      </c>
      <c r="Q493" t="s">
        <v>29</v>
      </c>
      <c r="R493" t="s">
        <v>54</v>
      </c>
      <c r="S493" t="s">
        <v>79</v>
      </c>
      <c r="T493" t="s">
        <v>41</v>
      </c>
      <c r="U493" s="3">
        <f t="shared" si="7"/>
        <v>45658</v>
      </c>
    </row>
    <row r="494" spans="1:21" x14ac:dyDescent="0.35">
      <c r="A494" t="s">
        <v>1280</v>
      </c>
      <c r="B494" t="s">
        <v>1039</v>
      </c>
      <c r="C494" t="s">
        <v>95</v>
      </c>
      <c r="D494" t="s">
        <v>1281</v>
      </c>
      <c r="E494" t="s">
        <v>37</v>
      </c>
      <c r="F494" t="s">
        <v>25</v>
      </c>
      <c r="G494" t="s">
        <v>26</v>
      </c>
      <c r="H494" t="s">
        <v>48</v>
      </c>
      <c r="I494" t="s">
        <v>61</v>
      </c>
      <c r="J494">
        <v>49110.02</v>
      </c>
      <c r="K494">
        <v>599.73</v>
      </c>
      <c r="L494">
        <v>107.95</v>
      </c>
      <c r="M494">
        <v>120.8</v>
      </c>
      <c r="N494">
        <v>49696.9</v>
      </c>
      <c r="O494">
        <v>1083283.98</v>
      </c>
      <c r="P494">
        <v>492</v>
      </c>
      <c r="Q494" t="s">
        <v>29</v>
      </c>
      <c r="R494" t="s">
        <v>54</v>
      </c>
      <c r="S494" t="s">
        <v>79</v>
      </c>
      <c r="T494" t="s">
        <v>32</v>
      </c>
      <c r="U494" s="3">
        <f t="shared" si="7"/>
        <v>45809</v>
      </c>
    </row>
    <row r="495" spans="1:21" x14ac:dyDescent="0.35">
      <c r="A495" t="s">
        <v>1282</v>
      </c>
      <c r="B495" t="s">
        <v>1283</v>
      </c>
      <c r="C495" t="s">
        <v>22</v>
      </c>
      <c r="D495" t="s">
        <v>857</v>
      </c>
      <c r="E495" t="s">
        <v>24</v>
      </c>
      <c r="F495" t="s">
        <v>46</v>
      </c>
      <c r="G495" t="s">
        <v>103</v>
      </c>
      <c r="H495" t="s">
        <v>39</v>
      </c>
      <c r="I495" t="s">
        <v>28</v>
      </c>
      <c r="J495">
        <v>128803.49</v>
      </c>
      <c r="K495">
        <v>303.07</v>
      </c>
      <c r="L495">
        <v>54.55</v>
      </c>
      <c r="M495">
        <v>173.1</v>
      </c>
      <c r="N495">
        <v>128988.01</v>
      </c>
      <c r="O495">
        <v>1091785.6399999999</v>
      </c>
      <c r="P495">
        <v>688</v>
      </c>
      <c r="Q495" t="s">
        <v>53</v>
      </c>
      <c r="R495" t="s">
        <v>54</v>
      </c>
      <c r="S495" t="s">
        <v>62</v>
      </c>
      <c r="T495" t="s">
        <v>41</v>
      </c>
      <c r="U495" s="3">
        <f t="shared" si="7"/>
        <v>45809</v>
      </c>
    </row>
    <row r="496" spans="1:21" x14ac:dyDescent="0.35">
      <c r="A496" t="s">
        <v>1284</v>
      </c>
      <c r="B496" t="s">
        <v>474</v>
      </c>
      <c r="C496" t="s">
        <v>35</v>
      </c>
      <c r="D496" t="s">
        <v>1285</v>
      </c>
      <c r="E496" t="s">
        <v>70</v>
      </c>
      <c r="F496" t="s">
        <v>46</v>
      </c>
      <c r="G496" t="s">
        <v>47</v>
      </c>
      <c r="H496" t="s">
        <v>48</v>
      </c>
      <c r="I496" t="s">
        <v>28</v>
      </c>
      <c r="J496">
        <v>154605.82999999999</v>
      </c>
      <c r="K496">
        <v>1885.85</v>
      </c>
      <c r="L496">
        <v>339.45</v>
      </c>
      <c r="M496">
        <v>220.52</v>
      </c>
      <c r="N496">
        <v>156610.60999999999</v>
      </c>
      <c r="O496">
        <v>1098398.95</v>
      </c>
      <c r="P496">
        <v>696</v>
      </c>
      <c r="Q496" t="s">
        <v>74</v>
      </c>
      <c r="R496" t="s">
        <v>54</v>
      </c>
      <c r="S496" t="s">
        <v>79</v>
      </c>
      <c r="T496" t="s">
        <v>55</v>
      </c>
      <c r="U496" s="3">
        <f t="shared" si="7"/>
        <v>45992</v>
      </c>
    </row>
    <row r="497" spans="1:21" x14ac:dyDescent="0.35">
      <c r="A497" t="s">
        <v>1286</v>
      </c>
      <c r="B497" t="s">
        <v>1287</v>
      </c>
      <c r="C497" t="s">
        <v>35</v>
      </c>
      <c r="D497" t="s">
        <v>1288</v>
      </c>
      <c r="E497" t="s">
        <v>24</v>
      </c>
      <c r="F497" t="s">
        <v>25</v>
      </c>
      <c r="G497" t="s">
        <v>103</v>
      </c>
      <c r="H497" t="s">
        <v>66</v>
      </c>
      <c r="I497" t="s">
        <v>40</v>
      </c>
      <c r="J497">
        <v>3428.56</v>
      </c>
      <c r="K497">
        <v>39.03</v>
      </c>
      <c r="L497">
        <v>7.03</v>
      </c>
      <c r="M497">
        <v>127.75</v>
      </c>
      <c r="N497">
        <v>3346.87</v>
      </c>
      <c r="O497">
        <v>1094821.7</v>
      </c>
      <c r="P497">
        <v>388</v>
      </c>
      <c r="Q497" t="s">
        <v>53</v>
      </c>
      <c r="R497" t="s">
        <v>54</v>
      </c>
      <c r="S497" t="s">
        <v>79</v>
      </c>
      <c r="T497" t="s">
        <v>41</v>
      </c>
      <c r="U497" s="3">
        <f t="shared" si="7"/>
        <v>45992</v>
      </c>
    </row>
    <row r="498" spans="1:21" x14ac:dyDescent="0.35">
      <c r="A498" t="s">
        <v>1289</v>
      </c>
      <c r="B498" t="s">
        <v>77</v>
      </c>
      <c r="C498" t="s">
        <v>95</v>
      </c>
      <c r="D498" t="s">
        <v>1290</v>
      </c>
      <c r="E498" t="s">
        <v>24</v>
      </c>
      <c r="F498" t="s">
        <v>46</v>
      </c>
      <c r="G498" t="s">
        <v>103</v>
      </c>
      <c r="H498" t="s">
        <v>27</v>
      </c>
      <c r="I498" t="s">
        <v>40</v>
      </c>
      <c r="J498">
        <v>39663.050000000003</v>
      </c>
      <c r="K498">
        <v>359.51</v>
      </c>
      <c r="L498">
        <v>64.709999999999994</v>
      </c>
      <c r="M498">
        <v>432.63</v>
      </c>
      <c r="N498">
        <v>39654.639999999999</v>
      </c>
      <c r="O498">
        <v>1095517.6599999999</v>
      </c>
      <c r="P498">
        <v>637</v>
      </c>
      <c r="Q498" t="s">
        <v>74</v>
      </c>
      <c r="R498" t="s">
        <v>75</v>
      </c>
      <c r="S498" t="s">
        <v>86</v>
      </c>
      <c r="T498" t="s">
        <v>41</v>
      </c>
      <c r="U498" s="3">
        <f t="shared" si="7"/>
        <v>45778</v>
      </c>
    </row>
    <row r="499" spans="1:21" x14ac:dyDescent="0.35">
      <c r="A499" t="s">
        <v>1291</v>
      </c>
      <c r="B499" t="s">
        <v>388</v>
      </c>
      <c r="C499" t="s">
        <v>22</v>
      </c>
      <c r="D499" t="s">
        <v>1292</v>
      </c>
      <c r="E499" t="s">
        <v>24</v>
      </c>
      <c r="F499" t="s">
        <v>59</v>
      </c>
      <c r="G499" t="s">
        <v>60</v>
      </c>
      <c r="H499" t="s">
        <v>27</v>
      </c>
      <c r="I499" t="s">
        <v>28</v>
      </c>
      <c r="J499">
        <v>152469.82</v>
      </c>
      <c r="K499">
        <v>2326.3000000000002</v>
      </c>
      <c r="L499">
        <v>418.73</v>
      </c>
      <c r="M499">
        <v>390.58</v>
      </c>
      <c r="N499">
        <v>154824.26999999999</v>
      </c>
      <c r="O499">
        <v>1096710.5900000001</v>
      </c>
      <c r="P499">
        <v>398</v>
      </c>
      <c r="Q499" t="s">
        <v>29</v>
      </c>
      <c r="R499" t="s">
        <v>30</v>
      </c>
      <c r="S499" t="s">
        <v>62</v>
      </c>
      <c r="T499" t="s">
        <v>41</v>
      </c>
      <c r="U499" s="3">
        <f t="shared" si="7"/>
        <v>45778</v>
      </c>
    </row>
    <row r="500" spans="1:21" x14ac:dyDescent="0.35">
      <c r="A500" t="s">
        <v>1293</v>
      </c>
      <c r="B500" t="s">
        <v>1294</v>
      </c>
      <c r="C500" t="s">
        <v>22</v>
      </c>
      <c r="D500" t="s">
        <v>1295</v>
      </c>
      <c r="E500" t="s">
        <v>70</v>
      </c>
      <c r="F500" t="s">
        <v>59</v>
      </c>
      <c r="G500" t="s">
        <v>60</v>
      </c>
      <c r="H500" t="s">
        <v>66</v>
      </c>
      <c r="I500" t="s">
        <v>40</v>
      </c>
      <c r="J500">
        <v>115663.46</v>
      </c>
      <c r="K500">
        <v>1772.1</v>
      </c>
      <c r="L500">
        <v>318.98</v>
      </c>
      <c r="M500">
        <v>343.67</v>
      </c>
      <c r="N500">
        <v>117410.87</v>
      </c>
      <c r="O500">
        <v>1095360.6000000001</v>
      </c>
      <c r="P500">
        <v>543</v>
      </c>
      <c r="Q500" t="s">
        <v>29</v>
      </c>
      <c r="R500" t="s">
        <v>54</v>
      </c>
      <c r="S500" t="s">
        <v>86</v>
      </c>
      <c r="T500" t="s">
        <v>55</v>
      </c>
      <c r="U500" s="3">
        <f t="shared" si="7"/>
        <v>45931</v>
      </c>
    </row>
    <row r="501" spans="1:21" x14ac:dyDescent="0.35">
      <c r="A501" t="s">
        <v>1296</v>
      </c>
      <c r="B501" t="s">
        <v>1297</v>
      </c>
      <c r="C501" t="s">
        <v>95</v>
      </c>
      <c r="D501" t="s">
        <v>1298</v>
      </c>
      <c r="E501" t="s">
        <v>45</v>
      </c>
      <c r="F501" t="s">
        <v>25</v>
      </c>
      <c r="G501" t="s">
        <v>26</v>
      </c>
      <c r="H501" t="s">
        <v>52</v>
      </c>
      <c r="I501" t="s">
        <v>40</v>
      </c>
      <c r="J501">
        <v>191739.31</v>
      </c>
      <c r="K501">
        <v>1563.93</v>
      </c>
      <c r="L501">
        <v>281.51</v>
      </c>
      <c r="M501">
        <v>27.68</v>
      </c>
      <c r="N501">
        <v>193557.07</v>
      </c>
      <c r="O501">
        <v>1098376.1399999999</v>
      </c>
      <c r="P501">
        <v>795</v>
      </c>
      <c r="Q501" t="s">
        <v>74</v>
      </c>
      <c r="R501" t="s">
        <v>75</v>
      </c>
      <c r="S501" t="s">
        <v>31</v>
      </c>
      <c r="T501" t="s">
        <v>32</v>
      </c>
      <c r="U501" s="3">
        <f t="shared" si="7"/>
        <v>45778</v>
      </c>
    </row>
    <row r="502" spans="1:21" x14ac:dyDescent="0.35">
      <c r="A502" t="s">
        <v>1299</v>
      </c>
      <c r="B502" t="s">
        <v>1300</v>
      </c>
      <c r="C502" t="s">
        <v>95</v>
      </c>
      <c r="D502" t="s">
        <v>1301</v>
      </c>
      <c r="E502" t="s">
        <v>24</v>
      </c>
      <c r="F502" t="s">
        <v>25</v>
      </c>
      <c r="G502" t="s">
        <v>26</v>
      </c>
      <c r="H502" t="s">
        <v>39</v>
      </c>
      <c r="I502" t="s">
        <v>28</v>
      </c>
      <c r="J502">
        <v>37868.39</v>
      </c>
      <c r="K502">
        <v>750.27</v>
      </c>
      <c r="L502">
        <v>135.05000000000001</v>
      </c>
      <c r="M502">
        <v>377.15</v>
      </c>
      <c r="N502">
        <v>38376.559999999998</v>
      </c>
      <c r="O502">
        <v>1104872.42</v>
      </c>
      <c r="P502">
        <v>873</v>
      </c>
      <c r="Q502" t="s">
        <v>74</v>
      </c>
      <c r="R502" t="s">
        <v>75</v>
      </c>
      <c r="S502" t="s">
        <v>79</v>
      </c>
      <c r="T502" t="s">
        <v>41</v>
      </c>
      <c r="U502" s="3">
        <f t="shared" si="7"/>
        <v>45901</v>
      </c>
    </row>
    <row r="503" spans="1:21" x14ac:dyDescent="0.35">
      <c r="A503" t="s">
        <v>1302</v>
      </c>
      <c r="B503" t="s">
        <v>1264</v>
      </c>
      <c r="C503" t="s">
        <v>35</v>
      </c>
      <c r="D503" t="s">
        <v>1303</v>
      </c>
      <c r="E503" t="s">
        <v>37</v>
      </c>
      <c r="F503" t="s">
        <v>38</v>
      </c>
      <c r="G503" t="s">
        <v>26</v>
      </c>
      <c r="H503" t="s">
        <v>66</v>
      </c>
      <c r="I503" t="s">
        <v>40</v>
      </c>
      <c r="J503">
        <v>87645.29</v>
      </c>
      <c r="K503">
        <v>803.02</v>
      </c>
      <c r="L503">
        <v>144.54</v>
      </c>
      <c r="M503">
        <v>326.2</v>
      </c>
      <c r="N503">
        <v>88266.65</v>
      </c>
      <c r="O503">
        <v>1102155.99</v>
      </c>
      <c r="P503">
        <v>784</v>
      </c>
      <c r="Q503" t="s">
        <v>74</v>
      </c>
      <c r="R503" t="s">
        <v>30</v>
      </c>
      <c r="S503" t="s">
        <v>79</v>
      </c>
      <c r="T503" t="s">
        <v>41</v>
      </c>
      <c r="U503" s="3">
        <f t="shared" si="7"/>
        <v>45778</v>
      </c>
    </row>
    <row r="504" spans="1:21" x14ac:dyDescent="0.35">
      <c r="A504" t="s">
        <v>1304</v>
      </c>
      <c r="B504" t="s">
        <v>1039</v>
      </c>
      <c r="C504" t="s">
        <v>95</v>
      </c>
      <c r="D504" t="s">
        <v>1305</v>
      </c>
      <c r="E504" t="s">
        <v>70</v>
      </c>
      <c r="F504" t="s">
        <v>59</v>
      </c>
      <c r="G504" t="s">
        <v>60</v>
      </c>
      <c r="H504" t="s">
        <v>48</v>
      </c>
      <c r="I504" t="s">
        <v>28</v>
      </c>
      <c r="J504">
        <v>178821.07</v>
      </c>
      <c r="K504">
        <v>3575.5</v>
      </c>
      <c r="L504">
        <v>643.59</v>
      </c>
      <c r="M504">
        <v>454.41</v>
      </c>
      <c r="N504">
        <v>182585.75</v>
      </c>
      <c r="O504">
        <v>1099647.6599999999</v>
      </c>
      <c r="P504">
        <v>502</v>
      </c>
      <c r="Q504" t="s">
        <v>53</v>
      </c>
      <c r="R504" t="s">
        <v>30</v>
      </c>
      <c r="S504" t="s">
        <v>31</v>
      </c>
      <c r="T504" t="s">
        <v>41</v>
      </c>
      <c r="U504" s="3">
        <f t="shared" si="7"/>
        <v>45809</v>
      </c>
    </row>
    <row r="505" spans="1:21" x14ac:dyDescent="0.35">
      <c r="A505" t="s">
        <v>1306</v>
      </c>
      <c r="B505" t="s">
        <v>459</v>
      </c>
      <c r="C505" t="s">
        <v>95</v>
      </c>
      <c r="D505" t="s">
        <v>920</v>
      </c>
      <c r="E505" t="s">
        <v>70</v>
      </c>
      <c r="F505" t="s">
        <v>38</v>
      </c>
      <c r="G505" t="s">
        <v>60</v>
      </c>
      <c r="H505" t="s">
        <v>48</v>
      </c>
      <c r="I505" t="s">
        <v>61</v>
      </c>
      <c r="J505">
        <v>63001.65</v>
      </c>
      <c r="K505">
        <v>736.19</v>
      </c>
      <c r="L505">
        <v>132.51</v>
      </c>
      <c r="M505">
        <v>163.96</v>
      </c>
      <c r="N505">
        <v>63706.39</v>
      </c>
      <c r="O505">
        <v>1098284.82</v>
      </c>
      <c r="P505">
        <v>348</v>
      </c>
      <c r="Q505" t="s">
        <v>53</v>
      </c>
      <c r="R505" t="s">
        <v>30</v>
      </c>
      <c r="S505" t="s">
        <v>62</v>
      </c>
      <c r="T505" t="s">
        <v>32</v>
      </c>
      <c r="U505" s="3">
        <f t="shared" si="7"/>
        <v>45809</v>
      </c>
    </row>
    <row r="506" spans="1:21" x14ac:dyDescent="0.35">
      <c r="A506" t="s">
        <v>1307</v>
      </c>
      <c r="B506" t="s">
        <v>1308</v>
      </c>
      <c r="C506" t="s">
        <v>95</v>
      </c>
      <c r="D506" t="s">
        <v>1309</v>
      </c>
      <c r="E506" t="s">
        <v>24</v>
      </c>
      <c r="F506" t="s">
        <v>25</v>
      </c>
      <c r="G506" t="s">
        <v>26</v>
      </c>
      <c r="H506" t="s">
        <v>48</v>
      </c>
      <c r="I506" t="s">
        <v>61</v>
      </c>
      <c r="J506">
        <v>155376.87</v>
      </c>
      <c r="K506">
        <v>1188.97</v>
      </c>
      <c r="L506">
        <v>214.01</v>
      </c>
      <c r="M506">
        <v>14.28</v>
      </c>
      <c r="N506">
        <v>156765.57</v>
      </c>
      <c r="O506">
        <v>1102806.22</v>
      </c>
      <c r="P506">
        <v>396</v>
      </c>
      <c r="Q506" t="s">
        <v>53</v>
      </c>
      <c r="R506" t="s">
        <v>30</v>
      </c>
      <c r="S506" t="s">
        <v>62</v>
      </c>
      <c r="T506" t="s">
        <v>32</v>
      </c>
      <c r="U506" s="3">
        <f t="shared" si="7"/>
        <v>45839</v>
      </c>
    </row>
    <row r="507" spans="1:21" x14ac:dyDescent="0.35">
      <c r="A507" t="s">
        <v>1310</v>
      </c>
      <c r="B507" t="s">
        <v>414</v>
      </c>
      <c r="C507" t="s">
        <v>22</v>
      </c>
      <c r="D507" t="s">
        <v>1311</v>
      </c>
      <c r="E507" t="s">
        <v>45</v>
      </c>
      <c r="F507" t="s">
        <v>59</v>
      </c>
      <c r="G507" t="s">
        <v>103</v>
      </c>
      <c r="H507" t="s">
        <v>66</v>
      </c>
      <c r="I507" t="s">
        <v>28</v>
      </c>
      <c r="J507">
        <v>133292.68</v>
      </c>
      <c r="K507">
        <v>840.51</v>
      </c>
      <c r="L507">
        <v>151.29</v>
      </c>
      <c r="M507">
        <v>33.15</v>
      </c>
      <c r="N507">
        <v>134251.32999999999</v>
      </c>
      <c r="O507">
        <v>1099553.17</v>
      </c>
      <c r="P507">
        <v>361</v>
      </c>
      <c r="Q507" t="s">
        <v>53</v>
      </c>
      <c r="R507" t="s">
        <v>54</v>
      </c>
      <c r="S507" t="s">
        <v>86</v>
      </c>
      <c r="T507" t="s">
        <v>41</v>
      </c>
      <c r="U507" s="3">
        <f t="shared" si="7"/>
        <v>45901</v>
      </c>
    </row>
    <row r="508" spans="1:21" x14ac:dyDescent="0.35">
      <c r="A508" t="s">
        <v>1312</v>
      </c>
      <c r="B508" t="s">
        <v>178</v>
      </c>
      <c r="C508" t="s">
        <v>95</v>
      </c>
      <c r="D508" t="s">
        <v>1313</v>
      </c>
      <c r="E508" t="s">
        <v>45</v>
      </c>
      <c r="F508" t="s">
        <v>59</v>
      </c>
      <c r="G508" t="s">
        <v>103</v>
      </c>
      <c r="H508" t="s">
        <v>27</v>
      </c>
      <c r="I508" t="s">
        <v>61</v>
      </c>
      <c r="J508">
        <v>50290.57</v>
      </c>
      <c r="K508">
        <v>251.71</v>
      </c>
      <c r="L508">
        <v>45.31</v>
      </c>
      <c r="M508">
        <v>168.92</v>
      </c>
      <c r="N508">
        <v>50418.67</v>
      </c>
      <c r="O508">
        <v>1094604.6100000001</v>
      </c>
      <c r="P508">
        <v>815</v>
      </c>
      <c r="Q508" t="s">
        <v>29</v>
      </c>
      <c r="R508" t="s">
        <v>30</v>
      </c>
      <c r="S508" t="s">
        <v>86</v>
      </c>
      <c r="T508" t="s">
        <v>32</v>
      </c>
      <c r="U508" s="3">
        <f t="shared" si="7"/>
        <v>45689</v>
      </c>
    </row>
    <row r="509" spans="1:21" x14ac:dyDescent="0.35">
      <c r="A509" t="s">
        <v>1314</v>
      </c>
      <c r="B509" t="s">
        <v>231</v>
      </c>
      <c r="C509" t="s">
        <v>35</v>
      </c>
      <c r="D509" t="s">
        <v>1315</v>
      </c>
      <c r="E509" t="s">
        <v>70</v>
      </c>
      <c r="F509" t="s">
        <v>38</v>
      </c>
      <c r="G509" t="s">
        <v>103</v>
      </c>
      <c r="H509" t="s">
        <v>66</v>
      </c>
      <c r="I509" t="s">
        <v>40</v>
      </c>
      <c r="J509">
        <v>39385.1</v>
      </c>
      <c r="K509">
        <v>341.06</v>
      </c>
      <c r="L509">
        <v>61.39</v>
      </c>
      <c r="M509">
        <v>16.34</v>
      </c>
      <c r="N509">
        <v>39771.21</v>
      </c>
      <c r="O509">
        <v>1095916.94</v>
      </c>
      <c r="P509">
        <v>478</v>
      </c>
      <c r="Q509" t="s">
        <v>74</v>
      </c>
      <c r="R509" t="s">
        <v>30</v>
      </c>
      <c r="S509" t="s">
        <v>79</v>
      </c>
      <c r="T509" t="s">
        <v>55</v>
      </c>
      <c r="U509" s="3">
        <f t="shared" si="7"/>
        <v>45658</v>
      </c>
    </row>
    <row r="510" spans="1:21" x14ac:dyDescent="0.35">
      <c r="A510" t="s">
        <v>1316</v>
      </c>
      <c r="B510" t="s">
        <v>908</v>
      </c>
      <c r="C510" t="s">
        <v>95</v>
      </c>
      <c r="D510" t="s">
        <v>1317</v>
      </c>
      <c r="E510" t="s">
        <v>45</v>
      </c>
      <c r="F510" t="s">
        <v>38</v>
      </c>
      <c r="G510" t="s">
        <v>103</v>
      </c>
      <c r="H510" t="s">
        <v>66</v>
      </c>
      <c r="I510" t="s">
        <v>28</v>
      </c>
      <c r="J510">
        <v>126735.76</v>
      </c>
      <c r="K510">
        <v>2045.57</v>
      </c>
      <c r="L510">
        <v>368.2</v>
      </c>
      <c r="M510">
        <v>452.53</v>
      </c>
      <c r="N510">
        <v>128697</v>
      </c>
      <c r="O510">
        <v>1096197.23</v>
      </c>
      <c r="P510">
        <v>630</v>
      </c>
      <c r="Q510" t="s">
        <v>29</v>
      </c>
      <c r="R510" t="s">
        <v>54</v>
      </c>
      <c r="S510" t="s">
        <v>86</v>
      </c>
      <c r="T510" t="s">
        <v>32</v>
      </c>
      <c r="U510" s="3">
        <f t="shared" si="7"/>
        <v>45870</v>
      </c>
    </row>
    <row r="511" spans="1:21" x14ac:dyDescent="0.35">
      <c r="A511" t="s">
        <v>1318</v>
      </c>
      <c r="B511" t="s">
        <v>270</v>
      </c>
      <c r="C511" t="s">
        <v>35</v>
      </c>
      <c r="D511" t="s">
        <v>1319</v>
      </c>
      <c r="E511" t="s">
        <v>37</v>
      </c>
      <c r="F511" t="s">
        <v>38</v>
      </c>
      <c r="G511" t="s">
        <v>103</v>
      </c>
      <c r="H511" t="s">
        <v>52</v>
      </c>
      <c r="I511" t="s">
        <v>28</v>
      </c>
      <c r="J511">
        <v>50200.82</v>
      </c>
      <c r="K511">
        <v>563.46</v>
      </c>
      <c r="L511">
        <v>101.42</v>
      </c>
      <c r="M511">
        <v>433.01</v>
      </c>
      <c r="N511">
        <v>50432.69</v>
      </c>
      <c r="O511">
        <v>1105421.22</v>
      </c>
      <c r="P511">
        <v>729</v>
      </c>
      <c r="Q511" t="s">
        <v>74</v>
      </c>
      <c r="R511" t="s">
        <v>75</v>
      </c>
      <c r="S511" t="s">
        <v>62</v>
      </c>
      <c r="T511" t="s">
        <v>55</v>
      </c>
      <c r="U511" s="3">
        <f t="shared" si="7"/>
        <v>45717</v>
      </c>
    </row>
    <row r="512" spans="1:21" x14ac:dyDescent="0.35">
      <c r="A512" t="s">
        <v>1320</v>
      </c>
      <c r="B512" t="s">
        <v>259</v>
      </c>
      <c r="C512" t="s">
        <v>22</v>
      </c>
      <c r="D512" t="s">
        <v>1321</v>
      </c>
      <c r="E512" t="s">
        <v>45</v>
      </c>
      <c r="F512" t="s">
        <v>46</v>
      </c>
      <c r="G512" t="s">
        <v>26</v>
      </c>
      <c r="H512" t="s">
        <v>66</v>
      </c>
      <c r="I512" t="s">
        <v>40</v>
      </c>
      <c r="J512">
        <v>138931.09</v>
      </c>
      <c r="K512">
        <v>2717.22</v>
      </c>
      <c r="L512">
        <v>489.1</v>
      </c>
      <c r="M512">
        <v>324.67</v>
      </c>
      <c r="N512">
        <v>141812.74</v>
      </c>
      <c r="O512">
        <v>1104575.8799999999</v>
      </c>
      <c r="P512">
        <v>858</v>
      </c>
      <c r="Q512" t="s">
        <v>53</v>
      </c>
      <c r="R512" t="s">
        <v>30</v>
      </c>
      <c r="S512" t="s">
        <v>86</v>
      </c>
      <c r="T512" t="s">
        <v>32</v>
      </c>
      <c r="U512" s="3">
        <f t="shared" si="7"/>
        <v>45778</v>
      </c>
    </row>
    <row r="513" spans="1:21" x14ac:dyDescent="0.35">
      <c r="A513" t="s">
        <v>1322</v>
      </c>
      <c r="B513" t="s">
        <v>1323</v>
      </c>
      <c r="C513" t="s">
        <v>22</v>
      </c>
      <c r="D513" t="s">
        <v>1324</v>
      </c>
      <c r="E513" t="s">
        <v>24</v>
      </c>
      <c r="F513" t="s">
        <v>38</v>
      </c>
      <c r="G513" t="s">
        <v>60</v>
      </c>
      <c r="H513" t="s">
        <v>66</v>
      </c>
      <c r="I513" t="s">
        <v>40</v>
      </c>
      <c r="J513">
        <v>176904</v>
      </c>
      <c r="K513">
        <v>1020.14</v>
      </c>
      <c r="L513">
        <v>183.63</v>
      </c>
      <c r="M513">
        <v>29.7</v>
      </c>
      <c r="N513">
        <v>178078.07</v>
      </c>
      <c r="O513">
        <v>1101668.03</v>
      </c>
      <c r="P513">
        <v>683</v>
      </c>
      <c r="Q513" t="s">
        <v>29</v>
      </c>
      <c r="R513" t="s">
        <v>30</v>
      </c>
      <c r="S513" t="s">
        <v>62</v>
      </c>
      <c r="T513" t="s">
        <v>55</v>
      </c>
      <c r="U513" s="3">
        <f t="shared" si="7"/>
        <v>45931</v>
      </c>
    </row>
    <row r="514" spans="1:21" x14ac:dyDescent="0.35">
      <c r="A514" t="s">
        <v>1325</v>
      </c>
      <c r="B514" t="s">
        <v>731</v>
      </c>
      <c r="C514" t="s">
        <v>95</v>
      </c>
      <c r="D514" t="s">
        <v>1326</v>
      </c>
      <c r="E514" t="s">
        <v>45</v>
      </c>
      <c r="F514" t="s">
        <v>25</v>
      </c>
      <c r="G514" t="s">
        <v>60</v>
      </c>
      <c r="H514" t="s">
        <v>27</v>
      </c>
      <c r="I514" t="s">
        <v>61</v>
      </c>
      <c r="J514">
        <v>105473.23</v>
      </c>
      <c r="K514">
        <v>1289.1600000000001</v>
      </c>
      <c r="L514">
        <v>232.05</v>
      </c>
      <c r="M514">
        <v>51.82</v>
      </c>
      <c r="N514">
        <v>106942.62</v>
      </c>
      <c r="O514">
        <v>1099356</v>
      </c>
      <c r="P514">
        <v>345</v>
      </c>
      <c r="Q514" t="s">
        <v>29</v>
      </c>
      <c r="R514" t="s">
        <v>75</v>
      </c>
      <c r="S514" t="s">
        <v>62</v>
      </c>
      <c r="T514" t="s">
        <v>41</v>
      </c>
      <c r="U514" s="3">
        <f t="shared" si="7"/>
        <v>45870</v>
      </c>
    </row>
    <row r="515" spans="1:21" x14ac:dyDescent="0.35">
      <c r="A515" t="s">
        <v>1327</v>
      </c>
      <c r="B515" t="s">
        <v>850</v>
      </c>
      <c r="C515" t="s">
        <v>35</v>
      </c>
      <c r="D515" t="s">
        <v>1328</v>
      </c>
      <c r="E515" t="s">
        <v>24</v>
      </c>
      <c r="F515" t="s">
        <v>46</v>
      </c>
      <c r="G515" t="s">
        <v>60</v>
      </c>
      <c r="H515" t="s">
        <v>27</v>
      </c>
      <c r="I515" t="s">
        <v>40</v>
      </c>
      <c r="J515">
        <v>117780.99</v>
      </c>
      <c r="K515">
        <v>1488.85</v>
      </c>
      <c r="L515">
        <v>267.99</v>
      </c>
      <c r="M515">
        <v>126.35</v>
      </c>
      <c r="N515">
        <v>119411.48</v>
      </c>
      <c r="O515">
        <v>1102787.23</v>
      </c>
      <c r="P515">
        <v>561</v>
      </c>
      <c r="Q515" t="s">
        <v>53</v>
      </c>
      <c r="R515" t="s">
        <v>54</v>
      </c>
      <c r="S515" t="s">
        <v>86</v>
      </c>
      <c r="T515" t="s">
        <v>55</v>
      </c>
      <c r="U515" s="3">
        <f t="shared" ref="U515:U578" si="8">DATE(YEAR(B515),MONTH(B515),1)</f>
        <v>45809</v>
      </c>
    </row>
    <row r="516" spans="1:21" x14ac:dyDescent="0.35">
      <c r="A516" t="s">
        <v>1329</v>
      </c>
      <c r="B516" t="s">
        <v>1330</v>
      </c>
      <c r="C516" t="s">
        <v>95</v>
      </c>
      <c r="D516" t="s">
        <v>1331</v>
      </c>
      <c r="E516" t="s">
        <v>37</v>
      </c>
      <c r="F516" t="s">
        <v>25</v>
      </c>
      <c r="G516" t="s">
        <v>103</v>
      </c>
      <c r="H516" t="s">
        <v>39</v>
      </c>
      <c r="I516" t="s">
        <v>40</v>
      </c>
      <c r="J516">
        <v>178038.15</v>
      </c>
      <c r="K516">
        <v>659.92</v>
      </c>
      <c r="L516">
        <v>118.79</v>
      </c>
      <c r="M516">
        <v>130.31</v>
      </c>
      <c r="N516">
        <v>178686.55</v>
      </c>
      <c r="O516">
        <v>1105305.1100000001</v>
      </c>
      <c r="P516">
        <v>367</v>
      </c>
      <c r="Q516" t="s">
        <v>53</v>
      </c>
      <c r="R516" t="s">
        <v>54</v>
      </c>
      <c r="S516" t="s">
        <v>31</v>
      </c>
      <c r="T516" t="s">
        <v>32</v>
      </c>
      <c r="U516" s="3">
        <f t="shared" si="8"/>
        <v>45689</v>
      </c>
    </row>
    <row r="517" spans="1:21" x14ac:dyDescent="0.35">
      <c r="A517" t="s">
        <v>1332</v>
      </c>
      <c r="B517" t="s">
        <v>1333</v>
      </c>
      <c r="C517" t="s">
        <v>22</v>
      </c>
      <c r="D517" t="s">
        <v>1334</v>
      </c>
      <c r="E517" t="s">
        <v>37</v>
      </c>
      <c r="F517" t="s">
        <v>46</v>
      </c>
      <c r="G517" t="s">
        <v>103</v>
      </c>
      <c r="H517" t="s">
        <v>52</v>
      </c>
      <c r="I517" t="s">
        <v>61</v>
      </c>
      <c r="J517">
        <v>86747.6</v>
      </c>
      <c r="K517">
        <v>280.39999999999998</v>
      </c>
      <c r="L517">
        <v>50.47</v>
      </c>
      <c r="M517">
        <v>174.03</v>
      </c>
      <c r="N517">
        <v>86904.44</v>
      </c>
      <c r="O517">
        <v>1111243.79</v>
      </c>
      <c r="P517">
        <v>375</v>
      </c>
      <c r="Q517" t="s">
        <v>53</v>
      </c>
      <c r="R517" t="s">
        <v>75</v>
      </c>
      <c r="S517" t="s">
        <v>79</v>
      </c>
      <c r="T517" t="s">
        <v>32</v>
      </c>
      <c r="U517" s="3">
        <f t="shared" si="8"/>
        <v>45962</v>
      </c>
    </row>
    <row r="518" spans="1:21" x14ac:dyDescent="0.35">
      <c r="A518" t="s">
        <v>1335</v>
      </c>
      <c r="B518" t="s">
        <v>1336</v>
      </c>
      <c r="C518" t="s">
        <v>35</v>
      </c>
      <c r="D518" t="s">
        <v>1337</v>
      </c>
      <c r="E518" t="s">
        <v>45</v>
      </c>
      <c r="F518" t="s">
        <v>25</v>
      </c>
      <c r="G518" t="s">
        <v>60</v>
      </c>
      <c r="H518" t="s">
        <v>48</v>
      </c>
      <c r="I518" t="s">
        <v>61</v>
      </c>
      <c r="J518">
        <v>96971.5</v>
      </c>
      <c r="K518">
        <v>1769.58</v>
      </c>
      <c r="L518">
        <v>318.52</v>
      </c>
      <c r="M518">
        <v>139.30000000000001</v>
      </c>
      <c r="N518">
        <v>98920.3</v>
      </c>
      <c r="O518">
        <v>1112700.29</v>
      </c>
      <c r="P518">
        <v>554</v>
      </c>
      <c r="Q518" t="s">
        <v>74</v>
      </c>
      <c r="R518" t="s">
        <v>54</v>
      </c>
      <c r="S518" t="s">
        <v>79</v>
      </c>
      <c r="T518" t="s">
        <v>41</v>
      </c>
      <c r="U518" s="3">
        <f t="shared" si="8"/>
        <v>45809</v>
      </c>
    </row>
    <row r="519" spans="1:21" x14ac:dyDescent="0.35">
      <c r="A519" t="s">
        <v>1338</v>
      </c>
      <c r="B519" t="s">
        <v>137</v>
      </c>
      <c r="C519" t="s">
        <v>35</v>
      </c>
      <c r="D519" t="s">
        <v>1339</v>
      </c>
      <c r="E519" t="s">
        <v>37</v>
      </c>
      <c r="F519" t="s">
        <v>25</v>
      </c>
      <c r="G519" t="s">
        <v>60</v>
      </c>
      <c r="H519" t="s">
        <v>66</v>
      </c>
      <c r="I519" t="s">
        <v>28</v>
      </c>
      <c r="J519">
        <v>6411.44</v>
      </c>
      <c r="K519">
        <v>20.86</v>
      </c>
      <c r="L519">
        <v>3.75</v>
      </c>
      <c r="M519">
        <v>462.07</v>
      </c>
      <c r="N519">
        <v>5973.98</v>
      </c>
      <c r="O519">
        <v>1114715.9099999999</v>
      </c>
      <c r="P519">
        <v>720</v>
      </c>
      <c r="Q519" t="s">
        <v>53</v>
      </c>
      <c r="R519" t="s">
        <v>75</v>
      </c>
      <c r="S519" t="s">
        <v>31</v>
      </c>
      <c r="T519" t="s">
        <v>41</v>
      </c>
      <c r="U519" s="3">
        <f t="shared" si="8"/>
        <v>45748</v>
      </c>
    </row>
    <row r="520" spans="1:21" x14ac:dyDescent="0.35">
      <c r="A520" t="s">
        <v>1340</v>
      </c>
      <c r="B520" t="s">
        <v>1341</v>
      </c>
      <c r="C520" t="s">
        <v>35</v>
      </c>
      <c r="D520" t="s">
        <v>1342</v>
      </c>
      <c r="E520" t="s">
        <v>45</v>
      </c>
      <c r="F520" t="s">
        <v>25</v>
      </c>
      <c r="G520" t="s">
        <v>60</v>
      </c>
      <c r="H520" t="s">
        <v>66</v>
      </c>
      <c r="I520" t="s">
        <v>61</v>
      </c>
      <c r="J520">
        <v>99969.42</v>
      </c>
      <c r="K520">
        <v>818.56</v>
      </c>
      <c r="L520">
        <v>147.34</v>
      </c>
      <c r="M520">
        <v>286.45999999999998</v>
      </c>
      <c r="N520">
        <v>100648.86</v>
      </c>
      <c r="O520">
        <v>1114236.72</v>
      </c>
      <c r="P520">
        <v>529</v>
      </c>
      <c r="Q520" t="s">
        <v>53</v>
      </c>
      <c r="R520" t="s">
        <v>54</v>
      </c>
      <c r="S520" t="s">
        <v>86</v>
      </c>
      <c r="T520" t="s">
        <v>55</v>
      </c>
      <c r="U520" s="3">
        <f t="shared" si="8"/>
        <v>45870</v>
      </c>
    </row>
    <row r="521" spans="1:21" x14ac:dyDescent="0.35">
      <c r="A521" t="s">
        <v>1343</v>
      </c>
      <c r="B521" t="s">
        <v>285</v>
      </c>
      <c r="C521" t="s">
        <v>35</v>
      </c>
      <c r="D521" t="s">
        <v>1344</v>
      </c>
      <c r="E521" t="s">
        <v>24</v>
      </c>
      <c r="F521" t="s">
        <v>59</v>
      </c>
      <c r="G521" t="s">
        <v>103</v>
      </c>
      <c r="H521" t="s">
        <v>52</v>
      </c>
      <c r="I521" t="s">
        <v>61</v>
      </c>
      <c r="J521">
        <v>20260.740000000002</v>
      </c>
      <c r="K521">
        <v>335.69</v>
      </c>
      <c r="L521">
        <v>60.42</v>
      </c>
      <c r="M521">
        <v>439.07</v>
      </c>
      <c r="N521">
        <v>20217.78</v>
      </c>
      <c r="O521">
        <v>1111797.7</v>
      </c>
      <c r="P521">
        <v>698</v>
      </c>
      <c r="Q521" t="s">
        <v>53</v>
      </c>
      <c r="R521" t="s">
        <v>75</v>
      </c>
      <c r="S521" t="s">
        <v>86</v>
      </c>
      <c r="T521" t="s">
        <v>41</v>
      </c>
      <c r="U521" s="3">
        <f t="shared" si="8"/>
        <v>45809</v>
      </c>
    </row>
    <row r="522" spans="1:21" x14ac:dyDescent="0.35">
      <c r="A522" t="s">
        <v>1345</v>
      </c>
      <c r="B522" t="s">
        <v>691</v>
      </c>
      <c r="C522" t="s">
        <v>95</v>
      </c>
      <c r="D522" t="s">
        <v>1346</v>
      </c>
      <c r="E522" t="s">
        <v>45</v>
      </c>
      <c r="F522" t="s">
        <v>59</v>
      </c>
      <c r="G522" t="s">
        <v>60</v>
      </c>
      <c r="H522" t="s">
        <v>52</v>
      </c>
      <c r="I522" t="s">
        <v>28</v>
      </c>
      <c r="J522">
        <v>25989.37</v>
      </c>
      <c r="K522">
        <v>512.08000000000004</v>
      </c>
      <c r="L522">
        <v>92.17</v>
      </c>
      <c r="M522">
        <v>362.98</v>
      </c>
      <c r="N522">
        <v>26230.639999999999</v>
      </c>
      <c r="O522">
        <v>1115189.06</v>
      </c>
      <c r="P522">
        <v>708</v>
      </c>
      <c r="Q522" t="s">
        <v>29</v>
      </c>
      <c r="R522" t="s">
        <v>54</v>
      </c>
      <c r="S522" t="s">
        <v>86</v>
      </c>
      <c r="T522" t="s">
        <v>41</v>
      </c>
      <c r="U522" s="3">
        <f t="shared" si="8"/>
        <v>45992</v>
      </c>
    </row>
    <row r="523" spans="1:21" x14ac:dyDescent="0.35">
      <c r="A523" t="s">
        <v>1347</v>
      </c>
      <c r="B523" t="s">
        <v>1112</v>
      </c>
      <c r="C523" t="s">
        <v>22</v>
      </c>
      <c r="D523" t="s">
        <v>1348</v>
      </c>
      <c r="E523" t="s">
        <v>24</v>
      </c>
      <c r="F523" t="s">
        <v>38</v>
      </c>
      <c r="G523" t="s">
        <v>103</v>
      </c>
      <c r="H523" t="s">
        <v>66</v>
      </c>
      <c r="I523" t="s">
        <v>40</v>
      </c>
      <c r="J523">
        <v>26753.37</v>
      </c>
      <c r="K523">
        <v>493.98</v>
      </c>
      <c r="L523">
        <v>88.92</v>
      </c>
      <c r="M523">
        <v>101.2</v>
      </c>
      <c r="N523">
        <v>27235.07</v>
      </c>
      <c r="O523">
        <v>1122715.76</v>
      </c>
      <c r="P523">
        <v>696</v>
      </c>
      <c r="Q523" t="s">
        <v>53</v>
      </c>
      <c r="R523" t="s">
        <v>30</v>
      </c>
      <c r="S523" t="s">
        <v>31</v>
      </c>
      <c r="T523" t="s">
        <v>55</v>
      </c>
      <c r="U523" s="3">
        <f t="shared" si="8"/>
        <v>45962</v>
      </c>
    </row>
    <row r="524" spans="1:21" x14ac:dyDescent="0.35">
      <c r="A524" t="s">
        <v>1349</v>
      </c>
      <c r="B524" t="s">
        <v>725</v>
      </c>
      <c r="C524" t="s">
        <v>95</v>
      </c>
      <c r="D524" t="s">
        <v>1350</v>
      </c>
      <c r="E524" t="s">
        <v>37</v>
      </c>
      <c r="F524" t="s">
        <v>25</v>
      </c>
      <c r="G524" t="s">
        <v>103</v>
      </c>
      <c r="H524" t="s">
        <v>48</v>
      </c>
      <c r="I524" t="s">
        <v>28</v>
      </c>
      <c r="J524">
        <v>100125.12</v>
      </c>
      <c r="K524">
        <v>1455.76</v>
      </c>
      <c r="L524">
        <v>262.04000000000002</v>
      </c>
      <c r="M524">
        <v>222.91</v>
      </c>
      <c r="N524">
        <v>101620.01</v>
      </c>
      <c r="O524">
        <v>1126920</v>
      </c>
      <c r="P524">
        <v>363</v>
      </c>
      <c r="Q524" t="s">
        <v>29</v>
      </c>
      <c r="R524" t="s">
        <v>30</v>
      </c>
      <c r="S524" t="s">
        <v>62</v>
      </c>
      <c r="T524" t="s">
        <v>32</v>
      </c>
      <c r="U524" s="3">
        <f t="shared" si="8"/>
        <v>45658</v>
      </c>
    </row>
    <row r="525" spans="1:21" x14ac:dyDescent="0.35">
      <c r="A525" t="s">
        <v>1351</v>
      </c>
      <c r="B525" t="s">
        <v>859</v>
      </c>
      <c r="C525" t="s">
        <v>22</v>
      </c>
      <c r="D525" t="s">
        <v>1352</v>
      </c>
      <c r="E525" t="s">
        <v>24</v>
      </c>
      <c r="F525" t="s">
        <v>25</v>
      </c>
      <c r="G525" t="s">
        <v>60</v>
      </c>
      <c r="H525" t="s">
        <v>66</v>
      </c>
      <c r="I525" t="s">
        <v>40</v>
      </c>
      <c r="J525">
        <v>103891.55</v>
      </c>
      <c r="K525">
        <v>1600.47</v>
      </c>
      <c r="L525">
        <v>288.08</v>
      </c>
      <c r="M525">
        <v>76.87</v>
      </c>
      <c r="N525">
        <v>105703.23</v>
      </c>
      <c r="O525">
        <v>1126858.82</v>
      </c>
      <c r="P525">
        <v>479</v>
      </c>
      <c r="Q525" t="s">
        <v>74</v>
      </c>
      <c r="R525" t="s">
        <v>75</v>
      </c>
      <c r="S525" t="s">
        <v>79</v>
      </c>
      <c r="T525" t="s">
        <v>55</v>
      </c>
      <c r="U525" s="3">
        <f t="shared" si="8"/>
        <v>45658</v>
      </c>
    </row>
    <row r="526" spans="1:21" x14ac:dyDescent="0.35">
      <c r="A526" t="s">
        <v>1353</v>
      </c>
      <c r="B526" t="s">
        <v>1354</v>
      </c>
      <c r="C526" t="s">
        <v>22</v>
      </c>
      <c r="D526" t="s">
        <v>1355</v>
      </c>
      <c r="E526" t="s">
        <v>45</v>
      </c>
      <c r="F526" t="s">
        <v>38</v>
      </c>
      <c r="G526" t="s">
        <v>103</v>
      </c>
      <c r="H526" t="s">
        <v>48</v>
      </c>
      <c r="I526" t="s">
        <v>61</v>
      </c>
      <c r="J526">
        <v>179275.84</v>
      </c>
      <c r="K526">
        <v>1524.19</v>
      </c>
      <c r="L526">
        <v>274.35000000000002</v>
      </c>
      <c r="M526">
        <v>250.03</v>
      </c>
      <c r="N526">
        <v>180824.35</v>
      </c>
      <c r="O526">
        <v>1132457.23</v>
      </c>
      <c r="P526">
        <v>490</v>
      </c>
      <c r="Q526" t="s">
        <v>74</v>
      </c>
      <c r="R526" t="s">
        <v>75</v>
      </c>
      <c r="S526" t="s">
        <v>79</v>
      </c>
      <c r="T526" t="s">
        <v>32</v>
      </c>
      <c r="U526" s="3">
        <f t="shared" si="8"/>
        <v>45689</v>
      </c>
    </row>
    <row r="527" spans="1:21" x14ac:dyDescent="0.35">
      <c r="A527" t="s">
        <v>1356</v>
      </c>
      <c r="B527" t="s">
        <v>1357</v>
      </c>
      <c r="C527" t="s">
        <v>35</v>
      </c>
      <c r="D527" t="s">
        <v>1358</v>
      </c>
      <c r="E527" t="s">
        <v>37</v>
      </c>
      <c r="F527" t="s">
        <v>59</v>
      </c>
      <c r="G527" t="s">
        <v>103</v>
      </c>
      <c r="H527" t="s">
        <v>48</v>
      </c>
      <c r="I527" t="s">
        <v>40</v>
      </c>
      <c r="J527">
        <v>1326.65</v>
      </c>
      <c r="K527">
        <v>9.16</v>
      </c>
      <c r="L527">
        <v>1.65</v>
      </c>
      <c r="M527">
        <v>1.1499999999999999</v>
      </c>
      <c r="N527">
        <v>1336.31</v>
      </c>
      <c r="O527">
        <v>1130598.9099999999</v>
      </c>
      <c r="P527">
        <v>353</v>
      </c>
      <c r="Q527" t="s">
        <v>74</v>
      </c>
      <c r="R527" t="s">
        <v>75</v>
      </c>
      <c r="S527" t="s">
        <v>79</v>
      </c>
      <c r="T527" t="s">
        <v>41</v>
      </c>
      <c r="U527" s="3">
        <f t="shared" si="8"/>
        <v>45748</v>
      </c>
    </row>
    <row r="528" spans="1:21" x14ac:dyDescent="0.35">
      <c r="A528" t="s">
        <v>1359</v>
      </c>
      <c r="B528" t="s">
        <v>1360</v>
      </c>
      <c r="C528" t="s">
        <v>22</v>
      </c>
      <c r="D528" t="s">
        <v>1361</v>
      </c>
      <c r="E528" t="s">
        <v>45</v>
      </c>
      <c r="F528" t="s">
        <v>59</v>
      </c>
      <c r="G528" t="s">
        <v>103</v>
      </c>
      <c r="H528" t="s">
        <v>66</v>
      </c>
      <c r="I528" t="s">
        <v>28</v>
      </c>
      <c r="J528">
        <v>85443.03</v>
      </c>
      <c r="K528">
        <v>1257.76</v>
      </c>
      <c r="L528">
        <v>226.4</v>
      </c>
      <c r="M528">
        <v>151.08000000000001</v>
      </c>
      <c r="N528">
        <v>86776.11</v>
      </c>
      <c r="O528">
        <v>1139141.69</v>
      </c>
      <c r="P528">
        <v>523</v>
      </c>
      <c r="Q528" t="s">
        <v>74</v>
      </c>
      <c r="R528" t="s">
        <v>30</v>
      </c>
      <c r="S528" t="s">
        <v>31</v>
      </c>
      <c r="T528" t="s">
        <v>41</v>
      </c>
      <c r="U528" s="3">
        <f t="shared" si="8"/>
        <v>45778</v>
      </c>
    </row>
    <row r="529" spans="1:21" x14ac:dyDescent="0.35">
      <c r="A529" t="s">
        <v>1362</v>
      </c>
      <c r="B529" t="s">
        <v>828</v>
      </c>
      <c r="C529" t="s">
        <v>35</v>
      </c>
      <c r="D529" t="s">
        <v>1363</v>
      </c>
      <c r="E529" t="s">
        <v>24</v>
      </c>
      <c r="F529" t="s">
        <v>46</v>
      </c>
      <c r="G529" t="s">
        <v>26</v>
      </c>
      <c r="H529" t="s">
        <v>48</v>
      </c>
      <c r="I529" t="s">
        <v>40</v>
      </c>
      <c r="J529">
        <v>192292.53</v>
      </c>
      <c r="K529">
        <v>1268.1500000000001</v>
      </c>
      <c r="L529">
        <v>228.27</v>
      </c>
      <c r="M529">
        <v>301.79000000000002</v>
      </c>
      <c r="N529">
        <v>193487.16</v>
      </c>
      <c r="O529">
        <v>1134144.8500000001</v>
      </c>
      <c r="P529">
        <v>862</v>
      </c>
      <c r="Q529" t="s">
        <v>74</v>
      </c>
      <c r="R529" t="s">
        <v>30</v>
      </c>
      <c r="S529" t="s">
        <v>79</v>
      </c>
      <c r="T529" t="s">
        <v>32</v>
      </c>
      <c r="U529" s="3">
        <f t="shared" si="8"/>
        <v>45870</v>
      </c>
    </row>
    <row r="530" spans="1:21" x14ac:dyDescent="0.35">
      <c r="A530" t="s">
        <v>1364</v>
      </c>
      <c r="B530" t="s">
        <v>88</v>
      </c>
      <c r="C530" t="s">
        <v>95</v>
      </c>
      <c r="D530" t="s">
        <v>1365</v>
      </c>
      <c r="E530" t="s">
        <v>70</v>
      </c>
      <c r="F530" t="s">
        <v>38</v>
      </c>
      <c r="G530" t="s">
        <v>47</v>
      </c>
      <c r="H530" t="s">
        <v>27</v>
      </c>
      <c r="I530" t="s">
        <v>61</v>
      </c>
      <c r="J530">
        <v>86014.87</v>
      </c>
      <c r="K530">
        <v>1451.06</v>
      </c>
      <c r="L530">
        <v>261.19</v>
      </c>
      <c r="M530">
        <v>461.16</v>
      </c>
      <c r="N530">
        <v>87265.96</v>
      </c>
      <c r="O530">
        <v>1138603.28</v>
      </c>
      <c r="P530">
        <v>389</v>
      </c>
      <c r="Q530" t="s">
        <v>29</v>
      </c>
      <c r="R530" t="s">
        <v>54</v>
      </c>
      <c r="S530" t="s">
        <v>62</v>
      </c>
      <c r="T530" t="s">
        <v>41</v>
      </c>
      <c r="U530" s="3">
        <f t="shared" si="8"/>
        <v>45839</v>
      </c>
    </row>
    <row r="531" spans="1:21" x14ac:dyDescent="0.35">
      <c r="A531" t="s">
        <v>1366</v>
      </c>
      <c r="B531" t="s">
        <v>834</v>
      </c>
      <c r="C531" t="s">
        <v>95</v>
      </c>
      <c r="D531" t="s">
        <v>1367</v>
      </c>
      <c r="E531" t="s">
        <v>45</v>
      </c>
      <c r="F531" t="s">
        <v>59</v>
      </c>
      <c r="G531" t="s">
        <v>103</v>
      </c>
      <c r="H531" t="s">
        <v>27</v>
      </c>
      <c r="I531" t="s">
        <v>40</v>
      </c>
      <c r="J531">
        <v>174171.08</v>
      </c>
      <c r="K531">
        <v>1068.56</v>
      </c>
      <c r="L531">
        <v>192.34</v>
      </c>
      <c r="M531">
        <v>479.56</v>
      </c>
      <c r="N531">
        <v>174952.42</v>
      </c>
      <c r="O531">
        <v>1134109.1599999999</v>
      </c>
      <c r="P531">
        <v>484</v>
      </c>
      <c r="Q531" t="s">
        <v>53</v>
      </c>
      <c r="R531" t="s">
        <v>54</v>
      </c>
      <c r="S531" t="s">
        <v>31</v>
      </c>
      <c r="T531" t="s">
        <v>55</v>
      </c>
      <c r="U531" s="3">
        <f t="shared" si="8"/>
        <v>45689</v>
      </c>
    </row>
    <row r="532" spans="1:21" x14ac:dyDescent="0.35">
      <c r="A532" t="s">
        <v>1368</v>
      </c>
      <c r="B532" t="s">
        <v>428</v>
      </c>
      <c r="C532" t="s">
        <v>22</v>
      </c>
      <c r="D532" t="s">
        <v>1369</v>
      </c>
      <c r="E532" t="s">
        <v>70</v>
      </c>
      <c r="F532" t="s">
        <v>46</v>
      </c>
      <c r="G532" t="s">
        <v>26</v>
      </c>
      <c r="H532" t="s">
        <v>48</v>
      </c>
      <c r="I532" t="s">
        <v>61</v>
      </c>
      <c r="J532">
        <v>4624.6899999999996</v>
      </c>
      <c r="K532">
        <v>35.97</v>
      </c>
      <c r="L532">
        <v>6.47</v>
      </c>
      <c r="M532">
        <v>251.82</v>
      </c>
      <c r="N532">
        <v>4415.3100000000004</v>
      </c>
      <c r="O532">
        <v>1133807.24</v>
      </c>
      <c r="P532">
        <v>790</v>
      </c>
      <c r="Q532" t="s">
        <v>53</v>
      </c>
      <c r="R532" t="s">
        <v>75</v>
      </c>
      <c r="S532" t="s">
        <v>86</v>
      </c>
      <c r="T532" t="s">
        <v>32</v>
      </c>
      <c r="U532" s="3">
        <f t="shared" si="8"/>
        <v>45778</v>
      </c>
    </row>
    <row r="533" spans="1:21" x14ac:dyDescent="0.35">
      <c r="A533" t="s">
        <v>1370</v>
      </c>
      <c r="B533" t="s">
        <v>317</v>
      </c>
      <c r="C533" t="s">
        <v>35</v>
      </c>
      <c r="D533" t="s">
        <v>1371</v>
      </c>
      <c r="E533" t="s">
        <v>24</v>
      </c>
      <c r="F533" t="s">
        <v>59</v>
      </c>
      <c r="G533" t="s">
        <v>47</v>
      </c>
      <c r="H533" t="s">
        <v>39</v>
      </c>
      <c r="I533" t="s">
        <v>61</v>
      </c>
      <c r="J533">
        <v>82955.66</v>
      </c>
      <c r="K533">
        <v>841.27</v>
      </c>
      <c r="L533">
        <v>151.43</v>
      </c>
      <c r="M533">
        <v>41.14</v>
      </c>
      <c r="N533">
        <v>83907.22</v>
      </c>
      <c r="O533">
        <v>1134638.26</v>
      </c>
      <c r="P533">
        <v>324</v>
      </c>
      <c r="Q533" t="s">
        <v>29</v>
      </c>
      <c r="R533" t="s">
        <v>75</v>
      </c>
      <c r="S533" t="s">
        <v>62</v>
      </c>
      <c r="T533" t="s">
        <v>41</v>
      </c>
      <c r="U533" s="3">
        <f t="shared" si="8"/>
        <v>45931</v>
      </c>
    </row>
    <row r="534" spans="1:21" x14ac:dyDescent="0.35">
      <c r="A534" t="s">
        <v>1372</v>
      </c>
      <c r="B534" t="s">
        <v>128</v>
      </c>
      <c r="C534" t="s">
        <v>95</v>
      </c>
      <c r="D534" t="s">
        <v>963</v>
      </c>
      <c r="E534" t="s">
        <v>24</v>
      </c>
      <c r="F534" t="s">
        <v>38</v>
      </c>
      <c r="G534" t="s">
        <v>60</v>
      </c>
      <c r="H534" t="s">
        <v>52</v>
      </c>
      <c r="I534" t="s">
        <v>61</v>
      </c>
      <c r="J534">
        <v>88235.07</v>
      </c>
      <c r="K534">
        <v>540.45000000000005</v>
      </c>
      <c r="L534">
        <v>97.28</v>
      </c>
      <c r="M534">
        <v>297.05</v>
      </c>
      <c r="N534">
        <v>88575.75</v>
      </c>
      <c r="O534">
        <v>1135504.8899999999</v>
      </c>
      <c r="P534">
        <v>304</v>
      </c>
      <c r="Q534" t="s">
        <v>29</v>
      </c>
      <c r="R534" t="s">
        <v>54</v>
      </c>
      <c r="S534" t="s">
        <v>86</v>
      </c>
      <c r="T534" t="s">
        <v>32</v>
      </c>
      <c r="U534" s="3">
        <f t="shared" si="8"/>
        <v>45748</v>
      </c>
    </row>
    <row r="535" spans="1:21" x14ac:dyDescent="0.35">
      <c r="A535" t="s">
        <v>1373</v>
      </c>
      <c r="B535" t="s">
        <v>1374</v>
      </c>
      <c r="C535" t="s">
        <v>22</v>
      </c>
      <c r="D535" t="s">
        <v>1375</v>
      </c>
      <c r="E535" t="s">
        <v>37</v>
      </c>
      <c r="F535" t="s">
        <v>38</v>
      </c>
      <c r="G535" t="s">
        <v>26</v>
      </c>
      <c r="H535" t="s">
        <v>39</v>
      </c>
      <c r="I535" t="s">
        <v>61</v>
      </c>
      <c r="J535">
        <v>182028.42</v>
      </c>
      <c r="K535">
        <v>2557.13</v>
      </c>
      <c r="L535">
        <v>460.28</v>
      </c>
      <c r="M535">
        <v>336.75</v>
      </c>
      <c r="N535">
        <v>184709.08</v>
      </c>
      <c r="O535">
        <v>1131016.08</v>
      </c>
      <c r="P535">
        <v>332</v>
      </c>
      <c r="Q535" t="s">
        <v>74</v>
      </c>
      <c r="R535" t="s">
        <v>30</v>
      </c>
      <c r="S535" t="s">
        <v>86</v>
      </c>
      <c r="T535" t="s">
        <v>32</v>
      </c>
      <c r="U535" s="3">
        <f t="shared" si="8"/>
        <v>45717</v>
      </c>
    </row>
    <row r="536" spans="1:21" x14ac:dyDescent="0.35">
      <c r="A536" t="s">
        <v>1376</v>
      </c>
      <c r="B536" t="s">
        <v>237</v>
      </c>
      <c r="C536" t="s">
        <v>22</v>
      </c>
      <c r="D536" t="s">
        <v>1377</v>
      </c>
      <c r="E536" t="s">
        <v>37</v>
      </c>
      <c r="F536" t="s">
        <v>38</v>
      </c>
      <c r="G536" t="s">
        <v>26</v>
      </c>
      <c r="H536" t="s">
        <v>66</v>
      </c>
      <c r="I536" t="s">
        <v>28</v>
      </c>
      <c r="J536">
        <v>58586.26</v>
      </c>
      <c r="K536">
        <v>704.41</v>
      </c>
      <c r="L536">
        <v>126.79</v>
      </c>
      <c r="M536">
        <v>293.98</v>
      </c>
      <c r="N536">
        <v>59123.48</v>
      </c>
      <c r="O536">
        <v>1139929.3500000001</v>
      </c>
      <c r="P536">
        <v>656</v>
      </c>
      <c r="Q536" t="s">
        <v>29</v>
      </c>
      <c r="R536" t="s">
        <v>30</v>
      </c>
      <c r="S536" t="s">
        <v>79</v>
      </c>
      <c r="T536" t="s">
        <v>32</v>
      </c>
      <c r="U536" s="3">
        <f t="shared" si="8"/>
        <v>45870</v>
      </c>
    </row>
    <row r="537" spans="1:21" x14ac:dyDescent="0.35">
      <c r="A537" t="s">
        <v>1378</v>
      </c>
      <c r="B537" t="s">
        <v>394</v>
      </c>
      <c r="C537" t="s">
        <v>35</v>
      </c>
      <c r="D537" t="s">
        <v>1379</v>
      </c>
      <c r="E537" t="s">
        <v>24</v>
      </c>
      <c r="F537" t="s">
        <v>46</v>
      </c>
      <c r="G537" t="s">
        <v>26</v>
      </c>
      <c r="H537" t="s">
        <v>27</v>
      </c>
      <c r="I537" t="s">
        <v>28</v>
      </c>
      <c r="J537">
        <v>14822.09</v>
      </c>
      <c r="K537">
        <v>263.89999999999998</v>
      </c>
      <c r="L537">
        <v>47.5</v>
      </c>
      <c r="M537">
        <v>7.98</v>
      </c>
      <c r="N537">
        <v>15125.51</v>
      </c>
      <c r="O537">
        <v>1137350.47</v>
      </c>
      <c r="P537">
        <v>800</v>
      </c>
      <c r="Q537" t="s">
        <v>74</v>
      </c>
      <c r="R537" t="s">
        <v>30</v>
      </c>
      <c r="S537" t="s">
        <v>62</v>
      </c>
      <c r="T537" t="s">
        <v>41</v>
      </c>
      <c r="U537" s="3">
        <f t="shared" si="8"/>
        <v>45901</v>
      </c>
    </row>
    <row r="538" spans="1:21" x14ac:dyDescent="0.35">
      <c r="A538" t="s">
        <v>1380</v>
      </c>
      <c r="B538" t="s">
        <v>1381</v>
      </c>
      <c r="C538" t="s">
        <v>22</v>
      </c>
      <c r="D538" t="s">
        <v>1382</v>
      </c>
      <c r="E538" t="s">
        <v>24</v>
      </c>
      <c r="F538" t="s">
        <v>38</v>
      </c>
      <c r="G538" t="s">
        <v>60</v>
      </c>
      <c r="H538" t="s">
        <v>52</v>
      </c>
      <c r="I538" t="s">
        <v>28</v>
      </c>
      <c r="J538">
        <v>95542.78</v>
      </c>
      <c r="K538">
        <v>1182.53</v>
      </c>
      <c r="L538">
        <v>212.86</v>
      </c>
      <c r="M538">
        <v>268.81</v>
      </c>
      <c r="N538">
        <v>96669.36</v>
      </c>
      <c r="O538">
        <v>1142313.93</v>
      </c>
      <c r="P538">
        <v>865</v>
      </c>
      <c r="Q538" t="s">
        <v>53</v>
      </c>
      <c r="R538" t="s">
        <v>54</v>
      </c>
      <c r="S538" t="s">
        <v>86</v>
      </c>
      <c r="T538" t="s">
        <v>41</v>
      </c>
      <c r="U538" s="3">
        <f t="shared" si="8"/>
        <v>45658</v>
      </c>
    </row>
    <row r="539" spans="1:21" x14ac:dyDescent="0.35">
      <c r="A539" t="s">
        <v>1383</v>
      </c>
      <c r="B539" t="s">
        <v>1384</v>
      </c>
      <c r="C539" t="s">
        <v>22</v>
      </c>
      <c r="D539" t="s">
        <v>1385</v>
      </c>
      <c r="E539" t="s">
        <v>70</v>
      </c>
      <c r="F539" t="s">
        <v>59</v>
      </c>
      <c r="G539" t="s">
        <v>60</v>
      </c>
      <c r="H539" t="s">
        <v>27</v>
      </c>
      <c r="I539" t="s">
        <v>61</v>
      </c>
      <c r="J539">
        <v>160667.51</v>
      </c>
      <c r="K539">
        <v>2000.98</v>
      </c>
      <c r="L539">
        <v>360.18</v>
      </c>
      <c r="M539">
        <v>361.29</v>
      </c>
      <c r="N539">
        <v>162667.38</v>
      </c>
      <c r="O539">
        <v>1144950.73</v>
      </c>
      <c r="P539">
        <v>590</v>
      </c>
      <c r="Q539" t="s">
        <v>29</v>
      </c>
      <c r="R539" t="s">
        <v>54</v>
      </c>
      <c r="S539" t="s">
        <v>86</v>
      </c>
      <c r="T539" t="s">
        <v>41</v>
      </c>
      <c r="U539" s="3">
        <f t="shared" si="8"/>
        <v>45689</v>
      </c>
    </row>
    <row r="540" spans="1:21" x14ac:dyDescent="0.35">
      <c r="A540" t="s">
        <v>1386</v>
      </c>
      <c r="B540" t="s">
        <v>1075</v>
      </c>
      <c r="C540" t="s">
        <v>22</v>
      </c>
      <c r="D540" t="s">
        <v>1387</v>
      </c>
      <c r="E540" t="s">
        <v>45</v>
      </c>
      <c r="F540" t="s">
        <v>59</v>
      </c>
      <c r="G540" t="s">
        <v>103</v>
      </c>
      <c r="H540" t="s">
        <v>39</v>
      </c>
      <c r="I540" t="s">
        <v>61</v>
      </c>
      <c r="J540">
        <v>9429.7199999999993</v>
      </c>
      <c r="K540">
        <v>145.33000000000001</v>
      </c>
      <c r="L540">
        <v>26.16</v>
      </c>
      <c r="M540">
        <v>318.95</v>
      </c>
      <c r="N540">
        <v>9282.26</v>
      </c>
      <c r="O540">
        <v>1150670.53</v>
      </c>
      <c r="P540">
        <v>598</v>
      </c>
      <c r="Q540" t="s">
        <v>74</v>
      </c>
      <c r="R540" t="s">
        <v>75</v>
      </c>
      <c r="S540" t="s">
        <v>86</v>
      </c>
      <c r="T540" t="s">
        <v>55</v>
      </c>
      <c r="U540" s="3">
        <f t="shared" si="8"/>
        <v>45901</v>
      </c>
    </row>
    <row r="541" spans="1:21" x14ac:dyDescent="0.35">
      <c r="A541" t="s">
        <v>1388</v>
      </c>
      <c r="B541" t="s">
        <v>635</v>
      </c>
      <c r="C541" t="s">
        <v>22</v>
      </c>
      <c r="D541" t="s">
        <v>1389</v>
      </c>
      <c r="E541" t="s">
        <v>24</v>
      </c>
      <c r="F541" t="s">
        <v>59</v>
      </c>
      <c r="G541" t="s">
        <v>47</v>
      </c>
      <c r="H541" t="s">
        <v>39</v>
      </c>
      <c r="I541" t="s">
        <v>40</v>
      </c>
      <c r="J541">
        <v>41678.449999999997</v>
      </c>
      <c r="K541">
        <v>558.99</v>
      </c>
      <c r="L541">
        <v>100.62</v>
      </c>
      <c r="M541">
        <v>226.84</v>
      </c>
      <c r="N541">
        <v>42111.22</v>
      </c>
      <c r="O541">
        <v>1153814.43</v>
      </c>
      <c r="P541">
        <v>694</v>
      </c>
      <c r="Q541" t="s">
        <v>53</v>
      </c>
      <c r="R541" t="s">
        <v>54</v>
      </c>
      <c r="S541" t="s">
        <v>62</v>
      </c>
      <c r="T541" t="s">
        <v>55</v>
      </c>
      <c r="U541" s="3">
        <f t="shared" si="8"/>
        <v>45748</v>
      </c>
    </row>
    <row r="542" spans="1:21" x14ac:dyDescent="0.35">
      <c r="A542" t="s">
        <v>1390</v>
      </c>
      <c r="B542" t="s">
        <v>267</v>
      </c>
      <c r="C542" t="s">
        <v>95</v>
      </c>
      <c r="D542" t="s">
        <v>1391</v>
      </c>
      <c r="E542" t="s">
        <v>70</v>
      </c>
      <c r="F542" t="s">
        <v>25</v>
      </c>
      <c r="G542" t="s">
        <v>60</v>
      </c>
      <c r="H542" t="s">
        <v>52</v>
      </c>
      <c r="I542" t="s">
        <v>40</v>
      </c>
      <c r="J542">
        <v>129663.53</v>
      </c>
      <c r="K542">
        <v>505.81</v>
      </c>
      <c r="L542">
        <v>91.05</v>
      </c>
      <c r="M542">
        <v>306.54000000000002</v>
      </c>
      <c r="N542">
        <v>129953.85</v>
      </c>
      <c r="O542">
        <v>1161964.8400000001</v>
      </c>
      <c r="P542">
        <v>812</v>
      </c>
      <c r="Q542" t="s">
        <v>74</v>
      </c>
      <c r="R542" t="s">
        <v>75</v>
      </c>
      <c r="S542" t="s">
        <v>79</v>
      </c>
      <c r="T542" t="s">
        <v>32</v>
      </c>
      <c r="U542" s="3">
        <f t="shared" si="8"/>
        <v>45931</v>
      </c>
    </row>
    <row r="543" spans="1:21" x14ac:dyDescent="0.35">
      <c r="A543" t="s">
        <v>1392</v>
      </c>
      <c r="B543" t="s">
        <v>1341</v>
      </c>
      <c r="C543" t="s">
        <v>95</v>
      </c>
      <c r="D543" t="s">
        <v>1393</v>
      </c>
      <c r="E543" t="s">
        <v>70</v>
      </c>
      <c r="F543" t="s">
        <v>46</v>
      </c>
      <c r="G543" t="s">
        <v>103</v>
      </c>
      <c r="H543" t="s">
        <v>66</v>
      </c>
      <c r="I543" t="s">
        <v>28</v>
      </c>
      <c r="J543">
        <v>11005.64</v>
      </c>
      <c r="K543">
        <v>210.26</v>
      </c>
      <c r="L543">
        <v>37.85</v>
      </c>
      <c r="M543">
        <v>287.98</v>
      </c>
      <c r="N543">
        <v>10965.77</v>
      </c>
      <c r="O543">
        <v>1157566.32</v>
      </c>
      <c r="P543">
        <v>814</v>
      </c>
      <c r="Q543" t="s">
        <v>74</v>
      </c>
      <c r="R543" t="s">
        <v>30</v>
      </c>
      <c r="S543" t="s">
        <v>31</v>
      </c>
      <c r="T543" t="s">
        <v>55</v>
      </c>
      <c r="U543" s="3">
        <f t="shared" si="8"/>
        <v>45870</v>
      </c>
    </row>
    <row r="544" spans="1:21" x14ac:dyDescent="0.35">
      <c r="A544" t="s">
        <v>1394</v>
      </c>
      <c r="B544" t="s">
        <v>276</v>
      </c>
      <c r="C544" t="s">
        <v>35</v>
      </c>
      <c r="D544" t="s">
        <v>1395</v>
      </c>
      <c r="E544" t="s">
        <v>70</v>
      </c>
      <c r="F544" t="s">
        <v>38</v>
      </c>
      <c r="G544" t="s">
        <v>103</v>
      </c>
      <c r="H544" t="s">
        <v>27</v>
      </c>
      <c r="I544" t="s">
        <v>40</v>
      </c>
      <c r="J544">
        <v>38656.76</v>
      </c>
      <c r="K544">
        <v>411.86</v>
      </c>
      <c r="L544">
        <v>74.13</v>
      </c>
      <c r="M544">
        <v>441.13</v>
      </c>
      <c r="N544">
        <v>38701.620000000003</v>
      </c>
      <c r="O544">
        <v>1158760.01</v>
      </c>
      <c r="P544">
        <v>889</v>
      </c>
      <c r="Q544" t="s">
        <v>29</v>
      </c>
      <c r="R544" t="s">
        <v>30</v>
      </c>
      <c r="S544" t="s">
        <v>62</v>
      </c>
      <c r="T544" t="s">
        <v>55</v>
      </c>
      <c r="U544" s="3">
        <f t="shared" si="8"/>
        <v>45870</v>
      </c>
    </row>
    <row r="545" spans="1:21" x14ac:dyDescent="0.35">
      <c r="A545" t="s">
        <v>1396</v>
      </c>
      <c r="B545" t="s">
        <v>650</v>
      </c>
      <c r="C545" t="s">
        <v>22</v>
      </c>
      <c r="D545" t="s">
        <v>1397</v>
      </c>
      <c r="E545" t="s">
        <v>45</v>
      </c>
      <c r="F545" t="s">
        <v>59</v>
      </c>
      <c r="G545" t="s">
        <v>60</v>
      </c>
      <c r="H545" t="s">
        <v>27</v>
      </c>
      <c r="I545" t="s">
        <v>61</v>
      </c>
      <c r="J545">
        <v>128308.37</v>
      </c>
      <c r="K545">
        <v>794.43</v>
      </c>
      <c r="L545">
        <v>143</v>
      </c>
      <c r="M545">
        <v>412.68</v>
      </c>
      <c r="N545">
        <v>128833.12</v>
      </c>
      <c r="O545">
        <v>1159959.97</v>
      </c>
      <c r="P545">
        <v>601</v>
      </c>
      <c r="Q545" t="s">
        <v>74</v>
      </c>
      <c r="R545" t="s">
        <v>54</v>
      </c>
      <c r="S545" t="s">
        <v>86</v>
      </c>
      <c r="T545" t="s">
        <v>32</v>
      </c>
      <c r="U545" s="3">
        <f t="shared" si="8"/>
        <v>45809</v>
      </c>
    </row>
    <row r="546" spans="1:21" x14ac:dyDescent="0.35">
      <c r="A546" t="s">
        <v>1398</v>
      </c>
      <c r="B546" t="s">
        <v>1399</v>
      </c>
      <c r="C546" t="s">
        <v>95</v>
      </c>
      <c r="D546" t="s">
        <v>1400</v>
      </c>
      <c r="E546" t="s">
        <v>24</v>
      </c>
      <c r="F546" t="s">
        <v>25</v>
      </c>
      <c r="G546" t="s">
        <v>47</v>
      </c>
      <c r="H546" t="s">
        <v>27</v>
      </c>
      <c r="I546" t="s">
        <v>61</v>
      </c>
      <c r="J546">
        <v>108350.27</v>
      </c>
      <c r="K546">
        <v>884.85</v>
      </c>
      <c r="L546">
        <v>159.27000000000001</v>
      </c>
      <c r="M546">
        <v>402.9</v>
      </c>
      <c r="N546">
        <v>108991.49</v>
      </c>
      <c r="O546">
        <v>1155785.8500000001</v>
      </c>
      <c r="P546">
        <v>656</v>
      </c>
      <c r="Q546" t="s">
        <v>74</v>
      </c>
      <c r="R546" t="s">
        <v>75</v>
      </c>
      <c r="S546" t="s">
        <v>62</v>
      </c>
      <c r="T546" t="s">
        <v>41</v>
      </c>
      <c r="U546" s="3">
        <f t="shared" si="8"/>
        <v>45839</v>
      </c>
    </row>
    <row r="547" spans="1:21" x14ac:dyDescent="0.35">
      <c r="A547" t="s">
        <v>1401</v>
      </c>
      <c r="B547" t="s">
        <v>1148</v>
      </c>
      <c r="C547" t="s">
        <v>35</v>
      </c>
      <c r="D547" t="s">
        <v>1402</v>
      </c>
      <c r="E547" t="s">
        <v>37</v>
      </c>
      <c r="F547" t="s">
        <v>46</v>
      </c>
      <c r="G547" t="s">
        <v>47</v>
      </c>
      <c r="H547" t="s">
        <v>27</v>
      </c>
      <c r="I547" t="s">
        <v>61</v>
      </c>
      <c r="J547">
        <v>104958.51</v>
      </c>
      <c r="K547">
        <v>640.32000000000005</v>
      </c>
      <c r="L547">
        <v>115.26</v>
      </c>
      <c r="M547">
        <v>3.47</v>
      </c>
      <c r="N547">
        <v>105710.62</v>
      </c>
      <c r="O547">
        <v>1162152.73</v>
      </c>
      <c r="P547">
        <v>490</v>
      </c>
      <c r="Q547" t="s">
        <v>74</v>
      </c>
      <c r="R547" t="s">
        <v>54</v>
      </c>
      <c r="S547" t="s">
        <v>86</v>
      </c>
      <c r="T547" t="s">
        <v>55</v>
      </c>
      <c r="U547" s="3">
        <f t="shared" si="8"/>
        <v>45931</v>
      </c>
    </row>
    <row r="548" spans="1:21" x14ac:dyDescent="0.35">
      <c r="A548" t="s">
        <v>1403</v>
      </c>
      <c r="B548" t="s">
        <v>1384</v>
      </c>
      <c r="C548" t="s">
        <v>22</v>
      </c>
      <c r="D548" t="s">
        <v>1404</v>
      </c>
      <c r="E548" t="s">
        <v>24</v>
      </c>
      <c r="F548" t="s">
        <v>59</v>
      </c>
      <c r="G548" t="s">
        <v>26</v>
      </c>
      <c r="H548" t="s">
        <v>27</v>
      </c>
      <c r="I548" t="s">
        <v>61</v>
      </c>
      <c r="J548">
        <v>100990.95</v>
      </c>
      <c r="K548">
        <v>1722.63</v>
      </c>
      <c r="L548">
        <v>310.07</v>
      </c>
      <c r="M548">
        <v>149.62</v>
      </c>
      <c r="N548">
        <v>102874.03</v>
      </c>
      <c r="O548">
        <v>1170715.21</v>
      </c>
      <c r="P548">
        <v>407</v>
      </c>
      <c r="Q548" t="s">
        <v>74</v>
      </c>
      <c r="R548" t="s">
        <v>30</v>
      </c>
      <c r="S548" t="s">
        <v>86</v>
      </c>
      <c r="T548" t="s">
        <v>32</v>
      </c>
      <c r="U548" s="3">
        <f t="shared" si="8"/>
        <v>45689</v>
      </c>
    </row>
    <row r="549" spans="1:21" x14ac:dyDescent="0.35">
      <c r="A549" t="s">
        <v>1405</v>
      </c>
      <c r="B549" t="s">
        <v>1406</v>
      </c>
      <c r="C549" t="s">
        <v>22</v>
      </c>
      <c r="D549" t="s">
        <v>1407</v>
      </c>
      <c r="E549" t="s">
        <v>24</v>
      </c>
      <c r="F549" t="s">
        <v>46</v>
      </c>
      <c r="G549" t="s">
        <v>47</v>
      </c>
      <c r="H549" t="s">
        <v>39</v>
      </c>
      <c r="I549" t="s">
        <v>40</v>
      </c>
      <c r="J549">
        <v>130502.86</v>
      </c>
      <c r="K549">
        <v>2499.63</v>
      </c>
      <c r="L549">
        <v>449.93</v>
      </c>
      <c r="M549">
        <v>330.25</v>
      </c>
      <c r="N549">
        <v>133122.17000000001</v>
      </c>
      <c r="O549">
        <v>1166466.1399999999</v>
      </c>
      <c r="P549">
        <v>889</v>
      </c>
      <c r="Q549" t="s">
        <v>53</v>
      </c>
      <c r="R549" t="s">
        <v>75</v>
      </c>
      <c r="S549" t="s">
        <v>79</v>
      </c>
      <c r="T549" t="s">
        <v>55</v>
      </c>
      <c r="U549" s="3">
        <f t="shared" si="8"/>
        <v>45717</v>
      </c>
    </row>
    <row r="550" spans="1:21" x14ac:dyDescent="0.35">
      <c r="A550" t="s">
        <v>1408</v>
      </c>
      <c r="B550" t="s">
        <v>1409</v>
      </c>
      <c r="C550" t="s">
        <v>95</v>
      </c>
      <c r="D550" t="s">
        <v>1410</v>
      </c>
      <c r="E550" t="s">
        <v>45</v>
      </c>
      <c r="F550" t="s">
        <v>46</v>
      </c>
      <c r="G550" t="s">
        <v>26</v>
      </c>
      <c r="H550" t="s">
        <v>27</v>
      </c>
      <c r="I550" t="s">
        <v>40</v>
      </c>
      <c r="J550">
        <v>178428.11</v>
      </c>
      <c r="K550">
        <v>2409.5300000000002</v>
      </c>
      <c r="L550">
        <v>433.72</v>
      </c>
      <c r="M550">
        <v>12.28</v>
      </c>
      <c r="N550">
        <v>181259.08</v>
      </c>
      <c r="O550">
        <v>1172533.67</v>
      </c>
      <c r="P550">
        <v>571</v>
      </c>
      <c r="Q550" t="s">
        <v>29</v>
      </c>
      <c r="R550" t="s">
        <v>30</v>
      </c>
      <c r="S550" t="s">
        <v>86</v>
      </c>
      <c r="T550" t="s">
        <v>55</v>
      </c>
      <c r="U550" s="3">
        <f t="shared" si="8"/>
        <v>45748</v>
      </c>
    </row>
    <row r="551" spans="1:21" x14ac:dyDescent="0.35">
      <c r="A551" t="s">
        <v>1411</v>
      </c>
      <c r="B551" t="s">
        <v>417</v>
      </c>
      <c r="C551" t="s">
        <v>95</v>
      </c>
      <c r="D551" t="s">
        <v>1412</v>
      </c>
      <c r="E551" t="s">
        <v>37</v>
      </c>
      <c r="F551" t="s">
        <v>38</v>
      </c>
      <c r="G551" t="s">
        <v>103</v>
      </c>
      <c r="H551" t="s">
        <v>66</v>
      </c>
      <c r="I551" t="s">
        <v>61</v>
      </c>
      <c r="J551">
        <v>158119.35999999999</v>
      </c>
      <c r="K551">
        <v>1969.59</v>
      </c>
      <c r="L551">
        <v>354.53</v>
      </c>
      <c r="M551">
        <v>231.34</v>
      </c>
      <c r="N551">
        <v>160212.14000000001</v>
      </c>
      <c r="O551">
        <v>1174283.68</v>
      </c>
      <c r="P551">
        <v>642</v>
      </c>
      <c r="Q551" t="s">
        <v>53</v>
      </c>
      <c r="R551" t="s">
        <v>54</v>
      </c>
      <c r="S551" t="s">
        <v>79</v>
      </c>
      <c r="T551" t="s">
        <v>32</v>
      </c>
      <c r="U551" s="3">
        <f t="shared" si="8"/>
        <v>45748</v>
      </c>
    </row>
    <row r="552" spans="1:21" x14ac:dyDescent="0.35">
      <c r="A552" t="s">
        <v>1413</v>
      </c>
      <c r="B552" t="s">
        <v>143</v>
      </c>
      <c r="C552" t="s">
        <v>95</v>
      </c>
      <c r="D552" t="s">
        <v>1103</v>
      </c>
      <c r="E552" t="s">
        <v>24</v>
      </c>
      <c r="F552" t="s">
        <v>38</v>
      </c>
      <c r="G552" t="s">
        <v>47</v>
      </c>
      <c r="H552" t="s">
        <v>27</v>
      </c>
      <c r="I552" t="s">
        <v>40</v>
      </c>
      <c r="J552">
        <v>16010.58</v>
      </c>
      <c r="K552">
        <v>240.41</v>
      </c>
      <c r="L552">
        <v>43.27</v>
      </c>
      <c r="M552">
        <v>31.73</v>
      </c>
      <c r="N552">
        <v>16262.53</v>
      </c>
      <c r="O552">
        <v>1182687.3600000001</v>
      </c>
      <c r="P552">
        <v>835</v>
      </c>
      <c r="Q552" t="s">
        <v>53</v>
      </c>
      <c r="R552" t="s">
        <v>30</v>
      </c>
      <c r="S552" t="s">
        <v>31</v>
      </c>
      <c r="T552" t="s">
        <v>55</v>
      </c>
      <c r="U552" s="3">
        <f t="shared" si="8"/>
        <v>45809</v>
      </c>
    </row>
    <row r="553" spans="1:21" x14ac:dyDescent="0.35">
      <c r="A553" t="s">
        <v>1414</v>
      </c>
      <c r="B553" t="s">
        <v>134</v>
      </c>
      <c r="C553" t="s">
        <v>22</v>
      </c>
      <c r="D553" t="s">
        <v>1415</v>
      </c>
      <c r="E553" t="s">
        <v>37</v>
      </c>
      <c r="F553" t="s">
        <v>46</v>
      </c>
      <c r="G553" t="s">
        <v>103</v>
      </c>
      <c r="H553" t="s">
        <v>52</v>
      </c>
      <c r="I553" t="s">
        <v>40</v>
      </c>
      <c r="J553">
        <v>64568.26</v>
      </c>
      <c r="K553">
        <v>1098.04</v>
      </c>
      <c r="L553">
        <v>197.65</v>
      </c>
      <c r="M553">
        <v>334.63</v>
      </c>
      <c r="N553">
        <v>65529.32</v>
      </c>
      <c r="O553">
        <v>1180816.03</v>
      </c>
      <c r="P553">
        <v>317</v>
      </c>
      <c r="Q553" t="s">
        <v>74</v>
      </c>
      <c r="R553" t="s">
        <v>75</v>
      </c>
      <c r="S553" t="s">
        <v>86</v>
      </c>
      <c r="T553" t="s">
        <v>32</v>
      </c>
      <c r="U553" s="3">
        <f t="shared" si="8"/>
        <v>45717</v>
      </c>
    </row>
    <row r="554" spans="1:21" x14ac:dyDescent="0.35">
      <c r="A554" t="s">
        <v>1416</v>
      </c>
      <c r="B554" t="s">
        <v>101</v>
      </c>
      <c r="C554" t="s">
        <v>95</v>
      </c>
      <c r="D554" t="s">
        <v>1417</v>
      </c>
      <c r="E554" t="s">
        <v>70</v>
      </c>
      <c r="F554" t="s">
        <v>25</v>
      </c>
      <c r="G554" t="s">
        <v>47</v>
      </c>
      <c r="H554" t="s">
        <v>52</v>
      </c>
      <c r="I554" t="s">
        <v>61</v>
      </c>
      <c r="J554">
        <v>16485.02</v>
      </c>
      <c r="K554">
        <v>27.08</v>
      </c>
      <c r="L554">
        <v>4.87</v>
      </c>
      <c r="M554">
        <v>67.52</v>
      </c>
      <c r="N554">
        <v>16449.45</v>
      </c>
      <c r="O554">
        <v>1185823.08</v>
      </c>
      <c r="P554">
        <v>703</v>
      </c>
      <c r="Q554" t="s">
        <v>29</v>
      </c>
      <c r="R554" t="s">
        <v>54</v>
      </c>
      <c r="S554" t="s">
        <v>79</v>
      </c>
      <c r="T554" t="s">
        <v>41</v>
      </c>
      <c r="U554" s="3">
        <f t="shared" si="8"/>
        <v>45870</v>
      </c>
    </row>
    <row r="555" spans="1:21" x14ac:dyDescent="0.35">
      <c r="A555" t="s">
        <v>1418</v>
      </c>
      <c r="B555" t="s">
        <v>1419</v>
      </c>
      <c r="C555" t="s">
        <v>22</v>
      </c>
      <c r="D555" t="s">
        <v>1420</v>
      </c>
      <c r="E555" t="s">
        <v>70</v>
      </c>
      <c r="F555" t="s">
        <v>38</v>
      </c>
      <c r="G555" t="s">
        <v>47</v>
      </c>
      <c r="H555" t="s">
        <v>52</v>
      </c>
      <c r="I555" t="s">
        <v>28</v>
      </c>
      <c r="J555">
        <v>99407.25</v>
      </c>
      <c r="K555">
        <v>1890.38</v>
      </c>
      <c r="L555">
        <v>340.27</v>
      </c>
      <c r="M555">
        <v>141.78</v>
      </c>
      <c r="N555">
        <v>101496.12</v>
      </c>
      <c r="O555">
        <v>1188324.74</v>
      </c>
      <c r="P555">
        <v>482</v>
      </c>
      <c r="Q555" t="s">
        <v>29</v>
      </c>
      <c r="R555" t="s">
        <v>54</v>
      </c>
      <c r="S555" t="s">
        <v>79</v>
      </c>
      <c r="T555" t="s">
        <v>32</v>
      </c>
      <c r="U555" s="3">
        <f t="shared" si="8"/>
        <v>45839</v>
      </c>
    </row>
    <row r="556" spans="1:21" x14ac:dyDescent="0.35">
      <c r="A556" t="s">
        <v>1421</v>
      </c>
      <c r="B556" t="s">
        <v>175</v>
      </c>
      <c r="C556" t="s">
        <v>22</v>
      </c>
      <c r="D556" t="s">
        <v>1422</v>
      </c>
      <c r="E556" t="s">
        <v>24</v>
      </c>
      <c r="F556" t="s">
        <v>46</v>
      </c>
      <c r="G556" t="s">
        <v>60</v>
      </c>
      <c r="H556" t="s">
        <v>66</v>
      </c>
      <c r="I556" t="s">
        <v>61</v>
      </c>
      <c r="J556">
        <v>162359.96</v>
      </c>
      <c r="K556">
        <v>1798.45</v>
      </c>
      <c r="L556">
        <v>323.72000000000003</v>
      </c>
      <c r="M556">
        <v>484.03</v>
      </c>
      <c r="N556">
        <v>163998.1</v>
      </c>
      <c r="O556">
        <v>1189469.1000000001</v>
      </c>
      <c r="P556">
        <v>411</v>
      </c>
      <c r="Q556" t="s">
        <v>29</v>
      </c>
      <c r="R556" t="s">
        <v>75</v>
      </c>
      <c r="S556" t="s">
        <v>86</v>
      </c>
      <c r="T556" t="s">
        <v>32</v>
      </c>
      <c r="U556" s="3">
        <f t="shared" si="8"/>
        <v>45717</v>
      </c>
    </row>
    <row r="557" spans="1:21" x14ac:dyDescent="0.35">
      <c r="A557" t="s">
        <v>1423</v>
      </c>
      <c r="B557" t="s">
        <v>1115</v>
      </c>
      <c r="C557" t="s">
        <v>35</v>
      </c>
      <c r="D557" t="s">
        <v>1424</v>
      </c>
      <c r="E557" t="s">
        <v>37</v>
      </c>
      <c r="F557" t="s">
        <v>38</v>
      </c>
      <c r="G557" t="s">
        <v>103</v>
      </c>
      <c r="H557" t="s">
        <v>39</v>
      </c>
      <c r="I557" t="s">
        <v>40</v>
      </c>
      <c r="J557">
        <v>88110.83</v>
      </c>
      <c r="K557">
        <v>738.84</v>
      </c>
      <c r="L557">
        <v>132.99</v>
      </c>
      <c r="M557">
        <v>376.2</v>
      </c>
      <c r="N557">
        <v>88606.46</v>
      </c>
      <c r="O557">
        <v>1193369.72</v>
      </c>
      <c r="P557">
        <v>346</v>
      </c>
      <c r="Q557" t="s">
        <v>29</v>
      </c>
      <c r="R557" t="s">
        <v>54</v>
      </c>
      <c r="S557" t="s">
        <v>79</v>
      </c>
      <c r="T557" t="s">
        <v>41</v>
      </c>
      <c r="U557" s="3">
        <f t="shared" si="8"/>
        <v>45839</v>
      </c>
    </row>
    <row r="558" spans="1:21" x14ac:dyDescent="0.35">
      <c r="A558" t="s">
        <v>1425</v>
      </c>
      <c r="B558" t="s">
        <v>1426</v>
      </c>
      <c r="C558" t="s">
        <v>35</v>
      </c>
      <c r="D558" t="s">
        <v>1427</v>
      </c>
      <c r="E558" t="s">
        <v>37</v>
      </c>
      <c r="F558" t="s">
        <v>25</v>
      </c>
      <c r="G558" t="s">
        <v>47</v>
      </c>
      <c r="H558" t="s">
        <v>39</v>
      </c>
      <c r="I558" t="s">
        <v>28</v>
      </c>
      <c r="J558">
        <v>160713.04999999999</v>
      </c>
      <c r="K558">
        <v>330.67</v>
      </c>
      <c r="L558">
        <v>59.52</v>
      </c>
      <c r="M558">
        <v>96.46</v>
      </c>
      <c r="N558">
        <v>161006.78</v>
      </c>
      <c r="O558">
        <v>1192396.3700000001</v>
      </c>
      <c r="P558">
        <v>607</v>
      </c>
      <c r="Q558" t="s">
        <v>29</v>
      </c>
      <c r="R558" t="s">
        <v>54</v>
      </c>
      <c r="S558" t="s">
        <v>86</v>
      </c>
      <c r="T558" t="s">
        <v>41</v>
      </c>
      <c r="U558" s="3">
        <f t="shared" si="8"/>
        <v>45658</v>
      </c>
    </row>
    <row r="559" spans="1:21" x14ac:dyDescent="0.35">
      <c r="A559" t="s">
        <v>1428</v>
      </c>
      <c r="B559" t="s">
        <v>1429</v>
      </c>
      <c r="C559" t="s">
        <v>22</v>
      </c>
      <c r="D559" t="s">
        <v>1430</v>
      </c>
      <c r="E559" t="s">
        <v>37</v>
      </c>
      <c r="F559" t="s">
        <v>25</v>
      </c>
      <c r="G559" t="s">
        <v>103</v>
      </c>
      <c r="H559" t="s">
        <v>48</v>
      </c>
      <c r="I559" t="s">
        <v>28</v>
      </c>
      <c r="J559">
        <v>104986.28</v>
      </c>
      <c r="K559">
        <v>782.02</v>
      </c>
      <c r="L559">
        <v>140.76</v>
      </c>
      <c r="M559">
        <v>183.07</v>
      </c>
      <c r="N559">
        <v>105725.99</v>
      </c>
      <c r="O559">
        <v>1196768.99</v>
      </c>
      <c r="P559">
        <v>711</v>
      </c>
      <c r="Q559" t="s">
        <v>29</v>
      </c>
      <c r="R559" t="s">
        <v>30</v>
      </c>
      <c r="S559" t="s">
        <v>79</v>
      </c>
      <c r="T559" t="s">
        <v>41</v>
      </c>
      <c r="U559" s="3">
        <f t="shared" si="8"/>
        <v>45901</v>
      </c>
    </row>
    <row r="560" spans="1:21" x14ac:dyDescent="0.35">
      <c r="A560" t="s">
        <v>1431</v>
      </c>
      <c r="B560" t="s">
        <v>801</v>
      </c>
      <c r="C560" t="s">
        <v>95</v>
      </c>
      <c r="D560" t="s">
        <v>1432</v>
      </c>
      <c r="E560" t="s">
        <v>24</v>
      </c>
      <c r="F560" t="s">
        <v>25</v>
      </c>
      <c r="G560" t="s">
        <v>103</v>
      </c>
      <c r="H560" t="s">
        <v>27</v>
      </c>
      <c r="I560" t="s">
        <v>28</v>
      </c>
      <c r="J560">
        <v>154903.32</v>
      </c>
      <c r="K560">
        <v>1613.22</v>
      </c>
      <c r="L560">
        <v>290.38</v>
      </c>
      <c r="M560">
        <v>78.430000000000007</v>
      </c>
      <c r="N560">
        <v>156728.49</v>
      </c>
      <c r="O560">
        <v>1203412.95</v>
      </c>
      <c r="P560">
        <v>562</v>
      </c>
      <c r="Q560" t="s">
        <v>53</v>
      </c>
      <c r="R560" t="s">
        <v>54</v>
      </c>
      <c r="S560" t="s">
        <v>86</v>
      </c>
      <c r="T560" t="s">
        <v>55</v>
      </c>
      <c r="U560" s="3">
        <f t="shared" si="8"/>
        <v>45778</v>
      </c>
    </row>
    <row r="561" spans="1:21" x14ac:dyDescent="0.35">
      <c r="A561" t="s">
        <v>1433</v>
      </c>
      <c r="B561" t="s">
        <v>1434</v>
      </c>
      <c r="C561" t="s">
        <v>95</v>
      </c>
      <c r="D561" t="s">
        <v>1435</v>
      </c>
      <c r="E561" t="s">
        <v>24</v>
      </c>
      <c r="F561" t="s">
        <v>38</v>
      </c>
      <c r="G561" t="s">
        <v>103</v>
      </c>
      <c r="H561" t="s">
        <v>39</v>
      </c>
      <c r="I561" t="s">
        <v>40</v>
      </c>
      <c r="J561">
        <v>147644.16</v>
      </c>
      <c r="K561">
        <v>898.2</v>
      </c>
      <c r="L561">
        <v>161.68</v>
      </c>
      <c r="M561">
        <v>207.66</v>
      </c>
      <c r="N561">
        <v>148496.38</v>
      </c>
      <c r="O561">
        <v>1206665.1100000001</v>
      </c>
      <c r="P561">
        <v>646</v>
      </c>
      <c r="Q561" t="s">
        <v>29</v>
      </c>
      <c r="R561" t="s">
        <v>54</v>
      </c>
      <c r="S561" t="s">
        <v>79</v>
      </c>
      <c r="T561" t="s">
        <v>32</v>
      </c>
      <c r="U561" s="3">
        <f t="shared" si="8"/>
        <v>45901</v>
      </c>
    </row>
    <row r="562" spans="1:21" x14ac:dyDescent="0.35">
      <c r="A562" t="s">
        <v>1436</v>
      </c>
      <c r="B562" t="s">
        <v>1092</v>
      </c>
      <c r="C562" t="s">
        <v>35</v>
      </c>
      <c r="D562" t="s">
        <v>1437</v>
      </c>
      <c r="E562" t="s">
        <v>45</v>
      </c>
      <c r="F562" t="s">
        <v>25</v>
      </c>
      <c r="G562" t="s">
        <v>47</v>
      </c>
      <c r="H562" t="s">
        <v>39</v>
      </c>
      <c r="I562" t="s">
        <v>61</v>
      </c>
      <c r="J562">
        <v>107659.39</v>
      </c>
      <c r="K562">
        <v>1274.58</v>
      </c>
      <c r="L562">
        <v>229.42</v>
      </c>
      <c r="M562">
        <v>376.24</v>
      </c>
      <c r="N562">
        <v>108787.15</v>
      </c>
      <c r="O562">
        <v>1212545.31</v>
      </c>
      <c r="P562">
        <v>515</v>
      </c>
      <c r="Q562" t="s">
        <v>74</v>
      </c>
      <c r="R562" t="s">
        <v>75</v>
      </c>
      <c r="S562" t="s">
        <v>79</v>
      </c>
      <c r="T562" t="s">
        <v>41</v>
      </c>
      <c r="U562" s="3">
        <f t="shared" si="8"/>
        <v>45748</v>
      </c>
    </row>
    <row r="563" spans="1:21" x14ac:dyDescent="0.35">
      <c r="A563" t="s">
        <v>1438</v>
      </c>
      <c r="B563" t="s">
        <v>738</v>
      </c>
      <c r="C563" t="s">
        <v>35</v>
      </c>
      <c r="D563" t="s">
        <v>1439</v>
      </c>
      <c r="E563" t="s">
        <v>24</v>
      </c>
      <c r="F563" t="s">
        <v>38</v>
      </c>
      <c r="G563" t="s">
        <v>26</v>
      </c>
      <c r="H563" t="s">
        <v>39</v>
      </c>
      <c r="I563" t="s">
        <v>61</v>
      </c>
      <c r="J563">
        <v>101365.59</v>
      </c>
      <c r="K563">
        <v>143.80000000000001</v>
      </c>
      <c r="L563">
        <v>25.88</v>
      </c>
      <c r="M563">
        <v>78.459999999999994</v>
      </c>
      <c r="N563">
        <v>101456.81</v>
      </c>
      <c r="O563">
        <v>1221402.95</v>
      </c>
      <c r="P563">
        <v>429</v>
      </c>
      <c r="Q563" t="s">
        <v>29</v>
      </c>
      <c r="R563" t="s">
        <v>54</v>
      </c>
      <c r="S563" t="s">
        <v>79</v>
      </c>
      <c r="T563" t="s">
        <v>41</v>
      </c>
      <c r="U563" s="3">
        <f t="shared" si="8"/>
        <v>45748</v>
      </c>
    </row>
    <row r="564" spans="1:21" x14ac:dyDescent="0.35">
      <c r="A564" t="s">
        <v>1440</v>
      </c>
      <c r="B564" t="s">
        <v>1300</v>
      </c>
      <c r="C564" t="s">
        <v>35</v>
      </c>
      <c r="D564" t="s">
        <v>1441</v>
      </c>
      <c r="E564" t="s">
        <v>45</v>
      </c>
      <c r="F564" t="s">
        <v>38</v>
      </c>
      <c r="G564" t="s">
        <v>60</v>
      </c>
      <c r="H564" t="s">
        <v>66</v>
      </c>
      <c r="I564" t="s">
        <v>28</v>
      </c>
      <c r="J564">
        <v>90452.79</v>
      </c>
      <c r="K564">
        <v>273.47000000000003</v>
      </c>
      <c r="L564">
        <v>49.22</v>
      </c>
      <c r="M564">
        <v>280.64999999999998</v>
      </c>
      <c r="N564">
        <v>90494.83</v>
      </c>
      <c r="O564">
        <v>1220815.6200000001</v>
      </c>
      <c r="P564">
        <v>845</v>
      </c>
      <c r="Q564" t="s">
        <v>74</v>
      </c>
      <c r="R564" t="s">
        <v>54</v>
      </c>
      <c r="S564" t="s">
        <v>86</v>
      </c>
      <c r="T564" t="s">
        <v>41</v>
      </c>
      <c r="U564" s="3">
        <f t="shared" si="8"/>
        <v>45901</v>
      </c>
    </row>
    <row r="565" spans="1:21" x14ac:dyDescent="0.35">
      <c r="A565" t="s">
        <v>1442</v>
      </c>
      <c r="B565" t="s">
        <v>1153</v>
      </c>
      <c r="C565" t="s">
        <v>35</v>
      </c>
      <c r="D565" t="s">
        <v>1443</v>
      </c>
      <c r="E565" t="s">
        <v>37</v>
      </c>
      <c r="F565" t="s">
        <v>25</v>
      </c>
      <c r="G565" t="s">
        <v>47</v>
      </c>
      <c r="H565" t="s">
        <v>39</v>
      </c>
      <c r="I565" t="s">
        <v>28</v>
      </c>
      <c r="J565">
        <v>6537.76</v>
      </c>
      <c r="K565">
        <v>79.78</v>
      </c>
      <c r="L565">
        <v>14.36</v>
      </c>
      <c r="M565">
        <v>213.36</v>
      </c>
      <c r="N565">
        <v>6418.54</v>
      </c>
      <c r="O565">
        <v>1225959.17</v>
      </c>
      <c r="P565">
        <v>611</v>
      </c>
      <c r="Q565" t="s">
        <v>29</v>
      </c>
      <c r="R565" t="s">
        <v>30</v>
      </c>
      <c r="S565" t="s">
        <v>86</v>
      </c>
      <c r="T565" t="s">
        <v>55</v>
      </c>
      <c r="U565" s="3">
        <f t="shared" si="8"/>
        <v>45901</v>
      </c>
    </row>
    <row r="566" spans="1:21" x14ac:dyDescent="0.35">
      <c r="A566" t="s">
        <v>1444</v>
      </c>
      <c r="B566" t="s">
        <v>1445</v>
      </c>
      <c r="C566" t="s">
        <v>22</v>
      </c>
      <c r="D566" t="s">
        <v>1446</v>
      </c>
      <c r="E566" t="s">
        <v>70</v>
      </c>
      <c r="F566" t="s">
        <v>25</v>
      </c>
      <c r="G566" t="s">
        <v>103</v>
      </c>
      <c r="H566" t="s">
        <v>66</v>
      </c>
      <c r="I566" t="s">
        <v>61</v>
      </c>
      <c r="J566">
        <v>159611.12</v>
      </c>
      <c r="K566">
        <v>2404.65</v>
      </c>
      <c r="L566">
        <v>432.84</v>
      </c>
      <c r="M566">
        <v>95.45</v>
      </c>
      <c r="N566">
        <v>162353.16</v>
      </c>
      <c r="O566">
        <v>1234713.26</v>
      </c>
      <c r="P566">
        <v>711</v>
      </c>
      <c r="Q566" t="s">
        <v>53</v>
      </c>
      <c r="R566" t="s">
        <v>30</v>
      </c>
      <c r="S566" t="s">
        <v>79</v>
      </c>
      <c r="T566" t="s">
        <v>55</v>
      </c>
      <c r="U566" s="3">
        <f t="shared" si="8"/>
        <v>45870</v>
      </c>
    </row>
    <row r="567" spans="1:21" x14ac:dyDescent="0.35">
      <c r="A567" t="s">
        <v>1447</v>
      </c>
      <c r="B567" t="s">
        <v>650</v>
      </c>
      <c r="C567" t="s">
        <v>95</v>
      </c>
      <c r="D567" t="s">
        <v>1448</v>
      </c>
      <c r="E567" t="s">
        <v>45</v>
      </c>
      <c r="F567" t="s">
        <v>59</v>
      </c>
      <c r="G567" t="s">
        <v>47</v>
      </c>
      <c r="H567" t="s">
        <v>48</v>
      </c>
      <c r="I567" t="s">
        <v>28</v>
      </c>
      <c r="J567">
        <v>1239.6400000000001</v>
      </c>
      <c r="K567">
        <v>8.58</v>
      </c>
      <c r="L567">
        <v>1.54</v>
      </c>
      <c r="M567">
        <v>83.08</v>
      </c>
      <c r="N567">
        <v>1166.68</v>
      </c>
      <c r="O567">
        <v>1242825.1399999999</v>
      </c>
      <c r="P567">
        <v>333</v>
      </c>
      <c r="Q567" t="s">
        <v>29</v>
      </c>
      <c r="R567" t="s">
        <v>54</v>
      </c>
      <c r="S567" t="s">
        <v>86</v>
      </c>
      <c r="T567" t="s">
        <v>55</v>
      </c>
      <c r="U567" s="3">
        <f t="shared" si="8"/>
        <v>45809</v>
      </c>
    </row>
    <row r="568" spans="1:21" x14ac:dyDescent="0.35">
      <c r="A568" t="s">
        <v>1449</v>
      </c>
      <c r="B568" t="s">
        <v>837</v>
      </c>
      <c r="C568" t="s">
        <v>95</v>
      </c>
      <c r="D568" t="s">
        <v>1450</v>
      </c>
      <c r="E568" t="s">
        <v>37</v>
      </c>
      <c r="F568" t="s">
        <v>46</v>
      </c>
      <c r="G568" t="s">
        <v>60</v>
      </c>
      <c r="H568" t="s">
        <v>52</v>
      </c>
      <c r="I568" t="s">
        <v>40</v>
      </c>
      <c r="J568">
        <v>131862.85999999999</v>
      </c>
      <c r="K568">
        <v>1155.67</v>
      </c>
      <c r="L568">
        <v>208.02</v>
      </c>
      <c r="M568">
        <v>442.18</v>
      </c>
      <c r="N568">
        <v>132784.37</v>
      </c>
      <c r="O568">
        <v>1238197.52</v>
      </c>
      <c r="P568">
        <v>593</v>
      </c>
      <c r="Q568" t="s">
        <v>29</v>
      </c>
      <c r="R568" t="s">
        <v>30</v>
      </c>
      <c r="S568" t="s">
        <v>86</v>
      </c>
      <c r="T568" t="s">
        <v>41</v>
      </c>
      <c r="U568" s="3">
        <f t="shared" si="8"/>
        <v>45992</v>
      </c>
    </row>
    <row r="569" spans="1:21" x14ac:dyDescent="0.35">
      <c r="A569" t="s">
        <v>1451</v>
      </c>
      <c r="B569" t="s">
        <v>394</v>
      </c>
      <c r="C569" t="s">
        <v>22</v>
      </c>
      <c r="D569" t="s">
        <v>1452</v>
      </c>
      <c r="E569" t="s">
        <v>45</v>
      </c>
      <c r="F569" t="s">
        <v>59</v>
      </c>
      <c r="G569" t="s">
        <v>26</v>
      </c>
      <c r="H569" t="s">
        <v>39</v>
      </c>
      <c r="I569" t="s">
        <v>61</v>
      </c>
      <c r="J569">
        <v>183412.64</v>
      </c>
      <c r="K569">
        <v>2416.83</v>
      </c>
      <c r="L569">
        <v>435.03</v>
      </c>
      <c r="M569">
        <v>440.09</v>
      </c>
      <c r="N569">
        <v>185824.41</v>
      </c>
      <c r="O569">
        <v>1243245.76</v>
      </c>
      <c r="P569">
        <v>333</v>
      </c>
      <c r="Q569" t="s">
        <v>29</v>
      </c>
      <c r="R569" t="s">
        <v>54</v>
      </c>
      <c r="S569" t="s">
        <v>62</v>
      </c>
      <c r="T569" t="s">
        <v>55</v>
      </c>
      <c r="U569" s="3">
        <f t="shared" si="8"/>
        <v>45901</v>
      </c>
    </row>
    <row r="570" spans="1:21" x14ac:dyDescent="0.35">
      <c r="A570" t="s">
        <v>1453</v>
      </c>
      <c r="B570" t="s">
        <v>50</v>
      </c>
      <c r="C570" t="s">
        <v>95</v>
      </c>
      <c r="D570" t="s">
        <v>1454</v>
      </c>
      <c r="E570" t="s">
        <v>37</v>
      </c>
      <c r="F570" t="s">
        <v>25</v>
      </c>
      <c r="G570" t="s">
        <v>47</v>
      </c>
      <c r="H570" t="s">
        <v>66</v>
      </c>
      <c r="I570" t="s">
        <v>61</v>
      </c>
      <c r="J570">
        <v>135272.66</v>
      </c>
      <c r="K570">
        <v>2673.6</v>
      </c>
      <c r="L570">
        <v>481.25</v>
      </c>
      <c r="M570">
        <v>178.96</v>
      </c>
      <c r="N570">
        <v>138248.54999999999</v>
      </c>
      <c r="O570">
        <v>1251811.8</v>
      </c>
      <c r="P570">
        <v>850</v>
      </c>
      <c r="Q570" t="s">
        <v>29</v>
      </c>
      <c r="R570" t="s">
        <v>30</v>
      </c>
      <c r="S570" t="s">
        <v>31</v>
      </c>
      <c r="T570" t="s">
        <v>41</v>
      </c>
      <c r="U570" s="3">
        <f t="shared" si="8"/>
        <v>45962</v>
      </c>
    </row>
    <row r="571" spans="1:21" x14ac:dyDescent="0.35">
      <c r="A571" t="s">
        <v>1455</v>
      </c>
      <c r="B571" t="s">
        <v>1297</v>
      </c>
      <c r="C571" t="s">
        <v>22</v>
      </c>
      <c r="D571" t="s">
        <v>1456</v>
      </c>
      <c r="E571" t="s">
        <v>37</v>
      </c>
      <c r="F571" t="s">
        <v>46</v>
      </c>
      <c r="G571" t="s">
        <v>60</v>
      </c>
      <c r="H571" t="s">
        <v>27</v>
      </c>
      <c r="I571" t="s">
        <v>28</v>
      </c>
      <c r="J571">
        <v>33381.46</v>
      </c>
      <c r="K571">
        <v>576.21</v>
      </c>
      <c r="L571">
        <v>103.72</v>
      </c>
      <c r="M571">
        <v>292.83</v>
      </c>
      <c r="N571">
        <v>33768.559999999998</v>
      </c>
      <c r="O571">
        <v>1252015.17</v>
      </c>
      <c r="P571">
        <v>725</v>
      </c>
      <c r="Q571" t="s">
        <v>53</v>
      </c>
      <c r="R571" t="s">
        <v>54</v>
      </c>
      <c r="S571" t="s">
        <v>79</v>
      </c>
      <c r="T571" t="s">
        <v>55</v>
      </c>
      <c r="U571" s="3">
        <f t="shared" si="8"/>
        <v>45778</v>
      </c>
    </row>
    <row r="572" spans="1:21" x14ac:dyDescent="0.35">
      <c r="A572" t="s">
        <v>1457</v>
      </c>
      <c r="B572" t="s">
        <v>1458</v>
      </c>
      <c r="C572" t="s">
        <v>95</v>
      </c>
      <c r="D572" t="s">
        <v>1459</v>
      </c>
      <c r="E572" t="s">
        <v>45</v>
      </c>
      <c r="F572" t="s">
        <v>59</v>
      </c>
      <c r="G572" t="s">
        <v>47</v>
      </c>
      <c r="H572" t="s">
        <v>66</v>
      </c>
      <c r="I572" t="s">
        <v>61</v>
      </c>
      <c r="J572">
        <v>134710.65</v>
      </c>
      <c r="K572">
        <v>874.45</v>
      </c>
      <c r="L572">
        <v>157.4</v>
      </c>
      <c r="M572">
        <v>329.79</v>
      </c>
      <c r="N572">
        <v>135412.71</v>
      </c>
      <c r="O572">
        <v>1256236.6399999999</v>
      </c>
      <c r="P572">
        <v>612</v>
      </c>
      <c r="Q572" t="s">
        <v>29</v>
      </c>
      <c r="R572" t="s">
        <v>30</v>
      </c>
      <c r="S572" t="s">
        <v>62</v>
      </c>
      <c r="T572" t="s">
        <v>32</v>
      </c>
      <c r="U572" s="3">
        <f t="shared" si="8"/>
        <v>45901</v>
      </c>
    </row>
    <row r="573" spans="1:21" x14ac:dyDescent="0.35">
      <c r="A573" t="s">
        <v>1460</v>
      </c>
      <c r="B573" t="s">
        <v>1461</v>
      </c>
      <c r="C573" t="s">
        <v>35</v>
      </c>
      <c r="D573" t="s">
        <v>1462</v>
      </c>
      <c r="E573" t="s">
        <v>45</v>
      </c>
      <c r="F573" t="s">
        <v>38</v>
      </c>
      <c r="G573" t="s">
        <v>47</v>
      </c>
      <c r="H573" t="s">
        <v>52</v>
      </c>
      <c r="I573" t="s">
        <v>40</v>
      </c>
      <c r="J573">
        <v>77348.69</v>
      </c>
      <c r="K573">
        <v>1146.3699999999999</v>
      </c>
      <c r="L573">
        <v>206.35</v>
      </c>
      <c r="M573">
        <v>259.99</v>
      </c>
      <c r="N573">
        <v>78441.42</v>
      </c>
      <c r="O573">
        <v>1262900.6599999999</v>
      </c>
      <c r="P573">
        <v>761</v>
      </c>
      <c r="Q573" t="s">
        <v>29</v>
      </c>
      <c r="R573" t="s">
        <v>54</v>
      </c>
      <c r="S573" t="s">
        <v>86</v>
      </c>
      <c r="T573" t="s">
        <v>55</v>
      </c>
      <c r="U573" s="3">
        <f t="shared" si="8"/>
        <v>45901</v>
      </c>
    </row>
    <row r="574" spans="1:21" x14ac:dyDescent="0.35">
      <c r="A574" t="s">
        <v>1463</v>
      </c>
      <c r="B574" t="s">
        <v>823</v>
      </c>
      <c r="C574" t="s">
        <v>95</v>
      </c>
      <c r="D574" t="s">
        <v>1464</v>
      </c>
      <c r="E574" t="s">
        <v>70</v>
      </c>
      <c r="F574" t="s">
        <v>46</v>
      </c>
      <c r="G574" t="s">
        <v>103</v>
      </c>
      <c r="H574" t="s">
        <v>48</v>
      </c>
      <c r="I574" t="s">
        <v>61</v>
      </c>
      <c r="J574">
        <v>116363.67</v>
      </c>
      <c r="K574">
        <v>2258.5700000000002</v>
      </c>
      <c r="L574">
        <v>406.54</v>
      </c>
      <c r="M574">
        <v>311.43</v>
      </c>
      <c r="N574">
        <v>118717.35</v>
      </c>
      <c r="O574">
        <v>1260536.01</v>
      </c>
      <c r="P574">
        <v>819</v>
      </c>
      <c r="Q574" t="s">
        <v>29</v>
      </c>
      <c r="R574" t="s">
        <v>30</v>
      </c>
      <c r="S574" t="s">
        <v>31</v>
      </c>
      <c r="T574" t="s">
        <v>41</v>
      </c>
      <c r="U574" s="3">
        <f t="shared" si="8"/>
        <v>45748</v>
      </c>
    </row>
    <row r="575" spans="1:21" x14ac:dyDescent="0.35">
      <c r="A575" t="s">
        <v>1465</v>
      </c>
      <c r="B575" t="s">
        <v>779</v>
      </c>
      <c r="C575" t="s">
        <v>22</v>
      </c>
      <c r="D575" t="s">
        <v>1466</v>
      </c>
      <c r="E575" t="s">
        <v>37</v>
      </c>
      <c r="F575" t="s">
        <v>46</v>
      </c>
      <c r="G575" t="s">
        <v>103</v>
      </c>
      <c r="H575" t="s">
        <v>52</v>
      </c>
      <c r="I575" t="s">
        <v>40</v>
      </c>
      <c r="J575">
        <v>186295.4</v>
      </c>
      <c r="K575">
        <v>1691.16</v>
      </c>
      <c r="L575">
        <v>304.41000000000003</v>
      </c>
      <c r="M575">
        <v>474.47</v>
      </c>
      <c r="N575">
        <v>187816.5</v>
      </c>
      <c r="O575">
        <v>1259318.17</v>
      </c>
      <c r="P575">
        <v>860</v>
      </c>
      <c r="Q575" t="s">
        <v>74</v>
      </c>
      <c r="R575" t="s">
        <v>54</v>
      </c>
      <c r="S575" t="s">
        <v>79</v>
      </c>
      <c r="T575" t="s">
        <v>41</v>
      </c>
      <c r="U575" s="3">
        <f t="shared" si="8"/>
        <v>45658</v>
      </c>
    </row>
    <row r="576" spans="1:21" x14ac:dyDescent="0.35">
      <c r="A576" t="s">
        <v>1467</v>
      </c>
      <c r="B576" t="s">
        <v>1468</v>
      </c>
      <c r="C576" t="s">
        <v>22</v>
      </c>
      <c r="D576" t="s">
        <v>1469</v>
      </c>
      <c r="E576" t="s">
        <v>37</v>
      </c>
      <c r="F576" t="s">
        <v>59</v>
      </c>
      <c r="G576" t="s">
        <v>103</v>
      </c>
      <c r="H576" t="s">
        <v>48</v>
      </c>
      <c r="I576" t="s">
        <v>61</v>
      </c>
      <c r="J576">
        <v>15580.48</v>
      </c>
      <c r="K576">
        <v>158.94</v>
      </c>
      <c r="L576">
        <v>28.61</v>
      </c>
      <c r="M576">
        <v>240.25</v>
      </c>
      <c r="N576">
        <v>15527.78</v>
      </c>
      <c r="O576">
        <v>1257058.5</v>
      </c>
      <c r="P576">
        <v>821</v>
      </c>
      <c r="Q576" t="s">
        <v>53</v>
      </c>
      <c r="R576" t="s">
        <v>30</v>
      </c>
      <c r="S576" t="s">
        <v>86</v>
      </c>
      <c r="T576" t="s">
        <v>41</v>
      </c>
      <c r="U576" s="3">
        <f t="shared" si="8"/>
        <v>45689</v>
      </c>
    </row>
    <row r="577" spans="1:21" x14ac:dyDescent="0.35">
      <c r="A577" t="s">
        <v>1470</v>
      </c>
      <c r="B577" t="s">
        <v>703</v>
      </c>
      <c r="C577" t="s">
        <v>95</v>
      </c>
      <c r="D577" t="s">
        <v>1471</v>
      </c>
      <c r="E577" t="s">
        <v>37</v>
      </c>
      <c r="F577" t="s">
        <v>25</v>
      </c>
      <c r="G577" t="s">
        <v>103</v>
      </c>
      <c r="H577" t="s">
        <v>27</v>
      </c>
      <c r="I577" t="s">
        <v>28</v>
      </c>
      <c r="J577">
        <v>108917.06</v>
      </c>
      <c r="K577">
        <v>361.28</v>
      </c>
      <c r="L577">
        <v>65.03</v>
      </c>
      <c r="M577">
        <v>215.49</v>
      </c>
      <c r="N577">
        <v>109127.88</v>
      </c>
      <c r="O577">
        <v>1253036.68</v>
      </c>
      <c r="P577">
        <v>846</v>
      </c>
      <c r="Q577" t="s">
        <v>53</v>
      </c>
      <c r="R577" t="s">
        <v>30</v>
      </c>
      <c r="S577" t="s">
        <v>79</v>
      </c>
      <c r="T577" t="s">
        <v>55</v>
      </c>
      <c r="U577" s="3">
        <f t="shared" si="8"/>
        <v>45870</v>
      </c>
    </row>
    <row r="578" spans="1:21" x14ac:dyDescent="0.35">
      <c r="A578" t="s">
        <v>1472</v>
      </c>
      <c r="B578" t="s">
        <v>1473</v>
      </c>
      <c r="C578" t="s">
        <v>35</v>
      </c>
      <c r="D578" t="s">
        <v>1474</v>
      </c>
      <c r="E578" t="s">
        <v>45</v>
      </c>
      <c r="F578" t="s">
        <v>38</v>
      </c>
      <c r="G578" t="s">
        <v>60</v>
      </c>
      <c r="H578" t="s">
        <v>27</v>
      </c>
      <c r="I578" t="s">
        <v>28</v>
      </c>
      <c r="J578">
        <v>4130.01</v>
      </c>
      <c r="K578">
        <v>31.12</v>
      </c>
      <c r="L578">
        <v>5.6</v>
      </c>
      <c r="M578">
        <v>474.99</v>
      </c>
      <c r="N578">
        <v>3691.74</v>
      </c>
      <c r="O578">
        <v>1257282.51</v>
      </c>
      <c r="P578">
        <v>815</v>
      </c>
      <c r="Q578" t="s">
        <v>74</v>
      </c>
      <c r="R578" t="s">
        <v>75</v>
      </c>
      <c r="S578" t="s">
        <v>79</v>
      </c>
      <c r="T578" t="s">
        <v>55</v>
      </c>
      <c r="U578" s="3">
        <f t="shared" si="8"/>
        <v>45870</v>
      </c>
    </row>
    <row r="579" spans="1:21" x14ac:dyDescent="0.35">
      <c r="A579" t="s">
        <v>1475</v>
      </c>
      <c r="B579" t="s">
        <v>521</v>
      </c>
      <c r="C579" t="s">
        <v>95</v>
      </c>
      <c r="D579" t="s">
        <v>1476</v>
      </c>
      <c r="E579" t="s">
        <v>45</v>
      </c>
      <c r="F579" t="s">
        <v>46</v>
      </c>
      <c r="G579" t="s">
        <v>60</v>
      </c>
      <c r="H579" t="s">
        <v>27</v>
      </c>
      <c r="I579" t="s">
        <v>40</v>
      </c>
      <c r="J579">
        <v>29329.38</v>
      </c>
      <c r="K579">
        <v>388.98</v>
      </c>
      <c r="L579">
        <v>70.02</v>
      </c>
      <c r="M579">
        <v>103.89</v>
      </c>
      <c r="N579">
        <v>29684.49</v>
      </c>
      <c r="O579">
        <v>1259828.04</v>
      </c>
      <c r="P579">
        <v>514</v>
      </c>
      <c r="Q579" t="s">
        <v>74</v>
      </c>
      <c r="R579" t="s">
        <v>30</v>
      </c>
      <c r="S579" t="s">
        <v>86</v>
      </c>
      <c r="T579" t="s">
        <v>41</v>
      </c>
      <c r="U579" s="3">
        <f t="shared" ref="U579:U642" si="9">DATE(YEAR(B579),MONTH(B579),1)</f>
        <v>45778</v>
      </c>
    </row>
    <row r="580" spans="1:21" x14ac:dyDescent="0.35">
      <c r="A580" t="s">
        <v>1477</v>
      </c>
      <c r="B580" t="s">
        <v>850</v>
      </c>
      <c r="C580" t="s">
        <v>95</v>
      </c>
      <c r="D580" t="s">
        <v>1478</v>
      </c>
      <c r="E580" t="s">
        <v>24</v>
      </c>
      <c r="F580" t="s">
        <v>38</v>
      </c>
      <c r="G580" t="s">
        <v>47</v>
      </c>
      <c r="H580" t="s">
        <v>66</v>
      </c>
      <c r="I580" t="s">
        <v>61</v>
      </c>
      <c r="J580">
        <v>126960.89</v>
      </c>
      <c r="K580">
        <v>480.46</v>
      </c>
      <c r="L580">
        <v>86.48</v>
      </c>
      <c r="M580">
        <v>468.07</v>
      </c>
      <c r="N580">
        <v>127059.76</v>
      </c>
      <c r="O580">
        <v>1268945.6200000001</v>
      </c>
      <c r="P580">
        <v>879</v>
      </c>
      <c r="Q580" t="s">
        <v>74</v>
      </c>
      <c r="R580" t="s">
        <v>75</v>
      </c>
      <c r="S580" t="s">
        <v>31</v>
      </c>
      <c r="T580" t="s">
        <v>41</v>
      </c>
      <c r="U580" s="3">
        <f t="shared" si="9"/>
        <v>45809</v>
      </c>
    </row>
    <row r="581" spans="1:21" x14ac:dyDescent="0.35">
      <c r="A581" t="s">
        <v>1479</v>
      </c>
      <c r="B581" t="s">
        <v>728</v>
      </c>
      <c r="C581" t="s">
        <v>95</v>
      </c>
      <c r="D581" t="s">
        <v>1480</v>
      </c>
      <c r="E581" t="s">
        <v>70</v>
      </c>
      <c r="F581" t="s">
        <v>59</v>
      </c>
      <c r="G581" t="s">
        <v>26</v>
      </c>
      <c r="H581" t="s">
        <v>39</v>
      </c>
      <c r="I581" t="s">
        <v>28</v>
      </c>
      <c r="J581">
        <v>198680.83</v>
      </c>
      <c r="K581">
        <v>1248.1300000000001</v>
      </c>
      <c r="L581">
        <v>224.66</v>
      </c>
      <c r="M581">
        <v>492.44</v>
      </c>
      <c r="N581">
        <v>199661.18</v>
      </c>
      <c r="O581">
        <v>1274157.31</v>
      </c>
      <c r="P581">
        <v>456</v>
      </c>
      <c r="Q581" t="s">
        <v>29</v>
      </c>
      <c r="R581" t="s">
        <v>54</v>
      </c>
      <c r="S581" t="s">
        <v>31</v>
      </c>
      <c r="T581" t="s">
        <v>41</v>
      </c>
      <c r="U581" s="3">
        <f t="shared" si="9"/>
        <v>45658</v>
      </c>
    </row>
    <row r="582" spans="1:21" x14ac:dyDescent="0.35">
      <c r="A582" t="s">
        <v>1481</v>
      </c>
      <c r="B582" t="s">
        <v>1482</v>
      </c>
      <c r="C582" t="s">
        <v>95</v>
      </c>
      <c r="D582" t="s">
        <v>1483</v>
      </c>
      <c r="E582" t="s">
        <v>70</v>
      </c>
      <c r="F582" t="s">
        <v>38</v>
      </c>
      <c r="G582" t="s">
        <v>26</v>
      </c>
      <c r="H582" t="s">
        <v>27</v>
      </c>
      <c r="I582" t="s">
        <v>28</v>
      </c>
      <c r="J582">
        <v>15428.35</v>
      </c>
      <c r="K582">
        <v>121.42</v>
      </c>
      <c r="L582">
        <v>21.86</v>
      </c>
      <c r="M582">
        <v>414.27</v>
      </c>
      <c r="N582">
        <v>15157.36</v>
      </c>
      <c r="O582">
        <v>1277010.46</v>
      </c>
      <c r="P582">
        <v>425</v>
      </c>
      <c r="Q582" t="s">
        <v>53</v>
      </c>
      <c r="R582" t="s">
        <v>54</v>
      </c>
      <c r="S582" t="s">
        <v>79</v>
      </c>
      <c r="T582" t="s">
        <v>32</v>
      </c>
      <c r="U582" s="3">
        <f t="shared" si="9"/>
        <v>45931</v>
      </c>
    </row>
    <row r="583" spans="1:21" x14ac:dyDescent="0.35">
      <c r="A583" t="s">
        <v>1484</v>
      </c>
      <c r="B583" t="s">
        <v>1283</v>
      </c>
      <c r="C583" t="s">
        <v>35</v>
      </c>
      <c r="D583" t="s">
        <v>1485</v>
      </c>
      <c r="E583" t="s">
        <v>37</v>
      </c>
      <c r="F583" t="s">
        <v>59</v>
      </c>
      <c r="G583" t="s">
        <v>103</v>
      </c>
      <c r="H583" t="s">
        <v>39</v>
      </c>
      <c r="I583" t="s">
        <v>40</v>
      </c>
      <c r="J583">
        <v>97375.39</v>
      </c>
      <c r="K583">
        <v>1739.69</v>
      </c>
      <c r="L583">
        <v>313.14</v>
      </c>
      <c r="M583">
        <v>198.84</v>
      </c>
      <c r="N583">
        <v>99229.38</v>
      </c>
      <c r="O583">
        <v>1282579.2</v>
      </c>
      <c r="P583">
        <v>710</v>
      </c>
      <c r="Q583" t="s">
        <v>29</v>
      </c>
      <c r="R583" t="s">
        <v>30</v>
      </c>
      <c r="S583" t="s">
        <v>79</v>
      </c>
      <c r="T583" t="s">
        <v>55</v>
      </c>
      <c r="U583" s="3">
        <f t="shared" si="9"/>
        <v>45809</v>
      </c>
    </row>
    <row r="584" spans="1:21" x14ac:dyDescent="0.35">
      <c r="A584" t="s">
        <v>1486</v>
      </c>
      <c r="B584" t="s">
        <v>1487</v>
      </c>
      <c r="C584" t="s">
        <v>22</v>
      </c>
      <c r="D584" t="s">
        <v>1488</v>
      </c>
      <c r="E584" t="s">
        <v>45</v>
      </c>
      <c r="F584" t="s">
        <v>38</v>
      </c>
      <c r="G584" t="s">
        <v>47</v>
      </c>
      <c r="H584" t="s">
        <v>66</v>
      </c>
      <c r="I584" t="s">
        <v>28</v>
      </c>
      <c r="J584">
        <v>122171.44</v>
      </c>
      <c r="K584">
        <v>1549.59</v>
      </c>
      <c r="L584">
        <v>278.93</v>
      </c>
      <c r="M584">
        <v>273.75</v>
      </c>
      <c r="N584">
        <v>123726.21</v>
      </c>
      <c r="O584">
        <v>1283499.76</v>
      </c>
      <c r="P584">
        <v>733</v>
      </c>
      <c r="Q584" t="s">
        <v>29</v>
      </c>
      <c r="R584" t="s">
        <v>75</v>
      </c>
      <c r="S584" t="s">
        <v>31</v>
      </c>
      <c r="T584" t="s">
        <v>55</v>
      </c>
      <c r="U584" s="3">
        <f t="shared" si="9"/>
        <v>45901</v>
      </c>
    </row>
    <row r="585" spans="1:21" x14ac:dyDescent="0.35">
      <c r="A585" t="s">
        <v>1489</v>
      </c>
      <c r="B585" t="s">
        <v>234</v>
      </c>
      <c r="C585" t="s">
        <v>95</v>
      </c>
      <c r="D585" t="s">
        <v>513</v>
      </c>
      <c r="E585" t="s">
        <v>37</v>
      </c>
      <c r="F585" t="s">
        <v>59</v>
      </c>
      <c r="G585" t="s">
        <v>103</v>
      </c>
      <c r="H585" t="s">
        <v>27</v>
      </c>
      <c r="I585" t="s">
        <v>61</v>
      </c>
      <c r="J585">
        <v>158629.62</v>
      </c>
      <c r="K585">
        <v>605.02</v>
      </c>
      <c r="L585">
        <v>108.9</v>
      </c>
      <c r="M585">
        <v>355.08</v>
      </c>
      <c r="N585">
        <v>158988.46</v>
      </c>
      <c r="O585">
        <v>1283289.92</v>
      </c>
      <c r="P585">
        <v>538</v>
      </c>
      <c r="Q585" t="s">
        <v>74</v>
      </c>
      <c r="R585" t="s">
        <v>75</v>
      </c>
      <c r="S585" t="s">
        <v>62</v>
      </c>
      <c r="T585" t="s">
        <v>55</v>
      </c>
      <c r="U585" s="3">
        <f t="shared" si="9"/>
        <v>45839</v>
      </c>
    </row>
    <row r="586" spans="1:21" x14ac:dyDescent="0.35">
      <c r="A586" t="s">
        <v>1490</v>
      </c>
      <c r="B586" t="s">
        <v>1075</v>
      </c>
      <c r="C586" t="s">
        <v>22</v>
      </c>
      <c r="D586" t="s">
        <v>1491</v>
      </c>
      <c r="E586" t="s">
        <v>37</v>
      </c>
      <c r="F586" t="s">
        <v>38</v>
      </c>
      <c r="G586" t="s">
        <v>103</v>
      </c>
      <c r="H586" t="s">
        <v>39</v>
      </c>
      <c r="I586" t="s">
        <v>61</v>
      </c>
      <c r="J586">
        <v>49186.6</v>
      </c>
      <c r="K586">
        <v>162.24</v>
      </c>
      <c r="L586">
        <v>29.2</v>
      </c>
      <c r="M586">
        <v>91.5</v>
      </c>
      <c r="N586">
        <v>49286.54</v>
      </c>
      <c r="O586">
        <v>1278691.72</v>
      </c>
      <c r="P586">
        <v>557</v>
      </c>
      <c r="Q586" t="s">
        <v>29</v>
      </c>
      <c r="R586" t="s">
        <v>54</v>
      </c>
      <c r="S586" t="s">
        <v>86</v>
      </c>
      <c r="T586" t="s">
        <v>55</v>
      </c>
      <c r="U586" s="3">
        <f t="shared" si="9"/>
        <v>45901</v>
      </c>
    </row>
    <row r="587" spans="1:21" x14ac:dyDescent="0.35">
      <c r="A587" t="s">
        <v>1492</v>
      </c>
      <c r="B587" t="s">
        <v>509</v>
      </c>
      <c r="C587" t="s">
        <v>35</v>
      </c>
      <c r="D587" t="s">
        <v>1493</v>
      </c>
      <c r="E587" t="s">
        <v>37</v>
      </c>
      <c r="F587" t="s">
        <v>59</v>
      </c>
      <c r="G587" t="s">
        <v>103</v>
      </c>
      <c r="H587" t="s">
        <v>52</v>
      </c>
      <c r="I587" t="s">
        <v>28</v>
      </c>
      <c r="J587">
        <v>145374.41</v>
      </c>
      <c r="K587">
        <v>1080.53</v>
      </c>
      <c r="L587">
        <v>194.5</v>
      </c>
      <c r="M587">
        <v>337.22</v>
      </c>
      <c r="N587">
        <v>146312.22</v>
      </c>
      <c r="O587">
        <v>1277051.05</v>
      </c>
      <c r="P587">
        <v>725</v>
      </c>
      <c r="Q587" t="s">
        <v>29</v>
      </c>
      <c r="R587" t="s">
        <v>30</v>
      </c>
      <c r="S587" t="s">
        <v>79</v>
      </c>
      <c r="T587" t="s">
        <v>32</v>
      </c>
      <c r="U587" s="3">
        <f t="shared" si="9"/>
        <v>45778</v>
      </c>
    </row>
    <row r="588" spans="1:21" x14ac:dyDescent="0.35">
      <c r="A588" t="s">
        <v>1494</v>
      </c>
      <c r="B588" t="s">
        <v>417</v>
      </c>
      <c r="C588" t="s">
        <v>35</v>
      </c>
      <c r="D588" t="s">
        <v>838</v>
      </c>
      <c r="E588" t="s">
        <v>24</v>
      </c>
      <c r="F588" t="s">
        <v>46</v>
      </c>
      <c r="G588" t="s">
        <v>26</v>
      </c>
      <c r="H588" t="s">
        <v>27</v>
      </c>
      <c r="I588" t="s">
        <v>61</v>
      </c>
      <c r="J588">
        <v>19960.150000000001</v>
      </c>
      <c r="K588">
        <v>70.39</v>
      </c>
      <c r="L588">
        <v>12.67</v>
      </c>
      <c r="M588">
        <v>121.24</v>
      </c>
      <c r="N588">
        <v>19921.97</v>
      </c>
      <c r="O588">
        <v>1273635.76</v>
      </c>
      <c r="P588">
        <v>818</v>
      </c>
      <c r="Q588" t="s">
        <v>29</v>
      </c>
      <c r="R588" t="s">
        <v>30</v>
      </c>
      <c r="S588" t="s">
        <v>31</v>
      </c>
      <c r="T588" t="s">
        <v>55</v>
      </c>
      <c r="U588" s="3">
        <f t="shared" si="9"/>
        <v>45748</v>
      </c>
    </row>
    <row r="589" spans="1:21" x14ac:dyDescent="0.35">
      <c r="A589" t="s">
        <v>1495</v>
      </c>
      <c r="B589" t="s">
        <v>870</v>
      </c>
      <c r="C589" t="s">
        <v>35</v>
      </c>
      <c r="D589" t="s">
        <v>1496</v>
      </c>
      <c r="E589" t="s">
        <v>24</v>
      </c>
      <c r="F589" t="s">
        <v>38</v>
      </c>
      <c r="G589" t="s">
        <v>26</v>
      </c>
      <c r="H589" t="s">
        <v>66</v>
      </c>
      <c r="I589" t="s">
        <v>28</v>
      </c>
      <c r="J589">
        <v>27510.62</v>
      </c>
      <c r="K589">
        <v>495.22</v>
      </c>
      <c r="L589">
        <v>89.14</v>
      </c>
      <c r="M589">
        <v>232.58</v>
      </c>
      <c r="N589">
        <v>27862.400000000001</v>
      </c>
      <c r="O589">
        <v>1268831.45</v>
      </c>
      <c r="P589">
        <v>754</v>
      </c>
      <c r="Q589" t="s">
        <v>53</v>
      </c>
      <c r="R589" t="s">
        <v>75</v>
      </c>
      <c r="S589" t="s">
        <v>79</v>
      </c>
      <c r="T589" t="s">
        <v>55</v>
      </c>
      <c r="U589" s="3">
        <f t="shared" si="9"/>
        <v>45839</v>
      </c>
    </row>
    <row r="590" spans="1:21" x14ac:dyDescent="0.35">
      <c r="A590" t="s">
        <v>1497</v>
      </c>
      <c r="B590" t="s">
        <v>837</v>
      </c>
      <c r="C590" t="s">
        <v>35</v>
      </c>
      <c r="D590" t="s">
        <v>1498</v>
      </c>
      <c r="E590" t="s">
        <v>37</v>
      </c>
      <c r="F590" t="s">
        <v>59</v>
      </c>
      <c r="G590" t="s">
        <v>60</v>
      </c>
      <c r="H590" t="s">
        <v>27</v>
      </c>
      <c r="I590" t="s">
        <v>40</v>
      </c>
      <c r="J590">
        <v>192083.86</v>
      </c>
      <c r="K590">
        <v>3024.54</v>
      </c>
      <c r="L590">
        <v>544.41999999999996</v>
      </c>
      <c r="M590">
        <v>488.32</v>
      </c>
      <c r="N590">
        <v>195164.5</v>
      </c>
      <c r="O590">
        <v>1267627.94</v>
      </c>
      <c r="P590">
        <v>552</v>
      </c>
      <c r="Q590" t="s">
        <v>53</v>
      </c>
      <c r="R590" t="s">
        <v>54</v>
      </c>
      <c r="S590" t="s">
        <v>31</v>
      </c>
      <c r="T590" t="s">
        <v>41</v>
      </c>
      <c r="U590" s="3">
        <f t="shared" si="9"/>
        <v>45992</v>
      </c>
    </row>
    <row r="591" spans="1:21" x14ac:dyDescent="0.35">
      <c r="A591" t="s">
        <v>1499</v>
      </c>
      <c r="B591" t="s">
        <v>225</v>
      </c>
      <c r="C591" t="s">
        <v>35</v>
      </c>
      <c r="D591" t="s">
        <v>1500</v>
      </c>
      <c r="E591" t="s">
        <v>37</v>
      </c>
      <c r="F591" t="s">
        <v>59</v>
      </c>
      <c r="G591" t="s">
        <v>26</v>
      </c>
      <c r="H591" t="s">
        <v>66</v>
      </c>
      <c r="I591" t="s">
        <v>40</v>
      </c>
      <c r="J591">
        <v>93854.11</v>
      </c>
      <c r="K591">
        <v>162.80000000000001</v>
      </c>
      <c r="L591">
        <v>29.3</v>
      </c>
      <c r="M591">
        <v>4.29</v>
      </c>
      <c r="N591">
        <v>94041.919999999998</v>
      </c>
      <c r="O591">
        <v>1271629.76</v>
      </c>
      <c r="P591">
        <v>591</v>
      </c>
      <c r="Q591" t="s">
        <v>53</v>
      </c>
      <c r="R591" t="s">
        <v>75</v>
      </c>
      <c r="S591" t="s">
        <v>31</v>
      </c>
      <c r="T591" t="s">
        <v>32</v>
      </c>
      <c r="U591" s="3">
        <f t="shared" si="9"/>
        <v>45689</v>
      </c>
    </row>
    <row r="592" spans="1:21" x14ac:dyDescent="0.35">
      <c r="A592" t="s">
        <v>1501</v>
      </c>
      <c r="B592" t="s">
        <v>376</v>
      </c>
      <c r="C592" t="s">
        <v>22</v>
      </c>
      <c r="D592" t="s">
        <v>1502</v>
      </c>
      <c r="E592" t="s">
        <v>45</v>
      </c>
      <c r="F592" t="s">
        <v>25</v>
      </c>
      <c r="G592" t="s">
        <v>103</v>
      </c>
      <c r="H592" t="s">
        <v>27</v>
      </c>
      <c r="I592" t="s">
        <v>61</v>
      </c>
      <c r="J592">
        <v>67465.86</v>
      </c>
      <c r="K592">
        <v>645.1</v>
      </c>
      <c r="L592">
        <v>116.12</v>
      </c>
      <c r="M592">
        <v>80.94</v>
      </c>
      <c r="N592">
        <v>68146.14</v>
      </c>
      <c r="O592">
        <v>1276170.18</v>
      </c>
      <c r="P592">
        <v>351</v>
      </c>
      <c r="Q592" t="s">
        <v>29</v>
      </c>
      <c r="R592" t="s">
        <v>75</v>
      </c>
      <c r="S592" t="s">
        <v>62</v>
      </c>
      <c r="T592" t="s">
        <v>55</v>
      </c>
      <c r="U592" s="3">
        <f t="shared" si="9"/>
        <v>45839</v>
      </c>
    </row>
    <row r="593" spans="1:21" x14ac:dyDescent="0.35">
      <c r="A593" t="s">
        <v>1503</v>
      </c>
      <c r="B593" t="s">
        <v>251</v>
      </c>
      <c r="C593" t="s">
        <v>35</v>
      </c>
      <c r="D593" t="s">
        <v>1504</v>
      </c>
      <c r="E593" t="s">
        <v>45</v>
      </c>
      <c r="F593" t="s">
        <v>38</v>
      </c>
      <c r="G593" t="s">
        <v>60</v>
      </c>
      <c r="H593" t="s">
        <v>66</v>
      </c>
      <c r="I593" t="s">
        <v>40</v>
      </c>
      <c r="J593">
        <v>16913.240000000002</v>
      </c>
      <c r="K593">
        <v>157.25</v>
      </c>
      <c r="L593">
        <v>28.3</v>
      </c>
      <c r="M593">
        <v>322.19</v>
      </c>
      <c r="N593">
        <v>16776.599999999999</v>
      </c>
      <c r="O593">
        <v>1279688.5900000001</v>
      </c>
      <c r="P593">
        <v>316</v>
      </c>
      <c r="Q593" t="s">
        <v>74</v>
      </c>
      <c r="R593" t="s">
        <v>54</v>
      </c>
      <c r="S593" t="s">
        <v>86</v>
      </c>
      <c r="T593" t="s">
        <v>32</v>
      </c>
      <c r="U593" s="3">
        <f t="shared" si="9"/>
        <v>45992</v>
      </c>
    </row>
    <row r="594" spans="1:21" x14ac:dyDescent="0.35">
      <c r="A594" t="s">
        <v>1505</v>
      </c>
      <c r="B594" t="s">
        <v>1506</v>
      </c>
      <c r="C594" t="s">
        <v>22</v>
      </c>
      <c r="D594" t="s">
        <v>283</v>
      </c>
      <c r="E594" t="s">
        <v>24</v>
      </c>
      <c r="F594" t="s">
        <v>46</v>
      </c>
      <c r="G594" t="s">
        <v>60</v>
      </c>
      <c r="H594" t="s">
        <v>66</v>
      </c>
      <c r="I594" t="s">
        <v>28</v>
      </c>
      <c r="J594">
        <v>91746.33</v>
      </c>
      <c r="K594">
        <v>808.43</v>
      </c>
      <c r="L594">
        <v>145.52000000000001</v>
      </c>
      <c r="M594">
        <v>486.37</v>
      </c>
      <c r="N594">
        <v>92213.91</v>
      </c>
      <c r="O594">
        <v>1287171.27</v>
      </c>
      <c r="P594">
        <v>496</v>
      </c>
      <c r="Q594" t="s">
        <v>29</v>
      </c>
      <c r="R594" t="s">
        <v>75</v>
      </c>
      <c r="S594" t="s">
        <v>86</v>
      </c>
      <c r="T594" t="s">
        <v>55</v>
      </c>
      <c r="U594" s="3">
        <f t="shared" si="9"/>
        <v>45658</v>
      </c>
    </row>
    <row r="595" spans="1:21" x14ac:dyDescent="0.35">
      <c r="A595" t="s">
        <v>1507</v>
      </c>
      <c r="B595" t="s">
        <v>927</v>
      </c>
      <c r="C595" t="s">
        <v>95</v>
      </c>
      <c r="D595" t="s">
        <v>1508</v>
      </c>
      <c r="E595" t="s">
        <v>24</v>
      </c>
      <c r="F595" t="s">
        <v>25</v>
      </c>
      <c r="G595" t="s">
        <v>47</v>
      </c>
      <c r="H595" t="s">
        <v>48</v>
      </c>
      <c r="I595" t="s">
        <v>40</v>
      </c>
      <c r="J595">
        <v>20209.14</v>
      </c>
      <c r="K595">
        <v>270.76</v>
      </c>
      <c r="L595">
        <v>48.74</v>
      </c>
      <c r="M595">
        <v>35.17</v>
      </c>
      <c r="N595">
        <v>20493.47</v>
      </c>
      <c r="O595">
        <v>1292106.1299999999</v>
      </c>
      <c r="P595">
        <v>783</v>
      </c>
      <c r="Q595" t="s">
        <v>53</v>
      </c>
      <c r="R595" t="s">
        <v>30</v>
      </c>
      <c r="S595" t="s">
        <v>31</v>
      </c>
      <c r="T595" t="s">
        <v>41</v>
      </c>
      <c r="U595" s="3">
        <f t="shared" si="9"/>
        <v>45748</v>
      </c>
    </row>
    <row r="596" spans="1:21" x14ac:dyDescent="0.35">
      <c r="A596" t="s">
        <v>1509</v>
      </c>
      <c r="B596" t="s">
        <v>1323</v>
      </c>
      <c r="C596" t="s">
        <v>95</v>
      </c>
      <c r="D596" t="s">
        <v>1510</v>
      </c>
      <c r="E596" t="s">
        <v>24</v>
      </c>
      <c r="F596" t="s">
        <v>25</v>
      </c>
      <c r="G596" t="s">
        <v>26</v>
      </c>
      <c r="H596" t="s">
        <v>39</v>
      </c>
      <c r="I596" t="s">
        <v>61</v>
      </c>
      <c r="J596">
        <v>100580.48</v>
      </c>
      <c r="K596">
        <v>1685.32</v>
      </c>
      <c r="L596">
        <v>303.36</v>
      </c>
      <c r="M596">
        <v>340.82</v>
      </c>
      <c r="N596">
        <v>102228.34</v>
      </c>
      <c r="O596">
        <v>1294347.7</v>
      </c>
      <c r="P596">
        <v>807</v>
      </c>
      <c r="Q596" t="s">
        <v>74</v>
      </c>
      <c r="R596" t="s">
        <v>75</v>
      </c>
      <c r="S596" t="s">
        <v>86</v>
      </c>
      <c r="T596" t="s">
        <v>41</v>
      </c>
      <c r="U596" s="3">
        <f t="shared" si="9"/>
        <v>45931</v>
      </c>
    </row>
    <row r="597" spans="1:21" x14ac:dyDescent="0.35">
      <c r="A597" t="s">
        <v>1511</v>
      </c>
      <c r="B597" t="s">
        <v>219</v>
      </c>
      <c r="C597" t="s">
        <v>95</v>
      </c>
      <c r="D597" t="s">
        <v>1512</v>
      </c>
      <c r="E597" t="s">
        <v>37</v>
      </c>
      <c r="F597" t="s">
        <v>25</v>
      </c>
      <c r="G597" t="s">
        <v>60</v>
      </c>
      <c r="H597" t="s">
        <v>27</v>
      </c>
      <c r="I597" t="s">
        <v>61</v>
      </c>
      <c r="J597">
        <v>108089.32</v>
      </c>
      <c r="K597">
        <v>682.28</v>
      </c>
      <c r="L597">
        <v>122.81</v>
      </c>
      <c r="M597">
        <v>202.77</v>
      </c>
      <c r="N597">
        <v>108691.64</v>
      </c>
      <c r="O597">
        <v>1298916.77</v>
      </c>
      <c r="P597">
        <v>738</v>
      </c>
      <c r="Q597" t="s">
        <v>74</v>
      </c>
      <c r="R597" t="s">
        <v>75</v>
      </c>
      <c r="S597" t="s">
        <v>62</v>
      </c>
      <c r="T597" t="s">
        <v>41</v>
      </c>
      <c r="U597" s="3">
        <f t="shared" si="9"/>
        <v>45992</v>
      </c>
    </row>
    <row r="598" spans="1:21" x14ac:dyDescent="0.35">
      <c r="A598" t="s">
        <v>1513</v>
      </c>
      <c r="B598" t="s">
        <v>499</v>
      </c>
      <c r="C598" t="s">
        <v>95</v>
      </c>
      <c r="D598" t="s">
        <v>1514</v>
      </c>
      <c r="E598" t="s">
        <v>45</v>
      </c>
      <c r="F598" t="s">
        <v>25</v>
      </c>
      <c r="G598" t="s">
        <v>60</v>
      </c>
      <c r="H598" t="s">
        <v>48</v>
      </c>
      <c r="I598" t="s">
        <v>40</v>
      </c>
      <c r="J598">
        <v>29709.43</v>
      </c>
      <c r="K598">
        <v>539.45000000000005</v>
      </c>
      <c r="L598">
        <v>97.1</v>
      </c>
      <c r="M598">
        <v>61.19</v>
      </c>
      <c r="N598">
        <v>30284.79</v>
      </c>
      <c r="O598">
        <v>1304267.7</v>
      </c>
      <c r="P598">
        <v>370</v>
      </c>
      <c r="Q598" t="s">
        <v>74</v>
      </c>
      <c r="R598" t="s">
        <v>75</v>
      </c>
      <c r="S598" t="s">
        <v>86</v>
      </c>
      <c r="T598" t="s">
        <v>32</v>
      </c>
      <c r="U598" s="3">
        <f t="shared" si="9"/>
        <v>45748</v>
      </c>
    </row>
    <row r="599" spans="1:21" x14ac:dyDescent="0.35">
      <c r="A599" t="s">
        <v>1515</v>
      </c>
      <c r="B599" t="s">
        <v>1516</v>
      </c>
      <c r="C599" t="s">
        <v>22</v>
      </c>
      <c r="D599" t="s">
        <v>1367</v>
      </c>
      <c r="E599" t="s">
        <v>45</v>
      </c>
      <c r="F599" t="s">
        <v>38</v>
      </c>
      <c r="G599" t="s">
        <v>47</v>
      </c>
      <c r="H599" t="s">
        <v>52</v>
      </c>
      <c r="I599" t="s">
        <v>28</v>
      </c>
      <c r="J599">
        <v>82744.95</v>
      </c>
      <c r="K599">
        <v>435.42</v>
      </c>
      <c r="L599">
        <v>78.38</v>
      </c>
      <c r="M599">
        <v>164.91</v>
      </c>
      <c r="N599">
        <v>83093.84</v>
      </c>
      <c r="O599">
        <v>1309967.78</v>
      </c>
      <c r="P599">
        <v>776</v>
      </c>
      <c r="Q599" t="s">
        <v>74</v>
      </c>
      <c r="R599" t="s">
        <v>30</v>
      </c>
      <c r="S599" t="s">
        <v>31</v>
      </c>
      <c r="T599" t="s">
        <v>55</v>
      </c>
      <c r="U599" s="3">
        <f t="shared" si="9"/>
        <v>45992</v>
      </c>
    </row>
    <row r="600" spans="1:21" x14ac:dyDescent="0.35">
      <c r="A600" t="s">
        <v>1517</v>
      </c>
      <c r="B600" t="s">
        <v>84</v>
      </c>
      <c r="C600" t="s">
        <v>22</v>
      </c>
      <c r="D600" t="s">
        <v>1518</v>
      </c>
      <c r="E600" t="s">
        <v>70</v>
      </c>
      <c r="F600" t="s">
        <v>38</v>
      </c>
      <c r="G600" t="s">
        <v>26</v>
      </c>
      <c r="H600" t="s">
        <v>52</v>
      </c>
      <c r="I600" t="s">
        <v>28</v>
      </c>
      <c r="J600">
        <v>128322.25</v>
      </c>
      <c r="K600">
        <v>1680.85</v>
      </c>
      <c r="L600">
        <v>302.55</v>
      </c>
      <c r="M600">
        <v>76.23</v>
      </c>
      <c r="N600">
        <v>130229.42</v>
      </c>
      <c r="O600">
        <v>1318915.44</v>
      </c>
      <c r="P600">
        <v>796</v>
      </c>
      <c r="Q600" t="s">
        <v>74</v>
      </c>
      <c r="R600" t="s">
        <v>30</v>
      </c>
      <c r="S600" t="s">
        <v>62</v>
      </c>
      <c r="T600" t="s">
        <v>55</v>
      </c>
      <c r="U600" s="3">
        <f t="shared" si="9"/>
        <v>45962</v>
      </c>
    </row>
    <row r="601" spans="1:21" x14ac:dyDescent="0.35">
      <c r="A601" t="s">
        <v>1519</v>
      </c>
      <c r="B601" t="s">
        <v>529</v>
      </c>
      <c r="C601" t="s">
        <v>35</v>
      </c>
      <c r="D601" t="s">
        <v>1285</v>
      </c>
      <c r="E601" t="s">
        <v>37</v>
      </c>
      <c r="F601" t="s">
        <v>38</v>
      </c>
      <c r="G601" t="s">
        <v>60</v>
      </c>
      <c r="H601" t="s">
        <v>52</v>
      </c>
      <c r="I601" t="s">
        <v>40</v>
      </c>
      <c r="J601">
        <v>152807.07</v>
      </c>
      <c r="K601">
        <v>2718.46</v>
      </c>
      <c r="L601">
        <v>489.32</v>
      </c>
      <c r="M601">
        <v>298.41000000000003</v>
      </c>
      <c r="N601">
        <v>155716.44</v>
      </c>
      <c r="O601">
        <v>1324328.33</v>
      </c>
      <c r="P601">
        <v>549</v>
      </c>
      <c r="Q601" t="s">
        <v>29</v>
      </c>
      <c r="R601" t="s">
        <v>75</v>
      </c>
      <c r="S601" t="s">
        <v>31</v>
      </c>
      <c r="T601" t="s">
        <v>41</v>
      </c>
      <c r="U601" s="3">
        <f t="shared" si="9"/>
        <v>45809</v>
      </c>
    </row>
    <row r="602" spans="1:21" x14ac:dyDescent="0.35">
      <c r="A602" t="s">
        <v>1520</v>
      </c>
      <c r="B602" t="s">
        <v>558</v>
      </c>
      <c r="C602" t="s">
        <v>22</v>
      </c>
      <c r="D602" t="s">
        <v>1521</v>
      </c>
      <c r="E602" t="s">
        <v>24</v>
      </c>
      <c r="F602" t="s">
        <v>59</v>
      </c>
      <c r="G602" t="s">
        <v>60</v>
      </c>
      <c r="H602" t="s">
        <v>66</v>
      </c>
      <c r="I602" t="s">
        <v>40</v>
      </c>
      <c r="J602">
        <v>185496.44</v>
      </c>
      <c r="K602">
        <v>3134.43</v>
      </c>
      <c r="L602">
        <v>564.20000000000005</v>
      </c>
      <c r="M602">
        <v>367.6</v>
      </c>
      <c r="N602">
        <v>188827.47</v>
      </c>
      <c r="O602">
        <v>1330088.3899999999</v>
      </c>
      <c r="P602">
        <v>818</v>
      </c>
      <c r="Q602" t="s">
        <v>74</v>
      </c>
      <c r="R602" t="s">
        <v>30</v>
      </c>
      <c r="S602" t="s">
        <v>62</v>
      </c>
      <c r="T602" t="s">
        <v>55</v>
      </c>
      <c r="U602" s="3">
        <f t="shared" si="9"/>
        <v>45748</v>
      </c>
    </row>
    <row r="603" spans="1:21" x14ac:dyDescent="0.35">
      <c r="A603" t="s">
        <v>1522</v>
      </c>
      <c r="B603" t="s">
        <v>801</v>
      </c>
      <c r="C603" t="s">
        <v>35</v>
      </c>
      <c r="D603" t="s">
        <v>1523</v>
      </c>
      <c r="E603" t="s">
        <v>37</v>
      </c>
      <c r="F603" t="s">
        <v>59</v>
      </c>
      <c r="G603" t="s">
        <v>60</v>
      </c>
      <c r="H603" t="s">
        <v>39</v>
      </c>
      <c r="I603" t="s">
        <v>28</v>
      </c>
      <c r="J603">
        <v>98549.66</v>
      </c>
      <c r="K603">
        <v>115.7</v>
      </c>
      <c r="L603">
        <v>20.83</v>
      </c>
      <c r="M603">
        <v>425.98</v>
      </c>
      <c r="N603">
        <v>98260.21</v>
      </c>
      <c r="O603">
        <v>1327333.3899999999</v>
      </c>
      <c r="P603">
        <v>630</v>
      </c>
      <c r="Q603" t="s">
        <v>74</v>
      </c>
      <c r="R603" t="s">
        <v>54</v>
      </c>
      <c r="S603" t="s">
        <v>31</v>
      </c>
      <c r="T603" t="s">
        <v>55</v>
      </c>
      <c r="U603" s="3">
        <f t="shared" si="9"/>
        <v>45778</v>
      </c>
    </row>
    <row r="604" spans="1:21" x14ac:dyDescent="0.35">
      <c r="A604" t="s">
        <v>1524</v>
      </c>
      <c r="B604" t="s">
        <v>949</v>
      </c>
      <c r="C604" t="s">
        <v>35</v>
      </c>
      <c r="D604" t="s">
        <v>1525</v>
      </c>
      <c r="E604" t="s">
        <v>24</v>
      </c>
      <c r="F604" t="s">
        <v>46</v>
      </c>
      <c r="G604" t="s">
        <v>47</v>
      </c>
      <c r="H604" t="s">
        <v>66</v>
      </c>
      <c r="I604" t="s">
        <v>28</v>
      </c>
      <c r="J604">
        <v>157797.17000000001</v>
      </c>
      <c r="K604">
        <v>173.14</v>
      </c>
      <c r="L604">
        <v>31.17</v>
      </c>
      <c r="M604">
        <v>33.840000000000003</v>
      </c>
      <c r="N604">
        <v>157967.64000000001</v>
      </c>
      <c r="O604">
        <v>1323416.0900000001</v>
      </c>
      <c r="P604">
        <v>556</v>
      </c>
      <c r="Q604" t="s">
        <v>53</v>
      </c>
      <c r="R604" t="s">
        <v>75</v>
      </c>
      <c r="S604" t="s">
        <v>62</v>
      </c>
      <c r="T604" t="s">
        <v>41</v>
      </c>
      <c r="U604" s="3">
        <f t="shared" si="9"/>
        <v>45658</v>
      </c>
    </row>
    <row r="605" spans="1:21" x14ac:dyDescent="0.35">
      <c r="A605" t="s">
        <v>1526</v>
      </c>
      <c r="B605" t="s">
        <v>50</v>
      </c>
      <c r="C605" t="s">
        <v>95</v>
      </c>
      <c r="D605" t="s">
        <v>1527</v>
      </c>
      <c r="E605" t="s">
        <v>70</v>
      </c>
      <c r="F605" t="s">
        <v>46</v>
      </c>
      <c r="G605" t="s">
        <v>60</v>
      </c>
      <c r="H605" t="s">
        <v>66</v>
      </c>
      <c r="I605" t="s">
        <v>61</v>
      </c>
      <c r="J605">
        <v>157538.82999999999</v>
      </c>
      <c r="K605">
        <v>1749.98</v>
      </c>
      <c r="L605">
        <v>315</v>
      </c>
      <c r="M605">
        <v>104.76</v>
      </c>
      <c r="N605">
        <v>159499.04999999999</v>
      </c>
      <c r="O605">
        <v>1329924.3400000001</v>
      </c>
      <c r="P605">
        <v>561</v>
      </c>
      <c r="Q605" t="s">
        <v>53</v>
      </c>
      <c r="R605" t="s">
        <v>54</v>
      </c>
      <c r="S605" t="s">
        <v>31</v>
      </c>
      <c r="T605" t="s">
        <v>55</v>
      </c>
      <c r="U605" s="3">
        <f t="shared" si="9"/>
        <v>45962</v>
      </c>
    </row>
    <row r="606" spans="1:21" x14ac:dyDescent="0.35">
      <c r="A606" t="s">
        <v>1528</v>
      </c>
      <c r="B606" t="s">
        <v>169</v>
      </c>
      <c r="C606" t="s">
        <v>95</v>
      </c>
      <c r="D606" t="s">
        <v>1529</v>
      </c>
      <c r="E606" t="s">
        <v>24</v>
      </c>
      <c r="F606" t="s">
        <v>46</v>
      </c>
      <c r="G606" t="s">
        <v>60</v>
      </c>
      <c r="H606" t="s">
        <v>48</v>
      </c>
      <c r="I606" t="s">
        <v>61</v>
      </c>
      <c r="J606">
        <v>154960.51</v>
      </c>
      <c r="K606">
        <v>1565.29</v>
      </c>
      <c r="L606">
        <v>281.75</v>
      </c>
      <c r="M606">
        <v>67.62</v>
      </c>
      <c r="N606">
        <v>156739.93</v>
      </c>
      <c r="O606">
        <v>1334049.7</v>
      </c>
      <c r="P606">
        <v>484</v>
      </c>
      <c r="Q606" t="s">
        <v>74</v>
      </c>
      <c r="R606" t="s">
        <v>30</v>
      </c>
      <c r="S606" t="s">
        <v>31</v>
      </c>
      <c r="T606" t="s">
        <v>55</v>
      </c>
      <c r="U606" s="3">
        <f t="shared" si="9"/>
        <v>45658</v>
      </c>
    </row>
    <row r="607" spans="1:21" x14ac:dyDescent="0.35">
      <c r="A607" t="s">
        <v>1530</v>
      </c>
      <c r="B607" t="s">
        <v>638</v>
      </c>
      <c r="C607" t="s">
        <v>35</v>
      </c>
      <c r="D607" t="s">
        <v>1531</v>
      </c>
      <c r="E607" t="s">
        <v>70</v>
      </c>
      <c r="F607" t="s">
        <v>25</v>
      </c>
      <c r="G607" t="s">
        <v>26</v>
      </c>
      <c r="H607" t="s">
        <v>27</v>
      </c>
      <c r="I607" t="s">
        <v>28</v>
      </c>
      <c r="J607">
        <v>59896.78</v>
      </c>
      <c r="K607">
        <v>130.41</v>
      </c>
      <c r="L607">
        <v>23.47</v>
      </c>
      <c r="M607">
        <v>411.13</v>
      </c>
      <c r="N607">
        <v>59639.53</v>
      </c>
      <c r="O607">
        <v>1343789.92</v>
      </c>
      <c r="P607">
        <v>427</v>
      </c>
      <c r="Q607" t="s">
        <v>53</v>
      </c>
      <c r="R607" t="s">
        <v>54</v>
      </c>
      <c r="S607" t="s">
        <v>86</v>
      </c>
      <c r="T607" t="s">
        <v>32</v>
      </c>
      <c r="U607" s="3">
        <f t="shared" si="9"/>
        <v>45778</v>
      </c>
    </row>
    <row r="608" spans="1:21" x14ac:dyDescent="0.35">
      <c r="A608" t="s">
        <v>1532</v>
      </c>
      <c r="B608" t="s">
        <v>844</v>
      </c>
      <c r="C608" t="s">
        <v>35</v>
      </c>
      <c r="D608" t="s">
        <v>1533</v>
      </c>
      <c r="E608" t="s">
        <v>37</v>
      </c>
      <c r="F608" t="s">
        <v>46</v>
      </c>
      <c r="G608" t="s">
        <v>26</v>
      </c>
      <c r="H608" t="s">
        <v>48</v>
      </c>
      <c r="I608" t="s">
        <v>40</v>
      </c>
      <c r="J608">
        <v>126027.98</v>
      </c>
      <c r="K608">
        <v>728.19</v>
      </c>
      <c r="L608">
        <v>131.07</v>
      </c>
      <c r="M608">
        <v>265.61</v>
      </c>
      <c r="N608">
        <v>126621.63</v>
      </c>
      <c r="O608">
        <v>1340937.48</v>
      </c>
      <c r="P608">
        <v>881</v>
      </c>
      <c r="Q608" t="s">
        <v>74</v>
      </c>
      <c r="R608" t="s">
        <v>54</v>
      </c>
      <c r="S608" t="s">
        <v>31</v>
      </c>
      <c r="T608" t="s">
        <v>32</v>
      </c>
      <c r="U608" s="3">
        <f t="shared" si="9"/>
        <v>45992</v>
      </c>
    </row>
    <row r="609" spans="1:21" x14ac:dyDescent="0.35">
      <c r="A609" t="s">
        <v>1534</v>
      </c>
      <c r="B609" t="s">
        <v>859</v>
      </c>
      <c r="C609" t="s">
        <v>35</v>
      </c>
      <c r="D609" t="s">
        <v>1535</v>
      </c>
      <c r="E609" t="s">
        <v>24</v>
      </c>
      <c r="F609" t="s">
        <v>38</v>
      </c>
      <c r="G609" t="s">
        <v>47</v>
      </c>
      <c r="H609" t="s">
        <v>52</v>
      </c>
      <c r="I609" t="s">
        <v>40</v>
      </c>
      <c r="J609">
        <v>124351.97</v>
      </c>
      <c r="K609">
        <v>2402.34</v>
      </c>
      <c r="L609">
        <v>432.42</v>
      </c>
      <c r="M609">
        <v>146.22</v>
      </c>
      <c r="N609">
        <v>127040.51</v>
      </c>
      <c r="O609">
        <v>1348559.03</v>
      </c>
      <c r="P609">
        <v>676</v>
      </c>
      <c r="Q609" t="s">
        <v>29</v>
      </c>
      <c r="R609" t="s">
        <v>54</v>
      </c>
      <c r="S609" t="s">
        <v>79</v>
      </c>
      <c r="T609" t="s">
        <v>55</v>
      </c>
      <c r="U609" s="3">
        <f t="shared" si="9"/>
        <v>45658</v>
      </c>
    </row>
    <row r="610" spans="1:21" x14ac:dyDescent="0.35">
      <c r="A610" t="s">
        <v>1536</v>
      </c>
      <c r="B610" t="s">
        <v>276</v>
      </c>
      <c r="C610" t="s">
        <v>95</v>
      </c>
      <c r="D610" t="s">
        <v>1537</v>
      </c>
      <c r="E610" t="s">
        <v>24</v>
      </c>
      <c r="F610" t="s">
        <v>59</v>
      </c>
      <c r="G610" t="s">
        <v>103</v>
      </c>
      <c r="H610" t="s">
        <v>52</v>
      </c>
      <c r="I610" t="s">
        <v>40</v>
      </c>
      <c r="J610">
        <v>29983.06</v>
      </c>
      <c r="K610">
        <v>562.19000000000005</v>
      </c>
      <c r="L610">
        <v>101.19</v>
      </c>
      <c r="M610">
        <v>225.27</v>
      </c>
      <c r="N610">
        <v>30421.17</v>
      </c>
      <c r="O610">
        <v>1344116.56</v>
      </c>
      <c r="P610">
        <v>545</v>
      </c>
      <c r="Q610" t="s">
        <v>74</v>
      </c>
      <c r="R610" t="s">
        <v>30</v>
      </c>
      <c r="S610" t="s">
        <v>86</v>
      </c>
      <c r="T610" t="s">
        <v>41</v>
      </c>
      <c r="U610" s="3">
        <f t="shared" si="9"/>
        <v>45870</v>
      </c>
    </row>
    <row r="611" spans="1:21" x14ac:dyDescent="0.35">
      <c r="A611" t="s">
        <v>1538</v>
      </c>
      <c r="B611" t="s">
        <v>1539</v>
      </c>
      <c r="C611" t="s">
        <v>22</v>
      </c>
      <c r="D611" t="s">
        <v>1540</v>
      </c>
      <c r="E611" t="s">
        <v>24</v>
      </c>
      <c r="F611" t="s">
        <v>59</v>
      </c>
      <c r="G611" t="s">
        <v>47</v>
      </c>
      <c r="H611" t="s">
        <v>39</v>
      </c>
      <c r="I611" t="s">
        <v>40</v>
      </c>
      <c r="J611">
        <v>130351.88</v>
      </c>
      <c r="K611">
        <v>1932.45</v>
      </c>
      <c r="L611">
        <v>347.84</v>
      </c>
      <c r="M611">
        <v>353.56</v>
      </c>
      <c r="N611">
        <v>132278.60999999999</v>
      </c>
      <c r="O611">
        <v>1347246.85</v>
      </c>
      <c r="P611">
        <v>603</v>
      </c>
      <c r="Q611" t="s">
        <v>53</v>
      </c>
      <c r="R611" t="s">
        <v>75</v>
      </c>
      <c r="S611" t="s">
        <v>31</v>
      </c>
      <c r="T611" t="s">
        <v>41</v>
      </c>
      <c r="U611" s="3">
        <f t="shared" si="9"/>
        <v>45778</v>
      </c>
    </row>
    <row r="612" spans="1:21" x14ac:dyDescent="0.35">
      <c r="A612" t="s">
        <v>1541</v>
      </c>
      <c r="B612" t="s">
        <v>21</v>
      </c>
      <c r="C612" t="s">
        <v>95</v>
      </c>
      <c r="D612" t="s">
        <v>1542</v>
      </c>
      <c r="E612" t="s">
        <v>37</v>
      </c>
      <c r="F612" t="s">
        <v>38</v>
      </c>
      <c r="G612" t="s">
        <v>103</v>
      </c>
      <c r="H612" t="s">
        <v>39</v>
      </c>
      <c r="I612" t="s">
        <v>28</v>
      </c>
      <c r="J612">
        <v>29501.7</v>
      </c>
      <c r="K612">
        <v>302.72000000000003</v>
      </c>
      <c r="L612">
        <v>54.49</v>
      </c>
      <c r="M612">
        <v>454.77</v>
      </c>
      <c r="N612">
        <v>29404.14</v>
      </c>
      <c r="O612">
        <v>1345121.04</v>
      </c>
      <c r="P612">
        <v>898</v>
      </c>
      <c r="Q612" t="s">
        <v>74</v>
      </c>
      <c r="R612" t="s">
        <v>54</v>
      </c>
      <c r="S612" t="s">
        <v>31</v>
      </c>
      <c r="T612" t="s">
        <v>41</v>
      </c>
      <c r="U612" s="3">
        <f t="shared" si="9"/>
        <v>45689</v>
      </c>
    </row>
    <row r="613" spans="1:21" x14ac:dyDescent="0.35">
      <c r="A613" t="s">
        <v>1543</v>
      </c>
      <c r="B613" t="s">
        <v>1544</v>
      </c>
      <c r="C613" t="s">
        <v>95</v>
      </c>
      <c r="D613" t="s">
        <v>1545</v>
      </c>
      <c r="E613" t="s">
        <v>45</v>
      </c>
      <c r="F613" t="s">
        <v>59</v>
      </c>
      <c r="G613" t="s">
        <v>47</v>
      </c>
      <c r="H613" t="s">
        <v>39</v>
      </c>
      <c r="I613" t="s">
        <v>28</v>
      </c>
      <c r="J613">
        <v>190001.52</v>
      </c>
      <c r="K613">
        <v>1960.58</v>
      </c>
      <c r="L613">
        <v>352.9</v>
      </c>
      <c r="M613">
        <v>59.63</v>
      </c>
      <c r="N613">
        <v>192255.37</v>
      </c>
      <c r="O613">
        <v>1353095.01</v>
      </c>
      <c r="P613">
        <v>483</v>
      </c>
      <c r="Q613" t="s">
        <v>74</v>
      </c>
      <c r="R613" t="s">
        <v>30</v>
      </c>
      <c r="S613" t="s">
        <v>79</v>
      </c>
      <c r="T613" t="s">
        <v>55</v>
      </c>
      <c r="U613" s="3">
        <f t="shared" si="9"/>
        <v>45962</v>
      </c>
    </row>
    <row r="614" spans="1:21" x14ac:dyDescent="0.35">
      <c r="A614" t="s">
        <v>1546</v>
      </c>
      <c r="B614" t="s">
        <v>1547</v>
      </c>
      <c r="C614" t="s">
        <v>95</v>
      </c>
      <c r="D614" t="s">
        <v>1548</v>
      </c>
      <c r="E614" t="s">
        <v>24</v>
      </c>
      <c r="F614" t="s">
        <v>38</v>
      </c>
      <c r="G614" t="s">
        <v>103</v>
      </c>
      <c r="H614" t="s">
        <v>52</v>
      </c>
      <c r="I614" t="s">
        <v>61</v>
      </c>
      <c r="J614">
        <v>53782.04</v>
      </c>
      <c r="K614">
        <v>145.38</v>
      </c>
      <c r="L614">
        <v>26.17</v>
      </c>
      <c r="M614">
        <v>250.86</v>
      </c>
      <c r="N614">
        <v>53702.73</v>
      </c>
      <c r="O614">
        <v>1354860.52</v>
      </c>
      <c r="P614">
        <v>778</v>
      </c>
      <c r="Q614" t="s">
        <v>29</v>
      </c>
      <c r="R614" t="s">
        <v>54</v>
      </c>
      <c r="S614" t="s">
        <v>79</v>
      </c>
      <c r="T614" t="s">
        <v>32</v>
      </c>
      <c r="U614" s="3">
        <f t="shared" si="9"/>
        <v>45992</v>
      </c>
    </row>
    <row r="615" spans="1:21" x14ac:dyDescent="0.35">
      <c r="A615" t="s">
        <v>1549</v>
      </c>
      <c r="B615" t="s">
        <v>1374</v>
      </c>
      <c r="C615" t="s">
        <v>35</v>
      </c>
      <c r="D615" t="s">
        <v>1550</v>
      </c>
      <c r="E615" t="s">
        <v>24</v>
      </c>
      <c r="F615" t="s">
        <v>59</v>
      </c>
      <c r="G615" t="s">
        <v>103</v>
      </c>
      <c r="H615" t="s">
        <v>66</v>
      </c>
      <c r="I615" t="s">
        <v>28</v>
      </c>
      <c r="J615">
        <v>130918.93</v>
      </c>
      <c r="K615">
        <v>2360.9299999999998</v>
      </c>
      <c r="L615">
        <v>424.97</v>
      </c>
      <c r="M615">
        <v>400.82</v>
      </c>
      <c r="N615">
        <v>133304.01</v>
      </c>
      <c r="O615">
        <v>1359835.26</v>
      </c>
      <c r="P615">
        <v>657</v>
      </c>
      <c r="Q615" t="s">
        <v>53</v>
      </c>
      <c r="R615" t="s">
        <v>54</v>
      </c>
      <c r="S615" t="s">
        <v>86</v>
      </c>
      <c r="T615" t="s">
        <v>32</v>
      </c>
      <c r="U615" s="3">
        <f t="shared" si="9"/>
        <v>45717</v>
      </c>
    </row>
    <row r="616" spans="1:21" x14ac:dyDescent="0.35">
      <c r="A616" t="s">
        <v>1551</v>
      </c>
      <c r="B616" t="s">
        <v>1552</v>
      </c>
      <c r="C616" t="s">
        <v>22</v>
      </c>
      <c r="D616" t="s">
        <v>1553</v>
      </c>
      <c r="E616" t="s">
        <v>70</v>
      </c>
      <c r="F616" t="s">
        <v>46</v>
      </c>
      <c r="G616" t="s">
        <v>47</v>
      </c>
      <c r="H616" t="s">
        <v>27</v>
      </c>
      <c r="I616" t="s">
        <v>28</v>
      </c>
      <c r="J616">
        <v>74874.850000000006</v>
      </c>
      <c r="K616">
        <v>680.41</v>
      </c>
      <c r="L616">
        <v>122.47</v>
      </c>
      <c r="M616">
        <v>396.79</v>
      </c>
      <c r="N616">
        <v>75280.94</v>
      </c>
      <c r="O616">
        <v>1362942.88</v>
      </c>
      <c r="P616">
        <v>705</v>
      </c>
      <c r="Q616" t="s">
        <v>53</v>
      </c>
      <c r="R616" t="s">
        <v>75</v>
      </c>
      <c r="S616" t="s">
        <v>62</v>
      </c>
      <c r="T616" t="s">
        <v>41</v>
      </c>
      <c r="U616" s="3">
        <f t="shared" si="9"/>
        <v>45778</v>
      </c>
    </row>
    <row r="617" spans="1:21" x14ac:dyDescent="0.35">
      <c r="A617" t="s">
        <v>1554</v>
      </c>
      <c r="B617" t="s">
        <v>1555</v>
      </c>
      <c r="C617" t="s">
        <v>35</v>
      </c>
      <c r="D617" t="s">
        <v>1556</v>
      </c>
      <c r="E617" t="s">
        <v>45</v>
      </c>
      <c r="F617" t="s">
        <v>38</v>
      </c>
      <c r="G617" t="s">
        <v>47</v>
      </c>
      <c r="H617" t="s">
        <v>48</v>
      </c>
      <c r="I617" t="s">
        <v>40</v>
      </c>
      <c r="J617">
        <v>172774.01</v>
      </c>
      <c r="K617">
        <v>434.87</v>
      </c>
      <c r="L617">
        <v>78.28</v>
      </c>
      <c r="M617">
        <v>243.7</v>
      </c>
      <c r="N617">
        <v>173043.46</v>
      </c>
      <c r="O617">
        <v>1365216.76</v>
      </c>
      <c r="P617">
        <v>778</v>
      </c>
      <c r="Q617" t="s">
        <v>53</v>
      </c>
      <c r="R617" t="s">
        <v>75</v>
      </c>
      <c r="S617" t="s">
        <v>62</v>
      </c>
      <c r="T617" t="s">
        <v>32</v>
      </c>
      <c r="U617" s="3">
        <f t="shared" si="9"/>
        <v>45931</v>
      </c>
    </row>
    <row r="618" spans="1:21" x14ac:dyDescent="0.35">
      <c r="A618" t="s">
        <v>1557</v>
      </c>
      <c r="B618" t="s">
        <v>158</v>
      </c>
      <c r="C618" t="s">
        <v>35</v>
      </c>
      <c r="D618" t="s">
        <v>1558</v>
      </c>
      <c r="E618" t="s">
        <v>45</v>
      </c>
      <c r="F618" t="s">
        <v>38</v>
      </c>
      <c r="G618" t="s">
        <v>47</v>
      </c>
      <c r="H618" t="s">
        <v>27</v>
      </c>
      <c r="I618" t="s">
        <v>40</v>
      </c>
      <c r="J618">
        <v>195083.58</v>
      </c>
      <c r="K618">
        <v>2110.2399999999998</v>
      </c>
      <c r="L618">
        <v>379.84</v>
      </c>
      <c r="M618">
        <v>376.73</v>
      </c>
      <c r="N618">
        <v>197196.93</v>
      </c>
      <c r="O618">
        <v>1374609.1</v>
      </c>
      <c r="P618">
        <v>600</v>
      </c>
      <c r="Q618" t="s">
        <v>53</v>
      </c>
      <c r="R618" t="s">
        <v>30</v>
      </c>
      <c r="S618" t="s">
        <v>79</v>
      </c>
      <c r="T618" t="s">
        <v>41</v>
      </c>
      <c r="U618" s="3">
        <f t="shared" si="9"/>
        <v>45992</v>
      </c>
    </row>
    <row r="619" spans="1:21" x14ac:dyDescent="0.35">
      <c r="A619" t="s">
        <v>1559</v>
      </c>
      <c r="B619" t="s">
        <v>1560</v>
      </c>
      <c r="C619" t="s">
        <v>35</v>
      </c>
      <c r="D619" t="s">
        <v>1561</v>
      </c>
      <c r="E619" t="s">
        <v>45</v>
      </c>
      <c r="F619" t="s">
        <v>38</v>
      </c>
      <c r="G619" t="s">
        <v>26</v>
      </c>
      <c r="H619" t="s">
        <v>52</v>
      </c>
      <c r="I619" t="s">
        <v>40</v>
      </c>
      <c r="J619">
        <v>33305.03</v>
      </c>
      <c r="K619">
        <v>390.2</v>
      </c>
      <c r="L619">
        <v>70.239999999999995</v>
      </c>
      <c r="M619">
        <v>110.4</v>
      </c>
      <c r="N619">
        <v>33655.07</v>
      </c>
      <c r="O619">
        <v>1370009.82</v>
      </c>
      <c r="P619">
        <v>617</v>
      </c>
      <c r="Q619" t="s">
        <v>29</v>
      </c>
      <c r="R619" t="s">
        <v>54</v>
      </c>
      <c r="S619" t="s">
        <v>79</v>
      </c>
      <c r="T619" t="s">
        <v>32</v>
      </c>
      <c r="U619" s="3">
        <f t="shared" si="9"/>
        <v>45962</v>
      </c>
    </row>
    <row r="620" spans="1:21" x14ac:dyDescent="0.35">
      <c r="A620" t="s">
        <v>1562</v>
      </c>
      <c r="B620" t="s">
        <v>526</v>
      </c>
      <c r="C620" t="s">
        <v>22</v>
      </c>
      <c r="D620" t="s">
        <v>1563</v>
      </c>
      <c r="E620" t="s">
        <v>37</v>
      </c>
      <c r="F620" t="s">
        <v>38</v>
      </c>
      <c r="G620" t="s">
        <v>60</v>
      </c>
      <c r="H620" t="s">
        <v>66</v>
      </c>
      <c r="I620" t="s">
        <v>61</v>
      </c>
      <c r="J620">
        <v>20231.05</v>
      </c>
      <c r="K620">
        <v>310.93</v>
      </c>
      <c r="L620">
        <v>55.97</v>
      </c>
      <c r="M620">
        <v>213.88</v>
      </c>
      <c r="N620">
        <v>20384.07</v>
      </c>
      <c r="O620">
        <v>1374746.48</v>
      </c>
      <c r="P620">
        <v>754</v>
      </c>
      <c r="Q620" t="s">
        <v>53</v>
      </c>
      <c r="R620" t="s">
        <v>75</v>
      </c>
      <c r="S620" t="s">
        <v>62</v>
      </c>
      <c r="T620" t="s">
        <v>41</v>
      </c>
      <c r="U620" s="3">
        <f t="shared" si="9"/>
        <v>45717</v>
      </c>
    </row>
    <row r="621" spans="1:21" x14ac:dyDescent="0.35">
      <c r="A621" t="s">
        <v>1564</v>
      </c>
      <c r="B621" t="s">
        <v>456</v>
      </c>
      <c r="C621" t="s">
        <v>35</v>
      </c>
      <c r="D621" t="s">
        <v>1565</v>
      </c>
      <c r="E621" t="s">
        <v>45</v>
      </c>
      <c r="F621" t="s">
        <v>59</v>
      </c>
      <c r="G621" t="s">
        <v>47</v>
      </c>
      <c r="H621" t="s">
        <v>39</v>
      </c>
      <c r="I621" t="s">
        <v>61</v>
      </c>
      <c r="J621">
        <v>19327.759999999998</v>
      </c>
      <c r="K621">
        <v>159.69</v>
      </c>
      <c r="L621">
        <v>28.74</v>
      </c>
      <c r="M621">
        <v>248.01</v>
      </c>
      <c r="N621">
        <v>19268.18</v>
      </c>
      <c r="O621">
        <v>1373222.69</v>
      </c>
      <c r="P621">
        <v>749</v>
      </c>
      <c r="Q621" t="s">
        <v>74</v>
      </c>
      <c r="R621" t="s">
        <v>54</v>
      </c>
      <c r="S621" t="s">
        <v>31</v>
      </c>
      <c r="T621" t="s">
        <v>41</v>
      </c>
      <c r="U621" s="3">
        <f t="shared" si="9"/>
        <v>45839</v>
      </c>
    </row>
    <row r="622" spans="1:21" x14ac:dyDescent="0.35">
      <c r="A622" t="s">
        <v>1566</v>
      </c>
      <c r="B622" t="s">
        <v>50</v>
      </c>
      <c r="C622" t="s">
        <v>95</v>
      </c>
      <c r="D622" t="s">
        <v>1567</v>
      </c>
      <c r="E622" t="s">
        <v>37</v>
      </c>
      <c r="F622" t="s">
        <v>38</v>
      </c>
      <c r="G622" t="s">
        <v>47</v>
      </c>
      <c r="H622" t="s">
        <v>39</v>
      </c>
      <c r="I622" t="s">
        <v>40</v>
      </c>
      <c r="J622">
        <v>156509.60999999999</v>
      </c>
      <c r="K622">
        <v>3089.14</v>
      </c>
      <c r="L622">
        <v>556.04999999999995</v>
      </c>
      <c r="M622">
        <v>207.42</v>
      </c>
      <c r="N622">
        <v>159947.38</v>
      </c>
      <c r="O622">
        <v>1375554.3</v>
      </c>
      <c r="P622">
        <v>380</v>
      </c>
      <c r="Q622" t="s">
        <v>29</v>
      </c>
      <c r="R622" t="s">
        <v>54</v>
      </c>
      <c r="S622" t="s">
        <v>31</v>
      </c>
      <c r="T622" t="s">
        <v>41</v>
      </c>
      <c r="U622" s="3">
        <f t="shared" si="9"/>
        <v>45962</v>
      </c>
    </row>
    <row r="623" spans="1:21" x14ac:dyDescent="0.35">
      <c r="A623" t="s">
        <v>1568</v>
      </c>
      <c r="B623" t="s">
        <v>1225</v>
      </c>
      <c r="C623" t="s">
        <v>95</v>
      </c>
      <c r="D623" t="s">
        <v>1569</v>
      </c>
      <c r="E623" t="s">
        <v>45</v>
      </c>
      <c r="F623" t="s">
        <v>38</v>
      </c>
      <c r="G623" t="s">
        <v>103</v>
      </c>
      <c r="H623" t="s">
        <v>27</v>
      </c>
      <c r="I623" t="s">
        <v>40</v>
      </c>
      <c r="J623">
        <v>161775.29</v>
      </c>
      <c r="K623">
        <v>529.44000000000005</v>
      </c>
      <c r="L623">
        <v>95.3</v>
      </c>
      <c r="M623">
        <v>162.55000000000001</v>
      </c>
      <c r="N623">
        <v>162237.48000000001</v>
      </c>
      <c r="O623">
        <v>1379719.29</v>
      </c>
      <c r="P623">
        <v>494</v>
      </c>
      <c r="Q623" t="s">
        <v>29</v>
      </c>
      <c r="R623" t="s">
        <v>30</v>
      </c>
      <c r="S623" t="s">
        <v>86</v>
      </c>
      <c r="T623" t="s">
        <v>32</v>
      </c>
      <c r="U623" s="3">
        <f t="shared" si="9"/>
        <v>45992</v>
      </c>
    </row>
    <row r="624" spans="1:21" x14ac:dyDescent="0.35">
      <c r="A624" t="s">
        <v>1570</v>
      </c>
      <c r="B624" t="s">
        <v>1384</v>
      </c>
      <c r="C624" t="s">
        <v>95</v>
      </c>
      <c r="D624" t="s">
        <v>1571</v>
      </c>
      <c r="E624" t="s">
        <v>70</v>
      </c>
      <c r="F624" t="s">
        <v>25</v>
      </c>
      <c r="G624" t="s">
        <v>26</v>
      </c>
      <c r="H624" t="s">
        <v>39</v>
      </c>
      <c r="I624" t="s">
        <v>40</v>
      </c>
      <c r="J624">
        <v>15208.15</v>
      </c>
      <c r="K624">
        <v>157.62</v>
      </c>
      <c r="L624">
        <v>28.37</v>
      </c>
      <c r="M624">
        <v>94.39</v>
      </c>
      <c r="N624">
        <v>15299.75</v>
      </c>
      <c r="O624">
        <v>1384224.18</v>
      </c>
      <c r="P624">
        <v>694</v>
      </c>
      <c r="Q624" t="s">
        <v>53</v>
      </c>
      <c r="R624" t="s">
        <v>30</v>
      </c>
      <c r="S624" t="s">
        <v>31</v>
      </c>
      <c r="T624" t="s">
        <v>41</v>
      </c>
      <c r="U624" s="3">
        <f t="shared" si="9"/>
        <v>45689</v>
      </c>
    </row>
    <row r="625" spans="1:21" x14ac:dyDescent="0.35">
      <c r="A625" t="s">
        <v>1572</v>
      </c>
      <c r="B625" t="s">
        <v>291</v>
      </c>
      <c r="C625" t="s">
        <v>35</v>
      </c>
      <c r="D625" t="s">
        <v>1573</v>
      </c>
      <c r="E625" t="s">
        <v>24</v>
      </c>
      <c r="F625" t="s">
        <v>25</v>
      </c>
      <c r="G625" t="s">
        <v>103</v>
      </c>
      <c r="H625" t="s">
        <v>66</v>
      </c>
      <c r="I625" t="s">
        <v>40</v>
      </c>
      <c r="J625">
        <v>68232.38</v>
      </c>
      <c r="K625">
        <v>194.23</v>
      </c>
      <c r="L625">
        <v>34.96</v>
      </c>
      <c r="M625">
        <v>404.84</v>
      </c>
      <c r="N625">
        <v>68056.73</v>
      </c>
      <c r="O625">
        <v>1388009.39</v>
      </c>
      <c r="P625">
        <v>448</v>
      </c>
      <c r="Q625" t="s">
        <v>53</v>
      </c>
      <c r="R625" t="s">
        <v>54</v>
      </c>
      <c r="S625" t="s">
        <v>79</v>
      </c>
      <c r="T625" t="s">
        <v>55</v>
      </c>
      <c r="U625" s="3">
        <f t="shared" si="9"/>
        <v>45992</v>
      </c>
    </row>
    <row r="626" spans="1:21" x14ac:dyDescent="0.35">
      <c r="A626" t="s">
        <v>1574</v>
      </c>
      <c r="B626" t="s">
        <v>1575</v>
      </c>
      <c r="C626" t="s">
        <v>22</v>
      </c>
      <c r="D626" t="s">
        <v>1576</v>
      </c>
      <c r="E626" t="s">
        <v>45</v>
      </c>
      <c r="F626" t="s">
        <v>25</v>
      </c>
      <c r="G626" t="s">
        <v>60</v>
      </c>
      <c r="H626" t="s">
        <v>27</v>
      </c>
      <c r="I626" t="s">
        <v>40</v>
      </c>
      <c r="J626">
        <v>88016.66</v>
      </c>
      <c r="K626">
        <v>271.47000000000003</v>
      </c>
      <c r="L626">
        <v>48.86</v>
      </c>
      <c r="M626">
        <v>363.17</v>
      </c>
      <c r="N626">
        <v>87973.82</v>
      </c>
      <c r="O626">
        <v>1391569.55</v>
      </c>
      <c r="P626">
        <v>502</v>
      </c>
      <c r="Q626" t="s">
        <v>74</v>
      </c>
      <c r="R626" t="s">
        <v>30</v>
      </c>
      <c r="S626" t="s">
        <v>31</v>
      </c>
      <c r="T626" t="s">
        <v>41</v>
      </c>
      <c r="U626" s="3">
        <f t="shared" si="9"/>
        <v>45839</v>
      </c>
    </row>
    <row r="627" spans="1:21" x14ac:dyDescent="0.35">
      <c r="A627" t="s">
        <v>1577</v>
      </c>
      <c r="B627" t="s">
        <v>444</v>
      </c>
      <c r="C627" t="s">
        <v>95</v>
      </c>
      <c r="D627" t="s">
        <v>1578</v>
      </c>
      <c r="E627" t="s">
        <v>70</v>
      </c>
      <c r="F627" t="s">
        <v>38</v>
      </c>
      <c r="G627" t="s">
        <v>26</v>
      </c>
      <c r="H627" t="s">
        <v>27</v>
      </c>
      <c r="I627" t="s">
        <v>40</v>
      </c>
      <c r="J627">
        <v>94100.45</v>
      </c>
      <c r="K627">
        <v>1533.52</v>
      </c>
      <c r="L627">
        <v>276.02999999999997</v>
      </c>
      <c r="M627">
        <v>77.569999999999993</v>
      </c>
      <c r="N627">
        <v>95832.43</v>
      </c>
      <c r="O627">
        <v>1390711.27</v>
      </c>
      <c r="P627">
        <v>668</v>
      </c>
      <c r="Q627" t="s">
        <v>74</v>
      </c>
      <c r="R627" t="s">
        <v>54</v>
      </c>
      <c r="S627" t="s">
        <v>31</v>
      </c>
      <c r="T627" t="s">
        <v>55</v>
      </c>
      <c r="U627" s="3">
        <f t="shared" si="9"/>
        <v>45962</v>
      </c>
    </row>
    <row r="628" spans="1:21" x14ac:dyDescent="0.35">
      <c r="A628" t="s">
        <v>1579</v>
      </c>
      <c r="B628" t="s">
        <v>1148</v>
      </c>
      <c r="C628" t="s">
        <v>22</v>
      </c>
      <c r="D628" t="s">
        <v>1580</v>
      </c>
      <c r="E628" t="s">
        <v>24</v>
      </c>
      <c r="F628" t="s">
        <v>38</v>
      </c>
      <c r="G628" t="s">
        <v>103</v>
      </c>
      <c r="H628" t="s">
        <v>66</v>
      </c>
      <c r="I628" t="s">
        <v>28</v>
      </c>
      <c r="J628">
        <v>127485.44</v>
      </c>
      <c r="K628">
        <v>1828.2</v>
      </c>
      <c r="L628">
        <v>329.08</v>
      </c>
      <c r="M628">
        <v>251.77</v>
      </c>
      <c r="N628">
        <v>129390.95</v>
      </c>
      <c r="O628">
        <v>1399121.87</v>
      </c>
      <c r="P628">
        <v>628</v>
      </c>
      <c r="Q628" t="s">
        <v>53</v>
      </c>
      <c r="R628" t="s">
        <v>30</v>
      </c>
      <c r="S628" t="s">
        <v>31</v>
      </c>
      <c r="T628" t="s">
        <v>55</v>
      </c>
      <c r="U628" s="3">
        <f t="shared" si="9"/>
        <v>45931</v>
      </c>
    </row>
    <row r="629" spans="1:21" x14ac:dyDescent="0.35">
      <c r="A629" t="s">
        <v>1581</v>
      </c>
      <c r="B629" t="s">
        <v>1336</v>
      </c>
      <c r="C629" t="s">
        <v>22</v>
      </c>
      <c r="D629" t="s">
        <v>1582</v>
      </c>
      <c r="E629" t="s">
        <v>45</v>
      </c>
      <c r="F629" t="s">
        <v>46</v>
      </c>
      <c r="G629" t="s">
        <v>60</v>
      </c>
      <c r="H629" t="s">
        <v>39</v>
      </c>
      <c r="I629" t="s">
        <v>28</v>
      </c>
      <c r="J629">
        <v>116904.37</v>
      </c>
      <c r="K629">
        <v>1733.32</v>
      </c>
      <c r="L629">
        <v>312</v>
      </c>
      <c r="M629">
        <v>409.75</v>
      </c>
      <c r="N629">
        <v>118539.94</v>
      </c>
      <c r="O629">
        <v>1406389.59</v>
      </c>
      <c r="P629">
        <v>715</v>
      </c>
      <c r="Q629" t="s">
        <v>74</v>
      </c>
      <c r="R629" t="s">
        <v>54</v>
      </c>
      <c r="S629" t="s">
        <v>31</v>
      </c>
      <c r="T629" t="s">
        <v>41</v>
      </c>
      <c r="U629" s="3">
        <f t="shared" si="9"/>
        <v>45809</v>
      </c>
    </row>
    <row r="630" spans="1:21" x14ac:dyDescent="0.35">
      <c r="A630" t="s">
        <v>1583</v>
      </c>
      <c r="B630" t="s">
        <v>540</v>
      </c>
      <c r="C630" t="s">
        <v>35</v>
      </c>
      <c r="D630" t="s">
        <v>1584</v>
      </c>
      <c r="E630" t="s">
        <v>45</v>
      </c>
      <c r="F630" t="s">
        <v>59</v>
      </c>
      <c r="G630" t="s">
        <v>60</v>
      </c>
      <c r="H630" t="s">
        <v>66</v>
      </c>
      <c r="I630" t="s">
        <v>40</v>
      </c>
      <c r="J630">
        <v>129150.78</v>
      </c>
      <c r="K630">
        <v>1010.82</v>
      </c>
      <c r="L630">
        <v>181.95</v>
      </c>
      <c r="M630">
        <v>470.08</v>
      </c>
      <c r="N630">
        <v>129873.47</v>
      </c>
      <c r="O630">
        <v>1411733.83</v>
      </c>
      <c r="P630">
        <v>367</v>
      </c>
      <c r="Q630" t="s">
        <v>74</v>
      </c>
      <c r="R630" t="s">
        <v>54</v>
      </c>
      <c r="S630" t="s">
        <v>62</v>
      </c>
      <c r="T630" t="s">
        <v>32</v>
      </c>
      <c r="U630" s="3">
        <f t="shared" si="9"/>
        <v>45992</v>
      </c>
    </row>
    <row r="631" spans="1:21" x14ac:dyDescent="0.35">
      <c r="A631" t="s">
        <v>1585</v>
      </c>
      <c r="B631" t="s">
        <v>641</v>
      </c>
      <c r="C631" t="s">
        <v>35</v>
      </c>
      <c r="D631" t="s">
        <v>1586</v>
      </c>
      <c r="E631" t="s">
        <v>70</v>
      </c>
      <c r="F631" t="s">
        <v>25</v>
      </c>
      <c r="G631" t="s">
        <v>60</v>
      </c>
      <c r="H631" t="s">
        <v>39</v>
      </c>
      <c r="I631" t="s">
        <v>61</v>
      </c>
      <c r="J631">
        <v>57010.17</v>
      </c>
      <c r="K631">
        <v>810.16</v>
      </c>
      <c r="L631">
        <v>145.83000000000001</v>
      </c>
      <c r="M631">
        <v>151.54</v>
      </c>
      <c r="N631">
        <v>57814.62</v>
      </c>
      <c r="O631">
        <v>1418246.62</v>
      </c>
      <c r="P631">
        <v>315</v>
      </c>
      <c r="Q631" t="s">
        <v>29</v>
      </c>
      <c r="R631" t="s">
        <v>75</v>
      </c>
      <c r="S631" t="s">
        <v>86</v>
      </c>
      <c r="T631" t="s">
        <v>55</v>
      </c>
      <c r="U631" s="3">
        <f t="shared" si="9"/>
        <v>45931</v>
      </c>
    </row>
    <row r="632" spans="1:21" x14ac:dyDescent="0.35">
      <c r="A632" t="s">
        <v>1587</v>
      </c>
      <c r="B632" t="s">
        <v>444</v>
      </c>
      <c r="C632" t="s">
        <v>35</v>
      </c>
      <c r="D632" t="s">
        <v>1588</v>
      </c>
      <c r="E632" t="s">
        <v>70</v>
      </c>
      <c r="F632" t="s">
        <v>46</v>
      </c>
      <c r="G632" t="s">
        <v>103</v>
      </c>
      <c r="H632" t="s">
        <v>48</v>
      </c>
      <c r="I632" t="s">
        <v>28</v>
      </c>
      <c r="J632">
        <v>186567.09</v>
      </c>
      <c r="K632">
        <v>3352.81</v>
      </c>
      <c r="L632">
        <v>603.51</v>
      </c>
      <c r="M632">
        <v>290.88</v>
      </c>
      <c r="N632">
        <v>190232.53</v>
      </c>
      <c r="O632">
        <v>1428198.21</v>
      </c>
      <c r="P632">
        <v>336</v>
      </c>
      <c r="Q632" t="s">
        <v>53</v>
      </c>
      <c r="R632" t="s">
        <v>54</v>
      </c>
      <c r="S632" t="s">
        <v>62</v>
      </c>
      <c r="T632" t="s">
        <v>41</v>
      </c>
      <c r="U632" s="3">
        <f t="shared" si="9"/>
        <v>45962</v>
      </c>
    </row>
    <row r="633" spans="1:21" x14ac:dyDescent="0.35">
      <c r="A633" t="s">
        <v>1589</v>
      </c>
      <c r="B633" t="s">
        <v>584</v>
      </c>
      <c r="C633" t="s">
        <v>22</v>
      </c>
      <c r="D633" t="s">
        <v>1590</v>
      </c>
      <c r="E633" t="s">
        <v>37</v>
      </c>
      <c r="F633" t="s">
        <v>38</v>
      </c>
      <c r="G633" t="s">
        <v>103</v>
      </c>
      <c r="H633" t="s">
        <v>66</v>
      </c>
      <c r="I633" t="s">
        <v>28</v>
      </c>
      <c r="J633">
        <v>199694.27</v>
      </c>
      <c r="K633">
        <v>1447.45</v>
      </c>
      <c r="L633">
        <v>260.54000000000002</v>
      </c>
      <c r="M633">
        <v>102.69</v>
      </c>
      <c r="N633">
        <v>201299.57</v>
      </c>
      <c r="O633">
        <v>1432249.01</v>
      </c>
      <c r="P633">
        <v>302</v>
      </c>
      <c r="Q633" t="s">
        <v>74</v>
      </c>
      <c r="R633" t="s">
        <v>30</v>
      </c>
      <c r="S633" t="s">
        <v>86</v>
      </c>
      <c r="T633" t="s">
        <v>55</v>
      </c>
      <c r="U633" s="3">
        <f t="shared" si="9"/>
        <v>45778</v>
      </c>
    </row>
    <row r="634" spans="1:21" x14ac:dyDescent="0.35">
      <c r="A634" t="s">
        <v>1591</v>
      </c>
      <c r="B634" t="s">
        <v>477</v>
      </c>
      <c r="C634" t="s">
        <v>22</v>
      </c>
      <c r="D634" t="s">
        <v>1592</v>
      </c>
      <c r="E634" t="s">
        <v>45</v>
      </c>
      <c r="F634" t="s">
        <v>59</v>
      </c>
      <c r="G634" t="s">
        <v>103</v>
      </c>
      <c r="H634" t="s">
        <v>48</v>
      </c>
      <c r="I634" t="s">
        <v>61</v>
      </c>
      <c r="J634">
        <v>96544.23</v>
      </c>
      <c r="K634">
        <v>505.17</v>
      </c>
      <c r="L634">
        <v>90.93</v>
      </c>
      <c r="M634">
        <v>271.97000000000003</v>
      </c>
      <c r="N634">
        <v>96868.36</v>
      </c>
      <c r="O634">
        <v>1438538.54</v>
      </c>
      <c r="P634">
        <v>454</v>
      </c>
      <c r="Q634" t="s">
        <v>74</v>
      </c>
      <c r="R634" t="s">
        <v>75</v>
      </c>
      <c r="S634" t="s">
        <v>62</v>
      </c>
      <c r="T634" t="s">
        <v>41</v>
      </c>
      <c r="U634" s="3">
        <f t="shared" si="9"/>
        <v>45962</v>
      </c>
    </row>
    <row r="635" spans="1:21" x14ac:dyDescent="0.35">
      <c r="A635" t="s">
        <v>1593</v>
      </c>
      <c r="B635" t="s">
        <v>1594</v>
      </c>
      <c r="C635" t="s">
        <v>22</v>
      </c>
      <c r="D635" t="s">
        <v>1595</v>
      </c>
      <c r="E635" t="s">
        <v>45</v>
      </c>
      <c r="F635" t="s">
        <v>25</v>
      </c>
      <c r="G635" t="s">
        <v>103</v>
      </c>
      <c r="H635" t="s">
        <v>39</v>
      </c>
      <c r="I635" t="s">
        <v>28</v>
      </c>
      <c r="J635">
        <v>199041.45</v>
      </c>
      <c r="K635">
        <v>3698.25</v>
      </c>
      <c r="L635">
        <v>665.68</v>
      </c>
      <c r="M635">
        <v>326.44</v>
      </c>
      <c r="N635">
        <v>203078.94</v>
      </c>
      <c r="O635">
        <v>1440437.12</v>
      </c>
      <c r="P635">
        <v>871</v>
      </c>
      <c r="Q635" t="s">
        <v>74</v>
      </c>
      <c r="R635" t="s">
        <v>54</v>
      </c>
      <c r="S635" t="s">
        <v>86</v>
      </c>
      <c r="T635" t="s">
        <v>32</v>
      </c>
      <c r="U635" s="3">
        <f t="shared" si="9"/>
        <v>45689</v>
      </c>
    </row>
    <row r="636" spans="1:21" x14ac:dyDescent="0.35">
      <c r="A636" t="s">
        <v>1596</v>
      </c>
      <c r="B636" t="s">
        <v>1597</v>
      </c>
      <c r="C636" t="s">
        <v>22</v>
      </c>
      <c r="D636" t="s">
        <v>1598</v>
      </c>
      <c r="E636" t="s">
        <v>70</v>
      </c>
      <c r="F636" t="s">
        <v>46</v>
      </c>
      <c r="G636" t="s">
        <v>103</v>
      </c>
      <c r="H636" t="s">
        <v>27</v>
      </c>
      <c r="I636" t="s">
        <v>61</v>
      </c>
      <c r="J636">
        <v>69030.5</v>
      </c>
      <c r="K636">
        <v>615.95000000000005</v>
      </c>
      <c r="L636">
        <v>110.87</v>
      </c>
      <c r="M636">
        <v>194.76</v>
      </c>
      <c r="N636">
        <v>69562.559999999998</v>
      </c>
      <c r="O636">
        <v>1448618.27</v>
      </c>
      <c r="P636">
        <v>577</v>
      </c>
      <c r="Q636" t="s">
        <v>29</v>
      </c>
      <c r="R636" t="s">
        <v>75</v>
      </c>
      <c r="S636" t="s">
        <v>62</v>
      </c>
      <c r="T636" t="s">
        <v>32</v>
      </c>
      <c r="U636" s="3">
        <f t="shared" si="9"/>
        <v>45658</v>
      </c>
    </row>
    <row r="637" spans="1:21" x14ac:dyDescent="0.35">
      <c r="A637" t="s">
        <v>1599</v>
      </c>
      <c r="B637" t="s">
        <v>1163</v>
      </c>
      <c r="C637" t="s">
        <v>35</v>
      </c>
      <c r="D637" t="s">
        <v>1600</v>
      </c>
      <c r="E637" t="s">
        <v>24</v>
      </c>
      <c r="F637" t="s">
        <v>46</v>
      </c>
      <c r="G637" t="s">
        <v>60</v>
      </c>
      <c r="H637" t="s">
        <v>52</v>
      </c>
      <c r="I637" t="s">
        <v>61</v>
      </c>
      <c r="J637">
        <v>108486.43</v>
      </c>
      <c r="K637">
        <v>1164.27</v>
      </c>
      <c r="L637">
        <v>209.57</v>
      </c>
      <c r="M637">
        <v>381.82</v>
      </c>
      <c r="N637">
        <v>109478.45</v>
      </c>
      <c r="O637">
        <v>1446612.83</v>
      </c>
      <c r="P637">
        <v>373</v>
      </c>
      <c r="Q637" t="s">
        <v>74</v>
      </c>
      <c r="R637" t="s">
        <v>54</v>
      </c>
      <c r="S637" t="s">
        <v>79</v>
      </c>
      <c r="T637" t="s">
        <v>55</v>
      </c>
      <c r="U637" s="3">
        <f t="shared" si="9"/>
        <v>45809</v>
      </c>
    </row>
    <row r="638" spans="1:21" x14ac:dyDescent="0.35">
      <c r="A638" t="s">
        <v>1601</v>
      </c>
      <c r="B638" t="s">
        <v>94</v>
      </c>
      <c r="C638" t="s">
        <v>35</v>
      </c>
      <c r="D638" t="s">
        <v>1602</v>
      </c>
      <c r="E638" t="s">
        <v>70</v>
      </c>
      <c r="F638" t="s">
        <v>25</v>
      </c>
      <c r="G638" t="s">
        <v>47</v>
      </c>
      <c r="H638" t="s">
        <v>27</v>
      </c>
      <c r="I638" t="s">
        <v>40</v>
      </c>
      <c r="J638">
        <v>104084.83</v>
      </c>
      <c r="K638">
        <v>1346.93</v>
      </c>
      <c r="L638">
        <v>242.45</v>
      </c>
      <c r="M638">
        <v>22.55</v>
      </c>
      <c r="N638">
        <v>105651.66</v>
      </c>
      <c r="O638">
        <v>1455319.59</v>
      </c>
      <c r="P638">
        <v>301</v>
      </c>
      <c r="Q638" t="s">
        <v>53</v>
      </c>
      <c r="R638" t="s">
        <v>30</v>
      </c>
      <c r="S638" t="s">
        <v>62</v>
      </c>
      <c r="T638" t="s">
        <v>41</v>
      </c>
      <c r="U638" s="3">
        <f t="shared" si="9"/>
        <v>45839</v>
      </c>
    </row>
    <row r="639" spans="1:21" x14ac:dyDescent="0.35">
      <c r="A639" t="s">
        <v>1603</v>
      </c>
      <c r="B639" t="s">
        <v>601</v>
      </c>
      <c r="C639" t="s">
        <v>22</v>
      </c>
      <c r="D639" t="s">
        <v>1604</v>
      </c>
      <c r="E639" t="s">
        <v>24</v>
      </c>
      <c r="F639" t="s">
        <v>38</v>
      </c>
      <c r="G639" t="s">
        <v>103</v>
      </c>
      <c r="H639" t="s">
        <v>66</v>
      </c>
      <c r="I639" t="s">
        <v>40</v>
      </c>
      <c r="J639">
        <v>193594.65</v>
      </c>
      <c r="K639">
        <v>1780.1</v>
      </c>
      <c r="L639">
        <v>320.42</v>
      </c>
      <c r="M639">
        <v>285.85000000000002</v>
      </c>
      <c r="N639">
        <v>195409.32</v>
      </c>
      <c r="O639">
        <v>1457699.64</v>
      </c>
      <c r="P639">
        <v>605</v>
      </c>
      <c r="Q639" t="s">
        <v>74</v>
      </c>
      <c r="R639" t="s">
        <v>30</v>
      </c>
      <c r="S639" t="s">
        <v>79</v>
      </c>
      <c r="T639" t="s">
        <v>41</v>
      </c>
      <c r="U639" s="3">
        <f t="shared" si="9"/>
        <v>45748</v>
      </c>
    </row>
    <row r="640" spans="1:21" x14ac:dyDescent="0.35">
      <c r="A640" t="s">
        <v>1605</v>
      </c>
      <c r="B640" t="s">
        <v>512</v>
      </c>
      <c r="C640" t="s">
        <v>95</v>
      </c>
      <c r="D640" t="s">
        <v>1606</v>
      </c>
      <c r="E640" t="s">
        <v>45</v>
      </c>
      <c r="F640" t="s">
        <v>38</v>
      </c>
      <c r="G640" t="s">
        <v>26</v>
      </c>
      <c r="H640" t="s">
        <v>39</v>
      </c>
      <c r="I640" t="s">
        <v>28</v>
      </c>
      <c r="J640">
        <v>33716.239999999998</v>
      </c>
      <c r="K640">
        <v>391.29</v>
      </c>
      <c r="L640">
        <v>70.430000000000007</v>
      </c>
      <c r="M640">
        <v>302.95999999999998</v>
      </c>
      <c r="N640">
        <v>33875</v>
      </c>
      <c r="O640">
        <v>1453541.51</v>
      </c>
      <c r="P640">
        <v>472</v>
      </c>
      <c r="Q640" t="s">
        <v>29</v>
      </c>
      <c r="R640" t="s">
        <v>30</v>
      </c>
      <c r="S640" t="s">
        <v>31</v>
      </c>
      <c r="T640" t="s">
        <v>55</v>
      </c>
      <c r="U640" s="3">
        <f t="shared" si="9"/>
        <v>45962</v>
      </c>
    </row>
    <row r="641" spans="1:21" x14ac:dyDescent="0.35">
      <c r="A641" t="s">
        <v>1607</v>
      </c>
      <c r="B641" t="s">
        <v>593</v>
      </c>
      <c r="C641" t="s">
        <v>95</v>
      </c>
      <c r="D641" t="s">
        <v>1608</v>
      </c>
      <c r="E641" t="s">
        <v>45</v>
      </c>
      <c r="F641" t="s">
        <v>59</v>
      </c>
      <c r="G641" t="s">
        <v>103</v>
      </c>
      <c r="H641" t="s">
        <v>48</v>
      </c>
      <c r="I641" t="s">
        <v>28</v>
      </c>
      <c r="J641">
        <v>32695.05</v>
      </c>
      <c r="K641">
        <v>293.02999999999997</v>
      </c>
      <c r="L641">
        <v>52.75</v>
      </c>
      <c r="M641">
        <v>453.17</v>
      </c>
      <c r="N641">
        <v>32587.66</v>
      </c>
      <c r="O641">
        <v>1458807.65</v>
      </c>
      <c r="P641">
        <v>873</v>
      </c>
      <c r="Q641" t="s">
        <v>53</v>
      </c>
      <c r="R641" t="s">
        <v>30</v>
      </c>
      <c r="S641" t="s">
        <v>86</v>
      </c>
      <c r="T641" t="s">
        <v>32</v>
      </c>
      <c r="U641" s="3">
        <f t="shared" si="9"/>
        <v>45689</v>
      </c>
    </row>
    <row r="642" spans="1:21" x14ac:dyDescent="0.35">
      <c r="A642" t="s">
        <v>1609</v>
      </c>
      <c r="B642" t="s">
        <v>725</v>
      </c>
      <c r="C642" t="s">
        <v>95</v>
      </c>
      <c r="D642" t="s">
        <v>1610</v>
      </c>
      <c r="E642" t="s">
        <v>37</v>
      </c>
      <c r="F642" t="s">
        <v>59</v>
      </c>
      <c r="G642" t="s">
        <v>47</v>
      </c>
      <c r="H642" t="s">
        <v>66</v>
      </c>
      <c r="I642" t="s">
        <v>61</v>
      </c>
      <c r="J642">
        <v>167217.32999999999</v>
      </c>
      <c r="K642">
        <v>719.42</v>
      </c>
      <c r="L642">
        <v>129.5</v>
      </c>
      <c r="M642">
        <v>37.68</v>
      </c>
      <c r="N642">
        <v>168028.57</v>
      </c>
      <c r="O642">
        <v>1466326.97</v>
      </c>
      <c r="P642">
        <v>330</v>
      </c>
      <c r="Q642" t="s">
        <v>74</v>
      </c>
      <c r="R642" t="s">
        <v>54</v>
      </c>
      <c r="S642" t="s">
        <v>31</v>
      </c>
      <c r="T642" t="s">
        <v>32</v>
      </c>
      <c r="U642" s="3">
        <f t="shared" si="9"/>
        <v>45658</v>
      </c>
    </row>
    <row r="643" spans="1:21" x14ac:dyDescent="0.35">
      <c r="A643" t="s">
        <v>1611</v>
      </c>
      <c r="B643" t="s">
        <v>282</v>
      </c>
      <c r="C643" t="s">
        <v>22</v>
      </c>
      <c r="D643" t="s">
        <v>1612</v>
      </c>
      <c r="E643" t="s">
        <v>24</v>
      </c>
      <c r="F643" t="s">
        <v>59</v>
      </c>
      <c r="G643" t="s">
        <v>103</v>
      </c>
      <c r="H643" t="s">
        <v>27</v>
      </c>
      <c r="I643" t="s">
        <v>28</v>
      </c>
      <c r="J643">
        <v>135896.60999999999</v>
      </c>
      <c r="K643">
        <v>2546.75</v>
      </c>
      <c r="L643">
        <v>458.41</v>
      </c>
      <c r="M643">
        <v>104.62</v>
      </c>
      <c r="N643">
        <v>138797.15</v>
      </c>
      <c r="O643">
        <v>1473663.58</v>
      </c>
      <c r="P643">
        <v>856</v>
      </c>
      <c r="Q643" t="s">
        <v>74</v>
      </c>
      <c r="R643" t="s">
        <v>54</v>
      </c>
      <c r="S643" t="s">
        <v>31</v>
      </c>
      <c r="T643" t="s">
        <v>41</v>
      </c>
      <c r="U643" s="3">
        <f t="shared" ref="U643:U706" si="10">DATE(YEAR(B643),MONTH(B643),1)</f>
        <v>45992</v>
      </c>
    </row>
    <row r="644" spans="1:21" x14ac:dyDescent="0.35">
      <c r="A644" t="s">
        <v>1613</v>
      </c>
      <c r="B644" t="s">
        <v>558</v>
      </c>
      <c r="C644" t="s">
        <v>35</v>
      </c>
      <c r="D644" t="s">
        <v>1614</v>
      </c>
      <c r="E644" t="s">
        <v>37</v>
      </c>
      <c r="F644" t="s">
        <v>46</v>
      </c>
      <c r="G644" t="s">
        <v>60</v>
      </c>
      <c r="H644" t="s">
        <v>52</v>
      </c>
      <c r="I644" t="s">
        <v>28</v>
      </c>
      <c r="J644">
        <v>84598.78</v>
      </c>
      <c r="K644">
        <v>501.43</v>
      </c>
      <c r="L644">
        <v>90.26</v>
      </c>
      <c r="M644">
        <v>207.35</v>
      </c>
      <c r="N644">
        <v>84983.12</v>
      </c>
      <c r="O644">
        <v>1469639.92</v>
      </c>
      <c r="P644">
        <v>558</v>
      </c>
      <c r="Q644" t="s">
        <v>74</v>
      </c>
      <c r="R644" t="s">
        <v>30</v>
      </c>
      <c r="S644" t="s">
        <v>86</v>
      </c>
      <c r="T644" t="s">
        <v>41</v>
      </c>
      <c r="U644" s="3">
        <f t="shared" si="10"/>
        <v>45748</v>
      </c>
    </row>
    <row r="645" spans="1:21" x14ac:dyDescent="0.35">
      <c r="A645" t="s">
        <v>1615</v>
      </c>
      <c r="B645" t="s">
        <v>453</v>
      </c>
      <c r="C645" t="s">
        <v>95</v>
      </c>
      <c r="D645" t="s">
        <v>1616</v>
      </c>
      <c r="E645" t="s">
        <v>45</v>
      </c>
      <c r="F645" t="s">
        <v>59</v>
      </c>
      <c r="G645" t="s">
        <v>47</v>
      </c>
      <c r="H645" t="s">
        <v>27</v>
      </c>
      <c r="I645" t="s">
        <v>28</v>
      </c>
      <c r="J645">
        <v>157840.51</v>
      </c>
      <c r="K645">
        <v>2737.51</v>
      </c>
      <c r="L645">
        <v>492.75</v>
      </c>
      <c r="M645">
        <v>92.29</v>
      </c>
      <c r="N645">
        <v>160978.48000000001</v>
      </c>
      <c r="O645">
        <v>1464927.37</v>
      </c>
      <c r="P645">
        <v>823</v>
      </c>
      <c r="Q645" t="s">
        <v>74</v>
      </c>
      <c r="R645" t="s">
        <v>75</v>
      </c>
      <c r="S645" t="s">
        <v>86</v>
      </c>
      <c r="T645" t="s">
        <v>32</v>
      </c>
      <c r="U645" s="3">
        <f t="shared" si="10"/>
        <v>45839</v>
      </c>
    </row>
    <row r="646" spans="1:21" x14ac:dyDescent="0.35">
      <c r="A646" t="s">
        <v>1617</v>
      </c>
      <c r="B646" t="s">
        <v>411</v>
      </c>
      <c r="C646" t="s">
        <v>35</v>
      </c>
      <c r="D646" t="s">
        <v>1618</v>
      </c>
      <c r="E646" t="s">
        <v>24</v>
      </c>
      <c r="F646" t="s">
        <v>25</v>
      </c>
      <c r="G646" t="s">
        <v>60</v>
      </c>
      <c r="H646" t="s">
        <v>27</v>
      </c>
      <c r="I646" t="s">
        <v>61</v>
      </c>
      <c r="J646">
        <v>109032.96000000001</v>
      </c>
      <c r="K646">
        <v>1002.18</v>
      </c>
      <c r="L646">
        <v>180.39</v>
      </c>
      <c r="M646">
        <v>0.66</v>
      </c>
      <c r="N646">
        <v>110214.87</v>
      </c>
      <c r="O646">
        <v>1466036.19</v>
      </c>
      <c r="P646">
        <v>689</v>
      </c>
      <c r="Q646" t="s">
        <v>53</v>
      </c>
      <c r="R646" t="s">
        <v>54</v>
      </c>
      <c r="S646" t="s">
        <v>79</v>
      </c>
      <c r="T646" t="s">
        <v>41</v>
      </c>
      <c r="U646" s="3">
        <f t="shared" si="10"/>
        <v>45658</v>
      </c>
    </row>
    <row r="647" spans="1:21" x14ac:dyDescent="0.35">
      <c r="A647" t="s">
        <v>1619</v>
      </c>
      <c r="B647" t="s">
        <v>965</v>
      </c>
      <c r="C647" t="s">
        <v>35</v>
      </c>
      <c r="D647" t="s">
        <v>1620</v>
      </c>
      <c r="E647" t="s">
        <v>45</v>
      </c>
      <c r="F647" t="s">
        <v>25</v>
      </c>
      <c r="G647" t="s">
        <v>47</v>
      </c>
      <c r="H647" t="s">
        <v>48</v>
      </c>
      <c r="I647" t="s">
        <v>61</v>
      </c>
      <c r="J647">
        <v>145380.07</v>
      </c>
      <c r="K647">
        <v>2755.36</v>
      </c>
      <c r="L647">
        <v>495.96</v>
      </c>
      <c r="M647">
        <v>336.89</v>
      </c>
      <c r="N647">
        <v>148294.5</v>
      </c>
      <c r="O647">
        <v>1470620.38</v>
      </c>
      <c r="P647">
        <v>703</v>
      </c>
      <c r="Q647" t="s">
        <v>74</v>
      </c>
      <c r="R647" t="s">
        <v>30</v>
      </c>
      <c r="S647" t="s">
        <v>31</v>
      </c>
      <c r="T647" t="s">
        <v>32</v>
      </c>
      <c r="U647" s="3">
        <f t="shared" si="10"/>
        <v>45658</v>
      </c>
    </row>
    <row r="648" spans="1:21" x14ac:dyDescent="0.35">
      <c r="A648" t="s">
        <v>1621</v>
      </c>
      <c r="B648" t="s">
        <v>68</v>
      </c>
      <c r="C648" t="s">
        <v>22</v>
      </c>
      <c r="D648" t="s">
        <v>1622</v>
      </c>
      <c r="E648" t="s">
        <v>70</v>
      </c>
      <c r="F648" t="s">
        <v>59</v>
      </c>
      <c r="G648" t="s">
        <v>26</v>
      </c>
      <c r="H648" t="s">
        <v>48</v>
      </c>
      <c r="I648" t="s">
        <v>61</v>
      </c>
      <c r="J648">
        <v>175241.4</v>
      </c>
      <c r="K648">
        <v>1888.75</v>
      </c>
      <c r="L648">
        <v>339.97</v>
      </c>
      <c r="M648">
        <v>71.7</v>
      </c>
      <c r="N648">
        <v>177398.42</v>
      </c>
      <c r="O648">
        <v>1473676.15</v>
      </c>
      <c r="P648">
        <v>614</v>
      </c>
      <c r="Q648" t="s">
        <v>53</v>
      </c>
      <c r="R648" t="s">
        <v>54</v>
      </c>
      <c r="S648" t="s">
        <v>86</v>
      </c>
      <c r="T648" t="s">
        <v>32</v>
      </c>
      <c r="U648" s="3">
        <f t="shared" si="10"/>
        <v>45962</v>
      </c>
    </row>
    <row r="649" spans="1:21" x14ac:dyDescent="0.35">
      <c r="A649" t="s">
        <v>1623</v>
      </c>
      <c r="B649" t="s">
        <v>1468</v>
      </c>
      <c r="C649" t="s">
        <v>22</v>
      </c>
      <c r="D649" t="s">
        <v>1624</v>
      </c>
      <c r="E649" t="s">
        <v>70</v>
      </c>
      <c r="F649" t="s">
        <v>59</v>
      </c>
      <c r="G649" t="s">
        <v>60</v>
      </c>
      <c r="H649" t="s">
        <v>66</v>
      </c>
      <c r="I649" t="s">
        <v>40</v>
      </c>
      <c r="J649">
        <v>11965.65</v>
      </c>
      <c r="K649">
        <v>169.64</v>
      </c>
      <c r="L649">
        <v>30.54</v>
      </c>
      <c r="M649">
        <v>103.53</v>
      </c>
      <c r="N649">
        <v>12062.3</v>
      </c>
      <c r="O649">
        <v>1469699.56</v>
      </c>
      <c r="P649">
        <v>761</v>
      </c>
      <c r="Q649" t="s">
        <v>29</v>
      </c>
      <c r="R649" t="s">
        <v>75</v>
      </c>
      <c r="S649" t="s">
        <v>86</v>
      </c>
      <c r="T649" t="s">
        <v>55</v>
      </c>
      <c r="U649" s="3">
        <f t="shared" si="10"/>
        <v>45689</v>
      </c>
    </row>
    <row r="650" spans="1:21" x14ac:dyDescent="0.35">
      <c r="A650" t="s">
        <v>1625</v>
      </c>
      <c r="B650" t="s">
        <v>245</v>
      </c>
      <c r="C650" t="s">
        <v>35</v>
      </c>
      <c r="D650" t="s">
        <v>1626</v>
      </c>
      <c r="E650" t="s">
        <v>24</v>
      </c>
      <c r="F650" t="s">
        <v>46</v>
      </c>
      <c r="G650" t="s">
        <v>60</v>
      </c>
      <c r="H650" t="s">
        <v>52</v>
      </c>
      <c r="I650" t="s">
        <v>28</v>
      </c>
      <c r="J650">
        <v>90799.87</v>
      </c>
      <c r="K650">
        <v>1100.93</v>
      </c>
      <c r="L650">
        <v>198.17</v>
      </c>
      <c r="M650">
        <v>252.81</v>
      </c>
      <c r="N650">
        <v>91846.16</v>
      </c>
      <c r="O650">
        <v>1474524.22</v>
      </c>
      <c r="P650">
        <v>542</v>
      </c>
      <c r="Q650" t="s">
        <v>29</v>
      </c>
      <c r="R650" t="s">
        <v>30</v>
      </c>
      <c r="S650" t="s">
        <v>79</v>
      </c>
      <c r="T650" t="s">
        <v>55</v>
      </c>
      <c r="U650" s="3">
        <f t="shared" si="10"/>
        <v>45778</v>
      </c>
    </row>
    <row r="651" spans="1:21" x14ac:dyDescent="0.35">
      <c r="A651" t="s">
        <v>1627</v>
      </c>
      <c r="B651" t="s">
        <v>927</v>
      </c>
      <c r="C651" t="s">
        <v>22</v>
      </c>
      <c r="D651" t="s">
        <v>1628</v>
      </c>
      <c r="E651" t="s">
        <v>24</v>
      </c>
      <c r="F651" t="s">
        <v>38</v>
      </c>
      <c r="G651" t="s">
        <v>103</v>
      </c>
      <c r="H651" t="s">
        <v>66</v>
      </c>
      <c r="I651" t="s">
        <v>28</v>
      </c>
      <c r="J651">
        <v>42536.13</v>
      </c>
      <c r="K651">
        <v>202.14</v>
      </c>
      <c r="L651">
        <v>36.39</v>
      </c>
      <c r="M651">
        <v>295.64999999999998</v>
      </c>
      <c r="N651">
        <v>42479.01</v>
      </c>
      <c r="O651">
        <v>1472210.68</v>
      </c>
      <c r="P651">
        <v>467</v>
      </c>
      <c r="Q651" t="s">
        <v>53</v>
      </c>
      <c r="R651" t="s">
        <v>75</v>
      </c>
      <c r="S651" t="s">
        <v>31</v>
      </c>
      <c r="T651" t="s">
        <v>55</v>
      </c>
      <c r="U651" s="3">
        <f t="shared" si="10"/>
        <v>45748</v>
      </c>
    </row>
    <row r="652" spans="1:21" x14ac:dyDescent="0.35">
      <c r="A652" t="s">
        <v>1629</v>
      </c>
      <c r="B652" t="s">
        <v>77</v>
      </c>
      <c r="C652" t="s">
        <v>95</v>
      </c>
      <c r="D652" t="s">
        <v>1630</v>
      </c>
      <c r="E652" t="s">
        <v>45</v>
      </c>
      <c r="F652" t="s">
        <v>38</v>
      </c>
      <c r="G652" t="s">
        <v>60</v>
      </c>
      <c r="H652" t="s">
        <v>39</v>
      </c>
      <c r="I652" t="s">
        <v>28</v>
      </c>
      <c r="J652">
        <v>156775.38</v>
      </c>
      <c r="K652">
        <v>1713.36</v>
      </c>
      <c r="L652">
        <v>308.39999999999998</v>
      </c>
      <c r="M652">
        <v>494.49</v>
      </c>
      <c r="N652">
        <v>158302.65</v>
      </c>
      <c r="O652">
        <v>1472058.44</v>
      </c>
      <c r="P652">
        <v>381</v>
      </c>
      <c r="Q652" t="s">
        <v>53</v>
      </c>
      <c r="R652" t="s">
        <v>54</v>
      </c>
      <c r="S652" t="s">
        <v>79</v>
      </c>
      <c r="T652" t="s">
        <v>41</v>
      </c>
      <c r="U652" s="3">
        <f t="shared" si="10"/>
        <v>45778</v>
      </c>
    </row>
    <row r="653" spans="1:21" x14ac:dyDescent="0.35">
      <c r="A653" t="s">
        <v>1631</v>
      </c>
      <c r="B653" t="s">
        <v>309</v>
      </c>
      <c r="C653" t="s">
        <v>95</v>
      </c>
      <c r="D653" t="s">
        <v>1632</v>
      </c>
      <c r="E653" t="s">
        <v>70</v>
      </c>
      <c r="F653" t="s">
        <v>46</v>
      </c>
      <c r="G653" t="s">
        <v>103</v>
      </c>
      <c r="H653" t="s">
        <v>66</v>
      </c>
      <c r="I653" t="s">
        <v>61</v>
      </c>
      <c r="J653">
        <v>51148.800000000003</v>
      </c>
      <c r="K653">
        <v>958.66</v>
      </c>
      <c r="L653">
        <v>172.56</v>
      </c>
      <c r="M653">
        <v>455.86</v>
      </c>
      <c r="N653">
        <v>51824.160000000003</v>
      </c>
      <c r="O653">
        <v>1480864.1</v>
      </c>
      <c r="P653">
        <v>423</v>
      </c>
      <c r="Q653" t="s">
        <v>29</v>
      </c>
      <c r="R653" t="s">
        <v>54</v>
      </c>
      <c r="S653" t="s">
        <v>86</v>
      </c>
      <c r="T653" t="s">
        <v>55</v>
      </c>
      <c r="U653" s="3">
        <f t="shared" si="10"/>
        <v>45658</v>
      </c>
    </row>
    <row r="654" spans="1:21" x14ac:dyDescent="0.35">
      <c r="A654" t="s">
        <v>1633</v>
      </c>
      <c r="B654" t="s">
        <v>1634</v>
      </c>
      <c r="C654" t="s">
        <v>35</v>
      </c>
      <c r="D654" t="s">
        <v>1635</v>
      </c>
      <c r="E654" t="s">
        <v>37</v>
      </c>
      <c r="F654" t="s">
        <v>38</v>
      </c>
      <c r="G654" t="s">
        <v>60</v>
      </c>
      <c r="H654" t="s">
        <v>48</v>
      </c>
      <c r="I654" t="s">
        <v>61</v>
      </c>
      <c r="J654">
        <v>85502.77</v>
      </c>
      <c r="K654">
        <v>582.15</v>
      </c>
      <c r="L654">
        <v>104.79</v>
      </c>
      <c r="M654">
        <v>45.46</v>
      </c>
      <c r="N654">
        <v>86144.25</v>
      </c>
      <c r="O654">
        <v>1488414.91</v>
      </c>
      <c r="P654">
        <v>510</v>
      </c>
      <c r="Q654" t="s">
        <v>53</v>
      </c>
      <c r="R654" t="s">
        <v>75</v>
      </c>
      <c r="S654" t="s">
        <v>86</v>
      </c>
      <c r="T654" t="s">
        <v>41</v>
      </c>
      <c r="U654" s="3">
        <f t="shared" si="10"/>
        <v>45778</v>
      </c>
    </row>
    <row r="655" spans="1:21" x14ac:dyDescent="0.35">
      <c r="A655" t="s">
        <v>1636</v>
      </c>
      <c r="B655" t="s">
        <v>662</v>
      </c>
      <c r="C655" t="s">
        <v>35</v>
      </c>
      <c r="D655" t="s">
        <v>1637</v>
      </c>
      <c r="E655" t="s">
        <v>37</v>
      </c>
      <c r="F655" t="s">
        <v>59</v>
      </c>
      <c r="G655" t="s">
        <v>103</v>
      </c>
      <c r="H655" t="s">
        <v>39</v>
      </c>
      <c r="I655" t="s">
        <v>61</v>
      </c>
      <c r="J655">
        <v>77674.2</v>
      </c>
      <c r="K655">
        <v>451.77</v>
      </c>
      <c r="L655">
        <v>81.319999999999993</v>
      </c>
      <c r="M655">
        <v>198.46</v>
      </c>
      <c r="N655">
        <v>78008.83</v>
      </c>
      <c r="O655">
        <v>1495222.72</v>
      </c>
      <c r="P655">
        <v>546</v>
      </c>
      <c r="Q655" t="s">
        <v>29</v>
      </c>
      <c r="R655" t="s">
        <v>54</v>
      </c>
      <c r="S655" t="s">
        <v>79</v>
      </c>
      <c r="T655" t="s">
        <v>41</v>
      </c>
      <c r="U655" s="3">
        <f t="shared" si="10"/>
        <v>45870</v>
      </c>
    </row>
    <row r="656" spans="1:21" x14ac:dyDescent="0.35">
      <c r="A656" t="s">
        <v>1638</v>
      </c>
      <c r="B656" t="s">
        <v>317</v>
      </c>
      <c r="C656" t="s">
        <v>35</v>
      </c>
      <c r="D656" t="s">
        <v>1639</v>
      </c>
      <c r="E656" t="s">
        <v>45</v>
      </c>
      <c r="F656" t="s">
        <v>38</v>
      </c>
      <c r="G656" t="s">
        <v>26</v>
      </c>
      <c r="H656" t="s">
        <v>52</v>
      </c>
      <c r="I656" t="s">
        <v>61</v>
      </c>
      <c r="J656">
        <v>20921.61</v>
      </c>
      <c r="K656">
        <v>102.86</v>
      </c>
      <c r="L656">
        <v>18.510000000000002</v>
      </c>
      <c r="M656">
        <v>89.98</v>
      </c>
      <c r="N656">
        <v>20953</v>
      </c>
      <c r="O656">
        <v>1494527.77</v>
      </c>
      <c r="P656">
        <v>880</v>
      </c>
      <c r="Q656" t="s">
        <v>29</v>
      </c>
      <c r="R656" t="s">
        <v>75</v>
      </c>
      <c r="S656" t="s">
        <v>79</v>
      </c>
      <c r="T656" t="s">
        <v>32</v>
      </c>
      <c r="U656" s="3">
        <f t="shared" si="10"/>
        <v>45931</v>
      </c>
    </row>
    <row r="657" spans="1:21" x14ac:dyDescent="0.35">
      <c r="A657" t="s">
        <v>1640</v>
      </c>
      <c r="B657" t="s">
        <v>1641</v>
      </c>
      <c r="C657" t="s">
        <v>22</v>
      </c>
      <c r="D657" t="s">
        <v>1642</v>
      </c>
      <c r="E657" t="s">
        <v>45</v>
      </c>
      <c r="F657" t="s">
        <v>59</v>
      </c>
      <c r="G657" t="s">
        <v>26</v>
      </c>
      <c r="H657" t="s">
        <v>52</v>
      </c>
      <c r="I657" t="s">
        <v>40</v>
      </c>
      <c r="J657">
        <v>84366.53</v>
      </c>
      <c r="K657">
        <v>276.89999999999998</v>
      </c>
      <c r="L657">
        <v>49.84</v>
      </c>
      <c r="M657">
        <v>409.9</v>
      </c>
      <c r="N657">
        <v>84283.37</v>
      </c>
      <c r="O657">
        <v>1496414.26</v>
      </c>
      <c r="P657">
        <v>574</v>
      </c>
      <c r="Q657" t="s">
        <v>29</v>
      </c>
      <c r="R657" t="s">
        <v>75</v>
      </c>
      <c r="S657" t="s">
        <v>86</v>
      </c>
      <c r="T657" t="s">
        <v>32</v>
      </c>
      <c r="U657" s="3">
        <f t="shared" si="10"/>
        <v>45778</v>
      </c>
    </row>
    <row r="658" spans="1:21" x14ac:dyDescent="0.35">
      <c r="A658" t="s">
        <v>1643</v>
      </c>
      <c r="B658" t="s">
        <v>450</v>
      </c>
      <c r="C658" t="s">
        <v>22</v>
      </c>
      <c r="D658" t="s">
        <v>1644</v>
      </c>
      <c r="E658" t="s">
        <v>70</v>
      </c>
      <c r="F658" t="s">
        <v>46</v>
      </c>
      <c r="G658" t="s">
        <v>26</v>
      </c>
      <c r="H658" t="s">
        <v>66</v>
      </c>
      <c r="I658" t="s">
        <v>28</v>
      </c>
      <c r="J658">
        <v>161345.38</v>
      </c>
      <c r="K658">
        <v>912.84</v>
      </c>
      <c r="L658">
        <v>164.31</v>
      </c>
      <c r="M658">
        <v>228.97</v>
      </c>
      <c r="N658">
        <v>162193.56</v>
      </c>
      <c r="O658">
        <v>1499370.49</v>
      </c>
      <c r="P658">
        <v>348</v>
      </c>
      <c r="Q658" t="s">
        <v>29</v>
      </c>
      <c r="R658" t="s">
        <v>30</v>
      </c>
      <c r="S658" t="s">
        <v>31</v>
      </c>
      <c r="T658" t="s">
        <v>32</v>
      </c>
      <c r="U658" s="3">
        <f t="shared" si="10"/>
        <v>45992</v>
      </c>
    </row>
    <row r="659" spans="1:21" x14ac:dyDescent="0.35">
      <c r="A659" t="s">
        <v>1645</v>
      </c>
      <c r="B659" t="s">
        <v>1027</v>
      </c>
      <c r="C659" t="s">
        <v>95</v>
      </c>
      <c r="D659" t="s">
        <v>1646</v>
      </c>
      <c r="E659" t="s">
        <v>45</v>
      </c>
      <c r="F659" t="s">
        <v>38</v>
      </c>
      <c r="G659" t="s">
        <v>26</v>
      </c>
      <c r="H659" t="s">
        <v>48</v>
      </c>
      <c r="I659" t="s">
        <v>40</v>
      </c>
      <c r="J659">
        <v>106828.51</v>
      </c>
      <c r="K659">
        <v>1932.25</v>
      </c>
      <c r="L659">
        <v>347.81</v>
      </c>
      <c r="M659">
        <v>348.71</v>
      </c>
      <c r="N659">
        <v>108759.86</v>
      </c>
      <c r="O659">
        <v>1506061.51</v>
      </c>
      <c r="P659">
        <v>753</v>
      </c>
      <c r="Q659" t="s">
        <v>29</v>
      </c>
      <c r="R659" t="s">
        <v>30</v>
      </c>
      <c r="S659" t="s">
        <v>86</v>
      </c>
      <c r="T659" t="s">
        <v>32</v>
      </c>
      <c r="U659" s="3">
        <f t="shared" si="10"/>
        <v>45901</v>
      </c>
    </row>
    <row r="660" spans="1:21" x14ac:dyDescent="0.35">
      <c r="A660" t="s">
        <v>1647</v>
      </c>
      <c r="B660" t="s">
        <v>715</v>
      </c>
      <c r="C660" t="s">
        <v>22</v>
      </c>
      <c r="D660" t="s">
        <v>1648</v>
      </c>
      <c r="E660" t="s">
        <v>70</v>
      </c>
      <c r="F660" t="s">
        <v>38</v>
      </c>
      <c r="G660" t="s">
        <v>60</v>
      </c>
      <c r="H660" t="s">
        <v>48</v>
      </c>
      <c r="I660" t="s">
        <v>61</v>
      </c>
      <c r="J660">
        <v>163110.42000000001</v>
      </c>
      <c r="K660">
        <v>853.84</v>
      </c>
      <c r="L660">
        <v>153.69</v>
      </c>
      <c r="M660">
        <v>355.8</v>
      </c>
      <c r="N660">
        <v>163762.15</v>
      </c>
      <c r="O660">
        <v>1502752.43</v>
      </c>
      <c r="P660">
        <v>557</v>
      </c>
      <c r="Q660" t="s">
        <v>74</v>
      </c>
      <c r="R660" t="s">
        <v>30</v>
      </c>
      <c r="S660" t="s">
        <v>62</v>
      </c>
      <c r="T660" t="s">
        <v>32</v>
      </c>
      <c r="U660" s="3">
        <f t="shared" si="10"/>
        <v>45870</v>
      </c>
    </row>
    <row r="661" spans="1:21" x14ac:dyDescent="0.35">
      <c r="A661" t="s">
        <v>1649</v>
      </c>
      <c r="B661" t="s">
        <v>347</v>
      </c>
      <c r="C661" t="s">
        <v>95</v>
      </c>
      <c r="D661" t="s">
        <v>1650</v>
      </c>
      <c r="E661" t="s">
        <v>45</v>
      </c>
      <c r="F661" t="s">
        <v>25</v>
      </c>
      <c r="G661" t="s">
        <v>103</v>
      </c>
      <c r="H661" t="s">
        <v>48</v>
      </c>
      <c r="I661" t="s">
        <v>28</v>
      </c>
      <c r="J661">
        <v>15778.55</v>
      </c>
      <c r="K661">
        <v>260.54000000000002</v>
      </c>
      <c r="L661">
        <v>46.9</v>
      </c>
      <c r="M661">
        <v>18.010000000000002</v>
      </c>
      <c r="N661">
        <v>16067.98</v>
      </c>
      <c r="O661">
        <v>1500418.21</v>
      </c>
      <c r="P661">
        <v>633</v>
      </c>
      <c r="Q661" t="s">
        <v>53</v>
      </c>
      <c r="R661" t="s">
        <v>30</v>
      </c>
      <c r="S661" t="s">
        <v>79</v>
      </c>
      <c r="T661" t="s">
        <v>55</v>
      </c>
      <c r="U661" s="3">
        <f t="shared" si="10"/>
        <v>45748</v>
      </c>
    </row>
    <row r="662" spans="1:21" x14ac:dyDescent="0.35">
      <c r="A662" t="s">
        <v>1651</v>
      </c>
      <c r="B662" t="s">
        <v>1419</v>
      </c>
      <c r="C662" t="s">
        <v>22</v>
      </c>
      <c r="D662" t="s">
        <v>1652</v>
      </c>
      <c r="E662" t="s">
        <v>70</v>
      </c>
      <c r="F662" t="s">
        <v>25</v>
      </c>
      <c r="G662" t="s">
        <v>26</v>
      </c>
      <c r="H662" t="s">
        <v>48</v>
      </c>
      <c r="I662" t="s">
        <v>28</v>
      </c>
      <c r="J662">
        <v>150018.41</v>
      </c>
      <c r="K662">
        <v>229.74</v>
      </c>
      <c r="L662">
        <v>41.35</v>
      </c>
      <c r="M662">
        <v>495.18</v>
      </c>
      <c r="N662">
        <v>149794.32</v>
      </c>
      <c r="O662">
        <v>1500471.07</v>
      </c>
      <c r="P662">
        <v>756</v>
      </c>
      <c r="Q662" t="s">
        <v>74</v>
      </c>
      <c r="R662" t="s">
        <v>30</v>
      </c>
      <c r="S662" t="s">
        <v>79</v>
      </c>
      <c r="T662" t="s">
        <v>55</v>
      </c>
      <c r="U662" s="3">
        <f t="shared" si="10"/>
        <v>45839</v>
      </c>
    </row>
    <row r="663" spans="1:21" x14ac:dyDescent="0.35">
      <c r="A663" t="s">
        <v>1653</v>
      </c>
      <c r="B663" t="s">
        <v>667</v>
      </c>
      <c r="C663" t="s">
        <v>35</v>
      </c>
      <c r="D663" t="s">
        <v>1654</v>
      </c>
      <c r="E663" t="s">
        <v>24</v>
      </c>
      <c r="F663" t="s">
        <v>59</v>
      </c>
      <c r="G663" t="s">
        <v>103</v>
      </c>
      <c r="H663" t="s">
        <v>52</v>
      </c>
      <c r="I663" t="s">
        <v>40</v>
      </c>
      <c r="J663">
        <v>176728.21</v>
      </c>
      <c r="K663">
        <v>3151.61</v>
      </c>
      <c r="L663">
        <v>567.29</v>
      </c>
      <c r="M663">
        <v>419.18</v>
      </c>
      <c r="N663">
        <v>180027.93</v>
      </c>
      <c r="O663">
        <v>1507902.22</v>
      </c>
      <c r="P663">
        <v>691</v>
      </c>
      <c r="Q663" t="s">
        <v>53</v>
      </c>
      <c r="R663" t="s">
        <v>75</v>
      </c>
      <c r="S663" t="s">
        <v>79</v>
      </c>
      <c r="T663" t="s">
        <v>32</v>
      </c>
      <c r="U663" s="3">
        <f t="shared" si="10"/>
        <v>45717</v>
      </c>
    </row>
    <row r="664" spans="1:21" x14ac:dyDescent="0.35">
      <c r="A664" t="s">
        <v>1655</v>
      </c>
      <c r="B664" t="s">
        <v>336</v>
      </c>
      <c r="C664" t="s">
        <v>22</v>
      </c>
      <c r="D664" t="s">
        <v>1656</v>
      </c>
      <c r="E664" t="s">
        <v>37</v>
      </c>
      <c r="F664" t="s">
        <v>46</v>
      </c>
      <c r="G664" t="s">
        <v>47</v>
      </c>
      <c r="H664" t="s">
        <v>27</v>
      </c>
      <c r="I664" t="s">
        <v>40</v>
      </c>
      <c r="J664">
        <v>48829.15</v>
      </c>
      <c r="K664">
        <v>771.34</v>
      </c>
      <c r="L664">
        <v>138.84</v>
      </c>
      <c r="M664">
        <v>481.92</v>
      </c>
      <c r="N664">
        <v>49257.41</v>
      </c>
      <c r="O664">
        <v>1511614.31</v>
      </c>
      <c r="P664">
        <v>839</v>
      </c>
      <c r="Q664" t="s">
        <v>29</v>
      </c>
      <c r="R664" t="s">
        <v>75</v>
      </c>
      <c r="S664" t="s">
        <v>86</v>
      </c>
      <c r="T664" t="s">
        <v>55</v>
      </c>
      <c r="U664" s="3">
        <f t="shared" si="10"/>
        <v>45839</v>
      </c>
    </row>
    <row r="665" spans="1:21" x14ac:dyDescent="0.35">
      <c r="A665" t="s">
        <v>1657</v>
      </c>
      <c r="B665" t="s">
        <v>187</v>
      </c>
      <c r="C665" t="s">
        <v>22</v>
      </c>
      <c r="D665" t="s">
        <v>1658</v>
      </c>
      <c r="E665" t="s">
        <v>45</v>
      </c>
      <c r="F665" t="s">
        <v>46</v>
      </c>
      <c r="G665" t="s">
        <v>103</v>
      </c>
      <c r="H665" t="s">
        <v>48</v>
      </c>
      <c r="I665" t="s">
        <v>28</v>
      </c>
      <c r="J665">
        <v>84878.92</v>
      </c>
      <c r="K665">
        <v>1098.3399999999999</v>
      </c>
      <c r="L665">
        <v>197.7</v>
      </c>
      <c r="M665">
        <v>83.97</v>
      </c>
      <c r="N665">
        <v>86090.99</v>
      </c>
      <c r="O665">
        <v>1519052.8</v>
      </c>
      <c r="P665">
        <v>527</v>
      </c>
      <c r="Q665" t="s">
        <v>74</v>
      </c>
      <c r="R665" t="s">
        <v>54</v>
      </c>
      <c r="S665" t="s">
        <v>31</v>
      </c>
      <c r="T665" t="s">
        <v>41</v>
      </c>
      <c r="U665" s="3">
        <f t="shared" si="10"/>
        <v>45717</v>
      </c>
    </row>
    <row r="666" spans="1:21" x14ac:dyDescent="0.35">
      <c r="A666" t="s">
        <v>1659</v>
      </c>
      <c r="B666" t="s">
        <v>496</v>
      </c>
      <c r="C666" t="s">
        <v>95</v>
      </c>
      <c r="D666" t="s">
        <v>1660</v>
      </c>
      <c r="E666" t="s">
        <v>24</v>
      </c>
      <c r="F666" t="s">
        <v>46</v>
      </c>
      <c r="G666" t="s">
        <v>26</v>
      </c>
      <c r="H666" t="s">
        <v>52</v>
      </c>
      <c r="I666" t="s">
        <v>28</v>
      </c>
      <c r="J666">
        <v>105303.09</v>
      </c>
      <c r="K666">
        <v>1681.79</v>
      </c>
      <c r="L666">
        <v>302.72000000000003</v>
      </c>
      <c r="M666">
        <v>51.61</v>
      </c>
      <c r="N666">
        <v>107235.99</v>
      </c>
      <c r="O666">
        <v>1524736.53</v>
      </c>
      <c r="P666">
        <v>501</v>
      </c>
      <c r="Q666" t="s">
        <v>53</v>
      </c>
      <c r="R666" t="s">
        <v>75</v>
      </c>
      <c r="S666" t="s">
        <v>86</v>
      </c>
      <c r="T666" t="s">
        <v>55</v>
      </c>
      <c r="U666" s="3">
        <f t="shared" si="10"/>
        <v>45901</v>
      </c>
    </row>
    <row r="667" spans="1:21" x14ac:dyDescent="0.35">
      <c r="A667" t="s">
        <v>1661</v>
      </c>
      <c r="B667" t="s">
        <v>540</v>
      </c>
      <c r="C667" t="s">
        <v>22</v>
      </c>
      <c r="D667" t="s">
        <v>1662</v>
      </c>
      <c r="E667" t="s">
        <v>37</v>
      </c>
      <c r="F667" t="s">
        <v>59</v>
      </c>
      <c r="G667" t="s">
        <v>60</v>
      </c>
      <c r="H667" t="s">
        <v>27</v>
      </c>
      <c r="I667" t="s">
        <v>40</v>
      </c>
      <c r="J667">
        <v>89215.33</v>
      </c>
      <c r="K667">
        <v>1031.21</v>
      </c>
      <c r="L667">
        <v>185.62</v>
      </c>
      <c r="M667">
        <v>9.4</v>
      </c>
      <c r="N667">
        <v>90422.76</v>
      </c>
      <c r="O667">
        <v>1523477.4</v>
      </c>
      <c r="P667">
        <v>429</v>
      </c>
      <c r="Q667" t="s">
        <v>74</v>
      </c>
      <c r="R667" t="s">
        <v>75</v>
      </c>
      <c r="S667" t="s">
        <v>79</v>
      </c>
      <c r="T667" t="s">
        <v>55</v>
      </c>
      <c r="U667" s="3">
        <f t="shared" si="10"/>
        <v>45992</v>
      </c>
    </row>
    <row r="668" spans="1:21" x14ac:dyDescent="0.35">
      <c r="A668" t="s">
        <v>1663</v>
      </c>
      <c r="B668" t="s">
        <v>1664</v>
      </c>
      <c r="C668" t="s">
        <v>95</v>
      </c>
      <c r="D668" t="s">
        <v>1665</v>
      </c>
      <c r="E668" t="s">
        <v>45</v>
      </c>
      <c r="F668" t="s">
        <v>59</v>
      </c>
      <c r="G668" t="s">
        <v>103</v>
      </c>
      <c r="H668" t="s">
        <v>66</v>
      </c>
      <c r="I668" t="s">
        <v>40</v>
      </c>
      <c r="J668">
        <v>67050.87</v>
      </c>
      <c r="K668">
        <v>535</v>
      </c>
      <c r="L668">
        <v>96.3</v>
      </c>
      <c r="M668">
        <v>145.97</v>
      </c>
      <c r="N668">
        <v>67536.2</v>
      </c>
      <c r="O668">
        <v>1518840.04</v>
      </c>
      <c r="P668">
        <v>865</v>
      </c>
      <c r="Q668" t="s">
        <v>74</v>
      </c>
      <c r="R668" t="s">
        <v>54</v>
      </c>
      <c r="S668" t="s">
        <v>79</v>
      </c>
      <c r="T668" t="s">
        <v>55</v>
      </c>
      <c r="U668" s="3">
        <f t="shared" si="10"/>
        <v>45931</v>
      </c>
    </row>
    <row r="669" spans="1:21" x14ac:dyDescent="0.35">
      <c r="A669" t="s">
        <v>1666</v>
      </c>
      <c r="B669" t="s">
        <v>439</v>
      </c>
      <c r="C669" t="s">
        <v>35</v>
      </c>
      <c r="D669" t="s">
        <v>1667</v>
      </c>
      <c r="E669" t="s">
        <v>24</v>
      </c>
      <c r="F669" t="s">
        <v>46</v>
      </c>
      <c r="G669" t="s">
        <v>47</v>
      </c>
      <c r="H669" t="s">
        <v>39</v>
      </c>
      <c r="I669" t="s">
        <v>40</v>
      </c>
      <c r="J669">
        <v>171357.63</v>
      </c>
      <c r="K669">
        <v>1732.6</v>
      </c>
      <c r="L669">
        <v>311.87</v>
      </c>
      <c r="M669">
        <v>266.83</v>
      </c>
      <c r="N669">
        <v>173135.27</v>
      </c>
      <c r="O669">
        <v>1527208.78</v>
      </c>
      <c r="P669">
        <v>846</v>
      </c>
      <c r="Q669" t="s">
        <v>53</v>
      </c>
      <c r="R669" t="s">
        <v>75</v>
      </c>
      <c r="S669" t="s">
        <v>31</v>
      </c>
      <c r="T669" t="s">
        <v>32</v>
      </c>
      <c r="U669" s="3">
        <f t="shared" si="10"/>
        <v>45901</v>
      </c>
    </row>
    <row r="670" spans="1:21" x14ac:dyDescent="0.35">
      <c r="A670" t="s">
        <v>1668</v>
      </c>
      <c r="B670" t="s">
        <v>1669</v>
      </c>
      <c r="C670" t="s">
        <v>35</v>
      </c>
      <c r="D670" t="s">
        <v>1670</v>
      </c>
      <c r="E670" t="s">
        <v>70</v>
      </c>
      <c r="F670" t="s">
        <v>38</v>
      </c>
      <c r="G670" t="s">
        <v>103</v>
      </c>
      <c r="H670" t="s">
        <v>66</v>
      </c>
      <c r="I670" t="s">
        <v>40</v>
      </c>
      <c r="J670">
        <v>51917.279999999999</v>
      </c>
      <c r="K670">
        <v>192.99</v>
      </c>
      <c r="L670">
        <v>34.74</v>
      </c>
      <c r="M670">
        <v>124.86</v>
      </c>
      <c r="N670">
        <v>52020.15</v>
      </c>
      <c r="O670">
        <v>1534466.25</v>
      </c>
      <c r="P670">
        <v>460</v>
      </c>
      <c r="Q670" t="s">
        <v>74</v>
      </c>
      <c r="R670" t="s">
        <v>30</v>
      </c>
      <c r="S670" t="s">
        <v>86</v>
      </c>
      <c r="T670" t="s">
        <v>55</v>
      </c>
      <c r="U670" s="3">
        <f t="shared" si="10"/>
        <v>45717</v>
      </c>
    </row>
    <row r="671" spans="1:21" x14ac:dyDescent="0.35">
      <c r="A671" t="s">
        <v>1671</v>
      </c>
      <c r="B671" t="s">
        <v>1264</v>
      </c>
      <c r="C671" t="s">
        <v>35</v>
      </c>
      <c r="D671" t="s">
        <v>1672</v>
      </c>
      <c r="E671" t="s">
        <v>37</v>
      </c>
      <c r="F671" t="s">
        <v>46</v>
      </c>
      <c r="G671" t="s">
        <v>26</v>
      </c>
      <c r="H671" t="s">
        <v>52</v>
      </c>
      <c r="I671" t="s">
        <v>40</v>
      </c>
      <c r="J671">
        <v>104972.11</v>
      </c>
      <c r="K671">
        <v>1723.52</v>
      </c>
      <c r="L671">
        <v>310.23</v>
      </c>
      <c r="M671">
        <v>252.83</v>
      </c>
      <c r="N671">
        <v>106753.03</v>
      </c>
      <c r="O671">
        <v>1540083.82</v>
      </c>
      <c r="P671">
        <v>848</v>
      </c>
      <c r="Q671" t="s">
        <v>53</v>
      </c>
      <c r="R671" t="s">
        <v>75</v>
      </c>
      <c r="S671" t="s">
        <v>62</v>
      </c>
      <c r="T671" t="s">
        <v>55</v>
      </c>
      <c r="U671" s="3">
        <f t="shared" si="10"/>
        <v>45778</v>
      </c>
    </row>
    <row r="672" spans="1:21" x14ac:dyDescent="0.35">
      <c r="A672" t="s">
        <v>1673</v>
      </c>
      <c r="B672" t="s">
        <v>240</v>
      </c>
      <c r="C672" t="s">
        <v>35</v>
      </c>
      <c r="D672" t="s">
        <v>1674</v>
      </c>
      <c r="E672" t="s">
        <v>24</v>
      </c>
      <c r="F672" t="s">
        <v>59</v>
      </c>
      <c r="G672" t="s">
        <v>60</v>
      </c>
      <c r="H672" t="s">
        <v>27</v>
      </c>
      <c r="I672" t="s">
        <v>28</v>
      </c>
      <c r="J672">
        <v>76974.25</v>
      </c>
      <c r="K672">
        <v>1116.5</v>
      </c>
      <c r="L672">
        <v>200.97</v>
      </c>
      <c r="M672">
        <v>243.47</v>
      </c>
      <c r="N672">
        <v>78048.25</v>
      </c>
      <c r="O672">
        <v>1536401.37</v>
      </c>
      <c r="P672">
        <v>307</v>
      </c>
      <c r="Q672" t="s">
        <v>29</v>
      </c>
      <c r="R672" t="s">
        <v>75</v>
      </c>
      <c r="S672" t="s">
        <v>62</v>
      </c>
      <c r="T672" t="s">
        <v>32</v>
      </c>
      <c r="U672" s="3">
        <f t="shared" si="10"/>
        <v>45931</v>
      </c>
    </row>
    <row r="673" spans="1:21" x14ac:dyDescent="0.35">
      <c r="A673" t="s">
        <v>1675</v>
      </c>
      <c r="B673" t="s">
        <v>567</v>
      </c>
      <c r="C673" t="s">
        <v>95</v>
      </c>
      <c r="D673" t="s">
        <v>1676</v>
      </c>
      <c r="E673" t="s">
        <v>37</v>
      </c>
      <c r="F673" t="s">
        <v>38</v>
      </c>
      <c r="G673" t="s">
        <v>60</v>
      </c>
      <c r="H673" t="s">
        <v>66</v>
      </c>
      <c r="I673" t="s">
        <v>28</v>
      </c>
      <c r="J673">
        <v>97063.96</v>
      </c>
      <c r="K673">
        <v>522.29999999999995</v>
      </c>
      <c r="L673">
        <v>94.01</v>
      </c>
      <c r="M673">
        <v>345.86</v>
      </c>
      <c r="N673">
        <v>97334.41</v>
      </c>
      <c r="O673">
        <v>1546090.36</v>
      </c>
      <c r="P673">
        <v>405</v>
      </c>
      <c r="Q673" t="s">
        <v>29</v>
      </c>
      <c r="R673" t="s">
        <v>54</v>
      </c>
      <c r="S673" t="s">
        <v>79</v>
      </c>
      <c r="T673" t="s">
        <v>41</v>
      </c>
      <c r="U673" s="3">
        <f t="shared" si="10"/>
        <v>45870</v>
      </c>
    </row>
    <row r="674" spans="1:21" x14ac:dyDescent="0.35">
      <c r="A674" t="s">
        <v>1677</v>
      </c>
      <c r="B674" t="s">
        <v>459</v>
      </c>
      <c r="C674" t="s">
        <v>95</v>
      </c>
      <c r="D674" t="s">
        <v>1678</v>
      </c>
      <c r="E674" t="s">
        <v>45</v>
      </c>
      <c r="F674" t="s">
        <v>38</v>
      </c>
      <c r="G674" t="s">
        <v>103</v>
      </c>
      <c r="H674" t="s">
        <v>48</v>
      </c>
      <c r="I674" t="s">
        <v>28</v>
      </c>
      <c r="J674">
        <v>50563.38</v>
      </c>
      <c r="K674">
        <v>136.72</v>
      </c>
      <c r="L674">
        <v>24.61</v>
      </c>
      <c r="M674">
        <v>345.44</v>
      </c>
      <c r="N674">
        <v>50379.27</v>
      </c>
      <c r="O674">
        <v>1543331.45</v>
      </c>
      <c r="P674">
        <v>830</v>
      </c>
      <c r="Q674" t="s">
        <v>53</v>
      </c>
      <c r="R674" t="s">
        <v>54</v>
      </c>
      <c r="S674" t="s">
        <v>79</v>
      </c>
      <c r="T674" t="s">
        <v>32</v>
      </c>
      <c r="U674" s="3">
        <f t="shared" si="10"/>
        <v>45809</v>
      </c>
    </row>
    <row r="675" spans="1:21" x14ac:dyDescent="0.35">
      <c r="A675" t="s">
        <v>1679</v>
      </c>
      <c r="B675" t="s">
        <v>1005</v>
      </c>
      <c r="C675" t="s">
        <v>95</v>
      </c>
      <c r="D675" t="s">
        <v>1680</v>
      </c>
      <c r="E675" t="s">
        <v>24</v>
      </c>
      <c r="F675" t="s">
        <v>46</v>
      </c>
      <c r="G675" t="s">
        <v>103</v>
      </c>
      <c r="H675" t="s">
        <v>48</v>
      </c>
      <c r="I675" t="s">
        <v>28</v>
      </c>
      <c r="J675">
        <v>4608.2700000000004</v>
      </c>
      <c r="K675">
        <v>10.69</v>
      </c>
      <c r="L675">
        <v>1.92</v>
      </c>
      <c r="M675">
        <v>241.89</v>
      </c>
      <c r="N675">
        <v>4378.99</v>
      </c>
      <c r="O675">
        <v>1545553.97</v>
      </c>
      <c r="P675">
        <v>312</v>
      </c>
      <c r="Q675" t="s">
        <v>74</v>
      </c>
      <c r="R675" t="s">
        <v>75</v>
      </c>
      <c r="S675" t="s">
        <v>79</v>
      </c>
      <c r="T675" t="s">
        <v>41</v>
      </c>
      <c r="U675" s="3">
        <f t="shared" si="10"/>
        <v>45901</v>
      </c>
    </row>
    <row r="676" spans="1:21" x14ac:dyDescent="0.35">
      <c r="A676" t="s">
        <v>1681</v>
      </c>
      <c r="B676" t="s">
        <v>411</v>
      </c>
      <c r="C676" t="s">
        <v>35</v>
      </c>
      <c r="D676" t="s">
        <v>1682</v>
      </c>
      <c r="E676" t="s">
        <v>45</v>
      </c>
      <c r="F676" t="s">
        <v>46</v>
      </c>
      <c r="G676" t="s">
        <v>26</v>
      </c>
      <c r="H676" t="s">
        <v>52</v>
      </c>
      <c r="I676" t="s">
        <v>61</v>
      </c>
      <c r="J676">
        <v>47490.89</v>
      </c>
      <c r="K676">
        <v>167.24</v>
      </c>
      <c r="L676">
        <v>30.1</v>
      </c>
      <c r="M676">
        <v>261.38</v>
      </c>
      <c r="N676">
        <v>47426.85</v>
      </c>
      <c r="O676">
        <v>1553082.78</v>
      </c>
      <c r="P676">
        <v>335</v>
      </c>
      <c r="Q676" t="s">
        <v>53</v>
      </c>
      <c r="R676" t="s">
        <v>30</v>
      </c>
      <c r="S676" t="s">
        <v>62</v>
      </c>
      <c r="T676" t="s">
        <v>55</v>
      </c>
      <c r="U676" s="3">
        <f t="shared" si="10"/>
        <v>45658</v>
      </c>
    </row>
    <row r="677" spans="1:21" x14ac:dyDescent="0.35">
      <c r="A677" t="s">
        <v>1683</v>
      </c>
      <c r="B677" t="s">
        <v>593</v>
      </c>
      <c r="C677" t="s">
        <v>22</v>
      </c>
      <c r="D677" t="s">
        <v>1684</v>
      </c>
      <c r="E677" t="s">
        <v>45</v>
      </c>
      <c r="F677" t="s">
        <v>59</v>
      </c>
      <c r="G677" t="s">
        <v>60</v>
      </c>
      <c r="H677" t="s">
        <v>48</v>
      </c>
      <c r="I677" t="s">
        <v>61</v>
      </c>
      <c r="J677">
        <v>73049.100000000006</v>
      </c>
      <c r="K677">
        <v>964.75</v>
      </c>
      <c r="L677">
        <v>173.66</v>
      </c>
      <c r="M677">
        <v>248.74</v>
      </c>
      <c r="N677">
        <v>73938.77</v>
      </c>
      <c r="O677">
        <v>1552268.61</v>
      </c>
      <c r="P677">
        <v>457</v>
      </c>
      <c r="Q677" t="s">
        <v>74</v>
      </c>
      <c r="R677" t="s">
        <v>54</v>
      </c>
      <c r="S677" t="s">
        <v>62</v>
      </c>
      <c r="T677" t="s">
        <v>41</v>
      </c>
      <c r="U677" s="3">
        <f t="shared" si="10"/>
        <v>45689</v>
      </c>
    </row>
    <row r="678" spans="1:21" x14ac:dyDescent="0.35">
      <c r="A678" t="s">
        <v>1685</v>
      </c>
      <c r="B678" t="s">
        <v>222</v>
      </c>
      <c r="C678" t="s">
        <v>22</v>
      </c>
      <c r="D678" t="s">
        <v>1686</v>
      </c>
      <c r="E678" t="s">
        <v>45</v>
      </c>
      <c r="F678" t="s">
        <v>59</v>
      </c>
      <c r="G678" t="s">
        <v>26</v>
      </c>
      <c r="H678" t="s">
        <v>27</v>
      </c>
      <c r="I678" t="s">
        <v>28</v>
      </c>
      <c r="J678">
        <v>76495.460000000006</v>
      </c>
      <c r="K678">
        <v>650.67999999999995</v>
      </c>
      <c r="L678">
        <v>117.12</v>
      </c>
      <c r="M678">
        <v>229.44</v>
      </c>
      <c r="N678">
        <v>77033.820000000007</v>
      </c>
      <c r="O678">
        <v>1559950.84</v>
      </c>
      <c r="P678">
        <v>749</v>
      </c>
      <c r="Q678" t="s">
        <v>53</v>
      </c>
      <c r="R678" t="s">
        <v>54</v>
      </c>
      <c r="S678" t="s">
        <v>31</v>
      </c>
      <c r="T678" t="s">
        <v>55</v>
      </c>
      <c r="U678" s="3">
        <f t="shared" si="10"/>
        <v>45658</v>
      </c>
    </row>
    <row r="679" spans="1:21" x14ac:dyDescent="0.35">
      <c r="A679" t="s">
        <v>1687</v>
      </c>
      <c r="B679" t="s">
        <v>1409</v>
      </c>
      <c r="C679" t="s">
        <v>22</v>
      </c>
      <c r="D679" t="s">
        <v>1688</v>
      </c>
      <c r="E679" t="s">
        <v>45</v>
      </c>
      <c r="F679" t="s">
        <v>25</v>
      </c>
      <c r="G679" t="s">
        <v>26</v>
      </c>
      <c r="H679" t="s">
        <v>66</v>
      </c>
      <c r="I679" t="s">
        <v>28</v>
      </c>
      <c r="J679">
        <v>46238.2</v>
      </c>
      <c r="K679">
        <v>651.94000000000005</v>
      </c>
      <c r="L679">
        <v>117.35</v>
      </c>
      <c r="M679">
        <v>215.62</v>
      </c>
      <c r="N679">
        <v>46791.87</v>
      </c>
      <c r="O679">
        <v>1566372.16</v>
      </c>
      <c r="P679">
        <v>319</v>
      </c>
      <c r="Q679" t="s">
        <v>74</v>
      </c>
      <c r="R679" t="s">
        <v>75</v>
      </c>
      <c r="S679" t="s">
        <v>79</v>
      </c>
      <c r="T679" t="s">
        <v>55</v>
      </c>
      <c r="U679" s="3">
        <f t="shared" si="10"/>
        <v>45748</v>
      </c>
    </row>
    <row r="680" spans="1:21" x14ac:dyDescent="0.35">
      <c r="A680" t="s">
        <v>1689</v>
      </c>
      <c r="B680" t="s">
        <v>1690</v>
      </c>
      <c r="C680" t="s">
        <v>35</v>
      </c>
      <c r="D680" t="s">
        <v>1691</v>
      </c>
      <c r="E680" t="s">
        <v>37</v>
      </c>
      <c r="F680" t="s">
        <v>59</v>
      </c>
      <c r="G680" t="s">
        <v>26</v>
      </c>
      <c r="H680" t="s">
        <v>66</v>
      </c>
      <c r="I680" t="s">
        <v>61</v>
      </c>
      <c r="J680">
        <v>53809.120000000003</v>
      </c>
      <c r="K680">
        <v>556.32000000000005</v>
      </c>
      <c r="L680">
        <v>100.14</v>
      </c>
      <c r="M680">
        <v>70.62</v>
      </c>
      <c r="N680">
        <v>54394.96</v>
      </c>
      <c r="O680">
        <v>1562754</v>
      </c>
      <c r="P680">
        <v>638</v>
      </c>
      <c r="Q680" t="s">
        <v>53</v>
      </c>
      <c r="R680" t="s">
        <v>54</v>
      </c>
      <c r="S680" t="s">
        <v>62</v>
      </c>
      <c r="T680" t="s">
        <v>55</v>
      </c>
      <c r="U680" s="3">
        <f t="shared" si="10"/>
        <v>45931</v>
      </c>
    </row>
    <row r="681" spans="1:21" x14ac:dyDescent="0.35">
      <c r="A681" t="s">
        <v>1692</v>
      </c>
      <c r="B681" t="s">
        <v>309</v>
      </c>
      <c r="C681" t="s">
        <v>22</v>
      </c>
      <c r="D681" t="s">
        <v>1693</v>
      </c>
      <c r="E681" t="s">
        <v>45</v>
      </c>
      <c r="F681" t="s">
        <v>59</v>
      </c>
      <c r="G681" t="s">
        <v>103</v>
      </c>
      <c r="H681" t="s">
        <v>39</v>
      </c>
      <c r="I681" t="s">
        <v>61</v>
      </c>
      <c r="J681">
        <v>188535.31</v>
      </c>
      <c r="K681">
        <v>448.03</v>
      </c>
      <c r="L681">
        <v>80.650000000000006</v>
      </c>
      <c r="M681">
        <v>336.42</v>
      </c>
      <c r="N681">
        <v>188727.57</v>
      </c>
      <c r="O681">
        <v>1558352.38</v>
      </c>
      <c r="P681">
        <v>459</v>
      </c>
      <c r="Q681" t="s">
        <v>29</v>
      </c>
      <c r="R681" t="s">
        <v>30</v>
      </c>
      <c r="S681" t="s">
        <v>62</v>
      </c>
      <c r="T681" t="s">
        <v>41</v>
      </c>
      <c r="U681" s="3">
        <f t="shared" si="10"/>
        <v>45658</v>
      </c>
    </row>
    <row r="682" spans="1:21" x14ac:dyDescent="0.35">
      <c r="A682" t="s">
        <v>1694</v>
      </c>
      <c r="B682" t="s">
        <v>297</v>
      </c>
      <c r="C682" t="s">
        <v>35</v>
      </c>
      <c r="D682" t="s">
        <v>821</v>
      </c>
      <c r="E682" t="s">
        <v>24</v>
      </c>
      <c r="F682" t="s">
        <v>46</v>
      </c>
      <c r="G682" t="s">
        <v>47</v>
      </c>
      <c r="H682" t="s">
        <v>27</v>
      </c>
      <c r="I682" t="s">
        <v>61</v>
      </c>
      <c r="J682">
        <v>68489.5</v>
      </c>
      <c r="K682">
        <v>533.19000000000005</v>
      </c>
      <c r="L682">
        <v>95.97</v>
      </c>
      <c r="M682">
        <v>452.67</v>
      </c>
      <c r="N682">
        <v>68665.990000000005</v>
      </c>
      <c r="O682">
        <v>1553936.31</v>
      </c>
      <c r="P682">
        <v>389</v>
      </c>
      <c r="Q682" t="s">
        <v>53</v>
      </c>
      <c r="R682" t="s">
        <v>54</v>
      </c>
      <c r="S682" t="s">
        <v>86</v>
      </c>
      <c r="T682" t="s">
        <v>32</v>
      </c>
      <c r="U682" s="3">
        <f t="shared" si="10"/>
        <v>45809</v>
      </c>
    </row>
    <row r="683" spans="1:21" x14ac:dyDescent="0.35">
      <c r="A683" t="s">
        <v>1695</v>
      </c>
      <c r="B683" t="s">
        <v>706</v>
      </c>
      <c r="C683" t="s">
        <v>35</v>
      </c>
      <c r="D683" t="s">
        <v>1696</v>
      </c>
      <c r="E683" t="s">
        <v>70</v>
      </c>
      <c r="F683" t="s">
        <v>46</v>
      </c>
      <c r="G683" t="s">
        <v>60</v>
      </c>
      <c r="H683" t="s">
        <v>66</v>
      </c>
      <c r="I683" t="s">
        <v>61</v>
      </c>
      <c r="J683">
        <v>7692.09</v>
      </c>
      <c r="K683">
        <v>43.65</v>
      </c>
      <c r="L683">
        <v>7.86</v>
      </c>
      <c r="M683">
        <v>350</v>
      </c>
      <c r="N683">
        <v>7393.6</v>
      </c>
      <c r="O683">
        <v>1559003.46</v>
      </c>
      <c r="P683">
        <v>385</v>
      </c>
      <c r="Q683" t="s">
        <v>29</v>
      </c>
      <c r="R683" t="s">
        <v>75</v>
      </c>
      <c r="S683" t="s">
        <v>79</v>
      </c>
      <c r="T683" t="s">
        <v>41</v>
      </c>
      <c r="U683" s="3">
        <f t="shared" si="10"/>
        <v>45658</v>
      </c>
    </row>
    <row r="684" spans="1:21" x14ac:dyDescent="0.35">
      <c r="A684" t="s">
        <v>1697</v>
      </c>
      <c r="B684" t="s">
        <v>1234</v>
      </c>
      <c r="C684" t="s">
        <v>22</v>
      </c>
      <c r="D684" t="s">
        <v>1698</v>
      </c>
      <c r="E684" t="s">
        <v>70</v>
      </c>
      <c r="F684" t="s">
        <v>25</v>
      </c>
      <c r="G684" t="s">
        <v>47</v>
      </c>
      <c r="H684" t="s">
        <v>66</v>
      </c>
      <c r="I684" t="s">
        <v>40</v>
      </c>
      <c r="J684">
        <v>175705.87</v>
      </c>
      <c r="K684">
        <v>305.43</v>
      </c>
      <c r="L684">
        <v>54.98</v>
      </c>
      <c r="M684">
        <v>32.99</v>
      </c>
      <c r="N684">
        <v>176033.29</v>
      </c>
      <c r="O684">
        <v>1568169.09</v>
      </c>
      <c r="P684">
        <v>435</v>
      </c>
      <c r="Q684" t="s">
        <v>74</v>
      </c>
      <c r="R684" t="s">
        <v>75</v>
      </c>
      <c r="S684" t="s">
        <v>79</v>
      </c>
      <c r="T684" t="s">
        <v>32</v>
      </c>
      <c r="U684" s="3">
        <f t="shared" si="10"/>
        <v>45778</v>
      </c>
    </row>
    <row r="685" spans="1:21" x14ac:dyDescent="0.35">
      <c r="A685" t="s">
        <v>1699</v>
      </c>
      <c r="B685" t="s">
        <v>101</v>
      </c>
      <c r="C685" t="s">
        <v>95</v>
      </c>
      <c r="D685" t="s">
        <v>1700</v>
      </c>
      <c r="E685" t="s">
        <v>45</v>
      </c>
      <c r="F685" t="s">
        <v>59</v>
      </c>
      <c r="G685" t="s">
        <v>103</v>
      </c>
      <c r="H685" t="s">
        <v>48</v>
      </c>
      <c r="I685" t="s">
        <v>28</v>
      </c>
      <c r="J685">
        <v>52056.17</v>
      </c>
      <c r="K685">
        <v>847.11</v>
      </c>
      <c r="L685">
        <v>152.47999999999999</v>
      </c>
      <c r="M685">
        <v>84.79</v>
      </c>
      <c r="N685">
        <v>52970.97</v>
      </c>
      <c r="O685">
        <v>1577733.74</v>
      </c>
      <c r="P685">
        <v>869</v>
      </c>
      <c r="Q685" t="s">
        <v>29</v>
      </c>
      <c r="R685" t="s">
        <v>30</v>
      </c>
      <c r="S685" t="s">
        <v>86</v>
      </c>
      <c r="T685" t="s">
        <v>32</v>
      </c>
      <c r="U685" s="3">
        <f t="shared" si="10"/>
        <v>45870</v>
      </c>
    </row>
    <row r="686" spans="1:21" x14ac:dyDescent="0.35">
      <c r="A686" t="s">
        <v>1701</v>
      </c>
      <c r="B686" t="s">
        <v>175</v>
      </c>
      <c r="C686" t="s">
        <v>22</v>
      </c>
      <c r="D686" t="s">
        <v>1702</v>
      </c>
      <c r="E686" t="s">
        <v>45</v>
      </c>
      <c r="F686" t="s">
        <v>59</v>
      </c>
      <c r="G686" t="s">
        <v>47</v>
      </c>
      <c r="H686" t="s">
        <v>39</v>
      </c>
      <c r="I686" t="s">
        <v>61</v>
      </c>
      <c r="J686">
        <v>131632.07999999999</v>
      </c>
      <c r="K686">
        <v>1575.57</v>
      </c>
      <c r="L686">
        <v>283.60000000000002</v>
      </c>
      <c r="M686">
        <v>108.17</v>
      </c>
      <c r="N686">
        <v>133383.07999999999</v>
      </c>
      <c r="O686">
        <v>1583076.39</v>
      </c>
      <c r="P686">
        <v>384</v>
      </c>
      <c r="Q686" t="s">
        <v>53</v>
      </c>
      <c r="R686" t="s">
        <v>54</v>
      </c>
      <c r="S686" t="s">
        <v>62</v>
      </c>
      <c r="T686" t="s">
        <v>55</v>
      </c>
      <c r="U686" s="3">
        <f t="shared" si="10"/>
        <v>45717</v>
      </c>
    </row>
    <row r="687" spans="1:21" x14ac:dyDescent="0.35">
      <c r="A687" t="s">
        <v>1703</v>
      </c>
      <c r="B687" t="s">
        <v>728</v>
      </c>
      <c r="C687" t="s">
        <v>95</v>
      </c>
      <c r="D687" t="s">
        <v>1704</v>
      </c>
      <c r="E687" t="s">
        <v>70</v>
      </c>
      <c r="F687" t="s">
        <v>59</v>
      </c>
      <c r="G687" t="s">
        <v>60</v>
      </c>
      <c r="H687" t="s">
        <v>39</v>
      </c>
      <c r="I687" t="s">
        <v>28</v>
      </c>
      <c r="J687">
        <v>142422.79999999999</v>
      </c>
      <c r="K687">
        <v>1940.5</v>
      </c>
      <c r="L687">
        <v>349.29</v>
      </c>
      <c r="M687">
        <v>158.35</v>
      </c>
      <c r="N687">
        <v>144554.23999999999</v>
      </c>
      <c r="O687">
        <v>1583049.53</v>
      </c>
      <c r="P687">
        <v>426</v>
      </c>
      <c r="Q687" t="s">
        <v>74</v>
      </c>
      <c r="R687" t="s">
        <v>75</v>
      </c>
      <c r="S687" t="s">
        <v>62</v>
      </c>
      <c r="T687" t="s">
        <v>32</v>
      </c>
      <c r="U687" s="3">
        <f t="shared" si="10"/>
        <v>45658</v>
      </c>
    </row>
    <row r="688" spans="1:21" x14ac:dyDescent="0.35">
      <c r="A688" t="s">
        <v>1705</v>
      </c>
      <c r="B688" t="s">
        <v>270</v>
      </c>
      <c r="C688" t="s">
        <v>95</v>
      </c>
      <c r="D688" t="s">
        <v>1706</v>
      </c>
      <c r="E688" t="s">
        <v>37</v>
      </c>
      <c r="F688" t="s">
        <v>46</v>
      </c>
      <c r="G688" t="s">
        <v>26</v>
      </c>
      <c r="H688" t="s">
        <v>52</v>
      </c>
      <c r="I688" t="s">
        <v>28</v>
      </c>
      <c r="J688">
        <v>33909.300000000003</v>
      </c>
      <c r="K688">
        <v>658.87</v>
      </c>
      <c r="L688">
        <v>118.6</v>
      </c>
      <c r="M688">
        <v>206.63</v>
      </c>
      <c r="N688">
        <v>34480.14</v>
      </c>
      <c r="O688">
        <v>1581130.71</v>
      </c>
      <c r="P688">
        <v>653</v>
      </c>
      <c r="Q688" t="s">
        <v>74</v>
      </c>
      <c r="R688" t="s">
        <v>54</v>
      </c>
      <c r="S688" t="s">
        <v>62</v>
      </c>
      <c r="T688" t="s">
        <v>32</v>
      </c>
      <c r="U688" s="3">
        <f t="shared" si="10"/>
        <v>45717</v>
      </c>
    </row>
    <row r="689" spans="1:21" x14ac:dyDescent="0.35">
      <c r="A689" t="s">
        <v>1707</v>
      </c>
      <c r="B689" t="s">
        <v>1708</v>
      </c>
      <c r="C689" t="s">
        <v>35</v>
      </c>
      <c r="D689" t="s">
        <v>1709</v>
      </c>
      <c r="E689" t="s">
        <v>45</v>
      </c>
      <c r="F689" t="s">
        <v>38</v>
      </c>
      <c r="G689" t="s">
        <v>103</v>
      </c>
      <c r="H689" t="s">
        <v>48</v>
      </c>
      <c r="I689" t="s">
        <v>61</v>
      </c>
      <c r="J689">
        <v>184440.73</v>
      </c>
      <c r="K689">
        <v>2641.36</v>
      </c>
      <c r="L689">
        <v>475.44</v>
      </c>
      <c r="M689">
        <v>356.16</v>
      </c>
      <c r="N689">
        <v>187201.37</v>
      </c>
      <c r="O689">
        <v>1580279.86</v>
      </c>
      <c r="P689">
        <v>350</v>
      </c>
      <c r="Q689" t="s">
        <v>53</v>
      </c>
      <c r="R689" t="s">
        <v>75</v>
      </c>
      <c r="S689" t="s">
        <v>62</v>
      </c>
      <c r="T689" t="s">
        <v>32</v>
      </c>
      <c r="U689" s="3">
        <f t="shared" si="10"/>
        <v>45839</v>
      </c>
    </row>
    <row r="690" spans="1:21" x14ac:dyDescent="0.35">
      <c r="A690" t="s">
        <v>1710</v>
      </c>
      <c r="B690" t="s">
        <v>1354</v>
      </c>
      <c r="C690" t="s">
        <v>35</v>
      </c>
      <c r="D690" t="s">
        <v>1711</v>
      </c>
      <c r="E690" t="s">
        <v>37</v>
      </c>
      <c r="F690" t="s">
        <v>38</v>
      </c>
      <c r="G690" t="s">
        <v>26</v>
      </c>
      <c r="H690" t="s">
        <v>48</v>
      </c>
      <c r="I690" t="s">
        <v>40</v>
      </c>
      <c r="J690">
        <v>3102.49</v>
      </c>
      <c r="K690">
        <v>54.53</v>
      </c>
      <c r="L690">
        <v>9.82</v>
      </c>
      <c r="M690">
        <v>271.43</v>
      </c>
      <c r="N690">
        <v>2895.41</v>
      </c>
      <c r="O690">
        <v>1585746.36</v>
      </c>
      <c r="P690">
        <v>426</v>
      </c>
      <c r="Q690" t="s">
        <v>53</v>
      </c>
      <c r="R690" t="s">
        <v>30</v>
      </c>
      <c r="S690" t="s">
        <v>31</v>
      </c>
      <c r="T690" t="s">
        <v>55</v>
      </c>
      <c r="U690" s="3">
        <f t="shared" si="10"/>
        <v>45689</v>
      </c>
    </row>
    <row r="691" spans="1:21" x14ac:dyDescent="0.35">
      <c r="A691" t="s">
        <v>1712</v>
      </c>
      <c r="B691" t="s">
        <v>453</v>
      </c>
      <c r="C691" t="s">
        <v>22</v>
      </c>
      <c r="D691" t="s">
        <v>1713</v>
      </c>
      <c r="E691" t="s">
        <v>37</v>
      </c>
      <c r="F691" t="s">
        <v>46</v>
      </c>
      <c r="G691" t="s">
        <v>60</v>
      </c>
      <c r="H691" t="s">
        <v>39</v>
      </c>
      <c r="I691" t="s">
        <v>28</v>
      </c>
      <c r="J691">
        <v>61432.44</v>
      </c>
      <c r="K691">
        <v>771.73</v>
      </c>
      <c r="L691">
        <v>138.91</v>
      </c>
      <c r="M691">
        <v>4.2699999999999996</v>
      </c>
      <c r="N691">
        <v>62338.81</v>
      </c>
      <c r="O691">
        <v>1590657.25</v>
      </c>
      <c r="P691">
        <v>415</v>
      </c>
      <c r="Q691" t="s">
        <v>74</v>
      </c>
      <c r="R691" t="s">
        <v>75</v>
      </c>
      <c r="S691" t="s">
        <v>62</v>
      </c>
      <c r="T691" t="s">
        <v>41</v>
      </c>
      <c r="U691" s="3">
        <f t="shared" si="10"/>
        <v>45839</v>
      </c>
    </row>
    <row r="692" spans="1:21" x14ac:dyDescent="0.35">
      <c r="A692" t="s">
        <v>1714</v>
      </c>
      <c r="B692" t="s">
        <v>1634</v>
      </c>
      <c r="C692" t="s">
        <v>22</v>
      </c>
      <c r="D692" t="s">
        <v>1715</v>
      </c>
      <c r="E692" t="s">
        <v>45</v>
      </c>
      <c r="F692" t="s">
        <v>59</v>
      </c>
      <c r="G692" t="s">
        <v>103</v>
      </c>
      <c r="H692" t="s">
        <v>27</v>
      </c>
      <c r="I692" t="s">
        <v>40</v>
      </c>
      <c r="J692">
        <v>81418.929999999993</v>
      </c>
      <c r="K692">
        <v>368.89</v>
      </c>
      <c r="L692">
        <v>66.400000000000006</v>
      </c>
      <c r="M692">
        <v>113.7</v>
      </c>
      <c r="N692">
        <v>81740.52</v>
      </c>
      <c r="O692">
        <v>1591929.25</v>
      </c>
      <c r="P692">
        <v>625</v>
      </c>
      <c r="Q692" t="s">
        <v>53</v>
      </c>
      <c r="R692" t="s">
        <v>75</v>
      </c>
      <c r="S692" t="s">
        <v>79</v>
      </c>
      <c r="T692" t="s">
        <v>41</v>
      </c>
      <c r="U692" s="3">
        <f t="shared" si="10"/>
        <v>45778</v>
      </c>
    </row>
    <row r="693" spans="1:21" x14ac:dyDescent="0.35">
      <c r="A693" t="s">
        <v>1716</v>
      </c>
      <c r="B693" t="s">
        <v>285</v>
      </c>
      <c r="C693" t="s">
        <v>35</v>
      </c>
      <c r="D693" t="s">
        <v>1717</v>
      </c>
      <c r="E693" t="s">
        <v>70</v>
      </c>
      <c r="F693" t="s">
        <v>25</v>
      </c>
      <c r="G693" t="s">
        <v>26</v>
      </c>
      <c r="H693" t="s">
        <v>27</v>
      </c>
      <c r="I693" t="s">
        <v>28</v>
      </c>
      <c r="J693">
        <v>51238.71</v>
      </c>
      <c r="K693">
        <v>79.47</v>
      </c>
      <c r="L693">
        <v>14.3</v>
      </c>
      <c r="M693">
        <v>330.46</v>
      </c>
      <c r="N693">
        <v>51002.02</v>
      </c>
      <c r="O693">
        <v>1592451.07</v>
      </c>
      <c r="P693">
        <v>892</v>
      </c>
      <c r="Q693" t="s">
        <v>29</v>
      </c>
      <c r="R693" t="s">
        <v>54</v>
      </c>
      <c r="S693" t="s">
        <v>31</v>
      </c>
      <c r="T693" t="s">
        <v>32</v>
      </c>
      <c r="U693" s="3">
        <f t="shared" si="10"/>
        <v>45809</v>
      </c>
    </row>
    <row r="694" spans="1:21" x14ac:dyDescent="0.35">
      <c r="A694" t="s">
        <v>1718</v>
      </c>
      <c r="B694" t="s">
        <v>282</v>
      </c>
      <c r="C694" t="s">
        <v>95</v>
      </c>
      <c r="D694" t="s">
        <v>1719</v>
      </c>
      <c r="E694" t="s">
        <v>24</v>
      </c>
      <c r="F694" t="s">
        <v>38</v>
      </c>
      <c r="G694" t="s">
        <v>60</v>
      </c>
      <c r="H694" t="s">
        <v>52</v>
      </c>
      <c r="I694" t="s">
        <v>40</v>
      </c>
      <c r="J694">
        <v>148310.06</v>
      </c>
      <c r="K694">
        <v>2820.07</v>
      </c>
      <c r="L694">
        <v>507.61</v>
      </c>
      <c r="M694">
        <v>325.52999999999997</v>
      </c>
      <c r="N694">
        <v>151312.21</v>
      </c>
      <c r="O694">
        <v>1588930.26</v>
      </c>
      <c r="P694">
        <v>763</v>
      </c>
      <c r="Q694" t="s">
        <v>29</v>
      </c>
      <c r="R694" t="s">
        <v>54</v>
      </c>
      <c r="S694" t="s">
        <v>79</v>
      </c>
      <c r="T694" t="s">
        <v>41</v>
      </c>
      <c r="U694" s="3">
        <f t="shared" si="10"/>
        <v>45992</v>
      </c>
    </row>
    <row r="695" spans="1:21" x14ac:dyDescent="0.35">
      <c r="A695" t="s">
        <v>1720</v>
      </c>
      <c r="B695" t="s">
        <v>521</v>
      </c>
      <c r="C695" t="s">
        <v>95</v>
      </c>
      <c r="D695" t="s">
        <v>1721</v>
      </c>
      <c r="E695" t="s">
        <v>45</v>
      </c>
      <c r="F695" t="s">
        <v>38</v>
      </c>
      <c r="G695" t="s">
        <v>103</v>
      </c>
      <c r="H695" t="s">
        <v>27</v>
      </c>
      <c r="I695" t="s">
        <v>61</v>
      </c>
      <c r="J695">
        <v>79416.47</v>
      </c>
      <c r="K695">
        <v>817.41</v>
      </c>
      <c r="L695">
        <v>147.13</v>
      </c>
      <c r="M695">
        <v>85.27</v>
      </c>
      <c r="N695">
        <v>80295.740000000005</v>
      </c>
      <c r="O695">
        <v>1586355.6</v>
      </c>
      <c r="P695">
        <v>602</v>
      </c>
      <c r="Q695" t="s">
        <v>53</v>
      </c>
      <c r="R695" t="s">
        <v>54</v>
      </c>
      <c r="S695" t="s">
        <v>62</v>
      </c>
      <c r="T695" t="s">
        <v>55</v>
      </c>
      <c r="U695" s="3">
        <f t="shared" si="10"/>
        <v>45778</v>
      </c>
    </row>
    <row r="696" spans="1:21" x14ac:dyDescent="0.35">
      <c r="A696" t="s">
        <v>1722</v>
      </c>
      <c r="B696" t="s">
        <v>1473</v>
      </c>
      <c r="C696" t="s">
        <v>95</v>
      </c>
      <c r="D696" t="s">
        <v>1723</v>
      </c>
      <c r="E696" t="s">
        <v>37</v>
      </c>
      <c r="F696" t="s">
        <v>46</v>
      </c>
      <c r="G696" t="s">
        <v>103</v>
      </c>
      <c r="H696" t="s">
        <v>27</v>
      </c>
      <c r="I696" t="s">
        <v>40</v>
      </c>
      <c r="J696">
        <v>5773.43</v>
      </c>
      <c r="K696">
        <v>6.51</v>
      </c>
      <c r="L696">
        <v>1.17</v>
      </c>
      <c r="M696">
        <v>261.47000000000003</v>
      </c>
      <c r="N696">
        <v>5519.64</v>
      </c>
      <c r="O696">
        <v>1591036.91</v>
      </c>
      <c r="P696">
        <v>732</v>
      </c>
      <c r="Q696" t="s">
        <v>29</v>
      </c>
      <c r="R696" t="s">
        <v>30</v>
      </c>
      <c r="S696" t="s">
        <v>86</v>
      </c>
      <c r="T696" t="s">
        <v>32</v>
      </c>
      <c r="U696" s="3">
        <f t="shared" si="10"/>
        <v>45870</v>
      </c>
    </row>
    <row r="697" spans="1:21" x14ac:dyDescent="0.35">
      <c r="A697" t="s">
        <v>1724</v>
      </c>
      <c r="B697" t="s">
        <v>1354</v>
      </c>
      <c r="C697" t="s">
        <v>35</v>
      </c>
      <c r="D697" t="s">
        <v>1725</v>
      </c>
      <c r="E697" t="s">
        <v>45</v>
      </c>
      <c r="F697" t="s">
        <v>38</v>
      </c>
      <c r="G697" t="s">
        <v>47</v>
      </c>
      <c r="H697" t="s">
        <v>52</v>
      </c>
      <c r="I697" t="s">
        <v>40</v>
      </c>
      <c r="J697">
        <v>67177.34</v>
      </c>
      <c r="K697">
        <v>1050.3900000000001</v>
      </c>
      <c r="L697">
        <v>189.07</v>
      </c>
      <c r="M697">
        <v>384.14</v>
      </c>
      <c r="N697">
        <v>68032.66</v>
      </c>
      <c r="O697">
        <v>1598183.33</v>
      </c>
      <c r="P697">
        <v>836</v>
      </c>
      <c r="Q697" t="s">
        <v>53</v>
      </c>
      <c r="R697" t="s">
        <v>75</v>
      </c>
      <c r="S697" t="s">
        <v>62</v>
      </c>
      <c r="T697" t="s">
        <v>55</v>
      </c>
      <c r="U697" s="3">
        <f t="shared" si="10"/>
        <v>45689</v>
      </c>
    </row>
    <row r="698" spans="1:21" x14ac:dyDescent="0.35">
      <c r="A698" t="s">
        <v>1726</v>
      </c>
      <c r="B698" t="s">
        <v>965</v>
      </c>
      <c r="C698" t="s">
        <v>22</v>
      </c>
      <c r="D698" t="s">
        <v>1727</v>
      </c>
      <c r="E698" t="s">
        <v>37</v>
      </c>
      <c r="F698" t="s">
        <v>59</v>
      </c>
      <c r="G698" t="s">
        <v>103</v>
      </c>
      <c r="H698" t="s">
        <v>27</v>
      </c>
      <c r="I698" t="s">
        <v>28</v>
      </c>
      <c r="J698">
        <v>193656.92</v>
      </c>
      <c r="K698">
        <v>1804.56</v>
      </c>
      <c r="L698">
        <v>324.82</v>
      </c>
      <c r="M698">
        <v>115.65</v>
      </c>
      <c r="N698">
        <v>195670.65</v>
      </c>
      <c r="O698">
        <v>1594001.69</v>
      </c>
      <c r="P698">
        <v>352</v>
      </c>
      <c r="Q698" t="s">
        <v>29</v>
      </c>
      <c r="R698" t="s">
        <v>30</v>
      </c>
      <c r="S698" t="s">
        <v>86</v>
      </c>
      <c r="T698" t="s">
        <v>55</v>
      </c>
      <c r="U698" s="3">
        <f t="shared" si="10"/>
        <v>45658</v>
      </c>
    </row>
    <row r="699" spans="1:21" x14ac:dyDescent="0.35">
      <c r="A699" t="s">
        <v>1728</v>
      </c>
      <c r="B699" t="s">
        <v>1597</v>
      </c>
      <c r="C699" t="s">
        <v>35</v>
      </c>
      <c r="D699" t="s">
        <v>1729</v>
      </c>
      <c r="E699" t="s">
        <v>24</v>
      </c>
      <c r="F699" t="s">
        <v>38</v>
      </c>
      <c r="G699" t="s">
        <v>47</v>
      </c>
      <c r="H699" t="s">
        <v>39</v>
      </c>
      <c r="I699" t="s">
        <v>28</v>
      </c>
      <c r="J699">
        <v>75119.179999999993</v>
      </c>
      <c r="K699">
        <v>1348.7</v>
      </c>
      <c r="L699">
        <v>242.77</v>
      </c>
      <c r="M699">
        <v>299.56</v>
      </c>
      <c r="N699">
        <v>76411.09</v>
      </c>
      <c r="O699">
        <v>1601620.55</v>
      </c>
      <c r="P699">
        <v>792</v>
      </c>
      <c r="Q699" t="s">
        <v>74</v>
      </c>
      <c r="R699" t="s">
        <v>30</v>
      </c>
      <c r="S699" t="s">
        <v>31</v>
      </c>
      <c r="T699" t="s">
        <v>32</v>
      </c>
      <c r="U699" s="3">
        <f t="shared" si="10"/>
        <v>45658</v>
      </c>
    </row>
    <row r="700" spans="1:21" x14ac:dyDescent="0.35">
      <c r="A700" t="s">
        <v>1730</v>
      </c>
      <c r="B700" t="s">
        <v>1360</v>
      </c>
      <c r="C700" t="s">
        <v>22</v>
      </c>
      <c r="D700" t="s">
        <v>1731</v>
      </c>
      <c r="E700" t="s">
        <v>24</v>
      </c>
      <c r="F700" t="s">
        <v>59</v>
      </c>
      <c r="G700" t="s">
        <v>47</v>
      </c>
      <c r="H700" t="s">
        <v>66</v>
      </c>
      <c r="I700" t="s">
        <v>28</v>
      </c>
      <c r="J700">
        <v>2476.5</v>
      </c>
      <c r="K700">
        <v>30.5</v>
      </c>
      <c r="L700">
        <v>5.49</v>
      </c>
      <c r="M700">
        <v>395.03</v>
      </c>
      <c r="N700">
        <v>2117.46</v>
      </c>
      <c r="O700">
        <v>1605536.49</v>
      </c>
      <c r="P700">
        <v>591</v>
      </c>
      <c r="Q700" t="s">
        <v>74</v>
      </c>
      <c r="R700" t="s">
        <v>30</v>
      </c>
      <c r="S700" t="s">
        <v>86</v>
      </c>
      <c r="T700" t="s">
        <v>55</v>
      </c>
      <c r="U700" s="3">
        <f t="shared" si="10"/>
        <v>45778</v>
      </c>
    </row>
    <row r="701" spans="1:21" x14ac:dyDescent="0.35">
      <c r="A701" t="s">
        <v>1732</v>
      </c>
      <c r="B701" t="s">
        <v>1733</v>
      </c>
      <c r="C701" t="s">
        <v>95</v>
      </c>
      <c r="D701" t="s">
        <v>1734</v>
      </c>
      <c r="E701" t="s">
        <v>24</v>
      </c>
      <c r="F701" t="s">
        <v>25</v>
      </c>
      <c r="G701" t="s">
        <v>47</v>
      </c>
      <c r="H701" t="s">
        <v>66</v>
      </c>
      <c r="I701" t="s">
        <v>40</v>
      </c>
      <c r="J701">
        <v>31184.15</v>
      </c>
      <c r="K701">
        <v>445.05</v>
      </c>
      <c r="L701">
        <v>80.11</v>
      </c>
      <c r="M701">
        <v>320.98</v>
      </c>
      <c r="N701">
        <v>31388.33</v>
      </c>
      <c r="O701">
        <v>1604369.16</v>
      </c>
      <c r="P701">
        <v>669</v>
      </c>
      <c r="Q701" t="s">
        <v>74</v>
      </c>
      <c r="R701" t="s">
        <v>54</v>
      </c>
      <c r="S701" t="s">
        <v>62</v>
      </c>
      <c r="T701" t="s">
        <v>55</v>
      </c>
      <c r="U701" s="3">
        <f t="shared" si="10"/>
        <v>45931</v>
      </c>
    </row>
    <row r="702" spans="1:21" x14ac:dyDescent="0.35">
      <c r="A702" t="s">
        <v>1735</v>
      </c>
      <c r="B702" t="s">
        <v>650</v>
      </c>
      <c r="C702" t="s">
        <v>22</v>
      </c>
      <c r="D702" t="s">
        <v>1736</v>
      </c>
      <c r="E702" t="s">
        <v>45</v>
      </c>
      <c r="F702" t="s">
        <v>46</v>
      </c>
      <c r="G702" t="s">
        <v>60</v>
      </c>
      <c r="H702" t="s">
        <v>66</v>
      </c>
      <c r="I702" t="s">
        <v>28</v>
      </c>
      <c r="J702">
        <v>189791.66</v>
      </c>
      <c r="K702">
        <v>1700.98</v>
      </c>
      <c r="L702">
        <v>306.18</v>
      </c>
      <c r="M702">
        <v>367.77</v>
      </c>
      <c r="N702">
        <v>191431.05</v>
      </c>
      <c r="O702">
        <v>1605028.18</v>
      </c>
      <c r="P702">
        <v>780</v>
      </c>
      <c r="Q702" t="s">
        <v>53</v>
      </c>
      <c r="R702" t="s">
        <v>30</v>
      </c>
      <c r="S702" t="s">
        <v>62</v>
      </c>
      <c r="T702" t="s">
        <v>41</v>
      </c>
      <c r="U702" s="3">
        <f t="shared" si="10"/>
        <v>45809</v>
      </c>
    </row>
    <row r="703" spans="1:21" x14ac:dyDescent="0.35">
      <c r="A703" t="s">
        <v>1737</v>
      </c>
      <c r="B703" t="s">
        <v>1738</v>
      </c>
      <c r="C703" t="s">
        <v>22</v>
      </c>
      <c r="D703" t="s">
        <v>1739</v>
      </c>
      <c r="E703" t="s">
        <v>24</v>
      </c>
      <c r="F703" t="s">
        <v>25</v>
      </c>
      <c r="G703" t="s">
        <v>103</v>
      </c>
      <c r="H703" t="s">
        <v>39</v>
      </c>
      <c r="I703" t="s">
        <v>61</v>
      </c>
      <c r="J703">
        <v>115566.24</v>
      </c>
      <c r="K703">
        <v>1673.3</v>
      </c>
      <c r="L703">
        <v>301.19</v>
      </c>
      <c r="M703">
        <v>462.41</v>
      </c>
      <c r="N703">
        <v>117078.32</v>
      </c>
      <c r="O703">
        <v>1613425.52</v>
      </c>
      <c r="P703">
        <v>567</v>
      </c>
      <c r="Q703" t="s">
        <v>29</v>
      </c>
      <c r="R703" t="s">
        <v>75</v>
      </c>
      <c r="S703" t="s">
        <v>62</v>
      </c>
      <c r="T703" t="s">
        <v>32</v>
      </c>
      <c r="U703" s="3">
        <f t="shared" si="10"/>
        <v>45962</v>
      </c>
    </row>
    <row r="704" spans="1:21" x14ac:dyDescent="0.35">
      <c r="A704" t="s">
        <v>1740</v>
      </c>
      <c r="B704" t="s">
        <v>1741</v>
      </c>
      <c r="C704" t="s">
        <v>35</v>
      </c>
      <c r="D704" t="s">
        <v>1742</v>
      </c>
      <c r="E704" t="s">
        <v>45</v>
      </c>
      <c r="F704" t="s">
        <v>25</v>
      </c>
      <c r="G704" t="s">
        <v>26</v>
      </c>
      <c r="H704" t="s">
        <v>39</v>
      </c>
      <c r="I704" t="s">
        <v>61</v>
      </c>
      <c r="J704">
        <v>172535.43</v>
      </c>
      <c r="K704">
        <v>1357.8</v>
      </c>
      <c r="L704">
        <v>244.4</v>
      </c>
      <c r="M704">
        <v>388.01</v>
      </c>
      <c r="N704">
        <v>173749.62</v>
      </c>
      <c r="O704">
        <v>1623151.72</v>
      </c>
      <c r="P704">
        <v>648</v>
      </c>
      <c r="Q704" t="s">
        <v>29</v>
      </c>
      <c r="R704" t="s">
        <v>30</v>
      </c>
      <c r="S704" t="s">
        <v>31</v>
      </c>
      <c r="T704" t="s">
        <v>41</v>
      </c>
      <c r="U704" s="3">
        <f t="shared" si="10"/>
        <v>45962</v>
      </c>
    </row>
    <row r="705" spans="1:21" x14ac:dyDescent="0.35">
      <c r="A705" t="s">
        <v>1743</v>
      </c>
      <c r="B705" t="s">
        <v>439</v>
      </c>
      <c r="C705" t="s">
        <v>35</v>
      </c>
      <c r="D705" t="s">
        <v>1744</v>
      </c>
      <c r="E705" t="s">
        <v>45</v>
      </c>
      <c r="F705" t="s">
        <v>46</v>
      </c>
      <c r="G705" t="s">
        <v>60</v>
      </c>
      <c r="H705" t="s">
        <v>27</v>
      </c>
      <c r="I705" t="s">
        <v>61</v>
      </c>
      <c r="J705">
        <v>123581.59</v>
      </c>
      <c r="K705">
        <v>1498.39</v>
      </c>
      <c r="L705">
        <v>269.70999999999998</v>
      </c>
      <c r="M705">
        <v>67.209999999999994</v>
      </c>
      <c r="N705">
        <v>125282.48</v>
      </c>
      <c r="O705">
        <v>1622306.44</v>
      </c>
      <c r="P705">
        <v>376</v>
      </c>
      <c r="Q705" t="s">
        <v>29</v>
      </c>
      <c r="R705" t="s">
        <v>54</v>
      </c>
      <c r="S705" t="s">
        <v>79</v>
      </c>
      <c r="T705" t="s">
        <v>55</v>
      </c>
      <c r="U705" s="3">
        <f t="shared" si="10"/>
        <v>45901</v>
      </c>
    </row>
    <row r="706" spans="1:21" x14ac:dyDescent="0.35">
      <c r="A706" t="s">
        <v>1745</v>
      </c>
      <c r="B706" t="s">
        <v>992</v>
      </c>
      <c r="C706" t="s">
        <v>35</v>
      </c>
      <c r="D706" t="s">
        <v>1746</v>
      </c>
      <c r="E706" t="s">
        <v>37</v>
      </c>
      <c r="F706" t="s">
        <v>38</v>
      </c>
      <c r="G706" t="s">
        <v>47</v>
      </c>
      <c r="H706" t="s">
        <v>27</v>
      </c>
      <c r="I706" t="s">
        <v>61</v>
      </c>
      <c r="J706">
        <v>119090.59</v>
      </c>
      <c r="K706">
        <v>1341.59</v>
      </c>
      <c r="L706">
        <v>241.49</v>
      </c>
      <c r="M706">
        <v>346.91</v>
      </c>
      <c r="N706">
        <v>120326.76</v>
      </c>
      <c r="O706">
        <v>1619496.29</v>
      </c>
      <c r="P706">
        <v>334</v>
      </c>
      <c r="Q706" t="s">
        <v>74</v>
      </c>
      <c r="R706" t="s">
        <v>75</v>
      </c>
      <c r="S706" t="s">
        <v>62</v>
      </c>
      <c r="T706" t="s">
        <v>32</v>
      </c>
      <c r="U706" s="3">
        <f t="shared" si="10"/>
        <v>45962</v>
      </c>
    </row>
    <row r="707" spans="1:21" x14ac:dyDescent="0.35">
      <c r="A707" t="s">
        <v>1747</v>
      </c>
      <c r="B707" t="s">
        <v>134</v>
      </c>
      <c r="C707" t="s">
        <v>22</v>
      </c>
      <c r="D707" t="s">
        <v>1748</v>
      </c>
      <c r="E707" t="s">
        <v>37</v>
      </c>
      <c r="F707" t="s">
        <v>25</v>
      </c>
      <c r="G707" t="s">
        <v>47</v>
      </c>
      <c r="H707" t="s">
        <v>48</v>
      </c>
      <c r="I707" t="s">
        <v>28</v>
      </c>
      <c r="J707">
        <v>181732.51</v>
      </c>
      <c r="K707">
        <v>1206.93</v>
      </c>
      <c r="L707">
        <v>217.25</v>
      </c>
      <c r="M707">
        <v>23.44</v>
      </c>
      <c r="N707">
        <v>183133.25</v>
      </c>
      <c r="O707">
        <v>1625605.44</v>
      </c>
      <c r="P707">
        <v>748</v>
      </c>
      <c r="Q707" t="s">
        <v>53</v>
      </c>
      <c r="R707" t="s">
        <v>54</v>
      </c>
      <c r="S707" t="s">
        <v>86</v>
      </c>
      <c r="T707" t="s">
        <v>41</v>
      </c>
      <c r="U707" s="3">
        <f t="shared" ref="U707:U770" si="11">DATE(YEAR(B707),MONTH(B707),1)</f>
        <v>45717</v>
      </c>
    </row>
    <row r="708" spans="1:21" x14ac:dyDescent="0.35">
      <c r="A708" t="s">
        <v>1749</v>
      </c>
      <c r="B708" t="s">
        <v>1323</v>
      </c>
      <c r="C708" t="s">
        <v>95</v>
      </c>
      <c r="D708" t="s">
        <v>1750</v>
      </c>
      <c r="E708" t="s">
        <v>70</v>
      </c>
      <c r="F708" t="s">
        <v>59</v>
      </c>
      <c r="G708" t="s">
        <v>47</v>
      </c>
      <c r="H708" t="s">
        <v>39</v>
      </c>
      <c r="I708" t="s">
        <v>61</v>
      </c>
      <c r="J708">
        <v>180018.04</v>
      </c>
      <c r="K708">
        <v>2492.91</v>
      </c>
      <c r="L708">
        <v>448.72</v>
      </c>
      <c r="M708">
        <v>59.63</v>
      </c>
      <c r="N708">
        <v>182900.04</v>
      </c>
      <c r="O708">
        <v>1626099.2</v>
      </c>
      <c r="P708">
        <v>900</v>
      </c>
      <c r="Q708" t="s">
        <v>74</v>
      </c>
      <c r="R708" t="s">
        <v>30</v>
      </c>
      <c r="S708" t="s">
        <v>62</v>
      </c>
      <c r="T708" t="s">
        <v>32</v>
      </c>
      <c r="U708" s="3">
        <f t="shared" si="11"/>
        <v>45931</v>
      </c>
    </row>
    <row r="709" spans="1:21" x14ac:dyDescent="0.35">
      <c r="A709" t="s">
        <v>1751</v>
      </c>
      <c r="B709" t="s">
        <v>1752</v>
      </c>
      <c r="C709" t="s">
        <v>22</v>
      </c>
      <c r="D709" t="s">
        <v>1753</v>
      </c>
      <c r="E709" t="s">
        <v>37</v>
      </c>
      <c r="F709" t="s">
        <v>46</v>
      </c>
      <c r="G709" t="s">
        <v>47</v>
      </c>
      <c r="H709" t="s">
        <v>27</v>
      </c>
      <c r="I709" t="s">
        <v>28</v>
      </c>
      <c r="J709">
        <v>115812.92</v>
      </c>
      <c r="K709">
        <v>2019.77</v>
      </c>
      <c r="L709">
        <v>363.56</v>
      </c>
      <c r="M709">
        <v>26.83</v>
      </c>
      <c r="N709">
        <v>118169.42</v>
      </c>
      <c r="O709">
        <v>1635751.14</v>
      </c>
      <c r="P709">
        <v>308</v>
      </c>
      <c r="Q709" t="s">
        <v>53</v>
      </c>
      <c r="R709" t="s">
        <v>54</v>
      </c>
      <c r="S709" t="s">
        <v>31</v>
      </c>
      <c r="T709" t="s">
        <v>55</v>
      </c>
      <c r="U709" s="3">
        <f t="shared" si="11"/>
        <v>45962</v>
      </c>
    </row>
    <row r="710" spans="1:21" x14ac:dyDescent="0.35">
      <c r="A710" t="s">
        <v>1754</v>
      </c>
      <c r="B710" t="s">
        <v>353</v>
      </c>
      <c r="C710" t="s">
        <v>35</v>
      </c>
      <c r="D710" t="s">
        <v>1755</v>
      </c>
      <c r="E710" t="s">
        <v>45</v>
      </c>
      <c r="F710" t="s">
        <v>38</v>
      </c>
      <c r="G710" t="s">
        <v>47</v>
      </c>
      <c r="H710" t="s">
        <v>39</v>
      </c>
      <c r="I710" t="s">
        <v>28</v>
      </c>
      <c r="J710">
        <v>79168.92</v>
      </c>
      <c r="K710">
        <v>187.78</v>
      </c>
      <c r="L710">
        <v>33.799999999999997</v>
      </c>
      <c r="M710">
        <v>453.73</v>
      </c>
      <c r="N710">
        <v>78936.77</v>
      </c>
      <c r="O710">
        <v>1633192.88</v>
      </c>
      <c r="P710">
        <v>538</v>
      </c>
      <c r="Q710" t="s">
        <v>53</v>
      </c>
      <c r="R710" t="s">
        <v>54</v>
      </c>
      <c r="S710" t="s">
        <v>31</v>
      </c>
      <c r="T710" t="s">
        <v>55</v>
      </c>
      <c r="U710" s="3">
        <f t="shared" si="11"/>
        <v>45992</v>
      </c>
    </row>
    <row r="711" spans="1:21" x14ac:dyDescent="0.35">
      <c r="A711" t="s">
        <v>1756</v>
      </c>
      <c r="B711" t="s">
        <v>981</v>
      </c>
      <c r="C711" t="s">
        <v>95</v>
      </c>
      <c r="D711" t="s">
        <v>1757</v>
      </c>
      <c r="E711" t="s">
        <v>24</v>
      </c>
      <c r="F711" t="s">
        <v>59</v>
      </c>
      <c r="G711" t="s">
        <v>60</v>
      </c>
      <c r="H711" t="s">
        <v>66</v>
      </c>
      <c r="I711" t="s">
        <v>28</v>
      </c>
      <c r="J711">
        <v>43546.21</v>
      </c>
      <c r="K711">
        <v>370.18</v>
      </c>
      <c r="L711">
        <v>66.63</v>
      </c>
      <c r="M711">
        <v>27.3</v>
      </c>
      <c r="N711">
        <v>43955.72</v>
      </c>
      <c r="O711">
        <v>1634741.76</v>
      </c>
      <c r="P711">
        <v>469</v>
      </c>
      <c r="Q711" t="s">
        <v>29</v>
      </c>
      <c r="R711" t="s">
        <v>75</v>
      </c>
      <c r="S711" t="s">
        <v>86</v>
      </c>
      <c r="T711" t="s">
        <v>55</v>
      </c>
      <c r="U711" s="3">
        <f t="shared" si="11"/>
        <v>45962</v>
      </c>
    </row>
    <row r="712" spans="1:21" x14ac:dyDescent="0.35">
      <c r="A712" t="s">
        <v>1758</v>
      </c>
      <c r="B712" t="s">
        <v>1759</v>
      </c>
      <c r="C712" t="s">
        <v>95</v>
      </c>
      <c r="D712" t="s">
        <v>1760</v>
      </c>
      <c r="E712" t="s">
        <v>70</v>
      </c>
      <c r="F712" t="s">
        <v>38</v>
      </c>
      <c r="G712" t="s">
        <v>26</v>
      </c>
      <c r="H712" t="s">
        <v>52</v>
      </c>
      <c r="I712" t="s">
        <v>61</v>
      </c>
      <c r="J712">
        <v>66073.289999999994</v>
      </c>
      <c r="K712">
        <v>236.63</v>
      </c>
      <c r="L712">
        <v>42.59</v>
      </c>
      <c r="M712">
        <v>370.09</v>
      </c>
      <c r="N712">
        <v>65982.42</v>
      </c>
      <c r="O712">
        <v>1638309.8</v>
      </c>
      <c r="P712">
        <v>538</v>
      </c>
      <c r="Q712" t="s">
        <v>53</v>
      </c>
      <c r="R712" t="s">
        <v>75</v>
      </c>
      <c r="S712" t="s">
        <v>79</v>
      </c>
      <c r="T712" t="s">
        <v>41</v>
      </c>
      <c r="U712" s="3">
        <f t="shared" si="11"/>
        <v>45689</v>
      </c>
    </row>
    <row r="713" spans="1:21" x14ac:dyDescent="0.35">
      <c r="A713" t="s">
        <v>1761</v>
      </c>
      <c r="B713" t="s">
        <v>231</v>
      </c>
      <c r="C713" t="s">
        <v>22</v>
      </c>
      <c r="D713" t="s">
        <v>1762</v>
      </c>
      <c r="E713" t="s">
        <v>45</v>
      </c>
      <c r="F713" t="s">
        <v>46</v>
      </c>
      <c r="G713" t="s">
        <v>60</v>
      </c>
      <c r="H713" t="s">
        <v>39</v>
      </c>
      <c r="I713" t="s">
        <v>28</v>
      </c>
      <c r="J713">
        <v>90108.88</v>
      </c>
      <c r="K713">
        <v>763.96</v>
      </c>
      <c r="L713">
        <v>137.51</v>
      </c>
      <c r="M713">
        <v>134.94</v>
      </c>
      <c r="N713">
        <v>90875.41</v>
      </c>
      <c r="O713">
        <v>1642546.64</v>
      </c>
      <c r="P713">
        <v>478</v>
      </c>
      <c r="Q713" t="s">
        <v>29</v>
      </c>
      <c r="R713" t="s">
        <v>75</v>
      </c>
      <c r="S713" t="s">
        <v>62</v>
      </c>
      <c r="T713" t="s">
        <v>55</v>
      </c>
      <c r="U713" s="3">
        <f t="shared" si="11"/>
        <v>45658</v>
      </c>
    </row>
    <row r="714" spans="1:21" x14ac:dyDescent="0.35">
      <c r="A714" t="s">
        <v>1763</v>
      </c>
      <c r="B714" t="s">
        <v>1764</v>
      </c>
      <c r="C714" t="s">
        <v>95</v>
      </c>
      <c r="D714" t="s">
        <v>1765</v>
      </c>
      <c r="E714" t="s">
        <v>37</v>
      </c>
      <c r="F714" t="s">
        <v>46</v>
      </c>
      <c r="G714" t="s">
        <v>26</v>
      </c>
      <c r="H714" t="s">
        <v>52</v>
      </c>
      <c r="I714" t="s">
        <v>28</v>
      </c>
      <c r="J714">
        <v>140049.04</v>
      </c>
      <c r="K714">
        <v>500.79</v>
      </c>
      <c r="L714">
        <v>90.14</v>
      </c>
      <c r="M714">
        <v>19.649999999999999</v>
      </c>
      <c r="N714">
        <v>140620.32</v>
      </c>
      <c r="O714">
        <v>1637946.56</v>
      </c>
      <c r="P714">
        <v>396</v>
      </c>
      <c r="Q714" t="s">
        <v>74</v>
      </c>
      <c r="R714" t="s">
        <v>54</v>
      </c>
      <c r="S714" t="s">
        <v>79</v>
      </c>
      <c r="T714" t="s">
        <v>32</v>
      </c>
      <c r="U714" s="3">
        <f t="shared" si="11"/>
        <v>45748</v>
      </c>
    </row>
    <row r="715" spans="1:21" x14ac:dyDescent="0.35">
      <c r="A715" t="s">
        <v>1766</v>
      </c>
      <c r="B715" t="s">
        <v>543</v>
      </c>
      <c r="C715" t="s">
        <v>35</v>
      </c>
      <c r="D715" t="s">
        <v>1767</v>
      </c>
      <c r="E715" t="s">
        <v>37</v>
      </c>
      <c r="F715" t="s">
        <v>59</v>
      </c>
      <c r="G715" t="s">
        <v>60</v>
      </c>
      <c r="H715" t="s">
        <v>66</v>
      </c>
      <c r="I715" t="s">
        <v>28</v>
      </c>
      <c r="J715">
        <v>134508.04999999999</v>
      </c>
      <c r="K715">
        <v>1927.27</v>
      </c>
      <c r="L715">
        <v>346.91</v>
      </c>
      <c r="M715">
        <v>487.24</v>
      </c>
      <c r="N715">
        <v>136294.99</v>
      </c>
      <c r="O715">
        <v>1641167.93</v>
      </c>
      <c r="P715">
        <v>467</v>
      </c>
      <c r="Q715" t="s">
        <v>74</v>
      </c>
      <c r="R715" t="s">
        <v>30</v>
      </c>
      <c r="S715" t="s">
        <v>86</v>
      </c>
      <c r="T715" t="s">
        <v>41</v>
      </c>
      <c r="U715" s="3">
        <f t="shared" si="11"/>
        <v>45992</v>
      </c>
    </row>
    <row r="716" spans="1:21" x14ac:dyDescent="0.35">
      <c r="A716" t="s">
        <v>1768</v>
      </c>
      <c r="B716" t="s">
        <v>474</v>
      </c>
      <c r="C716" t="s">
        <v>35</v>
      </c>
      <c r="D716" t="s">
        <v>1769</v>
      </c>
      <c r="E716" t="s">
        <v>24</v>
      </c>
      <c r="F716" t="s">
        <v>38</v>
      </c>
      <c r="G716" t="s">
        <v>26</v>
      </c>
      <c r="H716" t="s">
        <v>39</v>
      </c>
      <c r="I716" t="s">
        <v>28</v>
      </c>
      <c r="J716">
        <v>17544.63</v>
      </c>
      <c r="K716">
        <v>27.87</v>
      </c>
      <c r="L716">
        <v>5.0199999999999996</v>
      </c>
      <c r="M716">
        <v>166.9</v>
      </c>
      <c r="N716">
        <v>17410.62</v>
      </c>
      <c r="O716">
        <v>1643235.2</v>
      </c>
      <c r="P716">
        <v>730</v>
      </c>
      <c r="Q716" t="s">
        <v>29</v>
      </c>
      <c r="R716" t="s">
        <v>75</v>
      </c>
      <c r="S716" t="s">
        <v>79</v>
      </c>
      <c r="T716" t="s">
        <v>32</v>
      </c>
      <c r="U716" s="3">
        <f t="shared" si="11"/>
        <v>45992</v>
      </c>
    </row>
    <row r="717" spans="1:21" x14ac:dyDescent="0.35">
      <c r="A717" t="s">
        <v>1770</v>
      </c>
      <c r="B717" t="s">
        <v>1300</v>
      </c>
      <c r="C717" t="s">
        <v>22</v>
      </c>
      <c r="D717" t="s">
        <v>1771</v>
      </c>
      <c r="E717" t="s">
        <v>24</v>
      </c>
      <c r="F717" t="s">
        <v>38</v>
      </c>
      <c r="G717" t="s">
        <v>47</v>
      </c>
      <c r="H717" t="s">
        <v>48</v>
      </c>
      <c r="I717" t="s">
        <v>61</v>
      </c>
      <c r="J717">
        <v>73904.83</v>
      </c>
      <c r="K717">
        <v>770.69</v>
      </c>
      <c r="L717">
        <v>138.72</v>
      </c>
      <c r="M717">
        <v>480.99</v>
      </c>
      <c r="N717">
        <v>74333.25</v>
      </c>
      <c r="O717">
        <v>1638987.28</v>
      </c>
      <c r="P717">
        <v>780</v>
      </c>
      <c r="Q717" t="s">
        <v>29</v>
      </c>
      <c r="R717" t="s">
        <v>30</v>
      </c>
      <c r="S717" t="s">
        <v>86</v>
      </c>
      <c r="T717" t="s">
        <v>41</v>
      </c>
      <c r="U717" s="3">
        <f t="shared" si="11"/>
        <v>45901</v>
      </c>
    </row>
    <row r="718" spans="1:21" x14ac:dyDescent="0.35">
      <c r="A718" t="s">
        <v>1772</v>
      </c>
      <c r="B718" t="s">
        <v>1773</v>
      </c>
      <c r="C718" t="s">
        <v>95</v>
      </c>
      <c r="D718" t="s">
        <v>1774</v>
      </c>
      <c r="E718" t="s">
        <v>37</v>
      </c>
      <c r="F718" t="s">
        <v>59</v>
      </c>
      <c r="G718" t="s">
        <v>103</v>
      </c>
      <c r="H718" t="s">
        <v>48</v>
      </c>
      <c r="I718" t="s">
        <v>40</v>
      </c>
      <c r="J718">
        <v>185854.22</v>
      </c>
      <c r="K718">
        <v>3415.86</v>
      </c>
      <c r="L718">
        <v>614.85</v>
      </c>
      <c r="M718">
        <v>347.26</v>
      </c>
      <c r="N718">
        <v>189537.67</v>
      </c>
      <c r="O718">
        <v>1640562.65</v>
      </c>
      <c r="P718">
        <v>675</v>
      </c>
      <c r="Q718" t="s">
        <v>53</v>
      </c>
      <c r="R718" t="s">
        <v>30</v>
      </c>
      <c r="S718" t="s">
        <v>79</v>
      </c>
      <c r="T718" t="s">
        <v>55</v>
      </c>
      <c r="U718" s="3">
        <f t="shared" si="11"/>
        <v>45901</v>
      </c>
    </row>
    <row r="719" spans="1:21" x14ac:dyDescent="0.35">
      <c r="A719" t="s">
        <v>1775</v>
      </c>
      <c r="B719" t="s">
        <v>113</v>
      </c>
      <c r="C719" t="s">
        <v>95</v>
      </c>
      <c r="D719" t="s">
        <v>1776</v>
      </c>
      <c r="E719" t="s">
        <v>45</v>
      </c>
      <c r="F719" t="s">
        <v>59</v>
      </c>
      <c r="G719" t="s">
        <v>60</v>
      </c>
      <c r="H719" t="s">
        <v>27</v>
      </c>
      <c r="I719" t="s">
        <v>61</v>
      </c>
      <c r="J719">
        <v>7554.9</v>
      </c>
      <c r="K719">
        <v>133.11000000000001</v>
      </c>
      <c r="L719">
        <v>23.96</v>
      </c>
      <c r="M719">
        <v>119.23</v>
      </c>
      <c r="N719">
        <v>7592.74</v>
      </c>
      <c r="O719">
        <v>1638755.58</v>
      </c>
      <c r="P719">
        <v>713</v>
      </c>
      <c r="Q719" t="s">
        <v>29</v>
      </c>
      <c r="R719" t="s">
        <v>30</v>
      </c>
      <c r="S719" t="s">
        <v>79</v>
      </c>
      <c r="T719" t="s">
        <v>55</v>
      </c>
      <c r="U719" s="3">
        <f t="shared" si="11"/>
        <v>45839</v>
      </c>
    </row>
    <row r="720" spans="1:21" x14ac:dyDescent="0.35">
      <c r="A720" t="s">
        <v>1777</v>
      </c>
      <c r="B720" t="s">
        <v>1234</v>
      </c>
      <c r="C720" t="s">
        <v>95</v>
      </c>
      <c r="D720" t="s">
        <v>1778</v>
      </c>
      <c r="E720" t="s">
        <v>24</v>
      </c>
      <c r="F720" t="s">
        <v>25</v>
      </c>
      <c r="G720" t="s">
        <v>103</v>
      </c>
      <c r="H720" t="s">
        <v>27</v>
      </c>
      <c r="I720" t="s">
        <v>61</v>
      </c>
      <c r="J720">
        <v>108430.1</v>
      </c>
      <c r="K720">
        <v>889.51</v>
      </c>
      <c r="L720">
        <v>160.11000000000001</v>
      </c>
      <c r="M720">
        <v>94.89</v>
      </c>
      <c r="N720">
        <v>109384.83</v>
      </c>
      <c r="O720">
        <v>1635312.6</v>
      </c>
      <c r="P720">
        <v>456</v>
      </c>
      <c r="Q720" t="s">
        <v>53</v>
      </c>
      <c r="R720" t="s">
        <v>54</v>
      </c>
      <c r="S720" t="s">
        <v>31</v>
      </c>
      <c r="T720" t="s">
        <v>32</v>
      </c>
      <c r="U720" s="3">
        <f t="shared" si="11"/>
        <v>45778</v>
      </c>
    </row>
    <row r="721" spans="1:21" x14ac:dyDescent="0.35">
      <c r="A721" t="s">
        <v>1779</v>
      </c>
      <c r="B721" t="s">
        <v>914</v>
      </c>
      <c r="C721" t="s">
        <v>95</v>
      </c>
      <c r="D721" t="s">
        <v>1780</v>
      </c>
      <c r="E721" t="s">
        <v>45</v>
      </c>
      <c r="F721" t="s">
        <v>25</v>
      </c>
      <c r="G721" t="s">
        <v>47</v>
      </c>
      <c r="H721" t="s">
        <v>66</v>
      </c>
      <c r="I721" t="s">
        <v>61</v>
      </c>
      <c r="J721">
        <v>112138.26</v>
      </c>
      <c r="K721">
        <v>1811.28</v>
      </c>
      <c r="L721">
        <v>326.02999999999997</v>
      </c>
      <c r="M721">
        <v>423.13</v>
      </c>
      <c r="N721">
        <v>113852.44</v>
      </c>
      <c r="O721">
        <v>1641948.67</v>
      </c>
      <c r="P721">
        <v>398</v>
      </c>
      <c r="Q721" t="s">
        <v>74</v>
      </c>
      <c r="R721" t="s">
        <v>30</v>
      </c>
      <c r="S721" t="s">
        <v>86</v>
      </c>
      <c r="T721" t="s">
        <v>32</v>
      </c>
      <c r="U721" s="3">
        <f t="shared" si="11"/>
        <v>45992</v>
      </c>
    </row>
    <row r="722" spans="1:21" x14ac:dyDescent="0.35">
      <c r="A722" t="s">
        <v>1781</v>
      </c>
      <c r="B722" t="s">
        <v>992</v>
      </c>
      <c r="C722" t="s">
        <v>22</v>
      </c>
      <c r="D722" t="s">
        <v>1782</v>
      </c>
      <c r="E722" t="s">
        <v>70</v>
      </c>
      <c r="F722" t="s">
        <v>59</v>
      </c>
      <c r="G722" t="s">
        <v>47</v>
      </c>
      <c r="H722" t="s">
        <v>52</v>
      </c>
      <c r="I722" t="s">
        <v>61</v>
      </c>
      <c r="J722">
        <v>106135.13</v>
      </c>
      <c r="K722">
        <v>677.1</v>
      </c>
      <c r="L722">
        <v>121.88</v>
      </c>
      <c r="M722">
        <v>196.37</v>
      </c>
      <c r="N722">
        <v>106737.74</v>
      </c>
      <c r="O722">
        <v>1638107.4</v>
      </c>
      <c r="P722">
        <v>518</v>
      </c>
      <c r="Q722" t="s">
        <v>74</v>
      </c>
      <c r="R722" t="s">
        <v>75</v>
      </c>
      <c r="S722" t="s">
        <v>79</v>
      </c>
      <c r="T722" t="s">
        <v>55</v>
      </c>
      <c r="U722" s="3">
        <f t="shared" si="11"/>
        <v>45962</v>
      </c>
    </row>
    <row r="723" spans="1:21" x14ac:dyDescent="0.35">
      <c r="A723" t="s">
        <v>1783</v>
      </c>
      <c r="B723" t="s">
        <v>146</v>
      </c>
      <c r="C723" t="s">
        <v>35</v>
      </c>
      <c r="D723" t="s">
        <v>1784</v>
      </c>
      <c r="E723" t="s">
        <v>37</v>
      </c>
      <c r="F723" t="s">
        <v>38</v>
      </c>
      <c r="G723" t="s">
        <v>60</v>
      </c>
      <c r="H723" t="s">
        <v>52</v>
      </c>
      <c r="I723" t="s">
        <v>28</v>
      </c>
      <c r="J723">
        <v>172302.91</v>
      </c>
      <c r="K723">
        <v>2756.69</v>
      </c>
      <c r="L723">
        <v>496.2</v>
      </c>
      <c r="M723">
        <v>208.4</v>
      </c>
      <c r="N723">
        <v>175347.4</v>
      </c>
      <c r="O723">
        <v>1641575.3</v>
      </c>
      <c r="P723">
        <v>747</v>
      </c>
      <c r="Q723" t="s">
        <v>74</v>
      </c>
      <c r="R723" t="s">
        <v>30</v>
      </c>
      <c r="S723" t="s">
        <v>31</v>
      </c>
      <c r="T723" t="s">
        <v>55</v>
      </c>
      <c r="U723" s="3">
        <f t="shared" si="11"/>
        <v>45870</v>
      </c>
    </row>
    <row r="724" spans="1:21" x14ac:dyDescent="0.35">
      <c r="A724" t="s">
        <v>1785</v>
      </c>
      <c r="B724" t="s">
        <v>431</v>
      </c>
      <c r="C724" t="s">
        <v>35</v>
      </c>
      <c r="D724" t="s">
        <v>1786</v>
      </c>
      <c r="E724" t="s">
        <v>45</v>
      </c>
      <c r="F724" t="s">
        <v>59</v>
      </c>
      <c r="G724" t="s">
        <v>60</v>
      </c>
      <c r="H724" t="s">
        <v>66</v>
      </c>
      <c r="I724" t="s">
        <v>28</v>
      </c>
      <c r="J724">
        <v>173861.8</v>
      </c>
      <c r="K724">
        <v>1689.07</v>
      </c>
      <c r="L724">
        <v>304.02999999999997</v>
      </c>
      <c r="M724">
        <v>488.69</v>
      </c>
      <c r="N724">
        <v>175366.21</v>
      </c>
      <c r="O724">
        <v>1644736.52</v>
      </c>
      <c r="P724">
        <v>695</v>
      </c>
      <c r="Q724" t="s">
        <v>53</v>
      </c>
      <c r="R724" t="s">
        <v>54</v>
      </c>
      <c r="S724" t="s">
        <v>62</v>
      </c>
      <c r="T724" t="s">
        <v>55</v>
      </c>
      <c r="U724" s="3">
        <f t="shared" si="11"/>
        <v>45870</v>
      </c>
    </row>
    <row r="725" spans="1:21" x14ac:dyDescent="0.35">
      <c r="A725" t="s">
        <v>1787</v>
      </c>
      <c r="B725" t="s">
        <v>618</v>
      </c>
      <c r="C725" t="s">
        <v>95</v>
      </c>
      <c r="D725" t="s">
        <v>1788</v>
      </c>
      <c r="E725" t="s">
        <v>37</v>
      </c>
      <c r="F725" t="s">
        <v>38</v>
      </c>
      <c r="G725" t="s">
        <v>26</v>
      </c>
      <c r="H725" t="s">
        <v>48</v>
      </c>
      <c r="I725" t="s">
        <v>40</v>
      </c>
      <c r="J725">
        <v>56840.37</v>
      </c>
      <c r="K725">
        <v>239.8</v>
      </c>
      <c r="L725">
        <v>43.16</v>
      </c>
      <c r="M725">
        <v>362.88</v>
      </c>
      <c r="N725">
        <v>56760.45</v>
      </c>
      <c r="O725">
        <v>1652032.29</v>
      </c>
      <c r="P725">
        <v>612</v>
      </c>
      <c r="Q725" t="s">
        <v>53</v>
      </c>
      <c r="R725" t="s">
        <v>75</v>
      </c>
      <c r="S725" t="s">
        <v>86</v>
      </c>
      <c r="T725" t="s">
        <v>55</v>
      </c>
      <c r="U725" s="3">
        <f t="shared" si="11"/>
        <v>45748</v>
      </c>
    </row>
    <row r="726" spans="1:21" x14ac:dyDescent="0.35">
      <c r="A726" t="s">
        <v>1789</v>
      </c>
      <c r="B726" t="s">
        <v>228</v>
      </c>
      <c r="C726" t="s">
        <v>22</v>
      </c>
      <c r="D726" t="s">
        <v>1450</v>
      </c>
      <c r="E726" t="s">
        <v>37</v>
      </c>
      <c r="F726" t="s">
        <v>46</v>
      </c>
      <c r="G726" t="s">
        <v>60</v>
      </c>
      <c r="H726" t="s">
        <v>52</v>
      </c>
      <c r="I726" t="s">
        <v>28</v>
      </c>
      <c r="J726">
        <v>125146.69</v>
      </c>
      <c r="K726">
        <v>1305.08</v>
      </c>
      <c r="L726">
        <v>234.91</v>
      </c>
      <c r="M726">
        <v>59.97</v>
      </c>
      <c r="N726">
        <v>126626.71</v>
      </c>
      <c r="O726">
        <v>1660644.06</v>
      </c>
      <c r="P726">
        <v>828</v>
      </c>
      <c r="Q726" t="s">
        <v>29</v>
      </c>
      <c r="R726" t="s">
        <v>75</v>
      </c>
      <c r="S726" t="s">
        <v>62</v>
      </c>
      <c r="T726" t="s">
        <v>55</v>
      </c>
      <c r="U726" s="3">
        <f t="shared" si="11"/>
        <v>45992</v>
      </c>
    </row>
    <row r="727" spans="1:21" x14ac:dyDescent="0.35">
      <c r="A727" t="s">
        <v>1790</v>
      </c>
      <c r="B727" t="s">
        <v>908</v>
      </c>
      <c r="C727" t="s">
        <v>95</v>
      </c>
      <c r="D727" t="s">
        <v>1791</v>
      </c>
      <c r="E727" t="s">
        <v>70</v>
      </c>
      <c r="F727" t="s">
        <v>46</v>
      </c>
      <c r="G727" t="s">
        <v>103</v>
      </c>
      <c r="H727" t="s">
        <v>39</v>
      </c>
      <c r="I727" t="s">
        <v>61</v>
      </c>
      <c r="J727">
        <v>108274.14</v>
      </c>
      <c r="K727">
        <v>1684.13</v>
      </c>
      <c r="L727">
        <v>303.14</v>
      </c>
      <c r="M727">
        <v>166.25</v>
      </c>
      <c r="N727">
        <v>110095.16</v>
      </c>
      <c r="O727">
        <v>1668102.17</v>
      </c>
      <c r="P727">
        <v>594</v>
      </c>
      <c r="Q727" t="s">
        <v>53</v>
      </c>
      <c r="R727" t="s">
        <v>30</v>
      </c>
      <c r="S727" t="s">
        <v>62</v>
      </c>
      <c r="T727" t="s">
        <v>32</v>
      </c>
      <c r="U727" s="3">
        <f t="shared" si="11"/>
        <v>45870</v>
      </c>
    </row>
    <row r="728" spans="1:21" x14ac:dyDescent="0.35">
      <c r="A728" t="s">
        <v>1792</v>
      </c>
      <c r="B728" t="s">
        <v>746</v>
      </c>
      <c r="C728" t="s">
        <v>95</v>
      </c>
      <c r="D728" t="s">
        <v>1793</v>
      </c>
      <c r="E728" t="s">
        <v>24</v>
      </c>
      <c r="F728" t="s">
        <v>38</v>
      </c>
      <c r="G728" t="s">
        <v>60</v>
      </c>
      <c r="H728" t="s">
        <v>48</v>
      </c>
      <c r="I728" t="s">
        <v>40</v>
      </c>
      <c r="J728">
        <v>55975.5</v>
      </c>
      <c r="K728">
        <v>495.13</v>
      </c>
      <c r="L728">
        <v>89.12</v>
      </c>
      <c r="M728">
        <v>135.76</v>
      </c>
      <c r="N728">
        <v>56423.99</v>
      </c>
      <c r="O728">
        <v>1666526.55</v>
      </c>
      <c r="P728">
        <v>364</v>
      </c>
      <c r="Q728" t="s">
        <v>29</v>
      </c>
      <c r="R728" t="s">
        <v>75</v>
      </c>
      <c r="S728" t="s">
        <v>79</v>
      </c>
      <c r="T728" t="s">
        <v>32</v>
      </c>
      <c r="U728" s="3">
        <f t="shared" si="11"/>
        <v>45778</v>
      </c>
    </row>
    <row r="729" spans="1:21" x14ac:dyDescent="0.35">
      <c r="A729" t="s">
        <v>1794</v>
      </c>
      <c r="B729" t="s">
        <v>414</v>
      </c>
      <c r="C729" t="s">
        <v>22</v>
      </c>
      <c r="D729" t="s">
        <v>1030</v>
      </c>
      <c r="E729" t="s">
        <v>37</v>
      </c>
      <c r="F729" t="s">
        <v>46</v>
      </c>
      <c r="G729" t="s">
        <v>60</v>
      </c>
      <c r="H729" t="s">
        <v>39</v>
      </c>
      <c r="I729" t="s">
        <v>61</v>
      </c>
      <c r="J729">
        <v>124300.78</v>
      </c>
      <c r="K729">
        <v>2085.29</v>
      </c>
      <c r="L729">
        <v>375.35</v>
      </c>
      <c r="M729">
        <v>378.88</v>
      </c>
      <c r="N729">
        <v>126382.54</v>
      </c>
      <c r="O729">
        <v>1672866.48</v>
      </c>
      <c r="P729">
        <v>549</v>
      </c>
      <c r="Q729" t="s">
        <v>53</v>
      </c>
      <c r="R729" t="s">
        <v>54</v>
      </c>
      <c r="S729" t="s">
        <v>86</v>
      </c>
      <c r="T729" t="s">
        <v>41</v>
      </c>
      <c r="U729" s="3">
        <f t="shared" si="11"/>
        <v>45901</v>
      </c>
    </row>
    <row r="730" spans="1:21" x14ac:dyDescent="0.35">
      <c r="A730" t="s">
        <v>1795</v>
      </c>
      <c r="B730" t="s">
        <v>362</v>
      </c>
      <c r="C730" t="s">
        <v>35</v>
      </c>
      <c r="D730" t="s">
        <v>1796</v>
      </c>
      <c r="E730" t="s">
        <v>45</v>
      </c>
      <c r="F730" t="s">
        <v>46</v>
      </c>
      <c r="G730" t="s">
        <v>26</v>
      </c>
      <c r="H730" t="s">
        <v>27</v>
      </c>
      <c r="I730" t="s">
        <v>40</v>
      </c>
      <c r="J730">
        <v>65103.7</v>
      </c>
      <c r="K730">
        <v>853.34</v>
      </c>
      <c r="L730">
        <v>153.6</v>
      </c>
      <c r="M730">
        <v>5.94</v>
      </c>
      <c r="N730">
        <v>66104.7</v>
      </c>
      <c r="O730">
        <v>1667951.28</v>
      </c>
      <c r="P730">
        <v>519</v>
      </c>
      <c r="Q730" t="s">
        <v>74</v>
      </c>
      <c r="R730" t="s">
        <v>30</v>
      </c>
      <c r="S730" t="s">
        <v>31</v>
      </c>
      <c r="T730" t="s">
        <v>55</v>
      </c>
      <c r="U730" s="3">
        <f t="shared" si="11"/>
        <v>45748</v>
      </c>
    </row>
    <row r="731" spans="1:21" x14ac:dyDescent="0.35">
      <c r="A731" t="s">
        <v>1797</v>
      </c>
      <c r="B731" t="s">
        <v>485</v>
      </c>
      <c r="C731" t="s">
        <v>22</v>
      </c>
      <c r="D731" t="s">
        <v>1798</v>
      </c>
      <c r="E731" t="s">
        <v>37</v>
      </c>
      <c r="F731" t="s">
        <v>59</v>
      </c>
      <c r="G731" t="s">
        <v>60</v>
      </c>
      <c r="H731" t="s">
        <v>66</v>
      </c>
      <c r="I731" t="s">
        <v>40</v>
      </c>
      <c r="J731">
        <v>100538.55</v>
      </c>
      <c r="K731">
        <v>744.86</v>
      </c>
      <c r="L731">
        <v>134.07</v>
      </c>
      <c r="M731">
        <v>131.5</v>
      </c>
      <c r="N731">
        <v>101285.98</v>
      </c>
      <c r="O731">
        <v>1676982.86</v>
      </c>
      <c r="P731">
        <v>514</v>
      </c>
      <c r="Q731" t="s">
        <v>29</v>
      </c>
      <c r="R731" t="s">
        <v>30</v>
      </c>
      <c r="S731" t="s">
        <v>31</v>
      </c>
      <c r="T731" t="s">
        <v>32</v>
      </c>
      <c r="U731" s="3">
        <f t="shared" si="11"/>
        <v>45658</v>
      </c>
    </row>
    <row r="732" spans="1:21" x14ac:dyDescent="0.35">
      <c r="A732" t="s">
        <v>1799</v>
      </c>
      <c r="B732" t="s">
        <v>1800</v>
      </c>
      <c r="C732" t="s">
        <v>35</v>
      </c>
      <c r="D732" t="s">
        <v>906</v>
      </c>
      <c r="E732" t="s">
        <v>24</v>
      </c>
      <c r="F732" t="s">
        <v>38</v>
      </c>
      <c r="G732" t="s">
        <v>60</v>
      </c>
      <c r="H732" t="s">
        <v>27</v>
      </c>
      <c r="I732" t="s">
        <v>28</v>
      </c>
      <c r="J732">
        <v>64870.58</v>
      </c>
      <c r="K732">
        <v>436.95</v>
      </c>
      <c r="L732">
        <v>78.650000000000006</v>
      </c>
      <c r="M732">
        <v>216.45</v>
      </c>
      <c r="N732">
        <v>65169.73</v>
      </c>
      <c r="O732">
        <v>1685434.93</v>
      </c>
      <c r="P732">
        <v>874</v>
      </c>
      <c r="Q732" t="s">
        <v>74</v>
      </c>
      <c r="R732" t="s">
        <v>54</v>
      </c>
      <c r="S732" t="s">
        <v>62</v>
      </c>
      <c r="T732" t="s">
        <v>41</v>
      </c>
      <c r="U732" s="3">
        <f t="shared" si="11"/>
        <v>45658</v>
      </c>
    </row>
    <row r="733" spans="1:21" x14ac:dyDescent="0.35">
      <c r="A733" t="s">
        <v>1801</v>
      </c>
      <c r="B733" t="s">
        <v>1802</v>
      </c>
      <c r="C733" t="s">
        <v>35</v>
      </c>
      <c r="D733" t="s">
        <v>1803</v>
      </c>
      <c r="E733" t="s">
        <v>24</v>
      </c>
      <c r="F733" t="s">
        <v>38</v>
      </c>
      <c r="G733" t="s">
        <v>103</v>
      </c>
      <c r="H733" t="s">
        <v>39</v>
      </c>
      <c r="I733" t="s">
        <v>28</v>
      </c>
      <c r="J733">
        <v>114632.52</v>
      </c>
      <c r="K733">
        <v>800.6</v>
      </c>
      <c r="L733">
        <v>144.11000000000001</v>
      </c>
      <c r="M733">
        <v>61.1</v>
      </c>
      <c r="N733">
        <v>115516.13</v>
      </c>
      <c r="O733">
        <v>1694575.05</v>
      </c>
      <c r="P733">
        <v>532</v>
      </c>
      <c r="Q733" t="s">
        <v>29</v>
      </c>
      <c r="R733" t="s">
        <v>54</v>
      </c>
      <c r="S733" t="s">
        <v>86</v>
      </c>
      <c r="T733" t="s">
        <v>55</v>
      </c>
      <c r="U733" s="3">
        <f t="shared" si="11"/>
        <v>45870</v>
      </c>
    </row>
    <row r="734" spans="1:21" x14ac:dyDescent="0.35">
      <c r="A734" t="s">
        <v>1804</v>
      </c>
      <c r="B734" t="s">
        <v>107</v>
      </c>
      <c r="C734" t="s">
        <v>22</v>
      </c>
      <c r="D734" t="s">
        <v>1805</v>
      </c>
      <c r="E734" t="s">
        <v>24</v>
      </c>
      <c r="F734" t="s">
        <v>46</v>
      </c>
      <c r="G734" t="s">
        <v>47</v>
      </c>
      <c r="H734" t="s">
        <v>48</v>
      </c>
      <c r="I734" t="s">
        <v>61</v>
      </c>
      <c r="J734">
        <v>63113.22</v>
      </c>
      <c r="K734">
        <v>522.07000000000005</v>
      </c>
      <c r="L734">
        <v>93.97</v>
      </c>
      <c r="M734">
        <v>309.37</v>
      </c>
      <c r="N734">
        <v>63419.89</v>
      </c>
      <c r="O734">
        <v>1690359.25</v>
      </c>
      <c r="P734">
        <v>342</v>
      </c>
      <c r="Q734" t="s">
        <v>74</v>
      </c>
      <c r="R734" t="s">
        <v>54</v>
      </c>
      <c r="S734" t="s">
        <v>86</v>
      </c>
      <c r="T734" t="s">
        <v>32</v>
      </c>
      <c r="U734" s="3">
        <f t="shared" si="11"/>
        <v>45870</v>
      </c>
    </row>
    <row r="735" spans="1:21" x14ac:dyDescent="0.35">
      <c r="A735" t="s">
        <v>1806</v>
      </c>
      <c r="B735" t="s">
        <v>1482</v>
      </c>
      <c r="C735" t="s">
        <v>22</v>
      </c>
      <c r="D735" t="s">
        <v>1807</v>
      </c>
      <c r="E735" t="s">
        <v>37</v>
      </c>
      <c r="F735" t="s">
        <v>59</v>
      </c>
      <c r="G735" t="s">
        <v>26</v>
      </c>
      <c r="H735" t="s">
        <v>48</v>
      </c>
      <c r="I735" t="s">
        <v>28</v>
      </c>
      <c r="J735">
        <v>50273.55</v>
      </c>
      <c r="K735">
        <v>77.72</v>
      </c>
      <c r="L735">
        <v>13.99</v>
      </c>
      <c r="M735">
        <v>90.32</v>
      </c>
      <c r="N735">
        <v>50274.94</v>
      </c>
      <c r="O735">
        <v>1697022.6</v>
      </c>
      <c r="P735">
        <v>512</v>
      </c>
      <c r="Q735" t="s">
        <v>29</v>
      </c>
      <c r="R735" t="s">
        <v>54</v>
      </c>
      <c r="S735" t="s">
        <v>79</v>
      </c>
      <c r="T735" t="s">
        <v>55</v>
      </c>
      <c r="U735" s="3">
        <f t="shared" si="11"/>
        <v>45931</v>
      </c>
    </row>
    <row r="736" spans="1:21" x14ac:dyDescent="0.35">
      <c r="A736" t="s">
        <v>1808</v>
      </c>
      <c r="B736" t="s">
        <v>294</v>
      </c>
      <c r="C736" t="s">
        <v>95</v>
      </c>
      <c r="D736" t="s">
        <v>1432</v>
      </c>
      <c r="E736" t="s">
        <v>24</v>
      </c>
      <c r="F736" t="s">
        <v>59</v>
      </c>
      <c r="G736" t="s">
        <v>103</v>
      </c>
      <c r="H736" t="s">
        <v>27</v>
      </c>
      <c r="I736" t="s">
        <v>61</v>
      </c>
      <c r="J736">
        <v>128270.31</v>
      </c>
      <c r="K736">
        <v>787.13</v>
      </c>
      <c r="L736">
        <v>141.68</v>
      </c>
      <c r="M736">
        <v>95.75</v>
      </c>
      <c r="N736">
        <v>129103.37</v>
      </c>
      <c r="O736">
        <v>1705358.8</v>
      </c>
      <c r="P736">
        <v>300</v>
      </c>
      <c r="Q736" t="s">
        <v>74</v>
      </c>
      <c r="R736" t="s">
        <v>54</v>
      </c>
      <c r="S736" t="s">
        <v>79</v>
      </c>
      <c r="T736" t="s">
        <v>32</v>
      </c>
      <c r="U736" s="3">
        <f t="shared" si="11"/>
        <v>45870</v>
      </c>
    </row>
    <row r="737" spans="1:21" x14ac:dyDescent="0.35">
      <c r="A737" t="s">
        <v>1809</v>
      </c>
      <c r="B737" t="s">
        <v>807</v>
      </c>
      <c r="C737" t="s">
        <v>35</v>
      </c>
      <c r="D737" t="s">
        <v>360</v>
      </c>
      <c r="E737" t="s">
        <v>37</v>
      </c>
      <c r="F737" t="s">
        <v>38</v>
      </c>
      <c r="G737" t="s">
        <v>60</v>
      </c>
      <c r="H737" t="s">
        <v>66</v>
      </c>
      <c r="I737" t="s">
        <v>28</v>
      </c>
      <c r="J737">
        <v>6051.22</v>
      </c>
      <c r="K737">
        <v>83.81</v>
      </c>
      <c r="L737">
        <v>15.09</v>
      </c>
      <c r="M737">
        <v>281.22000000000003</v>
      </c>
      <c r="N737">
        <v>5868.9</v>
      </c>
      <c r="O737">
        <v>1709029.84</v>
      </c>
      <c r="P737">
        <v>435</v>
      </c>
      <c r="Q737" t="s">
        <v>53</v>
      </c>
      <c r="R737" t="s">
        <v>54</v>
      </c>
      <c r="S737" t="s">
        <v>31</v>
      </c>
      <c r="T737" t="s">
        <v>41</v>
      </c>
      <c r="U737" s="3">
        <f t="shared" si="11"/>
        <v>45839</v>
      </c>
    </row>
    <row r="738" spans="1:21" x14ac:dyDescent="0.35">
      <c r="A738" t="s">
        <v>1810</v>
      </c>
      <c r="B738" t="s">
        <v>219</v>
      </c>
      <c r="C738" t="s">
        <v>22</v>
      </c>
      <c r="D738" t="s">
        <v>1811</v>
      </c>
      <c r="E738" t="s">
        <v>70</v>
      </c>
      <c r="F738" t="s">
        <v>25</v>
      </c>
      <c r="G738" t="s">
        <v>60</v>
      </c>
      <c r="H738" t="s">
        <v>48</v>
      </c>
      <c r="I738" t="s">
        <v>40</v>
      </c>
      <c r="J738">
        <v>11785.39</v>
      </c>
      <c r="K738">
        <v>227.23</v>
      </c>
      <c r="L738">
        <v>40.9</v>
      </c>
      <c r="M738">
        <v>288.47000000000003</v>
      </c>
      <c r="N738">
        <v>11765.05</v>
      </c>
      <c r="O738">
        <v>1707202.03</v>
      </c>
      <c r="P738">
        <v>891</v>
      </c>
      <c r="Q738" t="s">
        <v>74</v>
      </c>
      <c r="R738" t="s">
        <v>30</v>
      </c>
      <c r="S738" t="s">
        <v>31</v>
      </c>
      <c r="T738" t="s">
        <v>41</v>
      </c>
      <c r="U738" s="3">
        <f t="shared" si="11"/>
        <v>45992</v>
      </c>
    </row>
    <row r="739" spans="1:21" x14ac:dyDescent="0.35">
      <c r="A739" t="s">
        <v>1812</v>
      </c>
      <c r="B739" t="s">
        <v>373</v>
      </c>
      <c r="C739" t="s">
        <v>22</v>
      </c>
      <c r="D739" t="s">
        <v>1813</v>
      </c>
      <c r="E739" t="s">
        <v>37</v>
      </c>
      <c r="F739" t="s">
        <v>38</v>
      </c>
      <c r="G739" t="s">
        <v>47</v>
      </c>
      <c r="H739" t="s">
        <v>48</v>
      </c>
      <c r="I739" t="s">
        <v>28</v>
      </c>
      <c r="J739">
        <v>74832.22</v>
      </c>
      <c r="K739">
        <v>438.89</v>
      </c>
      <c r="L739">
        <v>79</v>
      </c>
      <c r="M739">
        <v>274.86</v>
      </c>
      <c r="N739">
        <v>75075.25</v>
      </c>
      <c r="O739">
        <v>1704414.06</v>
      </c>
      <c r="P739">
        <v>705</v>
      </c>
      <c r="Q739" t="s">
        <v>53</v>
      </c>
      <c r="R739" t="s">
        <v>54</v>
      </c>
      <c r="S739" t="s">
        <v>31</v>
      </c>
      <c r="T739" t="s">
        <v>55</v>
      </c>
      <c r="U739" s="3">
        <f t="shared" si="11"/>
        <v>45809</v>
      </c>
    </row>
    <row r="740" spans="1:21" x14ac:dyDescent="0.35">
      <c r="A740" t="s">
        <v>1814</v>
      </c>
      <c r="B740" t="s">
        <v>101</v>
      </c>
      <c r="C740" t="s">
        <v>95</v>
      </c>
      <c r="D740" t="s">
        <v>1815</v>
      </c>
      <c r="E740" t="s">
        <v>24</v>
      </c>
      <c r="F740" t="s">
        <v>46</v>
      </c>
      <c r="G740" t="s">
        <v>103</v>
      </c>
      <c r="H740" t="s">
        <v>39</v>
      </c>
      <c r="I740" t="s">
        <v>40</v>
      </c>
      <c r="J740">
        <v>35693.69</v>
      </c>
      <c r="K740">
        <v>677.5</v>
      </c>
      <c r="L740">
        <v>121.95</v>
      </c>
      <c r="M740">
        <v>265.16000000000003</v>
      </c>
      <c r="N740">
        <v>36227.980000000003</v>
      </c>
      <c r="O740">
        <v>1703477.99</v>
      </c>
      <c r="P740">
        <v>891</v>
      </c>
      <c r="Q740" t="s">
        <v>29</v>
      </c>
      <c r="R740" t="s">
        <v>30</v>
      </c>
      <c r="S740" t="s">
        <v>86</v>
      </c>
      <c r="T740" t="s">
        <v>55</v>
      </c>
      <c r="U740" s="3">
        <f t="shared" si="11"/>
        <v>45870</v>
      </c>
    </row>
    <row r="741" spans="1:21" x14ac:dyDescent="0.35">
      <c r="A741" t="s">
        <v>1816</v>
      </c>
      <c r="B741" t="s">
        <v>72</v>
      </c>
      <c r="C741" t="s">
        <v>22</v>
      </c>
      <c r="D741" t="s">
        <v>1817</v>
      </c>
      <c r="E741" t="s">
        <v>24</v>
      </c>
      <c r="F741" t="s">
        <v>59</v>
      </c>
      <c r="G741" t="s">
        <v>60</v>
      </c>
      <c r="H741" t="s">
        <v>66</v>
      </c>
      <c r="I741" t="s">
        <v>28</v>
      </c>
      <c r="J741">
        <v>6535.2</v>
      </c>
      <c r="K741">
        <v>54.6</v>
      </c>
      <c r="L741">
        <v>9.83</v>
      </c>
      <c r="M741">
        <v>55.5</v>
      </c>
      <c r="N741">
        <v>6544.13</v>
      </c>
      <c r="O741">
        <v>1704701.48</v>
      </c>
      <c r="P741">
        <v>505</v>
      </c>
      <c r="Q741" t="s">
        <v>29</v>
      </c>
      <c r="R741" t="s">
        <v>30</v>
      </c>
      <c r="S741" t="s">
        <v>86</v>
      </c>
      <c r="T741" t="s">
        <v>55</v>
      </c>
      <c r="U741" s="3">
        <f t="shared" si="11"/>
        <v>45658</v>
      </c>
    </row>
    <row r="742" spans="1:21" x14ac:dyDescent="0.35">
      <c r="A742" t="s">
        <v>1818</v>
      </c>
      <c r="B742" t="s">
        <v>728</v>
      </c>
      <c r="C742" t="s">
        <v>22</v>
      </c>
      <c r="D742" t="s">
        <v>1819</v>
      </c>
      <c r="E742" t="s">
        <v>45</v>
      </c>
      <c r="F742" t="s">
        <v>59</v>
      </c>
      <c r="G742" t="s">
        <v>47</v>
      </c>
      <c r="H742" t="s">
        <v>27</v>
      </c>
      <c r="I742" t="s">
        <v>28</v>
      </c>
      <c r="J742">
        <v>181959.63</v>
      </c>
      <c r="K742">
        <v>2543.5300000000002</v>
      </c>
      <c r="L742">
        <v>457.84</v>
      </c>
      <c r="M742">
        <v>372.06</v>
      </c>
      <c r="N742">
        <v>184588.94</v>
      </c>
      <c r="O742">
        <v>1713354.22</v>
      </c>
      <c r="P742">
        <v>732</v>
      </c>
      <c r="Q742" t="s">
        <v>53</v>
      </c>
      <c r="R742" t="s">
        <v>54</v>
      </c>
      <c r="S742" t="s">
        <v>79</v>
      </c>
      <c r="T742" t="s">
        <v>32</v>
      </c>
      <c r="U742" s="3">
        <f t="shared" si="11"/>
        <v>45658</v>
      </c>
    </row>
    <row r="743" spans="1:21" x14ac:dyDescent="0.35">
      <c r="A743" t="s">
        <v>1820</v>
      </c>
      <c r="B743" t="s">
        <v>1516</v>
      </c>
      <c r="C743" t="s">
        <v>95</v>
      </c>
      <c r="D743" t="s">
        <v>1821</v>
      </c>
      <c r="E743" t="s">
        <v>70</v>
      </c>
      <c r="F743" t="s">
        <v>59</v>
      </c>
      <c r="G743" t="s">
        <v>47</v>
      </c>
      <c r="H743" t="s">
        <v>52</v>
      </c>
      <c r="I743" t="s">
        <v>28</v>
      </c>
      <c r="J743">
        <v>112437.09</v>
      </c>
      <c r="K743">
        <v>1294.77</v>
      </c>
      <c r="L743">
        <v>233.06</v>
      </c>
      <c r="M743">
        <v>209.98</v>
      </c>
      <c r="N743">
        <v>113754.94</v>
      </c>
      <c r="O743">
        <v>1717230.52</v>
      </c>
      <c r="P743">
        <v>434</v>
      </c>
      <c r="Q743" t="s">
        <v>29</v>
      </c>
      <c r="R743" t="s">
        <v>54</v>
      </c>
      <c r="S743" t="s">
        <v>62</v>
      </c>
      <c r="T743" t="s">
        <v>55</v>
      </c>
      <c r="U743" s="3">
        <f t="shared" si="11"/>
        <v>45992</v>
      </c>
    </row>
    <row r="744" spans="1:21" x14ac:dyDescent="0.35">
      <c r="A744" t="s">
        <v>1822</v>
      </c>
      <c r="B744" t="s">
        <v>344</v>
      </c>
      <c r="C744" t="s">
        <v>35</v>
      </c>
      <c r="D744" t="s">
        <v>1823</v>
      </c>
      <c r="E744" t="s">
        <v>24</v>
      </c>
      <c r="F744" t="s">
        <v>38</v>
      </c>
      <c r="G744" t="s">
        <v>103</v>
      </c>
      <c r="H744" t="s">
        <v>27</v>
      </c>
      <c r="I744" t="s">
        <v>28</v>
      </c>
      <c r="J744">
        <v>68719.88</v>
      </c>
      <c r="K744">
        <v>908.49</v>
      </c>
      <c r="L744">
        <v>163.53</v>
      </c>
      <c r="M744">
        <v>148.09</v>
      </c>
      <c r="N744">
        <v>69643.81</v>
      </c>
      <c r="O744">
        <v>1717417.36</v>
      </c>
      <c r="P744">
        <v>600</v>
      </c>
      <c r="Q744" t="s">
        <v>53</v>
      </c>
      <c r="R744" t="s">
        <v>75</v>
      </c>
      <c r="S744" t="s">
        <v>86</v>
      </c>
      <c r="T744" t="s">
        <v>41</v>
      </c>
      <c r="U744" s="3">
        <f t="shared" si="11"/>
        <v>45748</v>
      </c>
    </row>
    <row r="745" spans="1:21" x14ac:dyDescent="0.35">
      <c r="A745" t="s">
        <v>1824</v>
      </c>
      <c r="B745" t="s">
        <v>1764</v>
      </c>
      <c r="C745" t="s">
        <v>95</v>
      </c>
      <c r="D745" t="s">
        <v>1825</v>
      </c>
      <c r="E745" t="s">
        <v>37</v>
      </c>
      <c r="F745" t="s">
        <v>38</v>
      </c>
      <c r="G745" t="s">
        <v>60</v>
      </c>
      <c r="H745" t="s">
        <v>27</v>
      </c>
      <c r="I745" t="s">
        <v>61</v>
      </c>
      <c r="J745">
        <v>98972.12</v>
      </c>
      <c r="K745">
        <v>519.47</v>
      </c>
      <c r="L745">
        <v>93.5</v>
      </c>
      <c r="M745">
        <v>302.86</v>
      </c>
      <c r="N745">
        <v>99282.23</v>
      </c>
      <c r="O745">
        <v>1712528.7</v>
      </c>
      <c r="P745">
        <v>405</v>
      </c>
      <c r="Q745" t="s">
        <v>53</v>
      </c>
      <c r="R745" t="s">
        <v>54</v>
      </c>
      <c r="S745" t="s">
        <v>31</v>
      </c>
      <c r="T745" t="s">
        <v>55</v>
      </c>
      <c r="U745" s="3">
        <f t="shared" si="11"/>
        <v>45748</v>
      </c>
    </row>
    <row r="746" spans="1:21" x14ac:dyDescent="0.35">
      <c r="A746" t="s">
        <v>1826</v>
      </c>
      <c r="B746" t="s">
        <v>1827</v>
      </c>
      <c r="C746" t="s">
        <v>35</v>
      </c>
      <c r="D746" t="s">
        <v>1767</v>
      </c>
      <c r="E746" t="s">
        <v>70</v>
      </c>
      <c r="F746" t="s">
        <v>25</v>
      </c>
      <c r="G746" t="s">
        <v>60</v>
      </c>
      <c r="H746" t="s">
        <v>66</v>
      </c>
      <c r="I746" t="s">
        <v>61</v>
      </c>
      <c r="J746">
        <v>117246.38</v>
      </c>
      <c r="K746">
        <v>2254.2399999999998</v>
      </c>
      <c r="L746">
        <v>405.76</v>
      </c>
      <c r="M746">
        <v>144.62</v>
      </c>
      <c r="N746">
        <v>119761.76</v>
      </c>
      <c r="O746">
        <v>1718047.86</v>
      </c>
      <c r="P746">
        <v>360</v>
      </c>
      <c r="Q746" t="s">
        <v>74</v>
      </c>
      <c r="R746" t="s">
        <v>75</v>
      </c>
      <c r="S746" t="s">
        <v>62</v>
      </c>
      <c r="T746" t="s">
        <v>55</v>
      </c>
      <c r="U746" s="3">
        <f t="shared" si="11"/>
        <v>45689</v>
      </c>
    </row>
    <row r="747" spans="1:21" x14ac:dyDescent="0.35">
      <c r="A747" t="s">
        <v>1828</v>
      </c>
      <c r="B747" t="s">
        <v>1005</v>
      </c>
      <c r="C747" t="s">
        <v>22</v>
      </c>
      <c r="D747" t="s">
        <v>1829</v>
      </c>
      <c r="E747" t="s">
        <v>45</v>
      </c>
      <c r="F747" t="s">
        <v>59</v>
      </c>
      <c r="G747" t="s">
        <v>103</v>
      </c>
      <c r="H747" t="s">
        <v>39</v>
      </c>
      <c r="I747" t="s">
        <v>28</v>
      </c>
      <c r="J747">
        <v>63708.55</v>
      </c>
      <c r="K747">
        <v>552.26</v>
      </c>
      <c r="L747">
        <v>99.41</v>
      </c>
      <c r="M747">
        <v>291.57</v>
      </c>
      <c r="N747">
        <v>64068.65</v>
      </c>
      <c r="O747">
        <v>1725446.49</v>
      </c>
      <c r="P747">
        <v>563</v>
      </c>
      <c r="Q747" t="s">
        <v>29</v>
      </c>
      <c r="R747" t="s">
        <v>30</v>
      </c>
      <c r="S747" t="s">
        <v>79</v>
      </c>
      <c r="T747" t="s">
        <v>41</v>
      </c>
      <c r="U747" s="3">
        <f t="shared" si="11"/>
        <v>45901</v>
      </c>
    </row>
    <row r="748" spans="1:21" x14ac:dyDescent="0.35">
      <c r="A748" t="s">
        <v>1830</v>
      </c>
      <c r="B748" t="s">
        <v>1831</v>
      </c>
      <c r="C748" t="s">
        <v>35</v>
      </c>
      <c r="D748" t="s">
        <v>1832</v>
      </c>
      <c r="E748" t="s">
        <v>24</v>
      </c>
      <c r="F748" t="s">
        <v>38</v>
      </c>
      <c r="G748" t="s">
        <v>26</v>
      </c>
      <c r="H748" t="s">
        <v>39</v>
      </c>
      <c r="I748" t="s">
        <v>28</v>
      </c>
      <c r="J748">
        <v>152899.64000000001</v>
      </c>
      <c r="K748">
        <v>2014.18</v>
      </c>
      <c r="L748">
        <v>362.55</v>
      </c>
      <c r="M748">
        <v>257.66000000000003</v>
      </c>
      <c r="N748">
        <v>155018.71</v>
      </c>
      <c r="O748">
        <v>1735230.25</v>
      </c>
      <c r="P748">
        <v>475</v>
      </c>
      <c r="Q748" t="s">
        <v>29</v>
      </c>
      <c r="R748" t="s">
        <v>54</v>
      </c>
      <c r="S748" t="s">
        <v>79</v>
      </c>
      <c r="T748" t="s">
        <v>41</v>
      </c>
      <c r="U748" s="3">
        <f t="shared" si="11"/>
        <v>45809</v>
      </c>
    </row>
    <row r="749" spans="1:21" x14ac:dyDescent="0.35">
      <c r="A749" t="s">
        <v>1833</v>
      </c>
      <c r="B749" t="s">
        <v>1461</v>
      </c>
      <c r="C749" t="s">
        <v>35</v>
      </c>
      <c r="D749" t="s">
        <v>1834</v>
      </c>
      <c r="E749" t="s">
        <v>24</v>
      </c>
      <c r="F749" t="s">
        <v>38</v>
      </c>
      <c r="G749" t="s">
        <v>47</v>
      </c>
      <c r="H749" t="s">
        <v>66</v>
      </c>
      <c r="I749" t="s">
        <v>28</v>
      </c>
      <c r="J749">
        <v>28868.65</v>
      </c>
      <c r="K749">
        <v>222.88</v>
      </c>
      <c r="L749">
        <v>40.119999999999997</v>
      </c>
      <c r="M749">
        <v>258.74</v>
      </c>
      <c r="N749">
        <v>28872.91</v>
      </c>
      <c r="O749">
        <v>1739086.76</v>
      </c>
      <c r="P749">
        <v>451</v>
      </c>
      <c r="Q749" t="s">
        <v>74</v>
      </c>
      <c r="R749" t="s">
        <v>54</v>
      </c>
      <c r="S749" t="s">
        <v>31</v>
      </c>
      <c r="T749" t="s">
        <v>55</v>
      </c>
      <c r="U749" s="3">
        <f t="shared" si="11"/>
        <v>45901</v>
      </c>
    </row>
    <row r="750" spans="1:21" x14ac:dyDescent="0.35">
      <c r="A750" t="s">
        <v>1835</v>
      </c>
      <c r="B750" t="s">
        <v>1419</v>
      </c>
      <c r="C750" t="s">
        <v>95</v>
      </c>
      <c r="D750" t="s">
        <v>1836</v>
      </c>
      <c r="E750" t="s">
        <v>24</v>
      </c>
      <c r="F750" t="s">
        <v>38</v>
      </c>
      <c r="G750" t="s">
        <v>60</v>
      </c>
      <c r="H750" t="s">
        <v>27</v>
      </c>
      <c r="I750" t="s">
        <v>40</v>
      </c>
      <c r="J750">
        <v>144676.42000000001</v>
      </c>
      <c r="K750">
        <v>995.29</v>
      </c>
      <c r="L750">
        <v>179.15</v>
      </c>
      <c r="M750">
        <v>182.97</v>
      </c>
      <c r="N750">
        <v>145667.89000000001</v>
      </c>
      <c r="O750">
        <v>1747048.47</v>
      </c>
      <c r="P750">
        <v>448</v>
      </c>
      <c r="Q750" t="s">
        <v>74</v>
      </c>
      <c r="R750" t="s">
        <v>54</v>
      </c>
      <c r="S750" t="s">
        <v>31</v>
      </c>
      <c r="T750" t="s">
        <v>32</v>
      </c>
      <c r="U750" s="3">
        <f t="shared" si="11"/>
        <v>45839</v>
      </c>
    </row>
    <row r="751" spans="1:21" x14ac:dyDescent="0.35">
      <c r="A751" t="s">
        <v>1837</v>
      </c>
      <c r="B751" t="s">
        <v>119</v>
      </c>
      <c r="C751" t="s">
        <v>22</v>
      </c>
      <c r="D751" t="s">
        <v>1838</v>
      </c>
      <c r="E751" t="s">
        <v>24</v>
      </c>
      <c r="F751" t="s">
        <v>38</v>
      </c>
      <c r="G751" t="s">
        <v>47</v>
      </c>
      <c r="H751" t="s">
        <v>39</v>
      </c>
      <c r="I751" t="s">
        <v>40</v>
      </c>
      <c r="J751">
        <v>4145.33</v>
      </c>
      <c r="K751">
        <v>44.2</v>
      </c>
      <c r="L751">
        <v>7.96</v>
      </c>
      <c r="M751">
        <v>286.08999999999997</v>
      </c>
      <c r="N751">
        <v>3911.4</v>
      </c>
      <c r="O751">
        <v>1749580.84</v>
      </c>
      <c r="P751">
        <v>720</v>
      </c>
      <c r="Q751" t="s">
        <v>74</v>
      </c>
      <c r="R751" t="s">
        <v>30</v>
      </c>
      <c r="S751" t="s">
        <v>79</v>
      </c>
      <c r="T751" t="s">
        <v>32</v>
      </c>
      <c r="U751" s="3">
        <f t="shared" si="11"/>
        <v>45962</v>
      </c>
    </row>
    <row r="752" spans="1:21" x14ac:dyDescent="0.35">
      <c r="A752" t="s">
        <v>1839</v>
      </c>
      <c r="B752" t="s">
        <v>593</v>
      </c>
      <c r="C752" t="s">
        <v>22</v>
      </c>
      <c r="D752" t="s">
        <v>1840</v>
      </c>
      <c r="E752" t="s">
        <v>24</v>
      </c>
      <c r="F752" t="s">
        <v>59</v>
      </c>
      <c r="G752" t="s">
        <v>26</v>
      </c>
      <c r="H752" t="s">
        <v>39</v>
      </c>
      <c r="I752" t="s">
        <v>28</v>
      </c>
      <c r="J752">
        <v>85395.19</v>
      </c>
      <c r="K752">
        <v>1683.19</v>
      </c>
      <c r="L752">
        <v>302.97000000000003</v>
      </c>
      <c r="M752">
        <v>146.36000000000001</v>
      </c>
      <c r="N752">
        <v>87234.99</v>
      </c>
      <c r="O752">
        <v>1749641.99</v>
      </c>
      <c r="P752">
        <v>525</v>
      </c>
      <c r="Q752" t="s">
        <v>29</v>
      </c>
      <c r="R752" t="s">
        <v>30</v>
      </c>
      <c r="S752" t="s">
        <v>62</v>
      </c>
      <c r="T752" t="s">
        <v>32</v>
      </c>
      <c r="U752" s="3">
        <f t="shared" si="11"/>
        <v>45689</v>
      </c>
    </row>
    <row r="753" spans="1:21" x14ac:dyDescent="0.35">
      <c r="A753" t="s">
        <v>1841</v>
      </c>
      <c r="B753" t="s">
        <v>397</v>
      </c>
      <c r="C753" t="s">
        <v>22</v>
      </c>
      <c r="D753" t="s">
        <v>1842</v>
      </c>
      <c r="E753" t="s">
        <v>45</v>
      </c>
      <c r="F753" t="s">
        <v>59</v>
      </c>
      <c r="G753" t="s">
        <v>26</v>
      </c>
      <c r="H753" t="s">
        <v>52</v>
      </c>
      <c r="I753" t="s">
        <v>61</v>
      </c>
      <c r="J753">
        <v>161592.45000000001</v>
      </c>
      <c r="K753">
        <v>1350.59</v>
      </c>
      <c r="L753">
        <v>243.11</v>
      </c>
      <c r="M753">
        <v>193.02</v>
      </c>
      <c r="N753">
        <v>162993.13</v>
      </c>
      <c r="O753">
        <v>1749104.32</v>
      </c>
      <c r="P753">
        <v>501</v>
      </c>
      <c r="Q753" t="s">
        <v>29</v>
      </c>
      <c r="R753" t="s">
        <v>54</v>
      </c>
      <c r="S753" t="s">
        <v>31</v>
      </c>
      <c r="T753" t="s">
        <v>55</v>
      </c>
      <c r="U753" s="3">
        <f t="shared" si="11"/>
        <v>45901</v>
      </c>
    </row>
    <row r="754" spans="1:21" x14ac:dyDescent="0.35">
      <c r="A754" t="s">
        <v>1843</v>
      </c>
      <c r="B754" t="s">
        <v>1357</v>
      </c>
      <c r="C754" t="s">
        <v>95</v>
      </c>
      <c r="D754" t="s">
        <v>1844</v>
      </c>
      <c r="E754" t="s">
        <v>24</v>
      </c>
      <c r="F754" t="s">
        <v>46</v>
      </c>
      <c r="G754" t="s">
        <v>103</v>
      </c>
      <c r="H754" t="s">
        <v>66</v>
      </c>
      <c r="I754" t="s">
        <v>40</v>
      </c>
      <c r="J754">
        <v>187147.72</v>
      </c>
      <c r="K754">
        <v>2253.9</v>
      </c>
      <c r="L754">
        <v>405.7</v>
      </c>
      <c r="M754">
        <v>286.10000000000002</v>
      </c>
      <c r="N754">
        <v>189521.22</v>
      </c>
      <c r="O754">
        <v>1751921.49</v>
      </c>
      <c r="P754">
        <v>351</v>
      </c>
      <c r="Q754" t="s">
        <v>29</v>
      </c>
      <c r="R754" t="s">
        <v>30</v>
      </c>
      <c r="S754" t="s">
        <v>86</v>
      </c>
      <c r="T754" t="s">
        <v>55</v>
      </c>
      <c r="U754" s="3">
        <f t="shared" si="11"/>
        <v>45748</v>
      </c>
    </row>
    <row r="755" spans="1:21" x14ac:dyDescent="0.35">
      <c r="A755" t="s">
        <v>1845</v>
      </c>
      <c r="B755" t="s">
        <v>122</v>
      </c>
      <c r="C755" t="s">
        <v>22</v>
      </c>
      <c r="D755" t="s">
        <v>1846</v>
      </c>
      <c r="E755" t="s">
        <v>24</v>
      </c>
      <c r="F755" t="s">
        <v>59</v>
      </c>
      <c r="G755" t="s">
        <v>47</v>
      </c>
      <c r="H755" t="s">
        <v>39</v>
      </c>
      <c r="I755" t="s">
        <v>61</v>
      </c>
      <c r="J755">
        <v>7087.11</v>
      </c>
      <c r="K755">
        <v>130.19</v>
      </c>
      <c r="L755">
        <v>23.43</v>
      </c>
      <c r="M755">
        <v>283.95999999999998</v>
      </c>
      <c r="N755">
        <v>6956.77</v>
      </c>
      <c r="O755">
        <v>1758094.25</v>
      </c>
      <c r="P755">
        <v>437</v>
      </c>
      <c r="Q755" t="s">
        <v>53</v>
      </c>
      <c r="R755" t="s">
        <v>75</v>
      </c>
      <c r="S755" t="s">
        <v>62</v>
      </c>
      <c r="T755" t="s">
        <v>32</v>
      </c>
      <c r="U755" s="3">
        <f t="shared" si="11"/>
        <v>45962</v>
      </c>
    </row>
    <row r="756" spans="1:21" x14ac:dyDescent="0.35">
      <c r="A756" t="s">
        <v>1847</v>
      </c>
      <c r="B756" t="s">
        <v>1170</v>
      </c>
      <c r="C756" t="s">
        <v>35</v>
      </c>
      <c r="D756" t="s">
        <v>1848</v>
      </c>
      <c r="E756" t="s">
        <v>37</v>
      </c>
      <c r="F756" t="s">
        <v>59</v>
      </c>
      <c r="G756" t="s">
        <v>60</v>
      </c>
      <c r="H756" t="s">
        <v>66</v>
      </c>
      <c r="I756" t="s">
        <v>40</v>
      </c>
      <c r="J756">
        <v>19581.080000000002</v>
      </c>
      <c r="K756">
        <v>358.46</v>
      </c>
      <c r="L756">
        <v>64.52</v>
      </c>
      <c r="M756">
        <v>255.64</v>
      </c>
      <c r="N756">
        <v>19748.419999999998</v>
      </c>
      <c r="O756">
        <v>1756895.59</v>
      </c>
      <c r="P756">
        <v>677</v>
      </c>
      <c r="Q756" t="s">
        <v>29</v>
      </c>
      <c r="R756" t="s">
        <v>75</v>
      </c>
      <c r="S756" t="s">
        <v>31</v>
      </c>
      <c r="T756" t="s">
        <v>41</v>
      </c>
      <c r="U756" s="3">
        <f t="shared" si="11"/>
        <v>45901</v>
      </c>
    </row>
    <row r="757" spans="1:21" x14ac:dyDescent="0.35">
      <c r="A757" t="s">
        <v>1849</v>
      </c>
      <c r="B757" t="s">
        <v>537</v>
      </c>
      <c r="C757" t="s">
        <v>35</v>
      </c>
      <c r="D757" t="s">
        <v>1082</v>
      </c>
      <c r="E757" t="s">
        <v>24</v>
      </c>
      <c r="F757" t="s">
        <v>59</v>
      </c>
      <c r="G757" t="s">
        <v>47</v>
      </c>
      <c r="H757" t="s">
        <v>66</v>
      </c>
      <c r="I757" t="s">
        <v>61</v>
      </c>
      <c r="J757">
        <v>113298.07</v>
      </c>
      <c r="K757">
        <v>941.14</v>
      </c>
      <c r="L757">
        <v>169.41</v>
      </c>
      <c r="M757">
        <v>291.47000000000003</v>
      </c>
      <c r="N757">
        <v>114117.15</v>
      </c>
      <c r="O757">
        <v>1762970.72</v>
      </c>
      <c r="P757">
        <v>828</v>
      </c>
      <c r="Q757" t="s">
        <v>29</v>
      </c>
      <c r="R757" t="s">
        <v>54</v>
      </c>
      <c r="S757" t="s">
        <v>79</v>
      </c>
      <c r="T757" t="s">
        <v>55</v>
      </c>
      <c r="U757" s="3">
        <f t="shared" si="11"/>
        <v>45962</v>
      </c>
    </row>
    <row r="758" spans="1:21" x14ac:dyDescent="0.35">
      <c r="A758" t="s">
        <v>1850</v>
      </c>
      <c r="B758" t="s">
        <v>837</v>
      </c>
      <c r="C758" t="s">
        <v>95</v>
      </c>
      <c r="D758" t="s">
        <v>1851</v>
      </c>
      <c r="E758" t="s">
        <v>45</v>
      </c>
      <c r="F758" t="s">
        <v>46</v>
      </c>
      <c r="G758" t="s">
        <v>47</v>
      </c>
      <c r="H758" t="s">
        <v>52</v>
      </c>
      <c r="I758" t="s">
        <v>40</v>
      </c>
      <c r="J758">
        <v>7211.81</v>
      </c>
      <c r="K758">
        <v>58.21</v>
      </c>
      <c r="L758">
        <v>10.48</v>
      </c>
      <c r="M758">
        <v>7.06</v>
      </c>
      <c r="N758">
        <v>7273.44</v>
      </c>
      <c r="O758">
        <v>1764358.29</v>
      </c>
      <c r="P758">
        <v>729</v>
      </c>
      <c r="Q758" t="s">
        <v>53</v>
      </c>
      <c r="R758" t="s">
        <v>30</v>
      </c>
      <c r="S758" t="s">
        <v>79</v>
      </c>
      <c r="T758" t="s">
        <v>32</v>
      </c>
      <c r="U758" s="3">
        <f t="shared" si="11"/>
        <v>45992</v>
      </c>
    </row>
    <row r="759" spans="1:21" x14ac:dyDescent="0.35">
      <c r="A759" t="s">
        <v>1852</v>
      </c>
      <c r="B759" t="s">
        <v>1381</v>
      </c>
      <c r="C759" t="s">
        <v>22</v>
      </c>
      <c r="D759" t="s">
        <v>1665</v>
      </c>
      <c r="E759" t="s">
        <v>37</v>
      </c>
      <c r="F759" t="s">
        <v>46</v>
      </c>
      <c r="G759" t="s">
        <v>26</v>
      </c>
      <c r="H759" t="s">
        <v>66</v>
      </c>
      <c r="I759" t="s">
        <v>61</v>
      </c>
      <c r="J759">
        <v>3383.67</v>
      </c>
      <c r="K759">
        <v>3.41</v>
      </c>
      <c r="L759">
        <v>0.61</v>
      </c>
      <c r="M759">
        <v>182.5</v>
      </c>
      <c r="N759">
        <v>3205.19</v>
      </c>
      <c r="O759">
        <v>1769827.76</v>
      </c>
      <c r="P759">
        <v>869</v>
      </c>
      <c r="Q759" t="s">
        <v>29</v>
      </c>
      <c r="R759" t="s">
        <v>54</v>
      </c>
      <c r="S759" t="s">
        <v>62</v>
      </c>
      <c r="T759" t="s">
        <v>32</v>
      </c>
      <c r="U759" s="3">
        <f t="shared" si="11"/>
        <v>45658</v>
      </c>
    </row>
    <row r="760" spans="1:21" x14ac:dyDescent="0.35">
      <c r="A760" t="s">
        <v>1853</v>
      </c>
      <c r="B760" t="s">
        <v>1854</v>
      </c>
      <c r="C760" t="s">
        <v>95</v>
      </c>
      <c r="D760" t="s">
        <v>1855</v>
      </c>
      <c r="E760" t="s">
        <v>70</v>
      </c>
      <c r="F760" t="s">
        <v>25</v>
      </c>
      <c r="G760" t="s">
        <v>103</v>
      </c>
      <c r="H760" t="s">
        <v>66</v>
      </c>
      <c r="I760" t="s">
        <v>61</v>
      </c>
      <c r="J760">
        <v>9711.26</v>
      </c>
      <c r="K760">
        <v>192.07</v>
      </c>
      <c r="L760">
        <v>34.57</v>
      </c>
      <c r="M760">
        <v>390.33</v>
      </c>
      <c r="N760">
        <v>9547.57</v>
      </c>
      <c r="O760">
        <v>1779161.56</v>
      </c>
      <c r="P760">
        <v>390</v>
      </c>
      <c r="Q760" t="s">
        <v>53</v>
      </c>
      <c r="R760" t="s">
        <v>75</v>
      </c>
      <c r="S760" t="s">
        <v>62</v>
      </c>
      <c r="T760" t="s">
        <v>32</v>
      </c>
      <c r="U760" s="3">
        <f t="shared" si="11"/>
        <v>45778</v>
      </c>
    </row>
    <row r="761" spans="1:21" x14ac:dyDescent="0.35">
      <c r="A761" t="s">
        <v>1856</v>
      </c>
      <c r="B761" t="s">
        <v>1857</v>
      </c>
      <c r="C761" t="s">
        <v>95</v>
      </c>
      <c r="D761" t="s">
        <v>389</v>
      </c>
      <c r="E761" t="s">
        <v>70</v>
      </c>
      <c r="F761" t="s">
        <v>59</v>
      </c>
      <c r="G761" t="s">
        <v>47</v>
      </c>
      <c r="H761" t="s">
        <v>39</v>
      </c>
      <c r="I761" t="s">
        <v>28</v>
      </c>
      <c r="J761">
        <v>164370.46</v>
      </c>
      <c r="K761">
        <v>2895.49</v>
      </c>
      <c r="L761">
        <v>521.19000000000005</v>
      </c>
      <c r="M761">
        <v>363.58</v>
      </c>
      <c r="N761">
        <v>167423.56</v>
      </c>
      <c r="O761">
        <v>1778765.9</v>
      </c>
      <c r="P761">
        <v>788</v>
      </c>
      <c r="Q761" t="s">
        <v>53</v>
      </c>
      <c r="R761" t="s">
        <v>30</v>
      </c>
      <c r="S761" t="s">
        <v>31</v>
      </c>
      <c r="T761" t="s">
        <v>41</v>
      </c>
      <c r="U761" s="3">
        <f t="shared" si="11"/>
        <v>45901</v>
      </c>
    </row>
    <row r="762" spans="1:21" x14ac:dyDescent="0.35">
      <c r="A762" t="s">
        <v>1858</v>
      </c>
      <c r="B762" t="s">
        <v>917</v>
      </c>
      <c r="C762" t="s">
        <v>35</v>
      </c>
      <c r="D762" t="s">
        <v>1859</v>
      </c>
      <c r="E762" t="s">
        <v>37</v>
      </c>
      <c r="F762" t="s">
        <v>25</v>
      </c>
      <c r="G762" t="s">
        <v>47</v>
      </c>
      <c r="H762" t="s">
        <v>48</v>
      </c>
      <c r="I762" t="s">
        <v>28</v>
      </c>
      <c r="J762">
        <v>181607.16</v>
      </c>
      <c r="K762">
        <v>3484.36</v>
      </c>
      <c r="L762">
        <v>627.17999999999995</v>
      </c>
      <c r="M762">
        <v>268.37</v>
      </c>
      <c r="N762">
        <v>185450.33</v>
      </c>
      <c r="O762">
        <v>1780413.12</v>
      </c>
      <c r="P762">
        <v>366</v>
      </c>
      <c r="Q762" t="s">
        <v>29</v>
      </c>
      <c r="R762" t="s">
        <v>75</v>
      </c>
      <c r="S762" t="s">
        <v>79</v>
      </c>
      <c r="T762" t="s">
        <v>32</v>
      </c>
      <c r="U762" s="3">
        <f t="shared" si="11"/>
        <v>45870</v>
      </c>
    </row>
    <row r="763" spans="1:21" x14ac:dyDescent="0.35">
      <c r="A763" t="s">
        <v>1860</v>
      </c>
      <c r="B763" t="s">
        <v>579</v>
      </c>
      <c r="C763" t="s">
        <v>95</v>
      </c>
      <c r="D763" t="s">
        <v>1861</v>
      </c>
      <c r="E763" t="s">
        <v>24</v>
      </c>
      <c r="F763" t="s">
        <v>38</v>
      </c>
      <c r="G763" t="s">
        <v>103</v>
      </c>
      <c r="H763" t="s">
        <v>27</v>
      </c>
      <c r="I763" t="s">
        <v>40</v>
      </c>
      <c r="J763">
        <v>30011.77</v>
      </c>
      <c r="K763">
        <v>373.86</v>
      </c>
      <c r="L763">
        <v>67.290000000000006</v>
      </c>
      <c r="M763">
        <v>64.87</v>
      </c>
      <c r="N763">
        <v>30388.05</v>
      </c>
      <c r="O763">
        <v>1781440.96</v>
      </c>
      <c r="P763">
        <v>317</v>
      </c>
      <c r="Q763" t="s">
        <v>53</v>
      </c>
      <c r="R763" t="s">
        <v>54</v>
      </c>
      <c r="S763" t="s">
        <v>62</v>
      </c>
      <c r="T763" t="s">
        <v>55</v>
      </c>
      <c r="U763" s="3">
        <f t="shared" si="11"/>
        <v>45658</v>
      </c>
    </row>
    <row r="764" spans="1:21" x14ac:dyDescent="0.35">
      <c r="A764" t="s">
        <v>1862</v>
      </c>
      <c r="B764" t="s">
        <v>1863</v>
      </c>
      <c r="C764" t="s">
        <v>35</v>
      </c>
      <c r="D764" t="s">
        <v>1864</v>
      </c>
      <c r="E764" t="s">
        <v>24</v>
      </c>
      <c r="F764" t="s">
        <v>25</v>
      </c>
      <c r="G764" t="s">
        <v>103</v>
      </c>
      <c r="H764" t="s">
        <v>48</v>
      </c>
      <c r="I764" t="s">
        <v>40</v>
      </c>
      <c r="J764">
        <v>183197.4</v>
      </c>
      <c r="K764">
        <v>3535.84</v>
      </c>
      <c r="L764">
        <v>636.45000000000005</v>
      </c>
      <c r="M764">
        <v>103.48</v>
      </c>
      <c r="N764">
        <v>187266.21</v>
      </c>
      <c r="O764">
        <v>1786863.44</v>
      </c>
      <c r="P764">
        <v>324</v>
      </c>
      <c r="Q764" t="s">
        <v>53</v>
      </c>
      <c r="R764" t="s">
        <v>75</v>
      </c>
      <c r="S764" t="s">
        <v>86</v>
      </c>
      <c r="T764" t="s">
        <v>32</v>
      </c>
      <c r="U764" s="3">
        <f t="shared" si="11"/>
        <v>45809</v>
      </c>
    </row>
    <row r="765" spans="1:21" x14ac:dyDescent="0.35">
      <c r="A765" t="s">
        <v>1865</v>
      </c>
      <c r="B765" t="s">
        <v>537</v>
      </c>
      <c r="C765" t="s">
        <v>95</v>
      </c>
      <c r="D765" t="s">
        <v>1866</v>
      </c>
      <c r="E765" t="s">
        <v>70</v>
      </c>
      <c r="F765" t="s">
        <v>38</v>
      </c>
      <c r="G765" t="s">
        <v>103</v>
      </c>
      <c r="H765" t="s">
        <v>27</v>
      </c>
      <c r="I765" t="s">
        <v>28</v>
      </c>
      <c r="J765">
        <v>93018.45</v>
      </c>
      <c r="K765">
        <v>211.64</v>
      </c>
      <c r="L765">
        <v>38.1</v>
      </c>
      <c r="M765">
        <v>113.26</v>
      </c>
      <c r="N765">
        <v>93154.93</v>
      </c>
      <c r="O765">
        <v>1782468.25</v>
      </c>
      <c r="P765">
        <v>424</v>
      </c>
      <c r="Q765" t="s">
        <v>74</v>
      </c>
      <c r="R765" t="s">
        <v>54</v>
      </c>
      <c r="S765" t="s">
        <v>31</v>
      </c>
      <c r="T765" t="s">
        <v>41</v>
      </c>
      <c r="U765" s="3">
        <f t="shared" si="11"/>
        <v>45962</v>
      </c>
    </row>
    <row r="766" spans="1:21" x14ac:dyDescent="0.35">
      <c r="A766" t="s">
        <v>1867</v>
      </c>
      <c r="B766" t="s">
        <v>807</v>
      </c>
      <c r="C766" t="s">
        <v>95</v>
      </c>
      <c r="D766" t="s">
        <v>1868</v>
      </c>
      <c r="E766" t="s">
        <v>37</v>
      </c>
      <c r="F766" t="s">
        <v>25</v>
      </c>
      <c r="G766" t="s">
        <v>47</v>
      </c>
      <c r="H766" t="s">
        <v>39</v>
      </c>
      <c r="I766" t="s">
        <v>40</v>
      </c>
      <c r="J766">
        <v>91354.67</v>
      </c>
      <c r="K766">
        <v>1721.1</v>
      </c>
      <c r="L766">
        <v>309.8</v>
      </c>
      <c r="M766">
        <v>391.98</v>
      </c>
      <c r="N766">
        <v>92993.59</v>
      </c>
      <c r="O766">
        <v>1780143.53</v>
      </c>
      <c r="P766">
        <v>794</v>
      </c>
      <c r="Q766" t="s">
        <v>74</v>
      </c>
      <c r="R766" t="s">
        <v>54</v>
      </c>
      <c r="S766" t="s">
        <v>31</v>
      </c>
      <c r="T766" t="s">
        <v>41</v>
      </c>
      <c r="U766" s="3">
        <f t="shared" si="11"/>
        <v>45839</v>
      </c>
    </row>
    <row r="767" spans="1:21" x14ac:dyDescent="0.35">
      <c r="A767" t="s">
        <v>1869</v>
      </c>
      <c r="B767" t="s">
        <v>116</v>
      </c>
      <c r="C767" t="s">
        <v>95</v>
      </c>
      <c r="D767" t="s">
        <v>1870</v>
      </c>
      <c r="E767" t="s">
        <v>70</v>
      </c>
      <c r="F767" t="s">
        <v>38</v>
      </c>
      <c r="G767" t="s">
        <v>60</v>
      </c>
      <c r="H767" t="s">
        <v>66</v>
      </c>
      <c r="I767" t="s">
        <v>28</v>
      </c>
      <c r="J767">
        <v>57471.6</v>
      </c>
      <c r="K767">
        <v>685.43</v>
      </c>
      <c r="L767">
        <v>123.38</v>
      </c>
      <c r="M767">
        <v>205.71</v>
      </c>
      <c r="N767">
        <v>58074.7</v>
      </c>
      <c r="O767">
        <v>1783632.82</v>
      </c>
      <c r="P767">
        <v>493</v>
      </c>
      <c r="Q767" t="s">
        <v>29</v>
      </c>
      <c r="R767" t="s">
        <v>75</v>
      </c>
      <c r="S767" t="s">
        <v>62</v>
      </c>
      <c r="T767" t="s">
        <v>41</v>
      </c>
      <c r="U767" s="3">
        <f t="shared" si="11"/>
        <v>45689</v>
      </c>
    </row>
    <row r="768" spans="1:21" x14ac:dyDescent="0.35">
      <c r="A768" t="s">
        <v>1871</v>
      </c>
      <c r="B768" t="s">
        <v>431</v>
      </c>
      <c r="C768" t="s">
        <v>22</v>
      </c>
      <c r="D768" t="s">
        <v>1872</v>
      </c>
      <c r="E768" t="s">
        <v>37</v>
      </c>
      <c r="F768" t="s">
        <v>59</v>
      </c>
      <c r="G768" t="s">
        <v>26</v>
      </c>
      <c r="H768" t="s">
        <v>39</v>
      </c>
      <c r="I768" t="s">
        <v>61</v>
      </c>
      <c r="J768">
        <v>115882.77</v>
      </c>
      <c r="K768">
        <v>333.62</v>
      </c>
      <c r="L768">
        <v>60.05</v>
      </c>
      <c r="M768">
        <v>235.48</v>
      </c>
      <c r="N768">
        <v>116040.96000000001</v>
      </c>
      <c r="O768">
        <v>1780787.69</v>
      </c>
      <c r="P768">
        <v>540</v>
      </c>
      <c r="Q768" t="s">
        <v>74</v>
      </c>
      <c r="R768" t="s">
        <v>75</v>
      </c>
      <c r="S768" t="s">
        <v>79</v>
      </c>
      <c r="T768" t="s">
        <v>32</v>
      </c>
      <c r="U768" s="3">
        <f t="shared" si="11"/>
        <v>45870</v>
      </c>
    </row>
    <row r="769" spans="1:21" x14ac:dyDescent="0.35">
      <c r="A769" t="s">
        <v>1873</v>
      </c>
      <c r="B769" t="s">
        <v>1148</v>
      </c>
      <c r="C769" t="s">
        <v>95</v>
      </c>
      <c r="D769" t="s">
        <v>1874</v>
      </c>
      <c r="E769" t="s">
        <v>45</v>
      </c>
      <c r="F769" t="s">
        <v>38</v>
      </c>
      <c r="G769" t="s">
        <v>26</v>
      </c>
      <c r="H769" t="s">
        <v>27</v>
      </c>
      <c r="I769" t="s">
        <v>40</v>
      </c>
      <c r="J769">
        <v>128613.89</v>
      </c>
      <c r="K769">
        <v>2524</v>
      </c>
      <c r="L769">
        <v>454.32</v>
      </c>
      <c r="M769">
        <v>221.7</v>
      </c>
      <c r="N769">
        <v>131370.51</v>
      </c>
      <c r="O769">
        <v>1788935.12</v>
      </c>
      <c r="P769">
        <v>834</v>
      </c>
      <c r="Q769" t="s">
        <v>74</v>
      </c>
      <c r="R769" t="s">
        <v>54</v>
      </c>
      <c r="S769" t="s">
        <v>62</v>
      </c>
      <c r="T769" t="s">
        <v>32</v>
      </c>
      <c r="U769" s="3">
        <f t="shared" si="11"/>
        <v>45931</v>
      </c>
    </row>
    <row r="770" spans="1:21" x14ac:dyDescent="0.35">
      <c r="A770" t="s">
        <v>1875</v>
      </c>
      <c r="B770" t="s">
        <v>801</v>
      </c>
      <c r="C770" t="s">
        <v>35</v>
      </c>
      <c r="D770" t="s">
        <v>1876</v>
      </c>
      <c r="E770" t="s">
        <v>37</v>
      </c>
      <c r="F770" t="s">
        <v>38</v>
      </c>
      <c r="G770" t="s">
        <v>60</v>
      </c>
      <c r="H770" t="s">
        <v>52</v>
      </c>
      <c r="I770" t="s">
        <v>40</v>
      </c>
      <c r="J770">
        <v>64012.73</v>
      </c>
      <c r="K770">
        <v>371.86</v>
      </c>
      <c r="L770">
        <v>66.930000000000007</v>
      </c>
      <c r="M770">
        <v>109.65</v>
      </c>
      <c r="N770">
        <v>64341.87</v>
      </c>
      <c r="O770">
        <v>1784609.77</v>
      </c>
      <c r="P770">
        <v>744</v>
      </c>
      <c r="Q770" t="s">
        <v>29</v>
      </c>
      <c r="R770" t="s">
        <v>75</v>
      </c>
      <c r="S770" t="s">
        <v>79</v>
      </c>
      <c r="T770" t="s">
        <v>41</v>
      </c>
      <c r="U770" s="3">
        <f t="shared" si="11"/>
        <v>45778</v>
      </c>
    </row>
    <row r="771" spans="1:21" x14ac:dyDescent="0.35">
      <c r="A771" t="s">
        <v>1877</v>
      </c>
      <c r="B771" t="s">
        <v>1153</v>
      </c>
      <c r="C771" t="s">
        <v>95</v>
      </c>
      <c r="D771" t="s">
        <v>1878</v>
      </c>
      <c r="E771" t="s">
        <v>45</v>
      </c>
      <c r="F771" t="s">
        <v>46</v>
      </c>
      <c r="G771" t="s">
        <v>60</v>
      </c>
      <c r="H771" t="s">
        <v>27</v>
      </c>
      <c r="I771" t="s">
        <v>40</v>
      </c>
      <c r="J771">
        <v>199618.77</v>
      </c>
      <c r="K771">
        <v>1729.33</v>
      </c>
      <c r="L771">
        <v>311.27999999999997</v>
      </c>
      <c r="M771">
        <v>270.85000000000002</v>
      </c>
      <c r="N771">
        <v>201388.53</v>
      </c>
      <c r="O771">
        <v>1791699.67</v>
      </c>
      <c r="P771">
        <v>661</v>
      </c>
      <c r="Q771" t="s">
        <v>29</v>
      </c>
      <c r="R771" t="s">
        <v>75</v>
      </c>
      <c r="S771" t="s">
        <v>62</v>
      </c>
      <c r="T771" t="s">
        <v>32</v>
      </c>
      <c r="U771" s="3">
        <f t="shared" ref="U771:U834" si="12">DATE(YEAR(B771),MONTH(B771),1)</f>
        <v>45901</v>
      </c>
    </row>
    <row r="772" spans="1:21" x14ac:dyDescent="0.35">
      <c r="A772" t="s">
        <v>1879</v>
      </c>
      <c r="B772" t="s">
        <v>1555</v>
      </c>
      <c r="C772" t="s">
        <v>35</v>
      </c>
      <c r="D772" t="s">
        <v>1880</v>
      </c>
      <c r="E772" t="s">
        <v>37</v>
      </c>
      <c r="F772" t="s">
        <v>25</v>
      </c>
      <c r="G772" t="s">
        <v>103</v>
      </c>
      <c r="H772" t="s">
        <v>52</v>
      </c>
      <c r="I772" t="s">
        <v>61</v>
      </c>
      <c r="J772">
        <v>30767.200000000001</v>
      </c>
      <c r="K772">
        <v>336.91</v>
      </c>
      <c r="L772">
        <v>60.64</v>
      </c>
      <c r="M772">
        <v>161.97</v>
      </c>
      <c r="N772">
        <v>31002.78</v>
      </c>
      <c r="O772">
        <v>1795434.43</v>
      </c>
      <c r="P772">
        <v>846</v>
      </c>
      <c r="Q772" t="s">
        <v>29</v>
      </c>
      <c r="R772" t="s">
        <v>30</v>
      </c>
      <c r="S772" t="s">
        <v>86</v>
      </c>
      <c r="T772" t="s">
        <v>41</v>
      </c>
      <c r="U772" s="3">
        <f t="shared" si="12"/>
        <v>45931</v>
      </c>
    </row>
    <row r="773" spans="1:21" x14ac:dyDescent="0.35">
      <c r="A773" t="s">
        <v>1881</v>
      </c>
      <c r="B773" t="s">
        <v>927</v>
      </c>
      <c r="C773" t="s">
        <v>35</v>
      </c>
      <c r="D773" t="s">
        <v>1882</v>
      </c>
      <c r="E773" t="s">
        <v>45</v>
      </c>
      <c r="F773" t="s">
        <v>38</v>
      </c>
      <c r="G773" t="s">
        <v>47</v>
      </c>
      <c r="H773" t="s">
        <v>39</v>
      </c>
      <c r="I773" t="s">
        <v>28</v>
      </c>
      <c r="J773">
        <v>71360.009999999995</v>
      </c>
      <c r="K773">
        <v>957.28</v>
      </c>
      <c r="L773">
        <v>172.31</v>
      </c>
      <c r="M773">
        <v>323.10000000000002</v>
      </c>
      <c r="N773">
        <v>72166.5</v>
      </c>
      <c r="O773">
        <v>1793806.97</v>
      </c>
      <c r="P773">
        <v>402</v>
      </c>
      <c r="Q773" t="s">
        <v>29</v>
      </c>
      <c r="R773" t="s">
        <v>54</v>
      </c>
      <c r="S773" t="s">
        <v>31</v>
      </c>
      <c r="T773" t="s">
        <v>32</v>
      </c>
      <c r="U773" s="3">
        <f t="shared" si="12"/>
        <v>45748</v>
      </c>
    </row>
    <row r="774" spans="1:21" x14ac:dyDescent="0.35">
      <c r="A774" t="s">
        <v>1883</v>
      </c>
      <c r="B774" t="s">
        <v>834</v>
      </c>
      <c r="C774" t="s">
        <v>95</v>
      </c>
      <c r="D774" t="s">
        <v>1884</v>
      </c>
      <c r="E774" t="s">
        <v>45</v>
      </c>
      <c r="F774" t="s">
        <v>25</v>
      </c>
      <c r="G774" t="s">
        <v>103</v>
      </c>
      <c r="H774" t="s">
        <v>27</v>
      </c>
      <c r="I774" t="s">
        <v>61</v>
      </c>
      <c r="J774">
        <v>50422.45</v>
      </c>
      <c r="K774">
        <v>118.21</v>
      </c>
      <c r="L774">
        <v>21.28</v>
      </c>
      <c r="M774">
        <v>237.05</v>
      </c>
      <c r="N774">
        <v>50324.89</v>
      </c>
      <c r="O774">
        <v>1800747.46</v>
      </c>
      <c r="P774">
        <v>478</v>
      </c>
      <c r="Q774" t="s">
        <v>53</v>
      </c>
      <c r="R774" t="s">
        <v>54</v>
      </c>
      <c r="S774" t="s">
        <v>79</v>
      </c>
      <c r="T774" t="s">
        <v>41</v>
      </c>
      <c r="U774" s="3">
        <f t="shared" si="12"/>
        <v>45689</v>
      </c>
    </row>
    <row r="775" spans="1:21" x14ac:dyDescent="0.35">
      <c r="A775" t="s">
        <v>1885</v>
      </c>
      <c r="B775" t="s">
        <v>367</v>
      </c>
      <c r="C775" t="s">
        <v>95</v>
      </c>
      <c r="D775" t="s">
        <v>1886</v>
      </c>
      <c r="E775" t="s">
        <v>37</v>
      </c>
      <c r="F775" t="s">
        <v>46</v>
      </c>
      <c r="G775" t="s">
        <v>103</v>
      </c>
      <c r="H775" t="s">
        <v>39</v>
      </c>
      <c r="I775" t="s">
        <v>61</v>
      </c>
      <c r="J775">
        <v>138700.9</v>
      </c>
      <c r="K775">
        <v>697</v>
      </c>
      <c r="L775">
        <v>125.46</v>
      </c>
      <c r="M775">
        <v>97.94</v>
      </c>
      <c r="N775">
        <v>139425.42000000001</v>
      </c>
      <c r="O775">
        <v>1810150.89</v>
      </c>
      <c r="P775">
        <v>539</v>
      </c>
      <c r="Q775" t="s">
        <v>29</v>
      </c>
      <c r="R775" t="s">
        <v>54</v>
      </c>
      <c r="S775" t="s">
        <v>62</v>
      </c>
      <c r="T775" t="s">
        <v>55</v>
      </c>
      <c r="U775" s="3">
        <f t="shared" si="12"/>
        <v>45717</v>
      </c>
    </row>
    <row r="776" spans="1:21" x14ac:dyDescent="0.35">
      <c r="A776" t="s">
        <v>1887</v>
      </c>
      <c r="B776" t="s">
        <v>1384</v>
      </c>
      <c r="C776" t="s">
        <v>95</v>
      </c>
      <c r="D776" t="s">
        <v>1888</v>
      </c>
      <c r="E776" t="s">
        <v>70</v>
      </c>
      <c r="F776" t="s">
        <v>38</v>
      </c>
      <c r="G776" t="s">
        <v>103</v>
      </c>
      <c r="H776" t="s">
        <v>39</v>
      </c>
      <c r="I776" t="s">
        <v>28</v>
      </c>
      <c r="J776">
        <v>137735.22</v>
      </c>
      <c r="K776">
        <v>1856.06</v>
      </c>
      <c r="L776">
        <v>334.09</v>
      </c>
      <c r="M776">
        <v>465.97</v>
      </c>
      <c r="N776">
        <v>139459.4</v>
      </c>
      <c r="O776">
        <v>1806580.3</v>
      </c>
      <c r="P776">
        <v>388</v>
      </c>
      <c r="Q776" t="s">
        <v>53</v>
      </c>
      <c r="R776" t="s">
        <v>30</v>
      </c>
      <c r="S776" t="s">
        <v>62</v>
      </c>
      <c r="T776" t="s">
        <v>55</v>
      </c>
      <c r="U776" s="3">
        <f t="shared" si="12"/>
        <v>45689</v>
      </c>
    </row>
    <row r="777" spans="1:21" x14ac:dyDescent="0.35">
      <c r="A777" t="s">
        <v>1889</v>
      </c>
      <c r="B777" t="s">
        <v>169</v>
      </c>
      <c r="C777" t="s">
        <v>22</v>
      </c>
      <c r="D777" t="s">
        <v>1890</v>
      </c>
      <c r="E777" t="s">
        <v>24</v>
      </c>
      <c r="F777" t="s">
        <v>59</v>
      </c>
      <c r="G777" t="s">
        <v>47</v>
      </c>
      <c r="H777" t="s">
        <v>48</v>
      </c>
      <c r="I777" t="s">
        <v>40</v>
      </c>
      <c r="J777">
        <v>2377.31</v>
      </c>
      <c r="K777">
        <v>22.07</v>
      </c>
      <c r="L777">
        <v>3.97</v>
      </c>
      <c r="M777">
        <v>251.73</v>
      </c>
      <c r="N777">
        <v>2151.62</v>
      </c>
      <c r="O777">
        <v>1814099.59</v>
      </c>
      <c r="P777">
        <v>882</v>
      </c>
      <c r="Q777" t="s">
        <v>53</v>
      </c>
      <c r="R777" t="s">
        <v>75</v>
      </c>
      <c r="S777" t="s">
        <v>79</v>
      </c>
      <c r="T777" t="s">
        <v>41</v>
      </c>
      <c r="U777" s="3">
        <f t="shared" si="12"/>
        <v>45658</v>
      </c>
    </row>
    <row r="778" spans="1:21" x14ac:dyDescent="0.35">
      <c r="A778" t="s">
        <v>1891</v>
      </c>
      <c r="B778" t="s">
        <v>608</v>
      </c>
      <c r="C778" t="s">
        <v>95</v>
      </c>
      <c r="D778" t="s">
        <v>1892</v>
      </c>
      <c r="E778" t="s">
        <v>24</v>
      </c>
      <c r="F778" t="s">
        <v>59</v>
      </c>
      <c r="G778" t="s">
        <v>26</v>
      </c>
      <c r="H778" t="s">
        <v>27</v>
      </c>
      <c r="I778" t="s">
        <v>61</v>
      </c>
      <c r="J778">
        <v>142511.75</v>
      </c>
      <c r="K778">
        <v>1957.78</v>
      </c>
      <c r="L778">
        <v>352.4</v>
      </c>
      <c r="M778">
        <v>176.91</v>
      </c>
      <c r="N778">
        <v>144645.01999999999</v>
      </c>
      <c r="O778">
        <v>1809568.84</v>
      </c>
      <c r="P778">
        <v>393</v>
      </c>
      <c r="Q778" t="s">
        <v>53</v>
      </c>
      <c r="R778" t="s">
        <v>30</v>
      </c>
      <c r="S778" t="s">
        <v>79</v>
      </c>
      <c r="T778" t="s">
        <v>41</v>
      </c>
      <c r="U778" s="3">
        <f t="shared" si="12"/>
        <v>45901</v>
      </c>
    </row>
    <row r="779" spans="1:21" x14ac:dyDescent="0.35">
      <c r="A779" t="s">
        <v>1893</v>
      </c>
      <c r="B779" t="s">
        <v>309</v>
      </c>
      <c r="C779" t="s">
        <v>22</v>
      </c>
      <c r="D779" t="s">
        <v>1894</v>
      </c>
      <c r="E779" t="s">
        <v>37</v>
      </c>
      <c r="F779" t="s">
        <v>38</v>
      </c>
      <c r="G779" t="s">
        <v>26</v>
      </c>
      <c r="H779" t="s">
        <v>52</v>
      </c>
      <c r="I779" t="s">
        <v>28</v>
      </c>
      <c r="J779">
        <v>133168.4</v>
      </c>
      <c r="K779">
        <v>623.78</v>
      </c>
      <c r="L779">
        <v>112.28</v>
      </c>
      <c r="M779">
        <v>286.45999999999998</v>
      </c>
      <c r="N779">
        <v>133618</v>
      </c>
      <c r="O779">
        <v>1807941.08</v>
      </c>
      <c r="P779">
        <v>754</v>
      </c>
      <c r="Q779" t="s">
        <v>29</v>
      </c>
      <c r="R779" t="s">
        <v>30</v>
      </c>
      <c r="S779" t="s">
        <v>79</v>
      </c>
      <c r="T779" t="s">
        <v>41</v>
      </c>
      <c r="U779" s="3">
        <f t="shared" si="12"/>
        <v>45658</v>
      </c>
    </row>
    <row r="780" spans="1:21" x14ac:dyDescent="0.35">
      <c r="A780" t="s">
        <v>1895</v>
      </c>
      <c r="B780" t="s">
        <v>1896</v>
      </c>
      <c r="C780" t="s">
        <v>35</v>
      </c>
      <c r="D780" t="s">
        <v>675</v>
      </c>
      <c r="E780" t="s">
        <v>37</v>
      </c>
      <c r="F780" t="s">
        <v>46</v>
      </c>
      <c r="G780" t="s">
        <v>60</v>
      </c>
      <c r="H780" t="s">
        <v>27</v>
      </c>
      <c r="I780" t="s">
        <v>61</v>
      </c>
      <c r="J780">
        <v>176658.04</v>
      </c>
      <c r="K780">
        <v>626.79999999999995</v>
      </c>
      <c r="L780">
        <v>112.82</v>
      </c>
      <c r="M780">
        <v>168.52</v>
      </c>
      <c r="N780">
        <v>177229.14</v>
      </c>
      <c r="O780">
        <v>1808995.52</v>
      </c>
      <c r="P780">
        <v>323</v>
      </c>
      <c r="Q780" t="s">
        <v>53</v>
      </c>
      <c r="R780" t="s">
        <v>54</v>
      </c>
      <c r="S780" t="s">
        <v>86</v>
      </c>
      <c r="T780" t="s">
        <v>41</v>
      </c>
      <c r="U780" s="3">
        <f t="shared" si="12"/>
        <v>45689</v>
      </c>
    </row>
    <row r="781" spans="1:21" x14ac:dyDescent="0.35">
      <c r="A781" t="s">
        <v>1897</v>
      </c>
      <c r="B781" t="s">
        <v>1115</v>
      </c>
      <c r="C781" t="s">
        <v>35</v>
      </c>
      <c r="D781" t="s">
        <v>1898</v>
      </c>
      <c r="E781" t="s">
        <v>45</v>
      </c>
      <c r="F781" t="s">
        <v>25</v>
      </c>
      <c r="G781" t="s">
        <v>47</v>
      </c>
      <c r="H781" t="s">
        <v>48</v>
      </c>
      <c r="I781" t="s">
        <v>40</v>
      </c>
      <c r="J781">
        <v>118162.84</v>
      </c>
      <c r="K781">
        <v>2240.96</v>
      </c>
      <c r="L781">
        <v>403.37</v>
      </c>
      <c r="M781">
        <v>125.57</v>
      </c>
      <c r="N781">
        <v>120681.60000000001</v>
      </c>
      <c r="O781">
        <v>1804149.8</v>
      </c>
      <c r="P781">
        <v>875</v>
      </c>
      <c r="Q781" t="s">
        <v>53</v>
      </c>
      <c r="R781" t="s">
        <v>30</v>
      </c>
      <c r="S781" t="s">
        <v>79</v>
      </c>
      <c r="T781" t="s">
        <v>41</v>
      </c>
      <c r="U781" s="3">
        <f t="shared" si="12"/>
        <v>45839</v>
      </c>
    </row>
    <row r="782" spans="1:21" x14ac:dyDescent="0.35">
      <c r="A782" t="s">
        <v>1899</v>
      </c>
      <c r="B782" t="s">
        <v>1764</v>
      </c>
      <c r="C782" t="s">
        <v>95</v>
      </c>
      <c r="D782" t="s">
        <v>604</v>
      </c>
      <c r="E782" t="s">
        <v>45</v>
      </c>
      <c r="F782" t="s">
        <v>25</v>
      </c>
      <c r="G782" t="s">
        <v>26</v>
      </c>
      <c r="H782" t="s">
        <v>48</v>
      </c>
      <c r="I782" t="s">
        <v>61</v>
      </c>
      <c r="J782">
        <v>148482.07</v>
      </c>
      <c r="K782">
        <v>195.63</v>
      </c>
      <c r="L782">
        <v>35.21</v>
      </c>
      <c r="M782">
        <v>1.1000000000000001</v>
      </c>
      <c r="N782">
        <v>148711.81</v>
      </c>
      <c r="O782">
        <v>1804963.64</v>
      </c>
      <c r="P782">
        <v>356</v>
      </c>
      <c r="Q782" t="s">
        <v>29</v>
      </c>
      <c r="R782" t="s">
        <v>30</v>
      </c>
      <c r="S782" t="s">
        <v>79</v>
      </c>
      <c r="T782" t="s">
        <v>55</v>
      </c>
      <c r="U782" s="3">
        <f t="shared" si="12"/>
        <v>45748</v>
      </c>
    </row>
    <row r="783" spans="1:21" x14ac:dyDescent="0.35">
      <c r="A783" t="s">
        <v>1900</v>
      </c>
      <c r="B783" t="s">
        <v>540</v>
      </c>
      <c r="C783" t="s">
        <v>95</v>
      </c>
      <c r="D783" t="s">
        <v>1901</v>
      </c>
      <c r="E783" t="s">
        <v>24</v>
      </c>
      <c r="F783" t="s">
        <v>38</v>
      </c>
      <c r="G783" t="s">
        <v>103</v>
      </c>
      <c r="H783" t="s">
        <v>52</v>
      </c>
      <c r="I783" t="s">
        <v>28</v>
      </c>
      <c r="J783">
        <v>89325.36</v>
      </c>
      <c r="K783">
        <v>351.78</v>
      </c>
      <c r="L783">
        <v>63.32</v>
      </c>
      <c r="M783">
        <v>50.86</v>
      </c>
      <c r="N783">
        <v>89689.600000000006</v>
      </c>
      <c r="O783">
        <v>1809661.86</v>
      </c>
      <c r="P783">
        <v>307</v>
      </c>
      <c r="Q783" t="s">
        <v>29</v>
      </c>
      <c r="R783" t="s">
        <v>75</v>
      </c>
      <c r="S783" t="s">
        <v>62</v>
      </c>
      <c r="T783" t="s">
        <v>32</v>
      </c>
      <c r="U783" s="3">
        <f t="shared" si="12"/>
        <v>45992</v>
      </c>
    </row>
    <row r="784" spans="1:21" x14ac:dyDescent="0.35">
      <c r="A784" t="s">
        <v>1902</v>
      </c>
      <c r="B784" t="s">
        <v>545</v>
      </c>
      <c r="C784" t="s">
        <v>22</v>
      </c>
      <c r="D784" t="s">
        <v>1903</v>
      </c>
      <c r="E784" t="s">
        <v>24</v>
      </c>
      <c r="F784" t="s">
        <v>25</v>
      </c>
      <c r="G784" t="s">
        <v>47</v>
      </c>
      <c r="H784" t="s">
        <v>39</v>
      </c>
      <c r="I784" t="s">
        <v>61</v>
      </c>
      <c r="J784">
        <v>187927.19</v>
      </c>
      <c r="K784">
        <v>3064.11</v>
      </c>
      <c r="L784">
        <v>551.54</v>
      </c>
      <c r="M784">
        <v>449.32</v>
      </c>
      <c r="N784">
        <v>191093.52</v>
      </c>
      <c r="O784">
        <v>1815673.76</v>
      </c>
      <c r="P784">
        <v>607</v>
      </c>
      <c r="Q784" t="s">
        <v>74</v>
      </c>
      <c r="R784" t="s">
        <v>30</v>
      </c>
      <c r="S784" t="s">
        <v>31</v>
      </c>
      <c r="T784" t="s">
        <v>41</v>
      </c>
      <c r="U784" s="3">
        <f t="shared" si="12"/>
        <v>45689</v>
      </c>
    </row>
    <row r="785" spans="1:21" x14ac:dyDescent="0.35">
      <c r="A785" t="s">
        <v>1904</v>
      </c>
      <c r="B785" t="s">
        <v>1506</v>
      </c>
      <c r="C785" t="s">
        <v>95</v>
      </c>
      <c r="D785" t="s">
        <v>1905</v>
      </c>
      <c r="E785" t="s">
        <v>24</v>
      </c>
      <c r="F785" t="s">
        <v>38</v>
      </c>
      <c r="G785" t="s">
        <v>47</v>
      </c>
      <c r="H785" t="s">
        <v>48</v>
      </c>
      <c r="I785" t="s">
        <v>40</v>
      </c>
      <c r="J785">
        <v>40813.769999999997</v>
      </c>
      <c r="K785">
        <v>74.94</v>
      </c>
      <c r="L785">
        <v>13.49</v>
      </c>
      <c r="M785">
        <v>272.83999999999997</v>
      </c>
      <c r="N785">
        <v>40629.360000000001</v>
      </c>
      <c r="O785">
        <v>1814320.5</v>
      </c>
      <c r="P785">
        <v>711</v>
      </c>
      <c r="Q785" t="s">
        <v>74</v>
      </c>
      <c r="R785" t="s">
        <v>75</v>
      </c>
      <c r="S785" t="s">
        <v>31</v>
      </c>
      <c r="T785" t="s">
        <v>32</v>
      </c>
      <c r="U785" s="3">
        <f t="shared" si="12"/>
        <v>45658</v>
      </c>
    </row>
    <row r="786" spans="1:21" x14ac:dyDescent="0.35">
      <c r="A786" t="s">
        <v>1906</v>
      </c>
      <c r="B786" t="s">
        <v>1733</v>
      </c>
      <c r="C786" t="s">
        <v>95</v>
      </c>
      <c r="D786" t="s">
        <v>1907</v>
      </c>
      <c r="E786" t="s">
        <v>37</v>
      </c>
      <c r="F786" t="s">
        <v>25</v>
      </c>
      <c r="G786" t="s">
        <v>47</v>
      </c>
      <c r="H786" t="s">
        <v>66</v>
      </c>
      <c r="I786" t="s">
        <v>40</v>
      </c>
      <c r="J786">
        <v>79915.199999999997</v>
      </c>
      <c r="K786">
        <v>1033.3399999999999</v>
      </c>
      <c r="L786">
        <v>186</v>
      </c>
      <c r="M786">
        <v>423.25</v>
      </c>
      <c r="N786">
        <v>80711.289999999994</v>
      </c>
      <c r="O786">
        <v>1814632.98</v>
      </c>
      <c r="P786">
        <v>619</v>
      </c>
      <c r="Q786" t="s">
        <v>29</v>
      </c>
      <c r="R786" t="s">
        <v>54</v>
      </c>
      <c r="S786" t="s">
        <v>79</v>
      </c>
      <c r="T786" t="s">
        <v>41</v>
      </c>
      <c r="U786" s="3">
        <f t="shared" si="12"/>
        <v>45931</v>
      </c>
    </row>
    <row r="787" spans="1:21" x14ac:dyDescent="0.35">
      <c r="A787" t="s">
        <v>1908</v>
      </c>
      <c r="B787" t="s">
        <v>1066</v>
      </c>
      <c r="C787" t="s">
        <v>22</v>
      </c>
      <c r="D787" t="s">
        <v>1909</v>
      </c>
      <c r="E787" t="s">
        <v>24</v>
      </c>
      <c r="F787" t="s">
        <v>46</v>
      </c>
      <c r="G787" t="s">
        <v>103</v>
      </c>
      <c r="H787" t="s">
        <v>48</v>
      </c>
      <c r="I787" t="s">
        <v>28</v>
      </c>
      <c r="J787">
        <v>107556.81</v>
      </c>
      <c r="K787">
        <v>1905.77</v>
      </c>
      <c r="L787">
        <v>343.04</v>
      </c>
      <c r="M787">
        <v>157.36000000000001</v>
      </c>
      <c r="N787">
        <v>109648.26</v>
      </c>
      <c r="O787">
        <v>1809670.35</v>
      </c>
      <c r="P787">
        <v>796</v>
      </c>
      <c r="Q787" t="s">
        <v>29</v>
      </c>
      <c r="R787" t="s">
        <v>75</v>
      </c>
      <c r="S787" t="s">
        <v>31</v>
      </c>
      <c r="T787" t="s">
        <v>41</v>
      </c>
      <c r="U787" s="3">
        <f t="shared" si="12"/>
        <v>45870</v>
      </c>
    </row>
    <row r="788" spans="1:21" x14ac:dyDescent="0.35">
      <c r="A788" t="s">
        <v>1910</v>
      </c>
      <c r="B788" t="s">
        <v>1911</v>
      </c>
      <c r="C788" t="s">
        <v>35</v>
      </c>
      <c r="D788" t="s">
        <v>1912</v>
      </c>
      <c r="E788" t="s">
        <v>24</v>
      </c>
      <c r="F788" t="s">
        <v>59</v>
      </c>
      <c r="G788" t="s">
        <v>26</v>
      </c>
      <c r="H788" t="s">
        <v>48</v>
      </c>
      <c r="I788" t="s">
        <v>40</v>
      </c>
      <c r="J788">
        <v>48313.91</v>
      </c>
      <c r="K788">
        <v>434.74</v>
      </c>
      <c r="L788">
        <v>78.25</v>
      </c>
      <c r="M788">
        <v>445.96</v>
      </c>
      <c r="N788">
        <v>48380.94</v>
      </c>
      <c r="O788">
        <v>1808662.75</v>
      </c>
      <c r="P788">
        <v>720</v>
      </c>
      <c r="Q788" t="s">
        <v>74</v>
      </c>
      <c r="R788" t="s">
        <v>75</v>
      </c>
      <c r="S788" t="s">
        <v>79</v>
      </c>
      <c r="T788" t="s">
        <v>55</v>
      </c>
      <c r="U788" s="3">
        <f t="shared" si="12"/>
        <v>45992</v>
      </c>
    </row>
    <row r="789" spans="1:21" x14ac:dyDescent="0.35">
      <c r="A789" t="s">
        <v>1913</v>
      </c>
      <c r="B789" t="s">
        <v>662</v>
      </c>
      <c r="C789" t="s">
        <v>95</v>
      </c>
      <c r="D789" t="s">
        <v>1914</v>
      </c>
      <c r="E789" t="s">
        <v>24</v>
      </c>
      <c r="F789" t="s">
        <v>25</v>
      </c>
      <c r="G789" t="s">
        <v>60</v>
      </c>
      <c r="H789" t="s">
        <v>27</v>
      </c>
      <c r="I789" t="s">
        <v>40</v>
      </c>
      <c r="J789">
        <v>33137.9</v>
      </c>
      <c r="K789">
        <v>280.86</v>
      </c>
      <c r="L789">
        <v>50.55</v>
      </c>
      <c r="M789">
        <v>47.12</v>
      </c>
      <c r="N789">
        <v>33422.19</v>
      </c>
      <c r="O789">
        <v>1815506.4</v>
      </c>
      <c r="P789">
        <v>822</v>
      </c>
      <c r="Q789" t="s">
        <v>29</v>
      </c>
      <c r="R789" t="s">
        <v>75</v>
      </c>
      <c r="S789" t="s">
        <v>31</v>
      </c>
      <c r="T789" t="s">
        <v>41</v>
      </c>
      <c r="U789" s="3">
        <f t="shared" si="12"/>
        <v>45870</v>
      </c>
    </row>
    <row r="790" spans="1:21" x14ac:dyDescent="0.35">
      <c r="A790" t="s">
        <v>1915</v>
      </c>
      <c r="B790" t="s">
        <v>1039</v>
      </c>
      <c r="C790" t="s">
        <v>22</v>
      </c>
      <c r="D790" t="s">
        <v>1916</v>
      </c>
      <c r="E790" t="s">
        <v>24</v>
      </c>
      <c r="F790" t="s">
        <v>46</v>
      </c>
      <c r="G790" t="s">
        <v>103</v>
      </c>
      <c r="H790" t="s">
        <v>39</v>
      </c>
      <c r="I790" t="s">
        <v>28</v>
      </c>
      <c r="J790">
        <v>76952.81</v>
      </c>
      <c r="K790">
        <v>1129.1600000000001</v>
      </c>
      <c r="L790">
        <v>203.25</v>
      </c>
      <c r="M790">
        <v>347.96</v>
      </c>
      <c r="N790">
        <v>77937.259999999995</v>
      </c>
      <c r="O790">
        <v>1819443.92</v>
      </c>
      <c r="P790">
        <v>818</v>
      </c>
      <c r="Q790" t="s">
        <v>53</v>
      </c>
      <c r="R790" t="s">
        <v>75</v>
      </c>
      <c r="S790" t="s">
        <v>62</v>
      </c>
      <c r="T790" t="s">
        <v>41</v>
      </c>
      <c r="U790" s="3">
        <f t="shared" si="12"/>
        <v>45809</v>
      </c>
    </row>
    <row r="791" spans="1:21" x14ac:dyDescent="0.35">
      <c r="A791" t="s">
        <v>1917</v>
      </c>
      <c r="B791" t="s">
        <v>1857</v>
      </c>
      <c r="C791" t="s">
        <v>95</v>
      </c>
      <c r="D791" t="s">
        <v>1918</v>
      </c>
      <c r="E791" t="s">
        <v>70</v>
      </c>
      <c r="F791" t="s">
        <v>25</v>
      </c>
      <c r="G791" t="s">
        <v>47</v>
      </c>
      <c r="H791" t="s">
        <v>52</v>
      </c>
      <c r="I791" t="s">
        <v>28</v>
      </c>
      <c r="J791">
        <v>170808.63</v>
      </c>
      <c r="K791">
        <v>1692.45</v>
      </c>
      <c r="L791">
        <v>304.64</v>
      </c>
      <c r="M791">
        <v>47.85</v>
      </c>
      <c r="N791">
        <v>172757.87</v>
      </c>
      <c r="O791">
        <v>1822919.89</v>
      </c>
      <c r="P791">
        <v>474</v>
      </c>
      <c r="Q791" t="s">
        <v>53</v>
      </c>
      <c r="R791" t="s">
        <v>54</v>
      </c>
      <c r="S791" t="s">
        <v>62</v>
      </c>
      <c r="T791" t="s">
        <v>41</v>
      </c>
      <c r="U791" s="3">
        <f t="shared" si="12"/>
        <v>45901</v>
      </c>
    </row>
    <row r="792" spans="1:21" x14ac:dyDescent="0.35">
      <c r="A792" t="s">
        <v>1919</v>
      </c>
      <c r="B792" t="s">
        <v>1294</v>
      </c>
      <c r="C792" t="s">
        <v>35</v>
      </c>
      <c r="D792" t="s">
        <v>1920</v>
      </c>
      <c r="E792" t="s">
        <v>45</v>
      </c>
      <c r="F792" t="s">
        <v>25</v>
      </c>
      <c r="G792" t="s">
        <v>47</v>
      </c>
      <c r="H792" t="s">
        <v>48</v>
      </c>
      <c r="I792" t="s">
        <v>61</v>
      </c>
      <c r="J792">
        <v>47948.71</v>
      </c>
      <c r="K792">
        <v>736.05</v>
      </c>
      <c r="L792">
        <v>132.49</v>
      </c>
      <c r="M792">
        <v>270.58999999999997</v>
      </c>
      <c r="N792">
        <v>48546.66</v>
      </c>
      <c r="O792">
        <v>1826251.19</v>
      </c>
      <c r="P792">
        <v>338</v>
      </c>
      <c r="Q792" t="s">
        <v>53</v>
      </c>
      <c r="R792" t="s">
        <v>75</v>
      </c>
      <c r="S792" t="s">
        <v>79</v>
      </c>
      <c r="T792" t="s">
        <v>32</v>
      </c>
      <c r="U792" s="3">
        <f t="shared" si="12"/>
        <v>45931</v>
      </c>
    </row>
    <row r="793" spans="1:21" x14ac:dyDescent="0.35">
      <c r="A793" t="s">
        <v>1921</v>
      </c>
      <c r="B793" t="s">
        <v>1239</v>
      </c>
      <c r="C793" t="s">
        <v>35</v>
      </c>
      <c r="D793" t="s">
        <v>1922</v>
      </c>
      <c r="E793" t="s">
        <v>24</v>
      </c>
      <c r="F793" t="s">
        <v>38</v>
      </c>
      <c r="G793" t="s">
        <v>26</v>
      </c>
      <c r="H793" t="s">
        <v>27</v>
      </c>
      <c r="I793" t="s">
        <v>28</v>
      </c>
      <c r="J793">
        <v>102197.17</v>
      </c>
      <c r="K793">
        <v>270.44</v>
      </c>
      <c r="L793">
        <v>48.68</v>
      </c>
      <c r="M793">
        <v>52.03</v>
      </c>
      <c r="N793">
        <v>102464.26</v>
      </c>
      <c r="O793">
        <v>1834407.53</v>
      </c>
      <c r="P793">
        <v>352</v>
      </c>
      <c r="Q793" t="s">
        <v>74</v>
      </c>
      <c r="R793" t="s">
        <v>75</v>
      </c>
      <c r="S793" t="s">
        <v>86</v>
      </c>
      <c r="T793" t="s">
        <v>41</v>
      </c>
      <c r="U793" s="3">
        <f t="shared" si="12"/>
        <v>45689</v>
      </c>
    </row>
    <row r="794" spans="1:21" x14ac:dyDescent="0.35">
      <c r="A794" t="s">
        <v>1923</v>
      </c>
      <c r="B794" t="s">
        <v>245</v>
      </c>
      <c r="C794" t="s">
        <v>22</v>
      </c>
      <c r="D794" t="s">
        <v>1924</v>
      </c>
      <c r="E794" t="s">
        <v>37</v>
      </c>
      <c r="F794" t="s">
        <v>38</v>
      </c>
      <c r="G794" t="s">
        <v>47</v>
      </c>
      <c r="H794" t="s">
        <v>52</v>
      </c>
      <c r="I794" t="s">
        <v>61</v>
      </c>
      <c r="J794">
        <v>143683.38</v>
      </c>
      <c r="K794">
        <v>717.8</v>
      </c>
      <c r="L794">
        <v>129.19999999999999</v>
      </c>
      <c r="M794">
        <v>300.58</v>
      </c>
      <c r="N794">
        <v>144229.79999999999</v>
      </c>
      <c r="O794">
        <v>1844388.83</v>
      </c>
      <c r="P794">
        <v>355</v>
      </c>
      <c r="Q794" t="s">
        <v>74</v>
      </c>
      <c r="R794" t="s">
        <v>30</v>
      </c>
      <c r="S794" t="s">
        <v>62</v>
      </c>
      <c r="T794" t="s">
        <v>32</v>
      </c>
      <c r="U794" s="3">
        <f t="shared" si="12"/>
        <v>45778</v>
      </c>
    </row>
    <row r="795" spans="1:21" x14ac:dyDescent="0.35">
      <c r="A795" t="s">
        <v>1925</v>
      </c>
      <c r="B795" t="s">
        <v>490</v>
      </c>
      <c r="C795" t="s">
        <v>35</v>
      </c>
      <c r="D795" t="s">
        <v>257</v>
      </c>
      <c r="E795" t="s">
        <v>45</v>
      </c>
      <c r="F795" t="s">
        <v>38</v>
      </c>
      <c r="G795" t="s">
        <v>103</v>
      </c>
      <c r="H795" t="s">
        <v>39</v>
      </c>
      <c r="I795" t="s">
        <v>28</v>
      </c>
      <c r="J795">
        <v>7636.25</v>
      </c>
      <c r="K795">
        <v>98.69</v>
      </c>
      <c r="L795">
        <v>17.760000000000002</v>
      </c>
      <c r="M795">
        <v>296.61</v>
      </c>
      <c r="N795">
        <v>7456.09</v>
      </c>
      <c r="O795">
        <v>1850957.86</v>
      </c>
      <c r="P795">
        <v>642</v>
      </c>
      <c r="Q795" t="s">
        <v>53</v>
      </c>
      <c r="R795" t="s">
        <v>75</v>
      </c>
      <c r="S795" t="s">
        <v>86</v>
      </c>
      <c r="T795" t="s">
        <v>41</v>
      </c>
      <c r="U795" s="3">
        <f t="shared" si="12"/>
        <v>45658</v>
      </c>
    </row>
    <row r="796" spans="1:21" x14ac:dyDescent="0.35">
      <c r="A796" t="s">
        <v>1926</v>
      </c>
      <c r="B796" t="s">
        <v>1506</v>
      </c>
      <c r="C796" t="s">
        <v>95</v>
      </c>
      <c r="D796" t="s">
        <v>1927</v>
      </c>
      <c r="E796" t="s">
        <v>45</v>
      </c>
      <c r="F796" t="s">
        <v>25</v>
      </c>
      <c r="G796" t="s">
        <v>60</v>
      </c>
      <c r="H796" t="s">
        <v>52</v>
      </c>
      <c r="I796" t="s">
        <v>61</v>
      </c>
      <c r="J796">
        <v>173409.67</v>
      </c>
      <c r="K796">
        <v>2786.91</v>
      </c>
      <c r="L796">
        <v>501.64</v>
      </c>
      <c r="M796">
        <v>143.33000000000001</v>
      </c>
      <c r="N796">
        <v>176554.89</v>
      </c>
      <c r="O796">
        <v>1857073.24</v>
      </c>
      <c r="P796">
        <v>797</v>
      </c>
      <c r="Q796" t="s">
        <v>74</v>
      </c>
      <c r="R796" t="s">
        <v>30</v>
      </c>
      <c r="S796" t="s">
        <v>31</v>
      </c>
      <c r="T796" t="s">
        <v>41</v>
      </c>
      <c r="U796" s="3">
        <f t="shared" si="12"/>
        <v>45658</v>
      </c>
    </row>
    <row r="797" spans="1:21" x14ac:dyDescent="0.35">
      <c r="A797" t="s">
        <v>1928</v>
      </c>
      <c r="B797" t="s">
        <v>1341</v>
      </c>
      <c r="C797" t="s">
        <v>95</v>
      </c>
      <c r="D797" t="s">
        <v>1929</v>
      </c>
      <c r="E797" t="s">
        <v>24</v>
      </c>
      <c r="F797" t="s">
        <v>38</v>
      </c>
      <c r="G797" t="s">
        <v>60</v>
      </c>
      <c r="H797" t="s">
        <v>48</v>
      </c>
      <c r="I797" t="s">
        <v>40</v>
      </c>
      <c r="J797">
        <v>196014.69</v>
      </c>
      <c r="K797">
        <v>2258.19</v>
      </c>
      <c r="L797">
        <v>406.47</v>
      </c>
      <c r="M797">
        <v>26.72</v>
      </c>
      <c r="N797">
        <v>198652.63</v>
      </c>
      <c r="O797">
        <v>1858761.4</v>
      </c>
      <c r="P797">
        <v>793</v>
      </c>
      <c r="Q797" t="s">
        <v>29</v>
      </c>
      <c r="R797" t="s">
        <v>30</v>
      </c>
      <c r="S797" t="s">
        <v>79</v>
      </c>
      <c r="T797" t="s">
        <v>41</v>
      </c>
      <c r="U797" s="3">
        <f t="shared" si="12"/>
        <v>45870</v>
      </c>
    </row>
    <row r="798" spans="1:21" x14ac:dyDescent="0.35">
      <c r="A798" t="s">
        <v>1930</v>
      </c>
      <c r="B798" t="s">
        <v>899</v>
      </c>
      <c r="C798" t="s">
        <v>35</v>
      </c>
      <c r="D798" t="s">
        <v>1931</v>
      </c>
      <c r="E798" t="s">
        <v>24</v>
      </c>
      <c r="F798" t="s">
        <v>25</v>
      </c>
      <c r="G798" t="s">
        <v>103</v>
      </c>
      <c r="H798" t="s">
        <v>66</v>
      </c>
      <c r="I798" t="s">
        <v>28</v>
      </c>
      <c r="J798">
        <v>66036.58</v>
      </c>
      <c r="K798">
        <v>959.87</v>
      </c>
      <c r="L798">
        <v>172.78</v>
      </c>
      <c r="M798">
        <v>138.68</v>
      </c>
      <c r="N798">
        <v>67030.55</v>
      </c>
      <c r="O798">
        <v>1868341.64</v>
      </c>
      <c r="P798">
        <v>738</v>
      </c>
      <c r="Q798" t="s">
        <v>74</v>
      </c>
      <c r="R798" t="s">
        <v>54</v>
      </c>
      <c r="S798" t="s">
        <v>79</v>
      </c>
      <c r="T798" t="s">
        <v>41</v>
      </c>
      <c r="U798" s="3">
        <f t="shared" si="12"/>
        <v>45658</v>
      </c>
    </row>
    <row r="799" spans="1:21" x14ac:dyDescent="0.35">
      <c r="A799" t="s">
        <v>1932</v>
      </c>
      <c r="B799" t="s">
        <v>1896</v>
      </c>
      <c r="C799" t="s">
        <v>95</v>
      </c>
      <c r="D799" t="s">
        <v>1933</v>
      </c>
      <c r="E799" t="s">
        <v>37</v>
      </c>
      <c r="F799" t="s">
        <v>46</v>
      </c>
      <c r="G799" t="s">
        <v>103</v>
      </c>
      <c r="H799" t="s">
        <v>48</v>
      </c>
      <c r="I799" t="s">
        <v>61</v>
      </c>
      <c r="J799">
        <v>131093.48000000001</v>
      </c>
      <c r="K799">
        <v>264.95999999999998</v>
      </c>
      <c r="L799">
        <v>47.69</v>
      </c>
      <c r="M799">
        <v>275.08999999999997</v>
      </c>
      <c r="N799">
        <v>131131.04</v>
      </c>
      <c r="O799">
        <v>1865296.83</v>
      </c>
      <c r="P799">
        <v>669</v>
      </c>
      <c r="Q799" t="s">
        <v>53</v>
      </c>
      <c r="R799" t="s">
        <v>54</v>
      </c>
      <c r="S799" t="s">
        <v>31</v>
      </c>
      <c r="T799" t="s">
        <v>55</v>
      </c>
      <c r="U799" s="3">
        <f t="shared" si="12"/>
        <v>45689</v>
      </c>
    </row>
    <row r="800" spans="1:21" x14ac:dyDescent="0.35">
      <c r="A800" t="s">
        <v>1934</v>
      </c>
      <c r="B800" t="s">
        <v>282</v>
      </c>
      <c r="C800" t="s">
        <v>35</v>
      </c>
      <c r="D800" t="s">
        <v>1935</v>
      </c>
      <c r="E800" t="s">
        <v>37</v>
      </c>
      <c r="F800" t="s">
        <v>38</v>
      </c>
      <c r="G800" t="s">
        <v>60</v>
      </c>
      <c r="H800" t="s">
        <v>48</v>
      </c>
      <c r="I800" t="s">
        <v>28</v>
      </c>
      <c r="J800">
        <v>146875.79</v>
      </c>
      <c r="K800">
        <v>207.04</v>
      </c>
      <c r="L800">
        <v>37.270000000000003</v>
      </c>
      <c r="M800">
        <v>269.16000000000003</v>
      </c>
      <c r="N800">
        <v>146850.94</v>
      </c>
      <c r="O800">
        <v>1870610.28</v>
      </c>
      <c r="P800">
        <v>420</v>
      </c>
      <c r="Q800" t="s">
        <v>29</v>
      </c>
      <c r="R800" t="s">
        <v>75</v>
      </c>
      <c r="S800" t="s">
        <v>31</v>
      </c>
      <c r="T800" t="s">
        <v>55</v>
      </c>
      <c r="U800" s="3">
        <f t="shared" si="12"/>
        <v>45992</v>
      </c>
    </row>
    <row r="801" spans="1:21" x14ac:dyDescent="0.35">
      <c r="A801" t="s">
        <v>1936</v>
      </c>
      <c r="B801" t="s">
        <v>908</v>
      </c>
      <c r="C801" t="s">
        <v>95</v>
      </c>
      <c r="D801" t="s">
        <v>1937</v>
      </c>
      <c r="E801" t="s">
        <v>70</v>
      </c>
      <c r="F801" t="s">
        <v>38</v>
      </c>
      <c r="G801" t="s">
        <v>103</v>
      </c>
      <c r="H801" t="s">
        <v>27</v>
      </c>
      <c r="I801" t="s">
        <v>61</v>
      </c>
      <c r="J801">
        <v>175761.2</v>
      </c>
      <c r="K801">
        <v>1432.17</v>
      </c>
      <c r="L801">
        <v>257.79000000000002</v>
      </c>
      <c r="M801">
        <v>137.71</v>
      </c>
      <c r="N801">
        <v>177313.45</v>
      </c>
      <c r="O801">
        <v>1868262.95</v>
      </c>
      <c r="P801">
        <v>511</v>
      </c>
      <c r="Q801" t="s">
        <v>53</v>
      </c>
      <c r="R801" t="s">
        <v>75</v>
      </c>
      <c r="S801" t="s">
        <v>31</v>
      </c>
      <c r="T801" t="s">
        <v>55</v>
      </c>
      <c r="U801" s="3">
        <f t="shared" si="12"/>
        <v>45870</v>
      </c>
    </row>
    <row r="802" spans="1:21" x14ac:dyDescent="0.35">
      <c r="A802" t="s">
        <v>1938</v>
      </c>
      <c r="B802" t="s">
        <v>1939</v>
      </c>
      <c r="C802" t="s">
        <v>22</v>
      </c>
      <c r="D802" t="s">
        <v>1940</v>
      </c>
      <c r="E802" t="s">
        <v>24</v>
      </c>
      <c r="F802" t="s">
        <v>46</v>
      </c>
      <c r="G802" t="s">
        <v>103</v>
      </c>
      <c r="H802" t="s">
        <v>66</v>
      </c>
      <c r="I802" t="s">
        <v>28</v>
      </c>
      <c r="J802">
        <v>81469.070000000007</v>
      </c>
      <c r="K802">
        <v>1583.09</v>
      </c>
      <c r="L802">
        <v>284.95999999999998</v>
      </c>
      <c r="M802">
        <v>150.56</v>
      </c>
      <c r="N802">
        <v>83186.559999999998</v>
      </c>
      <c r="O802">
        <v>1869559.21</v>
      </c>
      <c r="P802">
        <v>442</v>
      </c>
      <c r="Q802" t="s">
        <v>53</v>
      </c>
      <c r="R802" t="s">
        <v>54</v>
      </c>
      <c r="S802" t="s">
        <v>86</v>
      </c>
      <c r="T802" t="s">
        <v>55</v>
      </c>
      <c r="U802" s="3">
        <f t="shared" si="12"/>
        <v>45992</v>
      </c>
    </row>
    <row r="803" spans="1:21" x14ac:dyDescent="0.35">
      <c r="A803" t="s">
        <v>1941</v>
      </c>
      <c r="B803" t="s">
        <v>850</v>
      </c>
      <c r="C803" t="s">
        <v>22</v>
      </c>
      <c r="D803" t="s">
        <v>1942</v>
      </c>
      <c r="E803" t="s">
        <v>70</v>
      </c>
      <c r="F803" t="s">
        <v>46</v>
      </c>
      <c r="G803" t="s">
        <v>47</v>
      </c>
      <c r="H803" t="s">
        <v>52</v>
      </c>
      <c r="I803" t="s">
        <v>40</v>
      </c>
      <c r="J803">
        <v>87751.26</v>
      </c>
      <c r="K803">
        <v>1719.86</v>
      </c>
      <c r="L803">
        <v>309.57</v>
      </c>
      <c r="M803">
        <v>408.73</v>
      </c>
      <c r="N803">
        <v>89371.96</v>
      </c>
      <c r="O803">
        <v>1878204.32</v>
      </c>
      <c r="P803">
        <v>879</v>
      </c>
      <c r="Q803" t="s">
        <v>53</v>
      </c>
      <c r="R803" t="s">
        <v>30</v>
      </c>
      <c r="S803" t="s">
        <v>31</v>
      </c>
      <c r="T803" t="s">
        <v>32</v>
      </c>
      <c r="U803" s="3">
        <f t="shared" si="12"/>
        <v>45809</v>
      </c>
    </row>
    <row r="804" spans="1:21" x14ac:dyDescent="0.35">
      <c r="A804" t="s">
        <v>1943</v>
      </c>
      <c r="B804" t="s">
        <v>515</v>
      </c>
      <c r="C804" t="s">
        <v>22</v>
      </c>
      <c r="D804" t="s">
        <v>1944</v>
      </c>
      <c r="E804" t="s">
        <v>70</v>
      </c>
      <c r="F804" t="s">
        <v>25</v>
      </c>
      <c r="G804" t="s">
        <v>47</v>
      </c>
      <c r="H804" t="s">
        <v>66</v>
      </c>
      <c r="I804" t="s">
        <v>40</v>
      </c>
      <c r="J804">
        <v>141634.53</v>
      </c>
      <c r="K804">
        <v>218.75</v>
      </c>
      <c r="L804">
        <v>39.380000000000003</v>
      </c>
      <c r="M804">
        <v>252.6</v>
      </c>
      <c r="N804">
        <v>141640.06</v>
      </c>
      <c r="O804">
        <v>1880305.57</v>
      </c>
      <c r="P804">
        <v>337</v>
      </c>
      <c r="Q804" t="s">
        <v>53</v>
      </c>
      <c r="R804" t="s">
        <v>75</v>
      </c>
      <c r="S804" t="s">
        <v>86</v>
      </c>
      <c r="T804" t="s">
        <v>32</v>
      </c>
      <c r="U804" s="3">
        <f t="shared" si="12"/>
        <v>45839</v>
      </c>
    </row>
    <row r="805" spans="1:21" x14ac:dyDescent="0.35">
      <c r="A805" t="s">
        <v>1945</v>
      </c>
      <c r="B805" t="s">
        <v>394</v>
      </c>
      <c r="C805" t="s">
        <v>22</v>
      </c>
      <c r="D805" t="s">
        <v>1946</v>
      </c>
      <c r="E805" t="s">
        <v>45</v>
      </c>
      <c r="F805" t="s">
        <v>38</v>
      </c>
      <c r="G805" t="s">
        <v>60</v>
      </c>
      <c r="H805" t="s">
        <v>52</v>
      </c>
      <c r="I805" t="s">
        <v>61</v>
      </c>
      <c r="J805">
        <v>82516.320000000007</v>
      </c>
      <c r="K805">
        <v>400.68</v>
      </c>
      <c r="L805">
        <v>72.12</v>
      </c>
      <c r="M805">
        <v>488.89</v>
      </c>
      <c r="N805">
        <v>82500.23</v>
      </c>
      <c r="O805">
        <v>1889211.58</v>
      </c>
      <c r="P805">
        <v>654</v>
      </c>
      <c r="Q805" t="s">
        <v>74</v>
      </c>
      <c r="R805" t="s">
        <v>54</v>
      </c>
      <c r="S805" t="s">
        <v>62</v>
      </c>
      <c r="T805" t="s">
        <v>55</v>
      </c>
      <c r="U805" s="3">
        <f t="shared" si="12"/>
        <v>45901</v>
      </c>
    </row>
    <row r="806" spans="1:21" x14ac:dyDescent="0.35">
      <c r="A806" t="s">
        <v>1947</v>
      </c>
      <c r="B806" t="s">
        <v>474</v>
      </c>
      <c r="C806" t="s">
        <v>22</v>
      </c>
      <c r="D806" t="s">
        <v>1948</v>
      </c>
      <c r="E806" t="s">
        <v>37</v>
      </c>
      <c r="F806" t="s">
        <v>46</v>
      </c>
      <c r="G806" t="s">
        <v>26</v>
      </c>
      <c r="H806" t="s">
        <v>52</v>
      </c>
      <c r="I806" t="s">
        <v>40</v>
      </c>
      <c r="J806">
        <v>58667.09</v>
      </c>
      <c r="K806">
        <v>355.23</v>
      </c>
      <c r="L806">
        <v>63.94</v>
      </c>
      <c r="M806">
        <v>192.89</v>
      </c>
      <c r="N806">
        <v>58893.37</v>
      </c>
      <c r="O806">
        <v>1894246.36</v>
      </c>
      <c r="P806">
        <v>884</v>
      </c>
      <c r="Q806" t="s">
        <v>53</v>
      </c>
      <c r="R806" t="s">
        <v>30</v>
      </c>
      <c r="S806" t="s">
        <v>31</v>
      </c>
      <c r="T806" t="s">
        <v>55</v>
      </c>
      <c r="U806" s="3">
        <f t="shared" si="12"/>
        <v>45992</v>
      </c>
    </row>
    <row r="807" spans="1:21" x14ac:dyDescent="0.35">
      <c r="A807" t="s">
        <v>1949</v>
      </c>
      <c r="B807" t="s">
        <v>1950</v>
      </c>
      <c r="C807" t="s">
        <v>35</v>
      </c>
      <c r="D807" t="s">
        <v>1951</v>
      </c>
      <c r="E807" t="s">
        <v>70</v>
      </c>
      <c r="F807" t="s">
        <v>59</v>
      </c>
      <c r="G807" t="s">
        <v>103</v>
      </c>
      <c r="H807" t="s">
        <v>39</v>
      </c>
      <c r="I807" t="s">
        <v>61</v>
      </c>
      <c r="J807">
        <v>112934.51</v>
      </c>
      <c r="K807">
        <v>1744.66</v>
      </c>
      <c r="L807">
        <v>314.04000000000002</v>
      </c>
      <c r="M807">
        <v>295.95</v>
      </c>
      <c r="N807">
        <v>114697.26</v>
      </c>
      <c r="O807">
        <v>1899460.94</v>
      </c>
      <c r="P807">
        <v>471</v>
      </c>
      <c r="Q807" t="s">
        <v>29</v>
      </c>
      <c r="R807" t="s">
        <v>75</v>
      </c>
      <c r="S807" t="s">
        <v>31</v>
      </c>
      <c r="T807" t="s">
        <v>55</v>
      </c>
      <c r="U807" s="3">
        <f t="shared" si="12"/>
        <v>45778</v>
      </c>
    </row>
    <row r="808" spans="1:21" x14ac:dyDescent="0.35">
      <c r="A808" t="s">
        <v>1952</v>
      </c>
      <c r="B808" t="s">
        <v>1738</v>
      </c>
      <c r="C808" t="s">
        <v>95</v>
      </c>
      <c r="D808" t="s">
        <v>1953</v>
      </c>
      <c r="E808" t="s">
        <v>24</v>
      </c>
      <c r="F808" t="s">
        <v>46</v>
      </c>
      <c r="G808" t="s">
        <v>103</v>
      </c>
      <c r="H808" t="s">
        <v>52</v>
      </c>
      <c r="I808" t="s">
        <v>40</v>
      </c>
      <c r="J808">
        <v>68425.03</v>
      </c>
      <c r="K808">
        <v>1018.21</v>
      </c>
      <c r="L808">
        <v>183.28</v>
      </c>
      <c r="M808">
        <v>142.01</v>
      </c>
      <c r="N808">
        <v>69484.509999999995</v>
      </c>
      <c r="O808">
        <v>1902924.31</v>
      </c>
      <c r="P808">
        <v>441</v>
      </c>
      <c r="Q808" t="s">
        <v>74</v>
      </c>
      <c r="R808" t="s">
        <v>54</v>
      </c>
      <c r="S808" t="s">
        <v>79</v>
      </c>
      <c r="T808" t="s">
        <v>41</v>
      </c>
      <c r="U808" s="3">
        <f t="shared" si="12"/>
        <v>45962</v>
      </c>
    </row>
    <row r="809" spans="1:21" x14ac:dyDescent="0.35">
      <c r="A809" t="s">
        <v>1954</v>
      </c>
      <c r="B809" t="s">
        <v>408</v>
      </c>
      <c r="C809" t="s">
        <v>35</v>
      </c>
      <c r="D809" t="s">
        <v>1955</v>
      </c>
      <c r="E809" t="s">
        <v>45</v>
      </c>
      <c r="F809" t="s">
        <v>38</v>
      </c>
      <c r="G809" t="s">
        <v>26</v>
      </c>
      <c r="H809" t="s">
        <v>27</v>
      </c>
      <c r="I809" t="s">
        <v>40</v>
      </c>
      <c r="J809">
        <v>170208.15</v>
      </c>
      <c r="K809">
        <v>1253.47</v>
      </c>
      <c r="L809">
        <v>225.62</v>
      </c>
      <c r="M809">
        <v>344.94</v>
      </c>
      <c r="N809">
        <v>171342.3</v>
      </c>
      <c r="O809">
        <v>1907489.36</v>
      </c>
      <c r="P809">
        <v>601</v>
      </c>
      <c r="Q809" t="s">
        <v>53</v>
      </c>
      <c r="R809" t="s">
        <v>54</v>
      </c>
      <c r="S809" t="s">
        <v>79</v>
      </c>
      <c r="T809" t="s">
        <v>32</v>
      </c>
      <c r="U809" s="3">
        <f t="shared" si="12"/>
        <v>45870</v>
      </c>
    </row>
    <row r="810" spans="1:21" x14ac:dyDescent="0.35">
      <c r="A810" t="s">
        <v>1956</v>
      </c>
      <c r="B810" t="s">
        <v>493</v>
      </c>
      <c r="C810" t="s">
        <v>22</v>
      </c>
      <c r="D810" t="s">
        <v>1957</v>
      </c>
      <c r="E810" t="s">
        <v>37</v>
      </c>
      <c r="F810" t="s">
        <v>59</v>
      </c>
      <c r="G810" t="s">
        <v>103</v>
      </c>
      <c r="H810" t="s">
        <v>39</v>
      </c>
      <c r="I810" t="s">
        <v>28</v>
      </c>
      <c r="J810">
        <v>113810.21</v>
      </c>
      <c r="K810">
        <v>179.07</v>
      </c>
      <c r="L810">
        <v>32.229999999999997</v>
      </c>
      <c r="M810">
        <v>401.72</v>
      </c>
      <c r="N810">
        <v>113619.79</v>
      </c>
      <c r="O810">
        <v>1906783.72</v>
      </c>
      <c r="P810">
        <v>641</v>
      </c>
      <c r="Q810" t="s">
        <v>53</v>
      </c>
      <c r="R810" t="s">
        <v>30</v>
      </c>
      <c r="S810" t="s">
        <v>86</v>
      </c>
      <c r="T810" t="s">
        <v>32</v>
      </c>
      <c r="U810" s="3">
        <f t="shared" si="12"/>
        <v>45931</v>
      </c>
    </row>
    <row r="811" spans="1:21" x14ac:dyDescent="0.35">
      <c r="A811" t="s">
        <v>1958</v>
      </c>
      <c r="B811" t="s">
        <v>1487</v>
      </c>
      <c r="C811" t="s">
        <v>35</v>
      </c>
      <c r="D811" t="s">
        <v>1262</v>
      </c>
      <c r="E811" t="s">
        <v>37</v>
      </c>
      <c r="F811" t="s">
        <v>59</v>
      </c>
      <c r="G811" t="s">
        <v>47</v>
      </c>
      <c r="H811" t="s">
        <v>39</v>
      </c>
      <c r="I811" t="s">
        <v>28</v>
      </c>
      <c r="J811">
        <v>60413.95</v>
      </c>
      <c r="K811">
        <v>357.3</v>
      </c>
      <c r="L811">
        <v>64.31</v>
      </c>
      <c r="M811">
        <v>385.4</v>
      </c>
      <c r="N811">
        <v>60450.16</v>
      </c>
      <c r="O811">
        <v>1913378.52</v>
      </c>
      <c r="P811">
        <v>498</v>
      </c>
      <c r="Q811" t="s">
        <v>74</v>
      </c>
      <c r="R811" t="s">
        <v>54</v>
      </c>
      <c r="S811" t="s">
        <v>86</v>
      </c>
      <c r="T811" t="s">
        <v>55</v>
      </c>
      <c r="U811" s="3">
        <f t="shared" si="12"/>
        <v>45901</v>
      </c>
    </row>
    <row r="812" spans="1:21" x14ac:dyDescent="0.35">
      <c r="A812" t="s">
        <v>1959</v>
      </c>
      <c r="B812" t="s">
        <v>1445</v>
      </c>
      <c r="C812" t="s">
        <v>35</v>
      </c>
      <c r="D812" t="s">
        <v>1960</v>
      </c>
      <c r="E812" t="s">
        <v>24</v>
      </c>
      <c r="F812" t="s">
        <v>59</v>
      </c>
      <c r="G812" t="s">
        <v>26</v>
      </c>
      <c r="H812" t="s">
        <v>52</v>
      </c>
      <c r="I812" t="s">
        <v>40</v>
      </c>
      <c r="J812">
        <v>15451.57</v>
      </c>
      <c r="K812">
        <v>116</v>
      </c>
      <c r="L812">
        <v>20.88</v>
      </c>
      <c r="M812">
        <v>143.43</v>
      </c>
      <c r="N812">
        <v>15445.02</v>
      </c>
      <c r="O812">
        <v>1918565.54</v>
      </c>
      <c r="P812">
        <v>337</v>
      </c>
      <c r="Q812" t="s">
        <v>29</v>
      </c>
      <c r="R812" t="s">
        <v>30</v>
      </c>
      <c r="S812" t="s">
        <v>31</v>
      </c>
      <c r="T812" t="s">
        <v>55</v>
      </c>
      <c r="U812" s="3">
        <f t="shared" si="12"/>
        <v>45870</v>
      </c>
    </row>
    <row r="813" spans="1:21" x14ac:dyDescent="0.35">
      <c r="A813" t="s">
        <v>1961</v>
      </c>
      <c r="B813" t="s">
        <v>1458</v>
      </c>
      <c r="C813" t="s">
        <v>22</v>
      </c>
      <c r="D813" t="s">
        <v>1962</v>
      </c>
      <c r="E813" t="s">
        <v>45</v>
      </c>
      <c r="F813" t="s">
        <v>25</v>
      </c>
      <c r="G813" t="s">
        <v>26</v>
      </c>
      <c r="H813" t="s">
        <v>52</v>
      </c>
      <c r="I813" t="s">
        <v>61</v>
      </c>
      <c r="J813">
        <v>25663.67</v>
      </c>
      <c r="K813">
        <v>269.74</v>
      </c>
      <c r="L813">
        <v>48.55</v>
      </c>
      <c r="M813">
        <v>244.77</v>
      </c>
      <c r="N813">
        <v>25737.19</v>
      </c>
      <c r="O813">
        <v>1925526.02</v>
      </c>
      <c r="P813">
        <v>723</v>
      </c>
      <c r="Q813" t="s">
        <v>53</v>
      </c>
      <c r="R813" t="s">
        <v>75</v>
      </c>
      <c r="S813" t="s">
        <v>31</v>
      </c>
      <c r="T813" t="s">
        <v>32</v>
      </c>
      <c r="U813" s="3">
        <f t="shared" si="12"/>
        <v>45901</v>
      </c>
    </row>
    <row r="814" spans="1:21" x14ac:dyDescent="0.35">
      <c r="A814" t="s">
        <v>1963</v>
      </c>
      <c r="B814" t="s">
        <v>155</v>
      </c>
      <c r="C814" t="s">
        <v>35</v>
      </c>
      <c r="D814" t="s">
        <v>1964</v>
      </c>
      <c r="E814" t="s">
        <v>37</v>
      </c>
      <c r="F814" t="s">
        <v>25</v>
      </c>
      <c r="G814" t="s">
        <v>60</v>
      </c>
      <c r="H814" t="s">
        <v>52</v>
      </c>
      <c r="I814" t="s">
        <v>28</v>
      </c>
      <c r="J814">
        <v>155905.73000000001</v>
      </c>
      <c r="K814">
        <v>461.16</v>
      </c>
      <c r="L814">
        <v>83.01</v>
      </c>
      <c r="M814">
        <v>3.84</v>
      </c>
      <c r="N814">
        <v>156446.06</v>
      </c>
      <c r="O814">
        <v>1926948.62</v>
      </c>
      <c r="P814">
        <v>750</v>
      </c>
      <c r="Q814" t="s">
        <v>53</v>
      </c>
      <c r="R814" t="s">
        <v>75</v>
      </c>
      <c r="S814" t="s">
        <v>31</v>
      </c>
      <c r="T814" t="s">
        <v>32</v>
      </c>
      <c r="U814" s="3">
        <f t="shared" si="12"/>
        <v>45717</v>
      </c>
    </row>
    <row r="815" spans="1:21" x14ac:dyDescent="0.35">
      <c r="A815" t="s">
        <v>1965</v>
      </c>
      <c r="B815" t="s">
        <v>576</v>
      </c>
      <c r="C815" t="s">
        <v>35</v>
      </c>
      <c r="D815" t="s">
        <v>1966</v>
      </c>
      <c r="E815" t="s">
        <v>70</v>
      </c>
      <c r="F815" t="s">
        <v>38</v>
      </c>
      <c r="G815" t="s">
        <v>47</v>
      </c>
      <c r="H815" t="s">
        <v>52</v>
      </c>
      <c r="I815" t="s">
        <v>28</v>
      </c>
      <c r="J815">
        <v>53558.93</v>
      </c>
      <c r="K815">
        <v>813.76</v>
      </c>
      <c r="L815">
        <v>146.47999999999999</v>
      </c>
      <c r="M815">
        <v>379.22</v>
      </c>
      <c r="N815">
        <v>54139.95</v>
      </c>
      <c r="O815">
        <v>1933043.2</v>
      </c>
      <c r="P815">
        <v>695</v>
      </c>
      <c r="Q815" t="s">
        <v>74</v>
      </c>
      <c r="R815" t="s">
        <v>75</v>
      </c>
      <c r="S815" t="s">
        <v>31</v>
      </c>
      <c r="T815" t="s">
        <v>55</v>
      </c>
      <c r="U815" s="3">
        <f t="shared" si="12"/>
        <v>45689</v>
      </c>
    </row>
    <row r="816" spans="1:21" x14ac:dyDescent="0.35">
      <c r="A816" t="s">
        <v>1967</v>
      </c>
      <c r="B816" t="s">
        <v>1225</v>
      </c>
      <c r="C816" t="s">
        <v>95</v>
      </c>
      <c r="D816" t="s">
        <v>1968</v>
      </c>
      <c r="E816" t="s">
        <v>45</v>
      </c>
      <c r="F816" t="s">
        <v>46</v>
      </c>
      <c r="G816" t="s">
        <v>26</v>
      </c>
      <c r="H816" t="s">
        <v>52</v>
      </c>
      <c r="I816" t="s">
        <v>28</v>
      </c>
      <c r="J816">
        <v>77225.279999999999</v>
      </c>
      <c r="K816">
        <v>362.87</v>
      </c>
      <c r="L816">
        <v>65.319999999999993</v>
      </c>
      <c r="M816">
        <v>363.5</v>
      </c>
      <c r="N816">
        <v>77289.97</v>
      </c>
      <c r="O816">
        <v>1931952</v>
      </c>
      <c r="P816">
        <v>710</v>
      </c>
      <c r="Q816" t="s">
        <v>29</v>
      </c>
      <c r="R816" t="s">
        <v>54</v>
      </c>
      <c r="S816" t="s">
        <v>62</v>
      </c>
      <c r="T816" t="s">
        <v>41</v>
      </c>
      <c r="U816" s="3">
        <f t="shared" si="12"/>
        <v>45992</v>
      </c>
    </row>
    <row r="817" spans="1:21" x14ac:dyDescent="0.35">
      <c r="A817" t="s">
        <v>1969</v>
      </c>
      <c r="B817" t="s">
        <v>521</v>
      </c>
      <c r="C817" t="s">
        <v>35</v>
      </c>
      <c r="D817" t="s">
        <v>1970</v>
      </c>
      <c r="E817" t="s">
        <v>45</v>
      </c>
      <c r="F817" t="s">
        <v>25</v>
      </c>
      <c r="G817" t="s">
        <v>26</v>
      </c>
      <c r="H817" t="s">
        <v>66</v>
      </c>
      <c r="I817" t="s">
        <v>61</v>
      </c>
      <c r="J817">
        <v>81094.23</v>
      </c>
      <c r="K817">
        <v>617.54</v>
      </c>
      <c r="L817">
        <v>111.16</v>
      </c>
      <c r="M817">
        <v>336.65</v>
      </c>
      <c r="N817">
        <v>81486.28</v>
      </c>
      <c r="O817">
        <v>1929140.03</v>
      </c>
      <c r="P817">
        <v>832</v>
      </c>
      <c r="Q817" t="s">
        <v>74</v>
      </c>
      <c r="R817" t="s">
        <v>75</v>
      </c>
      <c r="S817" t="s">
        <v>79</v>
      </c>
      <c r="T817" t="s">
        <v>55</v>
      </c>
      <c r="U817" s="3">
        <f t="shared" si="12"/>
        <v>45778</v>
      </c>
    </row>
    <row r="818" spans="1:21" x14ac:dyDescent="0.35">
      <c r="A818" t="s">
        <v>1971</v>
      </c>
      <c r="B818" t="s">
        <v>353</v>
      </c>
      <c r="C818" t="s">
        <v>22</v>
      </c>
      <c r="D818" t="s">
        <v>1972</v>
      </c>
      <c r="E818" t="s">
        <v>70</v>
      </c>
      <c r="F818" t="s">
        <v>25</v>
      </c>
      <c r="G818" t="s">
        <v>47</v>
      </c>
      <c r="H818" t="s">
        <v>48</v>
      </c>
      <c r="I818" t="s">
        <v>28</v>
      </c>
      <c r="J818">
        <v>5540.75</v>
      </c>
      <c r="K818">
        <v>22.23</v>
      </c>
      <c r="L818">
        <v>4</v>
      </c>
      <c r="M818">
        <v>439.24</v>
      </c>
      <c r="N818">
        <v>5127.74</v>
      </c>
      <c r="O818">
        <v>1928207.67</v>
      </c>
      <c r="P818">
        <v>574</v>
      </c>
      <c r="Q818" t="s">
        <v>53</v>
      </c>
      <c r="R818" t="s">
        <v>54</v>
      </c>
      <c r="S818" t="s">
        <v>79</v>
      </c>
      <c r="T818" t="s">
        <v>41</v>
      </c>
      <c r="U818" s="3">
        <f t="shared" si="12"/>
        <v>45992</v>
      </c>
    </row>
    <row r="819" spans="1:21" x14ac:dyDescent="0.35">
      <c r="A819" t="s">
        <v>1973</v>
      </c>
      <c r="B819" t="s">
        <v>328</v>
      </c>
      <c r="C819" t="s">
        <v>35</v>
      </c>
      <c r="D819" t="s">
        <v>1974</v>
      </c>
      <c r="E819" t="s">
        <v>45</v>
      </c>
      <c r="F819" t="s">
        <v>38</v>
      </c>
      <c r="G819" t="s">
        <v>103</v>
      </c>
      <c r="H819" t="s">
        <v>52</v>
      </c>
      <c r="I819" t="s">
        <v>61</v>
      </c>
      <c r="J819">
        <v>194135.94</v>
      </c>
      <c r="K819">
        <v>1325.97</v>
      </c>
      <c r="L819">
        <v>238.67</v>
      </c>
      <c r="M819">
        <v>466.69</v>
      </c>
      <c r="N819">
        <v>195233.89</v>
      </c>
      <c r="O819">
        <v>1934581.73</v>
      </c>
      <c r="P819">
        <v>314</v>
      </c>
      <c r="Q819" t="s">
        <v>74</v>
      </c>
      <c r="R819" t="s">
        <v>75</v>
      </c>
      <c r="S819" t="s">
        <v>31</v>
      </c>
      <c r="T819" t="s">
        <v>32</v>
      </c>
      <c r="U819" s="3">
        <f t="shared" si="12"/>
        <v>45748</v>
      </c>
    </row>
    <row r="820" spans="1:21" x14ac:dyDescent="0.35">
      <c r="A820" t="s">
        <v>1975</v>
      </c>
      <c r="B820" t="s">
        <v>1976</v>
      </c>
      <c r="C820" t="s">
        <v>22</v>
      </c>
      <c r="D820" t="s">
        <v>1977</v>
      </c>
      <c r="E820" t="s">
        <v>70</v>
      </c>
      <c r="F820" t="s">
        <v>46</v>
      </c>
      <c r="G820" t="s">
        <v>60</v>
      </c>
      <c r="H820" t="s">
        <v>27</v>
      </c>
      <c r="I820" t="s">
        <v>28</v>
      </c>
      <c r="J820">
        <v>142826.35999999999</v>
      </c>
      <c r="K820">
        <v>1939.46</v>
      </c>
      <c r="L820">
        <v>349.1</v>
      </c>
      <c r="M820">
        <v>423.52</v>
      </c>
      <c r="N820">
        <v>144691.4</v>
      </c>
      <c r="O820">
        <v>1935245.38</v>
      </c>
      <c r="P820">
        <v>423</v>
      </c>
      <c r="Q820" t="s">
        <v>74</v>
      </c>
      <c r="R820" t="s">
        <v>30</v>
      </c>
      <c r="S820" t="s">
        <v>79</v>
      </c>
      <c r="T820" t="s">
        <v>55</v>
      </c>
      <c r="U820" s="3">
        <f t="shared" si="12"/>
        <v>45962</v>
      </c>
    </row>
    <row r="821" spans="1:21" x14ac:dyDescent="0.35">
      <c r="A821" t="s">
        <v>1978</v>
      </c>
      <c r="B821" t="s">
        <v>1979</v>
      </c>
      <c r="C821" t="s">
        <v>95</v>
      </c>
      <c r="D821" t="s">
        <v>1980</v>
      </c>
      <c r="E821" t="s">
        <v>45</v>
      </c>
      <c r="F821" t="s">
        <v>59</v>
      </c>
      <c r="G821" t="s">
        <v>47</v>
      </c>
      <c r="H821" t="s">
        <v>39</v>
      </c>
      <c r="I821" t="s">
        <v>61</v>
      </c>
      <c r="J821">
        <v>37870.57</v>
      </c>
      <c r="K821">
        <v>498.25</v>
      </c>
      <c r="L821">
        <v>89.69</v>
      </c>
      <c r="M821">
        <v>304.97000000000003</v>
      </c>
      <c r="N821">
        <v>38153.54</v>
      </c>
      <c r="O821">
        <v>1930960.09</v>
      </c>
      <c r="P821">
        <v>437</v>
      </c>
      <c r="Q821" t="s">
        <v>29</v>
      </c>
      <c r="R821" t="s">
        <v>75</v>
      </c>
      <c r="S821" t="s">
        <v>62</v>
      </c>
      <c r="T821" t="s">
        <v>55</v>
      </c>
      <c r="U821" s="3">
        <f t="shared" si="12"/>
        <v>45658</v>
      </c>
    </row>
    <row r="822" spans="1:21" x14ac:dyDescent="0.35">
      <c r="A822" t="s">
        <v>1981</v>
      </c>
      <c r="B822" t="s">
        <v>190</v>
      </c>
      <c r="C822" t="s">
        <v>95</v>
      </c>
      <c r="D822" t="s">
        <v>1982</v>
      </c>
      <c r="E822" t="s">
        <v>24</v>
      </c>
      <c r="F822" t="s">
        <v>46</v>
      </c>
      <c r="G822" t="s">
        <v>47</v>
      </c>
      <c r="H822" t="s">
        <v>52</v>
      </c>
      <c r="I822" t="s">
        <v>40</v>
      </c>
      <c r="J822">
        <v>71006.64</v>
      </c>
      <c r="K822">
        <v>691.34</v>
      </c>
      <c r="L822">
        <v>124.44</v>
      </c>
      <c r="M822">
        <v>412.28</v>
      </c>
      <c r="N822">
        <v>71410.14</v>
      </c>
      <c r="O822">
        <v>1930351.31</v>
      </c>
      <c r="P822">
        <v>360</v>
      </c>
      <c r="Q822" t="s">
        <v>53</v>
      </c>
      <c r="R822" t="s">
        <v>30</v>
      </c>
      <c r="S822" t="s">
        <v>62</v>
      </c>
      <c r="T822" t="s">
        <v>41</v>
      </c>
      <c r="U822" s="3">
        <f t="shared" si="12"/>
        <v>45717</v>
      </c>
    </row>
    <row r="823" spans="1:21" x14ac:dyDescent="0.35">
      <c r="A823" t="s">
        <v>1983</v>
      </c>
      <c r="B823" t="s">
        <v>847</v>
      </c>
      <c r="C823" t="s">
        <v>35</v>
      </c>
      <c r="D823" t="s">
        <v>200</v>
      </c>
      <c r="E823" t="s">
        <v>70</v>
      </c>
      <c r="F823" t="s">
        <v>25</v>
      </c>
      <c r="G823" t="s">
        <v>60</v>
      </c>
      <c r="H823" t="s">
        <v>39</v>
      </c>
      <c r="I823" t="s">
        <v>28</v>
      </c>
      <c r="J823">
        <v>81069.66</v>
      </c>
      <c r="K823">
        <v>1544.68</v>
      </c>
      <c r="L823">
        <v>278.04000000000002</v>
      </c>
      <c r="M823">
        <v>181.38</v>
      </c>
      <c r="N823">
        <v>82711</v>
      </c>
      <c r="O823">
        <v>1928697.49</v>
      </c>
      <c r="P823">
        <v>338</v>
      </c>
      <c r="Q823" t="s">
        <v>74</v>
      </c>
      <c r="R823" t="s">
        <v>54</v>
      </c>
      <c r="S823" t="s">
        <v>86</v>
      </c>
      <c r="T823" t="s">
        <v>32</v>
      </c>
      <c r="U823" s="3">
        <f t="shared" si="12"/>
        <v>45901</v>
      </c>
    </row>
    <row r="824" spans="1:21" x14ac:dyDescent="0.35">
      <c r="A824" t="s">
        <v>1984</v>
      </c>
      <c r="B824" t="s">
        <v>638</v>
      </c>
      <c r="C824" t="s">
        <v>95</v>
      </c>
      <c r="D824" t="s">
        <v>1985</v>
      </c>
      <c r="E824" t="s">
        <v>24</v>
      </c>
      <c r="F824" t="s">
        <v>46</v>
      </c>
      <c r="G824" t="s">
        <v>47</v>
      </c>
      <c r="H824" t="s">
        <v>39</v>
      </c>
      <c r="I824" t="s">
        <v>28</v>
      </c>
      <c r="J824">
        <v>69952.95</v>
      </c>
      <c r="K824">
        <v>1270.4000000000001</v>
      </c>
      <c r="L824">
        <v>228.67</v>
      </c>
      <c r="M824">
        <v>160.43</v>
      </c>
      <c r="N824">
        <v>71291.59</v>
      </c>
      <c r="O824">
        <v>1933916.55</v>
      </c>
      <c r="P824">
        <v>431</v>
      </c>
      <c r="Q824" t="s">
        <v>74</v>
      </c>
      <c r="R824" t="s">
        <v>54</v>
      </c>
      <c r="S824" t="s">
        <v>31</v>
      </c>
      <c r="T824" t="s">
        <v>41</v>
      </c>
      <c r="U824" s="3">
        <f t="shared" si="12"/>
        <v>45778</v>
      </c>
    </row>
    <row r="825" spans="1:21" x14ac:dyDescent="0.35">
      <c r="A825" t="s">
        <v>1986</v>
      </c>
      <c r="B825" t="s">
        <v>576</v>
      </c>
      <c r="C825" t="s">
        <v>22</v>
      </c>
      <c r="D825" t="s">
        <v>1987</v>
      </c>
      <c r="E825" t="s">
        <v>24</v>
      </c>
      <c r="F825" t="s">
        <v>25</v>
      </c>
      <c r="G825" t="s">
        <v>47</v>
      </c>
      <c r="H825" t="s">
        <v>66</v>
      </c>
      <c r="I825" t="s">
        <v>40</v>
      </c>
      <c r="J825">
        <v>142369.10999999999</v>
      </c>
      <c r="K825">
        <v>866.51</v>
      </c>
      <c r="L825">
        <v>155.97</v>
      </c>
      <c r="M825">
        <v>230.76</v>
      </c>
      <c r="N825">
        <v>143160.82999999999</v>
      </c>
      <c r="O825">
        <v>1939374.69</v>
      </c>
      <c r="P825">
        <v>846</v>
      </c>
      <c r="Q825" t="s">
        <v>74</v>
      </c>
      <c r="R825" t="s">
        <v>75</v>
      </c>
      <c r="S825" t="s">
        <v>62</v>
      </c>
      <c r="T825" t="s">
        <v>41</v>
      </c>
      <c r="U825" s="3">
        <f t="shared" si="12"/>
        <v>45689</v>
      </c>
    </row>
    <row r="826" spans="1:21" x14ac:dyDescent="0.35">
      <c r="A826" t="s">
        <v>1988</v>
      </c>
      <c r="B826" t="s">
        <v>391</v>
      </c>
      <c r="C826" t="s">
        <v>35</v>
      </c>
      <c r="D826" t="s">
        <v>1989</v>
      </c>
      <c r="E826" t="s">
        <v>70</v>
      </c>
      <c r="F826" t="s">
        <v>59</v>
      </c>
      <c r="G826" t="s">
        <v>60</v>
      </c>
      <c r="H826" t="s">
        <v>27</v>
      </c>
      <c r="I826" t="s">
        <v>28</v>
      </c>
      <c r="J826">
        <v>64324.63</v>
      </c>
      <c r="K826">
        <v>643.66999999999996</v>
      </c>
      <c r="L826">
        <v>115.86</v>
      </c>
      <c r="M826">
        <v>4.33</v>
      </c>
      <c r="N826">
        <v>65079.83</v>
      </c>
      <c r="O826">
        <v>1946878.19</v>
      </c>
      <c r="P826">
        <v>511</v>
      </c>
      <c r="Q826" t="s">
        <v>29</v>
      </c>
      <c r="R826" t="s">
        <v>30</v>
      </c>
      <c r="S826" t="s">
        <v>31</v>
      </c>
      <c r="T826" t="s">
        <v>41</v>
      </c>
      <c r="U826" s="3">
        <f t="shared" si="12"/>
        <v>45809</v>
      </c>
    </row>
    <row r="827" spans="1:21" x14ac:dyDescent="0.35">
      <c r="A827" t="s">
        <v>1990</v>
      </c>
      <c r="B827" t="s">
        <v>1991</v>
      </c>
      <c r="C827" t="s">
        <v>22</v>
      </c>
      <c r="D827" t="s">
        <v>1277</v>
      </c>
      <c r="E827" t="s">
        <v>45</v>
      </c>
      <c r="F827" t="s">
        <v>59</v>
      </c>
      <c r="G827" t="s">
        <v>26</v>
      </c>
      <c r="H827" t="s">
        <v>66</v>
      </c>
      <c r="I827" t="s">
        <v>61</v>
      </c>
      <c r="J827">
        <v>101001.61</v>
      </c>
      <c r="K827">
        <v>1468.69</v>
      </c>
      <c r="L827">
        <v>264.36</v>
      </c>
      <c r="M827">
        <v>147.21</v>
      </c>
      <c r="N827">
        <v>102587.45</v>
      </c>
      <c r="O827">
        <v>1949819.1</v>
      </c>
      <c r="P827">
        <v>552</v>
      </c>
      <c r="Q827" t="s">
        <v>53</v>
      </c>
      <c r="R827" t="s">
        <v>54</v>
      </c>
      <c r="S827" t="s">
        <v>62</v>
      </c>
      <c r="T827" t="s">
        <v>41</v>
      </c>
      <c r="U827" s="3">
        <f t="shared" si="12"/>
        <v>45689</v>
      </c>
    </row>
    <row r="828" spans="1:21" x14ac:dyDescent="0.35">
      <c r="A828" t="s">
        <v>1992</v>
      </c>
      <c r="B828" t="s">
        <v>728</v>
      </c>
      <c r="C828" t="s">
        <v>35</v>
      </c>
      <c r="D828" t="s">
        <v>1993</v>
      </c>
      <c r="E828" t="s">
        <v>37</v>
      </c>
      <c r="F828" t="s">
        <v>59</v>
      </c>
      <c r="G828" t="s">
        <v>60</v>
      </c>
      <c r="H828" t="s">
        <v>48</v>
      </c>
      <c r="I828" t="s">
        <v>28</v>
      </c>
      <c r="J828">
        <v>86135.59</v>
      </c>
      <c r="K828">
        <v>179.66</v>
      </c>
      <c r="L828">
        <v>32.340000000000003</v>
      </c>
      <c r="M828">
        <v>127.09</v>
      </c>
      <c r="N828">
        <v>86220.5</v>
      </c>
      <c r="O828">
        <v>1953919.62</v>
      </c>
      <c r="P828">
        <v>853</v>
      </c>
      <c r="Q828" t="s">
        <v>53</v>
      </c>
      <c r="R828" t="s">
        <v>54</v>
      </c>
      <c r="S828" t="s">
        <v>79</v>
      </c>
      <c r="T828" t="s">
        <v>41</v>
      </c>
      <c r="U828" s="3">
        <f t="shared" si="12"/>
        <v>45658</v>
      </c>
    </row>
    <row r="829" spans="1:21" x14ac:dyDescent="0.35">
      <c r="A829" t="s">
        <v>1994</v>
      </c>
      <c r="B829" t="s">
        <v>1991</v>
      </c>
      <c r="C829" t="s">
        <v>22</v>
      </c>
      <c r="D829" t="s">
        <v>1995</v>
      </c>
      <c r="E829" t="s">
        <v>70</v>
      </c>
      <c r="F829" t="s">
        <v>46</v>
      </c>
      <c r="G829" t="s">
        <v>103</v>
      </c>
      <c r="H829" t="s">
        <v>27</v>
      </c>
      <c r="I829" t="s">
        <v>61</v>
      </c>
      <c r="J829">
        <v>131296.14000000001</v>
      </c>
      <c r="K829">
        <v>2293.44</v>
      </c>
      <c r="L829">
        <v>412.82</v>
      </c>
      <c r="M829">
        <v>80.56</v>
      </c>
      <c r="N829">
        <v>133921.84</v>
      </c>
      <c r="O829">
        <v>1954098.57</v>
      </c>
      <c r="P829">
        <v>640</v>
      </c>
      <c r="Q829" t="s">
        <v>29</v>
      </c>
      <c r="R829" t="s">
        <v>30</v>
      </c>
      <c r="S829" t="s">
        <v>62</v>
      </c>
      <c r="T829" t="s">
        <v>55</v>
      </c>
      <c r="U829" s="3">
        <f t="shared" si="12"/>
        <v>45689</v>
      </c>
    </row>
    <row r="830" spans="1:21" x14ac:dyDescent="0.35">
      <c r="A830" t="s">
        <v>1996</v>
      </c>
      <c r="B830" t="s">
        <v>650</v>
      </c>
      <c r="C830" t="s">
        <v>35</v>
      </c>
      <c r="D830" t="s">
        <v>1997</v>
      </c>
      <c r="E830" t="s">
        <v>45</v>
      </c>
      <c r="F830" t="s">
        <v>38</v>
      </c>
      <c r="G830" t="s">
        <v>47</v>
      </c>
      <c r="H830" t="s">
        <v>66</v>
      </c>
      <c r="I830" t="s">
        <v>40</v>
      </c>
      <c r="J830">
        <v>38817.26</v>
      </c>
      <c r="K830">
        <v>666.35</v>
      </c>
      <c r="L830">
        <v>119.94</v>
      </c>
      <c r="M830">
        <v>231.64</v>
      </c>
      <c r="N830">
        <v>39371.910000000003</v>
      </c>
      <c r="O830">
        <v>1954687.67</v>
      </c>
      <c r="P830">
        <v>392</v>
      </c>
      <c r="Q830" t="s">
        <v>29</v>
      </c>
      <c r="R830" t="s">
        <v>30</v>
      </c>
      <c r="S830" t="s">
        <v>86</v>
      </c>
      <c r="T830" t="s">
        <v>32</v>
      </c>
      <c r="U830" s="3">
        <f t="shared" si="12"/>
        <v>45809</v>
      </c>
    </row>
    <row r="831" spans="1:21" x14ac:dyDescent="0.35">
      <c r="A831" t="s">
        <v>1998</v>
      </c>
      <c r="B831" t="s">
        <v>1473</v>
      </c>
      <c r="C831" t="s">
        <v>22</v>
      </c>
      <c r="D831" t="s">
        <v>1999</v>
      </c>
      <c r="E831" t="s">
        <v>37</v>
      </c>
      <c r="F831" t="s">
        <v>25</v>
      </c>
      <c r="G831" t="s">
        <v>103</v>
      </c>
      <c r="H831" t="s">
        <v>66</v>
      </c>
      <c r="I831" t="s">
        <v>28</v>
      </c>
      <c r="J831">
        <v>10791.15</v>
      </c>
      <c r="K831">
        <v>52.42</v>
      </c>
      <c r="L831">
        <v>9.44</v>
      </c>
      <c r="M831">
        <v>346.83</v>
      </c>
      <c r="N831">
        <v>10506.18</v>
      </c>
      <c r="O831">
        <v>1958867.53</v>
      </c>
      <c r="P831">
        <v>609</v>
      </c>
      <c r="Q831" t="s">
        <v>53</v>
      </c>
      <c r="R831" t="s">
        <v>54</v>
      </c>
      <c r="S831" t="s">
        <v>79</v>
      </c>
      <c r="T831" t="s">
        <v>55</v>
      </c>
      <c r="U831" s="3">
        <f t="shared" si="12"/>
        <v>45870</v>
      </c>
    </row>
    <row r="832" spans="1:21" x14ac:dyDescent="0.35">
      <c r="A832" t="s">
        <v>2000</v>
      </c>
      <c r="B832" t="s">
        <v>1854</v>
      </c>
      <c r="C832" t="s">
        <v>35</v>
      </c>
      <c r="D832" t="s">
        <v>2001</v>
      </c>
      <c r="E832" t="s">
        <v>37</v>
      </c>
      <c r="F832" t="s">
        <v>38</v>
      </c>
      <c r="G832" t="s">
        <v>26</v>
      </c>
      <c r="H832" t="s">
        <v>66</v>
      </c>
      <c r="I832" t="s">
        <v>28</v>
      </c>
      <c r="J832">
        <v>165843.37</v>
      </c>
      <c r="K832">
        <v>683.49</v>
      </c>
      <c r="L832">
        <v>123.03</v>
      </c>
      <c r="M832">
        <v>474.68</v>
      </c>
      <c r="N832">
        <v>166175.21</v>
      </c>
      <c r="O832">
        <v>1963682.26</v>
      </c>
      <c r="P832">
        <v>567</v>
      </c>
      <c r="Q832" t="s">
        <v>74</v>
      </c>
      <c r="R832" t="s">
        <v>30</v>
      </c>
      <c r="S832" t="s">
        <v>86</v>
      </c>
      <c r="T832" t="s">
        <v>55</v>
      </c>
      <c r="U832" s="3">
        <f t="shared" si="12"/>
        <v>45778</v>
      </c>
    </row>
    <row r="833" spans="1:21" x14ac:dyDescent="0.35">
      <c r="A833" t="s">
        <v>2002</v>
      </c>
      <c r="B833" t="s">
        <v>608</v>
      </c>
      <c r="C833" t="s">
        <v>22</v>
      </c>
      <c r="D833" t="s">
        <v>2003</v>
      </c>
      <c r="E833" t="s">
        <v>24</v>
      </c>
      <c r="F833" t="s">
        <v>25</v>
      </c>
      <c r="G833" t="s">
        <v>26</v>
      </c>
      <c r="H833" t="s">
        <v>66</v>
      </c>
      <c r="I833" t="s">
        <v>61</v>
      </c>
      <c r="J833">
        <v>45172.35</v>
      </c>
      <c r="K833">
        <v>797.06</v>
      </c>
      <c r="L833">
        <v>143.47</v>
      </c>
      <c r="M833">
        <v>343.23</v>
      </c>
      <c r="N833">
        <v>45769.65</v>
      </c>
      <c r="O833">
        <v>1972219.55</v>
      </c>
      <c r="P833">
        <v>846</v>
      </c>
      <c r="Q833" t="s">
        <v>53</v>
      </c>
      <c r="R833" t="s">
        <v>30</v>
      </c>
      <c r="S833" t="s">
        <v>86</v>
      </c>
      <c r="T833" t="s">
        <v>41</v>
      </c>
      <c r="U833" s="3">
        <f t="shared" si="12"/>
        <v>45901</v>
      </c>
    </row>
    <row r="834" spans="1:21" x14ac:dyDescent="0.35">
      <c r="A834" t="s">
        <v>2004</v>
      </c>
      <c r="B834" t="s">
        <v>439</v>
      </c>
      <c r="C834" t="s">
        <v>95</v>
      </c>
      <c r="D834" t="s">
        <v>782</v>
      </c>
      <c r="E834" t="s">
        <v>24</v>
      </c>
      <c r="F834" t="s">
        <v>38</v>
      </c>
      <c r="G834" t="s">
        <v>103</v>
      </c>
      <c r="H834" t="s">
        <v>66</v>
      </c>
      <c r="I834" t="s">
        <v>28</v>
      </c>
      <c r="J834">
        <v>149434.15</v>
      </c>
      <c r="K834">
        <v>2205.27</v>
      </c>
      <c r="L834">
        <v>396.95</v>
      </c>
      <c r="M834">
        <v>377.9</v>
      </c>
      <c r="N834">
        <v>151658.47</v>
      </c>
      <c r="O834">
        <v>1978028.63</v>
      </c>
      <c r="P834">
        <v>553</v>
      </c>
      <c r="Q834" t="s">
        <v>74</v>
      </c>
      <c r="R834" t="s">
        <v>54</v>
      </c>
      <c r="S834" t="s">
        <v>31</v>
      </c>
      <c r="T834" t="s">
        <v>55</v>
      </c>
      <c r="U834" s="3">
        <f t="shared" si="12"/>
        <v>45901</v>
      </c>
    </row>
    <row r="835" spans="1:21" x14ac:dyDescent="0.35">
      <c r="A835" t="s">
        <v>2005</v>
      </c>
      <c r="B835" t="s">
        <v>134</v>
      </c>
      <c r="C835" t="s">
        <v>22</v>
      </c>
      <c r="D835" t="s">
        <v>2006</v>
      </c>
      <c r="E835" t="s">
        <v>24</v>
      </c>
      <c r="F835" t="s">
        <v>38</v>
      </c>
      <c r="G835" t="s">
        <v>26</v>
      </c>
      <c r="H835" t="s">
        <v>39</v>
      </c>
      <c r="I835" t="s">
        <v>28</v>
      </c>
      <c r="J835">
        <v>74988.03</v>
      </c>
      <c r="K835">
        <v>865.8</v>
      </c>
      <c r="L835">
        <v>155.84</v>
      </c>
      <c r="M835">
        <v>313.45</v>
      </c>
      <c r="N835">
        <v>75696.22</v>
      </c>
      <c r="O835">
        <v>1974220.5</v>
      </c>
      <c r="P835">
        <v>349</v>
      </c>
      <c r="Q835" t="s">
        <v>53</v>
      </c>
      <c r="R835" t="s">
        <v>54</v>
      </c>
      <c r="S835" t="s">
        <v>62</v>
      </c>
      <c r="T835" t="s">
        <v>41</v>
      </c>
      <c r="U835" s="3">
        <f t="shared" ref="U835:U898" si="13">DATE(YEAR(B835),MONTH(B835),1)</f>
        <v>45717</v>
      </c>
    </row>
    <row r="836" spans="1:21" x14ac:dyDescent="0.35">
      <c r="A836" t="s">
        <v>2007</v>
      </c>
      <c r="B836" t="s">
        <v>474</v>
      </c>
      <c r="C836" t="s">
        <v>35</v>
      </c>
      <c r="D836" t="s">
        <v>2008</v>
      </c>
      <c r="E836" t="s">
        <v>70</v>
      </c>
      <c r="F836" t="s">
        <v>46</v>
      </c>
      <c r="G836" t="s">
        <v>47</v>
      </c>
      <c r="H836" t="s">
        <v>66</v>
      </c>
      <c r="I836" t="s">
        <v>61</v>
      </c>
      <c r="J836">
        <v>107011.4</v>
      </c>
      <c r="K836">
        <v>169.47</v>
      </c>
      <c r="L836">
        <v>30.5</v>
      </c>
      <c r="M836">
        <v>483.73</v>
      </c>
      <c r="N836">
        <v>106727.64</v>
      </c>
      <c r="O836">
        <v>1979804.1</v>
      </c>
      <c r="P836">
        <v>541</v>
      </c>
      <c r="Q836" t="s">
        <v>29</v>
      </c>
      <c r="R836" t="s">
        <v>75</v>
      </c>
      <c r="S836" t="s">
        <v>62</v>
      </c>
      <c r="T836" t="s">
        <v>41</v>
      </c>
      <c r="U836" s="3">
        <f t="shared" si="13"/>
        <v>45992</v>
      </c>
    </row>
    <row r="837" spans="1:21" x14ac:dyDescent="0.35">
      <c r="A837" t="s">
        <v>2009</v>
      </c>
      <c r="B837" t="s">
        <v>490</v>
      </c>
      <c r="C837" t="s">
        <v>95</v>
      </c>
      <c r="D837" t="s">
        <v>2010</v>
      </c>
      <c r="E837" t="s">
        <v>45</v>
      </c>
      <c r="F837" t="s">
        <v>59</v>
      </c>
      <c r="G837" t="s">
        <v>26</v>
      </c>
      <c r="H837" t="s">
        <v>66</v>
      </c>
      <c r="I837" t="s">
        <v>28</v>
      </c>
      <c r="J837">
        <v>152402.66</v>
      </c>
      <c r="K837">
        <v>2443.62</v>
      </c>
      <c r="L837">
        <v>439.85</v>
      </c>
      <c r="M837">
        <v>97.55</v>
      </c>
      <c r="N837">
        <v>155188.57999999999</v>
      </c>
      <c r="O837">
        <v>1986753.33</v>
      </c>
      <c r="P837">
        <v>666</v>
      </c>
      <c r="Q837" t="s">
        <v>74</v>
      </c>
      <c r="R837" t="s">
        <v>54</v>
      </c>
      <c r="S837" t="s">
        <v>79</v>
      </c>
      <c r="T837" t="s">
        <v>41</v>
      </c>
      <c r="U837" s="3">
        <f t="shared" si="13"/>
        <v>45658</v>
      </c>
    </row>
    <row r="838" spans="1:21" x14ac:dyDescent="0.35">
      <c r="A838" t="s">
        <v>2011</v>
      </c>
      <c r="B838" t="s">
        <v>125</v>
      </c>
      <c r="C838" t="s">
        <v>95</v>
      </c>
      <c r="D838" t="s">
        <v>2012</v>
      </c>
      <c r="E838" t="s">
        <v>70</v>
      </c>
      <c r="F838" t="s">
        <v>59</v>
      </c>
      <c r="G838" t="s">
        <v>47</v>
      </c>
      <c r="H838" t="s">
        <v>27</v>
      </c>
      <c r="I838" t="s">
        <v>40</v>
      </c>
      <c r="J838">
        <v>21415.26</v>
      </c>
      <c r="K838">
        <v>96.54</v>
      </c>
      <c r="L838">
        <v>17.38</v>
      </c>
      <c r="M838">
        <v>288.39999999999998</v>
      </c>
      <c r="N838">
        <v>21240.78</v>
      </c>
      <c r="O838">
        <v>1992548.44</v>
      </c>
      <c r="P838">
        <v>869</v>
      </c>
      <c r="Q838" t="s">
        <v>53</v>
      </c>
      <c r="R838" t="s">
        <v>75</v>
      </c>
      <c r="S838" t="s">
        <v>86</v>
      </c>
      <c r="T838" t="s">
        <v>32</v>
      </c>
      <c r="U838" s="3">
        <f t="shared" si="13"/>
        <v>45778</v>
      </c>
    </row>
    <row r="839" spans="1:21" x14ac:dyDescent="0.35">
      <c r="A839" t="s">
        <v>2013</v>
      </c>
      <c r="B839" t="s">
        <v>43</v>
      </c>
      <c r="C839" t="s">
        <v>35</v>
      </c>
      <c r="D839" t="s">
        <v>2014</v>
      </c>
      <c r="E839" t="s">
        <v>24</v>
      </c>
      <c r="F839" t="s">
        <v>46</v>
      </c>
      <c r="G839" t="s">
        <v>26</v>
      </c>
      <c r="H839" t="s">
        <v>48</v>
      </c>
      <c r="I839" t="s">
        <v>40</v>
      </c>
      <c r="J839">
        <v>19861.990000000002</v>
      </c>
      <c r="K839">
        <v>267.27</v>
      </c>
      <c r="L839">
        <v>48.11</v>
      </c>
      <c r="M839">
        <v>8.08</v>
      </c>
      <c r="N839">
        <v>20169.29</v>
      </c>
      <c r="O839">
        <v>2001943.26</v>
      </c>
      <c r="P839">
        <v>777</v>
      </c>
      <c r="Q839" t="s">
        <v>53</v>
      </c>
      <c r="R839" t="s">
        <v>75</v>
      </c>
      <c r="S839" t="s">
        <v>79</v>
      </c>
      <c r="T839" t="s">
        <v>41</v>
      </c>
      <c r="U839" s="3">
        <f t="shared" si="13"/>
        <v>45748</v>
      </c>
    </row>
    <row r="840" spans="1:21" x14ac:dyDescent="0.35">
      <c r="A840" t="s">
        <v>2015</v>
      </c>
      <c r="B840" t="s">
        <v>146</v>
      </c>
      <c r="C840" t="s">
        <v>35</v>
      </c>
      <c r="D840" t="s">
        <v>2016</v>
      </c>
      <c r="E840" t="s">
        <v>24</v>
      </c>
      <c r="F840" t="s">
        <v>25</v>
      </c>
      <c r="G840" t="s">
        <v>60</v>
      </c>
      <c r="H840" t="s">
        <v>39</v>
      </c>
      <c r="I840" t="s">
        <v>61</v>
      </c>
      <c r="J840">
        <v>44708.31</v>
      </c>
      <c r="K840">
        <v>828.93</v>
      </c>
      <c r="L840">
        <v>149.21</v>
      </c>
      <c r="M840">
        <v>184.82</v>
      </c>
      <c r="N840">
        <v>45501.63</v>
      </c>
      <c r="O840">
        <v>2005782.84</v>
      </c>
      <c r="P840">
        <v>634</v>
      </c>
      <c r="Q840" t="s">
        <v>53</v>
      </c>
      <c r="R840" t="s">
        <v>30</v>
      </c>
      <c r="S840" t="s">
        <v>62</v>
      </c>
      <c r="T840" t="s">
        <v>55</v>
      </c>
      <c r="U840" s="3">
        <f t="shared" si="13"/>
        <v>45870</v>
      </c>
    </row>
    <row r="841" spans="1:21" x14ac:dyDescent="0.35">
      <c r="A841" t="s">
        <v>2017</v>
      </c>
      <c r="B841" t="s">
        <v>2018</v>
      </c>
      <c r="C841" t="s">
        <v>95</v>
      </c>
      <c r="D841" t="s">
        <v>2019</v>
      </c>
      <c r="E841" t="s">
        <v>24</v>
      </c>
      <c r="F841" t="s">
        <v>59</v>
      </c>
      <c r="G841" t="s">
        <v>103</v>
      </c>
      <c r="H841" t="s">
        <v>48</v>
      </c>
      <c r="I841" t="s">
        <v>28</v>
      </c>
      <c r="J841">
        <v>178538.57</v>
      </c>
      <c r="K841">
        <v>469.32</v>
      </c>
      <c r="L841">
        <v>84.48</v>
      </c>
      <c r="M841">
        <v>358.01</v>
      </c>
      <c r="N841">
        <v>178734.36</v>
      </c>
      <c r="O841">
        <v>2010378.94</v>
      </c>
      <c r="P841">
        <v>630</v>
      </c>
      <c r="Q841" t="s">
        <v>29</v>
      </c>
      <c r="R841" t="s">
        <v>54</v>
      </c>
      <c r="S841" t="s">
        <v>31</v>
      </c>
      <c r="T841" t="s">
        <v>41</v>
      </c>
      <c r="U841" s="3">
        <f t="shared" si="13"/>
        <v>45992</v>
      </c>
    </row>
    <row r="842" spans="1:21" x14ac:dyDescent="0.35">
      <c r="A842" t="s">
        <v>2020</v>
      </c>
      <c r="B842" t="s">
        <v>1300</v>
      </c>
      <c r="C842" t="s">
        <v>22</v>
      </c>
      <c r="D842" t="s">
        <v>1133</v>
      </c>
      <c r="E842" t="s">
        <v>37</v>
      </c>
      <c r="F842" t="s">
        <v>25</v>
      </c>
      <c r="G842" t="s">
        <v>47</v>
      </c>
      <c r="H842" t="s">
        <v>52</v>
      </c>
      <c r="I842" t="s">
        <v>28</v>
      </c>
      <c r="J842">
        <v>36580.730000000003</v>
      </c>
      <c r="K842">
        <v>549.88</v>
      </c>
      <c r="L842">
        <v>98.98</v>
      </c>
      <c r="M842">
        <v>321.11</v>
      </c>
      <c r="N842">
        <v>36908.480000000003</v>
      </c>
      <c r="O842">
        <v>2014695.45</v>
      </c>
      <c r="P842">
        <v>520</v>
      </c>
      <c r="Q842" t="s">
        <v>29</v>
      </c>
      <c r="R842" t="s">
        <v>75</v>
      </c>
      <c r="S842" t="s">
        <v>79</v>
      </c>
      <c r="T842" t="s">
        <v>55</v>
      </c>
      <c r="U842" s="3">
        <f t="shared" si="13"/>
        <v>45901</v>
      </c>
    </row>
    <row r="843" spans="1:21" x14ac:dyDescent="0.35">
      <c r="A843" t="s">
        <v>2021</v>
      </c>
      <c r="B843" t="s">
        <v>1177</v>
      </c>
      <c r="C843" t="s">
        <v>22</v>
      </c>
      <c r="D843" t="s">
        <v>2022</v>
      </c>
      <c r="E843" t="s">
        <v>24</v>
      </c>
      <c r="F843" t="s">
        <v>25</v>
      </c>
      <c r="G843" t="s">
        <v>103</v>
      </c>
      <c r="H843" t="s">
        <v>27</v>
      </c>
      <c r="I843" t="s">
        <v>61</v>
      </c>
      <c r="J843">
        <v>184026</v>
      </c>
      <c r="K843">
        <v>1287.71</v>
      </c>
      <c r="L843">
        <v>231.79</v>
      </c>
      <c r="M843">
        <v>203.22</v>
      </c>
      <c r="N843">
        <v>185342.28</v>
      </c>
      <c r="O843">
        <v>2022113.34</v>
      </c>
      <c r="P843">
        <v>324</v>
      </c>
      <c r="Q843" t="s">
        <v>29</v>
      </c>
      <c r="R843" t="s">
        <v>75</v>
      </c>
      <c r="S843" t="s">
        <v>31</v>
      </c>
      <c r="T843" t="s">
        <v>32</v>
      </c>
      <c r="U843" s="3">
        <f t="shared" si="13"/>
        <v>45839</v>
      </c>
    </row>
    <row r="844" spans="1:21" x14ac:dyDescent="0.35">
      <c r="A844" t="s">
        <v>2023</v>
      </c>
      <c r="B844" t="s">
        <v>1336</v>
      </c>
      <c r="C844" t="s">
        <v>22</v>
      </c>
      <c r="D844" t="s">
        <v>2024</v>
      </c>
      <c r="E844" t="s">
        <v>45</v>
      </c>
      <c r="F844" t="s">
        <v>59</v>
      </c>
      <c r="G844" t="s">
        <v>26</v>
      </c>
      <c r="H844" t="s">
        <v>48</v>
      </c>
      <c r="I844" t="s">
        <v>28</v>
      </c>
      <c r="J844">
        <v>157710.82</v>
      </c>
      <c r="K844">
        <v>634.03</v>
      </c>
      <c r="L844">
        <v>114.13</v>
      </c>
      <c r="M844">
        <v>370.7</v>
      </c>
      <c r="N844">
        <v>158088.28</v>
      </c>
      <c r="O844">
        <v>2018590.72</v>
      </c>
      <c r="P844">
        <v>800</v>
      </c>
      <c r="Q844" t="s">
        <v>74</v>
      </c>
      <c r="R844" t="s">
        <v>54</v>
      </c>
      <c r="S844" t="s">
        <v>31</v>
      </c>
      <c r="T844" t="s">
        <v>55</v>
      </c>
      <c r="U844" s="3">
        <f t="shared" si="13"/>
        <v>45809</v>
      </c>
    </row>
    <row r="845" spans="1:21" x14ac:dyDescent="0.35">
      <c r="A845" t="s">
        <v>2025</v>
      </c>
      <c r="B845" t="s">
        <v>388</v>
      </c>
      <c r="C845" t="s">
        <v>35</v>
      </c>
      <c r="D845" t="s">
        <v>2026</v>
      </c>
      <c r="E845" t="s">
        <v>70</v>
      </c>
      <c r="F845" t="s">
        <v>59</v>
      </c>
      <c r="G845" t="s">
        <v>26</v>
      </c>
      <c r="H845" t="s">
        <v>52</v>
      </c>
      <c r="I845" t="s">
        <v>28</v>
      </c>
      <c r="J845">
        <v>69565.38</v>
      </c>
      <c r="K845">
        <v>275.8</v>
      </c>
      <c r="L845">
        <v>49.64</v>
      </c>
      <c r="M845">
        <v>135.66999999999999</v>
      </c>
      <c r="N845">
        <v>69755.149999999994</v>
      </c>
      <c r="O845">
        <v>2016423.81</v>
      </c>
      <c r="P845">
        <v>356</v>
      </c>
      <c r="Q845" t="s">
        <v>53</v>
      </c>
      <c r="R845" t="s">
        <v>30</v>
      </c>
      <c r="S845" t="s">
        <v>62</v>
      </c>
      <c r="T845" t="s">
        <v>41</v>
      </c>
      <c r="U845" s="3">
        <f t="shared" si="13"/>
        <v>45778</v>
      </c>
    </row>
    <row r="846" spans="1:21" x14ac:dyDescent="0.35">
      <c r="A846" t="s">
        <v>2027</v>
      </c>
      <c r="B846" t="s">
        <v>790</v>
      </c>
      <c r="C846" t="s">
        <v>95</v>
      </c>
      <c r="D846" t="s">
        <v>1309</v>
      </c>
      <c r="E846" t="s">
        <v>37</v>
      </c>
      <c r="F846" t="s">
        <v>59</v>
      </c>
      <c r="G846" t="s">
        <v>26</v>
      </c>
      <c r="H846" t="s">
        <v>52</v>
      </c>
      <c r="I846" t="s">
        <v>61</v>
      </c>
      <c r="J846">
        <v>124921.72</v>
      </c>
      <c r="K846">
        <v>2074.75</v>
      </c>
      <c r="L846">
        <v>373.45</v>
      </c>
      <c r="M846">
        <v>174.12</v>
      </c>
      <c r="N846">
        <v>127195.8</v>
      </c>
      <c r="O846">
        <v>2013954.91</v>
      </c>
      <c r="P846">
        <v>367</v>
      </c>
      <c r="Q846" t="s">
        <v>74</v>
      </c>
      <c r="R846" t="s">
        <v>54</v>
      </c>
      <c r="S846" t="s">
        <v>31</v>
      </c>
      <c r="T846" t="s">
        <v>41</v>
      </c>
      <c r="U846" s="3">
        <f t="shared" si="13"/>
        <v>45717</v>
      </c>
    </row>
    <row r="847" spans="1:21" x14ac:dyDescent="0.35">
      <c r="A847" t="s">
        <v>2028</v>
      </c>
      <c r="B847" t="s">
        <v>202</v>
      </c>
      <c r="C847" t="s">
        <v>22</v>
      </c>
      <c r="D847" t="s">
        <v>2029</v>
      </c>
      <c r="E847" t="s">
        <v>24</v>
      </c>
      <c r="F847" t="s">
        <v>25</v>
      </c>
      <c r="G847" t="s">
        <v>47</v>
      </c>
      <c r="H847" t="s">
        <v>66</v>
      </c>
      <c r="I847" t="s">
        <v>40</v>
      </c>
      <c r="J847">
        <v>115896.7</v>
      </c>
      <c r="K847">
        <v>2076.9699999999998</v>
      </c>
      <c r="L847">
        <v>373.85</v>
      </c>
      <c r="M847">
        <v>198.38</v>
      </c>
      <c r="N847">
        <v>118149.14</v>
      </c>
      <c r="O847">
        <v>2020182.08</v>
      </c>
      <c r="P847">
        <v>407</v>
      </c>
      <c r="Q847" t="s">
        <v>74</v>
      </c>
      <c r="R847" t="s">
        <v>54</v>
      </c>
      <c r="S847" t="s">
        <v>86</v>
      </c>
      <c r="T847" t="s">
        <v>41</v>
      </c>
      <c r="U847" s="3">
        <f t="shared" si="13"/>
        <v>45809</v>
      </c>
    </row>
    <row r="848" spans="1:21" x14ac:dyDescent="0.35">
      <c r="A848" t="s">
        <v>2030</v>
      </c>
      <c r="B848" t="s">
        <v>152</v>
      </c>
      <c r="C848" t="s">
        <v>22</v>
      </c>
      <c r="D848" t="s">
        <v>2031</v>
      </c>
      <c r="E848" t="s">
        <v>45</v>
      </c>
      <c r="F848" t="s">
        <v>38</v>
      </c>
      <c r="G848" t="s">
        <v>103</v>
      </c>
      <c r="H848" t="s">
        <v>48</v>
      </c>
      <c r="I848" t="s">
        <v>40</v>
      </c>
      <c r="J848">
        <v>80555.679999999993</v>
      </c>
      <c r="K848">
        <v>552.77</v>
      </c>
      <c r="L848">
        <v>99.5</v>
      </c>
      <c r="M848">
        <v>214.5</v>
      </c>
      <c r="N848">
        <v>80993.45</v>
      </c>
      <c r="O848">
        <v>2027457.4</v>
      </c>
      <c r="P848">
        <v>668</v>
      </c>
      <c r="Q848" t="s">
        <v>29</v>
      </c>
      <c r="R848" t="s">
        <v>30</v>
      </c>
      <c r="S848" t="s">
        <v>62</v>
      </c>
      <c r="T848" t="s">
        <v>55</v>
      </c>
      <c r="U848" s="3">
        <f t="shared" si="13"/>
        <v>45689</v>
      </c>
    </row>
    <row r="849" spans="1:21" x14ac:dyDescent="0.35">
      <c r="A849" t="s">
        <v>2032</v>
      </c>
      <c r="B849" t="s">
        <v>935</v>
      </c>
      <c r="C849" t="s">
        <v>22</v>
      </c>
      <c r="D849" t="s">
        <v>1878</v>
      </c>
      <c r="E849" t="s">
        <v>24</v>
      </c>
      <c r="F849" t="s">
        <v>25</v>
      </c>
      <c r="G849" t="s">
        <v>103</v>
      </c>
      <c r="H849" t="s">
        <v>52</v>
      </c>
      <c r="I849" t="s">
        <v>40</v>
      </c>
      <c r="J849">
        <v>62565.42</v>
      </c>
      <c r="K849">
        <v>926.02</v>
      </c>
      <c r="L849">
        <v>166.68</v>
      </c>
      <c r="M849">
        <v>216.28</v>
      </c>
      <c r="N849">
        <v>63441.84</v>
      </c>
      <c r="O849">
        <v>2031304.55</v>
      </c>
      <c r="P849">
        <v>805</v>
      </c>
      <c r="Q849" t="s">
        <v>74</v>
      </c>
      <c r="R849" t="s">
        <v>30</v>
      </c>
      <c r="S849" t="s">
        <v>79</v>
      </c>
      <c r="T849" t="s">
        <v>32</v>
      </c>
      <c r="U849" s="3">
        <f t="shared" si="13"/>
        <v>45901</v>
      </c>
    </row>
    <row r="850" spans="1:21" x14ac:dyDescent="0.35">
      <c r="A850" t="s">
        <v>2033</v>
      </c>
      <c r="B850" t="s">
        <v>397</v>
      </c>
      <c r="C850" t="s">
        <v>35</v>
      </c>
      <c r="D850" t="s">
        <v>2034</v>
      </c>
      <c r="E850" t="s">
        <v>24</v>
      </c>
      <c r="F850" t="s">
        <v>38</v>
      </c>
      <c r="G850" t="s">
        <v>60</v>
      </c>
      <c r="H850" t="s">
        <v>48</v>
      </c>
      <c r="I850" t="s">
        <v>61</v>
      </c>
      <c r="J850">
        <v>157341.70000000001</v>
      </c>
      <c r="K850">
        <v>3001.35</v>
      </c>
      <c r="L850">
        <v>540.24</v>
      </c>
      <c r="M850">
        <v>372.46</v>
      </c>
      <c r="N850">
        <v>160510.82999999999</v>
      </c>
      <c r="O850">
        <v>2029269.18</v>
      </c>
      <c r="P850">
        <v>321</v>
      </c>
      <c r="Q850" t="s">
        <v>53</v>
      </c>
      <c r="R850" t="s">
        <v>30</v>
      </c>
      <c r="S850" t="s">
        <v>31</v>
      </c>
      <c r="T850" t="s">
        <v>32</v>
      </c>
      <c r="U850" s="3">
        <f t="shared" si="13"/>
        <v>45901</v>
      </c>
    </row>
    <row r="851" spans="1:21" x14ac:dyDescent="0.35">
      <c r="A851" t="s">
        <v>2035</v>
      </c>
      <c r="B851" t="s">
        <v>686</v>
      </c>
      <c r="C851" t="s">
        <v>95</v>
      </c>
      <c r="D851" t="s">
        <v>2036</v>
      </c>
      <c r="E851" t="s">
        <v>45</v>
      </c>
      <c r="F851" t="s">
        <v>38</v>
      </c>
      <c r="G851" t="s">
        <v>26</v>
      </c>
      <c r="H851" t="s">
        <v>52</v>
      </c>
      <c r="I851" t="s">
        <v>40</v>
      </c>
      <c r="J851">
        <v>181399.11</v>
      </c>
      <c r="K851">
        <v>2250.2600000000002</v>
      </c>
      <c r="L851">
        <v>405.05</v>
      </c>
      <c r="M851">
        <v>236.97</v>
      </c>
      <c r="N851">
        <v>183817.45</v>
      </c>
      <c r="O851">
        <v>2024880.35</v>
      </c>
      <c r="P851">
        <v>874</v>
      </c>
      <c r="Q851" t="s">
        <v>74</v>
      </c>
      <c r="R851" t="s">
        <v>30</v>
      </c>
      <c r="S851" t="s">
        <v>79</v>
      </c>
      <c r="T851" t="s">
        <v>55</v>
      </c>
      <c r="U851" s="3">
        <f t="shared" si="13"/>
        <v>45901</v>
      </c>
    </row>
    <row r="852" spans="1:21" x14ac:dyDescent="0.35">
      <c r="A852" t="s">
        <v>2037</v>
      </c>
      <c r="B852" t="s">
        <v>312</v>
      </c>
      <c r="C852" t="s">
        <v>95</v>
      </c>
      <c r="D852" t="s">
        <v>2038</v>
      </c>
      <c r="E852" t="s">
        <v>45</v>
      </c>
      <c r="F852" t="s">
        <v>46</v>
      </c>
      <c r="G852" t="s">
        <v>47</v>
      </c>
      <c r="H852" t="s">
        <v>27</v>
      </c>
      <c r="I852" t="s">
        <v>28</v>
      </c>
      <c r="J852">
        <v>111328.1</v>
      </c>
      <c r="K852">
        <v>732.26</v>
      </c>
      <c r="L852">
        <v>131.81</v>
      </c>
      <c r="M852">
        <v>371.78</v>
      </c>
      <c r="N852">
        <v>111820.39</v>
      </c>
      <c r="O852">
        <v>2029488.55</v>
      </c>
      <c r="P852">
        <v>424</v>
      </c>
      <c r="Q852" t="s">
        <v>74</v>
      </c>
      <c r="R852" t="s">
        <v>75</v>
      </c>
      <c r="S852" t="s">
        <v>86</v>
      </c>
      <c r="T852" t="s">
        <v>55</v>
      </c>
      <c r="U852" s="3">
        <f t="shared" si="13"/>
        <v>45748</v>
      </c>
    </row>
    <row r="853" spans="1:21" x14ac:dyDescent="0.35">
      <c r="A853" t="s">
        <v>2039</v>
      </c>
      <c r="B853" t="s">
        <v>294</v>
      </c>
      <c r="C853" t="s">
        <v>95</v>
      </c>
      <c r="D853" t="s">
        <v>2040</v>
      </c>
      <c r="E853" t="s">
        <v>24</v>
      </c>
      <c r="F853" t="s">
        <v>59</v>
      </c>
      <c r="G853" t="s">
        <v>26</v>
      </c>
      <c r="H853" t="s">
        <v>48</v>
      </c>
      <c r="I853" t="s">
        <v>61</v>
      </c>
      <c r="J853">
        <v>137307.97</v>
      </c>
      <c r="K853">
        <v>892.29</v>
      </c>
      <c r="L853">
        <v>160.61000000000001</v>
      </c>
      <c r="M853">
        <v>190.07</v>
      </c>
      <c r="N853">
        <v>138170.79999999999</v>
      </c>
      <c r="O853">
        <v>2030639.55</v>
      </c>
      <c r="P853">
        <v>341</v>
      </c>
      <c r="Q853" t="s">
        <v>53</v>
      </c>
      <c r="R853" t="s">
        <v>54</v>
      </c>
      <c r="S853" t="s">
        <v>31</v>
      </c>
      <c r="T853" t="s">
        <v>55</v>
      </c>
      <c r="U853" s="3">
        <f t="shared" si="13"/>
        <v>45870</v>
      </c>
    </row>
    <row r="854" spans="1:21" x14ac:dyDescent="0.35">
      <c r="A854" t="s">
        <v>2041</v>
      </c>
      <c r="B854" t="s">
        <v>1115</v>
      </c>
      <c r="C854" t="s">
        <v>95</v>
      </c>
      <c r="D854" t="s">
        <v>2042</v>
      </c>
      <c r="E854" t="s">
        <v>45</v>
      </c>
      <c r="F854" t="s">
        <v>46</v>
      </c>
      <c r="G854" t="s">
        <v>103</v>
      </c>
      <c r="H854" t="s">
        <v>27</v>
      </c>
      <c r="I854" t="s">
        <v>28</v>
      </c>
      <c r="J854">
        <v>60456.68</v>
      </c>
      <c r="K854">
        <v>991.66</v>
      </c>
      <c r="L854">
        <v>178.5</v>
      </c>
      <c r="M854">
        <v>382.59</v>
      </c>
      <c r="N854">
        <v>61244.25</v>
      </c>
      <c r="O854">
        <v>2039126.21</v>
      </c>
      <c r="P854">
        <v>840</v>
      </c>
      <c r="Q854" t="s">
        <v>29</v>
      </c>
      <c r="R854" t="s">
        <v>30</v>
      </c>
      <c r="S854" t="s">
        <v>86</v>
      </c>
      <c r="T854" t="s">
        <v>32</v>
      </c>
      <c r="U854" s="3">
        <f t="shared" si="13"/>
        <v>45839</v>
      </c>
    </row>
    <row r="855" spans="1:21" x14ac:dyDescent="0.35">
      <c r="A855" t="s">
        <v>2043</v>
      </c>
      <c r="B855" t="s">
        <v>1506</v>
      </c>
      <c r="C855" t="s">
        <v>22</v>
      </c>
      <c r="D855" t="s">
        <v>2044</v>
      </c>
      <c r="E855" t="s">
        <v>70</v>
      </c>
      <c r="F855" t="s">
        <v>46</v>
      </c>
      <c r="G855" t="s">
        <v>103</v>
      </c>
      <c r="H855" t="s">
        <v>66</v>
      </c>
      <c r="I855" t="s">
        <v>28</v>
      </c>
      <c r="J855">
        <v>173128.06</v>
      </c>
      <c r="K855">
        <v>2784.22</v>
      </c>
      <c r="L855">
        <v>501.16</v>
      </c>
      <c r="M855">
        <v>419.35</v>
      </c>
      <c r="N855">
        <v>175994.09</v>
      </c>
      <c r="O855">
        <v>2037191.37</v>
      </c>
      <c r="P855">
        <v>376</v>
      </c>
      <c r="Q855" t="s">
        <v>53</v>
      </c>
      <c r="R855" t="s">
        <v>75</v>
      </c>
      <c r="S855" t="s">
        <v>86</v>
      </c>
      <c r="T855" t="s">
        <v>32</v>
      </c>
      <c r="U855" s="3">
        <f t="shared" si="13"/>
        <v>45658</v>
      </c>
    </row>
    <row r="856" spans="1:21" x14ac:dyDescent="0.35">
      <c r="A856" t="s">
        <v>2045</v>
      </c>
      <c r="B856" t="s">
        <v>703</v>
      </c>
      <c r="C856" t="s">
        <v>95</v>
      </c>
      <c r="D856" t="s">
        <v>2046</v>
      </c>
      <c r="E856" t="s">
        <v>37</v>
      </c>
      <c r="F856" t="s">
        <v>46</v>
      </c>
      <c r="G856" t="s">
        <v>47</v>
      </c>
      <c r="H856" t="s">
        <v>27</v>
      </c>
      <c r="I856" t="s">
        <v>61</v>
      </c>
      <c r="J856">
        <v>104001.59</v>
      </c>
      <c r="K856">
        <v>1395.16</v>
      </c>
      <c r="L856">
        <v>251.13</v>
      </c>
      <c r="M856">
        <v>261.8</v>
      </c>
      <c r="N856">
        <v>105386.08</v>
      </c>
      <c r="O856">
        <v>2032938.47</v>
      </c>
      <c r="P856">
        <v>791</v>
      </c>
      <c r="Q856" t="s">
        <v>74</v>
      </c>
      <c r="R856" t="s">
        <v>75</v>
      </c>
      <c r="S856" t="s">
        <v>62</v>
      </c>
      <c r="T856" t="s">
        <v>32</v>
      </c>
      <c r="U856" s="3">
        <f t="shared" si="13"/>
        <v>45870</v>
      </c>
    </row>
    <row r="857" spans="1:21" x14ac:dyDescent="0.35">
      <c r="A857" t="s">
        <v>2047</v>
      </c>
      <c r="B857" t="s">
        <v>1374</v>
      </c>
      <c r="C857" t="s">
        <v>95</v>
      </c>
      <c r="D857" t="s">
        <v>2048</v>
      </c>
      <c r="E857" t="s">
        <v>70</v>
      </c>
      <c r="F857" t="s">
        <v>25</v>
      </c>
      <c r="G857" t="s">
        <v>26</v>
      </c>
      <c r="H857" t="s">
        <v>27</v>
      </c>
      <c r="I857" t="s">
        <v>61</v>
      </c>
      <c r="J857">
        <v>66550.240000000005</v>
      </c>
      <c r="K857">
        <v>559.48</v>
      </c>
      <c r="L857">
        <v>100.71</v>
      </c>
      <c r="M857">
        <v>319.58</v>
      </c>
      <c r="N857">
        <v>66890.850000000006</v>
      </c>
      <c r="O857">
        <v>2034404.32</v>
      </c>
      <c r="P857">
        <v>333</v>
      </c>
      <c r="Q857" t="s">
        <v>53</v>
      </c>
      <c r="R857" t="s">
        <v>75</v>
      </c>
      <c r="S857" t="s">
        <v>86</v>
      </c>
      <c r="T857" t="s">
        <v>41</v>
      </c>
      <c r="U857" s="3">
        <f t="shared" si="13"/>
        <v>45717</v>
      </c>
    </row>
    <row r="858" spans="1:21" x14ac:dyDescent="0.35">
      <c r="A858" t="s">
        <v>2049</v>
      </c>
      <c r="B858" t="s">
        <v>331</v>
      </c>
      <c r="C858" t="s">
        <v>22</v>
      </c>
      <c r="D858" t="s">
        <v>2050</v>
      </c>
      <c r="E858" t="s">
        <v>70</v>
      </c>
      <c r="F858" t="s">
        <v>46</v>
      </c>
      <c r="G858" t="s">
        <v>47</v>
      </c>
      <c r="H858" t="s">
        <v>48</v>
      </c>
      <c r="I858" t="s">
        <v>40</v>
      </c>
      <c r="J858">
        <v>156249.78</v>
      </c>
      <c r="K858">
        <v>2997.61</v>
      </c>
      <c r="L858">
        <v>539.57000000000005</v>
      </c>
      <c r="M858">
        <v>378.93</v>
      </c>
      <c r="N858">
        <v>159408.03</v>
      </c>
      <c r="O858">
        <v>2037740.27</v>
      </c>
      <c r="P858">
        <v>704</v>
      </c>
      <c r="Q858" t="s">
        <v>29</v>
      </c>
      <c r="R858" t="s">
        <v>30</v>
      </c>
      <c r="S858" t="s">
        <v>62</v>
      </c>
      <c r="T858" t="s">
        <v>32</v>
      </c>
      <c r="U858" s="3">
        <f t="shared" si="13"/>
        <v>45839</v>
      </c>
    </row>
    <row r="859" spans="1:21" x14ac:dyDescent="0.35">
      <c r="A859" t="s">
        <v>2051</v>
      </c>
      <c r="B859" t="s">
        <v>613</v>
      </c>
      <c r="C859" t="s">
        <v>95</v>
      </c>
      <c r="D859" t="s">
        <v>2052</v>
      </c>
      <c r="E859" t="s">
        <v>24</v>
      </c>
      <c r="F859" t="s">
        <v>59</v>
      </c>
      <c r="G859" t="s">
        <v>26</v>
      </c>
      <c r="H859" t="s">
        <v>39</v>
      </c>
      <c r="I859" t="s">
        <v>28</v>
      </c>
      <c r="J859">
        <v>11137.52</v>
      </c>
      <c r="K859">
        <v>119.81</v>
      </c>
      <c r="L859">
        <v>21.57</v>
      </c>
      <c r="M859">
        <v>211.47</v>
      </c>
      <c r="N859">
        <v>11067.43</v>
      </c>
      <c r="O859">
        <v>2046843.52</v>
      </c>
      <c r="P859">
        <v>771</v>
      </c>
      <c r="Q859" t="s">
        <v>53</v>
      </c>
      <c r="R859" t="s">
        <v>75</v>
      </c>
      <c r="S859" t="s">
        <v>86</v>
      </c>
      <c r="T859" t="s">
        <v>55</v>
      </c>
      <c r="U859" s="3">
        <f t="shared" si="13"/>
        <v>45870</v>
      </c>
    </row>
    <row r="860" spans="1:21" x14ac:dyDescent="0.35">
      <c r="A860" t="s">
        <v>2053</v>
      </c>
      <c r="B860" t="s">
        <v>1283</v>
      </c>
      <c r="C860" t="s">
        <v>35</v>
      </c>
      <c r="D860" t="s">
        <v>2054</v>
      </c>
      <c r="E860" t="s">
        <v>37</v>
      </c>
      <c r="F860" t="s">
        <v>59</v>
      </c>
      <c r="G860" t="s">
        <v>26</v>
      </c>
      <c r="H860" t="s">
        <v>66</v>
      </c>
      <c r="I860" t="s">
        <v>61</v>
      </c>
      <c r="J860">
        <v>175769.98</v>
      </c>
      <c r="K860">
        <v>1513.34</v>
      </c>
      <c r="L860">
        <v>272.39999999999998</v>
      </c>
      <c r="M860">
        <v>281.99</v>
      </c>
      <c r="N860">
        <v>177273.73</v>
      </c>
      <c r="O860">
        <v>2042073.44</v>
      </c>
      <c r="P860">
        <v>661</v>
      </c>
      <c r="Q860" t="s">
        <v>29</v>
      </c>
      <c r="R860" t="s">
        <v>30</v>
      </c>
      <c r="S860" t="s">
        <v>31</v>
      </c>
      <c r="T860" t="s">
        <v>41</v>
      </c>
      <c r="U860" s="3">
        <f t="shared" si="13"/>
        <v>45809</v>
      </c>
    </row>
    <row r="861" spans="1:21" x14ac:dyDescent="0.35">
      <c r="A861" t="s">
        <v>2055</v>
      </c>
      <c r="B861" t="s">
        <v>254</v>
      </c>
      <c r="C861" t="s">
        <v>35</v>
      </c>
      <c r="D861" t="s">
        <v>2056</v>
      </c>
      <c r="E861" t="s">
        <v>45</v>
      </c>
      <c r="F861" t="s">
        <v>46</v>
      </c>
      <c r="G861" t="s">
        <v>60</v>
      </c>
      <c r="H861" t="s">
        <v>27</v>
      </c>
      <c r="I861" t="s">
        <v>28</v>
      </c>
      <c r="J861">
        <v>168005.39</v>
      </c>
      <c r="K861">
        <v>432.08</v>
      </c>
      <c r="L861">
        <v>77.77</v>
      </c>
      <c r="M861">
        <v>119.98</v>
      </c>
      <c r="N861">
        <v>168395.26</v>
      </c>
      <c r="O861">
        <v>2038857.42</v>
      </c>
      <c r="P861">
        <v>580</v>
      </c>
      <c r="Q861" t="s">
        <v>29</v>
      </c>
      <c r="R861" t="s">
        <v>54</v>
      </c>
      <c r="S861" t="s">
        <v>31</v>
      </c>
      <c r="T861" t="s">
        <v>41</v>
      </c>
      <c r="U861" s="3">
        <f t="shared" si="13"/>
        <v>45809</v>
      </c>
    </row>
    <row r="862" spans="1:21" x14ac:dyDescent="0.35">
      <c r="A862" t="s">
        <v>2057</v>
      </c>
      <c r="B862" t="s">
        <v>1482</v>
      </c>
      <c r="C862" t="s">
        <v>35</v>
      </c>
      <c r="D862" t="s">
        <v>2058</v>
      </c>
      <c r="E862" t="s">
        <v>45</v>
      </c>
      <c r="F862" t="s">
        <v>25</v>
      </c>
      <c r="G862" t="s">
        <v>47</v>
      </c>
      <c r="H862" t="s">
        <v>66</v>
      </c>
      <c r="I862" t="s">
        <v>61</v>
      </c>
      <c r="J862">
        <v>63918.54</v>
      </c>
      <c r="K862">
        <v>659.16</v>
      </c>
      <c r="L862">
        <v>118.65</v>
      </c>
      <c r="M862">
        <v>387.77</v>
      </c>
      <c r="N862">
        <v>64308.58</v>
      </c>
      <c r="O862">
        <v>2045703.91</v>
      </c>
      <c r="P862">
        <v>486</v>
      </c>
      <c r="Q862" t="s">
        <v>74</v>
      </c>
      <c r="R862" t="s">
        <v>75</v>
      </c>
      <c r="S862" t="s">
        <v>31</v>
      </c>
      <c r="T862" t="s">
        <v>32</v>
      </c>
      <c r="U862" s="3">
        <f t="shared" si="13"/>
        <v>45931</v>
      </c>
    </row>
    <row r="863" spans="1:21" x14ac:dyDescent="0.35">
      <c r="A863" t="s">
        <v>2059</v>
      </c>
      <c r="B863" t="s">
        <v>965</v>
      </c>
      <c r="C863" t="s">
        <v>35</v>
      </c>
      <c r="D863" t="s">
        <v>2060</v>
      </c>
      <c r="E863" t="s">
        <v>70</v>
      </c>
      <c r="F863" t="s">
        <v>59</v>
      </c>
      <c r="G863" t="s">
        <v>103</v>
      </c>
      <c r="H863" t="s">
        <v>52</v>
      </c>
      <c r="I863" t="s">
        <v>40</v>
      </c>
      <c r="J863">
        <v>94058.43</v>
      </c>
      <c r="K863">
        <v>416.97</v>
      </c>
      <c r="L863">
        <v>75.05</v>
      </c>
      <c r="M863">
        <v>493.42</v>
      </c>
      <c r="N863">
        <v>94057.03</v>
      </c>
      <c r="O863">
        <v>2045752.91</v>
      </c>
      <c r="P863">
        <v>873</v>
      </c>
      <c r="Q863" t="s">
        <v>74</v>
      </c>
      <c r="R863" t="s">
        <v>75</v>
      </c>
      <c r="S863" t="s">
        <v>86</v>
      </c>
      <c r="T863" t="s">
        <v>41</v>
      </c>
      <c r="U863" s="3">
        <f t="shared" si="13"/>
        <v>45658</v>
      </c>
    </row>
    <row r="864" spans="1:21" x14ac:dyDescent="0.35">
      <c r="A864" t="s">
        <v>2061</v>
      </c>
      <c r="B864" t="s">
        <v>1482</v>
      </c>
      <c r="C864" t="s">
        <v>35</v>
      </c>
      <c r="D864" t="s">
        <v>1750</v>
      </c>
      <c r="E864" t="s">
        <v>70</v>
      </c>
      <c r="F864" t="s">
        <v>46</v>
      </c>
      <c r="G864" t="s">
        <v>47</v>
      </c>
      <c r="H864" t="s">
        <v>66</v>
      </c>
      <c r="I864" t="s">
        <v>28</v>
      </c>
      <c r="J864">
        <v>67974.8</v>
      </c>
      <c r="K864">
        <v>413.49</v>
      </c>
      <c r="L864">
        <v>74.430000000000007</v>
      </c>
      <c r="M864">
        <v>279.52999999999997</v>
      </c>
      <c r="N864">
        <v>68183.19</v>
      </c>
      <c r="O864">
        <v>2051492.05</v>
      </c>
      <c r="P864">
        <v>875</v>
      </c>
      <c r="Q864" t="s">
        <v>74</v>
      </c>
      <c r="R864" t="s">
        <v>54</v>
      </c>
      <c r="S864" t="s">
        <v>62</v>
      </c>
      <c r="T864" t="s">
        <v>41</v>
      </c>
      <c r="U864" s="3">
        <f t="shared" si="13"/>
        <v>45931</v>
      </c>
    </row>
    <row r="865" spans="1:21" x14ac:dyDescent="0.35">
      <c r="A865" t="s">
        <v>2062</v>
      </c>
      <c r="B865" t="s">
        <v>339</v>
      </c>
      <c r="C865" t="s">
        <v>35</v>
      </c>
      <c r="D865" t="s">
        <v>2063</v>
      </c>
      <c r="E865" t="s">
        <v>45</v>
      </c>
      <c r="F865" t="s">
        <v>46</v>
      </c>
      <c r="G865" t="s">
        <v>60</v>
      </c>
      <c r="H865" t="s">
        <v>48</v>
      </c>
      <c r="I865" t="s">
        <v>28</v>
      </c>
      <c r="J865">
        <v>48359.82</v>
      </c>
      <c r="K865">
        <v>358</v>
      </c>
      <c r="L865">
        <v>64.44</v>
      </c>
      <c r="M865">
        <v>97.44</v>
      </c>
      <c r="N865">
        <v>48684.82</v>
      </c>
      <c r="O865">
        <v>2047483.35</v>
      </c>
      <c r="P865">
        <v>891</v>
      </c>
      <c r="Q865" t="s">
        <v>53</v>
      </c>
      <c r="R865" t="s">
        <v>75</v>
      </c>
      <c r="S865" t="s">
        <v>31</v>
      </c>
      <c r="T865" t="s">
        <v>32</v>
      </c>
      <c r="U865" s="3">
        <f t="shared" si="13"/>
        <v>45658</v>
      </c>
    </row>
    <row r="866" spans="1:21" x14ac:dyDescent="0.35">
      <c r="A866" t="s">
        <v>2064</v>
      </c>
      <c r="B866" t="s">
        <v>405</v>
      </c>
      <c r="C866" t="s">
        <v>22</v>
      </c>
      <c r="D866" t="s">
        <v>2065</v>
      </c>
      <c r="E866" t="s">
        <v>70</v>
      </c>
      <c r="F866" t="s">
        <v>25</v>
      </c>
      <c r="G866" t="s">
        <v>26</v>
      </c>
      <c r="H866" t="s">
        <v>52</v>
      </c>
      <c r="I866" t="s">
        <v>61</v>
      </c>
      <c r="J866">
        <v>64985.34</v>
      </c>
      <c r="K866">
        <v>1055.6199999999999</v>
      </c>
      <c r="L866">
        <v>190.01</v>
      </c>
      <c r="M866">
        <v>266.77</v>
      </c>
      <c r="N866">
        <v>65964.2</v>
      </c>
      <c r="O866">
        <v>2053063.49</v>
      </c>
      <c r="P866">
        <v>484</v>
      </c>
      <c r="Q866" t="s">
        <v>29</v>
      </c>
      <c r="R866" t="s">
        <v>75</v>
      </c>
      <c r="S866" t="s">
        <v>62</v>
      </c>
      <c r="T866" t="s">
        <v>55</v>
      </c>
      <c r="U866" s="3">
        <f t="shared" si="13"/>
        <v>45658</v>
      </c>
    </row>
    <row r="867" spans="1:21" x14ac:dyDescent="0.35">
      <c r="A867" t="s">
        <v>2066</v>
      </c>
      <c r="B867" t="s">
        <v>1733</v>
      </c>
      <c r="C867" t="s">
        <v>35</v>
      </c>
      <c r="D867" t="s">
        <v>2067</v>
      </c>
      <c r="E867" t="s">
        <v>37</v>
      </c>
      <c r="F867" t="s">
        <v>46</v>
      </c>
      <c r="G867" t="s">
        <v>60</v>
      </c>
      <c r="H867" t="s">
        <v>52</v>
      </c>
      <c r="I867" t="s">
        <v>61</v>
      </c>
      <c r="J867">
        <v>107356.63</v>
      </c>
      <c r="K867">
        <v>2083.79</v>
      </c>
      <c r="L867">
        <v>375.08</v>
      </c>
      <c r="M867">
        <v>371.41</v>
      </c>
      <c r="N867">
        <v>109444.09</v>
      </c>
      <c r="O867">
        <v>2053152.89</v>
      </c>
      <c r="P867">
        <v>688</v>
      </c>
      <c r="Q867" t="s">
        <v>53</v>
      </c>
      <c r="R867" t="s">
        <v>75</v>
      </c>
      <c r="S867" t="s">
        <v>31</v>
      </c>
      <c r="T867" t="s">
        <v>55</v>
      </c>
      <c r="U867" s="3">
        <f t="shared" si="13"/>
        <v>45931</v>
      </c>
    </row>
    <row r="868" spans="1:21" x14ac:dyDescent="0.35">
      <c r="A868" t="s">
        <v>2068</v>
      </c>
      <c r="B868" t="s">
        <v>683</v>
      </c>
      <c r="C868" t="s">
        <v>95</v>
      </c>
      <c r="D868" t="s">
        <v>2069</v>
      </c>
      <c r="E868" t="s">
        <v>24</v>
      </c>
      <c r="F868" t="s">
        <v>25</v>
      </c>
      <c r="G868" t="s">
        <v>47</v>
      </c>
      <c r="H868" t="s">
        <v>48</v>
      </c>
      <c r="I868" t="s">
        <v>61</v>
      </c>
      <c r="J868">
        <v>64770.7</v>
      </c>
      <c r="K868">
        <v>647.73</v>
      </c>
      <c r="L868">
        <v>116.59</v>
      </c>
      <c r="M868">
        <v>190.16</v>
      </c>
      <c r="N868">
        <v>65344.86</v>
      </c>
      <c r="O868">
        <v>2053113.12</v>
      </c>
      <c r="P868">
        <v>617</v>
      </c>
      <c r="Q868" t="s">
        <v>74</v>
      </c>
      <c r="R868" t="s">
        <v>30</v>
      </c>
      <c r="S868" t="s">
        <v>62</v>
      </c>
      <c r="T868" t="s">
        <v>41</v>
      </c>
      <c r="U868" s="3">
        <f t="shared" si="13"/>
        <v>45870</v>
      </c>
    </row>
    <row r="869" spans="1:21" x14ac:dyDescent="0.35">
      <c r="A869" t="s">
        <v>2070</v>
      </c>
      <c r="B869" t="s">
        <v>521</v>
      </c>
      <c r="C869" t="s">
        <v>35</v>
      </c>
      <c r="D869" t="s">
        <v>2071</v>
      </c>
      <c r="E869" t="s">
        <v>45</v>
      </c>
      <c r="F869" t="s">
        <v>38</v>
      </c>
      <c r="G869" t="s">
        <v>47</v>
      </c>
      <c r="H869" t="s">
        <v>39</v>
      </c>
      <c r="I869" t="s">
        <v>40</v>
      </c>
      <c r="J869">
        <v>147106.25</v>
      </c>
      <c r="K869">
        <v>232.73</v>
      </c>
      <c r="L869">
        <v>41.89</v>
      </c>
      <c r="M869">
        <v>484.87</v>
      </c>
      <c r="N869">
        <v>146896</v>
      </c>
      <c r="O869">
        <v>2048771.64</v>
      </c>
      <c r="P869">
        <v>650</v>
      </c>
      <c r="Q869" t="s">
        <v>74</v>
      </c>
      <c r="R869" t="s">
        <v>75</v>
      </c>
      <c r="S869" t="s">
        <v>31</v>
      </c>
      <c r="T869" t="s">
        <v>32</v>
      </c>
      <c r="U869" s="3">
        <f t="shared" si="13"/>
        <v>45778</v>
      </c>
    </row>
    <row r="870" spans="1:21" x14ac:dyDescent="0.35">
      <c r="A870" t="s">
        <v>2072</v>
      </c>
      <c r="B870" t="s">
        <v>795</v>
      </c>
      <c r="C870" t="s">
        <v>95</v>
      </c>
      <c r="D870" t="s">
        <v>2073</v>
      </c>
      <c r="E870" t="s">
        <v>24</v>
      </c>
      <c r="F870" t="s">
        <v>59</v>
      </c>
      <c r="G870" t="s">
        <v>103</v>
      </c>
      <c r="H870" t="s">
        <v>66</v>
      </c>
      <c r="I870" t="s">
        <v>28</v>
      </c>
      <c r="J870">
        <v>74708.399999999994</v>
      </c>
      <c r="K870">
        <v>772.83</v>
      </c>
      <c r="L870">
        <v>139.11000000000001</v>
      </c>
      <c r="M870">
        <v>352.76</v>
      </c>
      <c r="N870">
        <v>75267.58</v>
      </c>
      <c r="O870">
        <v>2052096.6</v>
      </c>
      <c r="P870">
        <v>683</v>
      </c>
      <c r="Q870" t="s">
        <v>53</v>
      </c>
      <c r="R870" t="s">
        <v>75</v>
      </c>
      <c r="S870" t="s">
        <v>31</v>
      </c>
      <c r="T870" t="s">
        <v>32</v>
      </c>
      <c r="U870" s="3">
        <f t="shared" si="13"/>
        <v>45809</v>
      </c>
    </row>
    <row r="871" spans="1:21" x14ac:dyDescent="0.35">
      <c r="A871" t="s">
        <v>2074</v>
      </c>
      <c r="B871" t="s">
        <v>431</v>
      </c>
      <c r="C871" t="s">
        <v>35</v>
      </c>
      <c r="D871" t="s">
        <v>2075</v>
      </c>
      <c r="E871" t="s">
        <v>70</v>
      </c>
      <c r="F871" t="s">
        <v>46</v>
      </c>
      <c r="G871" t="s">
        <v>60</v>
      </c>
      <c r="H871" t="s">
        <v>48</v>
      </c>
      <c r="I871" t="s">
        <v>28</v>
      </c>
      <c r="J871">
        <v>182526.03</v>
      </c>
      <c r="K871">
        <v>2709.95</v>
      </c>
      <c r="L871">
        <v>487.79</v>
      </c>
      <c r="M871">
        <v>425.95</v>
      </c>
      <c r="N871">
        <v>185297.82</v>
      </c>
      <c r="O871">
        <v>2058770.8</v>
      </c>
      <c r="P871">
        <v>388</v>
      </c>
      <c r="Q871" t="s">
        <v>74</v>
      </c>
      <c r="R871" t="s">
        <v>75</v>
      </c>
      <c r="S871" t="s">
        <v>79</v>
      </c>
      <c r="T871" t="s">
        <v>55</v>
      </c>
      <c r="U871" s="3">
        <f t="shared" si="13"/>
        <v>45870</v>
      </c>
    </row>
    <row r="872" spans="1:21" x14ac:dyDescent="0.35">
      <c r="A872" t="s">
        <v>2076</v>
      </c>
      <c r="B872" t="s">
        <v>627</v>
      </c>
      <c r="C872" t="s">
        <v>95</v>
      </c>
      <c r="D872" t="s">
        <v>591</v>
      </c>
      <c r="E872" t="s">
        <v>70</v>
      </c>
      <c r="F872" t="s">
        <v>38</v>
      </c>
      <c r="G872" t="s">
        <v>47</v>
      </c>
      <c r="H872" t="s">
        <v>39</v>
      </c>
      <c r="I872" t="s">
        <v>61</v>
      </c>
      <c r="J872">
        <v>77910.55</v>
      </c>
      <c r="K872">
        <v>1119.02</v>
      </c>
      <c r="L872">
        <v>201.42</v>
      </c>
      <c r="M872">
        <v>119.74</v>
      </c>
      <c r="N872">
        <v>79111.25</v>
      </c>
      <c r="O872">
        <v>2056061.96</v>
      </c>
      <c r="P872">
        <v>353</v>
      </c>
      <c r="Q872" t="s">
        <v>53</v>
      </c>
      <c r="R872" t="s">
        <v>75</v>
      </c>
      <c r="S872" t="s">
        <v>31</v>
      </c>
      <c r="T872" t="s">
        <v>41</v>
      </c>
      <c r="U872" s="3">
        <f t="shared" si="13"/>
        <v>45658</v>
      </c>
    </row>
    <row r="873" spans="1:21" x14ac:dyDescent="0.35">
      <c r="A873" t="s">
        <v>2077</v>
      </c>
      <c r="B873" t="s">
        <v>1434</v>
      </c>
      <c r="C873" t="s">
        <v>22</v>
      </c>
      <c r="D873" t="s">
        <v>2078</v>
      </c>
      <c r="E873" t="s">
        <v>24</v>
      </c>
      <c r="F873" t="s">
        <v>38</v>
      </c>
      <c r="G873" t="s">
        <v>103</v>
      </c>
      <c r="H873" t="s">
        <v>66</v>
      </c>
      <c r="I873" t="s">
        <v>28</v>
      </c>
      <c r="J873">
        <v>102303.11</v>
      </c>
      <c r="K873">
        <v>1895.18</v>
      </c>
      <c r="L873">
        <v>341.13</v>
      </c>
      <c r="M873">
        <v>417.11</v>
      </c>
      <c r="N873">
        <v>104122.31</v>
      </c>
      <c r="O873">
        <v>2053097.38</v>
      </c>
      <c r="P873">
        <v>655</v>
      </c>
      <c r="Q873" t="s">
        <v>74</v>
      </c>
      <c r="R873" t="s">
        <v>30</v>
      </c>
      <c r="S873" t="s">
        <v>31</v>
      </c>
      <c r="T873" t="s">
        <v>41</v>
      </c>
      <c r="U873" s="3">
        <f t="shared" si="13"/>
        <v>45901</v>
      </c>
    </row>
    <row r="874" spans="1:21" x14ac:dyDescent="0.35">
      <c r="A874" t="s">
        <v>2079</v>
      </c>
      <c r="B874" t="s">
        <v>924</v>
      </c>
      <c r="C874" t="s">
        <v>22</v>
      </c>
      <c r="D874" t="s">
        <v>2080</v>
      </c>
      <c r="E874" t="s">
        <v>70</v>
      </c>
      <c r="F874" t="s">
        <v>25</v>
      </c>
      <c r="G874" t="s">
        <v>47</v>
      </c>
      <c r="H874" t="s">
        <v>27</v>
      </c>
      <c r="I874" t="s">
        <v>61</v>
      </c>
      <c r="J874">
        <v>2183.2600000000002</v>
      </c>
      <c r="K874">
        <v>24.24</v>
      </c>
      <c r="L874">
        <v>4.3600000000000003</v>
      </c>
      <c r="M874">
        <v>38.04</v>
      </c>
      <c r="N874">
        <v>2173.8200000000002</v>
      </c>
      <c r="O874">
        <v>2048271.24</v>
      </c>
      <c r="P874">
        <v>565</v>
      </c>
      <c r="Q874" t="s">
        <v>29</v>
      </c>
      <c r="R874" t="s">
        <v>75</v>
      </c>
      <c r="S874" t="s">
        <v>79</v>
      </c>
      <c r="T874" t="s">
        <v>55</v>
      </c>
      <c r="U874" s="3">
        <f t="shared" si="13"/>
        <v>45748</v>
      </c>
    </row>
    <row r="875" spans="1:21" x14ac:dyDescent="0.35">
      <c r="A875" t="s">
        <v>2081</v>
      </c>
      <c r="B875" t="s">
        <v>2082</v>
      </c>
      <c r="C875" t="s">
        <v>95</v>
      </c>
      <c r="D875" t="s">
        <v>2083</v>
      </c>
      <c r="E875" t="s">
        <v>37</v>
      </c>
      <c r="F875" t="s">
        <v>46</v>
      </c>
      <c r="G875" t="s">
        <v>103</v>
      </c>
      <c r="H875" t="s">
        <v>66</v>
      </c>
      <c r="I875" t="s">
        <v>40</v>
      </c>
      <c r="J875">
        <v>34566.58</v>
      </c>
      <c r="K875">
        <v>620.75</v>
      </c>
      <c r="L875">
        <v>111.73</v>
      </c>
      <c r="M875">
        <v>440.37</v>
      </c>
      <c r="N875">
        <v>34858.69</v>
      </c>
      <c r="O875">
        <v>2056978.89</v>
      </c>
      <c r="P875">
        <v>644</v>
      </c>
      <c r="Q875" t="s">
        <v>29</v>
      </c>
      <c r="R875" t="s">
        <v>54</v>
      </c>
      <c r="S875" t="s">
        <v>79</v>
      </c>
      <c r="T875" t="s">
        <v>55</v>
      </c>
      <c r="U875" s="3">
        <f t="shared" si="13"/>
        <v>45992</v>
      </c>
    </row>
    <row r="876" spans="1:21" x14ac:dyDescent="0.35">
      <c r="A876" t="s">
        <v>2084</v>
      </c>
      <c r="B876" t="s">
        <v>1105</v>
      </c>
      <c r="C876" t="s">
        <v>22</v>
      </c>
      <c r="D876" t="s">
        <v>2085</v>
      </c>
      <c r="E876" t="s">
        <v>70</v>
      </c>
      <c r="F876" t="s">
        <v>59</v>
      </c>
      <c r="G876" t="s">
        <v>103</v>
      </c>
      <c r="H876" t="s">
        <v>39</v>
      </c>
      <c r="I876" t="s">
        <v>61</v>
      </c>
      <c r="J876">
        <v>69599.89</v>
      </c>
      <c r="K876">
        <v>845.33</v>
      </c>
      <c r="L876">
        <v>152.16</v>
      </c>
      <c r="M876">
        <v>110.48</v>
      </c>
      <c r="N876">
        <v>70486.899999999994</v>
      </c>
      <c r="O876">
        <v>2055055.44</v>
      </c>
      <c r="P876">
        <v>874</v>
      </c>
      <c r="Q876" t="s">
        <v>53</v>
      </c>
      <c r="R876" t="s">
        <v>54</v>
      </c>
      <c r="S876" t="s">
        <v>31</v>
      </c>
      <c r="T876" t="s">
        <v>55</v>
      </c>
      <c r="U876" s="3">
        <f t="shared" si="13"/>
        <v>45717</v>
      </c>
    </row>
    <row r="877" spans="1:21" x14ac:dyDescent="0.35">
      <c r="A877" t="s">
        <v>2086</v>
      </c>
      <c r="B877" t="s">
        <v>1399</v>
      </c>
      <c r="C877" t="s">
        <v>35</v>
      </c>
      <c r="D877" t="s">
        <v>2087</v>
      </c>
      <c r="E877" t="s">
        <v>45</v>
      </c>
      <c r="F877" t="s">
        <v>59</v>
      </c>
      <c r="G877" t="s">
        <v>103</v>
      </c>
      <c r="H877" t="s">
        <v>48</v>
      </c>
      <c r="I877" t="s">
        <v>61</v>
      </c>
      <c r="J877">
        <v>99861.69</v>
      </c>
      <c r="K877">
        <v>843.48</v>
      </c>
      <c r="L877">
        <v>151.83000000000001</v>
      </c>
      <c r="M877">
        <v>341.85</v>
      </c>
      <c r="N877">
        <v>100515.15</v>
      </c>
      <c r="O877">
        <v>2062554.99</v>
      </c>
      <c r="P877">
        <v>856</v>
      </c>
      <c r="Q877" t="s">
        <v>53</v>
      </c>
      <c r="R877" t="s">
        <v>30</v>
      </c>
      <c r="S877" t="s">
        <v>31</v>
      </c>
      <c r="T877" t="s">
        <v>55</v>
      </c>
      <c r="U877" s="3">
        <f t="shared" si="13"/>
        <v>45839</v>
      </c>
    </row>
    <row r="878" spans="1:21" x14ac:dyDescent="0.35">
      <c r="A878" t="s">
        <v>2088</v>
      </c>
      <c r="B878" t="s">
        <v>187</v>
      </c>
      <c r="C878" t="s">
        <v>22</v>
      </c>
      <c r="D878" t="s">
        <v>2089</v>
      </c>
      <c r="E878" t="s">
        <v>70</v>
      </c>
      <c r="F878" t="s">
        <v>59</v>
      </c>
      <c r="G878" t="s">
        <v>103</v>
      </c>
      <c r="H878" t="s">
        <v>27</v>
      </c>
      <c r="I878" t="s">
        <v>40</v>
      </c>
      <c r="J878">
        <v>23694.29</v>
      </c>
      <c r="K878">
        <v>255.03</v>
      </c>
      <c r="L878">
        <v>45.91</v>
      </c>
      <c r="M878">
        <v>451.12</v>
      </c>
      <c r="N878">
        <v>23544.11</v>
      </c>
      <c r="O878">
        <v>2069517.26</v>
      </c>
      <c r="P878">
        <v>673</v>
      </c>
      <c r="Q878" t="s">
        <v>53</v>
      </c>
      <c r="R878" t="s">
        <v>54</v>
      </c>
      <c r="S878" t="s">
        <v>31</v>
      </c>
      <c r="T878" t="s">
        <v>55</v>
      </c>
      <c r="U878" s="3">
        <f t="shared" si="13"/>
        <v>45717</v>
      </c>
    </row>
    <row r="879" spans="1:21" x14ac:dyDescent="0.35">
      <c r="A879" t="s">
        <v>2090</v>
      </c>
      <c r="B879" t="s">
        <v>119</v>
      </c>
      <c r="C879" t="s">
        <v>22</v>
      </c>
      <c r="D879" t="s">
        <v>2091</v>
      </c>
      <c r="E879" t="s">
        <v>24</v>
      </c>
      <c r="F879" t="s">
        <v>59</v>
      </c>
      <c r="G879" t="s">
        <v>47</v>
      </c>
      <c r="H879" t="s">
        <v>48</v>
      </c>
      <c r="I879" t="s">
        <v>28</v>
      </c>
      <c r="J879">
        <v>3382.17</v>
      </c>
      <c r="K879">
        <v>4.84</v>
      </c>
      <c r="L879">
        <v>0.87</v>
      </c>
      <c r="M879">
        <v>201.07</v>
      </c>
      <c r="N879">
        <v>3186.81</v>
      </c>
      <c r="O879">
        <v>2076962.33</v>
      </c>
      <c r="P879">
        <v>639</v>
      </c>
      <c r="Q879" t="s">
        <v>53</v>
      </c>
      <c r="R879" t="s">
        <v>54</v>
      </c>
      <c r="S879" t="s">
        <v>62</v>
      </c>
      <c r="T879" t="s">
        <v>41</v>
      </c>
      <c r="U879" s="3">
        <f t="shared" si="13"/>
        <v>45962</v>
      </c>
    </row>
    <row r="880" spans="1:21" x14ac:dyDescent="0.35">
      <c r="A880" t="s">
        <v>2092</v>
      </c>
      <c r="B880" t="s">
        <v>1406</v>
      </c>
      <c r="C880" t="s">
        <v>95</v>
      </c>
      <c r="D880" t="s">
        <v>2093</v>
      </c>
      <c r="E880" t="s">
        <v>37</v>
      </c>
      <c r="F880" t="s">
        <v>59</v>
      </c>
      <c r="G880" t="s">
        <v>47</v>
      </c>
      <c r="H880" t="s">
        <v>48</v>
      </c>
      <c r="I880" t="s">
        <v>40</v>
      </c>
      <c r="J880">
        <v>117758.26</v>
      </c>
      <c r="K880">
        <v>2293.33</v>
      </c>
      <c r="L880">
        <v>412.8</v>
      </c>
      <c r="M880">
        <v>471.28</v>
      </c>
      <c r="N880">
        <v>119993.11</v>
      </c>
      <c r="O880">
        <v>2079815.56</v>
      </c>
      <c r="P880">
        <v>475</v>
      </c>
      <c r="Q880" t="s">
        <v>74</v>
      </c>
      <c r="R880" t="s">
        <v>30</v>
      </c>
      <c r="S880" t="s">
        <v>62</v>
      </c>
      <c r="T880" t="s">
        <v>41</v>
      </c>
      <c r="U880" s="3">
        <f t="shared" si="13"/>
        <v>45717</v>
      </c>
    </row>
    <row r="881" spans="1:21" x14ac:dyDescent="0.35">
      <c r="A881" t="s">
        <v>2094</v>
      </c>
      <c r="B881" t="s">
        <v>1458</v>
      </c>
      <c r="C881" t="s">
        <v>95</v>
      </c>
      <c r="D881" t="s">
        <v>2095</v>
      </c>
      <c r="E881" t="s">
        <v>70</v>
      </c>
      <c r="F881" t="s">
        <v>25</v>
      </c>
      <c r="G881" t="s">
        <v>26</v>
      </c>
      <c r="H881" t="s">
        <v>66</v>
      </c>
      <c r="I881" t="s">
        <v>28</v>
      </c>
      <c r="J881">
        <v>92314.43</v>
      </c>
      <c r="K881">
        <v>1542.95</v>
      </c>
      <c r="L881">
        <v>277.73</v>
      </c>
      <c r="M881">
        <v>299.12</v>
      </c>
      <c r="N881">
        <v>93835.99</v>
      </c>
      <c r="O881">
        <v>2077298.98</v>
      </c>
      <c r="P881">
        <v>873</v>
      </c>
      <c r="Q881" t="s">
        <v>29</v>
      </c>
      <c r="R881" t="s">
        <v>75</v>
      </c>
      <c r="S881" t="s">
        <v>31</v>
      </c>
      <c r="T881" t="s">
        <v>55</v>
      </c>
      <c r="U881" s="3">
        <f t="shared" si="13"/>
        <v>45901</v>
      </c>
    </row>
    <row r="882" spans="1:21" x14ac:dyDescent="0.35">
      <c r="A882" t="s">
        <v>2096</v>
      </c>
      <c r="B882" t="s">
        <v>359</v>
      </c>
      <c r="C882" t="s">
        <v>35</v>
      </c>
      <c r="D882" t="s">
        <v>2097</v>
      </c>
      <c r="E882" t="s">
        <v>24</v>
      </c>
      <c r="F882" t="s">
        <v>59</v>
      </c>
      <c r="G882" t="s">
        <v>26</v>
      </c>
      <c r="H882" t="s">
        <v>48</v>
      </c>
      <c r="I882" t="s">
        <v>61</v>
      </c>
      <c r="J882">
        <v>108939.35</v>
      </c>
      <c r="K882">
        <v>1546.55</v>
      </c>
      <c r="L882">
        <v>278.38</v>
      </c>
      <c r="M882">
        <v>452.4</v>
      </c>
      <c r="N882">
        <v>110311.88</v>
      </c>
      <c r="O882">
        <v>2078384.13</v>
      </c>
      <c r="P882">
        <v>879</v>
      </c>
      <c r="Q882" t="s">
        <v>53</v>
      </c>
      <c r="R882" t="s">
        <v>54</v>
      </c>
      <c r="S882" t="s">
        <v>62</v>
      </c>
      <c r="T882" t="s">
        <v>41</v>
      </c>
      <c r="U882" s="3">
        <f t="shared" si="13"/>
        <v>45901</v>
      </c>
    </row>
    <row r="883" spans="1:21" x14ac:dyDescent="0.35">
      <c r="A883" t="s">
        <v>2098</v>
      </c>
      <c r="B883" t="s">
        <v>208</v>
      </c>
      <c r="C883" t="s">
        <v>95</v>
      </c>
      <c r="D883" t="s">
        <v>2099</v>
      </c>
      <c r="E883" t="s">
        <v>37</v>
      </c>
      <c r="F883" t="s">
        <v>38</v>
      </c>
      <c r="G883" t="s">
        <v>103</v>
      </c>
      <c r="H883" t="s">
        <v>52</v>
      </c>
      <c r="I883" t="s">
        <v>61</v>
      </c>
      <c r="J883">
        <v>191026.4</v>
      </c>
      <c r="K883">
        <v>1432.37</v>
      </c>
      <c r="L883">
        <v>257.83</v>
      </c>
      <c r="M883">
        <v>162.02000000000001</v>
      </c>
      <c r="N883">
        <v>192554.58</v>
      </c>
      <c r="O883">
        <v>2083748.18</v>
      </c>
      <c r="P883">
        <v>850</v>
      </c>
      <c r="Q883" t="s">
        <v>29</v>
      </c>
      <c r="R883" t="s">
        <v>54</v>
      </c>
      <c r="S883" t="s">
        <v>86</v>
      </c>
      <c r="T883" t="s">
        <v>55</v>
      </c>
      <c r="U883" s="3">
        <f t="shared" si="13"/>
        <v>45931</v>
      </c>
    </row>
    <row r="884" spans="1:21" x14ac:dyDescent="0.35">
      <c r="A884" t="s">
        <v>2100</v>
      </c>
      <c r="B884" t="s">
        <v>264</v>
      </c>
      <c r="C884" t="s">
        <v>95</v>
      </c>
      <c r="D884" t="s">
        <v>2101</v>
      </c>
      <c r="E884" t="s">
        <v>24</v>
      </c>
      <c r="F884" t="s">
        <v>46</v>
      </c>
      <c r="G884" t="s">
        <v>60</v>
      </c>
      <c r="H884" t="s">
        <v>27</v>
      </c>
      <c r="I884" t="s">
        <v>28</v>
      </c>
      <c r="J884">
        <v>111796.03</v>
      </c>
      <c r="K884">
        <v>1324.58</v>
      </c>
      <c r="L884">
        <v>238.42</v>
      </c>
      <c r="M884">
        <v>7.76</v>
      </c>
      <c r="N884">
        <v>113351.27</v>
      </c>
      <c r="O884">
        <v>2087988.06</v>
      </c>
      <c r="P884">
        <v>509</v>
      </c>
      <c r="Q884" t="s">
        <v>74</v>
      </c>
      <c r="R884" t="s">
        <v>54</v>
      </c>
      <c r="S884" t="s">
        <v>31</v>
      </c>
      <c r="T884" t="s">
        <v>32</v>
      </c>
      <c r="U884" s="3">
        <f t="shared" si="13"/>
        <v>45992</v>
      </c>
    </row>
    <row r="885" spans="1:21" x14ac:dyDescent="0.35">
      <c r="A885" t="s">
        <v>2102</v>
      </c>
      <c r="B885" t="s">
        <v>131</v>
      </c>
      <c r="C885" t="s">
        <v>22</v>
      </c>
      <c r="D885" t="s">
        <v>1769</v>
      </c>
      <c r="E885" t="s">
        <v>70</v>
      </c>
      <c r="F885" t="s">
        <v>25</v>
      </c>
      <c r="G885" t="s">
        <v>26</v>
      </c>
      <c r="H885" t="s">
        <v>48</v>
      </c>
      <c r="I885" t="s">
        <v>28</v>
      </c>
      <c r="J885">
        <v>163073.06</v>
      </c>
      <c r="K885">
        <v>2211.34</v>
      </c>
      <c r="L885">
        <v>398.04</v>
      </c>
      <c r="M885">
        <v>463.14</v>
      </c>
      <c r="N885">
        <v>165219.29999999999</v>
      </c>
      <c r="O885">
        <v>2083018.4</v>
      </c>
      <c r="P885">
        <v>864</v>
      </c>
      <c r="Q885" t="s">
        <v>74</v>
      </c>
      <c r="R885" t="s">
        <v>75</v>
      </c>
      <c r="S885" t="s">
        <v>79</v>
      </c>
      <c r="T885" t="s">
        <v>41</v>
      </c>
      <c r="U885" s="3">
        <f t="shared" si="13"/>
        <v>45931</v>
      </c>
    </row>
    <row r="886" spans="1:21" x14ac:dyDescent="0.35">
      <c r="A886" t="s">
        <v>2103</v>
      </c>
      <c r="B886" t="s">
        <v>738</v>
      </c>
      <c r="C886" t="s">
        <v>22</v>
      </c>
      <c r="D886" t="s">
        <v>2104</v>
      </c>
      <c r="E886" t="s">
        <v>24</v>
      </c>
      <c r="F886" t="s">
        <v>46</v>
      </c>
      <c r="G886" t="s">
        <v>103</v>
      </c>
      <c r="H886" t="s">
        <v>48</v>
      </c>
      <c r="I886" t="s">
        <v>28</v>
      </c>
      <c r="J886">
        <v>124096.74</v>
      </c>
      <c r="K886">
        <v>553.08000000000004</v>
      </c>
      <c r="L886">
        <v>99.55</v>
      </c>
      <c r="M886">
        <v>282.67</v>
      </c>
      <c r="N886">
        <v>124466.7</v>
      </c>
      <c r="O886">
        <v>2089157.9</v>
      </c>
      <c r="P886">
        <v>325</v>
      </c>
      <c r="Q886" t="s">
        <v>74</v>
      </c>
      <c r="R886" t="s">
        <v>30</v>
      </c>
      <c r="S886" t="s">
        <v>79</v>
      </c>
      <c r="T886" t="s">
        <v>41</v>
      </c>
      <c r="U886" s="3">
        <f t="shared" si="13"/>
        <v>45748</v>
      </c>
    </row>
    <row r="887" spans="1:21" x14ac:dyDescent="0.35">
      <c r="A887" t="s">
        <v>2105</v>
      </c>
      <c r="B887" t="s">
        <v>2018</v>
      </c>
      <c r="C887" t="s">
        <v>35</v>
      </c>
      <c r="D887" t="s">
        <v>2106</v>
      </c>
      <c r="E887" t="s">
        <v>70</v>
      </c>
      <c r="F887" t="s">
        <v>38</v>
      </c>
      <c r="G887" t="s">
        <v>103</v>
      </c>
      <c r="H887" t="s">
        <v>48</v>
      </c>
      <c r="I887" t="s">
        <v>61</v>
      </c>
      <c r="J887">
        <v>39637.51</v>
      </c>
      <c r="K887">
        <v>621.79</v>
      </c>
      <c r="L887">
        <v>111.92</v>
      </c>
      <c r="M887">
        <v>346.66</v>
      </c>
      <c r="N887">
        <v>40024.559999999998</v>
      </c>
      <c r="O887">
        <v>2097128.02</v>
      </c>
      <c r="P887">
        <v>752</v>
      </c>
      <c r="Q887" t="s">
        <v>53</v>
      </c>
      <c r="R887" t="s">
        <v>30</v>
      </c>
      <c r="S887" t="s">
        <v>86</v>
      </c>
      <c r="T887" t="s">
        <v>55</v>
      </c>
      <c r="U887" s="3">
        <f t="shared" si="13"/>
        <v>45992</v>
      </c>
    </row>
    <row r="888" spans="1:21" x14ac:dyDescent="0.35">
      <c r="A888" t="s">
        <v>2107</v>
      </c>
      <c r="B888" t="s">
        <v>1105</v>
      </c>
      <c r="C888" t="s">
        <v>35</v>
      </c>
      <c r="D888" t="s">
        <v>2108</v>
      </c>
      <c r="E888" t="s">
        <v>24</v>
      </c>
      <c r="F888" t="s">
        <v>38</v>
      </c>
      <c r="G888" t="s">
        <v>60</v>
      </c>
      <c r="H888" t="s">
        <v>52</v>
      </c>
      <c r="I888" t="s">
        <v>28</v>
      </c>
      <c r="J888">
        <v>10677.86</v>
      </c>
      <c r="K888">
        <v>155.6</v>
      </c>
      <c r="L888">
        <v>28.01</v>
      </c>
      <c r="M888">
        <v>153.25</v>
      </c>
      <c r="N888">
        <v>10708.22</v>
      </c>
      <c r="O888">
        <v>2094542.11</v>
      </c>
      <c r="P888">
        <v>321</v>
      </c>
      <c r="Q888" t="s">
        <v>53</v>
      </c>
      <c r="R888" t="s">
        <v>54</v>
      </c>
      <c r="S888" t="s">
        <v>62</v>
      </c>
      <c r="T888" t="s">
        <v>41</v>
      </c>
      <c r="U888" s="3">
        <f t="shared" si="13"/>
        <v>45717</v>
      </c>
    </row>
    <row r="889" spans="1:21" x14ac:dyDescent="0.35">
      <c r="A889" t="s">
        <v>2109</v>
      </c>
      <c r="B889" t="s">
        <v>662</v>
      </c>
      <c r="C889" t="s">
        <v>22</v>
      </c>
      <c r="D889" t="s">
        <v>2110</v>
      </c>
      <c r="E889" t="s">
        <v>24</v>
      </c>
      <c r="F889" t="s">
        <v>59</v>
      </c>
      <c r="G889" t="s">
        <v>26</v>
      </c>
      <c r="H889" t="s">
        <v>39</v>
      </c>
      <c r="I889" t="s">
        <v>61</v>
      </c>
      <c r="J889">
        <v>61154.21</v>
      </c>
      <c r="K889">
        <v>1065.04</v>
      </c>
      <c r="L889">
        <v>191.71</v>
      </c>
      <c r="M889">
        <v>244.91</v>
      </c>
      <c r="N889">
        <v>62166.05</v>
      </c>
      <c r="O889">
        <v>2097137.27</v>
      </c>
      <c r="P889">
        <v>492</v>
      </c>
      <c r="Q889" t="s">
        <v>53</v>
      </c>
      <c r="R889" t="s">
        <v>30</v>
      </c>
      <c r="S889" t="s">
        <v>79</v>
      </c>
      <c r="T889" t="s">
        <v>32</v>
      </c>
      <c r="U889" s="3">
        <f t="shared" si="13"/>
        <v>45870</v>
      </c>
    </row>
    <row r="890" spans="1:21" x14ac:dyDescent="0.35">
      <c r="A890" t="s">
        <v>2111</v>
      </c>
      <c r="B890" t="s">
        <v>288</v>
      </c>
      <c r="C890" t="s">
        <v>22</v>
      </c>
      <c r="D890" t="s">
        <v>2112</v>
      </c>
      <c r="E890" t="s">
        <v>70</v>
      </c>
      <c r="F890" t="s">
        <v>25</v>
      </c>
      <c r="G890" t="s">
        <v>60</v>
      </c>
      <c r="H890" t="s">
        <v>39</v>
      </c>
      <c r="I890" t="s">
        <v>61</v>
      </c>
      <c r="J890">
        <v>28868.18</v>
      </c>
      <c r="K890">
        <v>189.18</v>
      </c>
      <c r="L890">
        <v>34.049999999999997</v>
      </c>
      <c r="M890">
        <v>216.16</v>
      </c>
      <c r="N890">
        <v>28875.25</v>
      </c>
      <c r="O890">
        <v>2104762.86</v>
      </c>
      <c r="P890">
        <v>779</v>
      </c>
      <c r="Q890" t="s">
        <v>74</v>
      </c>
      <c r="R890" t="s">
        <v>75</v>
      </c>
      <c r="S890" t="s">
        <v>86</v>
      </c>
      <c r="T890" t="s">
        <v>32</v>
      </c>
      <c r="U890" s="3">
        <f t="shared" si="13"/>
        <v>45809</v>
      </c>
    </row>
    <row r="891" spans="1:21" x14ac:dyDescent="0.35">
      <c r="A891" t="s">
        <v>2113</v>
      </c>
      <c r="B891" t="s">
        <v>1287</v>
      </c>
      <c r="C891" t="s">
        <v>95</v>
      </c>
      <c r="D891" t="s">
        <v>1962</v>
      </c>
      <c r="E891" t="s">
        <v>24</v>
      </c>
      <c r="F891" t="s">
        <v>59</v>
      </c>
      <c r="G891" t="s">
        <v>103</v>
      </c>
      <c r="H891" t="s">
        <v>66</v>
      </c>
      <c r="I891" t="s">
        <v>28</v>
      </c>
      <c r="J891">
        <v>31847.24</v>
      </c>
      <c r="K891">
        <v>485.99</v>
      </c>
      <c r="L891">
        <v>87.48</v>
      </c>
      <c r="M891">
        <v>460.33</v>
      </c>
      <c r="N891">
        <v>31960.38</v>
      </c>
      <c r="O891">
        <v>2105024.36</v>
      </c>
      <c r="P891">
        <v>459</v>
      </c>
      <c r="Q891" t="s">
        <v>74</v>
      </c>
      <c r="R891" t="s">
        <v>75</v>
      </c>
      <c r="S891" t="s">
        <v>31</v>
      </c>
      <c r="T891" t="s">
        <v>55</v>
      </c>
      <c r="U891" s="3">
        <f t="shared" si="13"/>
        <v>45992</v>
      </c>
    </row>
    <row r="892" spans="1:21" x14ac:dyDescent="0.35">
      <c r="A892" t="s">
        <v>2114</v>
      </c>
      <c r="B892" t="s">
        <v>499</v>
      </c>
      <c r="C892" t="s">
        <v>95</v>
      </c>
      <c r="D892" t="s">
        <v>2115</v>
      </c>
      <c r="E892" t="s">
        <v>45</v>
      </c>
      <c r="F892" t="s">
        <v>38</v>
      </c>
      <c r="G892" t="s">
        <v>103</v>
      </c>
      <c r="H892" t="s">
        <v>52</v>
      </c>
      <c r="I892" t="s">
        <v>40</v>
      </c>
      <c r="J892">
        <v>152378.59</v>
      </c>
      <c r="K892">
        <v>255.9</v>
      </c>
      <c r="L892">
        <v>46.06</v>
      </c>
      <c r="M892">
        <v>188.31</v>
      </c>
      <c r="N892">
        <v>152492.24</v>
      </c>
      <c r="O892">
        <v>2111123.38</v>
      </c>
      <c r="P892">
        <v>734</v>
      </c>
      <c r="Q892" t="s">
        <v>29</v>
      </c>
      <c r="R892" t="s">
        <v>75</v>
      </c>
      <c r="S892" t="s">
        <v>62</v>
      </c>
      <c r="T892" t="s">
        <v>32</v>
      </c>
      <c r="U892" s="3">
        <f t="shared" si="13"/>
        <v>45748</v>
      </c>
    </row>
    <row r="893" spans="1:21" x14ac:dyDescent="0.35">
      <c r="A893" t="s">
        <v>2116</v>
      </c>
      <c r="B893" t="s">
        <v>146</v>
      </c>
      <c r="C893" t="s">
        <v>95</v>
      </c>
      <c r="D893" t="s">
        <v>2117</v>
      </c>
      <c r="E893" t="s">
        <v>70</v>
      </c>
      <c r="F893" t="s">
        <v>25</v>
      </c>
      <c r="G893" t="s">
        <v>103</v>
      </c>
      <c r="H893" t="s">
        <v>27</v>
      </c>
      <c r="I893" t="s">
        <v>28</v>
      </c>
      <c r="J893">
        <v>33755.949999999997</v>
      </c>
      <c r="K893">
        <v>189</v>
      </c>
      <c r="L893">
        <v>34.020000000000003</v>
      </c>
      <c r="M893">
        <v>353.35</v>
      </c>
      <c r="N893">
        <v>33625.620000000003</v>
      </c>
      <c r="O893">
        <v>2115129.33</v>
      </c>
      <c r="P893">
        <v>306</v>
      </c>
      <c r="Q893" t="s">
        <v>53</v>
      </c>
      <c r="R893" t="s">
        <v>30</v>
      </c>
      <c r="S893" t="s">
        <v>79</v>
      </c>
      <c r="T893" t="s">
        <v>41</v>
      </c>
      <c r="U893" s="3">
        <f t="shared" si="13"/>
        <v>45870</v>
      </c>
    </row>
    <row r="894" spans="1:21" x14ac:dyDescent="0.35">
      <c r="A894" t="s">
        <v>2118</v>
      </c>
      <c r="B894" t="s">
        <v>509</v>
      </c>
      <c r="C894" t="s">
        <v>35</v>
      </c>
      <c r="D894" t="s">
        <v>2119</v>
      </c>
      <c r="E894" t="s">
        <v>45</v>
      </c>
      <c r="F894" t="s">
        <v>46</v>
      </c>
      <c r="G894" t="s">
        <v>47</v>
      </c>
      <c r="H894" t="s">
        <v>48</v>
      </c>
      <c r="I894" t="s">
        <v>61</v>
      </c>
      <c r="J894">
        <v>37857.22</v>
      </c>
      <c r="K894">
        <v>697.53</v>
      </c>
      <c r="L894">
        <v>125.56</v>
      </c>
      <c r="M894">
        <v>388.82</v>
      </c>
      <c r="N894">
        <v>38291.49</v>
      </c>
      <c r="O894">
        <v>2119147.71</v>
      </c>
      <c r="P894">
        <v>368</v>
      </c>
      <c r="Q894" t="s">
        <v>53</v>
      </c>
      <c r="R894" t="s">
        <v>54</v>
      </c>
      <c r="S894" t="s">
        <v>31</v>
      </c>
      <c r="T894" t="s">
        <v>55</v>
      </c>
      <c r="U894" s="3">
        <f t="shared" si="13"/>
        <v>45778</v>
      </c>
    </row>
    <row r="895" spans="1:21" x14ac:dyDescent="0.35">
      <c r="A895" t="s">
        <v>2120</v>
      </c>
      <c r="B895" t="s">
        <v>1360</v>
      </c>
      <c r="C895" t="s">
        <v>35</v>
      </c>
      <c r="D895" t="s">
        <v>2121</v>
      </c>
      <c r="E895" t="s">
        <v>70</v>
      </c>
      <c r="F895" t="s">
        <v>25</v>
      </c>
      <c r="G895" t="s">
        <v>60</v>
      </c>
      <c r="H895" t="s">
        <v>48</v>
      </c>
      <c r="I895" t="s">
        <v>61</v>
      </c>
      <c r="J895">
        <v>193406.4</v>
      </c>
      <c r="K895">
        <v>2127.6799999999998</v>
      </c>
      <c r="L895">
        <v>382.98</v>
      </c>
      <c r="M895">
        <v>193.62</v>
      </c>
      <c r="N895">
        <v>195723.44</v>
      </c>
      <c r="O895">
        <v>2120659.35</v>
      </c>
      <c r="P895">
        <v>742</v>
      </c>
      <c r="Q895" t="s">
        <v>29</v>
      </c>
      <c r="R895" t="s">
        <v>30</v>
      </c>
      <c r="S895" t="s">
        <v>86</v>
      </c>
      <c r="T895" t="s">
        <v>41</v>
      </c>
      <c r="U895" s="3">
        <f t="shared" si="13"/>
        <v>45778</v>
      </c>
    </row>
    <row r="896" spans="1:21" x14ac:dyDescent="0.35">
      <c r="A896" t="s">
        <v>2122</v>
      </c>
      <c r="B896" t="s">
        <v>1857</v>
      </c>
      <c r="C896" t="s">
        <v>95</v>
      </c>
      <c r="D896" t="s">
        <v>2123</v>
      </c>
      <c r="E896" t="s">
        <v>24</v>
      </c>
      <c r="F896" t="s">
        <v>59</v>
      </c>
      <c r="G896" t="s">
        <v>60</v>
      </c>
      <c r="H896" t="s">
        <v>48</v>
      </c>
      <c r="I896" t="s">
        <v>40</v>
      </c>
      <c r="J896">
        <v>82332.460000000006</v>
      </c>
      <c r="K896">
        <v>1522.69</v>
      </c>
      <c r="L896">
        <v>274.08</v>
      </c>
      <c r="M896">
        <v>35.020000000000003</v>
      </c>
      <c r="N896">
        <v>84094.21</v>
      </c>
      <c r="O896">
        <v>2127246</v>
      </c>
      <c r="P896">
        <v>365</v>
      </c>
      <c r="Q896" t="s">
        <v>29</v>
      </c>
      <c r="R896" t="s">
        <v>54</v>
      </c>
      <c r="S896" t="s">
        <v>86</v>
      </c>
      <c r="T896" t="s">
        <v>41</v>
      </c>
      <c r="U896" s="3">
        <f t="shared" si="13"/>
        <v>45901</v>
      </c>
    </row>
    <row r="897" spans="1:21" x14ac:dyDescent="0.35">
      <c r="A897" t="s">
        <v>2124</v>
      </c>
      <c r="B897" t="s">
        <v>914</v>
      </c>
      <c r="C897" t="s">
        <v>35</v>
      </c>
      <c r="D897" t="s">
        <v>2125</v>
      </c>
      <c r="E897" t="s">
        <v>70</v>
      </c>
      <c r="F897" t="s">
        <v>59</v>
      </c>
      <c r="G897" t="s">
        <v>60</v>
      </c>
      <c r="H897" t="s">
        <v>39</v>
      </c>
      <c r="I897" t="s">
        <v>40</v>
      </c>
      <c r="J897">
        <v>76702.649999999994</v>
      </c>
      <c r="K897">
        <v>170.5</v>
      </c>
      <c r="L897">
        <v>30.69</v>
      </c>
      <c r="M897">
        <v>294.94</v>
      </c>
      <c r="N897">
        <v>76608.899999999994</v>
      </c>
      <c r="O897">
        <v>2130558.58</v>
      </c>
      <c r="P897">
        <v>896</v>
      </c>
      <c r="Q897" t="s">
        <v>29</v>
      </c>
      <c r="R897" t="s">
        <v>30</v>
      </c>
      <c r="S897" t="s">
        <v>62</v>
      </c>
      <c r="T897" t="s">
        <v>41</v>
      </c>
      <c r="U897" s="3">
        <f t="shared" si="13"/>
        <v>45992</v>
      </c>
    </row>
    <row r="898" spans="1:21" x14ac:dyDescent="0.35">
      <c r="A898" t="s">
        <v>2126</v>
      </c>
      <c r="B898" t="s">
        <v>992</v>
      </c>
      <c r="C898" t="s">
        <v>95</v>
      </c>
      <c r="D898" t="s">
        <v>2127</v>
      </c>
      <c r="E898" t="s">
        <v>70</v>
      </c>
      <c r="F898" t="s">
        <v>25</v>
      </c>
      <c r="G898" t="s">
        <v>47</v>
      </c>
      <c r="H898" t="s">
        <v>52</v>
      </c>
      <c r="I898" t="s">
        <v>40</v>
      </c>
      <c r="J898">
        <v>53760.57</v>
      </c>
      <c r="K898">
        <v>692.82</v>
      </c>
      <c r="L898">
        <v>124.71</v>
      </c>
      <c r="M898">
        <v>330.22</v>
      </c>
      <c r="N898">
        <v>54247.88</v>
      </c>
      <c r="O898">
        <v>2137017.4</v>
      </c>
      <c r="P898">
        <v>845</v>
      </c>
      <c r="Q898" t="s">
        <v>74</v>
      </c>
      <c r="R898" t="s">
        <v>54</v>
      </c>
      <c r="S898" t="s">
        <v>86</v>
      </c>
      <c r="T898" t="s">
        <v>41</v>
      </c>
      <c r="U898" s="3">
        <f t="shared" si="13"/>
        <v>45962</v>
      </c>
    </row>
    <row r="899" spans="1:21" x14ac:dyDescent="0.35">
      <c r="A899" t="s">
        <v>2128</v>
      </c>
      <c r="B899" t="s">
        <v>276</v>
      </c>
      <c r="C899" t="s">
        <v>95</v>
      </c>
      <c r="D899" t="s">
        <v>2129</v>
      </c>
      <c r="E899" t="s">
        <v>37</v>
      </c>
      <c r="F899" t="s">
        <v>38</v>
      </c>
      <c r="G899" t="s">
        <v>103</v>
      </c>
      <c r="H899" t="s">
        <v>48</v>
      </c>
      <c r="I899" t="s">
        <v>40</v>
      </c>
      <c r="J899">
        <v>174457.61</v>
      </c>
      <c r="K899">
        <v>560.26</v>
      </c>
      <c r="L899">
        <v>100.85</v>
      </c>
      <c r="M899">
        <v>251.78</v>
      </c>
      <c r="N899">
        <v>174866.94</v>
      </c>
      <c r="O899">
        <v>2140400.63</v>
      </c>
      <c r="P899">
        <v>390</v>
      </c>
      <c r="Q899" t="s">
        <v>74</v>
      </c>
      <c r="R899" t="s">
        <v>30</v>
      </c>
      <c r="S899" t="s">
        <v>86</v>
      </c>
      <c r="T899" t="s">
        <v>55</v>
      </c>
      <c r="U899" s="3">
        <f t="shared" ref="U899:U962" si="14">DATE(YEAR(B899),MONTH(B899),1)</f>
        <v>45870</v>
      </c>
    </row>
    <row r="900" spans="1:21" x14ac:dyDescent="0.35">
      <c r="A900" t="s">
        <v>2130</v>
      </c>
      <c r="B900" t="s">
        <v>1336</v>
      </c>
      <c r="C900" t="s">
        <v>22</v>
      </c>
      <c r="D900" t="s">
        <v>2131</v>
      </c>
      <c r="E900" t="s">
        <v>24</v>
      </c>
      <c r="F900" t="s">
        <v>46</v>
      </c>
      <c r="G900" t="s">
        <v>26</v>
      </c>
      <c r="H900" t="s">
        <v>27</v>
      </c>
      <c r="I900" t="s">
        <v>28</v>
      </c>
      <c r="J900">
        <v>190894.96</v>
      </c>
      <c r="K900">
        <v>1612.56</v>
      </c>
      <c r="L900">
        <v>290.26</v>
      </c>
      <c r="M900">
        <v>179.28</v>
      </c>
      <c r="N900">
        <v>192618.5</v>
      </c>
      <c r="O900">
        <v>2136849.23</v>
      </c>
      <c r="P900">
        <v>522</v>
      </c>
      <c r="Q900" t="s">
        <v>53</v>
      </c>
      <c r="R900" t="s">
        <v>54</v>
      </c>
      <c r="S900" t="s">
        <v>31</v>
      </c>
      <c r="T900" t="s">
        <v>55</v>
      </c>
      <c r="U900" s="3">
        <f t="shared" si="14"/>
        <v>45809</v>
      </c>
    </row>
    <row r="901" spans="1:21" x14ac:dyDescent="0.35">
      <c r="A901" t="s">
        <v>2132</v>
      </c>
      <c r="B901" t="s">
        <v>512</v>
      </c>
      <c r="C901" t="s">
        <v>95</v>
      </c>
      <c r="D901" t="s">
        <v>2133</v>
      </c>
      <c r="E901" t="s">
        <v>37</v>
      </c>
      <c r="F901" t="s">
        <v>25</v>
      </c>
      <c r="G901" t="s">
        <v>47</v>
      </c>
      <c r="H901" t="s">
        <v>66</v>
      </c>
      <c r="I901" t="s">
        <v>40</v>
      </c>
      <c r="J901">
        <v>65976.850000000006</v>
      </c>
      <c r="K901">
        <v>1154.74</v>
      </c>
      <c r="L901">
        <v>207.85</v>
      </c>
      <c r="M901">
        <v>360.82</v>
      </c>
      <c r="N901">
        <v>66978.62</v>
      </c>
      <c r="O901">
        <v>2132910.11</v>
      </c>
      <c r="P901">
        <v>824</v>
      </c>
      <c r="Q901" t="s">
        <v>29</v>
      </c>
      <c r="R901" t="s">
        <v>54</v>
      </c>
      <c r="S901" t="s">
        <v>62</v>
      </c>
      <c r="T901" t="s">
        <v>55</v>
      </c>
      <c r="U901" s="3">
        <f t="shared" si="14"/>
        <v>45962</v>
      </c>
    </row>
    <row r="902" spans="1:21" x14ac:dyDescent="0.35">
      <c r="A902" t="s">
        <v>2134</v>
      </c>
      <c r="B902" t="s">
        <v>2135</v>
      </c>
      <c r="C902" t="s">
        <v>95</v>
      </c>
      <c r="D902" t="s">
        <v>2136</v>
      </c>
      <c r="E902" t="s">
        <v>45</v>
      </c>
      <c r="F902" t="s">
        <v>59</v>
      </c>
      <c r="G902" t="s">
        <v>60</v>
      </c>
      <c r="H902" t="s">
        <v>48</v>
      </c>
      <c r="I902" t="s">
        <v>40</v>
      </c>
      <c r="J902">
        <v>83676.7</v>
      </c>
      <c r="K902">
        <v>773.73</v>
      </c>
      <c r="L902">
        <v>139.27000000000001</v>
      </c>
      <c r="M902">
        <v>92.93</v>
      </c>
      <c r="N902">
        <v>84496.77</v>
      </c>
      <c r="O902">
        <v>2139100.9500000002</v>
      </c>
      <c r="P902">
        <v>634</v>
      </c>
      <c r="Q902" t="s">
        <v>74</v>
      </c>
      <c r="R902" t="s">
        <v>30</v>
      </c>
      <c r="S902" t="s">
        <v>86</v>
      </c>
      <c r="T902" t="s">
        <v>41</v>
      </c>
      <c r="U902" s="3">
        <f t="shared" si="14"/>
        <v>45717</v>
      </c>
    </row>
    <row r="903" spans="1:21" x14ac:dyDescent="0.35">
      <c r="A903" t="s">
        <v>2137</v>
      </c>
      <c r="B903" t="s">
        <v>178</v>
      </c>
      <c r="C903" t="s">
        <v>35</v>
      </c>
      <c r="D903" t="s">
        <v>2138</v>
      </c>
      <c r="E903" t="s">
        <v>70</v>
      </c>
      <c r="F903" t="s">
        <v>59</v>
      </c>
      <c r="G903" t="s">
        <v>60</v>
      </c>
      <c r="H903" t="s">
        <v>66</v>
      </c>
      <c r="I903" t="s">
        <v>40</v>
      </c>
      <c r="J903">
        <v>94306.3</v>
      </c>
      <c r="K903">
        <v>697.86</v>
      </c>
      <c r="L903">
        <v>125.61</v>
      </c>
      <c r="M903">
        <v>67.510000000000005</v>
      </c>
      <c r="N903">
        <v>95062.26</v>
      </c>
      <c r="O903">
        <v>2136018.42</v>
      </c>
      <c r="P903">
        <v>689</v>
      </c>
      <c r="Q903" t="s">
        <v>29</v>
      </c>
      <c r="R903" t="s">
        <v>75</v>
      </c>
      <c r="S903" t="s">
        <v>31</v>
      </c>
      <c r="T903" t="s">
        <v>32</v>
      </c>
      <c r="U903" s="3">
        <f t="shared" si="14"/>
        <v>45689</v>
      </c>
    </row>
    <row r="904" spans="1:21" x14ac:dyDescent="0.35">
      <c r="A904" t="s">
        <v>2139</v>
      </c>
      <c r="B904" t="s">
        <v>949</v>
      </c>
      <c r="C904" t="s">
        <v>35</v>
      </c>
      <c r="D904" t="s">
        <v>2140</v>
      </c>
      <c r="E904" t="s">
        <v>37</v>
      </c>
      <c r="F904" t="s">
        <v>38</v>
      </c>
      <c r="G904" t="s">
        <v>47</v>
      </c>
      <c r="H904" t="s">
        <v>27</v>
      </c>
      <c r="I904" t="s">
        <v>61</v>
      </c>
      <c r="J904">
        <v>96561.89</v>
      </c>
      <c r="K904">
        <v>227.95</v>
      </c>
      <c r="L904">
        <v>41.03</v>
      </c>
      <c r="M904">
        <v>54.37</v>
      </c>
      <c r="N904">
        <v>96776.5</v>
      </c>
      <c r="O904">
        <v>2135307.11</v>
      </c>
      <c r="P904">
        <v>549</v>
      </c>
      <c r="Q904" t="s">
        <v>29</v>
      </c>
      <c r="R904" t="s">
        <v>54</v>
      </c>
      <c r="S904" t="s">
        <v>79</v>
      </c>
      <c r="T904" t="s">
        <v>41</v>
      </c>
      <c r="U904" s="3">
        <f t="shared" si="14"/>
        <v>45658</v>
      </c>
    </row>
    <row r="905" spans="1:21" x14ac:dyDescent="0.35">
      <c r="A905" t="s">
        <v>2141</v>
      </c>
      <c r="B905" t="s">
        <v>1458</v>
      </c>
      <c r="C905" t="s">
        <v>35</v>
      </c>
      <c r="D905" t="s">
        <v>1780</v>
      </c>
      <c r="E905" t="s">
        <v>70</v>
      </c>
      <c r="F905" t="s">
        <v>25</v>
      </c>
      <c r="G905" t="s">
        <v>103</v>
      </c>
      <c r="H905" t="s">
        <v>52</v>
      </c>
      <c r="I905" t="s">
        <v>40</v>
      </c>
      <c r="J905">
        <v>20896.54</v>
      </c>
      <c r="K905">
        <v>62.45</v>
      </c>
      <c r="L905">
        <v>11.24</v>
      </c>
      <c r="M905">
        <v>321.85000000000002</v>
      </c>
      <c r="N905">
        <v>20648.38</v>
      </c>
      <c r="O905">
        <v>2142205.4500000002</v>
      </c>
      <c r="P905">
        <v>481</v>
      </c>
      <c r="Q905" t="s">
        <v>53</v>
      </c>
      <c r="R905" t="s">
        <v>30</v>
      </c>
      <c r="S905" t="s">
        <v>62</v>
      </c>
      <c r="T905" t="s">
        <v>32</v>
      </c>
      <c r="U905" s="3">
        <f t="shared" si="14"/>
        <v>45901</v>
      </c>
    </row>
    <row r="906" spans="1:21" x14ac:dyDescent="0.35">
      <c r="A906" t="s">
        <v>2142</v>
      </c>
      <c r="B906" t="s">
        <v>1473</v>
      </c>
      <c r="C906" t="s">
        <v>95</v>
      </c>
      <c r="D906" t="s">
        <v>2143</v>
      </c>
      <c r="E906" t="s">
        <v>37</v>
      </c>
      <c r="F906" t="s">
        <v>38</v>
      </c>
      <c r="G906" t="s">
        <v>26</v>
      </c>
      <c r="H906" t="s">
        <v>27</v>
      </c>
      <c r="I906" t="s">
        <v>40</v>
      </c>
      <c r="J906">
        <v>93664.23</v>
      </c>
      <c r="K906">
        <v>538.62</v>
      </c>
      <c r="L906">
        <v>96.95</v>
      </c>
      <c r="M906">
        <v>165.16</v>
      </c>
      <c r="N906">
        <v>94134.64</v>
      </c>
      <c r="O906">
        <v>2142605.13</v>
      </c>
      <c r="P906">
        <v>752</v>
      </c>
      <c r="Q906" t="s">
        <v>53</v>
      </c>
      <c r="R906" t="s">
        <v>75</v>
      </c>
      <c r="S906" t="s">
        <v>62</v>
      </c>
      <c r="T906" t="s">
        <v>32</v>
      </c>
      <c r="U906" s="3">
        <f t="shared" si="14"/>
        <v>45870</v>
      </c>
    </row>
    <row r="907" spans="1:21" x14ac:dyDescent="0.35">
      <c r="A907" t="s">
        <v>2144</v>
      </c>
      <c r="B907" t="s">
        <v>2145</v>
      </c>
      <c r="C907" t="s">
        <v>22</v>
      </c>
      <c r="D907" t="s">
        <v>2146</v>
      </c>
      <c r="E907" t="s">
        <v>24</v>
      </c>
      <c r="F907" t="s">
        <v>46</v>
      </c>
      <c r="G907" t="s">
        <v>60</v>
      </c>
      <c r="H907" t="s">
        <v>39</v>
      </c>
      <c r="I907" t="s">
        <v>28</v>
      </c>
      <c r="J907">
        <v>26216.93</v>
      </c>
      <c r="K907">
        <v>272.64999999999998</v>
      </c>
      <c r="L907">
        <v>49.08</v>
      </c>
      <c r="M907">
        <v>50.07</v>
      </c>
      <c r="N907">
        <v>26488.59</v>
      </c>
      <c r="O907">
        <v>2138143.77</v>
      </c>
      <c r="P907">
        <v>829</v>
      </c>
      <c r="Q907" t="s">
        <v>74</v>
      </c>
      <c r="R907" t="s">
        <v>30</v>
      </c>
      <c r="S907" t="s">
        <v>31</v>
      </c>
      <c r="T907" t="s">
        <v>41</v>
      </c>
      <c r="U907" s="3">
        <f t="shared" si="14"/>
        <v>45931</v>
      </c>
    </row>
    <row r="908" spans="1:21" x14ac:dyDescent="0.35">
      <c r="A908" t="s">
        <v>2147</v>
      </c>
      <c r="B908" t="s">
        <v>208</v>
      </c>
      <c r="C908" t="s">
        <v>35</v>
      </c>
      <c r="D908" t="s">
        <v>2148</v>
      </c>
      <c r="E908" t="s">
        <v>37</v>
      </c>
      <c r="F908" t="s">
        <v>59</v>
      </c>
      <c r="G908" t="s">
        <v>47</v>
      </c>
      <c r="H908" t="s">
        <v>52</v>
      </c>
      <c r="I908" t="s">
        <v>61</v>
      </c>
      <c r="J908">
        <v>51636.74</v>
      </c>
      <c r="K908">
        <v>526.5</v>
      </c>
      <c r="L908">
        <v>94.77</v>
      </c>
      <c r="M908">
        <v>150.08000000000001</v>
      </c>
      <c r="N908">
        <v>52107.93</v>
      </c>
      <c r="O908">
        <v>2145225.98</v>
      </c>
      <c r="P908">
        <v>422</v>
      </c>
      <c r="Q908" t="s">
        <v>29</v>
      </c>
      <c r="R908" t="s">
        <v>30</v>
      </c>
      <c r="S908" t="s">
        <v>62</v>
      </c>
      <c r="T908" t="s">
        <v>32</v>
      </c>
      <c r="U908" s="3">
        <f t="shared" si="14"/>
        <v>45931</v>
      </c>
    </row>
    <row r="909" spans="1:21" x14ac:dyDescent="0.35">
      <c r="A909" t="s">
        <v>2149</v>
      </c>
      <c r="B909" t="s">
        <v>471</v>
      </c>
      <c r="C909" t="s">
        <v>22</v>
      </c>
      <c r="D909" t="s">
        <v>2150</v>
      </c>
      <c r="E909" t="s">
        <v>37</v>
      </c>
      <c r="F909" t="s">
        <v>46</v>
      </c>
      <c r="G909" t="s">
        <v>47</v>
      </c>
      <c r="H909" t="s">
        <v>48</v>
      </c>
      <c r="I909" t="s">
        <v>40</v>
      </c>
      <c r="J909">
        <v>175765.74</v>
      </c>
      <c r="K909">
        <v>393.76</v>
      </c>
      <c r="L909">
        <v>70.88</v>
      </c>
      <c r="M909">
        <v>127.37</v>
      </c>
      <c r="N909">
        <v>176103.01</v>
      </c>
      <c r="O909">
        <v>2152920.62</v>
      </c>
      <c r="P909">
        <v>818</v>
      </c>
      <c r="Q909" t="s">
        <v>53</v>
      </c>
      <c r="R909" t="s">
        <v>75</v>
      </c>
      <c r="S909" t="s">
        <v>86</v>
      </c>
      <c r="T909" t="s">
        <v>55</v>
      </c>
      <c r="U909" s="3">
        <f t="shared" si="14"/>
        <v>45992</v>
      </c>
    </row>
    <row r="910" spans="1:21" x14ac:dyDescent="0.35">
      <c r="A910" t="s">
        <v>2151</v>
      </c>
      <c r="B910" t="s">
        <v>1468</v>
      </c>
      <c r="C910" t="s">
        <v>22</v>
      </c>
      <c r="D910" t="s">
        <v>2152</v>
      </c>
      <c r="E910" t="s">
        <v>37</v>
      </c>
      <c r="F910" t="s">
        <v>25</v>
      </c>
      <c r="G910" t="s">
        <v>60</v>
      </c>
      <c r="H910" t="s">
        <v>66</v>
      </c>
      <c r="I910" t="s">
        <v>40</v>
      </c>
      <c r="J910">
        <v>98014.75</v>
      </c>
      <c r="K910">
        <v>1001.67</v>
      </c>
      <c r="L910">
        <v>180.3</v>
      </c>
      <c r="M910">
        <v>36.76</v>
      </c>
      <c r="N910">
        <v>99159.96</v>
      </c>
      <c r="O910">
        <v>2152585.7200000002</v>
      </c>
      <c r="P910">
        <v>615</v>
      </c>
      <c r="Q910" t="s">
        <v>53</v>
      </c>
      <c r="R910" t="s">
        <v>54</v>
      </c>
      <c r="S910" t="s">
        <v>86</v>
      </c>
      <c r="T910" t="s">
        <v>32</v>
      </c>
      <c r="U910" s="3">
        <f t="shared" si="14"/>
        <v>45689</v>
      </c>
    </row>
    <row r="911" spans="1:21" x14ac:dyDescent="0.35">
      <c r="A911" t="s">
        <v>2153</v>
      </c>
      <c r="B911" t="s">
        <v>328</v>
      </c>
      <c r="C911" t="s">
        <v>95</v>
      </c>
      <c r="D911" t="s">
        <v>2154</v>
      </c>
      <c r="E911" t="s">
        <v>45</v>
      </c>
      <c r="F911" t="s">
        <v>38</v>
      </c>
      <c r="G911" t="s">
        <v>26</v>
      </c>
      <c r="H911" t="s">
        <v>52</v>
      </c>
      <c r="I911" t="s">
        <v>61</v>
      </c>
      <c r="J911">
        <v>19893.09</v>
      </c>
      <c r="K911">
        <v>128.79</v>
      </c>
      <c r="L911">
        <v>23.18</v>
      </c>
      <c r="M911">
        <v>291.95</v>
      </c>
      <c r="N911">
        <v>19753.11</v>
      </c>
      <c r="O911">
        <v>2159308.4500000002</v>
      </c>
      <c r="P911">
        <v>556</v>
      </c>
      <c r="Q911" t="s">
        <v>29</v>
      </c>
      <c r="R911" t="s">
        <v>75</v>
      </c>
      <c r="S911" t="s">
        <v>79</v>
      </c>
      <c r="T911" t="s">
        <v>41</v>
      </c>
      <c r="U911" s="3">
        <f t="shared" si="14"/>
        <v>45748</v>
      </c>
    </row>
    <row r="912" spans="1:21" x14ac:dyDescent="0.35">
      <c r="A912" t="s">
        <v>2155</v>
      </c>
      <c r="B912" t="s">
        <v>444</v>
      </c>
      <c r="C912" t="s">
        <v>95</v>
      </c>
      <c r="D912" t="s">
        <v>2156</v>
      </c>
      <c r="E912" t="s">
        <v>70</v>
      </c>
      <c r="F912" t="s">
        <v>38</v>
      </c>
      <c r="G912" t="s">
        <v>47</v>
      </c>
      <c r="H912" t="s">
        <v>27</v>
      </c>
      <c r="I912" t="s">
        <v>61</v>
      </c>
      <c r="J912">
        <v>42265.02</v>
      </c>
      <c r="K912">
        <v>289.45999999999998</v>
      </c>
      <c r="L912">
        <v>52.1</v>
      </c>
      <c r="M912">
        <v>409.83</v>
      </c>
      <c r="N912">
        <v>42196.75</v>
      </c>
      <c r="O912">
        <v>2163372.88</v>
      </c>
      <c r="P912">
        <v>505</v>
      </c>
      <c r="Q912" t="s">
        <v>53</v>
      </c>
      <c r="R912" t="s">
        <v>75</v>
      </c>
      <c r="S912" t="s">
        <v>31</v>
      </c>
      <c r="T912" t="s">
        <v>41</v>
      </c>
      <c r="U912" s="3">
        <f t="shared" si="14"/>
        <v>45962</v>
      </c>
    </row>
    <row r="913" spans="1:21" x14ac:dyDescent="0.35">
      <c r="A913" t="s">
        <v>2157</v>
      </c>
      <c r="B913" t="s">
        <v>88</v>
      </c>
      <c r="C913" t="s">
        <v>95</v>
      </c>
      <c r="D913" t="s">
        <v>2158</v>
      </c>
      <c r="E913" t="s">
        <v>24</v>
      </c>
      <c r="F913" t="s">
        <v>59</v>
      </c>
      <c r="G913" t="s">
        <v>60</v>
      </c>
      <c r="H913" t="s">
        <v>27</v>
      </c>
      <c r="I913" t="s">
        <v>28</v>
      </c>
      <c r="J913">
        <v>64613.51</v>
      </c>
      <c r="K913">
        <v>371.69</v>
      </c>
      <c r="L913">
        <v>66.900000000000006</v>
      </c>
      <c r="M913">
        <v>44.87</v>
      </c>
      <c r="N913">
        <v>65007.23</v>
      </c>
      <c r="O913">
        <v>2173364.88</v>
      </c>
      <c r="P913">
        <v>713</v>
      </c>
      <c r="Q913" t="s">
        <v>74</v>
      </c>
      <c r="R913" t="s">
        <v>30</v>
      </c>
      <c r="S913" t="s">
        <v>86</v>
      </c>
      <c r="T913" t="s">
        <v>32</v>
      </c>
      <c r="U913" s="3">
        <f t="shared" si="14"/>
        <v>45839</v>
      </c>
    </row>
    <row r="914" spans="1:21" x14ac:dyDescent="0.35">
      <c r="A914" t="s">
        <v>2159</v>
      </c>
      <c r="B914" t="s">
        <v>2160</v>
      </c>
      <c r="C914" t="s">
        <v>22</v>
      </c>
      <c r="D914" t="s">
        <v>2161</v>
      </c>
      <c r="E914" t="s">
        <v>70</v>
      </c>
      <c r="F914" t="s">
        <v>59</v>
      </c>
      <c r="G914" t="s">
        <v>26</v>
      </c>
      <c r="H914" t="s">
        <v>48</v>
      </c>
      <c r="I914" t="s">
        <v>40</v>
      </c>
      <c r="J914">
        <v>132473.25</v>
      </c>
      <c r="K914">
        <v>2069.3000000000002</v>
      </c>
      <c r="L914">
        <v>372.47</v>
      </c>
      <c r="M914">
        <v>220.26</v>
      </c>
      <c r="N914">
        <v>134694.76</v>
      </c>
      <c r="O914">
        <v>2175180.87</v>
      </c>
      <c r="P914">
        <v>392</v>
      </c>
      <c r="Q914" t="s">
        <v>74</v>
      </c>
      <c r="R914" t="s">
        <v>75</v>
      </c>
      <c r="S914" t="s">
        <v>62</v>
      </c>
      <c r="T914" t="s">
        <v>55</v>
      </c>
      <c r="U914" s="3">
        <f t="shared" si="14"/>
        <v>45901</v>
      </c>
    </row>
    <row r="915" spans="1:21" x14ac:dyDescent="0.35">
      <c r="A915" t="s">
        <v>2162</v>
      </c>
      <c r="B915" t="s">
        <v>388</v>
      </c>
      <c r="C915" t="s">
        <v>22</v>
      </c>
      <c r="D915" t="s">
        <v>2163</v>
      </c>
      <c r="E915" t="s">
        <v>24</v>
      </c>
      <c r="F915" t="s">
        <v>25</v>
      </c>
      <c r="G915" t="s">
        <v>60</v>
      </c>
      <c r="H915" t="s">
        <v>66</v>
      </c>
      <c r="I915" t="s">
        <v>40</v>
      </c>
      <c r="J915">
        <v>15444</v>
      </c>
      <c r="K915">
        <v>267.66000000000003</v>
      </c>
      <c r="L915">
        <v>48.18</v>
      </c>
      <c r="M915">
        <v>494.55</v>
      </c>
      <c r="N915">
        <v>15265.29</v>
      </c>
      <c r="O915">
        <v>2183762.1</v>
      </c>
      <c r="P915">
        <v>791</v>
      </c>
      <c r="Q915" t="s">
        <v>74</v>
      </c>
      <c r="R915" t="s">
        <v>54</v>
      </c>
      <c r="S915" t="s">
        <v>62</v>
      </c>
      <c r="T915" t="s">
        <v>55</v>
      </c>
      <c r="U915" s="3">
        <f t="shared" si="14"/>
        <v>45778</v>
      </c>
    </row>
    <row r="916" spans="1:21" x14ac:dyDescent="0.35">
      <c r="A916" t="s">
        <v>2164</v>
      </c>
      <c r="B916" t="s">
        <v>579</v>
      </c>
      <c r="C916" t="s">
        <v>95</v>
      </c>
      <c r="D916" t="s">
        <v>2165</v>
      </c>
      <c r="E916" t="s">
        <v>70</v>
      </c>
      <c r="F916" t="s">
        <v>25</v>
      </c>
      <c r="G916" t="s">
        <v>60</v>
      </c>
      <c r="H916" t="s">
        <v>27</v>
      </c>
      <c r="I916" t="s">
        <v>28</v>
      </c>
      <c r="J916">
        <v>190817.2</v>
      </c>
      <c r="K916">
        <v>1634.66</v>
      </c>
      <c r="L916">
        <v>294.24</v>
      </c>
      <c r="M916">
        <v>81.75</v>
      </c>
      <c r="N916">
        <v>192664.35</v>
      </c>
      <c r="O916">
        <v>2180878.7000000002</v>
      </c>
      <c r="P916">
        <v>836</v>
      </c>
      <c r="Q916" t="s">
        <v>29</v>
      </c>
      <c r="R916" t="s">
        <v>30</v>
      </c>
      <c r="S916" t="s">
        <v>31</v>
      </c>
      <c r="T916" t="s">
        <v>32</v>
      </c>
      <c r="U916" s="3">
        <f t="shared" si="14"/>
        <v>45658</v>
      </c>
    </row>
    <row r="917" spans="1:21" x14ac:dyDescent="0.35">
      <c r="A917" t="s">
        <v>2166</v>
      </c>
      <c r="B917" t="s">
        <v>844</v>
      </c>
      <c r="C917" t="s">
        <v>22</v>
      </c>
      <c r="D917" t="s">
        <v>2167</v>
      </c>
      <c r="E917" t="s">
        <v>45</v>
      </c>
      <c r="F917" t="s">
        <v>25</v>
      </c>
      <c r="G917" t="s">
        <v>26</v>
      </c>
      <c r="H917" t="s">
        <v>39</v>
      </c>
      <c r="I917" t="s">
        <v>40</v>
      </c>
      <c r="J917">
        <v>170171.1</v>
      </c>
      <c r="K917">
        <v>1796.38</v>
      </c>
      <c r="L917">
        <v>323.35000000000002</v>
      </c>
      <c r="M917">
        <v>53.86</v>
      </c>
      <c r="N917">
        <v>172236.97</v>
      </c>
      <c r="O917">
        <v>2188037.9</v>
      </c>
      <c r="P917">
        <v>312</v>
      </c>
      <c r="Q917" t="s">
        <v>74</v>
      </c>
      <c r="R917" t="s">
        <v>75</v>
      </c>
      <c r="S917" t="s">
        <v>31</v>
      </c>
      <c r="T917" t="s">
        <v>41</v>
      </c>
      <c r="U917" s="3">
        <f t="shared" si="14"/>
        <v>45992</v>
      </c>
    </row>
    <row r="918" spans="1:21" x14ac:dyDescent="0.35">
      <c r="A918" t="s">
        <v>2168</v>
      </c>
      <c r="B918" t="s">
        <v>790</v>
      </c>
      <c r="C918" t="s">
        <v>35</v>
      </c>
      <c r="D918" t="s">
        <v>2169</v>
      </c>
      <c r="E918" t="s">
        <v>70</v>
      </c>
      <c r="F918" t="s">
        <v>25</v>
      </c>
      <c r="G918" t="s">
        <v>26</v>
      </c>
      <c r="H918" t="s">
        <v>27</v>
      </c>
      <c r="I918" t="s">
        <v>61</v>
      </c>
      <c r="J918">
        <v>79054.52</v>
      </c>
      <c r="K918">
        <v>466.24</v>
      </c>
      <c r="L918">
        <v>83.92</v>
      </c>
      <c r="M918">
        <v>352.68</v>
      </c>
      <c r="N918">
        <v>79252</v>
      </c>
      <c r="O918">
        <v>2190142.3199999998</v>
      </c>
      <c r="P918">
        <v>476</v>
      </c>
      <c r="Q918" t="s">
        <v>29</v>
      </c>
      <c r="R918" t="s">
        <v>54</v>
      </c>
      <c r="S918" t="s">
        <v>31</v>
      </c>
      <c r="T918" t="s">
        <v>41</v>
      </c>
      <c r="U918" s="3">
        <f t="shared" si="14"/>
        <v>45717</v>
      </c>
    </row>
    <row r="919" spans="1:21" x14ac:dyDescent="0.35">
      <c r="A919" t="s">
        <v>2170</v>
      </c>
      <c r="B919" t="s">
        <v>576</v>
      </c>
      <c r="C919" t="s">
        <v>22</v>
      </c>
      <c r="D919" t="s">
        <v>2171</v>
      </c>
      <c r="E919" t="s">
        <v>37</v>
      </c>
      <c r="F919" t="s">
        <v>38</v>
      </c>
      <c r="G919" t="s">
        <v>26</v>
      </c>
      <c r="H919" t="s">
        <v>27</v>
      </c>
      <c r="I919" t="s">
        <v>28</v>
      </c>
      <c r="J919">
        <v>198542.49</v>
      </c>
      <c r="K919">
        <v>2016.67</v>
      </c>
      <c r="L919">
        <v>363</v>
      </c>
      <c r="M919">
        <v>386.13</v>
      </c>
      <c r="N919">
        <v>200536.03</v>
      </c>
      <c r="O919">
        <v>2194903.2200000002</v>
      </c>
      <c r="P919">
        <v>767</v>
      </c>
      <c r="Q919" t="s">
        <v>29</v>
      </c>
      <c r="R919" t="s">
        <v>54</v>
      </c>
      <c r="S919" t="s">
        <v>86</v>
      </c>
      <c r="T919" t="s">
        <v>32</v>
      </c>
      <c r="U919" s="3">
        <f t="shared" si="14"/>
        <v>45689</v>
      </c>
    </row>
    <row r="920" spans="1:21" x14ac:dyDescent="0.35">
      <c r="A920" t="s">
        <v>2172</v>
      </c>
      <c r="B920" t="s">
        <v>1468</v>
      </c>
      <c r="C920" t="s">
        <v>35</v>
      </c>
      <c r="D920" t="s">
        <v>2173</v>
      </c>
      <c r="E920" t="s">
        <v>37</v>
      </c>
      <c r="F920" t="s">
        <v>46</v>
      </c>
      <c r="G920" t="s">
        <v>47</v>
      </c>
      <c r="H920" t="s">
        <v>27</v>
      </c>
      <c r="I920" t="s">
        <v>61</v>
      </c>
      <c r="J920">
        <v>31989.37</v>
      </c>
      <c r="K920">
        <v>469.41</v>
      </c>
      <c r="L920">
        <v>84.49</v>
      </c>
      <c r="M920">
        <v>38.81</v>
      </c>
      <c r="N920">
        <v>32504.46</v>
      </c>
      <c r="O920">
        <v>2197408.7000000002</v>
      </c>
      <c r="P920">
        <v>622</v>
      </c>
      <c r="Q920" t="s">
        <v>53</v>
      </c>
      <c r="R920" t="s">
        <v>30</v>
      </c>
      <c r="S920" t="s">
        <v>86</v>
      </c>
      <c r="T920" t="s">
        <v>41</v>
      </c>
      <c r="U920" s="3">
        <f t="shared" si="14"/>
        <v>45689</v>
      </c>
    </row>
    <row r="921" spans="1:21" x14ac:dyDescent="0.35">
      <c r="A921" t="s">
        <v>2174</v>
      </c>
      <c r="B921" t="s">
        <v>981</v>
      </c>
      <c r="C921" t="s">
        <v>35</v>
      </c>
      <c r="D921" t="s">
        <v>2175</v>
      </c>
      <c r="E921" t="s">
        <v>70</v>
      </c>
      <c r="F921" t="s">
        <v>59</v>
      </c>
      <c r="G921" t="s">
        <v>47</v>
      </c>
      <c r="H921" t="s">
        <v>66</v>
      </c>
      <c r="I921" t="s">
        <v>40</v>
      </c>
      <c r="J921">
        <v>74074.38</v>
      </c>
      <c r="K921">
        <v>1138.72</v>
      </c>
      <c r="L921">
        <v>204.97</v>
      </c>
      <c r="M921">
        <v>254.49</v>
      </c>
      <c r="N921">
        <v>75163.58</v>
      </c>
      <c r="O921">
        <v>2201010.85</v>
      </c>
      <c r="P921">
        <v>829</v>
      </c>
      <c r="Q921" t="s">
        <v>29</v>
      </c>
      <c r="R921" t="s">
        <v>54</v>
      </c>
      <c r="S921" t="s">
        <v>31</v>
      </c>
      <c r="T921" t="s">
        <v>41</v>
      </c>
      <c r="U921" s="3">
        <f t="shared" si="14"/>
        <v>45962</v>
      </c>
    </row>
    <row r="922" spans="1:21" x14ac:dyDescent="0.35">
      <c r="A922" t="s">
        <v>2176</v>
      </c>
      <c r="B922" t="s">
        <v>1333</v>
      </c>
      <c r="C922" t="s">
        <v>35</v>
      </c>
      <c r="D922" t="s">
        <v>2177</v>
      </c>
      <c r="E922" t="s">
        <v>45</v>
      </c>
      <c r="F922" t="s">
        <v>25</v>
      </c>
      <c r="G922" t="s">
        <v>103</v>
      </c>
      <c r="H922" t="s">
        <v>52</v>
      </c>
      <c r="I922" t="s">
        <v>40</v>
      </c>
      <c r="J922">
        <v>139668.4</v>
      </c>
      <c r="K922">
        <v>1553.28</v>
      </c>
      <c r="L922">
        <v>279.58999999999997</v>
      </c>
      <c r="M922">
        <v>212.78</v>
      </c>
      <c r="N922">
        <v>141288.49</v>
      </c>
      <c r="O922">
        <v>2200562.4900000002</v>
      </c>
      <c r="P922">
        <v>327</v>
      </c>
      <c r="Q922" t="s">
        <v>29</v>
      </c>
      <c r="R922" t="s">
        <v>30</v>
      </c>
      <c r="S922" t="s">
        <v>62</v>
      </c>
      <c r="T922" t="s">
        <v>41</v>
      </c>
      <c r="U922" s="3">
        <f t="shared" si="14"/>
        <v>45962</v>
      </c>
    </row>
    <row r="923" spans="1:21" x14ac:dyDescent="0.35">
      <c r="A923" t="s">
        <v>2178</v>
      </c>
      <c r="B923" t="s">
        <v>1206</v>
      </c>
      <c r="C923" t="s">
        <v>22</v>
      </c>
      <c r="D923" t="s">
        <v>1265</v>
      </c>
      <c r="E923" t="s">
        <v>70</v>
      </c>
      <c r="F923" t="s">
        <v>59</v>
      </c>
      <c r="G923" t="s">
        <v>60</v>
      </c>
      <c r="H923" t="s">
        <v>48</v>
      </c>
      <c r="I923" t="s">
        <v>61</v>
      </c>
      <c r="J923">
        <v>117119.98</v>
      </c>
      <c r="K923">
        <v>2109.4299999999998</v>
      </c>
      <c r="L923">
        <v>379.7</v>
      </c>
      <c r="M923">
        <v>238.01</v>
      </c>
      <c r="N923">
        <v>119371.1</v>
      </c>
      <c r="O923">
        <v>2205133.4500000002</v>
      </c>
      <c r="P923">
        <v>400</v>
      </c>
      <c r="Q923" t="s">
        <v>29</v>
      </c>
      <c r="R923" t="s">
        <v>54</v>
      </c>
      <c r="S923" t="s">
        <v>62</v>
      </c>
      <c r="T923" t="s">
        <v>41</v>
      </c>
      <c r="U923" s="3">
        <f t="shared" si="14"/>
        <v>45931</v>
      </c>
    </row>
    <row r="924" spans="1:21" x14ac:dyDescent="0.35">
      <c r="A924" t="s">
        <v>2179</v>
      </c>
      <c r="B924" t="s">
        <v>761</v>
      </c>
      <c r="C924" t="s">
        <v>22</v>
      </c>
      <c r="D924" t="s">
        <v>2180</v>
      </c>
      <c r="E924" t="s">
        <v>37</v>
      </c>
      <c r="F924" t="s">
        <v>46</v>
      </c>
      <c r="G924" t="s">
        <v>47</v>
      </c>
      <c r="H924" t="s">
        <v>39</v>
      </c>
      <c r="I924" t="s">
        <v>40</v>
      </c>
      <c r="J924">
        <v>154581</v>
      </c>
      <c r="K924">
        <v>458.68</v>
      </c>
      <c r="L924">
        <v>82.56</v>
      </c>
      <c r="M924">
        <v>277.64</v>
      </c>
      <c r="N924">
        <v>154844.6</v>
      </c>
      <c r="O924">
        <v>2213893.84</v>
      </c>
      <c r="P924">
        <v>560</v>
      </c>
      <c r="Q924" t="s">
        <v>74</v>
      </c>
      <c r="R924" t="s">
        <v>30</v>
      </c>
      <c r="S924" t="s">
        <v>31</v>
      </c>
      <c r="T924" t="s">
        <v>55</v>
      </c>
      <c r="U924" s="3">
        <f t="shared" si="14"/>
        <v>45658</v>
      </c>
    </row>
    <row r="925" spans="1:21" x14ac:dyDescent="0.35">
      <c r="A925" t="s">
        <v>2181</v>
      </c>
      <c r="B925" t="s">
        <v>264</v>
      </c>
      <c r="C925" t="s">
        <v>95</v>
      </c>
      <c r="D925" t="s">
        <v>2182</v>
      </c>
      <c r="E925" t="s">
        <v>45</v>
      </c>
      <c r="F925" t="s">
        <v>38</v>
      </c>
      <c r="G925" t="s">
        <v>47</v>
      </c>
      <c r="H925" t="s">
        <v>52</v>
      </c>
      <c r="I925" t="s">
        <v>61</v>
      </c>
      <c r="J925">
        <v>60933.279999999999</v>
      </c>
      <c r="K925">
        <v>885.52</v>
      </c>
      <c r="L925">
        <v>159.38999999999999</v>
      </c>
      <c r="M925">
        <v>411</v>
      </c>
      <c r="N925">
        <v>61567.19</v>
      </c>
      <c r="O925">
        <v>2215666.7999999998</v>
      </c>
      <c r="P925">
        <v>465</v>
      </c>
      <c r="Q925" t="s">
        <v>53</v>
      </c>
      <c r="R925" t="s">
        <v>30</v>
      </c>
      <c r="S925" t="s">
        <v>31</v>
      </c>
      <c r="T925" t="s">
        <v>32</v>
      </c>
      <c r="U925" s="3">
        <f t="shared" si="14"/>
        <v>45992</v>
      </c>
    </row>
    <row r="926" spans="1:21" x14ac:dyDescent="0.35">
      <c r="A926" t="s">
        <v>2183</v>
      </c>
      <c r="B926" t="s">
        <v>1426</v>
      </c>
      <c r="C926" t="s">
        <v>22</v>
      </c>
      <c r="D926" t="s">
        <v>2184</v>
      </c>
      <c r="E926" t="s">
        <v>37</v>
      </c>
      <c r="F926" t="s">
        <v>25</v>
      </c>
      <c r="G926" t="s">
        <v>60</v>
      </c>
      <c r="H926" t="s">
        <v>52</v>
      </c>
      <c r="I926" t="s">
        <v>28</v>
      </c>
      <c r="J926">
        <v>52130.52</v>
      </c>
      <c r="K926">
        <v>343.86</v>
      </c>
      <c r="L926">
        <v>61.89</v>
      </c>
      <c r="M926">
        <v>219.22</v>
      </c>
      <c r="N926">
        <v>52317.05</v>
      </c>
      <c r="O926">
        <v>2212443.83</v>
      </c>
      <c r="P926">
        <v>799</v>
      </c>
      <c r="Q926" t="s">
        <v>29</v>
      </c>
      <c r="R926" t="s">
        <v>75</v>
      </c>
      <c r="S926" t="s">
        <v>31</v>
      </c>
      <c r="T926" t="s">
        <v>55</v>
      </c>
      <c r="U926" s="3">
        <f t="shared" si="14"/>
        <v>45658</v>
      </c>
    </row>
    <row r="927" spans="1:21" x14ac:dyDescent="0.35">
      <c r="A927" t="s">
        <v>2185</v>
      </c>
      <c r="B927" t="s">
        <v>1092</v>
      </c>
      <c r="C927" t="s">
        <v>95</v>
      </c>
      <c r="D927" t="s">
        <v>2186</v>
      </c>
      <c r="E927" t="s">
        <v>70</v>
      </c>
      <c r="F927" t="s">
        <v>25</v>
      </c>
      <c r="G927" t="s">
        <v>103</v>
      </c>
      <c r="H927" t="s">
        <v>48</v>
      </c>
      <c r="I927" t="s">
        <v>28</v>
      </c>
      <c r="J927">
        <v>78587.679999999993</v>
      </c>
      <c r="K927">
        <v>1227.25</v>
      </c>
      <c r="L927">
        <v>220.91</v>
      </c>
      <c r="M927">
        <v>80.87</v>
      </c>
      <c r="N927">
        <v>79954.97</v>
      </c>
      <c r="O927">
        <v>2217482.79</v>
      </c>
      <c r="P927">
        <v>646</v>
      </c>
      <c r="Q927" t="s">
        <v>29</v>
      </c>
      <c r="R927" t="s">
        <v>75</v>
      </c>
      <c r="S927" t="s">
        <v>62</v>
      </c>
      <c r="T927" t="s">
        <v>55</v>
      </c>
      <c r="U927" s="3">
        <f t="shared" si="14"/>
        <v>45748</v>
      </c>
    </row>
    <row r="928" spans="1:21" x14ac:dyDescent="0.35">
      <c r="A928" t="s">
        <v>2187</v>
      </c>
      <c r="B928" t="s">
        <v>638</v>
      </c>
      <c r="C928" t="s">
        <v>35</v>
      </c>
      <c r="D928" t="s">
        <v>2188</v>
      </c>
      <c r="E928" t="s">
        <v>70</v>
      </c>
      <c r="F928" t="s">
        <v>59</v>
      </c>
      <c r="G928" t="s">
        <v>60</v>
      </c>
      <c r="H928" t="s">
        <v>48</v>
      </c>
      <c r="I928" t="s">
        <v>40</v>
      </c>
      <c r="J928">
        <v>61800.87</v>
      </c>
      <c r="K928">
        <v>855.73</v>
      </c>
      <c r="L928">
        <v>154.03</v>
      </c>
      <c r="M928">
        <v>399.88</v>
      </c>
      <c r="N928">
        <v>62410.75</v>
      </c>
      <c r="O928">
        <v>2223519.2200000002</v>
      </c>
      <c r="P928">
        <v>731</v>
      </c>
      <c r="Q928" t="s">
        <v>74</v>
      </c>
      <c r="R928" t="s">
        <v>30</v>
      </c>
      <c r="S928" t="s">
        <v>62</v>
      </c>
      <c r="T928" t="s">
        <v>55</v>
      </c>
      <c r="U928" s="3">
        <f t="shared" si="14"/>
        <v>45778</v>
      </c>
    </row>
    <row r="929" spans="1:21" x14ac:dyDescent="0.35">
      <c r="A929" t="s">
        <v>2189</v>
      </c>
      <c r="B929" t="s">
        <v>2190</v>
      </c>
      <c r="C929" t="s">
        <v>22</v>
      </c>
      <c r="D929" t="s">
        <v>2191</v>
      </c>
      <c r="E929" t="s">
        <v>37</v>
      </c>
      <c r="F929" t="s">
        <v>25</v>
      </c>
      <c r="G929" t="s">
        <v>103</v>
      </c>
      <c r="H929" t="s">
        <v>52</v>
      </c>
      <c r="I929" t="s">
        <v>40</v>
      </c>
      <c r="J929">
        <v>82190.61</v>
      </c>
      <c r="K929">
        <v>707.95</v>
      </c>
      <c r="L929">
        <v>127.43</v>
      </c>
      <c r="M929">
        <v>84.56</v>
      </c>
      <c r="N929">
        <v>82941.429999999993</v>
      </c>
      <c r="O929">
        <v>2222897.3199999998</v>
      </c>
      <c r="P929">
        <v>452</v>
      </c>
      <c r="Q929" t="s">
        <v>74</v>
      </c>
      <c r="R929" t="s">
        <v>75</v>
      </c>
      <c r="S929" t="s">
        <v>31</v>
      </c>
      <c r="T929" t="s">
        <v>41</v>
      </c>
      <c r="U929" s="3">
        <f t="shared" si="14"/>
        <v>45717</v>
      </c>
    </row>
    <row r="930" spans="1:21" x14ac:dyDescent="0.35">
      <c r="A930" t="s">
        <v>2192</v>
      </c>
      <c r="B930" t="s">
        <v>834</v>
      </c>
      <c r="C930" t="s">
        <v>22</v>
      </c>
      <c r="D930" t="s">
        <v>2193</v>
      </c>
      <c r="E930" t="s">
        <v>70</v>
      </c>
      <c r="F930" t="s">
        <v>59</v>
      </c>
      <c r="G930" t="s">
        <v>26</v>
      </c>
      <c r="H930" t="s">
        <v>48</v>
      </c>
      <c r="I930" t="s">
        <v>61</v>
      </c>
      <c r="J930">
        <v>32097.69</v>
      </c>
      <c r="K930">
        <v>166.93</v>
      </c>
      <c r="L930">
        <v>30.05</v>
      </c>
      <c r="M930">
        <v>21.73</v>
      </c>
      <c r="N930">
        <v>32272.94</v>
      </c>
      <c r="O930">
        <v>2225199.14</v>
      </c>
      <c r="P930">
        <v>492</v>
      </c>
      <c r="Q930" t="s">
        <v>29</v>
      </c>
      <c r="R930" t="s">
        <v>54</v>
      </c>
      <c r="S930" t="s">
        <v>31</v>
      </c>
      <c r="T930" t="s">
        <v>55</v>
      </c>
      <c r="U930" s="3">
        <f t="shared" si="14"/>
        <v>45689</v>
      </c>
    </row>
    <row r="931" spans="1:21" x14ac:dyDescent="0.35">
      <c r="A931" t="s">
        <v>2194</v>
      </c>
      <c r="B931" t="s">
        <v>34</v>
      </c>
      <c r="C931" t="s">
        <v>22</v>
      </c>
      <c r="D931" t="s">
        <v>2195</v>
      </c>
      <c r="E931" t="s">
        <v>45</v>
      </c>
      <c r="F931" t="s">
        <v>38</v>
      </c>
      <c r="G931" t="s">
        <v>103</v>
      </c>
      <c r="H931" t="s">
        <v>66</v>
      </c>
      <c r="I931" t="s">
        <v>61</v>
      </c>
      <c r="J931">
        <v>76345.03</v>
      </c>
      <c r="K931">
        <v>1479.58</v>
      </c>
      <c r="L931">
        <v>266.32</v>
      </c>
      <c r="M931">
        <v>211.01</v>
      </c>
      <c r="N931">
        <v>77879.92</v>
      </c>
      <c r="O931">
        <v>2232822.19</v>
      </c>
      <c r="P931">
        <v>675</v>
      </c>
      <c r="Q931" t="s">
        <v>29</v>
      </c>
      <c r="R931" t="s">
        <v>75</v>
      </c>
      <c r="S931" t="s">
        <v>31</v>
      </c>
      <c r="T931" t="s">
        <v>32</v>
      </c>
      <c r="U931" s="3">
        <f t="shared" si="14"/>
        <v>45962</v>
      </c>
    </row>
    <row r="932" spans="1:21" x14ac:dyDescent="0.35">
      <c r="A932" t="s">
        <v>2196</v>
      </c>
      <c r="B932" t="s">
        <v>193</v>
      </c>
      <c r="C932" t="s">
        <v>22</v>
      </c>
      <c r="D932" t="s">
        <v>2197</v>
      </c>
      <c r="E932" t="s">
        <v>70</v>
      </c>
      <c r="F932" t="s">
        <v>25</v>
      </c>
      <c r="G932" t="s">
        <v>26</v>
      </c>
      <c r="H932" t="s">
        <v>52</v>
      </c>
      <c r="I932" t="s">
        <v>40</v>
      </c>
      <c r="J932">
        <v>157353.71</v>
      </c>
      <c r="K932">
        <v>272.69</v>
      </c>
      <c r="L932">
        <v>49.08</v>
      </c>
      <c r="M932">
        <v>247.68</v>
      </c>
      <c r="N932">
        <v>157427.79999999999</v>
      </c>
      <c r="O932">
        <v>2235901.83</v>
      </c>
      <c r="P932">
        <v>570</v>
      </c>
      <c r="Q932" t="s">
        <v>29</v>
      </c>
      <c r="R932" t="s">
        <v>75</v>
      </c>
      <c r="S932" t="s">
        <v>79</v>
      </c>
      <c r="T932" t="s">
        <v>41</v>
      </c>
      <c r="U932" s="3">
        <f t="shared" si="14"/>
        <v>45689</v>
      </c>
    </row>
    <row r="933" spans="1:21" x14ac:dyDescent="0.35">
      <c r="A933" t="s">
        <v>2198</v>
      </c>
      <c r="B933" t="s">
        <v>2199</v>
      </c>
      <c r="C933" t="s">
        <v>35</v>
      </c>
      <c r="D933" t="s">
        <v>2200</v>
      </c>
      <c r="E933" t="s">
        <v>45</v>
      </c>
      <c r="F933" t="s">
        <v>59</v>
      </c>
      <c r="G933" t="s">
        <v>60</v>
      </c>
      <c r="H933" t="s">
        <v>27</v>
      </c>
      <c r="I933" t="s">
        <v>61</v>
      </c>
      <c r="J933">
        <v>9822.02</v>
      </c>
      <c r="K933">
        <v>22.64</v>
      </c>
      <c r="L933">
        <v>4.08</v>
      </c>
      <c r="M933">
        <v>179.71</v>
      </c>
      <c r="N933">
        <v>9669.0300000000007</v>
      </c>
      <c r="O933">
        <v>2239800.5499999998</v>
      </c>
      <c r="P933">
        <v>694</v>
      </c>
      <c r="Q933" t="s">
        <v>29</v>
      </c>
      <c r="R933" t="s">
        <v>30</v>
      </c>
      <c r="S933" t="s">
        <v>86</v>
      </c>
      <c r="T933" t="s">
        <v>55</v>
      </c>
      <c r="U933" s="3">
        <f t="shared" si="14"/>
        <v>45870</v>
      </c>
    </row>
    <row r="934" spans="1:21" x14ac:dyDescent="0.35">
      <c r="A934" t="s">
        <v>2201</v>
      </c>
      <c r="B934" t="s">
        <v>859</v>
      </c>
      <c r="C934" t="s">
        <v>35</v>
      </c>
      <c r="D934" t="s">
        <v>2202</v>
      </c>
      <c r="E934" t="s">
        <v>24</v>
      </c>
      <c r="F934" t="s">
        <v>25</v>
      </c>
      <c r="G934" t="s">
        <v>47</v>
      </c>
      <c r="H934" t="s">
        <v>48</v>
      </c>
      <c r="I934" t="s">
        <v>61</v>
      </c>
      <c r="J934">
        <v>104968.5</v>
      </c>
      <c r="K934">
        <v>1433.54</v>
      </c>
      <c r="L934">
        <v>258.04000000000002</v>
      </c>
      <c r="M934">
        <v>448.53</v>
      </c>
      <c r="N934">
        <v>106211.55</v>
      </c>
      <c r="O934">
        <v>2240750.7000000002</v>
      </c>
      <c r="P934">
        <v>605</v>
      </c>
      <c r="Q934" t="s">
        <v>53</v>
      </c>
      <c r="R934" t="s">
        <v>30</v>
      </c>
      <c r="S934" t="s">
        <v>31</v>
      </c>
      <c r="T934" t="s">
        <v>41</v>
      </c>
      <c r="U934" s="3">
        <f t="shared" si="14"/>
        <v>45658</v>
      </c>
    </row>
    <row r="935" spans="1:21" x14ac:dyDescent="0.35">
      <c r="A935" t="s">
        <v>2203</v>
      </c>
      <c r="B935" t="s">
        <v>1827</v>
      </c>
      <c r="C935" t="s">
        <v>95</v>
      </c>
      <c r="D935" t="s">
        <v>2204</v>
      </c>
      <c r="E935" t="s">
        <v>45</v>
      </c>
      <c r="F935" t="s">
        <v>46</v>
      </c>
      <c r="G935" t="s">
        <v>26</v>
      </c>
      <c r="H935" t="s">
        <v>66</v>
      </c>
      <c r="I935" t="s">
        <v>28</v>
      </c>
      <c r="J935">
        <v>190094.09</v>
      </c>
      <c r="K935">
        <v>1702.26</v>
      </c>
      <c r="L935">
        <v>306.41000000000003</v>
      </c>
      <c r="M935">
        <v>201.34</v>
      </c>
      <c r="N935">
        <v>191901.42</v>
      </c>
      <c r="O935">
        <v>2244808.66</v>
      </c>
      <c r="P935">
        <v>550</v>
      </c>
      <c r="Q935" t="s">
        <v>53</v>
      </c>
      <c r="R935" t="s">
        <v>54</v>
      </c>
      <c r="S935" t="s">
        <v>86</v>
      </c>
      <c r="T935" t="s">
        <v>55</v>
      </c>
      <c r="U935" s="3">
        <f t="shared" si="14"/>
        <v>45689</v>
      </c>
    </row>
    <row r="936" spans="1:21" x14ac:dyDescent="0.35">
      <c r="A936" t="s">
        <v>2205</v>
      </c>
      <c r="B936" t="s">
        <v>558</v>
      </c>
      <c r="C936" t="s">
        <v>95</v>
      </c>
      <c r="D936" t="s">
        <v>2206</v>
      </c>
      <c r="E936" t="s">
        <v>37</v>
      </c>
      <c r="F936" t="s">
        <v>25</v>
      </c>
      <c r="G936" t="s">
        <v>60</v>
      </c>
      <c r="H936" t="s">
        <v>27</v>
      </c>
      <c r="I936" t="s">
        <v>61</v>
      </c>
      <c r="J936">
        <v>35211.01</v>
      </c>
      <c r="K936">
        <v>192.87</v>
      </c>
      <c r="L936">
        <v>34.72</v>
      </c>
      <c r="M936">
        <v>106.25</v>
      </c>
      <c r="N936">
        <v>35332.35</v>
      </c>
      <c r="O936">
        <v>2253485.63</v>
      </c>
      <c r="P936">
        <v>478</v>
      </c>
      <c r="Q936" t="s">
        <v>29</v>
      </c>
      <c r="R936" t="s">
        <v>75</v>
      </c>
      <c r="S936" t="s">
        <v>31</v>
      </c>
      <c r="T936" t="s">
        <v>41</v>
      </c>
      <c r="U936" s="3">
        <f t="shared" si="14"/>
        <v>45748</v>
      </c>
    </row>
    <row r="937" spans="1:21" x14ac:dyDescent="0.35">
      <c r="A937" t="s">
        <v>2207</v>
      </c>
      <c r="B937" t="s">
        <v>336</v>
      </c>
      <c r="C937" t="s">
        <v>35</v>
      </c>
      <c r="D937" t="s">
        <v>2208</v>
      </c>
      <c r="E937" t="s">
        <v>70</v>
      </c>
      <c r="F937" t="s">
        <v>25</v>
      </c>
      <c r="G937" t="s">
        <v>103</v>
      </c>
      <c r="H937" t="s">
        <v>52</v>
      </c>
      <c r="I937" t="s">
        <v>61</v>
      </c>
      <c r="J937">
        <v>110312.85</v>
      </c>
      <c r="K937">
        <v>1324.33</v>
      </c>
      <c r="L937">
        <v>238.38</v>
      </c>
      <c r="M937">
        <v>25.86</v>
      </c>
      <c r="N937">
        <v>111849.7</v>
      </c>
      <c r="O937">
        <v>2254596.59</v>
      </c>
      <c r="P937">
        <v>848</v>
      </c>
      <c r="Q937" t="s">
        <v>29</v>
      </c>
      <c r="R937" t="s">
        <v>75</v>
      </c>
      <c r="S937" t="s">
        <v>31</v>
      </c>
      <c r="T937" t="s">
        <v>55</v>
      </c>
      <c r="U937" s="3">
        <f t="shared" si="14"/>
        <v>45839</v>
      </c>
    </row>
    <row r="938" spans="1:21" x14ac:dyDescent="0.35">
      <c r="A938" t="s">
        <v>2209</v>
      </c>
      <c r="B938" t="s">
        <v>237</v>
      </c>
      <c r="C938" t="s">
        <v>95</v>
      </c>
      <c r="D938" t="s">
        <v>2210</v>
      </c>
      <c r="E938" t="s">
        <v>37</v>
      </c>
      <c r="F938" t="s">
        <v>38</v>
      </c>
      <c r="G938" t="s">
        <v>26</v>
      </c>
      <c r="H938" t="s">
        <v>27</v>
      </c>
      <c r="I938" t="s">
        <v>40</v>
      </c>
      <c r="J938">
        <v>157350.37</v>
      </c>
      <c r="K938">
        <v>2316.52</v>
      </c>
      <c r="L938">
        <v>416.97</v>
      </c>
      <c r="M938">
        <v>70.180000000000007</v>
      </c>
      <c r="N938">
        <v>160013.68</v>
      </c>
      <c r="O938">
        <v>2249973.5299999998</v>
      </c>
      <c r="P938">
        <v>641</v>
      </c>
      <c r="Q938" t="s">
        <v>74</v>
      </c>
      <c r="R938" t="s">
        <v>30</v>
      </c>
      <c r="S938" t="s">
        <v>79</v>
      </c>
      <c r="T938" t="s">
        <v>32</v>
      </c>
      <c r="U938" s="3">
        <f t="shared" si="14"/>
        <v>45870</v>
      </c>
    </row>
    <row r="939" spans="1:21" x14ac:dyDescent="0.35">
      <c r="A939" t="s">
        <v>2211</v>
      </c>
      <c r="B939" t="s">
        <v>172</v>
      </c>
      <c r="C939" t="s">
        <v>95</v>
      </c>
      <c r="D939" t="s">
        <v>2212</v>
      </c>
      <c r="E939" t="s">
        <v>24</v>
      </c>
      <c r="F939" t="s">
        <v>59</v>
      </c>
      <c r="G939" t="s">
        <v>26</v>
      </c>
      <c r="H939" t="s">
        <v>27</v>
      </c>
      <c r="I939" t="s">
        <v>40</v>
      </c>
      <c r="J939">
        <v>49635.43</v>
      </c>
      <c r="K939">
        <v>976.05</v>
      </c>
      <c r="L939">
        <v>175.69</v>
      </c>
      <c r="M939">
        <v>344.5</v>
      </c>
      <c r="N939">
        <v>50442.67</v>
      </c>
      <c r="O939">
        <v>2250412.4500000002</v>
      </c>
      <c r="P939">
        <v>505</v>
      </c>
      <c r="Q939" t="s">
        <v>53</v>
      </c>
      <c r="R939" t="s">
        <v>54</v>
      </c>
      <c r="S939" t="s">
        <v>62</v>
      </c>
      <c r="T939" t="s">
        <v>41</v>
      </c>
      <c r="U939" s="3">
        <f t="shared" si="14"/>
        <v>45717</v>
      </c>
    </row>
    <row r="940" spans="1:21" x14ac:dyDescent="0.35">
      <c r="A940" t="s">
        <v>2213</v>
      </c>
      <c r="B940" t="s">
        <v>434</v>
      </c>
      <c r="C940" t="s">
        <v>35</v>
      </c>
      <c r="D940" t="s">
        <v>2214</v>
      </c>
      <c r="E940" t="s">
        <v>70</v>
      </c>
      <c r="F940" t="s">
        <v>46</v>
      </c>
      <c r="G940" t="s">
        <v>60</v>
      </c>
      <c r="H940" t="s">
        <v>39</v>
      </c>
      <c r="I940" t="s">
        <v>40</v>
      </c>
      <c r="J940">
        <v>189021.61</v>
      </c>
      <c r="K940">
        <v>1588.57</v>
      </c>
      <c r="L940">
        <v>285.94</v>
      </c>
      <c r="M940">
        <v>312.74</v>
      </c>
      <c r="N940">
        <v>190583.38</v>
      </c>
      <c r="O940">
        <v>2247121.83</v>
      </c>
      <c r="P940">
        <v>784</v>
      </c>
      <c r="Q940" t="s">
        <v>29</v>
      </c>
      <c r="R940" t="s">
        <v>75</v>
      </c>
      <c r="S940" t="s">
        <v>62</v>
      </c>
      <c r="T940" t="s">
        <v>32</v>
      </c>
      <c r="U940" s="3">
        <f t="shared" si="14"/>
        <v>45717</v>
      </c>
    </row>
    <row r="941" spans="1:21" x14ac:dyDescent="0.35">
      <c r="A941" t="s">
        <v>2215</v>
      </c>
      <c r="B941" t="s">
        <v>131</v>
      </c>
      <c r="C941" t="s">
        <v>22</v>
      </c>
      <c r="D941" t="s">
        <v>1537</v>
      </c>
      <c r="E941" t="s">
        <v>24</v>
      </c>
      <c r="F941" t="s">
        <v>59</v>
      </c>
      <c r="G941" t="s">
        <v>47</v>
      </c>
      <c r="H941" t="s">
        <v>39</v>
      </c>
      <c r="I941" t="s">
        <v>40</v>
      </c>
      <c r="J941">
        <v>195704.03</v>
      </c>
      <c r="K941">
        <v>3456.69</v>
      </c>
      <c r="L941">
        <v>622.20000000000005</v>
      </c>
      <c r="M941">
        <v>60.14</v>
      </c>
      <c r="N941">
        <v>199722.78</v>
      </c>
      <c r="O941">
        <v>2250240.7599999998</v>
      </c>
      <c r="P941">
        <v>475</v>
      </c>
      <c r="Q941" t="s">
        <v>53</v>
      </c>
      <c r="R941" t="s">
        <v>75</v>
      </c>
      <c r="S941" t="s">
        <v>79</v>
      </c>
      <c r="T941" t="s">
        <v>55</v>
      </c>
      <c r="U941" s="3">
        <f t="shared" si="14"/>
        <v>45931</v>
      </c>
    </row>
    <row r="942" spans="1:21" x14ac:dyDescent="0.35">
      <c r="A942" t="s">
        <v>2216</v>
      </c>
      <c r="B942" t="s">
        <v>422</v>
      </c>
      <c r="C942" t="s">
        <v>35</v>
      </c>
      <c r="D942" t="s">
        <v>2217</v>
      </c>
      <c r="E942" t="s">
        <v>37</v>
      </c>
      <c r="F942" t="s">
        <v>46</v>
      </c>
      <c r="G942" t="s">
        <v>26</v>
      </c>
      <c r="H942" t="s">
        <v>52</v>
      </c>
      <c r="I942" t="s">
        <v>61</v>
      </c>
      <c r="J942">
        <v>34424.75</v>
      </c>
      <c r="K942">
        <v>470.27</v>
      </c>
      <c r="L942">
        <v>84.65</v>
      </c>
      <c r="M942">
        <v>219.55</v>
      </c>
      <c r="N942">
        <v>34760.120000000003</v>
      </c>
      <c r="O942">
        <v>2257995.09</v>
      </c>
      <c r="P942">
        <v>712</v>
      </c>
      <c r="Q942" t="s">
        <v>74</v>
      </c>
      <c r="R942" t="s">
        <v>54</v>
      </c>
      <c r="S942" t="s">
        <v>31</v>
      </c>
      <c r="T942" t="s">
        <v>41</v>
      </c>
      <c r="U942" s="3">
        <f t="shared" si="14"/>
        <v>45717</v>
      </c>
    </row>
    <row r="943" spans="1:21" x14ac:dyDescent="0.35">
      <c r="A943" t="s">
        <v>2218</v>
      </c>
      <c r="B943" t="s">
        <v>254</v>
      </c>
      <c r="C943" t="s">
        <v>35</v>
      </c>
      <c r="D943" t="s">
        <v>2219</v>
      </c>
      <c r="E943" t="s">
        <v>37</v>
      </c>
      <c r="F943" t="s">
        <v>59</v>
      </c>
      <c r="G943" t="s">
        <v>103</v>
      </c>
      <c r="H943" t="s">
        <v>66</v>
      </c>
      <c r="I943" t="s">
        <v>28</v>
      </c>
      <c r="J943">
        <v>11144.53</v>
      </c>
      <c r="K943">
        <v>152.71</v>
      </c>
      <c r="L943">
        <v>27.49</v>
      </c>
      <c r="M943">
        <v>136.69</v>
      </c>
      <c r="N943">
        <v>11188.04</v>
      </c>
      <c r="O943">
        <v>2258812.96</v>
      </c>
      <c r="P943">
        <v>477</v>
      </c>
      <c r="Q943" t="s">
        <v>74</v>
      </c>
      <c r="R943" t="s">
        <v>75</v>
      </c>
      <c r="S943" t="s">
        <v>31</v>
      </c>
      <c r="T943" t="s">
        <v>55</v>
      </c>
      <c r="U943" s="3">
        <f t="shared" si="14"/>
        <v>45809</v>
      </c>
    </row>
    <row r="944" spans="1:21" x14ac:dyDescent="0.35">
      <c r="A944" t="s">
        <v>2220</v>
      </c>
      <c r="B944" t="s">
        <v>1409</v>
      </c>
      <c r="C944" t="s">
        <v>22</v>
      </c>
      <c r="D944" t="s">
        <v>2221</v>
      </c>
      <c r="E944" t="s">
        <v>70</v>
      </c>
      <c r="F944" t="s">
        <v>38</v>
      </c>
      <c r="G944" t="s">
        <v>103</v>
      </c>
      <c r="H944" t="s">
        <v>52</v>
      </c>
      <c r="I944" t="s">
        <v>40</v>
      </c>
      <c r="J944">
        <v>81622.179999999993</v>
      </c>
      <c r="K944">
        <v>909.3</v>
      </c>
      <c r="L944">
        <v>163.66999999999999</v>
      </c>
      <c r="M944">
        <v>469.09</v>
      </c>
      <c r="N944">
        <v>82226.06</v>
      </c>
      <c r="O944">
        <v>2261751.69</v>
      </c>
      <c r="P944">
        <v>392</v>
      </c>
      <c r="Q944" t="s">
        <v>53</v>
      </c>
      <c r="R944" t="s">
        <v>75</v>
      </c>
      <c r="S944" t="s">
        <v>31</v>
      </c>
      <c r="T944" t="s">
        <v>55</v>
      </c>
      <c r="U944" s="3">
        <f t="shared" si="14"/>
        <v>45748</v>
      </c>
    </row>
    <row r="945" spans="1:21" x14ac:dyDescent="0.35">
      <c r="A945" t="s">
        <v>2222</v>
      </c>
      <c r="B945" t="s">
        <v>282</v>
      </c>
      <c r="C945" t="s">
        <v>35</v>
      </c>
      <c r="D945" t="s">
        <v>2223</v>
      </c>
      <c r="E945" t="s">
        <v>70</v>
      </c>
      <c r="F945" t="s">
        <v>46</v>
      </c>
      <c r="G945" t="s">
        <v>26</v>
      </c>
      <c r="H945" t="s">
        <v>52</v>
      </c>
      <c r="I945" t="s">
        <v>40</v>
      </c>
      <c r="J945">
        <v>156196.99</v>
      </c>
      <c r="K945">
        <v>2529.9899999999998</v>
      </c>
      <c r="L945">
        <v>455.4</v>
      </c>
      <c r="M945">
        <v>51.64</v>
      </c>
      <c r="N945">
        <v>159130.74</v>
      </c>
      <c r="O945">
        <v>2265579.5499999998</v>
      </c>
      <c r="P945">
        <v>525</v>
      </c>
      <c r="Q945" t="s">
        <v>53</v>
      </c>
      <c r="R945" t="s">
        <v>54</v>
      </c>
      <c r="S945" t="s">
        <v>31</v>
      </c>
      <c r="T945" t="s">
        <v>32</v>
      </c>
      <c r="U945" s="3">
        <f t="shared" si="14"/>
        <v>45992</v>
      </c>
    </row>
    <row r="946" spans="1:21" x14ac:dyDescent="0.35">
      <c r="A946" t="s">
        <v>2224</v>
      </c>
      <c r="B946" t="s">
        <v>1156</v>
      </c>
      <c r="C946" t="s">
        <v>35</v>
      </c>
      <c r="D946" t="s">
        <v>2225</v>
      </c>
      <c r="E946" t="s">
        <v>70</v>
      </c>
      <c r="F946" t="s">
        <v>46</v>
      </c>
      <c r="G946" t="s">
        <v>47</v>
      </c>
      <c r="H946" t="s">
        <v>48</v>
      </c>
      <c r="I946" t="s">
        <v>40</v>
      </c>
      <c r="J946">
        <v>52803.81</v>
      </c>
      <c r="K946">
        <v>875.46</v>
      </c>
      <c r="L946">
        <v>157.58000000000001</v>
      </c>
      <c r="M946">
        <v>234.6</v>
      </c>
      <c r="N946">
        <v>53602.25</v>
      </c>
      <c r="O946">
        <v>2264618.7400000002</v>
      </c>
      <c r="P946">
        <v>540</v>
      </c>
      <c r="Q946" t="s">
        <v>53</v>
      </c>
      <c r="R946" t="s">
        <v>54</v>
      </c>
      <c r="S946" t="s">
        <v>86</v>
      </c>
      <c r="T946" t="s">
        <v>32</v>
      </c>
      <c r="U946" s="3">
        <f t="shared" si="14"/>
        <v>45717</v>
      </c>
    </row>
    <row r="947" spans="1:21" x14ac:dyDescent="0.35">
      <c r="A947" t="s">
        <v>2226</v>
      </c>
      <c r="B947" t="s">
        <v>2135</v>
      </c>
      <c r="C947" t="s">
        <v>35</v>
      </c>
      <c r="D947" t="s">
        <v>2227</v>
      </c>
      <c r="E947" t="s">
        <v>45</v>
      </c>
      <c r="F947" t="s">
        <v>46</v>
      </c>
      <c r="G947" t="s">
        <v>60</v>
      </c>
      <c r="H947" t="s">
        <v>48</v>
      </c>
      <c r="I947" t="s">
        <v>61</v>
      </c>
      <c r="J947">
        <v>165008.14000000001</v>
      </c>
      <c r="K947">
        <v>3035.5</v>
      </c>
      <c r="L947">
        <v>546.39</v>
      </c>
      <c r="M947">
        <v>89.38</v>
      </c>
      <c r="N947">
        <v>168500.65</v>
      </c>
      <c r="O947">
        <v>2268940.2200000002</v>
      </c>
      <c r="P947">
        <v>516</v>
      </c>
      <c r="Q947" t="s">
        <v>29</v>
      </c>
      <c r="R947" t="s">
        <v>75</v>
      </c>
      <c r="S947" t="s">
        <v>31</v>
      </c>
      <c r="T947" t="s">
        <v>55</v>
      </c>
      <c r="U947" s="3">
        <f t="shared" si="14"/>
        <v>45717</v>
      </c>
    </row>
    <row r="948" spans="1:21" x14ac:dyDescent="0.35">
      <c r="A948" t="s">
        <v>2228</v>
      </c>
      <c r="B948" t="s">
        <v>650</v>
      </c>
      <c r="C948" t="s">
        <v>22</v>
      </c>
      <c r="D948" t="s">
        <v>2229</v>
      </c>
      <c r="E948" t="s">
        <v>45</v>
      </c>
      <c r="F948" t="s">
        <v>25</v>
      </c>
      <c r="G948" t="s">
        <v>26</v>
      </c>
      <c r="H948" t="s">
        <v>66</v>
      </c>
      <c r="I948" t="s">
        <v>28</v>
      </c>
      <c r="J948">
        <v>39568.230000000003</v>
      </c>
      <c r="K948">
        <v>736.06</v>
      </c>
      <c r="L948">
        <v>132.49</v>
      </c>
      <c r="M948">
        <v>29.32</v>
      </c>
      <c r="N948">
        <v>40407.46</v>
      </c>
      <c r="O948">
        <v>2277633.87</v>
      </c>
      <c r="P948">
        <v>559</v>
      </c>
      <c r="Q948" t="s">
        <v>74</v>
      </c>
      <c r="R948" t="s">
        <v>30</v>
      </c>
      <c r="S948" t="s">
        <v>31</v>
      </c>
      <c r="T948" t="s">
        <v>55</v>
      </c>
      <c r="U948" s="3">
        <f t="shared" si="14"/>
        <v>45809</v>
      </c>
    </row>
    <row r="949" spans="1:21" x14ac:dyDescent="0.35">
      <c r="A949" t="s">
        <v>2230</v>
      </c>
      <c r="B949" t="s">
        <v>381</v>
      </c>
      <c r="C949" t="s">
        <v>22</v>
      </c>
      <c r="D949" t="s">
        <v>2231</v>
      </c>
      <c r="E949" t="s">
        <v>24</v>
      </c>
      <c r="F949" t="s">
        <v>46</v>
      </c>
      <c r="G949" t="s">
        <v>47</v>
      </c>
      <c r="H949" t="s">
        <v>39</v>
      </c>
      <c r="I949" t="s">
        <v>28</v>
      </c>
      <c r="J949">
        <v>106097</v>
      </c>
      <c r="K949">
        <v>467.28</v>
      </c>
      <c r="L949">
        <v>84.11</v>
      </c>
      <c r="M949">
        <v>230.87</v>
      </c>
      <c r="N949">
        <v>106417.52</v>
      </c>
      <c r="O949">
        <v>2276786.3199999998</v>
      </c>
      <c r="P949">
        <v>483</v>
      </c>
      <c r="Q949" t="s">
        <v>53</v>
      </c>
      <c r="R949" t="s">
        <v>75</v>
      </c>
      <c r="S949" t="s">
        <v>62</v>
      </c>
      <c r="T949" t="s">
        <v>41</v>
      </c>
      <c r="U949" s="3">
        <f t="shared" si="14"/>
        <v>45962</v>
      </c>
    </row>
    <row r="950" spans="1:21" x14ac:dyDescent="0.35">
      <c r="A950" t="s">
        <v>2232</v>
      </c>
      <c r="B950" t="s">
        <v>660</v>
      </c>
      <c r="C950" t="s">
        <v>95</v>
      </c>
      <c r="D950" t="s">
        <v>2233</v>
      </c>
      <c r="E950" t="s">
        <v>37</v>
      </c>
      <c r="F950" t="s">
        <v>59</v>
      </c>
      <c r="G950" t="s">
        <v>60</v>
      </c>
      <c r="H950" t="s">
        <v>52</v>
      </c>
      <c r="I950" t="s">
        <v>61</v>
      </c>
      <c r="J950">
        <v>23027.99</v>
      </c>
      <c r="K950">
        <v>343.11</v>
      </c>
      <c r="L950">
        <v>61.76</v>
      </c>
      <c r="M950">
        <v>40.49</v>
      </c>
      <c r="N950">
        <v>23392.37</v>
      </c>
      <c r="O950">
        <v>2278242.9700000002</v>
      </c>
      <c r="P950">
        <v>771</v>
      </c>
      <c r="Q950" t="s">
        <v>74</v>
      </c>
      <c r="R950" t="s">
        <v>75</v>
      </c>
      <c r="S950" t="s">
        <v>62</v>
      </c>
      <c r="T950" t="s">
        <v>55</v>
      </c>
      <c r="U950" s="3">
        <f t="shared" si="14"/>
        <v>45992</v>
      </c>
    </row>
    <row r="951" spans="1:21" x14ac:dyDescent="0.35">
      <c r="A951" t="s">
        <v>2234</v>
      </c>
      <c r="B951" t="s">
        <v>294</v>
      </c>
      <c r="C951" t="s">
        <v>95</v>
      </c>
      <c r="D951" t="s">
        <v>2235</v>
      </c>
      <c r="E951" t="s">
        <v>45</v>
      </c>
      <c r="F951" t="s">
        <v>38</v>
      </c>
      <c r="G951" t="s">
        <v>103</v>
      </c>
      <c r="H951" t="s">
        <v>27</v>
      </c>
      <c r="I951" t="s">
        <v>28</v>
      </c>
      <c r="J951">
        <v>95963.26</v>
      </c>
      <c r="K951">
        <v>1771.54</v>
      </c>
      <c r="L951">
        <v>318.88</v>
      </c>
      <c r="M951">
        <v>433.75</v>
      </c>
      <c r="N951">
        <v>97619.93</v>
      </c>
      <c r="O951">
        <v>2277779.75</v>
      </c>
      <c r="P951">
        <v>753</v>
      </c>
      <c r="Q951" t="s">
        <v>74</v>
      </c>
      <c r="R951" t="s">
        <v>30</v>
      </c>
      <c r="S951" t="s">
        <v>79</v>
      </c>
      <c r="T951" t="s">
        <v>55</v>
      </c>
      <c r="U951" s="3">
        <f t="shared" si="14"/>
        <v>45870</v>
      </c>
    </row>
    <row r="952" spans="1:21" x14ac:dyDescent="0.35">
      <c r="A952" t="s">
        <v>2236</v>
      </c>
      <c r="B952" t="s">
        <v>306</v>
      </c>
      <c r="C952" t="s">
        <v>95</v>
      </c>
      <c r="D952" t="s">
        <v>2237</v>
      </c>
      <c r="E952" t="s">
        <v>37</v>
      </c>
      <c r="F952" t="s">
        <v>59</v>
      </c>
      <c r="G952" t="s">
        <v>47</v>
      </c>
      <c r="H952" t="s">
        <v>48</v>
      </c>
      <c r="I952" t="s">
        <v>28</v>
      </c>
      <c r="J952">
        <v>198652.53</v>
      </c>
      <c r="K952">
        <v>3184.55</v>
      </c>
      <c r="L952">
        <v>573.22</v>
      </c>
      <c r="M952">
        <v>207.03</v>
      </c>
      <c r="N952">
        <v>202203.27</v>
      </c>
      <c r="O952">
        <v>2274493.67</v>
      </c>
      <c r="P952">
        <v>774</v>
      </c>
      <c r="Q952" t="s">
        <v>29</v>
      </c>
      <c r="R952" t="s">
        <v>30</v>
      </c>
      <c r="S952" t="s">
        <v>62</v>
      </c>
      <c r="T952" t="s">
        <v>41</v>
      </c>
      <c r="U952" s="3">
        <f t="shared" si="14"/>
        <v>45717</v>
      </c>
    </row>
    <row r="953" spans="1:21" x14ac:dyDescent="0.35">
      <c r="A953" t="s">
        <v>2238</v>
      </c>
      <c r="B953" t="s">
        <v>627</v>
      </c>
      <c r="C953" t="s">
        <v>35</v>
      </c>
      <c r="D953" t="s">
        <v>2239</v>
      </c>
      <c r="E953" t="s">
        <v>37</v>
      </c>
      <c r="F953" t="s">
        <v>46</v>
      </c>
      <c r="G953" t="s">
        <v>26</v>
      </c>
      <c r="H953" t="s">
        <v>52</v>
      </c>
      <c r="I953" t="s">
        <v>61</v>
      </c>
      <c r="J953">
        <v>107131.72</v>
      </c>
      <c r="K953">
        <v>2097.6</v>
      </c>
      <c r="L953">
        <v>377.57</v>
      </c>
      <c r="M953">
        <v>12.84</v>
      </c>
      <c r="N953">
        <v>109594.05</v>
      </c>
      <c r="O953">
        <v>2280369.7999999998</v>
      </c>
      <c r="P953">
        <v>470</v>
      </c>
      <c r="Q953" t="s">
        <v>74</v>
      </c>
      <c r="R953" t="s">
        <v>54</v>
      </c>
      <c r="S953" t="s">
        <v>62</v>
      </c>
      <c r="T953" t="s">
        <v>55</v>
      </c>
      <c r="U953" s="3">
        <f t="shared" si="14"/>
        <v>45658</v>
      </c>
    </row>
    <row r="954" spans="1:21" x14ac:dyDescent="0.35">
      <c r="A954" t="s">
        <v>2240</v>
      </c>
      <c r="B954" t="s">
        <v>529</v>
      </c>
      <c r="C954" t="s">
        <v>22</v>
      </c>
      <c r="D954" t="s">
        <v>2241</v>
      </c>
      <c r="E954" t="s">
        <v>70</v>
      </c>
      <c r="F954" t="s">
        <v>25</v>
      </c>
      <c r="G954" t="s">
        <v>26</v>
      </c>
      <c r="H954" t="s">
        <v>27</v>
      </c>
      <c r="I954" t="s">
        <v>40</v>
      </c>
      <c r="J954">
        <v>62646.85</v>
      </c>
      <c r="K954">
        <v>442.3</v>
      </c>
      <c r="L954">
        <v>79.61</v>
      </c>
      <c r="M954">
        <v>350.28</v>
      </c>
      <c r="N954">
        <v>62818.48</v>
      </c>
      <c r="O954">
        <v>2278573.12</v>
      </c>
      <c r="P954">
        <v>879</v>
      </c>
      <c r="Q954" t="s">
        <v>29</v>
      </c>
      <c r="R954" t="s">
        <v>54</v>
      </c>
      <c r="S954" t="s">
        <v>62</v>
      </c>
      <c r="T954" t="s">
        <v>41</v>
      </c>
      <c r="U954" s="3">
        <f t="shared" si="14"/>
        <v>45809</v>
      </c>
    </row>
    <row r="955" spans="1:21" x14ac:dyDescent="0.35">
      <c r="A955" t="s">
        <v>2242</v>
      </c>
      <c r="B955" t="s">
        <v>686</v>
      </c>
      <c r="C955" t="s">
        <v>35</v>
      </c>
      <c r="D955" t="s">
        <v>2243</v>
      </c>
      <c r="E955" t="s">
        <v>37</v>
      </c>
      <c r="F955" t="s">
        <v>59</v>
      </c>
      <c r="G955" t="s">
        <v>47</v>
      </c>
      <c r="H955" t="s">
        <v>48</v>
      </c>
      <c r="I955" t="s">
        <v>28</v>
      </c>
      <c r="J955">
        <v>113118.05</v>
      </c>
      <c r="K955">
        <v>923.83</v>
      </c>
      <c r="L955">
        <v>166.29</v>
      </c>
      <c r="M955">
        <v>299.48</v>
      </c>
      <c r="N955">
        <v>113908.69</v>
      </c>
      <c r="O955">
        <v>2280971.7599999998</v>
      </c>
      <c r="P955">
        <v>579</v>
      </c>
      <c r="Q955" t="s">
        <v>29</v>
      </c>
      <c r="R955" t="s">
        <v>75</v>
      </c>
      <c r="S955" t="s">
        <v>62</v>
      </c>
      <c r="T955" t="s">
        <v>32</v>
      </c>
      <c r="U955" s="3">
        <f t="shared" si="14"/>
        <v>45901</v>
      </c>
    </row>
    <row r="956" spans="1:21" x14ac:dyDescent="0.35">
      <c r="A956" t="s">
        <v>2244</v>
      </c>
      <c r="B956" t="s">
        <v>270</v>
      </c>
      <c r="C956" t="s">
        <v>95</v>
      </c>
      <c r="D956" t="s">
        <v>2245</v>
      </c>
      <c r="E956" t="s">
        <v>24</v>
      </c>
      <c r="F956" t="s">
        <v>25</v>
      </c>
      <c r="G956" t="s">
        <v>103</v>
      </c>
      <c r="H956" t="s">
        <v>48</v>
      </c>
      <c r="I956" t="s">
        <v>61</v>
      </c>
      <c r="J956">
        <v>114866.92</v>
      </c>
      <c r="K956">
        <v>1931.13</v>
      </c>
      <c r="L956">
        <v>347.6</v>
      </c>
      <c r="M956">
        <v>460.54</v>
      </c>
      <c r="N956">
        <v>116685.11</v>
      </c>
      <c r="O956">
        <v>2287017.4900000002</v>
      </c>
      <c r="P956">
        <v>631</v>
      </c>
      <c r="Q956" t="s">
        <v>29</v>
      </c>
      <c r="R956" t="s">
        <v>30</v>
      </c>
      <c r="S956" t="s">
        <v>79</v>
      </c>
      <c r="T956" t="s">
        <v>32</v>
      </c>
      <c r="U956" s="3">
        <f t="shared" si="14"/>
        <v>45717</v>
      </c>
    </row>
    <row r="957" spans="1:21" x14ac:dyDescent="0.35">
      <c r="A957" t="s">
        <v>2246</v>
      </c>
      <c r="B957" t="s">
        <v>270</v>
      </c>
      <c r="C957" t="s">
        <v>95</v>
      </c>
      <c r="D957" t="s">
        <v>2247</v>
      </c>
      <c r="E957" t="s">
        <v>37</v>
      </c>
      <c r="F957" t="s">
        <v>46</v>
      </c>
      <c r="G957" t="s">
        <v>103</v>
      </c>
      <c r="H957" t="s">
        <v>39</v>
      </c>
      <c r="I957" t="s">
        <v>61</v>
      </c>
      <c r="J957">
        <v>167713.76</v>
      </c>
      <c r="K957">
        <v>2974.97</v>
      </c>
      <c r="L957">
        <v>535.49</v>
      </c>
      <c r="M957">
        <v>12.03</v>
      </c>
      <c r="N957">
        <v>171212.19</v>
      </c>
      <c r="O957">
        <v>2284687.4300000002</v>
      </c>
      <c r="P957">
        <v>425</v>
      </c>
      <c r="Q957" t="s">
        <v>74</v>
      </c>
      <c r="R957" t="s">
        <v>54</v>
      </c>
      <c r="S957" t="s">
        <v>86</v>
      </c>
      <c r="T957" t="s">
        <v>55</v>
      </c>
      <c r="U957" s="3">
        <f t="shared" si="14"/>
        <v>45717</v>
      </c>
    </row>
    <row r="958" spans="1:21" x14ac:dyDescent="0.35">
      <c r="A958" t="s">
        <v>2248</v>
      </c>
      <c r="B958" t="s">
        <v>228</v>
      </c>
      <c r="C958" t="s">
        <v>22</v>
      </c>
      <c r="D958" t="s">
        <v>1805</v>
      </c>
      <c r="E958" t="s">
        <v>45</v>
      </c>
      <c r="F958" t="s">
        <v>46</v>
      </c>
      <c r="G958" t="s">
        <v>60</v>
      </c>
      <c r="H958" t="s">
        <v>52</v>
      </c>
      <c r="I958" t="s">
        <v>61</v>
      </c>
      <c r="J958">
        <v>93179.839999999997</v>
      </c>
      <c r="K958">
        <v>859.06</v>
      </c>
      <c r="L958">
        <v>154.63</v>
      </c>
      <c r="M958">
        <v>108.04</v>
      </c>
      <c r="N958">
        <v>94085.49</v>
      </c>
      <c r="O958">
        <v>2280578.4700000002</v>
      </c>
      <c r="P958">
        <v>355</v>
      </c>
      <c r="Q958" t="s">
        <v>29</v>
      </c>
      <c r="R958" t="s">
        <v>75</v>
      </c>
      <c r="S958" t="s">
        <v>62</v>
      </c>
      <c r="T958" t="s">
        <v>32</v>
      </c>
      <c r="U958" s="3">
        <f t="shared" si="14"/>
        <v>45992</v>
      </c>
    </row>
    <row r="959" spans="1:21" x14ac:dyDescent="0.35">
      <c r="A959" t="s">
        <v>2249</v>
      </c>
      <c r="B959" t="s">
        <v>273</v>
      </c>
      <c r="C959" t="s">
        <v>22</v>
      </c>
      <c r="D959" t="s">
        <v>2250</v>
      </c>
      <c r="E959" t="s">
        <v>70</v>
      </c>
      <c r="F959" t="s">
        <v>46</v>
      </c>
      <c r="G959" t="s">
        <v>60</v>
      </c>
      <c r="H959" t="s">
        <v>48</v>
      </c>
      <c r="I959" t="s">
        <v>28</v>
      </c>
      <c r="J959">
        <v>135133.01999999999</v>
      </c>
      <c r="K959">
        <v>1511.81</v>
      </c>
      <c r="L959">
        <v>272.13</v>
      </c>
      <c r="M959">
        <v>22.8</v>
      </c>
      <c r="N959">
        <v>136894.16</v>
      </c>
      <c r="O959">
        <v>2287623.7599999998</v>
      </c>
      <c r="P959">
        <v>638</v>
      </c>
      <c r="Q959" t="s">
        <v>74</v>
      </c>
      <c r="R959" t="s">
        <v>75</v>
      </c>
      <c r="S959" t="s">
        <v>62</v>
      </c>
      <c r="T959" t="s">
        <v>32</v>
      </c>
      <c r="U959" s="3">
        <f t="shared" si="14"/>
        <v>45839</v>
      </c>
    </row>
    <row r="960" spans="1:21" x14ac:dyDescent="0.35">
      <c r="A960" t="s">
        <v>2251</v>
      </c>
      <c r="B960" t="s">
        <v>1634</v>
      </c>
      <c r="C960" t="s">
        <v>95</v>
      </c>
      <c r="D960" t="s">
        <v>2252</v>
      </c>
      <c r="E960" t="s">
        <v>24</v>
      </c>
      <c r="F960" t="s">
        <v>38</v>
      </c>
      <c r="G960" t="s">
        <v>60</v>
      </c>
      <c r="H960" t="s">
        <v>52</v>
      </c>
      <c r="I960" t="s">
        <v>40</v>
      </c>
      <c r="J960">
        <v>155252.35999999999</v>
      </c>
      <c r="K960">
        <v>962.96</v>
      </c>
      <c r="L960">
        <v>173.33</v>
      </c>
      <c r="M960">
        <v>280.22000000000003</v>
      </c>
      <c r="N960">
        <v>156108.43</v>
      </c>
      <c r="O960">
        <v>2283037.5299999998</v>
      </c>
      <c r="P960">
        <v>888</v>
      </c>
      <c r="Q960" t="s">
        <v>74</v>
      </c>
      <c r="R960" t="s">
        <v>30</v>
      </c>
      <c r="S960" t="s">
        <v>79</v>
      </c>
      <c r="T960" t="s">
        <v>55</v>
      </c>
      <c r="U960" s="3">
        <f t="shared" si="14"/>
        <v>45778</v>
      </c>
    </row>
    <row r="961" spans="1:21" x14ac:dyDescent="0.35">
      <c r="A961" t="s">
        <v>2253</v>
      </c>
      <c r="B961" t="s">
        <v>57</v>
      </c>
      <c r="C961" t="s">
        <v>22</v>
      </c>
      <c r="D961" t="s">
        <v>2254</v>
      </c>
      <c r="E961" t="s">
        <v>70</v>
      </c>
      <c r="F961" t="s">
        <v>38</v>
      </c>
      <c r="G961" t="s">
        <v>26</v>
      </c>
      <c r="H961" t="s">
        <v>52</v>
      </c>
      <c r="I961" t="s">
        <v>28</v>
      </c>
      <c r="J961">
        <v>110759.38</v>
      </c>
      <c r="K961">
        <v>487.33</v>
      </c>
      <c r="L961">
        <v>87.72</v>
      </c>
      <c r="M961">
        <v>155.99</v>
      </c>
      <c r="N961">
        <v>111178.44</v>
      </c>
      <c r="O961">
        <v>2282504.54</v>
      </c>
      <c r="P961">
        <v>663</v>
      </c>
      <c r="Q961" t="s">
        <v>74</v>
      </c>
      <c r="R961" t="s">
        <v>30</v>
      </c>
      <c r="S961" t="s">
        <v>62</v>
      </c>
      <c r="T961" t="s">
        <v>32</v>
      </c>
      <c r="U961" s="3">
        <f t="shared" si="14"/>
        <v>45748</v>
      </c>
    </row>
    <row r="962" spans="1:21" x14ac:dyDescent="0.35">
      <c r="A962" t="s">
        <v>2255</v>
      </c>
      <c r="B962" t="s">
        <v>2190</v>
      </c>
      <c r="C962" t="s">
        <v>35</v>
      </c>
      <c r="D962" t="s">
        <v>2256</v>
      </c>
      <c r="E962" t="s">
        <v>24</v>
      </c>
      <c r="F962" t="s">
        <v>25</v>
      </c>
      <c r="G962" t="s">
        <v>103</v>
      </c>
      <c r="H962" t="s">
        <v>66</v>
      </c>
      <c r="I962" t="s">
        <v>61</v>
      </c>
      <c r="J962">
        <v>18706.330000000002</v>
      </c>
      <c r="K962">
        <v>227.86</v>
      </c>
      <c r="L962">
        <v>41.01</v>
      </c>
      <c r="M962">
        <v>493.35</v>
      </c>
      <c r="N962">
        <v>18481.849999999999</v>
      </c>
      <c r="O962">
        <v>2290545.0499999998</v>
      </c>
      <c r="P962">
        <v>640</v>
      </c>
      <c r="Q962" t="s">
        <v>74</v>
      </c>
      <c r="R962" t="s">
        <v>30</v>
      </c>
      <c r="S962" t="s">
        <v>79</v>
      </c>
      <c r="T962" t="s">
        <v>41</v>
      </c>
      <c r="U962" s="3">
        <f t="shared" si="14"/>
        <v>45717</v>
      </c>
    </row>
    <row r="963" spans="1:21" x14ac:dyDescent="0.35">
      <c r="A963" t="s">
        <v>2257</v>
      </c>
      <c r="B963" t="s">
        <v>850</v>
      </c>
      <c r="C963" t="s">
        <v>95</v>
      </c>
      <c r="D963" t="s">
        <v>947</v>
      </c>
      <c r="E963" t="s">
        <v>24</v>
      </c>
      <c r="F963" t="s">
        <v>25</v>
      </c>
      <c r="G963" t="s">
        <v>26</v>
      </c>
      <c r="H963" t="s">
        <v>48</v>
      </c>
      <c r="I963" t="s">
        <v>40</v>
      </c>
      <c r="J963">
        <v>68947.02</v>
      </c>
      <c r="K963">
        <v>363.6</v>
      </c>
      <c r="L963">
        <v>65.45</v>
      </c>
      <c r="M963">
        <v>141.07</v>
      </c>
      <c r="N963">
        <v>69235</v>
      </c>
      <c r="O963">
        <v>2290144.59</v>
      </c>
      <c r="P963">
        <v>496</v>
      </c>
      <c r="Q963" t="s">
        <v>53</v>
      </c>
      <c r="R963" t="s">
        <v>30</v>
      </c>
      <c r="S963" t="s">
        <v>86</v>
      </c>
      <c r="T963" t="s">
        <v>55</v>
      </c>
      <c r="U963" s="3">
        <f t="shared" ref="U963:U1001" si="15">DATE(YEAR(B963),MONTH(B963),1)</f>
        <v>45809</v>
      </c>
    </row>
    <row r="964" spans="1:21" x14ac:dyDescent="0.35">
      <c r="A964" t="s">
        <v>2258</v>
      </c>
      <c r="B964" t="s">
        <v>601</v>
      </c>
      <c r="C964" t="s">
        <v>22</v>
      </c>
      <c r="D964" t="s">
        <v>2259</v>
      </c>
      <c r="E964" t="s">
        <v>37</v>
      </c>
      <c r="F964" t="s">
        <v>25</v>
      </c>
      <c r="G964" t="s">
        <v>26</v>
      </c>
      <c r="H964" t="s">
        <v>52</v>
      </c>
      <c r="I964" t="s">
        <v>61</v>
      </c>
      <c r="J964">
        <v>42495.89</v>
      </c>
      <c r="K964">
        <v>663.53</v>
      </c>
      <c r="L964">
        <v>119.44</v>
      </c>
      <c r="M964">
        <v>427.04</v>
      </c>
      <c r="N964">
        <v>42851.82</v>
      </c>
      <c r="O964">
        <v>2293154.5499999998</v>
      </c>
      <c r="P964">
        <v>775</v>
      </c>
      <c r="Q964" t="s">
        <v>29</v>
      </c>
      <c r="R964" t="s">
        <v>30</v>
      </c>
      <c r="S964" t="s">
        <v>62</v>
      </c>
      <c r="T964" t="s">
        <v>55</v>
      </c>
      <c r="U964" s="3">
        <f t="shared" si="15"/>
        <v>45748</v>
      </c>
    </row>
    <row r="965" spans="1:21" x14ac:dyDescent="0.35">
      <c r="A965" t="s">
        <v>2260</v>
      </c>
      <c r="B965" t="s">
        <v>264</v>
      </c>
      <c r="C965" t="s">
        <v>95</v>
      </c>
      <c r="D965" t="s">
        <v>2261</v>
      </c>
      <c r="E965" t="s">
        <v>24</v>
      </c>
      <c r="F965" t="s">
        <v>46</v>
      </c>
      <c r="G965" t="s">
        <v>47</v>
      </c>
      <c r="H965" t="s">
        <v>52</v>
      </c>
      <c r="I965" t="s">
        <v>40</v>
      </c>
      <c r="J965">
        <v>129638.32</v>
      </c>
      <c r="K965">
        <v>1484.37</v>
      </c>
      <c r="L965">
        <v>267.19</v>
      </c>
      <c r="M965">
        <v>320.58999999999997</v>
      </c>
      <c r="N965">
        <v>131069.29</v>
      </c>
      <c r="O965">
        <v>2291337.4</v>
      </c>
      <c r="P965">
        <v>871</v>
      </c>
      <c r="Q965" t="s">
        <v>74</v>
      </c>
      <c r="R965" t="s">
        <v>30</v>
      </c>
      <c r="S965" t="s">
        <v>62</v>
      </c>
      <c r="T965" t="s">
        <v>32</v>
      </c>
      <c r="U965" s="3">
        <f t="shared" si="15"/>
        <v>45992</v>
      </c>
    </row>
    <row r="966" spans="1:21" x14ac:dyDescent="0.35">
      <c r="A966" t="s">
        <v>2262</v>
      </c>
      <c r="B966" t="s">
        <v>1544</v>
      </c>
      <c r="C966" t="s">
        <v>95</v>
      </c>
      <c r="D966" t="s">
        <v>2263</v>
      </c>
      <c r="E966" t="s">
        <v>24</v>
      </c>
      <c r="F966" t="s">
        <v>46</v>
      </c>
      <c r="G966" t="s">
        <v>60</v>
      </c>
      <c r="H966" t="s">
        <v>66</v>
      </c>
      <c r="I966" t="s">
        <v>28</v>
      </c>
      <c r="J966">
        <v>6289.94</v>
      </c>
      <c r="K966">
        <v>22.69</v>
      </c>
      <c r="L966">
        <v>4.08</v>
      </c>
      <c r="M966">
        <v>42.73</v>
      </c>
      <c r="N966">
        <v>6273.98</v>
      </c>
      <c r="O966">
        <v>2286556.2400000002</v>
      </c>
      <c r="P966">
        <v>860</v>
      </c>
      <c r="Q966" t="s">
        <v>53</v>
      </c>
      <c r="R966" t="s">
        <v>54</v>
      </c>
      <c r="S966" t="s">
        <v>31</v>
      </c>
      <c r="T966" t="s">
        <v>32</v>
      </c>
      <c r="U966" s="3">
        <f t="shared" si="15"/>
        <v>45962</v>
      </c>
    </row>
    <row r="967" spans="1:21" x14ac:dyDescent="0.35">
      <c r="A967" t="s">
        <v>2264</v>
      </c>
      <c r="B967" t="s">
        <v>1360</v>
      </c>
      <c r="C967" t="s">
        <v>95</v>
      </c>
      <c r="D967" t="s">
        <v>2265</v>
      </c>
      <c r="E967" t="s">
        <v>24</v>
      </c>
      <c r="F967" t="s">
        <v>25</v>
      </c>
      <c r="G967" t="s">
        <v>26</v>
      </c>
      <c r="H967" t="s">
        <v>48</v>
      </c>
      <c r="I967" t="s">
        <v>40</v>
      </c>
      <c r="J967">
        <v>165246.03</v>
      </c>
      <c r="K967">
        <v>779.9</v>
      </c>
      <c r="L967">
        <v>140.38</v>
      </c>
      <c r="M967">
        <v>206.33</v>
      </c>
      <c r="N967">
        <v>165959.98000000001</v>
      </c>
      <c r="O967">
        <v>2294811.91</v>
      </c>
      <c r="P967">
        <v>644</v>
      </c>
      <c r="Q967" t="s">
        <v>29</v>
      </c>
      <c r="R967" t="s">
        <v>30</v>
      </c>
      <c r="S967" t="s">
        <v>31</v>
      </c>
      <c r="T967" t="s">
        <v>32</v>
      </c>
      <c r="U967" s="3">
        <f t="shared" si="15"/>
        <v>45778</v>
      </c>
    </row>
    <row r="968" spans="1:21" x14ac:dyDescent="0.35">
      <c r="A968" t="s">
        <v>2266</v>
      </c>
      <c r="B968" t="s">
        <v>190</v>
      </c>
      <c r="C968" t="s">
        <v>95</v>
      </c>
      <c r="D968" t="s">
        <v>2267</v>
      </c>
      <c r="E968" t="s">
        <v>37</v>
      </c>
      <c r="F968" t="s">
        <v>46</v>
      </c>
      <c r="G968" t="s">
        <v>26</v>
      </c>
      <c r="H968" t="s">
        <v>66</v>
      </c>
      <c r="I968" t="s">
        <v>40</v>
      </c>
      <c r="J968">
        <v>3183.52</v>
      </c>
      <c r="K968">
        <v>46.02</v>
      </c>
      <c r="L968">
        <v>8.2799999999999994</v>
      </c>
      <c r="M968">
        <v>24.66</v>
      </c>
      <c r="N968">
        <v>3213.16</v>
      </c>
      <c r="O968">
        <v>2299339.35</v>
      </c>
      <c r="P968">
        <v>504</v>
      </c>
      <c r="Q968" t="s">
        <v>74</v>
      </c>
      <c r="R968" t="s">
        <v>54</v>
      </c>
      <c r="S968" t="s">
        <v>31</v>
      </c>
      <c r="T968" t="s">
        <v>32</v>
      </c>
      <c r="U968" s="3">
        <f t="shared" si="15"/>
        <v>45717</v>
      </c>
    </row>
    <row r="969" spans="1:21" x14ac:dyDescent="0.35">
      <c r="A969" t="s">
        <v>2268</v>
      </c>
      <c r="B969" t="s">
        <v>962</v>
      </c>
      <c r="C969" t="s">
        <v>35</v>
      </c>
      <c r="D969" t="s">
        <v>2269</v>
      </c>
      <c r="E969" t="s">
        <v>24</v>
      </c>
      <c r="F969" t="s">
        <v>59</v>
      </c>
      <c r="G969" t="s">
        <v>103</v>
      </c>
      <c r="H969" t="s">
        <v>52</v>
      </c>
      <c r="I969" t="s">
        <v>40</v>
      </c>
      <c r="J969">
        <v>147525.98000000001</v>
      </c>
      <c r="K969">
        <v>1098.3800000000001</v>
      </c>
      <c r="L969">
        <v>197.71</v>
      </c>
      <c r="M969">
        <v>357.59</v>
      </c>
      <c r="N969">
        <v>148464.48000000001</v>
      </c>
      <c r="O969">
        <v>2294822.83</v>
      </c>
      <c r="P969">
        <v>340</v>
      </c>
      <c r="Q969" t="s">
        <v>74</v>
      </c>
      <c r="R969" t="s">
        <v>30</v>
      </c>
      <c r="S969" t="s">
        <v>79</v>
      </c>
      <c r="T969" t="s">
        <v>55</v>
      </c>
      <c r="U969" s="3">
        <f t="shared" si="15"/>
        <v>45870</v>
      </c>
    </row>
    <row r="970" spans="1:21" x14ac:dyDescent="0.35">
      <c r="A970" t="s">
        <v>2270</v>
      </c>
      <c r="B970" t="s">
        <v>1547</v>
      </c>
      <c r="C970" t="s">
        <v>22</v>
      </c>
      <c r="D970" t="s">
        <v>2271</v>
      </c>
      <c r="E970" t="s">
        <v>24</v>
      </c>
      <c r="F970" t="s">
        <v>46</v>
      </c>
      <c r="G970" t="s">
        <v>60</v>
      </c>
      <c r="H970" t="s">
        <v>39</v>
      </c>
      <c r="I970" t="s">
        <v>40</v>
      </c>
      <c r="J970">
        <v>33563.67</v>
      </c>
      <c r="K970">
        <v>482.37</v>
      </c>
      <c r="L970">
        <v>86.83</v>
      </c>
      <c r="M970">
        <v>64.680000000000007</v>
      </c>
      <c r="N970">
        <v>34068.19</v>
      </c>
      <c r="O970">
        <v>2301355.15</v>
      </c>
      <c r="P970">
        <v>880</v>
      </c>
      <c r="Q970" t="s">
        <v>29</v>
      </c>
      <c r="R970" t="s">
        <v>54</v>
      </c>
      <c r="S970" t="s">
        <v>79</v>
      </c>
      <c r="T970" t="s">
        <v>41</v>
      </c>
      <c r="U970" s="3">
        <f t="shared" si="15"/>
        <v>45992</v>
      </c>
    </row>
    <row r="971" spans="1:21" x14ac:dyDescent="0.35">
      <c r="A971" t="s">
        <v>2272</v>
      </c>
      <c r="B971" t="s">
        <v>248</v>
      </c>
      <c r="C971" t="s">
        <v>95</v>
      </c>
      <c r="D971" t="s">
        <v>2273</v>
      </c>
      <c r="E971" t="s">
        <v>24</v>
      </c>
      <c r="F971" t="s">
        <v>38</v>
      </c>
      <c r="G971" t="s">
        <v>60</v>
      </c>
      <c r="H971" t="s">
        <v>48</v>
      </c>
      <c r="I971" t="s">
        <v>28</v>
      </c>
      <c r="J971">
        <v>59317.73</v>
      </c>
      <c r="K971">
        <v>226.8</v>
      </c>
      <c r="L971">
        <v>40.82</v>
      </c>
      <c r="M971">
        <v>91.21</v>
      </c>
      <c r="N971">
        <v>59494.14</v>
      </c>
      <c r="O971">
        <v>2298633.87</v>
      </c>
      <c r="P971">
        <v>884</v>
      </c>
      <c r="Q971" t="s">
        <v>74</v>
      </c>
      <c r="R971" t="s">
        <v>54</v>
      </c>
      <c r="S971" t="s">
        <v>62</v>
      </c>
      <c r="T971" t="s">
        <v>55</v>
      </c>
      <c r="U971" s="3">
        <f t="shared" si="15"/>
        <v>45931</v>
      </c>
    </row>
    <row r="972" spans="1:21" x14ac:dyDescent="0.35">
      <c r="A972" t="s">
        <v>2274</v>
      </c>
      <c r="B972" t="s">
        <v>119</v>
      </c>
      <c r="C972" t="s">
        <v>22</v>
      </c>
      <c r="D972" t="s">
        <v>2275</v>
      </c>
      <c r="E972" t="s">
        <v>45</v>
      </c>
      <c r="F972" t="s">
        <v>38</v>
      </c>
      <c r="G972" t="s">
        <v>60</v>
      </c>
      <c r="H972" t="s">
        <v>27</v>
      </c>
      <c r="I972" t="s">
        <v>61</v>
      </c>
      <c r="J972">
        <v>119941.46</v>
      </c>
      <c r="K972">
        <v>1914.07</v>
      </c>
      <c r="L972">
        <v>344.53</v>
      </c>
      <c r="M972">
        <v>123</v>
      </c>
      <c r="N972">
        <v>122077.06</v>
      </c>
      <c r="O972">
        <v>2300312.5299999998</v>
      </c>
      <c r="P972">
        <v>525</v>
      </c>
      <c r="Q972" t="s">
        <v>74</v>
      </c>
      <c r="R972" t="s">
        <v>54</v>
      </c>
      <c r="S972" t="s">
        <v>62</v>
      </c>
      <c r="T972" t="s">
        <v>55</v>
      </c>
      <c r="U972" s="3">
        <f t="shared" si="15"/>
        <v>45962</v>
      </c>
    </row>
    <row r="973" spans="1:21" x14ac:dyDescent="0.35">
      <c r="A973" t="s">
        <v>2276</v>
      </c>
      <c r="B973" t="s">
        <v>1738</v>
      </c>
      <c r="C973" t="s">
        <v>22</v>
      </c>
      <c r="D973" t="s">
        <v>2277</v>
      </c>
      <c r="E973" t="s">
        <v>37</v>
      </c>
      <c r="F973" t="s">
        <v>59</v>
      </c>
      <c r="G973" t="s">
        <v>26</v>
      </c>
      <c r="H973" t="s">
        <v>27</v>
      </c>
      <c r="I973" t="s">
        <v>28</v>
      </c>
      <c r="J973">
        <v>149996.76</v>
      </c>
      <c r="K973">
        <v>1976.06</v>
      </c>
      <c r="L973">
        <v>355.69</v>
      </c>
      <c r="M973">
        <v>488.47</v>
      </c>
      <c r="N973">
        <v>151840.04</v>
      </c>
      <c r="O973">
        <v>2302806.91</v>
      </c>
      <c r="P973">
        <v>410</v>
      </c>
      <c r="Q973" t="s">
        <v>74</v>
      </c>
      <c r="R973" t="s">
        <v>54</v>
      </c>
      <c r="S973" t="s">
        <v>86</v>
      </c>
      <c r="T973" t="s">
        <v>55</v>
      </c>
      <c r="U973" s="3">
        <f t="shared" si="15"/>
        <v>45962</v>
      </c>
    </row>
    <row r="974" spans="1:21" x14ac:dyDescent="0.35">
      <c r="A974" t="s">
        <v>2278</v>
      </c>
      <c r="B974" t="s">
        <v>891</v>
      </c>
      <c r="C974" t="s">
        <v>95</v>
      </c>
      <c r="D974" t="s">
        <v>2279</v>
      </c>
      <c r="E974" t="s">
        <v>70</v>
      </c>
      <c r="F974" t="s">
        <v>46</v>
      </c>
      <c r="G974" t="s">
        <v>47</v>
      </c>
      <c r="H974" t="s">
        <v>48</v>
      </c>
      <c r="I974" t="s">
        <v>40</v>
      </c>
      <c r="J974">
        <v>102873.86</v>
      </c>
      <c r="K974">
        <v>2022.47</v>
      </c>
      <c r="L974">
        <v>364.04</v>
      </c>
      <c r="M974">
        <v>378.23</v>
      </c>
      <c r="N974">
        <v>104882.14</v>
      </c>
      <c r="O974">
        <v>2309175.36</v>
      </c>
      <c r="P974">
        <v>893</v>
      </c>
      <c r="Q974" t="s">
        <v>53</v>
      </c>
      <c r="R974" t="s">
        <v>75</v>
      </c>
      <c r="S974" t="s">
        <v>31</v>
      </c>
      <c r="T974" t="s">
        <v>41</v>
      </c>
      <c r="U974" s="3">
        <f t="shared" si="15"/>
        <v>45658</v>
      </c>
    </row>
    <row r="975" spans="1:21" x14ac:dyDescent="0.35">
      <c r="A975" t="s">
        <v>2280</v>
      </c>
      <c r="B975" t="s">
        <v>927</v>
      </c>
      <c r="C975" t="s">
        <v>35</v>
      </c>
      <c r="D975" t="s">
        <v>1525</v>
      </c>
      <c r="E975" t="s">
        <v>45</v>
      </c>
      <c r="F975" t="s">
        <v>38</v>
      </c>
      <c r="G975" t="s">
        <v>47</v>
      </c>
      <c r="H975" t="s">
        <v>27</v>
      </c>
      <c r="I975" t="s">
        <v>28</v>
      </c>
      <c r="J975">
        <v>22003.42</v>
      </c>
      <c r="K975">
        <v>55.95</v>
      </c>
      <c r="L975">
        <v>10.07</v>
      </c>
      <c r="M975">
        <v>16.149999999999999</v>
      </c>
      <c r="N975">
        <v>22053.29</v>
      </c>
      <c r="O975">
        <v>2312808.2599999998</v>
      </c>
      <c r="P975">
        <v>500</v>
      </c>
      <c r="Q975" t="s">
        <v>74</v>
      </c>
      <c r="R975" t="s">
        <v>75</v>
      </c>
      <c r="S975" t="s">
        <v>62</v>
      </c>
      <c r="T975" t="s">
        <v>55</v>
      </c>
      <c r="U975" s="3">
        <f t="shared" si="15"/>
        <v>45748</v>
      </c>
    </row>
    <row r="976" spans="1:21" x14ac:dyDescent="0.35">
      <c r="A976" t="s">
        <v>2281</v>
      </c>
      <c r="B976" t="s">
        <v>518</v>
      </c>
      <c r="C976" t="s">
        <v>22</v>
      </c>
      <c r="D976" t="s">
        <v>2282</v>
      </c>
      <c r="E976" t="s">
        <v>24</v>
      </c>
      <c r="F976" t="s">
        <v>46</v>
      </c>
      <c r="G976" t="s">
        <v>103</v>
      </c>
      <c r="H976" t="s">
        <v>48</v>
      </c>
      <c r="I976" t="s">
        <v>40</v>
      </c>
      <c r="J976">
        <v>72379.7</v>
      </c>
      <c r="K976">
        <v>1317.28</v>
      </c>
      <c r="L976">
        <v>237.11</v>
      </c>
      <c r="M976">
        <v>356.24</v>
      </c>
      <c r="N976">
        <v>73577.850000000006</v>
      </c>
      <c r="O976">
        <v>2316030.2200000002</v>
      </c>
      <c r="P976">
        <v>699</v>
      </c>
      <c r="Q976" t="s">
        <v>53</v>
      </c>
      <c r="R976" t="s">
        <v>30</v>
      </c>
      <c r="S976" t="s">
        <v>62</v>
      </c>
      <c r="T976" t="s">
        <v>32</v>
      </c>
      <c r="U976" s="3">
        <f t="shared" si="15"/>
        <v>45839</v>
      </c>
    </row>
    <row r="977" spans="1:21" x14ac:dyDescent="0.35">
      <c r="A977" t="s">
        <v>2283</v>
      </c>
      <c r="B977" t="s">
        <v>2284</v>
      </c>
      <c r="C977" t="s">
        <v>95</v>
      </c>
      <c r="D977" t="s">
        <v>1448</v>
      </c>
      <c r="E977" t="s">
        <v>37</v>
      </c>
      <c r="F977" t="s">
        <v>46</v>
      </c>
      <c r="G977" t="s">
        <v>47</v>
      </c>
      <c r="H977" t="s">
        <v>48</v>
      </c>
      <c r="I977" t="s">
        <v>40</v>
      </c>
      <c r="J977">
        <v>136211.04999999999</v>
      </c>
      <c r="K977">
        <v>1995.14</v>
      </c>
      <c r="L977">
        <v>359.13</v>
      </c>
      <c r="M977">
        <v>197.64</v>
      </c>
      <c r="N977">
        <v>138367.67999999999</v>
      </c>
      <c r="O977">
        <v>2317564.35</v>
      </c>
      <c r="P977">
        <v>553</v>
      </c>
      <c r="Q977" t="s">
        <v>74</v>
      </c>
      <c r="R977" t="s">
        <v>54</v>
      </c>
      <c r="S977" t="s">
        <v>31</v>
      </c>
      <c r="T977" t="s">
        <v>41</v>
      </c>
      <c r="U977" s="3">
        <f t="shared" si="15"/>
        <v>45689</v>
      </c>
    </row>
    <row r="978" spans="1:21" x14ac:dyDescent="0.35">
      <c r="A978" t="s">
        <v>2285</v>
      </c>
      <c r="B978" t="s">
        <v>1156</v>
      </c>
      <c r="C978" t="s">
        <v>22</v>
      </c>
      <c r="D978" t="s">
        <v>2286</v>
      </c>
      <c r="E978" t="s">
        <v>24</v>
      </c>
      <c r="F978" t="s">
        <v>46</v>
      </c>
      <c r="G978" t="s">
        <v>26</v>
      </c>
      <c r="H978" t="s">
        <v>48</v>
      </c>
      <c r="I978" t="s">
        <v>61</v>
      </c>
      <c r="J978">
        <v>72080.98</v>
      </c>
      <c r="K978">
        <v>1047.33</v>
      </c>
      <c r="L978">
        <v>188.52</v>
      </c>
      <c r="M978">
        <v>478.53</v>
      </c>
      <c r="N978">
        <v>72838.3</v>
      </c>
      <c r="O978">
        <v>2313683.69</v>
      </c>
      <c r="P978">
        <v>900</v>
      </c>
      <c r="Q978" t="s">
        <v>74</v>
      </c>
      <c r="R978" t="s">
        <v>75</v>
      </c>
      <c r="S978" t="s">
        <v>62</v>
      </c>
      <c r="T978" t="s">
        <v>55</v>
      </c>
      <c r="U978" s="3">
        <f t="shared" si="15"/>
        <v>45717</v>
      </c>
    </row>
    <row r="979" spans="1:21" x14ac:dyDescent="0.35">
      <c r="A979" t="s">
        <v>2287</v>
      </c>
      <c r="B979" t="s">
        <v>251</v>
      </c>
      <c r="C979" t="s">
        <v>95</v>
      </c>
      <c r="D979" t="s">
        <v>2288</v>
      </c>
      <c r="E979" t="s">
        <v>24</v>
      </c>
      <c r="F979" t="s">
        <v>25</v>
      </c>
      <c r="G979" t="s">
        <v>26</v>
      </c>
      <c r="H979" t="s">
        <v>48</v>
      </c>
      <c r="I979" t="s">
        <v>61</v>
      </c>
      <c r="J979">
        <v>46778.92</v>
      </c>
      <c r="K979">
        <v>91.35</v>
      </c>
      <c r="L979">
        <v>16.440000000000001</v>
      </c>
      <c r="M979">
        <v>66.25</v>
      </c>
      <c r="N979">
        <v>46820.46</v>
      </c>
      <c r="O979">
        <v>2316203.5099999998</v>
      </c>
      <c r="P979">
        <v>795</v>
      </c>
      <c r="Q979" t="s">
        <v>74</v>
      </c>
      <c r="R979" t="s">
        <v>75</v>
      </c>
      <c r="S979" t="s">
        <v>62</v>
      </c>
      <c r="T979" t="s">
        <v>41</v>
      </c>
      <c r="U979" s="3">
        <f t="shared" si="15"/>
        <v>45992</v>
      </c>
    </row>
    <row r="980" spans="1:21" x14ac:dyDescent="0.35">
      <c r="A980" t="s">
        <v>2289</v>
      </c>
      <c r="B980" t="s">
        <v>1049</v>
      </c>
      <c r="C980" t="s">
        <v>95</v>
      </c>
      <c r="D980" t="s">
        <v>2290</v>
      </c>
      <c r="E980" t="s">
        <v>37</v>
      </c>
      <c r="F980" t="s">
        <v>59</v>
      </c>
      <c r="G980" t="s">
        <v>60</v>
      </c>
      <c r="H980" t="s">
        <v>66</v>
      </c>
      <c r="I980" t="s">
        <v>61</v>
      </c>
      <c r="J980">
        <v>137781.41</v>
      </c>
      <c r="K980">
        <v>1892.86</v>
      </c>
      <c r="L980">
        <v>340.71</v>
      </c>
      <c r="M980">
        <v>493.03</v>
      </c>
      <c r="N980">
        <v>139521.95000000001</v>
      </c>
      <c r="O980">
        <v>2312524.2999999998</v>
      </c>
      <c r="P980">
        <v>303</v>
      </c>
      <c r="Q980" t="s">
        <v>53</v>
      </c>
      <c r="R980" t="s">
        <v>30</v>
      </c>
      <c r="S980" t="s">
        <v>62</v>
      </c>
      <c r="T980" t="s">
        <v>32</v>
      </c>
      <c r="U980" s="3">
        <f t="shared" si="15"/>
        <v>45992</v>
      </c>
    </row>
    <row r="981" spans="1:21" x14ac:dyDescent="0.35">
      <c r="A981" t="s">
        <v>2291</v>
      </c>
      <c r="B981" t="s">
        <v>1283</v>
      </c>
      <c r="C981" t="s">
        <v>22</v>
      </c>
      <c r="D981" t="s">
        <v>2292</v>
      </c>
      <c r="E981" t="s">
        <v>70</v>
      </c>
      <c r="F981" t="s">
        <v>25</v>
      </c>
      <c r="G981" t="s">
        <v>103</v>
      </c>
      <c r="H981" t="s">
        <v>27</v>
      </c>
      <c r="I981" t="s">
        <v>61</v>
      </c>
      <c r="J981">
        <v>51119.03</v>
      </c>
      <c r="K981">
        <v>473.89</v>
      </c>
      <c r="L981">
        <v>85.3</v>
      </c>
      <c r="M981">
        <v>241.73</v>
      </c>
      <c r="N981">
        <v>51436.49</v>
      </c>
      <c r="O981">
        <v>2313403.5299999998</v>
      </c>
      <c r="P981">
        <v>783</v>
      </c>
      <c r="Q981" t="s">
        <v>53</v>
      </c>
      <c r="R981" t="s">
        <v>75</v>
      </c>
      <c r="S981" t="s">
        <v>86</v>
      </c>
      <c r="T981" t="s">
        <v>32</v>
      </c>
      <c r="U981" s="3">
        <f t="shared" si="15"/>
        <v>45809</v>
      </c>
    </row>
    <row r="982" spans="1:21" x14ac:dyDescent="0.35">
      <c r="A982" t="s">
        <v>2293</v>
      </c>
      <c r="B982" t="s">
        <v>2190</v>
      </c>
      <c r="C982" t="s">
        <v>35</v>
      </c>
      <c r="D982" t="s">
        <v>2294</v>
      </c>
      <c r="E982" t="s">
        <v>45</v>
      </c>
      <c r="F982" t="s">
        <v>25</v>
      </c>
      <c r="G982" t="s">
        <v>103</v>
      </c>
      <c r="H982" t="s">
        <v>27</v>
      </c>
      <c r="I982" t="s">
        <v>61</v>
      </c>
      <c r="J982">
        <v>82973.86</v>
      </c>
      <c r="K982">
        <v>1468.7</v>
      </c>
      <c r="L982">
        <v>264.37</v>
      </c>
      <c r="M982">
        <v>381.42</v>
      </c>
      <c r="N982">
        <v>84325.51</v>
      </c>
      <c r="O982">
        <v>2309390.75</v>
      </c>
      <c r="P982">
        <v>529</v>
      </c>
      <c r="Q982" t="s">
        <v>74</v>
      </c>
      <c r="R982" t="s">
        <v>30</v>
      </c>
      <c r="S982" t="s">
        <v>86</v>
      </c>
      <c r="T982" t="s">
        <v>41</v>
      </c>
      <c r="U982" s="3">
        <f t="shared" si="15"/>
        <v>45717</v>
      </c>
    </row>
    <row r="983" spans="1:21" x14ac:dyDescent="0.35">
      <c r="A983" t="s">
        <v>2295</v>
      </c>
      <c r="B983" t="s">
        <v>924</v>
      </c>
      <c r="C983" t="s">
        <v>95</v>
      </c>
      <c r="D983" t="s">
        <v>2296</v>
      </c>
      <c r="E983" t="s">
        <v>45</v>
      </c>
      <c r="F983" t="s">
        <v>25</v>
      </c>
      <c r="G983" t="s">
        <v>26</v>
      </c>
      <c r="H983" t="s">
        <v>39</v>
      </c>
      <c r="I983" t="s">
        <v>40</v>
      </c>
      <c r="J983">
        <v>191804.29</v>
      </c>
      <c r="K983">
        <v>3020.47</v>
      </c>
      <c r="L983">
        <v>543.67999999999995</v>
      </c>
      <c r="M983">
        <v>293.76</v>
      </c>
      <c r="N983">
        <v>195074.68</v>
      </c>
      <c r="O983">
        <v>2305713.0299999998</v>
      </c>
      <c r="P983">
        <v>622</v>
      </c>
      <c r="Q983" t="s">
        <v>53</v>
      </c>
      <c r="R983" t="s">
        <v>54</v>
      </c>
      <c r="S983" t="s">
        <v>79</v>
      </c>
      <c r="T983" t="s">
        <v>41</v>
      </c>
      <c r="U983" s="3">
        <f t="shared" si="15"/>
        <v>45748</v>
      </c>
    </row>
    <row r="984" spans="1:21" x14ac:dyDescent="0.35">
      <c r="A984" t="s">
        <v>2297</v>
      </c>
      <c r="B984" t="s">
        <v>267</v>
      </c>
      <c r="C984" t="s">
        <v>22</v>
      </c>
      <c r="D984" t="s">
        <v>2298</v>
      </c>
      <c r="E984" t="s">
        <v>45</v>
      </c>
      <c r="F984" t="s">
        <v>38</v>
      </c>
      <c r="G984" t="s">
        <v>26</v>
      </c>
      <c r="H984" t="s">
        <v>39</v>
      </c>
      <c r="I984" t="s">
        <v>61</v>
      </c>
      <c r="J984">
        <v>130651.07</v>
      </c>
      <c r="K984">
        <v>966.9</v>
      </c>
      <c r="L984">
        <v>174.04</v>
      </c>
      <c r="M984">
        <v>254.36</v>
      </c>
      <c r="N984">
        <v>131537.65</v>
      </c>
      <c r="O984">
        <v>2309023.5</v>
      </c>
      <c r="P984">
        <v>705</v>
      </c>
      <c r="Q984" t="s">
        <v>74</v>
      </c>
      <c r="R984" t="s">
        <v>54</v>
      </c>
      <c r="S984" t="s">
        <v>31</v>
      </c>
      <c r="T984" t="s">
        <v>41</v>
      </c>
      <c r="U984" s="3">
        <f t="shared" si="15"/>
        <v>45931</v>
      </c>
    </row>
    <row r="985" spans="1:21" x14ac:dyDescent="0.35">
      <c r="A985" t="s">
        <v>2299</v>
      </c>
      <c r="B985" t="s">
        <v>254</v>
      </c>
      <c r="C985" t="s">
        <v>95</v>
      </c>
      <c r="D985" t="s">
        <v>2300</v>
      </c>
      <c r="E985" t="s">
        <v>24</v>
      </c>
      <c r="F985" t="s">
        <v>46</v>
      </c>
      <c r="G985" t="s">
        <v>60</v>
      </c>
      <c r="H985" t="s">
        <v>52</v>
      </c>
      <c r="I985" t="s">
        <v>61</v>
      </c>
      <c r="J985">
        <v>166604.6</v>
      </c>
      <c r="K985">
        <v>3073.75</v>
      </c>
      <c r="L985">
        <v>553.27</v>
      </c>
      <c r="M985">
        <v>183.38</v>
      </c>
      <c r="N985">
        <v>170048.24</v>
      </c>
      <c r="O985">
        <v>2306676.0499999998</v>
      </c>
      <c r="P985">
        <v>896</v>
      </c>
      <c r="Q985" t="s">
        <v>74</v>
      </c>
      <c r="R985" t="s">
        <v>30</v>
      </c>
      <c r="S985" t="s">
        <v>86</v>
      </c>
      <c r="T985" t="s">
        <v>55</v>
      </c>
      <c r="U985" s="3">
        <f t="shared" si="15"/>
        <v>45809</v>
      </c>
    </row>
    <row r="986" spans="1:21" x14ac:dyDescent="0.35">
      <c r="A986" t="s">
        <v>2301</v>
      </c>
      <c r="B986" t="s">
        <v>245</v>
      </c>
      <c r="C986" t="s">
        <v>95</v>
      </c>
      <c r="D986" t="s">
        <v>2302</v>
      </c>
      <c r="E986" t="s">
        <v>24</v>
      </c>
      <c r="F986" t="s">
        <v>38</v>
      </c>
      <c r="G986" t="s">
        <v>26</v>
      </c>
      <c r="H986" t="s">
        <v>52</v>
      </c>
      <c r="I986" t="s">
        <v>40</v>
      </c>
      <c r="J986">
        <v>2292.17</v>
      </c>
      <c r="K986">
        <v>29.72</v>
      </c>
      <c r="L986">
        <v>5.35</v>
      </c>
      <c r="M986">
        <v>471.72</v>
      </c>
      <c r="N986">
        <v>1855.52</v>
      </c>
      <c r="O986">
        <v>2306362.02</v>
      </c>
      <c r="P986">
        <v>854</v>
      </c>
      <c r="Q986" t="s">
        <v>53</v>
      </c>
      <c r="R986" t="s">
        <v>30</v>
      </c>
      <c r="S986" t="s">
        <v>31</v>
      </c>
      <c r="T986" t="s">
        <v>32</v>
      </c>
      <c r="U986" s="3">
        <f t="shared" si="15"/>
        <v>45778</v>
      </c>
    </row>
    <row r="987" spans="1:21" x14ac:dyDescent="0.35">
      <c r="A987" t="s">
        <v>2303</v>
      </c>
      <c r="B987" t="s">
        <v>891</v>
      </c>
      <c r="C987" t="s">
        <v>35</v>
      </c>
      <c r="D987" t="s">
        <v>2304</v>
      </c>
      <c r="E987" t="s">
        <v>24</v>
      </c>
      <c r="F987" t="s">
        <v>25</v>
      </c>
      <c r="G987" t="s">
        <v>60</v>
      </c>
      <c r="H987" t="s">
        <v>39</v>
      </c>
      <c r="I987" t="s">
        <v>61</v>
      </c>
      <c r="J987">
        <v>172734.34</v>
      </c>
      <c r="K987">
        <v>983.27</v>
      </c>
      <c r="L987">
        <v>176.99</v>
      </c>
      <c r="M987">
        <v>301.69</v>
      </c>
      <c r="N987">
        <v>173592.91</v>
      </c>
      <c r="O987">
        <v>2315099.88</v>
      </c>
      <c r="P987">
        <v>404</v>
      </c>
      <c r="Q987" t="s">
        <v>53</v>
      </c>
      <c r="R987" t="s">
        <v>54</v>
      </c>
      <c r="S987" t="s">
        <v>62</v>
      </c>
      <c r="T987" t="s">
        <v>41</v>
      </c>
      <c r="U987" s="3">
        <f t="shared" si="15"/>
        <v>45658</v>
      </c>
    </row>
    <row r="988" spans="1:21" x14ac:dyDescent="0.35">
      <c r="A988" t="s">
        <v>2305</v>
      </c>
      <c r="B988" t="s">
        <v>158</v>
      </c>
      <c r="C988" t="s">
        <v>22</v>
      </c>
      <c r="D988" t="s">
        <v>2306</v>
      </c>
      <c r="E988" t="s">
        <v>24</v>
      </c>
      <c r="F988" t="s">
        <v>25</v>
      </c>
      <c r="G988" t="s">
        <v>103</v>
      </c>
      <c r="H988" t="s">
        <v>27</v>
      </c>
      <c r="I988" t="s">
        <v>61</v>
      </c>
      <c r="J988">
        <v>127165.98</v>
      </c>
      <c r="K988">
        <v>397.76</v>
      </c>
      <c r="L988">
        <v>71.599999999999994</v>
      </c>
      <c r="M988">
        <v>261.24</v>
      </c>
      <c r="N988">
        <v>127374.1</v>
      </c>
      <c r="O988">
        <v>2324880.5699999998</v>
      </c>
      <c r="P988">
        <v>302</v>
      </c>
      <c r="Q988" t="s">
        <v>29</v>
      </c>
      <c r="R988" t="s">
        <v>54</v>
      </c>
      <c r="S988" t="s">
        <v>62</v>
      </c>
      <c r="T988" t="s">
        <v>55</v>
      </c>
      <c r="U988" s="3">
        <f t="shared" si="15"/>
        <v>45992</v>
      </c>
    </row>
    <row r="989" spans="1:21" x14ac:dyDescent="0.35">
      <c r="A989" t="s">
        <v>2307</v>
      </c>
      <c r="B989" t="s">
        <v>1360</v>
      </c>
      <c r="C989" t="s">
        <v>22</v>
      </c>
      <c r="D989" t="s">
        <v>513</v>
      </c>
      <c r="E989" t="s">
        <v>70</v>
      </c>
      <c r="F989" t="s">
        <v>59</v>
      </c>
      <c r="G989" t="s">
        <v>47</v>
      </c>
      <c r="H989" t="s">
        <v>39</v>
      </c>
      <c r="I989" t="s">
        <v>28</v>
      </c>
      <c r="J989">
        <v>154567.20000000001</v>
      </c>
      <c r="K989">
        <v>1566.87</v>
      </c>
      <c r="L989">
        <v>282.04000000000002</v>
      </c>
      <c r="M989">
        <v>409.85</v>
      </c>
      <c r="N989">
        <v>156006.26</v>
      </c>
      <c r="O989">
        <v>2333354.33</v>
      </c>
      <c r="P989">
        <v>652</v>
      </c>
      <c r="Q989" t="s">
        <v>74</v>
      </c>
      <c r="R989" t="s">
        <v>54</v>
      </c>
      <c r="S989" t="s">
        <v>86</v>
      </c>
      <c r="T989" t="s">
        <v>55</v>
      </c>
      <c r="U989" s="3">
        <f t="shared" si="15"/>
        <v>45778</v>
      </c>
    </row>
    <row r="990" spans="1:21" x14ac:dyDescent="0.35">
      <c r="A990" t="s">
        <v>2308</v>
      </c>
      <c r="B990" t="s">
        <v>807</v>
      </c>
      <c r="C990" t="s">
        <v>35</v>
      </c>
      <c r="D990" t="s">
        <v>2309</v>
      </c>
      <c r="E990" t="s">
        <v>45</v>
      </c>
      <c r="F990" t="s">
        <v>46</v>
      </c>
      <c r="G990" t="s">
        <v>103</v>
      </c>
      <c r="H990" t="s">
        <v>27</v>
      </c>
      <c r="I990" t="s">
        <v>61</v>
      </c>
      <c r="J990">
        <v>150839.20000000001</v>
      </c>
      <c r="K990">
        <v>1779.63</v>
      </c>
      <c r="L990">
        <v>320.33</v>
      </c>
      <c r="M990">
        <v>487.95</v>
      </c>
      <c r="N990">
        <v>152451.21</v>
      </c>
      <c r="O990">
        <v>2331900.4700000002</v>
      </c>
      <c r="P990">
        <v>771</v>
      </c>
      <c r="Q990" t="s">
        <v>74</v>
      </c>
      <c r="R990" t="s">
        <v>75</v>
      </c>
      <c r="S990" t="s">
        <v>31</v>
      </c>
      <c r="T990" t="s">
        <v>41</v>
      </c>
      <c r="U990" s="3">
        <f t="shared" si="15"/>
        <v>45839</v>
      </c>
    </row>
    <row r="991" spans="1:21" x14ac:dyDescent="0.35">
      <c r="A991" t="s">
        <v>2310</v>
      </c>
      <c r="B991" t="s">
        <v>823</v>
      </c>
      <c r="C991" t="s">
        <v>22</v>
      </c>
      <c r="D991" t="s">
        <v>2311</v>
      </c>
      <c r="E991" t="s">
        <v>24</v>
      </c>
      <c r="F991" t="s">
        <v>25</v>
      </c>
      <c r="G991" t="s">
        <v>26</v>
      </c>
      <c r="H991" t="s">
        <v>39</v>
      </c>
      <c r="I991" t="s">
        <v>61</v>
      </c>
      <c r="J991">
        <v>62742.02</v>
      </c>
      <c r="K991">
        <v>810.33</v>
      </c>
      <c r="L991">
        <v>145.86000000000001</v>
      </c>
      <c r="M991">
        <v>214.46</v>
      </c>
      <c r="N991">
        <v>63483.75</v>
      </c>
      <c r="O991">
        <v>2333875.25</v>
      </c>
      <c r="P991">
        <v>747</v>
      </c>
      <c r="Q991" t="s">
        <v>74</v>
      </c>
      <c r="R991" t="s">
        <v>30</v>
      </c>
      <c r="S991" t="s">
        <v>62</v>
      </c>
      <c r="T991" t="s">
        <v>32</v>
      </c>
      <c r="U991" s="3">
        <f t="shared" si="15"/>
        <v>45748</v>
      </c>
    </row>
    <row r="992" spans="1:21" x14ac:dyDescent="0.35">
      <c r="A992" t="s">
        <v>2312</v>
      </c>
      <c r="B992" t="s">
        <v>1287</v>
      </c>
      <c r="C992" t="s">
        <v>95</v>
      </c>
      <c r="D992" t="s">
        <v>2313</v>
      </c>
      <c r="E992" t="s">
        <v>45</v>
      </c>
      <c r="F992" t="s">
        <v>25</v>
      </c>
      <c r="G992" t="s">
        <v>26</v>
      </c>
      <c r="H992" t="s">
        <v>52</v>
      </c>
      <c r="I992" t="s">
        <v>40</v>
      </c>
      <c r="J992">
        <v>90711.78</v>
      </c>
      <c r="K992">
        <v>346.74</v>
      </c>
      <c r="L992">
        <v>62.41</v>
      </c>
      <c r="M992">
        <v>446.94</v>
      </c>
      <c r="N992">
        <v>90673.99</v>
      </c>
      <c r="O992">
        <v>2333147.36</v>
      </c>
      <c r="P992">
        <v>872</v>
      </c>
      <c r="Q992" t="s">
        <v>29</v>
      </c>
      <c r="R992" t="s">
        <v>54</v>
      </c>
      <c r="S992" t="s">
        <v>86</v>
      </c>
      <c r="T992" t="s">
        <v>32</v>
      </c>
      <c r="U992" s="3">
        <f t="shared" si="15"/>
        <v>45992</v>
      </c>
    </row>
    <row r="993" spans="1:21" x14ac:dyDescent="0.35">
      <c r="A993" t="s">
        <v>2314</v>
      </c>
      <c r="B993" t="s">
        <v>965</v>
      </c>
      <c r="C993" t="s">
        <v>22</v>
      </c>
      <c r="D993" t="s">
        <v>2315</v>
      </c>
      <c r="E993" t="s">
        <v>24</v>
      </c>
      <c r="F993" t="s">
        <v>38</v>
      </c>
      <c r="G993" t="s">
        <v>26</v>
      </c>
      <c r="H993" t="s">
        <v>66</v>
      </c>
      <c r="I993" t="s">
        <v>40</v>
      </c>
      <c r="J993">
        <v>23506.02</v>
      </c>
      <c r="K993">
        <v>30.32</v>
      </c>
      <c r="L993">
        <v>5.46</v>
      </c>
      <c r="M993">
        <v>242.72</v>
      </c>
      <c r="N993">
        <v>23299.08</v>
      </c>
      <c r="O993">
        <v>2335855.4300000002</v>
      </c>
      <c r="P993">
        <v>709</v>
      </c>
      <c r="Q993" t="s">
        <v>53</v>
      </c>
      <c r="R993" t="s">
        <v>54</v>
      </c>
      <c r="S993" t="s">
        <v>31</v>
      </c>
      <c r="T993" t="s">
        <v>41</v>
      </c>
      <c r="U993" s="3">
        <f t="shared" si="15"/>
        <v>45658</v>
      </c>
    </row>
    <row r="994" spans="1:21" x14ac:dyDescent="0.35">
      <c r="A994" t="s">
        <v>2316</v>
      </c>
      <c r="B994" t="s">
        <v>2317</v>
      </c>
      <c r="C994" t="s">
        <v>35</v>
      </c>
      <c r="D994" t="s">
        <v>2318</v>
      </c>
      <c r="E994" t="s">
        <v>45</v>
      </c>
      <c r="F994" t="s">
        <v>46</v>
      </c>
      <c r="G994" t="s">
        <v>47</v>
      </c>
      <c r="H994" t="s">
        <v>39</v>
      </c>
      <c r="I994" t="s">
        <v>28</v>
      </c>
      <c r="J994">
        <v>17401.55</v>
      </c>
      <c r="K994">
        <v>66.88</v>
      </c>
      <c r="L994">
        <v>12.04</v>
      </c>
      <c r="M994">
        <v>424.09</v>
      </c>
      <c r="N994">
        <v>17056.38</v>
      </c>
      <c r="O994">
        <v>2336110.5099999998</v>
      </c>
      <c r="P994">
        <v>533</v>
      </c>
      <c r="Q994" t="s">
        <v>74</v>
      </c>
      <c r="R994" t="s">
        <v>75</v>
      </c>
      <c r="S994" t="s">
        <v>31</v>
      </c>
      <c r="T994" t="s">
        <v>55</v>
      </c>
      <c r="U994" s="3">
        <f t="shared" si="15"/>
        <v>45717</v>
      </c>
    </row>
    <row r="995" spans="1:21" x14ac:dyDescent="0.35">
      <c r="A995" t="s">
        <v>2319</v>
      </c>
      <c r="B995" t="s">
        <v>373</v>
      </c>
      <c r="C995" t="s">
        <v>95</v>
      </c>
      <c r="D995" t="s">
        <v>2320</v>
      </c>
      <c r="E995" t="s">
        <v>45</v>
      </c>
      <c r="F995" t="s">
        <v>46</v>
      </c>
      <c r="G995" t="s">
        <v>60</v>
      </c>
      <c r="H995" t="s">
        <v>27</v>
      </c>
      <c r="I995" t="s">
        <v>28</v>
      </c>
      <c r="J995">
        <v>177937.61</v>
      </c>
      <c r="K995">
        <v>3370.8</v>
      </c>
      <c r="L995">
        <v>606.74</v>
      </c>
      <c r="M995">
        <v>116.37</v>
      </c>
      <c r="N995">
        <v>181798.78</v>
      </c>
      <c r="O995">
        <v>2336181.02</v>
      </c>
      <c r="P995">
        <v>521</v>
      </c>
      <c r="Q995" t="s">
        <v>29</v>
      </c>
      <c r="R995" t="s">
        <v>30</v>
      </c>
      <c r="S995" t="s">
        <v>62</v>
      </c>
      <c r="T995" t="s">
        <v>41</v>
      </c>
      <c r="U995" s="3">
        <f t="shared" si="15"/>
        <v>45809</v>
      </c>
    </row>
    <row r="996" spans="1:21" x14ac:dyDescent="0.35">
      <c r="A996" t="s">
        <v>2321</v>
      </c>
      <c r="B996" t="s">
        <v>181</v>
      </c>
      <c r="C996" t="s">
        <v>95</v>
      </c>
      <c r="D996" t="s">
        <v>2322</v>
      </c>
      <c r="E996" t="s">
        <v>70</v>
      </c>
      <c r="F996" t="s">
        <v>59</v>
      </c>
      <c r="G996" t="s">
        <v>60</v>
      </c>
      <c r="H996" t="s">
        <v>39</v>
      </c>
      <c r="I996" t="s">
        <v>40</v>
      </c>
      <c r="J996">
        <v>136231.23000000001</v>
      </c>
      <c r="K996">
        <v>1737.62</v>
      </c>
      <c r="L996">
        <v>312.77</v>
      </c>
      <c r="M996">
        <v>128.80000000000001</v>
      </c>
      <c r="N996">
        <v>138152.82</v>
      </c>
      <c r="O996">
        <v>2343839.81</v>
      </c>
      <c r="P996">
        <v>554</v>
      </c>
      <c r="Q996" t="s">
        <v>53</v>
      </c>
      <c r="R996" t="s">
        <v>30</v>
      </c>
      <c r="S996" t="s">
        <v>31</v>
      </c>
      <c r="T996" t="s">
        <v>32</v>
      </c>
      <c r="U996" s="3">
        <f t="shared" si="15"/>
        <v>45778</v>
      </c>
    </row>
    <row r="997" spans="1:21" x14ac:dyDescent="0.35">
      <c r="A997" t="s">
        <v>2323</v>
      </c>
      <c r="B997" t="s">
        <v>691</v>
      </c>
      <c r="C997" t="s">
        <v>35</v>
      </c>
      <c r="D997" t="s">
        <v>2324</v>
      </c>
      <c r="E997" t="s">
        <v>24</v>
      </c>
      <c r="F997" t="s">
        <v>46</v>
      </c>
      <c r="G997" t="s">
        <v>26</v>
      </c>
      <c r="H997" t="s">
        <v>48</v>
      </c>
      <c r="I997" t="s">
        <v>61</v>
      </c>
      <c r="J997">
        <v>70124.240000000005</v>
      </c>
      <c r="K997">
        <v>1192.05</v>
      </c>
      <c r="L997">
        <v>214.57</v>
      </c>
      <c r="M997">
        <v>11.55</v>
      </c>
      <c r="N997">
        <v>71519.31</v>
      </c>
      <c r="O997">
        <v>2347156.7999999998</v>
      </c>
      <c r="P997">
        <v>412</v>
      </c>
      <c r="Q997" t="s">
        <v>74</v>
      </c>
      <c r="R997" t="s">
        <v>54</v>
      </c>
      <c r="S997" t="s">
        <v>79</v>
      </c>
      <c r="T997" t="s">
        <v>32</v>
      </c>
      <c r="U997" s="3">
        <f t="shared" si="15"/>
        <v>45992</v>
      </c>
    </row>
    <row r="998" spans="1:21" x14ac:dyDescent="0.35">
      <c r="A998" t="s">
        <v>2325</v>
      </c>
      <c r="B998" t="s">
        <v>2082</v>
      </c>
      <c r="C998" t="s">
        <v>95</v>
      </c>
      <c r="D998" t="s">
        <v>2326</v>
      </c>
      <c r="E998" t="s">
        <v>70</v>
      </c>
      <c r="F998" t="s">
        <v>46</v>
      </c>
      <c r="G998" t="s">
        <v>103</v>
      </c>
      <c r="H998" t="s">
        <v>52</v>
      </c>
      <c r="I998" t="s">
        <v>40</v>
      </c>
      <c r="J998">
        <v>15633.69</v>
      </c>
      <c r="K998">
        <v>79.55</v>
      </c>
      <c r="L998">
        <v>14.32</v>
      </c>
      <c r="M998">
        <v>428.41</v>
      </c>
      <c r="N998">
        <v>15299.15</v>
      </c>
      <c r="O998">
        <v>2356477.46</v>
      </c>
      <c r="P998">
        <v>619</v>
      </c>
      <c r="Q998" t="s">
        <v>29</v>
      </c>
      <c r="R998" t="s">
        <v>30</v>
      </c>
      <c r="S998" t="s">
        <v>79</v>
      </c>
      <c r="T998" t="s">
        <v>55</v>
      </c>
      <c r="U998" s="3">
        <f t="shared" si="15"/>
        <v>45992</v>
      </c>
    </row>
    <row r="999" spans="1:21" x14ac:dyDescent="0.35">
      <c r="A999" t="s">
        <v>2327</v>
      </c>
      <c r="B999" t="s">
        <v>787</v>
      </c>
      <c r="C999" t="s">
        <v>22</v>
      </c>
      <c r="D999" t="s">
        <v>2328</v>
      </c>
      <c r="E999" t="s">
        <v>45</v>
      </c>
      <c r="F999" t="s">
        <v>38</v>
      </c>
      <c r="G999" t="s">
        <v>60</v>
      </c>
      <c r="H999" t="s">
        <v>52</v>
      </c>
      <c r="I999" t="s">
        <v>40</v>
      </c>
      <c r="J999">
        <v>190439.44</v>
      </c>
      <c r="K999">
        <v>2338.8200000000002</v>
      </c>
      <c r="L999">
        <v>420.99</v>
      </c>
      <c r="M999">
        <v>462.04</v>
      </c>
      <c r="N999">
        <v>192737.21</v>
      </c>
      <c r="O999">
        <v>2353287.58</v>
      </c>
      <c r="P999">
        <v>889</v>
      </c>
      <c r="Q999" t="s">
        <v>53</v>
      </c>
      <c r="R999" t="s">
        <v>54</v>
      </c>
      <c r="S999" t="s">
        <v>79</v>
      </c>
      <c r="T999" t="s">
        <v>41</v>
      </c>
      <c r="U999" s="3">
        <f t="shared" si="15"/>
        <v>45931</v>
      </c>
    </row>
    <row r="1000" spans="1:21" x14ac:dyDescent="0.35">
      <c r="A1000" t="s">
        <v>2329</v>
      </c>
      <c r="B1000" t="s">
        <v>847</v>
      </c>
      <c r="C1000" t="s">
        <v>95</v>
      </c>
      <c r="D1000" t="s">
        <v>2330</v>
      </c>
      <c r="E1000" t="s">
        <v>45</v>
      </c>
      <c r="F1000" t="s">
        <v>59</v>
      </c>
      <c r="G1000" t="s">
        <v>26</v>
      </c>
      <c r="H1000" t="s">
        <v>66</v>
      </c>
      <c r="I1000" t="s">
        <v>61</v>
      </c>
      <c r="J1000">
        <v>187941.49</v>
      </c>
      <c r="K1000">
        <v>1640.42</v>
      </c>
      <c r="L1000">
        <v>295.27999999999997</v>
      </c>
      <c r="M1000">
        <v>409.13</v>
      </c>
      <c r="N1000">
        <v>189468.06</v>
      </c>
      <c r="O1000">
        <v>2349302.71</v>
      </c>
      <c r="P1000">
        <v>567</v>
      </c>
      <c r="Q1000" t="s">
        <v>74</v>
      </c>
      <c r="R1000" t="s">
        <v>54</v>
      </c>
      <c r="S1000" t="s">
        <v>79</v>
      </c>
      <c r="T1000" t="s">
        <v>55</v>
      </c>
      <c r="U1000" s="3">
        <f t="shared" si="15"/>
        <v>45901</v>
      </c>
    </row>
    <row r="1001" spans="1:21" x14ac:dyDescent="0.35">
      <c r="A1001" t="s">
        <v>2331</v>
      </c>
      <c r="B1001" t="s">
        <v>819</v>
      </c>
      <c r="C1001" t="s">
        <v>95</v>
      </c>
      <c r="D1001" t="s">
        <v>2332</v>
      </c>
      <c r="E1001" t="s">
        <v>37</v>
      </c>
      <c r="F1001" t="s">
        <v>46</v>
      </c>
      <c r="G1001" t="s">
        <v>103</v>
      </c>
      <c r="H1001" t="s">
        <v>39</v>
      </c>
      <c r="I1001" t="s">
        <v>61</v>
      </c>
      <c r="J1001">
        <v>199418.76</v>
      </c>
      <c r="K1001">
        <v>2866.91</v>
      </c>
      <c r="L1001">
        <v>516.04</v>
      </c>
      <c r="M1001">
        <v>277.42</v>
      </c>
      <c r="N1001">
        <v>202524.29</v>
      </c>
      <c r="O1001">
        <v>2352769.6</v>
      </c>
      <c r="P1001">
        <v>501</v>
      </c>
      <c r="Q1001" t="s">
        <v>29</v>
      </c>
      <c r="R1001" t="s">
        <v>75</v>
      </c>
      <c r="S1001" t="s">
        <v>79</v>
      </c>
      <c r="T1001" t="s">
        <v>32</v>
      </c>
      <c r="U1001" s="3">
        <f t="shared" si="15"/>
        <v>45717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Finance_Data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Shejila Abbas</cp:lastModifiedBy>
  <dcterms:created xsi:type="dcterms:W3CDTF">2026-06-27T06:31:07Z</dcterms:created>
  <dcterms:modified xsi:type="dcterms:W3CDTF">2026-07-03T05:46:57Z</dcterms:modified>
</cp:coreProperties>
</file>