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a4d920b149924a59/Desktop/EXCEL/"/>
    </mc:Choice>
  </mc:AlternateContent>
  <xr:revisionPtr revIDLastSave="13" documentId="13_ncr:1_{7A501DF5-93BE-456B-A636-234A79386FE1}" xr6:coauthVersionLast="47" xr6:coauthVersionMax="47" xr10:uidLastSave="{D1662C5D-474C-4C73-9C32-563F5DAC5566}"/>
  <bookViews>
    <workbookView xWindow="-110" yWindow="-110" windowWidth="19420" windowHeight="10300" activeTab="1" xr2:uid="{00000000-000D-0000-FFFF-FFFF00000000}"/>
  </bookViews>
  <sheets>
    <sheet name="Pivot table" sheetId="4" r:id="rId1"/>
    <sheet name="Dashboard" sheetId="5" r:id="rId2"/>
    <sheet name="Marketing_Sales_Data" sheetId="1" r:id="rId3"/>
  </sheets>
  <definedNames>
    <definedName name="Slicer_Marketing_Channel">#N/A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 r="A99" i="4"/>
  <c r="H6" i="4"/>
  <c r="A75" i="4"/>
  <c r="F99" i="4"/>
  <c r="D99" i="4"/>
</calcChain>
</file>

<file path=xl/sharedStrings.xml><?xml version="1.0" encoding="utf-8"?>
<sst xmlns="http://schemas.openxmlformats.org/spreadsheetml/2006/main" count="9061" uniqueCount="1402">
  <si>
    <t>Order_ID</t>
  </si>
  <si>
    <t>Order_Date</t>
  </si>
  <si>
    <t>Region</t>
  </si>
  <si>
    <t>Salesperson</t>
  </si>
  <si>
    <t>Customer_Segment</t>
  </si>
  <si>
    <t>Product_Category</t>
  </si>
  <si>
    <t>Product</t>
  </si>
  <si>
    <t>Units_Sold</t>
  </si>
  <si>
    <t>Unit_Price</t>
  </si>
  <si>
    <t>Sales_Amount</t>
  </si>
  <si>
    <t>Marketing_Channel</t>
  </si>
  <si>
    <t>Campaign</t>
  </si>
  <si>
    <t>Profit</t>
  </si>
  <si>
    <t>ORD0001</t>
  </si>
  <si>
    <t>2025-02-06</t>
  </si>
  <si>
    <t>West</t>
  </si>
  <si>
    <t>Vikas</t>
  </si>
  <si>
    <t>Small Business</t>
  </si>
  <si>
    <t>Electronics</t>
  </si>
  <si>
    <t>Laptop</t>
  </si>
  <si>
    <t>Facebook</t>
  </si>
  <si>
    <t>Referral</t>
  </si>
  <si>
    <t>ORD0002</t>
  </si>
  <si>
    <t>2025-03-04</t>
  </si>
  <si>
    <t>East</t>
  </si>
  <si>
    <t>Rahul</t>
  </si>
  <si>
    <t>Consumer</t>
  </si>
  <si>
    <t>Accessories</t>
  </si>
  <si>
    <t>Mouse</t>
  </si>
  <si>
    <t>Email</t>
  </si>
  <si>
    <t>ORD0003</t>
  </si>
  <si>
    <t>2025-05-07</t>
  </si>
  <si>
    <t>North</t>
  </si>
  <si>
    <t>Arjun</t>
  </si>
  <si>
    <t>Festive Offer</t>
  </si>
  <si>
    <t>ORD0004</t>
  </si>
  <si>
    <t>2026-01-01</t>
  </si>
  <si>
    <t>Clothing</t>
  </si>
  <si>
    <t>Jacket</t>
  </si>
  <si>
    <t>New Launch</t>
  </si>
  <si>
    <t>ORD0005</t>
  </si>
  <si>
    <t>2025-05-11</t>
  </si>
  <si>
    <t>Amit</t>
  </si>
  <si>
    <t>Corporate</t>
  </si>
  <si>
    <t>Furniture</t>
  </si>
  <si>
    <t>Chair</t>
  </si>
  <si>
    <t>ORD0006</t>
  </si>
  <si>
    <t>South</t>
  </si>
  <si>
    <t>Enterprise</t>
  </si>
  <si>
    <t>Instagram</t>
  </si>
  <si>
    <t>Summer Sale</t>
  </si>
  <si>
    <t>ORD0007</t>
  </si>
  <si>
    <t>2025-03-27</t>
  </si>
  <si>
    <t>Anjali</t>
  </si>
  <si>
    <t>ORD0008</t>
  </si>
  <si>
    <t>2025-08-14</t>
  </si>
  <si>
    <t>Shirt</t>
  </si>
  <si>
    <t>ORD0009</t>
  </si>
  <si>
    <t>2025-03-06</t>
  </si>
  <si>
    <t>ORD0010</t>
  </si>
  <si>
    <t>2025-09-01</t>
  </si>
  <si>
    <t>ORD0011</t>
  </si>
  <si>
    <t>2025-04-30</t>
  </si>
  <si>
    <t>LinkedIn</t>
  </si>
  <si>
    <t>ORD0012</t>
  </si>
  <si>
    <t>2025-02-12</t>
  </si>
  <si>
    <t>Google Ads</t>
  </si>
  <si>
    <t>ORD0013</t>
  </si>
  <si>
    <t>2025-06-13</t>
  </si>
  <si>
    <t>Sneha</t>
  </si>
  <si>
    <t>ORD0014</t>
  </si>
  <si>
    <t>2025-09-16</t>
  </si>
  <si>
    <t>ORD0015</t>
  </si>
  <si>
    <t>2025-03-22</t>
  </si>
  <si>
    <t>Priya</t>
  </si>
  <si>
    <t>ORD0016</t>
  </si>
  <si>
    <t>2025-11-04</t>
  </si>
  <si>
    <t>Brand Awareness</t>
  </si>
  <si>
    <t>ORD0017</t>
  </si>
  <si>
    <t>2025-09-10</t>
  </si>
  <si>
    <t>ORD0018</t>
  </si>
  <si>
    <t>2025-07-22</t>
  </si>
  <si>
    <t>YouTube</t>
  </si>
  <si>
    <t>ORD0019</t>
  </si>
  <si>
    <t>2025-04-10</t>
  </si>
  <si>
    <t>Table</t>
  </si>
  <si>
    <t>ORD0020</t>
  </si>
  <si>
    <t>2025-12-18</t>
  </si>
  <si>
    <t>ORD0021</t>
  </si>
  <si>
    <t>2025-02-07</t>
  </si>
  <si>
    <t>ORD0022</t>
  </si>
  <si>
    <t>2025-06-09</t>
  </si>
  <si>
    <t>ORD0023</t>
  </si>
  <si>
    <t>2025-12-20</t>
  </si>
  <si>
    <t>ORD0024</t>
  </si>
  <si>
    <t>2025-10-22</t>
  </si>
  <si>
    <t>Headphones</t>
  </si>
  <si>
    <t>ORD0025</t>
  </si>
  <si>
    <t>2025-05-22</t>
  </si>
  <si>
    <t>ORD0026</t>
  </si>
  <si>
    <t>2025-11-01</t>
  </si>
  <si>
    <t>ORD0027</t>
  </si>
  <si>
    <t>2025-10-30</t>
  </si>
  <si>
    <t>ORD0028</t>
  </si>
  <si>
    <t>2025-10-23</t>
  </si>
  <si>
    <t>Monitor</t>
  </si>
  <si>
    <t>ORD0029</t>
  </si>
  <si>
    <t>2025-05-30</t>
  </si>
  <si>
    <t>ORD0030</t>
  </si>
  <si>
    <t>2025-12-13</t>
  </si>
  <si>
    <t>ORD0031</t>
  </si>
  <si>
    <t>2025-09-05</t>
  </si>
  <si>
    <t>ORD0032</t>
  </si>
  <si>
    <t>2025-08-03</t>
  </si>
  <si>
    <t>ORD0033</t>
  </si>
  <si>
    <t>2025-10-18</t>
  </si>
  <si>
    <t>Neha</t>
  </si>
  <si>
    <t>ORD0034</t>
  </si>
  <si>
    <t>ORD0035</t>
  </si>
  <si>
    <t>2025-03-15</t>
  </si>
  <si>
    <t>ORD0036</t>
  </si>
  <si>
    <t>2025-07-07</t>
  </si>
  <si>
    <t>ORD0037</t>
  </si>
  <si>
    <t>2025-09-26</t>
  </si>
  <si>
    <t>ORD0038</t>
  </si>
  <si>
    <t>2025-05-29</t>
  </si>
  <si>
    <t>ORD0039</t>
  </si>
  <si>
    <t>2025-09-13</t>
  </si>
  <si>
    <t>ORD0040</t>
  </si>
  <si>
    <t>2025-11-21</t>
  </si>
  <si>
    <t>ORD0041</t>
  </si>
  <si>
    <t>2025-11-15</t>
  </si>
  <si>
    <t>ORD0042</t>
  </si>
  <si>
    <t>2025-10-20</t>
  </si>
  <si>
    <t>ORD0043</t>
  </si>
  <si>
    <t>ORD0044</t>
  </si>
  <si>
    <t>2025-08-19</t>
  </si>
  <si>
    <t>ORD0045</t>
  </si>
  <si>
    <t>2025-05-26</t>
  </si>
  <si>
    <t>ORD0046</t>
  </si>
  <si>
    <t>2025-04-04</t>
  </si>
  <si>
    <t>ORD0047</t>
  </si>
  <si>
    <t>2025-01-29</t>
  </si>
  <si>
    <t>ORD0048</t>
  </si>
  <si>
    <t>2025-12-22</t>
  </si>
  <si>
    <t>ORD0049</t>
  </si>
  <si>
    <t>2025-11-24</t>
  </si>
  <si>
    <t>ORD0050</t>
  </si>
  <si>
    <t>2025-05-10</t>
  </si>
  <si>
    <t>ORD0051</t>
  </si>
  <si>
    <t>2025-05-16</t>
  </si>
  <si>
    <t>ORD0052</t>
  </si>
  <si>
    <t>2025-12-27</t>
  </si>
  <si>
    <t>ORD0053</t>
  </si>
  <si>
    <t>2025-03-24</t>
  </si>
  <si>
    <t>ORD0054</t>
  </si>
  <si>
    <t>2025-03-11</t>
  </si>
  <si>
    <t>ORD0055</t>
  </si>
  <si>
    <t>2025-05-24</t>
  </si>
  <si>
    <t>ORD0056</t>
  </si>
  <si>
    <t>2025-10-28</t>
  </si>
  <si>
    <t>ORD0057</t>
  </si>
  <si>
    <t>2025-12-12</t>
  </si>
  <si>
    <t>ORD0058</t>
  </si>
  <si>
    <t>2025-01-14</t>
  </si>
  <si>
    <t>ORD0059</t>
  </si>
  <si>
    <t>2025-04-02</t>
  </si>
  <si>
    <t>ORD0060</t>
  </si>
  <si>
    <t>2025-12-05</t>
  </si>
  <si>
    <t>ORD0061</t>
  </si>
  <si>
    <t>2025-07-28</t>
  </si>
  <si>
    <t>ORD0062</t>
  </si>
  <si>
    <t>2025-04-22</t>
  </si>
  <si>
    <t>ORD0063</t>
  </si>
  <si>
    <t>2025-12-04</t>
  </si>
  <si>
    <t>ORD0064</t>
  </si>
  <si>
    <t>2025-05-28</t>
  </si>
  <si>
    <t>ORD0065</t>
  </si>
  <si>
    <t>2025-09-20</t>
  </si>
  <si>
    <t>ORD0066</t>
  </si>
  <si>
    <t>2025-08-05</t>
  </si>
  <si>
    <t>ORD0067</t>
  </si>
  <si>
    <t>2025-08-27</t>
  </si>
  <si>
    <t>ORD0068</t>
  </si>
  <si>
    <t>2025-02-15</t>
  </si>
  <si>
    <t>ORD0069</t>
  </si>
  <si>
    <t>2025-07-19</t>
  </si>
  <si>
    <t>ORD0070</t>
  </si>
  <si>
    <t>ORD0071</t>
  </si>
  <si>
    <t>2025-09-06</t>
  </si>
  <si>
    <t>ORD0072</t>
  </si>
  <si>
    <t>2025-07-04</t>
  </si>
  <si>
    <t>ORD0073</t>
  </si>
  <si>
    <t>2025-04-25</t>
  </si>
  <si>
    <t>ORD0074</t>
  </si>
  <si>
    <t>2025-02-10</t>
  </si>
  <si>
    <t>ORD0075</t>
  </si>
  <si>
    <t>2025-08-01</t>
  </si>
  <si>
    <t>ORD0076</t>
  </si>
  <si>
    <t>2025-08-09</t>
  </si>
  <si>
    <t>ORD0077</t>
  </si>
  <si>
    <t>2025-12-14</t>
  </si>
  <si>
    <t>ORD0078</t>
  </si>
  <si>
    <t>2025-02-28</t>
  </si>
  <si>
    <t>ORD0079</t>
  </si>
  <si>
    <t>2025-01-11</t>
  </si>
  <si>
    <t>ORD0080</t>
  </si>
  <si>
    <t>2025-12-07</t>
  </si>
  <si>
    <t>ORD0081</t>
  </si>
  <si>
    <t>2025-05-08</t>
  </si>
  <si>
    <t>ORD0082</t>
  </si>
  <si>
    <t>2025-07-03</t>
  </si>
  <si>
    <t>ORD0083</t>
  </si>
  <si>
    <t>2025-11-19</t>
  </si>
  <si>
    <t>ORD0084</t>
  </si>
  <si>
    <t>2025-01-04</t>
  </si>
  <si>
    <t>ORD0085</t>
  </si>
  <si>
    <t>ORD0086</t>
  </si>
  <si>
    <t>2025-07-21</t>
  </si>
  <si>
    <t>ORD0087</t>
  </si>
  <si>
    <t>2025-06-25</t>
  </si>
  <si>
    <t>ORD0088</t>
  </si>
  <si>
    <t>ORD0089</t>
  </si>
  <si>
    <t>2025-01-28</t>
  </si>
  <si>
    <t>ORD0090</t>
  </si>
  <si>
    <t>2025-08-06</t>
  </si>
  <si>
    <t>ORD0091</t>
  </si>
  <si>
    <t>2025-08-12</t>
  </si>
  <si>
    <t>ORD0092</t>
  </si>
  <si>
    <t>2025-06-22</t>
  </si>
  <si>
    <t>ORD0093</t>
  </si>
  <si>
    <t>2025-06-17</t>
  </si>
  <si>
    <t>ORD0094</t>
  </si>
  <si>
    <t>2025-04-16</t>
  </si>
  <si>
    <t>ORD0095</t>
  </si>
  <si>
    <t>2025-06-28</t>
  </si>
  <si>
    <t>ORD0096</t>
  </si>
  <si>
    <t>2025-11-29</t>
  </si>
  <si>
    <t>ORD0097</t>
  </si>
  <si>
    <t>ORD0098</t>
  </si>
  <si>
    <t>2025-03-01</t>
  </si>
  <si>
    <t>ORD0099</t>
  </si>
  <si>
    <t>2025-07-27</t>
  </si>
  <si>
    <t>ORD0100</t>
  </si>
  <si>
    <t>2025-07-26</t>
  </si>
  <si>
    <t>ORD0101</t>
  </si>
  <si>
    <t>ORD0102</t>
  </si>
  <si>
    <t>ORD0103</t>
  </si>
  <si>
    <t>2025-11-20</t>
  </si>
  <si>
    <t>ORD0104</t>
  </si>
  <si>
    <t>ORD0105</t>
  </si>
  <si>
    <t>ORD0106</t>
  </si>
  <si>
    <t>2025-03-12</t>
  </si>
  <si>
    <t>ORD0107</t>
  </si>
  <si>
    <t>ORD0108</t>
  </si>
  <si>
    <t>ORD0109</t>
  </si>
  <si>
    <t>ORD0110</t>
  </si>
  <si>
    <t>2025-07-15</t>
  </si>
  <si>
    <t>ORD0111</t>
  </si>
  <si>
    <t>2025-05-12</t>
  </si>
  <si>
    <t>ORD0112</t>
  </si>
  <si>
    <t>2025-12-15</t>
  </si>
  <si>
    <t>ORD0113</t>
  </si>
  <si>
    <t>2025-12-17</t>
  </si>
  <si>
    <t>ORD0114</t>
  </si>
  <si>
    <t>2025-08-26</t>
  </si>
  <si>
    <t>ORD0115</t>
  </si>
  <si>
    <t>2025-06-26</t>
  </si>
  <si>
    <t>ORD0116</t>
  </si>
  <si>
    <t>ORD0117</t>
  </si>
  <si>
    <t>2025-03-03</t>
  </si>
  <si>
    <t>ORD0118</t>
  </si>
  <si>
    <t>2025-10-26</t>
  </si>
  <si>
    <t>ORD0119</t>
  </si>
  <si>
    <t>2025-03-05</t>
  </si>
  <si>
    <t>ORD0120</t>
  </si>
  <si>
    <t>ORD0121</t>
  </si>
  <si>
    <t>2025-04-23</t>
  </si>
  <si>
    <t>ORD0122</t>
  </si>
  <si>
    <t>ORD0123</t>
  </si>
  <si>
    <t>2025-11-28</t>
  </si>
  <si>
    <t>ORD0124</t>
  </si>
  <si>
    <t>2025-01-15</t>
  </si>
  <si>
    <t>ORD0125</t>
  </si>
  <si>
    <t>2025-01-13</t>
  </si>
  <si>
    <t>ORD0126</t>
  </si>
  <si>
    <t>ORD0127</t>
  </si>
  <si>
    <t>2025-06-30</t>
  </si>
  <si>
    <t>ORD0128</t>
  </si>
  <si>
    <t>2025-10-24</t>
  </si>
  <si>
    <t>ORD0129</t>
  </si>
  <si>
    <t>2025-10-04</t>
  </si>
  <si>
    <t>ORD0130</t>
  </si>
  <si>
    <t>2025-10-03</t>
  </si>
  <si>
    <t>ORD0131</t>
  </si>
  <si>
    <t>2025-01-21</t>
  </si>
  <si>
    <t>ORD0132</t>
  </si>
  <si>
    <t>2025-11-02</t>
  </si>
  <si>
    <t>ORD0133</t>
  </si>
  <si>
    <t>2025-02-11</t>
  </si>
  <si>
    <t>ORD0134</t>
  </si>
  <si>
    <t>2025-11-27</t>
  </si>
  <si>
    <t>ORD0135</t>
  </si>
  <si>
    <t>2025-04-05</t>
  </si>
  <si>
    <t>ORD0136</t>
  </si>
  <si>
    <t>ORD0137</t>
  </si>
  <si>
    <t>2025-01-17</t>
  </si>
  <si>
    <t>ORD0138</t>
  </si>
  <si>
    <t>2025-09-22</t>
  </si>
  <si>
    <t>ORD0139</t>
  </si>
  <si>
    <t>ORD0140</t>
  </si>
  <si>
    <t>2025-03-08</t>
  </si>
  <si>
    <t>ORD0141</t>
  </si>
  <si>
    <t>2025-01-23</t>
  </si>
  <si>
    <t>ORD0142</t>
  </si>
  <si>
    <t>2025-11-03</t>
  </si>
  <si>
    <t>ORD0143</t>
  </si>
  <si>
    <t>ORD0144</t>
  </si>
  <si>
    <t>2025-12-11</t>
  </si>
  <si>
    <t>ORD0145</t>
  </si>
  <si>
    <t>2025-06-15</t>
  </si>
  <si>
    <t>ORD0146</t>
  </si>
  <si>
    <t>ORD0147</t>
  </si>
  <si>
    <t>ORD0148</t>
  </si>
  <si>
    <t>2025-03-31</t>
  </si>
  <si>
    <t>ORD0149</t>
  </si>
  <si>
    <t>2025-01-24</t>
  </si>
  <si>
    <t>ORD0150</t>
  </si>
  <si>
    <t>2025-04-07</t>
  </si>
  <si>
    <t>ORD0151</t>
  </si>
  <si>
    <t>2025-05-17</t>
  </si>
  <si>
    <t>ORD0152</t>
  </si>
  <si>
    <t>ORD0153</t>
  </si>
  <si>
    <t>ORD0154</t>
  </si>
  <si>
    <t>ORD0155</t>
  </si>
  <si>
    <t>2025-07-29</t>
  </si>
  <si>
    <t>ORD0156</t>
  </si>
  <si>
    <t>2025-02-16</t>
  </si>
  <si>
    <t>ORD0157</t>
  </si>
  <si>
    <t>2025-01-12</t>
  </si>
  <si>
    <t>ORD0158</t>
  </si>
  <si>
    <t>ORD0159</t>
  </si>
  <si>
    <t>ORD0160</t>
  </si>
  <si>
    <t>ORD0161</t>
  </si>
  <si>
    <t>2025-10-31</t>
  </si>
  <si>
    <t>ORD0162</t>
  </si>
  <si>
    <t>2025-05-14</t>
  </si>
  <si>
    <t>ORD0163</t>
  </si>
  <si>
    <t>2025-03-09</t>
  </si>
  <si>
    <t>ORD0164</t>
  </si>
  <si>
    <t>2025-07-10</t>
  </si>
  <si>
    <t>ORD0165</t>
  </si>
  <si>
    <t>ORD0166</t>
  </si>
  <si>
    <t>ORD0167</t>
  </si>
  <si>
    <t>2025-03-02</t>
  </si>
  <si>
    <t>ORD0168</t>
  </si>
  <si>
    <t>2025-08-31</t>
  </si>
  <si>
    <t>ORD0169</t>
  </si>
  <si>
    <t>2025-08-25</t>
  </si>
  <si>
    <t>ORD0170</t>
  </si>
  <si>
    <t>ORD0171</t>
  </si>
  <si>
    <t>ORD0172</t>
  </si>
  <si>
    <t>2025-12-30</t>
  </si>
  <si>
    <t>ORD0173</t>
  </si>
  <si>
    <t>2025-07-12</t>
  </si>
  <si>
    <t>ORD0174</t>
  </si>
  <si>
    <t>2025-07-16</t>
  </si>
  <si>
    <t>ORD0175</t>
  </si>
  <si>
    <t>2025-07-13</t>
  </si>
  <si>
    <t>ORD0176</t>
  </si>
  <si>
    <t>ORD0177</t>
  </si>
  <si>
    <t>ORD0178</t>
  </si>
  <si>
    <t>ORD0179</t>
  </si>
  <si>
    <t>2025-07-01</t>
  </si>
  <si>
    <t>ORD0180</t>
  </si>
  <si>
    <t>ORD0181</t>
  </si>
  <si>
    <t>ORD0182</t>
  </si>
  <si>
    <t>ORD0183</t>
  </si>
  <si>
    <t>2025-03-26</t>
  </si>
  <si>
    <t>ORD0184</t>
  </si>
  <si>
    <t>2025-05-06</t>
  </si>
  <si>
    <t>ORD0185</t>
  </si>
  <si>
    <t>2025-02-27</t>
  </si>
  <si>
    <t>ORD0186</t>
  </si>
  <si>
    <t>2025-10-19</t>
  </si>
  <si>
    <t>ORD0187</t>
  </si>
  <si>
    <t>2025-05-21</t>
  </si>
  <si>
    <t>ORD0188</t>
  </si>
  <si>
    <t>2025-01-10</t>
  </si>
  <si>
    <t>ORD0189</t>
  </si>
  <si>
    <t>ORD0190</t>
  </si>
  <si>
    <t>ORD0191</t>
  </si>
  <si>
    <t>ORD0192</t>
  </si>
  <si>
    <t>2025-03-19</t>
  </si>
  <si>
    <t>ORD0193</t>
  </si>
  <si>
    <t>ORD0194</t>
  </si>
  <si>
    <t>2025-04-27</t>
  </si>
  <si>
    <t>ORD0195</t>
  </si>
  <si>
    <t>2025-01-06</t>
  </si>
  <si>
    <t>ORD0196</t>
  </si>
  <si>
    <t>ORD0197</t>
  </si>
  <si>
    <t>2025-07-20</t>
  </si>
  <si>
    <t>ORD0198</t>
  </si>
  <si>
    <t>2025-12-09</t>
  </si>
  <si>
    <t>ORD0199</t>
  </si>
  <si>
    <t>ORD0200</t>
  </si>
  <si>
    <t>2025-04-13</t>
  </si>
  <si>
    <t>ORD0201</t>
  </si>
  <si>
    <t>ORD0202</t>
  </si>
  <si>
    <t>2025-09-18</t>
  </si>
  <si>
    <t>ORD0203</t>
  </si>
  <si>
    <t>2025-01-05</t>
  </si>
  <si>
    <t>ORD0204</t>
  </si>
  <si>
    <t>2025-10-05</t>
  </si>
  <si>
    <t>ORD0205</t>
  </si>
  <si>
    <t>ORD0206</t>
  </si>
  <si>
    <t>2025-05-01</t>
  </si>
  <si>
    <t>ORD0207</t>
  </si>
  <si>
    <t>2025-10-29</t>
  </si>
  <si>
    <t>ORD0208</t>
  </si>
  <si>
    <t>ORD0209</t>
  </si>
  <si>
    <t>2025-08-08</t>
  </si>
  <si>
    <t>ORD0210</t>
  </si>
  <si>
    <t>ORD0211</t>
  </si>
  <si>
    <t>ORD0212</t>
  </si>
  <si>
    <t>ORD0213</t>
  </si>
  <si>
    <t>2025-02-14</t>
  </si>
  <si>
    <t>ORD0214</t>
  </si>
  <si>
    <t>2025-09-17</t>
  </si>
  <si>
    <t>ORD0215</t>
  </si>
  <si>
    <t>2025-12-25</t>
  </si>
  <si>
    <t>ORD0216</t>
  </si>
  <si>
    <t>2025-09-27</t>
  </si>
  <si>
    <t>ORD0217</t>
  </si>
  <si>
    <t>ORD0218</t>
  </si>
  <si>
    <t>2025-05-05</t>
  </si>
  <si>
    <t>ORD0219</t>
  </si>
  <si>
    <t>2025-11-07</t>
  </si>
  <si>
    <t>ORD0220</t>
  </si>
  <si>
    <t>ORD0221</t>
  </si>
  <si>
    <t>ORD0222</t>
  </si>
  <si>
    <t>2025-11-08</t>
  </si>
  <si>
    <t>ORD0223</t>
  </si>
  <si>
    <t>2025-04-03</t>
  </si>
  <si>
    <t>ORD0224</t>
  </si>
  <si>
    <t>2025-04-20</t>
  </si>
  <si>
    <t>ORD0225</t>
  </si>
  <si>
    <t>2025-12-08</t>
  </si>
  <si>
    <t>ORD0226</t>
  </si>
  <si>
    <t>2025-12-31</t>
  </si>
  <si>
    <t>ORD0227</t>
  </si>
  <si>
    <t>2025-09-23</t>
  </si>
  <si>
    <t>ORD0228</t>
  </si>
  <si>
    <t>ORD0229</t>
  </si>
  <si>
    <t>ORD0230</t>
  </si>
  <si>
    <t>2025-11-23</t>
  </si>
  <si>
    <t>ORD0231</t>
  </si>
  <si>
    <t>2025-01-19</t>
  </si>
  <si>
    <t>ORD0232</t>
  </si>
  <si>
    <t>ORD0233</t>
  </si>
  <si>
    <t>ORD0234</t>
  </si>
  <si>
    <t>2025-11-06</t>
  </si>
  <si>
    <t>ORD0235</t>
  </si>
  <si>
    <t>2025-06-01</t>
  </si>
  <si>
    <t>ORD0236</t>
  </si>
  <si>
    <t>ORD0237</t>
  </si>
  <si>
    <t>2025-04-24</t>
  </si>
  <si>
    <t>ORD0238</t>
  </si>
  <si>
    <t>2025-05-13</t>
  </si>
  <si>
    <t>ORD0239</t>
  </si>
  <si>
    <t>ORD0240</t>
  </si>
  <si>
    <t>2025-11-25</t>
  </si>
  <si>
    <t>ORD0241</t>
  </si>
  <si>
    <t>ORD0242</t>
  </si>
  <si>
    <t>2025-03-28</t>
  </si>
  <si>
    <t>ORD0243</t>
  </si>
  <si>
    <t>2025-01-08</t>
  </si>
  <si>
    <t>ORD0244</t>
  </si>
  <si>
    <t>2025-04-15</t>
  </si>
  <si>
    <t>ORD0245</t>
  </si>
  <si>
    <t>2025-06-18</t>
  </si>
  <si>
    <t>ORD0246</t>
  </si>
  <si>
    <t>ORD0247</t>
  </si>
  <si>
    <t>2025-12-19</t>
  </si>
  <si>
    <t>ORD0248</t>
  </si>
  <si>
    <t>ORD0249</t>
  </si>
  <si>
    <t>2025-08-29</t>
  </si>
  <si>
    <t>ORD0250</t>
  </si>
  <si>
    <t>ORD0251</t>
  </si>
  <si>
    <t>2025-01-31</t>
  </si>
  <si>
    <t>ORD0252</t>
  </si>
  <si>
    <t>ORD0253</t>
  </si>
  <si>
    <t>2025-02-20</t>
  </si>
  <si>
    <t>ORD0254</t>
  </si>
  <si>
    <t>ORD0255</t>
  </si>
  <si>
    <t>ORD0256</t>
  </si>
  <si>
    <t>ORD0257</t>
  </si>
  <si>
    <t>ORD0258</t>
  </si>
  <si>
    <t>ORD0259</t>
  </si>
  <si>
    <t>ORD0260</t>
  </si>
  <si>
    <t>2025-06-10</t>
  </si>
  <si>
    <t>ORD0261</t>
  </si>
  <si>
    <t>2025-07-30</t>
  </si>
  <si>
    <t>ORD0262</t>
  </si>
  <si>
    <t>2025-01-03</t>
  </si>
  <si>
    <t>ORD0263</t>
  </si>
  <si>
    <t>2025-09-25</t>
  </si>
  <si>
    <t>ORD0264</t>
  </si>
  <si>
    <t>ORD0265</t>
  </si>
  <si>
    <t>ORD0266</t>
  </si>
  <si>
    <t>ORD0267</t>
  </si>
  <si>
    <t>ORD0268</t>
  </si>
  <si>
    <t>ORD0269</t>
  </si>
  <si>
    <t>ORD0270</t>
  </si>
  <si>
    <t>ORD0271</t>
  </si>
  <si>
    <t>ORD0272</t>
  </si>
  <si>
    <t>ORD0273</t>
  </si>
  <si>
    <t>ORD0274</t>
  </si>
  <si>
    <t>2025-11-16</t>
  </si>
  <si>
    <t>ORD0275</t>
  </si>
  <si>
    <t>2025-01-27</t>
  </si>
  <si>
    <t>ORD0276</t>
  </si>
  <si>
    <t>ORD0277</t>
  </si>
  <si>
    <t>2025-05-23</t>
  </si>
  <si>
    <t>ORD0278</t>
  </si>
  <si>
    <t>ORD0279</t>
  </si>
  <si>
    <t>2025-12-21</t>
  </si>
  <si>
    <t>ORD0280</t>
  </si>
  <si>
    <t>2025-10-07</t>
  </si>
  <si>
    <t>ORD0281</t>
  </si>
  <si>
    <t>ORD0282</t>
  </si>
  <si>
    <t>ORD0283</t>
  </si>
  <si>
    <t>2025-10-27</t>
  </si>
  <si>
    <t>ORD0284</t>
  </si>
  <si>
    <t>ORD0285</t>
  </si>
  <si>
    <t>ORD0286</t>
  </si>
  <si>
    <t>ORD0287</t>
  </si>
  <si>
    <t>ORD0288</t>
  </si>
  <si>
    <t>2025-02-21</t>
  </si>
  <si>
    <t>ORD0289</t>
  </si>
  <si>
    <t>ORD0290</t>
  </si>
  <si>
    <t>2025-03-14</t>
  </si>
  <si>
    <t>ORD0291</t>
  </si>
  <si>
    <t>ORD0292</t>
  </si>
  <si>
    <t>2025-10-25</t>
  </si>
  <si>
    <t>ORD0293</t>
  </si>
  <si>
    <t>ORD0294</t>
  </si>
  <si>
    <t>ORD0295</t>
  </si>
  <si>
    <t>2025-10-09</t>
  </si>
  <si>
    <t>ORD0296</t>
  </si>
  <si>
    <t>ORD0297</t>
  </si>
  <si>
    <t>ORD0298</t>
  </si>
  <si>
    <t>2025-04-18</t>
  </si>
  <si>
    <t>ORD0299</t>
  </si>
  <si>
    <t>2025-02-05</t>
  </si>
  <si>
    <t>ORD0300</t>
  </si>
  <si>
    <t>2025-08-07</t>
  </si>
  <si>
    <t>ORD0301</t>
  </si>
  <si>
    <t>ORD0302</t>
  </si>
  <si>
    <t>ORD0303</t>
  </si>
  <si>
    <t>ORD0304</t>
  </si>
  <si>
    <t>2025-02-01</t>
  </si>
  <si>
    <t>ORD0305</t>
  </si>
  <si>
    <t>2025-12-06</t>
  </si>
  <si>
    <t>ORD0306</t>
  </si>
  <si>
    <t>ORD0307</t>
  </si>
  <si>
    <t>ORD0308</t>
  </si>
  <si>
    <t>ORD0309</t>
  </si>
  <si>
    <t>2025-05-31</t>
  </si>
  <si>
    <t>ORD0310</t>
  </si>
  <si>
    <t>2025-06-19</t>
  </si>
  <si>
    <t>ORD0311</t>
  </si>
  <si>
    <t>2025-10-02</t>
  </si>
  <si>
    <t>ORD0312</t>
  </si>
  <si>
    <t>ORD0313</t>
  </si>
  <si>
    <t>ORD0314</t>
  </si>
  <si>
    <t>ORD0315</t>
  </si>
  <si>
    <t>ORD0316</t>
  </si>
  <si>
    <t>2025-03-17</t>
  </si>
  <si>
    <t>ORD0317</t>
  </si>
  <si>
    <t>ORD0318</t>
  </si>
  <si>
    <t>2025-08-28</t>
  </si>
  <si>
    <t>ORD0319</t>
  </si>
  <si>
    <t>2025-01-02</t>
  </si>
  <si>
    <t>ORD0320</t>
  </si>
  <si>
    <t>ORD0321</t>
  </si>
  <si>
    <t>ORD0322</t>
  </si>
  <si>
    <t>2025-03-18</t>
  </si>
  <si>
    <t>ORD0323</t>
  </si>
  <si>
    <t>2025-02-09</t>
  </si>
  <si>
    <t>ORD0324</t>
  </si>
  <si>
    <t>2025-11-09</t>
  </si>
  <si>
    <t>ORD0325</t>
  </si>
  <si>
    <t>ORD0326</t>
  </si>
  <si>
    <t>ORD0327</t>
  </si>
  <si>
    <t>ORD0328</t>
  </si>
  <si>
    <t>ORD0329</t>
  </si>
  <si>
    <t>2025-10-06</t>
  </si>
  <si>
    <t>ORD0330</t>
  </si>
  <si>
    <t>2025-05-04</t>
  </si>
  <si>
    <t>ORD0331</t>
  </si>
  <si>
    <t>ORD0332</t>
  </si>
  <si>
    <t>2025-06-24</t>
  </si>
  <si>
    <t>ORD0333</t>
  </si>
  <si>
    <t>ORD0334</t>
  </si>
  <si>
    <t>2025-06-02</t>
  </si>
  <si>
    <t>ORD0335</t>
  </si>
  <si>
    <t>2025-05-19</t>
  </si>
  <si>
    <t>ORD0336</t>
  </si>
  <si>
    <t>ORD0337</t>
  </si>
  <si>
    <t>2025-01-01</t>
  </si>
  <si>
    <t>ORD0338</t>
  </si>
  <si>
    <t>ORD0339</t>
  </si>
  <si>
    <t>ORD0340</t>
  </si>
  <si>
    <t>ORD0341</t>
  </si>
  <si>
    <t>ORD0342</t>
  </si>
  <si>
    <t>2025-10-10</t>
  </si>
  <si>
    <t>ORD0343</t>
  </si>
  <si>
    <t>2025-01-30</t>
  </si>
  <si>
    <t>ORD0344</t>
  </si>
  <si>
    <t>2025-04-29</t>
  </si>
  <si>
    <t>ORD0345</t>
  </si>
  <si>
    <t>ORD0346</t>
  </si>
  <si>
    <t>ORD0347</t>
  </si>
  <si>
    <t>ORD0348</t>
  </si>
  <si>
    <t>ORD0349</t>
  </si>
  <si>
    <t>2025-11-05</t>
  </si>
  <si>
    <t>ORD0350</t>
  </si>
  <si>
    <t>ORD0351</t>
  </si>
  <si>
    <t>ORD0352</t>
  </si>
  <si>
    <t>ORD0353</t>
  </si>
  <si>
    <t>2025-11-12</t>
  </si>
  <si>
    <t>ORD0354</t>
  </si>
  <si>
    <t>ORD0355</t>
  </si>
  <si>
    <t>ORD0356</t>
  </si>
  <si>
    <t>ORD0357</t>
  </si>
  <si>
    <t>2025-07-14</t>
  </si>
  <si>
    <t>ORD0358</t>
  </si>
  <si>
    <t>2025-12-24</t>
  </si>
  <si>
    <t>ORD0359</t>
  </si>
  <si>
    <t>ORD0360</t>
  </si>
  <si>
    <t>2025-07-11</t>
  </si>
  <si>
    <t>ORD0361</t>
  </si>
  <si>
    <t>ORD0362</t>
  </si>
  <si>
    <t>2025-11-13</t>
  </si>
  <si>
    <t>ORD0363</t>
  </si>
  <si>
    <t>2025-03-10</t>
  </si>
  <si>
    <t>ORD0364</t>
  </si>
  <si>
    <t>2025-12-01</t>
  </si>
  <si>
    <t>ORD0365</t>
  </si>
  <si>
    <t>2025-07-17</t>
  </si>
  <si>
    <t>ORD0366</t>
  </si>
  <si>
    <t>ORD0367</t>
  </si>
  <si>
    <t>2025-04-09</t>
  </si>
  <si>
    <t>ORD0368</t>
  </si>
  <si>
    <t>ORD0369</t>
  </si>
  <si>
    <t>ORD0370</t>
  </si>
  <si>
    <t>ORD0371</t>
  </si>
  <si>
    <t>ORD0372</t>
  </si>
  <si>
    <t>2025-03-30</t>
  </si>
  <si>
    <t>ORD0373</t>
  </si>
  <si>
    <t>2025-02-22</t>
  </si>
  <si>
    <t>ORD0374</t>
  </si>
  <si>
    <t>ORD0375</t>
  </si>
  <si>
    <t>2025-09-02</t>
  </si>
  <si>
    <t>ORD0376</t>
  </si>
  <si>
    <t>ORD0377</t>
  </si>
  <si>
    <t>ORD0378</t>
  </si>
  <si>
    <t>ORD0379</t>
  </si>
  <si>
    <t>2025-04-06</t>
  </si>
  <si>
    <t>ORD0380</t>
  </si>
  <si>
    <t>2025-09-12</t>
  </si>
  <si>
    <t>ORD0381</t>
  </si>
  <si>
    <t>ORD0382</t>
  </si>
  <si>
    <t>ORD0383</t>
  </si>
  <si>
    <t>ORD0384</t>
  </si>
  <si>
    <t>2025-06-21</t>
  </si>
  <si>
    <t>ORD0385</t>
  </si>
  <si>
    <t>2025-11-14</t>
  </si>
  <si>
    <t>ORD0386</t>
  </si>
  <si>
    <t>ORD0387</t>
  </si>
  <si>
    <t>ORD0388</t>
  </si>
  <si>
    <t>ORD0389</t>
  </si>
  <si>
    <t>2025-02-25</t>
  </si>
  <si>
    <t>ORD0390</t>
  </si>
  <si>
    <t>ORD0391</t>
  </si>
  <si>
    <t>2025-06-07</t>
  </si>
  <si>
    <t>ORD0392</t>
  </si>
  <si>
    <t>ORD0393</t>
  </si>
  <si>
    <t>2025-04-17</t>
  </si>
  <si>
    <t>ORD0394</t>
  </si>
  <si>
    <t>ORD0395</t>
  </si>
  <si>
    <t>2025-02-13</t>
  </si>
  <si>
    <t>ORD0396</t>
  </si>
  <si>
    <t>ORD0397</t>
  </si>
  <si>
    <t>ORD0398</t>
  </si>
  <si>
    <t>2025-12-02</t>
  </si>
  <si>
    <t>ORD0399</t>
  </si>
  <si>
    <t>2025-09-21</t>
  </si>
  <si>
    <t>ORD0400</t>
  </si>
  <si>
    <t>2025-08-02</t>
  </si>
  <si>
    <t>ORD0401</t>
  </si>
  <si>
    <t>ORD0402</t>
  </si>
  <si>
    <t>ORD0403</t>
  </si>
  <si>
    <t>ORD0404</t>
  </si>
  <si>
    <t>2025-09-08</t>
  </si>
  <si>
    <t>ORD0405</t>
  </si>
  <si>
    <t>2025-04-28</t>
  </si>
  <si>
    <t>ORD0406</t>
  </si>
  <si>
    <t>2025-10-13</t>
  </si>
  <si>
    <t>ORD0407</t>
  </si>
  <si>
    <t>ORD0408</t>
  </si>
  <si>
    <t>ORD0409</t>
  </si>
  <si>
    <t>2025-04-19</t>
  </si>
  <si>
    <t>ORD0410</t>
  </si>
  <si>
    <t>ORD0411</t>
  </si>
  <si>
    <t>ORD0412</t>
  </si>
  <si>
    <t>2025-06-27</t>
  </si>
  <si>
    <t>ORD0413</t>
  </si>
  <si>
    <t>ORD0414</t>
  </si>
  <si>
    <t>ORD0415</t>
  </si>
  <si>
    <t>ORD0416</t>
  </si>
  <si>
    <t>ORD0417</t>
  </si>
  <si>
    <t>ORD0418</t>
  </si>
  <si>
    <t>2025-10-21</t>
  </si>
  <si>
    <t>ORD0419</t>
  </si>
  <si>
    <t>ORD0420</t>
  </si>
  <si>
    <t>ORD0421</t>
  </si>
  <si>
    <t>ORD0422</t>
  </si>
  <si>
    <t>2025-09-28</t>
  </si>
  <si>
    <t>ORD0423</t>
  </si>
  <si>
    <t>ORD0424</t>
  </si>
  <si>
    <t>2025-04-14</t>
  </si>
  <si>
    <t>ORD0425</t>
  </si>
  <si>
    <t>ORD0426</t>
  </si>
  <si>
    <t>ORD0427</t>
  </si>
  <si>
    <t>2025-05-15</t>
  </si>
  <si>
    <t>ORD0428</t>
  </si>
  <si>
    <t>2025-03-16</t>
  </si>
  <si>
    <t>ORD0429</t>
  </si>
  <si>
    <t>2025-02-23</t>
  </si>
  <si>
    <t>ORD0430</t>
  </si>
  <si>
    <t>2025-02-24</t>
  </si>
  <si>
    <t>ORD0431</t>
  </si>
  <si>
    <t>2025-08-11</t>
  </si>
  <si>
    <t>ORD0432</t>
  </si>
  <si>
    <t>ORD0433</t>
  </si>
  <si>
    <t>2025-07-23</t>
  </si>
  <si>
    <t>ORD0434</t>
  </si>
  <si>
    <t>ORD0435</t>
  </si>
  <si>
    <t>ORD0436</t>
  </si>
  <si>
    <t>ORD0437</t>
  </si>
  <si>
    <t>ORD0438</t>
  </si>
  <si>
    <t>ORD0439</t>
  </si>
  <si>
    <t>ORD0440</t>
  </si>
  <si>
    <t>ORD0441</t>
  </si>
  <si>
    <t>ORD0442</t>
  </si>
  <si>
    <t>2025-05-18</t>
  </si>
  <si>
    <t>ORD0443</t>
  </si>
  <si>
    <t>ORD0444</t>
  </si>
  <si>
    <t>ORD0445</t>
  </si>
  <si>
    <t>2025-09-14</t>
  </si>
  <si>
    <t>ORD0446</t>
  </si>
  <si>
    <t>ORD0447</t>
  </si>
  <si>
    <t>ORD0448</t>
  </si>
  <si>
    <t>ORD0449</t>
  </si>
  <si>
    <t>ORD0450</t>
  </si>
  <si>
    <t>2025-09-29</t>
  </si>
  <si>
    <t>ORD0451</t>
  </si>
  <si>
    <t>2025-01-07</t>
  </si>
  <si>
    <t>ORD0452</t>
  </si>
  <si>
    <t>2025-02-04</t>
  </si>
  <si>
    <t>ORD0453</t>
  </si>
  <si>
    <t>ORD0454</t>
  </si>
  <si>
    <t>ORD0455</t>
  </si>
  <si>
    <t>ORD0456</t>
  </si>
  <si>
    <t>ORD0457</t>
  </si>
  <si>
    <t>ORD0458</t>
  </si>
  <si>
    <t>ORD0459</t>
  </si>
  <si>
    <t>ORD0460</t>
  </si>
  <si>
    <t>ORD0461</t>
  </si>
  <si>
    <t>2025-12-03</t>
  </si>
  <si>
    <t>ORD0462</t>
  </si>
  <si>
    <t>ORD0463</t>
  </si>
  <si>
    <t>ORD0464</t>
  </si>
  <si>
    <t>ORD0465</t>
  </si>
  <si>
    <t>ORD0466</t>
  </si>
  <si>
    <t>2025-09-07</t>
  </si>
  <si>
    <t>ORD0467</t>
  </si>
  <si>
    <t>ORD0468</t>
  </si>
  <si>
    <t>2025-02-18</t>
  </si>
  <si>
    <t>ORD0469</t>
  </si>
  <si>
    <t>ORD0470</t>
  </si>
  <si>
    <t>ORD0471</t>
  </si>
  <si>
    <t>2025-10-16</t>
  </si>
  <si>
    <t>ORD0472</t>
  </si>
  <si>
    <t>ORD0473</t>
  </si>
  <si>
    <t>2025-05-09</t>
  </si>
  <si>
    <t>ORD0474</t>
  </si>
  <si>
    <t>ORD0475</t>
  </si>
  <si>
    <t>ORD0476</t>
  </si>
  <si>
    <t>ORD0477</t>
  </si>
  <si>
    <t>ORD0478</t>
  </si>
  <si>
    <t>ORD0479</t>
  </si>
  <si>
    <t>ORD0480</t>
  </si>
  <si>
    <t>ORD0481</t>
  </si>
  <si>
    <t>2025-04-11</t>
  </si>
  <si>
    <t>ORD0482</t>
  </si>
  <si>
    <t>ORD0483</t>
  </si>
  <si>
    <t>ORD0484</t>
  </si>
  <si>
    <t>ORD0485</t>
  </si>
  <si>
    <t>2025-09-04</t>
  </si>
  <si>
    <t>ORD0486</t>
  </si>
  <si>
    <t>ORD0487</t>
  </si>
  <si>
    <t>2025-06-14</t>
  </si>
  <si>
    <t>ORD0488</t>
  </si>
  <si>
    <t>ORD0489</t>
  </si>
  <si>
    <t>ORD0490</t>
  </si>
  <si>
    <t>ORD0491</t>
  </si>
  <si>
    <t>ORD0492</t>
  </si>
  <si>
    <t>ORD0493</t>
  </si>
  <si>
    <t>ORD0494</t>
  </si>
  <si>
    <t>ORD0495</t>
  </si>
  <si>
    <t>ORD0496</t>
  </si>
  <si>
    <t>ORD0497</t>
  </si>
  <si>
    <t>ORD0498</t>
  </si>
  <si>
    <t>2025-07-09</t>
  </si>
  <si>
    <t>ORD0499</t>
  </si>
  <si>
    <t>ORD0500</t>
  </si>
  <si>
    <t>ORD0501</t>
  </si>
  <si>
    <t>ORD0502</t>
  </si>
  <si>
    <t>ORD0503</t>
  </si>
  <si>
    <t>ORD0504</t>
  </si>
  <si>
    <t>2025-08-10</t>
  </si>
  <si>
    <t>ORD0505</t>
  </si>
  <si>
    <t>2025-06-20</t>
  </si>
  <si>
    <t>ORD0506</t>
  </si>
  <si>
    <t>ORD0507</t>
  </si>
  <si>
    <t>ORD0508</t>
  </si>
  <si>
    <t>ORD0509</t>
  </si>
  <si>
    <t>ORD0510</t>
  </si>
  <si>
    <t>ORD0511</t>
  </si>
  <si>
    <t>ORD0512</t>
  </si>
  <si>
    <t>ORD0513</t>
  </si>
  <si>
    <t>ORD0514</t>
  </si>
  <si>
    <t>ORD0515</t>
  </si>
  <si>
    <t>ORD0516</t>
  </si>
  <si>
    <t>ORD0517</t>
  </si>
  <si>
    <t>2025-01-22</t>
  </si>
  <si>
    <t>ORD0518</t>
  </si>
  <si>
    <t>2025-08-21</t>
  </si>
  <si>
    <t>ORD0519</t>
  </si>
  <si>
    <t>ORD0520</t>
  </si>
  <si>
    <t>ORD0521</t>
  </si>
  <si>
    <t>ORD0522</t>
  </si>
  <si>
    <t>ORD0523</t>
  </si>
  <si>
    <t>ORD0524</t>
  </si>
  <si>
    <t>2025-04-01</t>
  </si>
  <si>
    <t>ORD0525</t>
  </si>
  <si>
    <t>ORD0526</t>
  </si>
  <si>
    <t>2025-11-10</t>
  </si>
  <si>
    <t>ORD0527</t>
  </si>
  <si>
    <t>ORD0528</t>
  </si>
  <si>
    <t>ORD0529</t>
  </si>
  <si>
    <t>ORD0530</t>
  </si>
  <si>
    <t>ORD0531</t>
  </si>
  <si>
    <t>ORD0532</t>
  </si>
  <si>
    <t>ORD0533</t>
  </si>
  <si>
    <t>ORD0534</t>
  </si>
  <si>
    <t>ORD0535</t>
  </si>
  <si>
    <t>ORD0536</t>
  </si>
  <si>
    <t>ORD0537</t>
  </si>
  <si>
    <t>ORD0538</t>
  </si>
  <si>
    <t>ORD0539</t>
  </si>
  <si>
    <t>ORD0540</t>
  </si>
  <si>
    <t>2025-03-21</t>
  </si>
  <si>
    <t>ORD0541</t>
  </si>
  <si>
    <t>ORD0542</t>
  </si>
  <si>
    <t>2025-09-19</t>
  </si>
  <si>
    <t>ORD0543</t>
  </si>
  <si>
    <t>ORD0544</t>
  </si>
  <si>
    <t>ORD0545</t>
  </si>
  <si>
    <t>ORD0546</t>
  </si>
  <si>
    <t>ORD0547</t>
  </si>
  <si>
    <t>ORD0548</t>
  </si>
  <si>
    <t>ORD0549</t>
  </si>
  <si>
    <t>2025-11-17</t>
  </si>
  <si>
    <t>ORD0550</t>
  </si>
  <si>
    <t>2025-01-20</t>
  </si>
  <si>
    <t>ORD0551</t>
  </si>
  <si>
    <t>2025-05-27</t>
  </si>
  <si>
    <t>ORD0552</t>
  </si>
  <si>
    <t>2025-12-16</t>
  </si>
  <si>
    <t>ORD0553</t>
  </si>
  <si>
    <t>ORD0554</t>
  </si>
  <si>
    <t>2025-01-09</t>
  </si>
  <si>
    <t>ORD0555</t>
  </si>
  <si>
    <t>ORD0556</t>
  </si>
  <si>
    <t>2025-11-11</t>
  </si>
  <si>
    <t>ORD0557</t>
  </si>
  <si>
    <t>ORD0558</t>
  </si>
  <si>
    <t>ORD0559</t>
  </si>
  <si>
    <t>ORD0560</t>
  </si>
  <si>
    <t>2025-02-26</t>
  </si>
  <si>
    <t>ORD0561</t>
  </si>
  <si>
    <t>2025-06-23</t>
  </si>
  <si>
    <t>ORD0562</t>
  </si>
  <si>
    <t>ORD0563</t>
  </si>
  <si>
    <t>ORD0564</t>
  </si>
  <si>
    <t>ORD0565</t>
  </si>
  <si>
    <t>ORD0566</t>
  </si>
  <si>
    <t>ORD0567</t>
  </si>
  <si>
    <t>ORD0568</t>
  </si>
  <si>
    <t>ORD0569</t>
  </si>
  <si>
    <t>ORD0570</t>
  </si>
  <si>
    <t>ORD0571</t>
  </si>
  <si>
    <t>ORD0572</t>
  </si>
  <si>
    <t>ORD0573</t>
  </si>
  <si>
    <t>ORD0574</t>
  </si>
  <si>
    <t>ORD0575</t>
  </si>
  <si>
    <t>ORD0576</t>
  </si>
  <si>
    <t>2025-06-16</t>
  </si>
  <si>
    <t>ORD0577</t>
  </si>
  <si>
    <t>ORD0578</t>
  </si>
  <si>
    <t>ORD0579</t>
  </si>
  <si>
    <t>ORD0580</t>
  </si>
  <si>
    <t>2025-04-12</t>
  </si>
  <si>
    <t>ORD0581</t>
  </si>
  <si>
    <t>2025-08-24</t>
  </si>
  <si>
    <t>ORD0582</t>
  </si>
  <si>
    <t>ORD0583</t>
  </si>
  <si>
    <t>ORD0584</t>
  </si>
  <si>
    <t>ORD0585</t>
  </si>
  <si>
    <t>ORD0586</t>
  </si>
  <si>
    <t>2025-10-14</t>
  </si>
  <si>
    <t>ORD0587</t>
  </si>
  <si>
    <t>ORD0588</t>
  </si>
  <si>
    <t>ORD0589</t>
  </si>
  <si>
    <t>ORD0590</t>
  </si>
  <si>
    <t>ORD0591</t>
  </si>
  <si>
    <t>2025-08-16</t>
  </si>
  <si>
    <t>ORD0592</t>
  </si>
  <si>
    <t>ORD0593</t>
  </si>
  <si>
    <t>2025-10-08</t>
  </si>
  <si>
    <t>ORD0594</t>
  </si>
  <si>
    <t>ORD0595</t>
  </si>
  <si>
    <t>ORD0596</t>
  </si>
  <si>
    <t>ORD0597</t>
  </si>
  <si>
    <t>ORD0598</t>
  </si>
  <si>
    <t>2025-07-02</t>
  </si>
  <si>
    <t>ORD0599</t>
  </si>
  <si>
    <t>ORD0600</t>
  </si>
  <si>
    <t>ORD0601</t>
  </si>
  <si>
    <t>ORD0602</t>
  </si>
  <si>
    <t>ORD0603</t>
  </si>
  <si>
    <t>ORD0604</t>
  </si>
  <si>
    <t>ORD0605</t>
  </si>
  <si>
    <t>2025-07-25</t>
  </si>
  <si>
    <t>ORD0606</t>
  </si>
  <si>
    <t>ORD0607</t>
  </si>
  <si>
    <t>ORD0608</t>
  </si>
  <si>
    <t>ORD0609</t>
  </si>
  <si>
    <t>ORD0610</t>
  </si>
  <si>
    <t>ORD0611</t>
  </si>
  <si>
    <t>ORD0612</t>
  </si>
  <si>
    <t>ORD0613</t>
  </si>
  <si>
    <t>ORD0614</t>
  </si>
  <si>
    <t>ORD0615</t>
  </si>
  <si>
    <t>ORD0616</t>
  </si>
  <si>
    <t>ORD0617</t>
  </si>
  <si>
    <t>ORD0618</t>
  </si>
  <si>
    <t>ORD0619</t>
  </si>
  <si>
    <t>ORD0620</t>
  </si>
  <si>
    <t>2025-07-08</t>
  </si>
  <si>
    <t>ORD0621</t>
  </si>
  <si>
    <t>ORD0622</t>
  </si>
  <si>
    <t>2025-12-28</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</si>
  <si>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</si>
  <si>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</si>
  <si>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</si>
  <si>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</si>
  <si>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</si>
  <si>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</si>
  <si>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</si>
  <si>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</si>
  <si>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</si>
  <si>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</si>
  <si>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</si>
  <si>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</si>
  <si>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</si>
  <si>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</si>
  <si>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</si>
  <si>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</si>
  <si>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</si>
  <si>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</si>
  <si>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</si>
  <si>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</si>
  <si>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</si>
  <si>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</si>
  <si>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</si>
  <si>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</si>
  <si>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</si>
  <si>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</si>
  <si>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</si>
  <si>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</si>
  <si>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2025-07-06</t>
  </si>
  <si>
    <t>ORD0651</t>
  </si>
  <si>
    <t>2025-08-20</t>
  </si>
  <si>
    <t>ORD0652</t>
  </si>
  <si>
    <t>ORD0653</t>
  </si>
  <si>
    <t>2025-05-20</t>
  </si>
  <si>
    <t>ORD0654</t>
  </si>
  <si>
    <t>2025-08-04</t>
  </si>
  <si>
    <t>ORD0655</t>
  </si>
  <si>
    <t>ORD0656</t>
  </si>
  <si>
    <t>ORD0657</t>
  </si>
  <si>
    <t>2025-01-26</t>
  </si>
  <si>
    <t>ORD0658</t>
  </si>
  <si>
    <t>ORD0659</t>
  </si>
  <si>
    <t>ORD0660</t>
  </si>
  <si>
    <t>ORD0661</t>
  </si>
  <si>
    <t>ORD0662</t>
  </si>
  <si>
    <t>ORD0663</t>
  </si>
  <si>
    <t>ORD0664</t>
  </si>
  <si>
    <t>ORD0665</t>
  </si>
  <si>
    <t>ORD0666</t>
  </si>
  <si>
    <t>ORD0667</t>
  </si>
  <si>
    <t>ORD0668</t>
  </si>
  <si>
    <t>ORD0669</t>
  </si>
  <si>
    <t>ORD0670</t>
  </si>
  <si>
    <t>ORD0671</t>
  </si>
  <si>
    <t>2025-09-09</t>
  </si>
  <si>
    <t>ORD0672</t>
  </si>
  <si>
    <t>ORD0673</t>
  </si>
  <si>
    <t>ORD0674</t>
  </si>
  <si>
    <t>ORD0675</t>
  </si>
  <si>
    <t>ORD0676</t>
  </si>
  <si>
    <t>ORD0677</t>
  </si>
  <si>
    <t>ORD0678</t>
  </si>
  <si>
    <t>ORD0679</t>
  </si>
  <si>
    <t>ORD0680</t>
  </si>
  <si>
    <t>ORD0681</t>
  </si>
  <si>
    <t>ORD0682</t>
  </si>
  <si>
    <t>ORD0683</t>
  </si>
  <si>
    <t>ORD0684</t>
  </si>
  <si>
    <t>2025-08-18</t>
  </si>
  <si>
    <t>ORD0685</t>
  </si>
  <si>
    <t>2025-09-24</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</si>
  <si>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</si>
  <si>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</si>
  <si>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</si>
  <si>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</si>
  <si>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</si>
  <si>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</si>
  <si>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</si>
  <si>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</si>
  <si>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</si>
  <si>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</si>
  <si>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</si>
  <si>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</si>
  <si>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</si>
  <si>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</si>
  <si>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</si>
  <si>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</si>
  <si>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</si>
  <si>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</si>
  <si>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</si>
  <si>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2025-10-01</t>
  </si>
  <si>
    <t>ORD0705</t>
  </si>
  <si>
    <t>ORD0706</t>
  </si>
  <si>
    <t>ORD0707</t>
  </si>
  <si>
    <t>2025-07-18</t>
  </si>
  <si>
    <t>ORD0708</t>
  </si>
  <si>
    <t>ORD0709</t>
  </si>
  <si>
    <t>ORD0710</t>
  </si>
  <si>
    <t>2025-12-10</t>
  </si>
  <si>
    <t>ORD0711</t>
  </si>
  <si>
    <t>ORD0712</t>
  </si>
  <si>
    <t>ORD0713</t>
  </si>
  <si>
    <t>2025-12-23</t>
  </si>
  <si>
    <t>ORD0714</t>
  </si>
  <si>
    <t>ORD0715</t>
  </si>
  <si>
    <t>ORD0716</t>
  </si>
  <si>
    <t>ORD0717</t>
  </si>
  <si>
    <t>ORD0718</t>
  </si>
  <si>
    <t>ORD0719</t>
  </si>
  <si>
    <t>ORD0720</t>
  </si>
  <si>
    <t>ORD0721</t>
  </si>
  <si>
    <t>ORD0722</t>
  </si>
  <si>
    <t>2025-05-02</t>
  </si>
  <si>
    <t>ORD0723</t>
  </si>
  <si>
    <t>ORD0724</t>
  </si>
  <si>
    <t>ORD0725</t>
  </si>
  <si>
    <t>2025-09-15</t>
  </si>
  <si>
    <t>ORD0726</t>
  </si>
  <si>
    <t>ORD0727</t>
  </si>
  <si>
    <t>ORD0728</t>
  </si>
  <si>
    <t>ORD0729</t>
  </si>
  <si>
    <t>ORD0730</t>
  </si>
  <si>
    <t>2025-04-08</t>
  </si>
  <si>
    <t>ORD0731</t>
  </si>
  <si>
    <t>ORD0732</t>
  </si>
  <si>
    <t>ORD0733</t>
  </si>
  <si>
    <t>ORD0734</t>
  </si>
  <si>
    <t>2025-06-08</t>
  </si>
  <si>
    <t>ORD0735</t>
  </si>
  <si>
    <t>ORD0736</t>
  </si>
  <si>
    <t>ORD0737</t>
  </si>
  <si>
    <t>2025-11-26</t>
  </si>
  <si>
    <t>ORD0738</t>
  </si>
  <si>
    <t>ORD0739</t>
  </si>
  <si>
    <t>ORD0740</t>
  </si>
  <si>
    <t>ORD0741</t>
  </si>
  <si>
    <t>ORD0742</t>
  </si>
  <si>
    <t>ORD0743</t>
  </si>
  <si>
    <t>ORD0744</t>
  </si>
  <si>
    <t>ORD0745</t>
  </si>
  <si>
    <t>ORD0746</t>
  </si>
  <si>
    <t>ORD0747</t>
  </si>
  <si>
    <t>ORD0748</t>
  </si>
  <si>
    <t>ORD0749</t>
  </si>
  <si>
    <t>ORD0750</t>
  </si>
  <si>
    <t>ORD0751</t>
  </si>
  <si>
    <t>2025-03-23</t>
  </si>
  <si>
    <t>ORD0752</t>
  </si>
  <si>
    <t>ORD0753</t>
  </si>
  <si>
    <t>ORD0754</t>
  </si>
  <si>
    <t>ORD0755</t>
  </si>
  <si>
    <t>2025-03-07</t>
  </si>
  <si>
    <t>ORD0756</t>
  </si>
  <si>
    <t>ORD0757</t>
  </si>
  <si>
    <t>ORD0758</t>
  </si>
  <si>
    <t>2025-08-15</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</si>
  <si>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</si>
  <si>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</si>
  <si>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</si>
  <si>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</si>
  <si>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</si>
  <si>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</si>
  <si>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</si>
  <si>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</si>
  <si>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</si>
  <si>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</si>
  <si>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</si>
  <si>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</si>
  <si>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</si>
  <si>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</si>
  <si>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</si>
  <si>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</si>
  <si>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</si>
  <si>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2025-11-30</t>
  </si>
  <si>
    <t>ORD0776</t>
  </si>
  <si>
    <t>ORD0777</t>
  </si>
  <si>
    <t>ORD0778</t>
  </si>
  <si>
    <t>ORD0779</t>
  </si>
  <si>
    <t>ORD0780</t>
  </si>
  <si>
    <t>ORD0781</t>
  </si>
  <si>
    <t>ORD0782</t>
  </si>
  <si>
    <t>ORD0783</t>
  </si>
  <si>
    <t>ORD0784</t>
  </si>
  <si>
    <t>ORD0785</t>
  </si>
  <si>
    <t>ORD0786</t>
  </si>
  <si>
    <t>ORD0787</t>
  </si>
  <si>
    <t>2025-06-12</t>
  </si>
  <si>
    <t>ORD0788</t>
  </si>
  <si>
    <t>ORD0789</t>
  </si>
  <si>
    <t>ORD0790</t>
  </si>
  <si>
    <t>ORD0791</t>
  </si>
  <si>
    <t>ORD0792</t>
  </si>
  <si>
    <t>ORD0793</t>
  </si>
  <si>
    <t>ORD0794</t>
  </si>
  <si>
    <t>ORD0795</t>
  </si>
  <si>
    <t>2025-09-11</t>
  </si>
  <si>
    <t>ORD0796</t>
  </si>
  <si>
    <t>ORD0797</t>
  </si>
  <si>
    <t>ORD0798</t>
  </si>
  <si>
    <t>ORD0799</t>
  </si>
  <si>
    <t>ORD0800</t>
  </si>
  <si>
    <t>ORD0801</t>
  </si>
  <si>
    <t>ORD0802</t>
  </si>
  <si>
    <t>2025-08-13</t>
  </si>
  <si>
    <t>ORD0803</t>
  </si>
  <si>
    <t>ORD0804</t>
  </si>
  <si>
    <t>ORD0805</t>
  </si>
  <si>
    <t>ORD0806</t>
  </si>
  <si>
    <t>ORD0807</t>
  </si>
  <si>
    <t>ORD0808</t>
  </si>
  <si>
    <t>2025-10-11</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</si>
  <si>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</si>
  <si>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</si>
  <si>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</si>
  <si>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</si>
  <si>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</si>
  <si>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</si>
  <si>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</si>
  <si>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</si>
  <si>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</si>
  <si>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</si>
  <si>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</si>
  <si>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</si>
  <si>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</si>
  <si>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</si>
  <si>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</si>
  <si>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</si>
  <si>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</si>
  <si>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</si>
  <si>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</si>
  <si>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</si>
  <si>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</si>
  <si>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</si>
  <si>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</si>
  <si>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</si>
  <si>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2025-09-03</t>
  </si>
  <si>
    <t>ORD0833</t>
  </si>
  <si>
    <t>ORD0834</t>
  </si>
  <si>
    <t>ORD0835</t>
  </si>
  <si>
    <t>ORD0836</t>
  </si>
  <si>
    <t>ORD0837</t>
  </si>
  <si>
    <t>ORD0838</t>
  </si>
  <si>
    <t>ORD0839</t>
  </si>
  <si>
    <t>ORD0840</t>
  </si>
  <si>
    <t>ORD0841</t>
  </si>
  <si>
    <t>ORD0842</t>
  </si>
  <si>
    <t>ORD0843</t>
  </si>
  <si>
    <t>ORD0844</t>
  </si>
  <si>
    <t>2025-04-21</t>
  </si>
  <si>
    <t>ORD0845</t>
  </si>
  <si>
    <t>ORD0846</t>
  </si>
  <si>
    <t>2025-08-17</t>
  </si>
  <si>
    <t>ORD0847</t>
  </si>
  <si>
    <t>ORD0848</t>
  </si>
  <si>
    <t>ORD0849</t>
  </si>
  <si>
    <t>ORD0850</t>
  </si>
  <si>
    <t>ORD0851</t>
  </si>
  <si>
    <t>ORD0852</t>
  </si>
  <si>
    <t>ORD0853</t>
  </si>
  <si>
    <t>ORD0854</t>
  </si>
  <si>
    <t>ORD0855</t>
  </si>
  <si>
    <t>ORD0856</t>
  </si>
  <si>
    <t>ORD0857</t>
  </si>
  <si>
    <t>ORD0858</t>
  </si>
  <si>
    <t>ORD0859</t>
  </si>
  <si>
    <t>ORD0860</t>
  </si>
  <si>
    <t>ORD0861</t>
  </si>
  <si>
    <t>2025-05-25</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</si>
  <si>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</si>
  <si>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</si>
  <si>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</si>
  <si>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</si>
  <si>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</si>
  <si>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</si>
  <si>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</si>
  <si>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</si>
  <si>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</si>
  <si>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</si>
  <si>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</si>
  <si>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</si>
  <si>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</si>
  <si>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</si>
  <si>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</si>
  <si>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</si>
  <si>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</si>
  <si>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</si>
  <si>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2025-12-29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</si>
  <si>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</si>
  <si>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</si>
  <si>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</si>
  <si>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</si>
  <si>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</si>
  <si>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</si>
  <si>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</si>
  <si>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</si>
  <si>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</si>
  <si>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</si>
  <si>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</si>
  <si>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</si>
  <si>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</si>
  <si>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</si>
  <si>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</si>
  <si>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</si>
  <si>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</si>
  <si>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</si>
  <si>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</si>
  <si>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</si>
  <si>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</si>
  <si>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</si>
  <si>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</si>
  <si>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</si>
  <si>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</si>
  <si>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</si>
  <si>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</si>
  <si>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</si>
  <si>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</si>
  <si>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</si>
  <si>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</si>
  <si>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</si>
  <si>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</si>
  <si>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</si>
  <si>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</si>
  <si>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</si>
  <si>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</si>
  <si>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</si>
  <si>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</si>
  <si>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</si>
  <si>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</si>
  <si>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</si>
  <si>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</si>
  <si>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</si>
  <si>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</si>
  <si>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</si>
  <si>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</si>
  <si>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</si>
  <si>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</si>
  <si>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</si>
  <si>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</si>
  <si>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</si>
  <si>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</si>
  <si>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</si>
  <si>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2025-08-22</t>
  </si>
  <si>
    <t>ORD0934</t>
  </si>
  <si>
    <t>ORD0935</t>
  </si>
  <si>
    <t>ORD0936</t>
  </si>
  <si>
    <t>2025-02-08</t>
  </si>
  <si>
    <t>ORD0937</t>
  </si>
  <si>
    <t>ORD0938</t>
  </si>
  <si>
    <t>ORD0939</t>
  </si>
  <si>
    <t>ORD0940</t>
  </si>
  <si>
    <t>ORD0941</t>
  </si>
  <si>
    <t>2025-03-29</t>
  </si>
  <si>
    <t>ORD0942</t>
  </si>
  <si>
    <t>ORD0943</t>
  </si>
  <si>
    <t>ORD0944</t>
  </si>
  <si>
    <t>ORD0945</t>
  </si>
  <si>
    <t>ORD0946</t>
  </si>
  <si>
    <t>ORD0947</t>
  </si>
  <si>
    <t>ORD0948</t>
  </si>
  <si>
    <t>2025-09-30</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</si>
  <si>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</si>
  <si>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</si>
  <si>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</si>
  <si>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</si>
  <si>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</si>
  <si>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</si>
  <si>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</si>
  <si>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</si>
  <si>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</si>
  <si>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</si>
  <si>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</si>
  <si>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</si>
  <si>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</si>
  <si>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</si>
  <si>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</si>
  <si>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</si>
  <si>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</si>
  <si>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</si>
  <si>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</si>
  <si>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</si>
  <si>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</si>
  <si>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</si>
  <si>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</si>
  <si>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</si>
  <si>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</si>
  <si>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</si>
  <si>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</si>
  <si>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</si>
  <si>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</si>
  <si>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</si>
  <si>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</si>
  <si>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</si>
  <si>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</si>
  <si>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</si>
  <si>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</si>
  <si>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2025-04-26</t>
  </si>
  <si>
    <t>ORD0984</t>
  </si>
  <si>
    <t>2025-01-25</t>
  </si>
  <si>
    <t>ORD0985</t>
  </si>
  <si>
    <t>ORD0986</t>
  </si>
  <si>
    <t>ORD0987</t>
  </si>
  <si>
    <t>2025-06-04</t>
  </si>
  <si>
    <t>ORD0988</t>
  </si>
  <si>
    <t>ORD0989</t>
  </si>
  <si>
    <t>ORD0990</t>
  </si>
  <si>
    <t>ORD0991</t>
  </si>
  <si>
    <t>ORD0992</t>
  </si>
  <si>
    <t>ORD0993</t>
  </si>
  <si>
    <t>ORD0994</t>
  </si>
  <si>
    <t>ORD0995</t>
  </si>
  <si>
    <t>ORD0996</t>
  </si>
  <si>
    <t>2025-07-05</t>
  </si>
  <si>
    <t>ORD0997</t>
  </si>
  <si>
    <t>ORD0998</t>
  </si>
  <si>
    <t>2025-06-11</t>
  </si>
  <si>
    <t>ORD0999</t>
  </si>
  <si>
    <t>ORD1000</t>
  </si>
  <si>
    <t>Sum of Sales_Amount</t>
  </si>
  <si>
    <t>Row Labels</t>
  </si>
  <si>
    <t>Grand Total</t>
  </si>
  <si>
    <t>Month</t>
  </si>
  <si>
    <t>Average of Sales_Amount</t>
  </si>
  <si>
    <t>Sum of Profit</t>
  </si>
  <si>
    <t>Sum of Units_Sold</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</si>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</sst>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7" fontId="0" fillId="0" borderId="0" xfId="0" applyNumberFormat="1"/>
    <xf numFmtId="17" fontId="0" fillId="0" borderId="0" xfId="0" applyNumberFormat="1" applyAlignment="1">
      <alignment horizontal="left"/>
    </xf>
  </cellXfs>
  <cellStyles count="1">
    <cellStyle name="Normal" xfId="0" builtinId="0"/>
  </cellStyles>
  <dxfs count="3">
    <dxf>
      <font>
        <color theme="0"/>
      </font>
    </dxf>
    <dxf>
      <font>
        <b/>
        <i val="0"/>
        <color rgb="FF003300"/>
        <name val="Cambria"/>
        <family val="1"/>
        <scheme val="major"/>
      </font>
      <fill>
        <patternFill>
          <bgColor theme="0"/>
        </patternFill>
      </fill>
    </dxf>
    <dxf>
      <font>
        <color theme="0"/>
      </font>
    </dxf>
  </dxfs>
  <tableStyles count="5" defaultTableStyle="TableStyleMedium9" defaultPivotStyle="PivotStyleLight16">
    <tableStyle name="Slicer Style 1" pivot="0" table="0" count="2" xr9:uid="{9083067C-F7A8-4270-B4AA-EABCD46DB99D}">
      <tableStyleElement type="wholeTable" dxfId="2"/>
    </tableStyle>
    <tableStyle name="Slicer Style 2" pivot="0" table="0" count="2" xr9:uid="{0178AC5C-C603-4259-B54E-77AF26E3FF2B}">
      <tableStyleElement type="headerRow" dxfId="1"/>
    </tableStyle>
    <tableStyle name="Slicer Style 3" pivot="0" table="0" count="1" xr9:uid="{B1891CD4-4101-4EFB-B829-41681E8B73D2}"/>
    <tableStyle name="Slicer Style 4" pivot="0" table="0" count="0" xr9:uid="{66D833B3-0985-4762-8C20-6D802DA5844E}"/>
    <tableStyle name="Slicer Style 5" pivot="0" table="0" count="1" xr9:uid="{CCC90517-17F2-4F58-89F6-6BF1478653ED}">
      <tableStyleElement type="wholeTable" dxfId="0"/>
    </tableStyle>
  </tableStyles>
  <colors>
    <mruColors>
      <color rgb="FF003300"/>
      <color rgb="FF428103"/>
      <color rgb="FF339933"/>
      <color rgb="FF006600"/>
      <color rgb="FF005828"/>
      <color rgb="FF262F13"/>
      <color rgb="FF0D4B28"/>
    </mruColors>
  </colors>
  <extLst>
    <ext xmlns:x14="http://schemas.microsoft.com/office/spreadsheetml/2009/9/main" uri="{46F421CA-312F-682f-3DD2-61675219B42D}">
      <x14:dxfs count="3">
        <dxf>
          <font>
            <name val="Cambria"/>
            <family val="1"/>
            <scheme val="major"/>
          </font>
          <fill>
            <patternFill>
              <bgColor rgb="FF003300"/>
            </patternFill>
          </fill>
        </dxf>
        <dxf>
          <font>
            <color theme="0"/>
            <name val="Cambria"/>
            <family val="1"/>
            <scheme val="major"/>
          </font>
          <fill>
            <patternFill>
              <bgColor rgb="FF262F13"/>
            </patternFill>
          </fill>
        </dxf>
        <dxf>
          <font>
            <name val="Cambria"/>
            <family val="1"/>
            <scheme val="major"/>
          </font>
          <fill>
            <patternFill>
              <bgColor rgb="FF0033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s>
        </x14:slicerStyle>
        <x14:slicerStyle name="Slicer Style 2">
          <x14:slicerStyleElements>
            <x14:slicerStyleElement type="selectedItemWithData" dxfId="1"/>
          </x14:slicerStyleElements>
        </x14:slicerStyle>
        <x14:slicerStyle name="Slicer Style 3">
          <x14:slicerStyleElements>
            <x14:slicerStyleElement type="selectedItemWithData" dxfId="0"/>
          </x14:slicerStyleElements>
        </x14:slicerStyle>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2.xlsx]Pivot table!Region</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828"/>
          </a:solidFill>
          <a:ln w="19050">
            <a:solidFill>
              <a:schemeClr val="lt1"/>
            </a:solidFill>
          </a:ln>
          <a:effectLst/>
        </c:spPr>
        <c:dLbl>
          <c:idx val="0"/>
          <c:layout>
            <c:manualLayout>
              <c:x val="3.2786885245901572E-2"/>
              <c:y val="0.1138613861386138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78CF42-5F24-472E-B441-BB7AEFFB432B}" type="VALUE">
                  <a:rPr lang="en-US"/>
                  <a:pPr>
                    <a:defRPr/>
                  </a:pPr>
                  <a:t>[VALUE]</a:t>
                </a:fld>
                <a:endParaRPr lang="en-IN"/>
              </a:p>
            </c:rich>
          </c:tx>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92D050"/>
          </a:solidFill>
          <a:ln w="19050">
            <a:solidFill>
              <a:schemeClr val="lt1"/>
            </a:solidFill>
          </a:ln>
          <a:effectLst/>
        </c:spPr>
        <c:dLbl>
          <c:idx val="0"/>
          <c:layout>
            <c:manualLayout>
              <c:x val="-7.6502732240437174E-2"/>
              <c:y val="-0.12871287128712869"/>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2513661202185798E-2"/>
                  <c:h val="6.9232868168706621E-2"/>
                </c:manualLayout>
              </c15:layout>
            </c:ext>
          </c:extLst>
        </c:dLbl>
      </c:pivotFmt>
      <c:pivotFmt>
        <c:idx val="3"/>
        <c:spPr>
          <a:solidFill>
            <a:srgbClr val="428103"/>
          </a:solidFill>
          <a:ln w="19050">
            <a:solidFill>
              <a:schemeClr val="lt1"/>
            </a:solidFill>
          </a:ln>
          <a:effectLst/>
        </c:spPr>
        <c:dLbl>
          <c:idx val="0"/>
          <c:layout>
            <c:manualLayout>
              <c:x val="7.2859744990892539E-2"/>
              <c:y val="-0.14356435643564358"/>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w="19050">
            <a:solidFill>
              <a:schemeClr val="lt1"/>
            </a:solidFill>
          </a:ln>
          <a:effectLst/>
        </c:spPr>
        <c:dLbl>
          <c:idx val="0"/>
          <c:layout>
            <c:manualLayout>
              <c:x val="-5.8287795992714025E-2"/>
              <c:y val="0.1237623762376237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B889B62-2903-4AAB-9C54-02AC387A5712}" type="VALUE">
                  <a:rPr lang="en-US" b="1"/>
                  <a:pPr>
                    <a:defRPr/>
                  </a:pPr>
                  <a:t>[VALUE]</a:t>
                </a:fld>
                <a:endParaRPr lang="en-IN"/>
              </a:p>
            </c:rich>
          </c:tx>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8.2513661202185798E-2"/>
                  <c:h val="6.9232868168706621E-2"/>
                </c:manualLayout>
              </c15:layout>
              <c15:dlblFieldTable/>
              <c15:showDataLabelsRange val="0"/>
            </c:ext>
          </c:extLst>
        </c:dLbl>
      </c:pivotFmt>
    </c:pivotFmts>
    <c:plotArea>
      <c:layout/>
      <c:doughnutChart>
        <c:varyColors val="1"/>
        <c:ser>
          <c:idx val="0"/>
          <c:order val="0"/>
          <c:tx>
            <c:strRef>
              <c:f>'Pivot table'!$C$21</c:f>
              <c:strCache>
                <c:ptCount val="1"/>
                <c:pt idx="0">
                  <c:v>Total</c:v>
                </c:pt>
              </c:strCache>
            </c:strRef>
          </c:tx>
          <c:dPt>
            <c:idx val="0"/>
            <c:bubble3D val="0"/>
            <c:spPr>
              <a:solidFill>
                <a:srgbClr val="428103"/>
              </a:solidFill>
              <a:ln w="19050">
                <a:solidFill>
                  <a:schemeClr val="lt1"/>
                </a:solidFill>
              </a:ln>
              <a:effectLst/>
            </c:spPr>
            <c:extLst>
              <c:ext xmlns:c16="http://schemas.microsoft.com/office/drawing/2014/chart" uri="{C3380CC4-5D6E-409C-BE32-E72D297353CC}">
                <c16:uniqueId val="{00000001-4734-4EEB-813D-D8C1A9A03452}"/>
              </c:ext>
            </c:extLst>
          </c:dPt>
          <c:dPt>
            <c:idx val="1"/>
            <c:bubble3D val="0"/>
            <c:spPr>
              <a:solidFill>
                <a:srgbClr val="005828"/>
              </a:solidFill>
              <a:ln w="19050">
                <a:solidFill>
                  <a:schemeClr val="lt1"/>
                </a:solidFill>
              </a:ln>
              <a:effectLst/>
            </c:spPr>
            <c:extLst>
              <c:ext xmlns:c16="http://schemas.microsoft.com/office/drawing/2014/chart" uri="{C3380CC4-5D6E-409C-BE32-E72D297353CC}">
                <c16:uniqueId val="{00000002-5001-48A3-8A55-F6AEB44FF17A}"/>
              </c:ext>
            </c:extLst>
          </c:dPt>
          <c:dPt>
            <c:idx val="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5-4734-4EEB-813D-D8C1A9A03452}"/>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3-5001-48A3-8A55-F6AEB44FF17A}"/>
              </c:ext>
            </c:extLst>
          </c:dPt>
          <c:dLbls>
            <c:dLbl>
              <c:idx val="0"/>
              <c:layout>
                <c:manualLayout>
                  <c:x val="7.2859744990892539E-2"/>
                  <c:y val="-0.14356435643564358"/>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34-4EEB-813D-D8C1A9A03452}"/>
                </c:ext>
              </c:extLst>
            </c:dLbl>
            <c:dLbl>
              <c:idx val="1"/>
              <c:layout>
                <c:manualLayout>
                  <c:x val="3.2786885245901572E-2"/>
                  <c:y val="0.1138613861386138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78CF42-5F24-472E-B441-BB7AEFFB432B}" type="VALUE">
                      <a:rPr lang="en-US"/>
                      <a:pPr>
                        <a:defRPr/>
                      </a:pPr>
                      <a:t>[VALUE]</a:t>
                    </a:fld>
                    <a:endParaRPr lang="en-IN"/>
                  </a:p>
                </c:rich>
              </c:tx>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001-48A3-8A55-F6AEB44FF17A}"/>
                </c:ext>
              </c:extLst>
            </c:dLbl>
            <c:dLbl>
              <c:idx val="2"/>
              <c:layout>
                <c:manualLayout>
                  <c:x val="-5.8287795992714025E-2"/>
                  <c:y val="0.1237623762376237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B889B62-2903-4AAB-9C54-02AC387A5712}" type="VALUE">
                      <a:rPr lang="en-US" b="1"/>
                      <a:pPr>
                        <a:defRPr/>
                      </a:pPr>
                      <a:t>[VALUE]</a:t>
                    </a:fld>
                    <a:endParaRPr lang="en-IN"/>
                  </a:p>
                </c:rich>
              </c:tx>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8.2513661202185798E-2"/>
                      <c:h val="6.9232868168706621E-2"/>
                    </c:manualLayout>
                  </c15:layout>
                  <c15:dlblFieldTable/>
                  <c15:showDataLabelsRange val="0"/>
                </c:ext>
                <c:ext xmlns:c16="http://schemas.microsoft.com/office/drawing/2014/chart" uri="{C3380CC4-5D6E-409C-BE32-E72D297353CC}">
                  <c16:uniqueId val="{00000005-4734-4EEB-813D-D8C1A9A03452}"/>
                </c:ext>
              </c:extLst>
            </c:dLbl>
            <c:dLbl>
              <c:idx val="3"/>
              <c:layout>
                <c:manualLayout>
                  <c:x val="-7.6502732240437174E-2"/>
                  <c:y val="-0.12871287128712869"/>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2513661202185798E-2"/>
                      <c:h val="6.9232868168706621E-2"/>
                    </c:manualLayout>
                  </c15:layout>
                </c:ext>
                <c:ext xmlns:c16="http://schemas.microsoft.com/office/drawing/2014/chart" uri="{C3380CC4-5D6E-409C-BE32-E72D297353CC}">
                  <c16:uniqueId val="{00000003-5001-48A3-8A55-F6AEB44FF1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table'!$B$22:$B$26</c:f>
              <c:strCache>
                <c:ptCount val="4"/>
                <c:pt idx="0">
                  <c:v>East</c:v>
                </c:pt>
                <c:pt idx="1">
                  <c:v>North</c:v>
                </c:pt>
                <c:pt idx="2">
                  <c:v>South</c:v>
                </c:pt>
                <c:pt idx="3">
                  <c:v>West</c:v>
                </c:pt>
              </c:strCache>
            </c:strRef>
          </c:cat>
          <c:val>
            <c:numRef>
              <c:f>'Pivot table'!$C$22:$C$26</c:f>
              <c:numCache>
                <c:formatCode>General</c:formatCode>
                <c:ptCount val="4"/>
                <c:pt idx="0">
                  <c:v>5604.2549593495933</c:v>
                </c:pt>
                <c:pt idx="1">
                  <c:v>5503.1403831417592</c:v>
                </c:pt>
                <c:pt idx="2">
                  <c:v>5466.8772222222233</c:v>
                </c:pt>
                <c:pt idx="3">
                  <c:v>5238.5917012448172</c:v>
                </c:pt>
              </c:numCache>
            </c:numRef>
          </c:val>
          <c:extLst>
            <c:ext xmlns:c16="http://schemas.microsoft.com/office/drawing/2014/chart" uri="{C3380CC4-5D6E-409C-BE32-E72D297353CC}">
              <c16:uniqueId val="{00000000-5001-48A3-8A55-F6AEB44FF17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2.xlsx]Pivot table!Months</c:name>
    <c:fmtId val="28"/>
  </c:pivotSource>
  <c:chart>
    <c:autoTitleDeleted val="1"/>
    <c:pivotFmts>
      <c:pivotFmt>
        <c:idx val="0"/>
        <c:spPr>
          <a:solidFill>
            <a:srgbClr val="339933">
              <a:alpha val="74902"/>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table'!$B$3</c:f>
              <c:strCache>
                <c:ptCount val="1"/>
                <c:pt idx="0">
                  <c:v>Total</c:v>
                </c:pt>
              </c:strCache>
            </c:strRef>
          </c:tx>
          <c:spPr>
            <a:solidFill>
              <a:srgbClr val="339933">
                <a:alpha val="74902"/>
              </a:srgbClr>
            </a:solidFill>
            <a:ln>
              <a:noFill/>
            </a:ln>
            <a:effectLst/>
          </c:spPr>
          <c:cat>
            <c:strRef>
              <c:f>'Pivot table'!$A$4:$A$17</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'Pivot table'!$B$4:$B$17</c:f>
              <c:numCache>
                <c:formatCode>General</c:formatCode>
                <c:ptCount val="13"/>
                <c:pt idx="0">
                  <c:v>403760.29</c:v>
                </c:pt>
                <c:pt idx="1">
                  <c:v>435403.98000000027</c:v>
                </c:pt>
                <c:pt idx="2">
                  <c:v>439281.71999999986</c:v>
                </c:pt>
                <c:pt idx="3">
                  <c:v>459440.00999999989</c:v>
                </c:pt>
                <c:pt idx="4">
                  <c:v>522089.54</c:v>
                </c:pt>
                <c:pt idx="5">
                  <c:v>303746.97999999986</c:v>
                </c:pt>
                <c:pt idx="6">
                  <c:v>450845.04999999987</c:v>
                </c:pt>
                <c:pt idx="7">
                  <c:v>440249.76000000024</c:v>
                </c:pt>
                <c:pt idx="8">
                  <c:v>459679.99999999988</c:v>
                </c:pt>
                <c:pt idx="9">
                  <c:v>503174.7799999998</c:v>
                </c:pt>
                <c:pt idx="10">
                  <c:v>490670.43</c:v>
                </c:pt>
                <c:pt idx="11">
                  <c:v>532057.71</c:v>
                </c:pt>
                <c:pt idx="12">
                  <c:v>14719.77</c:v>
                </c:pt>
              </c:numCache>
            </c:numRef>
          </c:val>
          <c:extLst>
            <c:ext xmlns:c16="http://schemas.microsoft.com/office/drawing/2014/chart" uri="{C3380CC4-5D6E-409C-BE32-E72D297353CC}">
              <c16:uniqueId val="{00000000-375D-4D26-91B4-FA6CB14FC78A}"/>
            </c:ext>
          </c:extLst>
        </c:ser>
        <c:dLbls>
          <c:showLegendKey val="0"/>
          <c:showVal val="0"/>
          <c:showCatName val="0"/>
          <c:showSerName val="0"/>
          <c:showPercent val="0"/>
          <c:showBubbleSize val="0"/>
        </c:dLbls>
        <c:axId val="19574928"/>
        <c:axId val="19576848"/>
      </c:areaChart>
      <c:dateAx>
        <c:axId val="19574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9576848"/>
        <c:crosses val="autoZero"/>
        <c:auto val="0"/>
        <c:lblOffset val="100"/>
        <c:baseTimeUnit val="days"/>
      </c:dateAx>
      <c:valAx>
        <c:axId val="1957684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49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2.xlsx]Pivot table!Product</c:name>
    <c:fmtId val="30"/>
  </c:pivotSource>
  <c:chart>
    <c:autoTitleDeleted val="1"/>
    <c:pivotFmts>
      <c:pivotFmt>
        <c:idx val="0"/>
        <c:spPr>
          <a:solidFill>
            <a:srgbClr val="0D4B28"/>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58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table'!$B$35</c:f>
              <c:strCache>
                <c:ptCount val="1"/>
                <c:pt idx="0">
                  <c:v>Total</c:v>
                </c:pt>
              </c:strCache>
            </c:strRef>
          </c:tx>
          <c:spPr>
            <a:solidFill>
              <a:srgbClr val="005828"/>
            </a:solidFill>
            <a:ln>
              <a:noFill/>
            </a:ln>
            <a:effectLst/>
          </c:spPr>
          <c:invertIfNegative val="0"/>
          <c:cat>
            <c:strRef>
              <c:f>'Pivot table'!$A$36:$A$40</c:f>
              <c:strCache>
                <c:ptCount val="4"/>
                <c:pt idx="0">
                  <c:v>Accessories</c:v>
                </c:pt>
                <c:pt idx="1">
                  <c:v>Clothing</c:v>
                </c:pt>
                <c:pt idx="2">
                  <c:v>Electronics</c:v>
                </c:pt>
                <c:pt idx="3">
                  <c:v>Furniture</c:v>
                </c:pt>
              </c:strCache>
            </c:strRef>
          </c:cat>
          <c:val>
            <c:numRef>
              <c:f>'Pivot table'!$B$36:$B$40</c:f>
              <c:numCache>
                <c:formatCode>General</c:formatCode>
                <c:ptCount val="4"/>
                <c:pt idx="0">
                  <c:v>1301063.7300000009</c:v>
                </c:pt>
                <c:pt idx="1">
                  <c:v>1530872.8099999991</c:v>
                </c:pt>
                <c:pt idx="2">
                  <c:v>1422012.1700000004</c:v>
                </c:pt>
                <c:pt idx="3">
                  <c:v>1201171.3099999994</c:v>
                </c:pt>
              </c:numCache>
            </c:numRef>
          </c:val>
          <c:extLst>
            <c:ext xmlns:c16="http://schemas.microsoft.com/office/drawing/2014/chart" uri="{C3380CC4-5D6E-409C-BE32-E72D297353CC}">
              <c16:uniqueId val="{00000002-52C6-462B-965B-944E5B82AC8E}"/>
            </c:ext>
          </c:extLst>
        </c:ser>
        <c:dLbls>
          <c:showLegendKey val="0"/>
          <c:showVal val="0"/>
          <c:showCatName val="0"/>
          <c:showSerName val="0"/>
          <c:showPercent val="0"/>
          <c:showBubbleSize val="0"/>
        </c:dLbls>
        <c:gapWidth val="182"/>
        <c:axId val="114327248"/>
        <c:axId val="114321968"/>
      </c:barChart>
      <c:catAx>
        <c:axId val="114327248"/>
        <c:scaling>
          <c:orientation val="minMax"/>
        </c:scaling>
        <c:delete val="0"/>
        <c:axPos val="l"/>
        <c:numFmt formatCode="General" sourceLinked="1"/>
        <c:majorTickMark val="none"/>
        <c:minorTickMark val="none"/>
        <c:tickLblPos val="nextTo"/>
        <c:spPr>
          <a:noFill/>
          <a:ln w="9525" cap="flat" cmpd="sng" algn="ctr">
            <a:solidFill>
              <a:schemeClr val="accent3">
                <a:lumMod val="40000"/>
                <a:lumOff val="6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21968"/>
        <c:crosses val="autoZero"/>
        <c:auto val="1"/>
        <c:lblAlgn val="ctr"/>
        <c:lblOffset val="100"/>
        <c:noMultiLvlLbl val="0"/>
      </c:catAx>
      <c:valAx>
        <c:axId val="114321968"/>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2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2.xlsx]Pivot table!Marketing</c:name>
    <c:fmtId val="37"/>
  </c:pivotSource>
  <c:chart>
    <c:autoTitleDeleted val="1"/>
    <c:pivotFmts>
      <c:pivotFmt>
        <c:idx val="0"/>
        <c:spPr>
          <a:solidFill>
            <a:srgbClr val="0D4B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table'!$B$48</c:f>
              <c:strCache>
                <c:ptCount val="1"/>
                <c:pt idx="0">
                  <c:v>Total</c:v>
                </c:pt>
              </c:strCache>
            </c:strRef>
          </c:tx>
          <c:spPr>
            <a:solidFill>
              <a:srgbClr val="0D4B28"/>
            </a:solidFill>
            <a:ln>
              <a:noFill/>
            </a:ln>
            <a:effectLst/>
          </c:spPr>
          <c:invertIfNegative val="0"/>
          <c:cat>
            <c:strRef>
              <c:f>'Pivot table'!$A$49:$A$55</c:f>
              <c:strCache>
                <c:ptCount val="6"/>
                <c:pt idx="0">
                  <c:v>Email</c:v>
                </c:pt>
                <c:pt idx="1">
                  <c:v>Facebook</c:v>
                </c:pt>
                <c:pt idx="2">
                  <c:v>Google Ads</c:v>
                </c:pt>
                <c:pt idx="3">
                  <c:v>Instagram</c:v>
                </c:pt>
                <c:pt idx="4">
                  <c:v>LinkedIn</c:v>
                </c:pt>
                <c:pt idx="5">
                  <c:v>YouTube</c:v>
                </c:pt>
              </c:strCache>
            </c:strRef>
          </c:cat>
          <c:val>
            <c:numRef>
              <c:f>'Pivot table'!$B$49:$B$55</c:f>
              <c:numCache>
                <c:formatCode>General</c:formatCode>
                <c:ptCount val="6"/>
                <c:pt idx="0">
                  <c:v>1073563.6100000003</c:v>
                </c:pt>
                <c:pt idx="1">
                  <c:v>844428.42999999982</c:v>
                </c:pt>
                <c:pt idx="2">
                  <c:v>964258.39999999967</c:v>
                </c:pt>
                <c:pt idx="3">
                  <c:v>787118.41999999993</c:v>
                </c:pt>
                <c:pt idx="4">
                  <c:v>962743.23999999976</c:v>
                </c:pt>
                <c:pt idx="5">
                  <c:v>823007.92000000027</c:v>
                </c:pt>
              </c:numCache>
            </c:numRef>
          </c:val>
          <c:extLst>
            <c:ext xmlns:c16="http://schemas.microsoft.com/office/drawing/2014/chart" uri="{C3380CC4-5D6E-409C-BE32-E72D297353CC}">
              <c16:uniqueId val="{00000000-A06C-4E4A-B550-22EFB789C2AE}"/>
            </c:ext>
          </c:extLst>
        </c:ser>
        <c:dLbls>
          <c:showLegendKey val="0"/>
          <c:showVal val="0"/>
          <c:showCatName val="0"/>
          <c:showSerName val="0"/>
          <c:showPercent val="0"/>
          <c:showBubbleSize val="0"/>
        </c:dLbls>
        <c:gapWidth val="219"/>
        <c:overlap val="-27"/>
        <c:axId val="2019304912"/>
        <c:axId val="2019321712"/>
      </c:barChart>
      <c:catAx>
        <c:axId val="201930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321712"/>
        <c:crosses val="autoZero"/>
        <c:auto val="1"/>
        <c:lblAlgn val="ctr"/>
        <c:lblOffset val="100"/>
        <c:noMultiLvlLbl val="0"/>
      </c:catAx>
      <c:valAx>
        <c:axId val="2019321712"/>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30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2.xlsx]Pivot table!Sales person</c:name>
    <c:fmtId val="39"/>
  </c:pivotSource>
  <c:chart>
    <c:autoTitleDeleted val="1"/>
    <c:pivotFmts>
      <c:pivotFmt>
        <c:idx val="0"/>
        <c:spPr>
          <a:solidFill>
            <a:srgbClr val="0D4B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table'!$B$64</c:f>
              <c:strCache>
                <c:ptCount val="1"/>
                <c:pt idx="0">
                  <c:v>Total</c:v>
                </c:pt>
              </c:strCache>
            </c:strRef>
          </c:tx>
          <c:spPr>
            <a:solidFill>
              <a:srgbClr val="0D4B28"/>
            </a:solidFill>
            <a:ln>
              <a:noFill/>
            </a:ln>
            <a:effectLst/>
          </c:spPr>
          <c:invertIfNegative val="0"/>
          <c:cat>
            <c:strRef>
              <c:f>'Pivot table'!$A$65:$A$73</c:f>
              <c:strCache>
                <c:ptCount val="8"/>
                <c:pt idx="0">
                  <c:v>Amit</c:v>
                </c:pt>
                <c:pt idx="1">
                  <c:v>Anjali</c:v>
                </c:pt>
                <c:pt idx="2">
                  <c:v>Arjun</c:v>
                </c:pt>
                <c:pt idx="3">
                  <c:v>Neha</c:v>
                </c:pt>
                <c:pt idx="4">
                  <c:v>Priya</c:v>
                </c:pt>
                <c:pt idx="5">
                  <c:v>Rahul</c:v>
                </c:pt>
                <c:pt idx="6">
                  <c:v>Sneha</c:v>
                </c:pt>
                <c:pt idx="7">
                  <c:v>Vikas</c:v>
                </c:pt>
              </c:strCache>
            </c:strRef>
          </c:cat>
          <c:val>
            <c:numRef>
              <c:f>'Pivot table'!$B$65:$B$73</c:f>
              <c:numCache>
                <c:formatCode>General</c:formatCode>
                <c:ptCount val="8"/>
                <c:pt idx="0">
                  <c:v>140192.49</c:v>
                </c:pt>
                <c:pt idx="1">
                  <c:v>169050.93000000011</c:v>
                </c:pt>
                <c:pt idx="2">
                  <c:v>177250.11999999994</c:v>
                </c:pt>
                <c:pt idx="3">
                  <c:v>142020.66</c:v>
                </c:pt>
                <c:pt idx="4">
                  <c:v>138212.10000000003</c:v>
                </c:pt>
                <c:pt idx="5">
                  <c:v>144094.47000000012</c:v>
                </c:pt>
                <c:pt idx="6">
                  <c:v>137327.09000000005</c:v>
                </c:pt>
                <c:pt idx="7">
                  <c:v>166383.58000000005</c:v>
                </c:pt>
              </c:numCache>
            </c:numRef>
          </c:val>
          <c:extLst>
            <c:ext xmlns:c16="http://schemas.microsoft.com/office/drawing/2014/chart" uri="{C3380CC4-5D6E-409C-BE32-E72D297353CC}">
              <c16:uniqueId val="{00000000-A522-4B1F-BD5D-A0675D5A44DE}"/>
            </c:ext>
          </c:extLst>
        </c:ser>
        <c:dLbls>
          <c:showLegendKey val="0"/>
          <c:showVal val="0"/>
          <c:showCatName val="0"/>
          <c:showSerName val="0"/>
          <c:showPercent val="0"/>
          <c:showBubbleSize val="0"/>
        </c:dLbls>
        <c:gapWidth val="182"/>
        <c:axId val="2019309232"/>
        <c:axId val="2019320272"/>
      </c:barChart>
      <c:catAx>
        <c:axId val="2019309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320272"/>
        <c:crosses val="autoZero"/>
        <c:auto val="1"/>
        <c:lblAlgn val="ctr"/>
        <c:lblOffset val="100"/>
        <c:noMultiLvlLbl val="0"/>
      </c:catAx>
      <c:valAx>
        <c:axId val="2019320272"/>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30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2.xlsx]Pivot table!segment</c:name>
    <c:fmtId val="41"/>
  </c:pivotSource>
  <c:chart>
    <c:autoTitleDeleted val="1"/>
    <c:pivotFmts>
      <c:pivotFmt>
        <c:idx val="0"/>
        <c:spPr>
          <a:solidFill>
            <a:srgbClr val="0D4B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table'!$B$81</c:f>
              <c:strCache>
                <c:ptCount val="1"/>
                <c:pt idx="0">
                  <c:v>Total</c:v>
                </c:pt>
              </c:strCache>
            </c:strRef>
          </c:tx>
          <c:spPr>
            <a:solidFill>
              <a:srgbClr val="0D4B28"/>
            </a:solidFill>
            <a:ln>
              <a:noFill/>
            </a:ln>
            <a:effectLst/>
          </c:spPr>
          <c:invertIfNegative val="0"/>
          <c:cat>
            <c:strRef>
              <c:f>'Pivot table'!$A$82:$A$86</c:f>
              <c:strCache>
                <c:ptCount val="4"/>
                <c:pt idx="0">
                  <c:v>Consumer</c:v>
                </c:pt>
                <c:pt idx="1">
                  <c:v>Corporate</c:v>
                </c:pt>
                <c:pt idx="2">
                  <c:v>Enterprise</c:v>
                </c:pt>
                <c:pt idx="3">
                  <c:v>Small Business</c:v>
                </c:pt>
              </c:strCache>
            </c:strRef>
          </c:cat>
          <c:val>
            <c:numRef>
              <c:f>'Pivot table'!$B$82:$B$86</c:f>
              <c:numCache>
                <c:formatCode>General</c:formatCode>
                <c:ptCount val="4"/>
                <c:pt idx="0">
                  <c:v>1425793.5900000012</c:v>
                </c:pt>
                <c:pt idx="1">
                  <c:v>1299938.8299999994</c:v>
                </c:pt>
                <c:pt idx="2">
                  <c:v>1484967.209999999</c:v>
                </c:pt>
                <c:pt idx="3">
                  <c:v>1244420.3899999999</c:v>
                </c:pt>
              </c:numCache>
            </c:numRef>
          </c:val>
          <c:extLst>
            <c:ext xmlns:c16="http://schemas.microsoft.com/office/drawing/2014/chart" uri="{C3380CC4-5D6E-409C-BE32-E72D297353CC}">
              <c16:uniqueId val="{00000000-1B90-4728-8899-AE356782E7CD}"/>
            </c:ext>
          </c:extLst>
        </c:ser>
        <c:dLbls>
          <c:showLegendKey val="0"/>
          <c:showVal val="0"/>
          <c:showCatName val="0"/>
          <c:showSerName val="0"/>
          <c:showPercent val="0"/>
          <c:showBubbleSize val="0"/>
        </c:dLbls>
        <c:gapWidth val="182"/>
        <c:axId val="372614976"/>
        <c:axId val="372613056"/>
      </c:barChart>
      <c:catAx>
        <c:axId val="372614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13056"/>
        <c:crosses val="autoZero"/>
        <c:auto val="1"/>
        <c:lblAlgn val="ctr"/>
        <c:lblOffset val="100"/>
        <c:noMultiLvlLbl val="0"/>
      </c:catAx>
      <c:valAx>
        <c:axId val="372613056"/>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1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2.xlsx]Pivot table!Months</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20000"/>
              <a:lumOff val="80000"/>
            </a:schemeClr>
          </a:solidFill>
          <a:ln w="9525" cap="flat" cmpd="sng" algn="ctr">
            <a:solidFill>
              <a:srgbClr val="006600"/>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94856006321009"/>
          <c:y val="4.3478260869565216E-2"/>
          <c:w val="0.84906874097485219"/>
          <c:h val="0.72191116056145155"/>
        </c:manualLayout>
      </c:layout>
      <c:areaChart>
        <c:grouping val="standard"/>
        <c:varyColors val="0"/>
        <c:ser>
          <c:idx val="0"/>
          <c:order val="0"/>
          <c:tx>
            <c:strRef>
              <c:f>'Pivot table'!$B$3</c:f>
              <c:strCache>
                <c:ptCount val="1"/>
                <c:pt idx="0">
                  <c:v>Total</c:v>
                </c:pt>
              </c:strCache>
            </c:strRef>
          </c:tx>
          <c:spPr>
            <a:solidFill>
              <a:schemeClr val="accent3">
                <a:lumMod val="20000"/>
                <a:lumOff val="80000"/>
              </a:schemeClr>
            </a:solidFill>
            <a:ln w="9525" cap="flat" cmpd="sng" algn="ctr">
              <a:solidFill>
                <a:srgbClr val="006600"/>
              </a:solidFill>
              <a:round/>
            </a:ln>
            <a:effectLst>
              <a:outerShdw blurRad="40000" dist="20000" dir="5400000" rotWithShape="0">
                <a:srgbClr val="000000">
                  <a:alpha val="38000"/>
                </a:srgbClr>
              </a:outerShdw>
            </a:effectLst>
          </c:spPr>
          <c:cat>
            <c:strRef>
              <c:f>'Pivot table'!$A$4:$A$17</c:f>
              <c:strCache>
                <c:ptCount val="13"/>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pt idx="12">
                  <c:v>Jan-26</c:v>
                </c:pt>
              </c:strCache>
            </c:strRef>
          </c:cat>
          <c:val>
            <c:numRef>
              <c:f>'Pivot table'!$B$4:$B$17</c:f>
              <c:numCache>
                <c:formatCode>General</c:formatCode>
                <c:ptCount val="13"/>
                <c:pt idx="0">
                  <c:v>403760.29</c:v>
                </c:pt>
                <c:pt idx="1">
                  <c:v>435403.98000000027</c:v>
                </c:pt>
                <c:pt idx="2">
                  <c:v>439281.71999999986</c:v>
                </c:pt>
                <c:pt idx="3">
                  <c:v>459440.00999999989</c:v>
                </c:pt>
                <c:pt idx="4">
                  <c:v>522089.54</c:v>
                </c:pt>
                <c:pt idx="5">
                  <c:v>303746.97999999986</c:v>
                </c:pt>
                <c:pt idx="6">
                  <c:v>450845.04999999987</c:v>
                </c:pt>
                <c:pt idx="7">
                  <c:v>440249.76000000024</c:v>
                </c:pt>
                <c:pt idx="8">
                  <c:v>459679.99999999988</c:v>
                </c:pt>
                <c:pt idx="9">
                  <c:v>503174.7799999998</c:v>
                </c:pt>
                <c:pt idx="10">
                  <c:v>490670.43</c:v>
                </c:pt>
                <c:pt idx="11">
                  <c:v>532057.71</c:v>
                </c:pt>
                <c:pt idx="12">
                  <c:v>14719.77</c:v>
                </c:pt>
              </c:numCache>
            </c:numRef>
          </c:val>
          <c:extLst>
            <c:ext xmlns:c16="http://schemas.microsoft.com/office/drawing/2014/chart" uri="{C3380CC4-5D6E-409C-BE32-E72D297353CC}">
              <c16:uniqueId val="{00000000-A276-4E20-A3DB-10E7ECC06CE4}"/>
            </c:ext>
          </c:extLst>
        </c:ser>
        <c:dLbls>
          <c:showLegendKey val="0"/>
          <c:showVal val="0"/>
          <c:showCatName val="0"/>
          <c:showSerName val="0"/>
          <c:showPercent val="0"/>
          <c:showBubbleSize val="0"/>
        </c:dLbls>
        <c:axId val="19574928"/>
        <c:axId val="19576848"/>
      </c:areaChart>
      <c:dateAx>
        <c:axId val="19574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576848"/>
        <c:crosses val="autoZero"/>
        <c:auto val="0"/>
        <c:lblOffset val="100"/>
        <c:baseTimeUnit val="days"/>
      </c:dateAx>
      <c:valAx>
        <c:axId val="1957684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5749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2.xlsx]Pivot table!Product</c:name>
    <c:fmtId val="38"/>
  </c:pivotSource>
  <c:chart>
    <c:autoTitleDeleted val="1"/>
    <c:pivotFmts>
      <c:pivotFmt>
        <c:idx val="0"/>
        <c:spPr>
          <a:solidFill>
            <a:srgbClr val="0D4B28"/>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D4B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D4B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28103"/>
          </a:solidFill>
          <a:ln>
            <a:solidFill>
              <a:schemeClr val="accent3">
                <a:lumMod val="75000"/>
              </a:schemeClr>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table'!$B$35</c:f>
              <c:strCache>
                <c:ptCount val="1"/>
                <c:pt idx="0">
                  <c:v>Total</c:v>
                </c:pt>
              </c:strCache>
            </c:strRef>
          </c:tx>
          <c:spPr>
            <a:solidFill>
              <a:srgbClr val="428103"/>
            </a:solidFill>
            <a:ln>
              <a:solidFill>
                <a:schemeClr val="accent3">
                  <a:lumMod val="75000"/>
                </a:schemeClr>
              </a:solid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table'!$A$36:$A$40</c:f>
              <c:strCache>
                <c:ptCount val="4"/>
                <c:pt idx="0">
                  <c:v>Accessories</c:v>
                </c:pt>
                <c:pt idx="1">
                  <c:v>Clothing</c:v>
                </c:pt>
                <c:pt idx="2">
                  <c:v>Electronics</c:v>
                </c:pt>
                <c:pt idx="3">
                  <c:v>Furniture</c:v>
                </c:pt>
              </c:strCache>
            </c:strRef>
          </c:cat>
          <c:val>
            <c:numRef>
              <c:f>'Pivot table'!$B$36:$B$40</c:f>
              <c:numCache>
                <c:formatCode>General</c:formatCode>
                <c:ptCount val="4"/>
                <c:pt idx="0">
                  <c:v>1301063.7300000009</c:v>
                </c:pt>
                <c:pt idx="1">
                  <c:v>1530872.8099999991</c:v>
                </c:pt>
                <c:pt idx="2">
                  <c:v>1422012.1700000004</c:v>
                </c:pt>
                <c:pt idx="3">
                  <c:v>1201171.3099999994</c:v>
                </c:pt>
              </c:numCache>
            </c:numRef>
          </c:val>
          <c:extLst>
            <c:ext xmlns:c16="http://schemas.microsoft.com/office/drawing/2014/chart" uri="{C3380CC4-5D6E-409C-BE32-E72D297353CC}">
              <c16:uniqueId val="{00000001-2831-4005-9A0C-54E9D6E6139B}"/>
            </c:ext>
          </c:extLst>
        </c:ser>
        <c:dLbls>
          <c:showLegendKey val="0"/>
          <c:showVal val="0"/>
          <c:showCatName val="0"/>
          <c:showSerName val="0"/>
          <c:showPercent val="0"/>
          <c:showBubbleSize val="0"/>
        </c:dLbls>
        <c:gapWidth val="182"/>
        <c:axId val="114327248"/>
        <c:axId val="114321968"/>
      </c:barChart>
      <c:catAx>
        <c:axId val="114327248"/>
        <c:scaling>
          <c:orientation val="minMax"/>
        </c:scaling>
        <c:delete val="0"/>
        <c:axPos val="l"/>
        <c:numFmt formatCode="General" sourceLinked="1"/>
        <c:majorTickMark val="none"/>
        <c:minorTickMark val="none"/>
        <c:tickLblPos val="nextTo"/>
        <c:spPr>
          <a:noFill/>
          <a:ln w="9525" cap="flat" cmpd="sng" algn="ctr">
            <a:solidFill>
              <a:schemeClr val="accent3">
                <a:lumMod val="40000"/>
                <a:lumOff val="6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21968"/>
        <c:crosses val="autoZero"/>
        <c:auto val="1"/>
        <c:lblAlgn val="ctr"/>
        <c:lblOffset val="100"/>
        <c:noMultiLvlLbl val="0"/>
      </c:catAx>
      <c:valAx>
        <c:axId val="114321968"/>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2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2.xlsx]Pivot table!Marketing</c:name>
    <c:fmtId val="40"/>
  </c:pivotSource>
  <c:chart>
    <c:autoTitleDeleted val="1"/>
    <c:pivotFmts>
      <c:pivotFmt>
        <c:idx val="0"/>
        <c:spPr>
          <a:solidFill>
            <a:srgbClr val="0D4B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D4B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28103"/>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1065378191361"/>
          <c:y val="6.8767908309455589E-2"/>
          <c:w val="0.80678328561202572"/>
          <c:h val="0.65451616542201563"/>
        </c:manualLayout>
      </c:layout>
      <c:barChart>
        <c:barDir val="col"/>
        <c:grouping val="clustered"/>
        <c:varyColors val="0"/>
        <c:ser>
          <c:idx val="0"/>
          <c:order val="0"/>
          <c:tx>
            <c:strRef>
              <c:f>'Pivot table'!$B$48</c:f>
              <c:strCache>
                <c:ptCount val="1"/>
                <c:pt idx="0">
                  <c:v>Total</c:v>
                </c:pt>
              </c:strCache>
            </c:strRef>
          </c:tx>
          <c:spPr>
            <a:solidFill>
              <a:srgbClr val="428103"/>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table'!$A$49:$A$55</c:f>
              <c:strCache>
                <c:ptCount val="6"/>
                <c:pt idx="0">
                  <c:v>Email</c:v>
                </c:pt>
                <c:pt idx="1">
                  <c:v>Facebook</c:v>
                </c:pt>
                <c:pt idx="2">
                  <c:v>Google Ads</c:v>
                </c:pt>
                <c:pt idx="3">
                  <c:v>Instagram</c:v>
                </c:pt>
                <c:pt idx="4">
                  <c:v>LinkedIn</c:v>
                </c:pt>
                <c:pt idx="5">
                  <c:v>YouTube</c:v>
                </c:pt>
              </c:strCache>
            </c:strRef>
          </c:cat>
          <c:val>
            <c:numRef>
              <c:f>'Pivot table'!$B$49:$B$55</c:f>
              <c:numCache>
                <c:formatCode>General</c:formatCode>
                <c:ptCount val="6"/>
                <c:pt idx="0">
                  <c:v>1073563.6100000003</c:v>
                </c:pt>
                <c:pt idx="1">
                  <c:v>844428.42999999982</c:v>
                </c:pt>
                <c:pt idx="2">
                  <c:v>964258.39999999967</c:v>
                </c:pt>
                <c:pt idx="3">
                  <c:v>787118.41999999993</c:v>
                </c:pt>
                <c:pt idx="4">
                  <c:v>962743.23999999976</c:v>
                </c:pt>
                <c:pt idx="5">
                  <c:v>823007.92000000027</c:v>
                </c:pt>
              </c:numCache>
            </c:numRef>
          </c:val>
          <c:extLst>
            <c:ext xmlns:c16="http://schemas.microsoft.com/office/drawing/2014/chart" uri="{C3380CC4-5D6E-409C-BE32-E72D297353CC}">
              <c16:uniqueId val="{00000000-1265-4E95-AAE4-65328DD562FF}"/>
            </c:ext>
          </c:extLst>
        </c:ser>
        <c:dLbls>
          <c:showLegendKey val="0"/>
          <c:showVal val="0"/>
          <c:showCatName val="0"/>
          <c:showSerName val="0"/>
          <c:showPercent val="0"/>
          <c:showBubbleSize val="0"/>
        </c:dLbls>
        <c:gapWidth val="219"/>
        <c:overlap val="-27"/>
        <c:axId val="2019304912"/>
        <c:axId val="2019321712"/>
      </c:barChart>
      <c:catAx>
        <c:axId val="201930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321712"/>
        <c:crosses val="autoZero"/>
        <c:auto val="1"/>
        <c:lblAlgn val="ctr"/>
        <c:lblOffset val="100"/>
        <c:noMultiLvlLbl val="0"/>
      </c:catAx>
      <c:valAx>
        <c:axId val="2019321712"/>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30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2.xlsx]Pivot table!Sales person</c:name>
    <c:fmtId val="43"/>
  </c:pivotSource>
  <c:chart>
    <c:autoTitleDeleted val="1"/>
    <c:pivotFmts>
      <c:pivotFmt>
        <c:idx val="0"/>
        <c:spPr>
          <a:solidFill>
            <a:srgbClr val="0D4B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D4B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28103"/>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82568408230739"/>
          <c:y val="6.8767908309455589E-2"/>
          <c:w val="0.78961644987746693"/>
          <c:h val="0.80402138844392301"/>
        </c:manualLayout>
      </c:layout>
      <c:barChart>
        <c:barDir val="bar"/>
        <c:grouping val="clustered"/>
        <c:varyColors val="0"/>
        <c:ser>
          <c:idx val="0"/>
          <c:order val="0"/>
          <c:tx>
            <c:strRef>
              <c:f>'Pivot table'!$B$64</c:f>
              <c:strCache>
                <c:ptCount val="1"/>
                <c:pt idx="0">
                  <c:v>Total</c:v>
                </c:pt>
              </c:strCache>
            </c:strRef>
          </c:tx>
          <c:spPr>
            <a:solidFill>
              <a:srgbClr val="428103"/>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table'!$A$65:$A$73</c:f>
              <c:strCache>
                <c:ptCount val="8"/>
                <c:pt idx="0">
                  <c:v>Amit</c:v>
                </c:pt>
                <c:pt idx="1">
                  <c:v>Anjali</c:v>
                </c:pt>
                <c:pt idx="2">
                  <c:v>Arjun</c:v>
                </c:pt>
                <c:pt idx="3">
                  <c:v>Neha</c:v>
                </c:pt>
                <c:pt idx="4">
                  <c:v>Priya</c:v>
                </c:pt>
                <c:pt idx="5">
                  <c:v>Rahul</c:v>
                </c:pt>
                <c:pt idx="6">
                  <c:v>Sneha</c:v>
                </c:pt>
                <c:pt idx="7">
                  <c:v>Vikas</c:v>
                </c:pt>
              </c:strCache>
            </c:strRef>
          </c:cat>
          <c:val>
            <c:numRef>
              <c:f>'Pivot table'!$B$65:$B$73</c:f>
              <c:numCache>
                <c:formatCode>General</c:formatCode>
                <c:ptCount val="8"/>
                <c:pt idx="0">
                  <c:v>140192.49</c:v>
                </c:pt>
                <c:pt idx="1">
                  <c:v>169050.93000000011</c:v>
                </c:pt>
                <c:pt idx="2">
                  <c:v>177250.11999999994</c:v>
                </c:pt>
                <c:pt idx="3">
                  <c:v>142020.66</c:v>
                </c:pt>
                <c:pt idx="4">
                  <c:v>138212.10000000003</c:v>
                </c:pt>
                <c:pt idx="5">
                  <c:v>144094.47000000012</c:v>
                </c:pt>
                <c:pt idx="6">
                  <c:v>137327.09000000005</c:v>
                </c:pt>
                <c:pt idx="7">
                  <c:v>166383.58000000005</c:v>
                </c:pt>
              </c:numCache>
            </c:numRef>
          </c:val>
          <c:extLst>
            <c:ext xmlns:c16="http://schemas.microsoft.com/office/drawing/2014/chart" uri="{C3380CC4-5D6E-409C-BE32-E72D297353CC}">
              <c16:uniqueId val="{00000000-B165-43BE-84E1-619C8A6C793C}"/>
            </c:ext>
          </c:extLst>
        </c:ser>
        <c:dLbls>
          <c:showLegendKey val="0"/>
          <c:showVal val="0"/>
          <c:showCatName val="0"/>
          <c:showSerName val="0"/>
          <c:showPercent val="0"/>
          <c:showBubbleSize val="0"/>
        </c:dLbls>
        <c:gapWidth val="182"/>
        <c:axId val="2019309232"/>
        <c:axId val="2019320272"/>
      </c:barChart>
      <c:catAx>
        <c:axId val="2019309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320272"/>
        <c:crosses val="autoZero"/>
        <c:auto val="1"/>
        <c:lblAlgn val="ctr"/>
        <c:lblOffset val="100"/>
        <c:noMultiLvlLbl val="0"/>
      </c:catAx>
      <c:valAx>
        <c:axId val="2019320272"/>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30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2.xlsx]Pivot table!Region</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828"/>
          </a:solidFill>
          <a:ln w="19050">
            <a:solidFill>
              <a:schemeClr val="lt1"/>
            </a:solidFill>
          </a:ln>
          <a:effectLst/>
        </c:spPr>
        <c:dLbl>
          <c:idx val="0"/>
          <c:layout>
            <c:manualLayout>
              <c:x val="3.2786885245901572E-2"/>
              <c:y val="0.1138613861386138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78CF42-5F24-472E-B441-BB7AEFFB432B}" type="VALUE">
                  <a:rPr lang="en-US"/>
                  <a:pPr>
                    <a:defRPr sz="900" b="0" i="0" u="none" strike="noStrike" kern="1200" baseline="0">
                      <a:solidFill>
                        <a:schemeClr val="tx1">
                          <a:lumMod val="75000"/>
                          <a:lumOff val="25000"/>
                        </a:schemeClr>
                      </a:solidFill>
                      <a:latin typeface="+mn-lt"/>
                      <a:ea typeface="+mn-ea"/>
                      <a:cs typeface="+mn-cs"/>
                    </a:defRPr>
                  </a:pPr>
                  <a:t>[VALUE]</a:t>
                </a:fld>
                <a:endParaRPr lang="en-IN"/>
              </a:p>
            </c:rich>
          </c:tx>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rgbClr val="92D050"/>
          </a:solidFill>
          <a:ln w="19050">
            <a:solidFill>
              <a:schemeClr val="lt1"/>
            </a:solidFill>
          </a:ln>
          <a:effectLst/>
        </c:spPr>
        <c:dLbl>
          <c:idx val="0"/>
          <c:layout>
            <c:manualLayout>
              <c:x val="-7.6502732240437174E-2"/>
              <c:y val="-0.12871287128712869"/>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2513661202185798E-2"/>
                  <c:h val="6.9232868168706621E-2"/>
                </c:manualLayout>
              </c15:layout>
            </c:ext>
          </c:extLst>
        </c:dLbl>
      </c:pivotFmt>
      <c:pivotFmt>
        <c:idx val="3"/>
        <c:spPr>
          <a:solidFill>
            <a:srgbClr val="428103"/>
          </a:solidFill>
          <a:ln w="19050">
            <a:solidFill>
              <a:schemeClr val="lt1"/>
            </a:solidFill>
          </a:ln>
          <a:effectLst/>
        </c:spPr>
        <c:dLbl>
          <c:idx val="0"/>
          <c:layout>
            <c:manualLayout>
              <c:x val="7.2859744990892539E-2"/>
              <c:y val="-0.14356435643564358"/>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w="19050">
            <a:solidFill>
              <a:schemeClr val="lt1"/>
            </a:solidFill>
          </a:ln>
          <a:effectLst/>
        </c:spPr>
        <c:dLbl>
          <c:idx val="0"/>
          <c:layout>
            <c:manualLayout>
              <c:x val="-5.8287795992714025E-2"/>
              <c:y val="0.1237623762376237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B889B62-2903-4AAB-9C54-02AC387A5712}"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8.2513661202185798E-2"/>
                  <c:h val="6.9232868168706621E-2"/>
                </c:manualLayout>
              </c15:layout>
              <c15:dlblFieldTable/>
              <c15:showDataLabelsRange val="0"/>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28103"/>
          </a:solidFill>
          <a:ln w="19050">
            <a:solidFill>
              <a:schemeClr val="lt1"/>
            </a:solidFill>
          </a:ln>
          <a:effectLst/>
        </c:spPr>
        <c:dLbl>
          <c:idx val="0"/>
          <c:layout>
            <c:manualLayout>
              <c:x val="7.2859744990892539E-2"/>
              <c:y val="-0.14356435643564358"/>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5828"/>
          </a:solidFill>
          <a:ln w="19050">
            <a:solidFill>
              <a:schemeClr val="lt1"/>
            </a:solidFill>
          </a:ln>
          <a:effectLst/>
        </c:spPr>
        <c:dLbl>
          <c:idx val="0"/>
          <c:layout>
            <c:manualLayout>
              <c:x val="3.2786885245901572E-2"/>
              <c:y val="0.1138613861386138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78CF42-5F24-472E-B441-BB7AEFFB432B}" type="VALUE">
                  <a:rPr lang="en-US"/>
                  <a:pPr>
                    <a:defRPr sz="900" b="0" i="0" u="none" strike="noStrike" kern="1200" baseline="0">
                      <a:solidFill>
                        <a:schemeClr val="tx1">
                          <a:lumMod val="75000"/>
                          <a:lumOff val="25000"/>
                        </a:schemeClr>
                      </a:solidFill>
                      <a:latin typeface="+mn-lt"/>
                      <a:ea typeface="+mn-ea"/>
                      <a:cs typeface="+mn-cs"/>
                    </a:defRPr>
                  </a:pPr>
                  <a:t>[VALUE]</a:t>
                </a:fld>
                <a:endParaRPr lang="en-IN"/>
              </a:p>
            </c:rich>
          </c:tx>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3">
              <a:lumMod val="50000"/>
            </a:schemeClr>
          </a:solidFill>
          <a:ln w="19050">
            <a:solidFill>
              <a:schemeClr val="lt1"/>
            </a:solidFill>
          </a:ln>
          <a:effectLst/>
        </c:spPr>
        <c:dLbl>
          <c:idx val="0"/>
          <c:layout>
            <c:manualLayout>
              <c:x val="-5.8287795992714025E-2"/>
              <c:y val="0.1237623762376237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B889B62-2903-4AAB-9C54-02AC387A5712}"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8.2513661202185798E-2"/>
                  <c:h val="6.9232868168706621E-2"/>
                </c:manualLayout>
              </c15:layout>
              <c15:dlblFieldTable/>
              <c15:showDataLabelsRange val="0"/>
            </c:ext>
          </c:extLst>
        </c:dLbl>
      </c:pivotFmt>
      <c:pivotFmt>
        <c:idx val="9"/>
        <c:spPr>
          <a:solidFill>
            <a:srgbClr val="92D050"/>
          </a:solidFill>
          <a:ln w="19050">
            <a:solidFill>
              <a:schemeClr val="lt1"/>
            </a:solidFill>
          </a:ln>
          <a:effectLst/>
        </c:spPr>
        <c:dLbl>
          <c:idx val="0"/>
          <c:layout>
            <c:manualLayout>
              <c:x val="-7.6502732240437174E-2"/>
              <c:y val="-0.12871287128712869"/>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2513661202185798E-2"/>
                  <c:h val="6.9232868168706621E-2"/>
                </c:manualLayout>
              </c15:layout>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428103"/>
          </a:solidFill>
          <a:ln w="19050">
            <a:solidFill>
              <a:schemeClr val="lt1"/>
            </a:solidFill>
          </a:ln>
          <a:effectLst/>
        </c:spPr>
        <c:dLbl>
          <c:idx val="0"/>
          <c:layout>
            <c:manualLayout>
              <c:x val="7.2859744990892539E-2"/>
              <c:y val="-0.14356435643564358"/>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5828"/>
          </a:solidFill>
          <a:ln w="19050">
            <a:solidFill>
              <a:schemeClr val="lt1"/>
            </a:solidFill>
          </a:ln>
          <a:effectLst/>
        </c:spPr>
        <c:dLbl>
          <c:idx val="0"/>
          <c:layout>
            <c:manualLayout>
              <c:x val="3.2786885245901572E-2"/>
              <c:y val="0.1138613861386138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78CF42-5F24-472E-B441-BB7AEFFB432B}" type="VALUE">
                  <a:rPr lang="en-US"/>
                  <a:pPr>
                    <a:defRPr/>
                  </a:pPr>
                  <a:t>[VALUE]</a:t>
                </a:fld>
                <a:endParaRPr lang="en-IN"/>
              </a:p>
            </c:rich>
          </c:tx>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3">
              <a:lumMod val="50000"/>
            </a:schemeClr>
          </a:solidFill>
          <a:ln w="19050">
            <a:solidFill>
              <a:schemeClr val="lt1"/>
            </a:solidFill>
          </a:ln>
          <a:effectLst/>
        </c:spPr>
        <c:dLbl>
          <c:idx val="0"/>
          <c:layout>
            <c:manualLayout>
              <c:x val="-5.8287795992714025E-2"/>
              <c:y val="0.1237623762376237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B889B62-2903-4AAB-9C54-02AC387A5712}" type="VALUE">
                  <a:rPr lang="en-US" b="1"/>
                  <a:pPr>
                    <a:defRPr/>
                  </a:pPr>
                  <a:t>[VALUE]</a:t>
                </a:fld>
                <a:endParaRPr lang="en-IN"/>
              </a:p>
            </c:rich>
          </c:tx>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8.2513661202185798E-2"/>
                  <c:h val="6.9232868168706621E-2"/>
                </c:manualLayout>
              </c15:layout>
              <c15:dlblFieldTable/>
              <c15:showDataLabelsRange val="0"/>
            </c:ext>
          </c:extLst>
        </c:dLbl>
      </c:pivotFmt>
      <c:pivotFmt>
        <c:idx val="14"/>
        <c:spPr>
          <a:solidFill>
            <a:srgbClr val="92D050"/>
          </a:solidFill>
          <a:ln w="19050">
            <a:solidFill>
              <a:schemeClr val="lt1"/>
            </a:solidFill>
          </a:ln>
          <a:effectLst/>
        </c:spPr>
        <c:dLbl>
          <c:idx val="0"/>
          <c:layout>
            <c:manualLayout>
              <c:x val="-7.6502732240437174E-2"/>
              <c:y val="-0.12871287128712869"/>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2513661202185798E-2"/>
                  <c:h val="6.9232868168706621E-2"/>
                </c:manualLayout>
              </c15:layout>
            </c:ext>
          </c:extLst>
        </c:dLbl>
      </c:pivotFmt>
    </c:pivotFmts>
    <c:plotArea>
      <c:layout/>
      <c:doughnutChart>
        <c:varyColors val="1"/>
        <c:ser>
          <c:idx val="0"/>
          <c:order val="0"/>
          <c:tx>
            <c:strRef>
              <c:f>'Pivot table'!$C$21</c:f>
              <c:strCache>
                <c:ptCount val="1"/>
                <c:pt idx="0">
                  <c:v>Total</c:v>
                </c:pt>
              </c:strCache>
            </c:strRef>
          </c:tx>
          <c:dPt>
            <c:idx val="0"/>
            <c:bubble3D val="0"/>
            <c:spPr>
              <a:solidFill>
                <a:srgbClr val="428103"/>
              </a:solidFill>
              <a:ln w="19050">
                <a:solidFill>
                  <a:schemeClr val="lt1"/>
                </a:solidFill>
              </a:ln>
              <a:effectLst/>
            </c:spPr>
            <c:extLst>
              <c:ext xmlns:c16="http://schemas.microsoft.com/office/drawing/2014/chart" uri="{C3380CC4-5D6E-409C-BE32-E72D297353CC}">
                <c16:uniqueId val="{00000001-7D91-48FE-8558-EE35C9B32906}"/>
              </c:ext>
            </c:extLst>
          </c:dPt>
          <c:dPt>
            <c:idx val="1"/>
            <c:bubble3D val="0"/>
            <c:spPr>
              <a:solidFill>
                <a:srgbClr val="005828"/>
              </a:solidFill>
              <a:ln w="19050">
                <a:solidFill>
                  <a:schemeClr val="lt1"/>
                </a:solidFill>
              </a:ln>
              <a:effectLst/>
            </c:spPr>
            <c:extLst>
              <c:ext xmlns:c16="http://schemas.microsoft.com/office/drawing/2014/chart" uri="{C3380CC4-5D6E-409C-BE32-E72D297353CC}">
                <c16:uniqueId val="{00000003-7D91-48FE-8558-EE35C9B32906}"/>
              </c:ext>
            </c:extLst>
          </c:dPt>
          <c:dPt>
            <c:idx val="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5-7D91-48FE-8558-EE35C9B32906}"/>
              </c:ext>
            </c:extLst>
          </c:dPt>
          <c:dPt>
            <c:idx val="3"/>
            <c:bubble3D val="0"/>
            <c:spPr>
              <a:solidFill>
                <a:srgbClr val="92D050"/>
              </a:solidFill>
              <a:ln w="19050">
                <a:solidFill>
                  <a:schemeClr val="lt1"/>
                </a:solidFill>
              </a:ln>
              <a:effectLst/>
            </c:spPr>
            <c:extLst>
              <c:ext xmlns:c16="http://schemas.microsoft.com/office/drawing/2014/chart" uri="{C3380CC4-5D6E-409C-BE32-E72D297353CC}">
                <c16:uniqueId val="{00000007-7D91-48FE-8558-EE35C9B32906}"/>
              </c:ext>
            </c:extLst>
          </c:dPt>
          <c:dLbls>
            <c:dLbl>
              <c:idx val="0"/>
              <c:layout>
                <c:manualLayout>
                  <c:x val="7.2859744990892539E-2"/>
                  <c:y val="-0.14356435643564358"/>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91-48FE-8558-EE35C9B32906}"/>
                </c:ext>
              </c:extLst>
            </c:dLbl>
            <c:dLbl>
              <c:idx val="1"/>
              <c:layout>
                <c:manualLayout>
                  <c:x val="3.2786885245901572E-2"/>
                  <c:y val="0.1138613861386138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78CF42-5F24-472E-B441-BB7AEFFB432B}" type="VALUE">
                      <a:rPr lang="en-US"/>
                      <a:pPr>
                        <a:defRPr/>
                      </a:pPr>
                      <a:t>[VALUE]</a:t>
                    </a:fld>
                    <a:endParaRPr lang="en-IN"/>
                  </a:p>
                </c:rich>
              </c:tx>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D91-48FE-8558-EE35C9B32906}"/>
                </c:ext>
              </c:extLst>
            </c:dLbl>
            <c:dLbl>
              <c:idx val="2"/>
              <c:layout>
                <c:manualLayout>
                  <c:x val="-5.8287795992714025E-2"/>
                  <c:y val="0.1237623762376237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B889B62-2903-4AAB-9C54-02AC387A5712}" type="VALUE">
                      <a:rPr lang="en-US" b="1"/>
                      <a:pPr>
                        <a:defRPr/>
                      </a:pPr>
                      <a:t>[VALUE]</a:t>
                    </a:fld>
                    <a:endParaRPr lang="en-IN"/>
                  </a:p>
                </c:rich>
              </c:tx>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8.2513661202185798E-2"/>
                      <c:h val="6.9232868168706621E-2"/>
                    </c:manualLayout>
                  </c15:layout>
                  <c15:dlblFieldTable/>
                  <c15:showDataLabelsRange val="0"/>
                </c:ext>
                <c:ext xmlns:c16="http://schemas.microsoft.com/office/drawing/2014/chart" uri="{C3380CC4-5D6E-409C-BE32-E72D297353CC}">
                  <c16:uniqueId val="{00000005-7D91-48FE-8558-EE35C9B32906}"/>
                </c:ext>
              </c:extLst>
            </c:dLbl>
            <c:dLbl>
              <c:idx val="3"/>
              <c:layout>
                <c:manualLayout>
                  <c:x val="-7.6502732240437174E-2"/>
                  <c:y val="-0.12871287128712869"/>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2513661202185798E-2"/>
                      <c:h val="6.9232868168706621E-2"/>
                    </c:manualLayout>
                  </c15:layout>
                </c:ext>
                <c:ext xmlns:c16="http://schemas.microsoft.com/office/drawing/2014/chart" uri="{C3380CC4-5D6E-409C-BE32-E72D297353CC}">
                  <c16:uniqueId val="{00000007-7D91-48FE-8558-EE35C9B32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table'!$B$22:$B$26</c:f>
              <c:strCache>
                <c:ptCount val="4"/>
                <c:pt idx="0">
                  <c:v>East</c:v>
                </c:pt>
                <c:pt idx="1">
                  <c:v>North</c:v>
                </c:pt>
                <c:pt idx="2">
                  <c:v>South</c:v>
                </c:pt>
                <c:pt idx="3">
                  <c:v>West</c:v>
                </c:pt>
              </c:strCache>
            </c:strRef>
          </c:cat>
          <c:val>
            <c:numRef>
              <c:f>'Pivot table'!$C$22:$C$26</c:f>
              <c:numCache>
                <c:formatCode>General</c:formatCode>
                <c:ptCount val="4"/>
                <c:pt idx="0">
                  <c:v>5604.2549593495933</c:v>
                </c:pt>
                <c:pt idx="1">
                  <c:v>5503.1403831417592</c:v>
                </c:pt>
                <c:pt idx="2">
                  <c:v>5466.8772222222233</c:v>
                </c:pt>
                <c:pt idx="3">
                  <c:v>5238.5917012448172</c:v>
                </c:pt>
              </c:numCache>
            </c:numRef>
          </c:val>
          <c:extLst>
            <c:ext xmlns:c16="http://schemas.microsoft.com/office/drawing/2014/chart" uri="{C3380CC4-5D6E-409C-BE32-E72D297353CC}">
              <c16:uniqueId val="{00000008-7D91-48FE-8558-EE35C9B3290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[Dashbaord 2.xlsx]Pivot table!segment</c:name>
    <c:fmtId val="45"/>
  </c:pivotSource>
  <c:chart>
    <c:autoTitleDeleted val="1"/>
    <c:pivotFmts>
      <c:pivotFmt>
        <c:idx val="0"/>
        <c:spPr>
          <a:solidFill>
            <a:srgbClr val="0D4B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D4B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28103"/>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table'!$B$81</c:f>
              <c:strCache>
                <c:ptCount val="1"/>
                <c:pt idx="0">
                  <c:v>Total</c:v>
                </c:pt>
              </c:strCache>
            </c:strRef>
          </c:tx>
          <c:spPr>
            <a:solidFill>
              <a:srgbClr val="428103"/>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table'!$A$82:$A$86</c:f>
              <c:strCache>
                <c:ptCount val="4"/>
                <c:pt idx="0">
                  <c:v>Consumer</c:v>
                </c:pt>
                <c:pt idx="1">
                  <c:v>Corporate</c:v>
                </c:pt>
                <c:pt idx="2">
                  <c:v>Enterprise</c:v>
                </c:pt>
                <c:pt idx="3">
                  <c:v>Small Business</c:v>
                </c:pt>
              </c:strCache>
            </c:strRef>
          </c:cat>
          <c:val>
            <c:numRef>
              <c:f>'Pivot table'!$B$82:$B$86</c:f>
              <c:numCache>
                <c:formatCode>General</c:formatCode>
                <c:ptCount val="4"/>
                <c:pt idx="0">
                  <c:v>1425793.5900000012</c:v>
                </c:pt>
                <c:pt idx="1">
                  <c:v>1299938.8299999994</c:v>
                </c:pt>
                <c:pt idx="2">
                  <c:v>1484967.209999999</c:v>
                </c:pt>
                <c:pt idx="3">
                  <c:v>1244420.3899999999</c:v>
                </c:pt>
              </c:numCache>
            </c:numRef>
          </c:val>
          <c:extLst>
            <c:ext xmlns:c16="http://schemas.microsoft.com/office/drawing/2014/chart" uri="{C3380CC4-5D6E-409C-BE32-E72D297353CC}">
              <c16:uniqueId val="{00000000-AA84-47D5-9AB8-A0DB70D7D418}"/>
            </c:ext>
          </c:extLst>
        </c:ser>
        <c:dLbls>
          <c:showLegendKey val="0"/>
          <c:showVal val="0"/>
          <c:showCatName val="0"/>
          <c:showSerName val="0"/>
          <c:showPercent val="0"/>
          <c:showBubbleSize val="0"/>
        </c:dLbls>
        <c:gapWidth val="182"/>
        <c:axId val="372614976"/>
        <c:axId val="372613056"/>
      </c:barChart>
      <c:catAx>
        <c:axId val="372614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13056"/>
        <c:crosses val="autoZero"/>
        <c:auto val="1"/>
        <c:lblAlgn val="ctr"/>
        <c:lblOffset val="100"/>
        <c:noMultiLvlLbl val="0"/>
      </c:catAx>
      <c:valAx>
        <c:axId val="372613056"/>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1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226787</xdr:colOff>
      <xdr:row>19</xdr:row>
      <xdr:rowOff>0</xdr:rowOff>
    </xdr:from>
    <xdr:to>
      <xdr:col>6</xdr:col>
      <xdr:colOff>680357</xdr:colOff>
      <xdr:row>32</xdr:row>
      <xdr:rowOff>171450</xdr:rowOff>
    </xdr:to>
    <xdr:graphicFrame macro="">
      <xdr:nvGraphicFramePr>
        <xdr:cNvPr id="3" name="Chart 2">
          <a:extLst>
            <a:ext uri="{FF2B5EF4-FFF2-40B4-BE49-F238E27FC236}">
              <a16:creationId xmlns:a16="http://schemas.microsoft.com/office/drawing/2014/main" id="{9F01FDC4-4C8E-3AC0-8C8A-A9FE1CCAEA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149225</xdr:colOff>
      <xdr:row>1</xdr:row>
      <xdr:rowOff>88900</xdr:rowOff>
    </xdr:from>
    <xdr:to>
      <xdr:col>5</xdr:col>
      <xdr:colOff>317500</xdr:colOff>
      <xdr:row>18</xdr:row>
      <xdr:rowOff>12700</xdr:rowOff>
    </xdr:to>
    <xdr:graphicFrame macro="">
      <xdr:nvGraphicFramePr>
        <xdr:cNvPr id="4" name="Chart 3">
          <a:extLst>
            <a:ext uri="{FF2B5EF4-FFF2-40B4-BE49-F238E27FC236}">
              <a16:creationId xmlns:a16="http://schemas.microsoft.com/office/drawing/2014/main" id="{FE342106-618E-AF59-6565-73D62FDD1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400050</xdr:colOff>
      <xdr:row>33</xdr:row>
      <xdr:rowOff>76200</xdr:rowOff>
    </xdr:from>
    <xdr:to>
      <xdr:col>4</xdr:col>
      <xdr:colOff>712755</xdr:colOff>
      <xdr:row>44</xdr:row>
      <xdr:rowOff>63500</xdr:rowOff>
    </xdr:to>
    <xdr:graphicFrame macro="">
      <xdr:nvGraphicFramePr>
        <xdr:cNvPr id="5" name="Chart 4">
          <a:extLst>
            <a:ext uri="{FF2B5EF4-FFF2-40B4-BE49-F238E27FC236}">
              <a16:creationId xmlns:a16="http://schemas.microsoft.com/office/drawing/2014/main" id="{7C5FB16F-74AF-E0FF-DCF9-975F7E0C6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397589</xdr:colOff>
      <xdr:row>46</xdr:row>
      <xdr:rowOff>129593</xdr:rowOff>
    </xdr:from>
    <xdr:to>
      <xdr:col>5</xdr:col>
      <xdr:colOff>971939</xdr:colOff>
      <xdr:row>59</xdr:row>
      <xdr:rowOff>24493</xdr:rowOff>
    </xdr:to>
    <xdr:graphicFrame macro="">
      <xdr:nvGraphicFramePr>
        <xdr:cNvPr id="6" name="Chart 5">
          <a:extLst>
            <a:ext uri="{FF2B5EF4-FFF2-40B4-BE49-F238E27FC236}">
              <a16:creationId xmlns:a16="http://schemas.microsoft.com/office/drawing/2014/main" id="{B04F457E-E959-382E-6073-D8237AC55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259183</xdr:colOff>
      <xdr:row>61</xdr:row>
      <xdr:rowOff>61815</xdr:rowOff>
    </xdr:from>
    <xdr:to>
      <xdr:col>5</xdr:col>
      <xdr:colOff>790510</xdr:colOff>
      <xdr:row>76</xdr:row>
      <xdr:rowOff>42766</xdr:rowOff>
    </xdr:to>
    <xdr:graphicFrame macro="">
      <xdr:nvGraphicFramePr>
        <xdr:cNvPr id="7" name="Chart 6">
          <a:extLst>
            <a:ext uri="{FF2B5EF4-FFF2-40B4-BE49-F238E27FC236}">
              <a16:creationId xmlns:a16="http://schemas.microsoft.com/office/drawing/2014/main" id="{409866E8-1636-FF10-612C-54594C781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676275</xdr:colOff>
      <xdr:row>78</xdr:row>
      <xdr:rowOff>171450</xdr:rowOff>
    </xdr:from>
    <xdr:to>
      <xdr:col>5</xdr:col>
      <xdr:colOff>291582</xdr:colOff>
      <xdr:row>88</xdr:row>
      <xdr:rowOff>71276</xdr:rowOff>
    </xdr:to>
    <xdr:graphicFrame macro="">
      <xdr:nvGraphicFramePr>
        <xdr:cNvPr id="8" name="Chart 7">
          <a:extLst>
            <a:ext uri="{FF2B5EF4-FFF2-40B4-BE49-F238E27FC236}">
              <a16:creationId xmlns:a16="http://schemas.microsoft.com/office/drawing/2014/main" id="{1FC64405-1559-6CA3-25AD-92B38C557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371537</xdr:colOff>
      <xdr:row>17</xdr:row>
      <xdr:rowOff>49633</xdr:rowOff>
    </xdr:from>
    <xdr:to>
      <xdr:col>15</xdr:col>
      <xdr:colOff>353048</xdr:colOff>
      <xdr:row>21</xdr:row>
      <xdr:rowOff>116633</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1DC578A6-E39C-3135-F6AC-D0C9EC9339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335006" y="3133919"/>
              <a:ext cx="3636000" cy="792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1111899</xdr:colOff>
      <xdr:row>11</xdr:row>
      <xdr:rowOff>90714</xdr:rowOff>
    </xdr:from>
    <xdr:to>
      <xdr:col>12</xdr:col>
      <xdr:colOff>7114</xdr:colOff>
      <xdr:row>14</xdr:row>
      <xdr:rowOff>169829</xdr:rowOff>
    </xdr:to>
    <mc:AlternateContent xmlns:mc="http://schemas.openxmlformats.org/markup-compatibility/2006" xmlns:a14="http://schemas.microsoft.com/office/drawing/2010/main">
      <mc:Choice Requires="a14">
        <xdr:graphicFrame macro="">
          <xdr:nvGraphicFramePr>
            <xdr:cNvPr id="10" name="Marketing_Channel">
              <a:extLst>
                <a:ext uri="{FF2B5EF4-FFF2-40B4-BE49-F238E27FC236}">
                  <a16:creationId xmlns:a16="http://schemas.microsoft.com/office/drawing/2014/main" id="{326A9ECF-D954-B61C-B695-33676180823B}"/>
                </a:ext>
              </a:extLst>
            </xdr:cNvPr>
            <xdr:cNvGraphicFramePr/>
          </xdr:nvGraphicFramePr>
          <xdr:xfrm>
            <a:off x="0" y="0"/>
            <a:ext cx="0" cy="0"/>
          </xdr:xfrm>
          <a:graphic>
            <a:graphicData uri="http://schemas.microsoft.com/office/drawing/2010/slicer">
              <sle:slicer xmlns:sle="http://schemas.microsoft.com/office/drawing/2010/slicer" name="Marketing_Channel"/>
            </a:graphicData>
          </a:graphic>
        </xdr:graphicFrame>
      </mc:Choice>
      <mc:Fallback xmlns="">
        <xdr:sp macro="" textlink="">
          <xdr:nvSpPr>
            <xdr:cNvPr id="0" name=""/>
            <xdr:cNvSpPr>
              <a:spLocks noTextEdit="1"/>
            </xdr:cNvSpPr>
          </xdr:nvSpPr>
          <xdr:spPr>
            <a:xfrm>
              <a:off x="7325828" y="2086428"/>
              <a:ext cx="5472000" cy="623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31750</xdr:colOff>
      <xdr:row>0</xdr:row>
      <xdr:rowOff>0</xdr:rowOff>
    </xdr:from>
    <xdr:to>
      <xdr:col>19</xdr:col>
      <xdr:colOff>19050</xdr:colOff>
      <xdr:row>2</xdr:row>
      <xdr:rowOff>95250</xdr:rowOff>
    </xdr:to>
    <xdr:sp macro="" textlink="">
      <xdr:nvSpPr>
        <xdr:cNvPr id="2" name="Rectangle: Top Corners Rounded 1">
          <a:extLst>
            <a:ext uri="{FF2B5EF4-FFF2-40B4-BE49-F238E27FC236}">
              <a16:creationId xmlns:a16="http://schemas.microsoft.com/office/drawing/2014/main" id="{33CCF362-9A2F-476D-DD11-131CCD4A233A}"/>
            </a:ext>
          </a:extLst>
        </xdr:cNvPr>
        <xdr:cNvSpPr/>
      </xdr:nvSpPr>
      <xdr:spPr>
        <a:xfrm>
          <a:off x="31750" y="0"/>
          <a:ext cx="11569700" cy="463550"/>
        </a:xfrm>
        <a:prstGeom prst="round2SameRect">
          <a:avLst/>
        </a:prstGeom>
        <a:solidFill>
          <a:srgbClr val="0D4B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latin typeface="+mj-lt"/>
            </a:rPr>
            <a:t>                                                                                                          </a:t>
          </a:r>
          <a:r>
            <a:rPr lang="en-IN" sz="2400" b="1">
              <a:latin typeface="+mj-lt"/>
            </a:rPr>
            <a:t>MARKETING</a:t>
          </a:r>
          <a:r>
            <a:rPr lang="en-IN" sz="2400" b="1" baseline="0">
              <a:latin typeface="+mj-lt"/>
            </a:rPr>
            <a:t> SALES DASHBOARD</a:t>
          </a:r>
          <a:endParaRPr lang="en-IN" sz="2400" b="1">
            <a:latin typeface="+mj-lt"/>
          </a:endParaRPr>
        </a:p>
      </xdr:txBody>
    </xdr:sp>
    <xdr:clientData/>
  </xdr:twoCellAnchor>
  <xdr:twoCellAnchor>
    <xdr:from>
      <xdr:col>0</xdr:col>
      <xdr:colOff>253999</xdr:colOff>
      <xdr:row>2</xdr:row>
      <xdr:rowOff>158750</xdr:rowOff>
    </xdr:from>
    <xdr:to>
      <xdr:col>8</xdr:col>
      <xdr:colOff>338207</xdr:colOff>
      <xdr:row>6</xdr:row>
      <xdr:rowOff>114300</xdr:rowOff>
    </xdr:to>
    <xdr:sp macro="" textlink="">
      <xdr:nvSpPr>
        <xdr:cNvPr id="3" name="Rectangle: Rounded Corners 2">
          <a:extLst>
            <a:ext uri="{FF2B5EF4-FFF2-40B4-BE49-F238E27FC236}">
              <a16:creationId xmlns:a16="http://schemas.microsoft.com/office/drawing/2014/main" id="{B1EDF1C2-D428-08DA-8256-1A84AEF44E8D}"/>
            </a:ext>
          </a:extLst>
        </xdr:cNvPr>
        <xdr:cNvSpPr/>
      </xdr:nvSpPr>
      <xdr:spPr>
        <a:xfrm>
          <a:off x="253999" y="531467"/>
          <a:ext cx="4943338" cy="700985"/>
        </a:xfrm>
        <a:prstGeom prst="roundRect">
          <a:avLst/>
        </a:prstGeom>
        <a:solidFill>
          <a:schemeClr val="bg1"/>
        </a:solidFill>
        <a:ln w="19050">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393700</xdr:colOff>
      <xdr:row>2</xdr:row>
      <xdr:rowOff>165100</xdr:rowOff>
    </xdr:from>
    <xdr:to>
      <xdr:col>18</xdr:col>
      <xdr:colOff>419100</xdr:colOff>
      <xdr:row>6</xdr:row>
      <xdr:rowOff>95250</xdr:rowOff>
    </xdr:to>
    <xdr:sp macro="" textlink="">
      <xdr:nvSpPr>
        <xdr:cNvPr id="4" name="Rectangle: Rounded Corners 3">
          <a:extLst>
            <a:ext uri="{FF2B5EF4-FFF2-40B4-BE49-F238E27FC236}">
              <a16:creationId xmlns:a16="http://schemas.microsoft.com/office/drawing/2014/main" id="{EAC0C335-F677-F7B6-4EA5-629C93CD7C70}"/>
            </a:ext>
          </a:extLst>
        </xdr:cNvPr>
        <xdr:cNvSpPr/>
      </xdr:nvSpPr>
      <xdr:spPr>
        <a:xfrm>
          <a:off x="5270500" y="533400"/>
          <a:ext cx="6121400" cy="666750"/>
        </a:xfrm>
        <a:prstGeom prst="roundRect">
          <a:avLst/>
        </a:prstGeom>
        <a:solidFill>
          <a:schemeClr val="bg1"/>
        </a:solidFill>
        <a:ln w="19050">
          <a:solidFill>
            <a:schemeClr val="accent3">
              <a:lumMod val="60000"/>
              <a:lumOff val="40000"/>
            </a:schemeClr>
          </a:solidFill>
          <a:beve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103533</xdr:colOff>
      <xdr:row>6</xdr:row>
      <xdr:rowOff>158750</xdr:rowOff>
    </xdr:from>
    <xdr:to>
      <xdr:col>4</xdr:col>
      <xdr:colOff>101600</xdr:colOff>
      <xdr:row>12</xdr:row>
      <xdr:rowOff>101600</xdr:rowOff>
    </xdr:to>
    <xdr:sp macro="" textlink="">
      <xdr:nvSpPr>
        <xdr:cNvPr id="5" name="Rectangle: Rounded Corners 4">
          <a:extLst>
            <a:ext uri="{FF2B5EF4-FFF2-40B4-BE49-F238E27FC236}">
              <a16:creationId xmlns:a16="http://schemas.microsoft.com/office/drawing/2014/main" id="{BC6311C7-6356-1EDD-4145-FFB4E4DFF3AA}"/>
            </a:ext>
          </a:extLst>
        </xdr:cNvPr>
        <xdr:cNvSpPr/>
      </xdr:nvSpPr>
      <xdr:spPr>
        <a:xfrm>
          <a:off x="103533" y="1276902"/>
          <a:ext cx="2427632" cy="1061002"/>
        </a:xfrm>
        <a:prstGeom prst="roundRect">
          <a:avLst>
            <a:gd name="adj" fmla="val 10606"/>
          </a:avLst>
        </a:prstGeom>
        <a:solidFill>
          <a:schemeClr val="accent3">
            <a:lumMod val="20000"/>
            <a:lumOff val="80000"/>
          </a:schemeClr>
        </a:solidFill>
        <a:ln w="3175">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005828"/>
              </a:solidFill>
              <a:latin typeface="+mj-lt"/>
            </a:rPr>
            <a:t>                     </a:t>
          </a:r>
          <a:r>
            <a:rPr lang="en-IN" sz="1100" b="1">
              <a:solidFill>
                <a:srgbClr val="005828"/>
              </a:solidFill>
              <a:latin typeface="+mj-lt"/>
            </a:rPr>
            <a:t>TOTAL</a:t>
          </a:r>
          <a:r>
            <a:rPr lang="en-IN" sz="1100" b="1" baseline="0">
              <a:solidFill>
                <a:srgbClr val="005828"/>
              </a:solidFill>
              <a:latin typeface="+mj-lt"/>
            </a:rPr>
            <a:t> SALES</a:t>
          </a:r>
          <a:endParaRPr lang="en-IN" sz="1100" b="1">
            <a:solidFill>
              <a:srgbClr val="005828"/>
            </a:solidFill>
            <a:latin typeface="+mj-lt"/>
          </a:endParaRPr>
        </a:p>
        <a:p>
          <a:pPr algn="l"/>
          <a:endParaRPr lang="en-IN" sz="1200" b="1">
            <a:solidFill>
              <a:srgbClr val="005828"/>
            </a:solidFill>
            <a:latin typeface="+mj-lt"/>
          </a:endParaRPr>
        </a:p>
        <a:p>
          <a:pPr algn="l"/>
          <a:endParaRPr lang="en-IN" sz="1200" b="1">
            <a:solidFill>
              <a:srgbClr val="005828"/>
            </a:solidFill>
            <a:latin typeface="+mj-lt"/>
          </a:endParaRPr>
        </a:p>
        <a:p>
          <a:pPr algn="l"/>
          <a:endParaRPr lang="en-IN" sz="1200" b="1">
            <a:solidFill>
              <a:srgbClr val="005828"/>
            </a:solidFill>
            <a:latin typeface="+mj-lt"/>
          </a:endParaRPr>
        </a:p>
        <a:p>
          <a:r>
            <a:rPr lang="en-IN" sz="1200" b="1">
              <a:solidFill>
                <a:srgbClr val="005828"/>
              </a:solidFill>
              <a:latin typeface="+mj-lt"/>
            </a:rPr>
            <a:t>           </a:t>
          </a:r>
          <a:r>
            <a:rPr lang="en-IN" sz="1200" b="1">
              <a:solidFill>
                <a:srgbClr val="005828"/>
              </a:solidFill>
              <a:effectLst/>
              <a:latin typeface="+mj-lt"/>
              <a:ea typeface="+mn-ea"/>
              <a:cs typeface="+mn-cs"/>
            </a:rPr>
            <a:t> </a:t>
          </a:r>
          <a:r>
            <a:rPr lang="en-IN" sz="1200" b="1">
              <a:solidFill>
                <a:srgbClr val="005828"/>
              </a:solidFill>
              <a:effectLst/>
              <a:latin typeface="+mn-lt"/>
              <a:ea typeface="+mn-ea"/>
              <a:cs typeface="+mn-cs"/>
            </a:rPr>
            <a:t>             </a:t>
          </a:r>
          <a:endParaRPr lang="en-IN" sz="1200">
            <a:solidFill>
              <a:srgbClr val="005828"/>
            </a:solidFill>
            <a:effectLst/>
          </a:endParaRPr>
        </a:p>
        <a:p>
          <a:pPr algn="l"/>
          <a:r>
            <a:rPr lang="en-IN" sz="1200" b="1">
              <a:solidFill>
                <a:srgbClr val="005828"/>
              </a:solidFill>
              <a:latin typeface="+mj-lt"/>
            </a:rPr>
            <a:t>  </a:t>
          </a:r>
        </a:p>
      </xdr:txBody>
    </xdr:sp>
    <xdr:clientData/>
  </xdr:twoCellAnchor>
  <xdr:twoCellAnchor>
    <xdr:from>
      <xdr:col>4</xdr:col>
      <xdr:colOff>152400</xdr:colOff>
      <xdr:row>6</xdr:row>
      <xdr:rowOff>152400</xdr:rowOff>
    </xdr:from>
    <xdr:to>
      <xdr:col>7</xdr:col>
      <xdr:colOff>425450</xdr:colOff>
      <xdr:row>12</xdr:row>
      <xdr:rowOff>107950</xdr:rowOff>
    </xdr:to>
    <xdr:sp macro="" textlink="">
      <xdr:nvSpPr>
        <xdr:cNvPr id="6" name="Rectangle: Rounded Corners 5">
          <a:extLst>
            <a:ext uri="{FF2B5EF4-FFF2-40B4-BE49-F238E27FC236}">
              <a16:creationId xmlns:a16="http://schemas.microsoft.com/office/drawing/2014/main" id="{375F4E17-8E53-70AA-5DA4-4F5E7EBEC21A}"/>
            </a:ext>
          </a:extLst>
        </xdr:cNvPr>
        <xdr:cNvSpPr/>
      </xdr:nvSpPr>
      <xdr:spPr>
        <a:xfrm>
          <a:off x="2581965" y="1270552"/>
          <a:ext cx="2095224" cy="1073702"/>
        </a:xfrm>
        <a:prstGeom prst="roundRect">
          <a:avLst>
            <a:gd name="adj" fmla="val 13074"/>
          </a:avLst>
        </a:prstGeom>
        <a:solidFill>
          <a:schemeClr val="accent3">
            <a:lumMod val="40000"/>
            <a:lumOff val="60000"/>
          </a:schemeClr>
        </a:solidFill>
        <a:ln w="3175">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005828"/>
              </a:solidFill>
              <a:latin typeface="+mj-lt"/>
            </a:rPr>
            <a:t>                TOTAL PROFIT</a:t>
          </a:r>
        </a:p>
        <a:p>
          <a:pPr algn="l"/>
          <a:endParaRPr lang="en-IN" sz="1100" b="1">
            <a:solidFill>
              <a:srgbClr val="005828"/>
            </a:solidFill>
            <a:latin typeface="+mj-lt"/>
          </a:endParaRPr>
        </a:p>
        <a:p>
          <a:pPr algn="l"/>
          <a:endParaRPr lang="en-IN" sz="1100" b="1">
            <a:solidFill>
              <a:srgbClr val="005828"/>
            </a:solidFill>
            <a:latin typeface="+mj-lt"/>
          </a:endParaRPr>
        </a:p>
        <a:p>
          <a:pPr algn="l"/>
          <a:endParaRPr lang="en-IN" sz="1100" b="1">
            <a:solidFill>
              <a:srgbClr val="005828"/>
            </a:solidFill>
            <a:latin typeface="+mj-lt"/>
          </a:endParaRPr>
        </a:p>
        <a:p>
          <a:pPr algn="l"/>
          <a:r>
            <a:rPr lang="en-IN" sz="1100" b="1">
              <a:solidFill>
                <a:srgbClr val="005828"/>
              </a:solidFill>
              <a:latin typeface="+mj-lt"/>
            </a:rPr>
            <a:t>              </a:t>
          </a:r>
          <a:endParaRPr lang="en-IN" sz="1200" b="1">
            <a:solidFill>
              <a:srgbClr val="005828"/>
            </a:solidFill>
            <a:latin typeface="+mj-lt"/>
          </a:endParaRPr>
        </a:p>
      </xdr:txBody>
    </xdr:sp>
    <xdr:clientData/>
  </xdr:twoCellAnchor>
  <xdr:twoCellAnchor>
    <xdr:from>
      <xdr:col>7</xdr:col>
      <xdr:colOff>457200</xdr:colOff>
      <xdr:row>6</xdr:row>
      <xdr:rowOff>152400</xdr:rowOff>
    </xdr:from>
    <xdr:to>
      <xdr:col>11</xdr:col>
      <xdr:colOff>57150</xdr:colOff>
      <xdr:row>12</xdr:row>
      <xdr:rowOff>95250</xdr:rowOff>
    </xdr:to>
    <xdr:sp macro="" textlink="">
      <xdr:nvSpPr>
        <xdr:cNvPr id="7" name="Rectangle: Rounded Corners 6">
          <a:extLst>
            <a:ext uri="{FF2B5EF4-FFF2-40B4-BE49-F238E27FC236}">
              <a16:creationId xmlns:a16="http://schemas.microsoft.com/office/drawing/2014/main" id="{4A44B936-69C4-F96A-E377-36AB467B3FAD}"/>
            </a:ext>
          </a:extLst>
        </xdr:cNvPr>
        <xdr:cNvSpPr/>
      </xdr:nvSpPr>
      <xdr:spPr>
        <a:xfrm>
          <a:off x="4724400" y="1257300"/>
          <a:ext cx="2038350" cy="1047750"/>
        </a:xfrm>
        <a:prstGeom prst="roundRect">
          <a:avLst>
            <a:gd name="adj" fmla="val 10257"/>
          </a:avLst>
        </a:prstGeom>
        <a:solidFill>
          <a:schemeClr val="accent3">
            <a:lumMod val="20000"/>
            <a:lumOff val="80000"/>
          </a:schemeClr>
        </a:solidFill>
        <a:ln w="3175">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005828"/>
              </a:solidFill>
              <a:latin typeface="+mj-lt"/>
            </a:rPr>
            <a:t>             TOTAL ORDERS </a:t>
          </a:r>
        </a:p>
        <a:p>
          <a:pPr algn="l"/>
          <a:endParaRPr lang="en-IN" sz="1100" b="1">
            <a:solidFill>
              <a:srgbClr val="005828"/>
            </a:solidFill>
            <a:latin typeface="+mj-lt"/>
          </a:endParaRPr>
        </a:p>
        <a:p>
          <a:pPr algn="l"/>
          <a:endParaRPr lang="en-IN" sz="1100" b="1">
            <a:solidFill>
              <a:srgbClr val="005828"/>
            </a:solidFill>
            <a:latin typeface="+mj-lt"/>
          </a:endParaRPr>
        </a:p>
        <a:p>
          <a:pPr algn="l"/>
          <a:endParaRPr lang="en-IN" sz="1100" b="1">
            <a:solidFill>
              <a:srgbClr val="005828"/>
            </a:solidFill>
            <a:latin typeface="+mj-lt"/>
          </a:endParaRPr>
        </a:p>
        <a:p>
          <a:pPr algn="l"/>
          <a:r>
            <a:rPr lang="en-IN" sz="1100" b="1">
              <a:solidFill>
                <a:srgbClr val="005828"/>
              </a:solidFill>
              <a:latin typeface="+mj-lt"/>
            </a:rPr>
            <a:t>         </a:t>
          </a:r>
        </a:p>
      </xdr:txBody>
    </xdr:sp>
    <xdr:clientData/>
  </xdr:twoCellAnchor>
  <xdr:twoCellAnchor>
    <xdr:from>
      <xdr:col>11</xdr:col>
      <xdr:colOff>120650</xdr:colOff>
      <xdr:row>6</xdr:row>
      <xdr:rowOff>144945</xdr:rowOff>
    </xdr:from>
    <xdr:to>
      <xdr:col>14</xdr:col>
      <xdr:colOff>438150</xdr:colOff>
      <xdr:row>12</xdr:row>
      <xdr:rowOff>89728</xdr:rowOff>
    </xdr:to>
    <xdr:sp macro="" textlink="">
      <xdr:nvSpPr>
        <xdr:cNvPr id="8" name="Rectangle: Rounded Corners 7">
          <a:extLst>
            <a:ext uri="{FF2B5EF4-FFF2-40B4-BE49-F238E27FC236}">
              <a16:creationId xmlns:a16="http://schemas.microsoft.com/office/drawing/2014/main" id="{7ADD222E-9B25-01D1-4985-9FF855AE2EE9}"/>
            </a:ext>
          </a:extLst>
        </xdr:cNvPr>
        <xdr:cNvSpPr/>
      </xdr:nvSpPr>
      <xdr:spPr>
        <a:xfrm>
          <a:off x="6801954" y="1263097"/>
          <a:ext cx="2139674" cy="1062935"/>
        </a:xfrm>
        <a:prstGeom prst="roundRect">
          <a:avLst>
            <a:gd name="adj" fmla="val 9705"/>
          </a:avLst>
        </a:prstGeom>
        <a:solidFill>
          <a:schemeClr val="accent3">
            <a:lumMod val="40000"/>
            <a:lumOff val="60000"/>
          </a:schemeClr>
        </a:solidFill>
        <a:ln w="3175">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005828"/>
              </a:solidFill>
              <a:latin typeface="+mj-lt"/>
            </a:rPr>
            <a:t>           TOTAL UNIT SOLDS</a:t>
          </a:r>
          <a:r>
            <a:rPr lang="en-IN" sz="1100" b="1" baseline="0">
              <a:solidFill>
                <a:srgbClr val="005828"/>
              </a:solidFill>
              <a:latin typeface="+mj-lt"/>
            </a:rPr>
            <a:t> </a:t>
          </a:r>
        </a:p>
        <a:p>
          <a:pPr algn="l"/>
          <a:endParaRPr lang="en-IN" sz="1200" b="1" baseline="0">
            <a:solidFill>
              <a:srgbClr val="005828"/>
            </a:solidFill>
            <a:latin typeface="+mj-lt"/>
          </a:endParaRPr>
        </a:p>
        <a:p>
          <a:pPr algn="l"/>
          <a:endParaRPr lang="en-IN" sz="1200" b="1" baseline="0">
            <a:solidFill>
              <a:srgbClr val="005828"/>
            </a:solidFill>
            <a:latin typeface="+mj-lt"/>
          </a:endParaRPr>
        </a:p>
        <a:p>
          <a:pPr algn="l"/>
          <a:r>
            <a:rPr lang="en-IN" sz="1200" b="1" baseline="0">
              <a:solidFill>
                <a:srgbClr val="005828"/>
              </a:solidFill>
              <a:latin typeface="+mj-lt"/>
            </a:rPr>
            <a:t>   </a:t>
          </a:r>
        </a:p>
        <a:p>
          <a:pPr algn="l"/>
          <a:r>
            <a:rPr lang="en-IN" sz="1200" b="1" baseline="0">
              <a:solidFill>
                <a:srgbClr val="005828"/>
              </a:solidFill>
              <a:latin typeface="+mj-lt"/>
            </a:rPr>
            <a:t>         </a:t>
          </a:r>
          <a:endParaRPr lang="en-IN" sz="1200" b="1">
            <a:solidFill>
              <a:srgbClr val="005828"/>
            </a:solidFill>
            <a:latin typeface="+mj-lt"/>
          </a:endParaRPr>
        </a:p>
      </xdr:txBody>
    </xdr:sp>
    <xdr:clientData/>
  </xdr:twoCellAnchor>
  <xdr:twoCellAnchor>
    <xdr:from>
      <xdr:col>14</xdr:col>
      <xdr:colOff>482600</xdr:colOff>
      <xdr:row>6</xdr:row>
      <xdr:rowOff>151848</xdr:rowOff>
    </xdr:from>
    <xdr:to>
      <xdr:col>18</xdr:col>
      <xdr:colOff>596900</xdr:colOff>
      <xdr:row>12</xdr:row>
      <xdr:rowOff>63500</xdr:rowOff>
    </xdr:to>
    <xdr:sp macro="" textlink="">
      <xdr:nvSpPr>
        <xdr:cNvPr id="9" name="Rectangle: Rounded Corners 8">
          <a:extLst>
            <a:ext uri="{FF2B5EF4-FFF2-40B4-BE49-F238E27FC236}">
              <a16:creationId xmlns:a16="http://schemas.microsoft.com/office/drawing/2014/main" id="{E880288F-0822-D2EC-E59C-EF62AEF1031D}"/>
            </a:ext>
          </a:extLst>
        </xdr:cNvPr>
        <xdr:cNvSpPr/>
      </xdr:nvSpPr>
      <xdr:spPr>
        <a:xfrm>
          <a:off x="8986078" y="1270000"/>
          <a:ext cx="2543865" cy="1029804"/>
        </a:xfrm>
        <a:prstGeom prst="roundRect">
          <a:avLst>
            <a:gd name="adj" fmla="val 12122"/>
          </a:avLst>
        </a:prstGeom>
        <a:solidFill>
          <a:schemeClr val="accent3">
            <a:lumMod val="20000"/>
            <a:lumOff val="80000"/>
          </a:schemeClr>
        </a:solidFill>
        <a:ln w="3175">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005828"/>
              </a:solidFill>
              <a:latin typeface="+mj-lt"/>
            </a:rPr>
            <a:t>           AVERAGE ORDER</a:t>
          </a:r>
          <a:r>
            <a:rPr lang="en-IN" sz="1100" b="1" baseline="0">
              <a:solidFill>
                <a:srgbClr val="005828"/>
              </a:solidFill>
              <a:latin typeface="+mj-lt"/>
            </a:rPr>
            <a:t> V</a:t>
          </a:r>
          <a:r>
            <a:rPr lang="en-IN" sz="1100" b="1">
              <a:solidFill>
                <a:srgbClr val="005828"/>
              </a:solidFill>
              <a:latin typeface="+mj-lt"/>
            </a:rPr>
            <a:t>ALUE </a:t>
          </a:r>
        </a:p>
      </xdr:txBody>
    </xdr:sp>
    <xdr:clientData/>
  </xdr:twoCellAnchor>
  <xdr:twoCellAnchor>
    <xdr:from>
      <xdr:col>0</xdr:col>
      <xdr:colOff>13804</xdr:colOff>
      <xdr:row>12</xdr:row>
      <xdr:rowOff>127000</xdr:rowOff>
    </xdr:from>
    <xdr:to>
      <xdr:col>6</xdr:col>
      <xdr:colOff>488950</xdr:colOff>
      <xdr:row>29</xdr:row>
      <xdr:rowOff>69850</xdr:rowOff>
    </xdr:to>
    <xdr:sp macro="" textlink="">
      <xdr:nvSpPr>
        <xdr:cNvPr id="10" name="Rectangle: Rounded Corners 9">
          <a:extLst>
            <a:ext uri="{FF2B5EF4-FFF2-40B4-BE49-F238E27FC236}">
              <a16:creationId xmlns:a16="http://schemas.microsoft.com/office/drawing/2014/main" id="{4942515D-9917-D028-CF18-1536FD2A819E}"/>
            </a:ext>
          </a:extLst>
        </xdr:cNvPr>
        <xdr:cNvSpPr/>
      </xdr:nvSpPr>
      <xdr:spPr>
        <a:xfrm>
          <a:off x="13804" y="2363304"/>
          <a:ext cx="4119494" cy="3110948"/>
        </a:xfrm>
        <a:prstGeom prst="roundRect">
          <a:avLst>
            <a:gd name="adj" fmla="val 2254"/>
          </a:avLst>
        </a:prstGeom>
        <a:solidFill>
          <a:schemeClr val="bg1"/>
        </a:solidFill>
        <a:ln w="3175">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558800</xdr:colOff>
      <xdr:row>12</xdr:row>
      <xdr:rowOff>133350</xdr:rowOff>
    </xdr:from>
    <xdr:to>
      <xdr:col>12</xdr:col>
      <xdr:colOff>508000</xdr:colOff>
      <xdr:row>29</xdr:row>
      <xdr:rowOff>76200</xdr:rowOff>
    </xdr:to>
    <xdr:sp macro="" textlink="">
      <xdr:nvSpPr>
        <xdr:cNvPr id="11" name="Rectangle: Rounded Corners 10">
          <a:extLst>
            <a:ext uri="{FF2B5EF4-FFF2-40B4-BE49-F238E27FC236}">
              <a16:creationId xmlns:a16="http://schemas.microsoft.com/office/drawing/2014/main" id="{D1864BAE-4A5E-6637-0F8D-50556231631F}"/>
            </a:ext>
          </a:extLst>
        </xdr:cNvPr>
        <xdr:cNvSpPr/>
      </xdr:nvSpPr>
      <xdr:spPr>
        <a:xfrm>
          <a:off x="4216400" y="2343150"/>
          <a:ext cx="3606800" cy="3073400"/>
        </a:xfrm>
        <a:prstGeom prst="roundRect">
          <a:avLst>
            <a:gd name="adj" fmla="val 2042"/>
          </a:avLst>
        </a:prstGeom>
        <a:solidFill>
          <a:schemeClr val="bg1"/>
        </a:solidFill>
        <a:ln w="3175">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13804</xdr:colOff>
      <xdr:row>12</xdr:row>
      <xdr:rowOff>146050</xdr:rowOff>
    </xdr:from>
    <xdr:to>
      <xdr:col>6</xdr:col>
      <xdr:colOff>482600</xdr:colOff>
      <xdr:row>14</xdr:row>
      <xdr:rowOff>177800</xdr:rowOff>
    </xdr:to>
    <xdr:sp macro="" textlink="">
      <xdr:nvSpPr>
        <xdr:cNvPr id="14" name="Rectangle: Top Corners Rounded 13">
          <a:extLst>
            <a:ext uri="{FF2B5EF4-FFF2-40B4-BE49-F238E27FC236}">
              <a16:creationId xmlns:a16="http://schemas.microsoft.com/office/drawing/2014/main" id="{84A596BF-CC1C-F814-3F6D-F6C457BD393E}"/>
            </a:ext>
          </a:extLst>
        </xdr:cNvPr>
        <xdr:cNvSpPr/>
      </xdr:nvSpPr>
      <xdr:spPr>
        <a:xfrm>
          <a:off x="13804" y="2382354"/>
          <a:ext cx="4113144" cy="404468"/>
        </a:xfrm>
        <a:prstGeom prst="round2SameRect">
          <a:avLst/>
        </a:prstGeom>
        <a:solidFill>
          <a:srgbClr val="0D4B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latin typeface="+mj-lt"/>
            </a:rPr>
            <a:t>                            SALES BY MONTH</a:t>
          </a:r>
        </a:p>
      </xdr:txBody>
    </xdr:sp>
    <xdr:clientData/>
  </xdr:twoCellAnchor>
  <xdr:twoCellAnchor>
    <xdr:from>
      <xdr:col>6</xdr:col>
      <xdr:colOff>558800</xdr:colOff>
      <xdr:row>12</xdr:row>
      <xdr:rowOff>152400</xdr:rowOff>
    </xdr:from>
    <xdr:to>
      <xdr:col>12</xdr:col>
      <xdr:colOff>495300</xdr:colOff>
      <xdr:row>14</xdr:row>
      <xdr:rowOff>177800</xdr:rowOff>
    </xdr:to>
    <xdr:sp macro="" textlink="">
      <xdr:nvSpPr>
        <xdr:cNvPr id="15" name="Rectangle: Top Corners Rounded 14">
          <a:extLst>
            <a:ext uri="{FF2B5EF4-FFF2-40B4-BE49-F238E27FC236}">
              <a16:creationId xmlns:a16="http://schemas.microsoft.com/office/drawing/2014/main" id="{2B97E0D3-C7B0-5BFB-3732-EDCCF3554701}"/>
            </a:ext>
          </a:extLst>
        </xdr:cNvPr>
        <xdr:cNvSpPr/>
      </xdr:nvSpPr>
      <xdr:spPr>
        <a:xfrm>
          <a:off x="4216400" y="2362200"/>
          <a:ext cx="3594100" cy="393700"/>
        </a:xfrm>
        <a:prstGeom prst="round2SameRect">
          <a:avLst/>
        </a:prstGeom>
        <a:solidFill>
          <a:srgbClr val="0D4B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latin typeface="+mj-lt"/>
            </a:rPr>
            <a:t>                        SALES BY REGION</a:t>
          </a:r>
        </a:p>
      </xdr:txBody>
    </xdr:sp>
    <xdr:clientData/>
  </xdr:twoCellAnchor>
  <xdr:twoCellAnchor>
    <xdr:from>
      <xdr:col>12</xdr:col>
      <xdr:colOff>590550</xdr:colOff>
      <xdr:row>12</xdr:row>
      <xdr:rowOff>133350</xdr:rowOff>
    </xdr:from>
    <xdr:to>
      <xdr:col>19</xdr:col>
      <xdr:colOff>103532</xdr:colOff>
      <xdr:row>29</xdr:row>
      <xdr:rowOff>63500</xdr:rowOff>
    </xdr:to>
    <xdr:sp macro="" textlink="">
      <xdr:nvSpPr>
        <xdr:cNvPr id="13" name="Rectangle: Rounded Corners 12">
          <a:extLst>
            <a:ext uri="{FF2B5EF4-FFF2-40B4-BE49-F238E27FC236}">
              <a16:creationId xmlns:a16="http://schemas.microsoft.com/office/drawing/2014/main" id="{D10B6FE0-0DFB-44A0-8BA3-F1E2B7CEDE69}"/>
            </a:ext>
          </a:extLst>
        </xdr:cNvPr>
        <xdr:cNvSpPr/>
      </xdr:nvSpPr>
      <xdr:spPr>
        <a:xfrm>
          <a:off x="7879246" y="2369654"/>
          <a:ext cx="3764721" cy="3098248"/>
        </a:xfrm>
        <a:prstGeom prst="roundRect">
          <a:avLst>
            <a:gd name="adj" fmla="val 2042"/>
          </a:avLst>
        </a:prstGeom>
        <a:solidFill>
          <a:schemeClr val="bg1"/>
        </a:solidFill>
        <a:ln w="3175">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590550</xdr:colOff>
      <xdr:row>12</xdr:row>
      <xdr:rowOff>133350</xdr:rowOff>
    </xdr:from>
    <xdr:to>
      <xdr:col>19</xdr:col>
      <xdr:colOff>89728</xdr:colOff>
      <xdr:row>14</xdr:row>
      <xdr:rowOff>177800</xdr:rowOff>
    </xdr:to>
    <xdr:sp macro="" textlink="">
      <xdr:nvSpPr>
        <xdr:cNvPr id="16" name="Rectangle: Top Corners Rounded 15">
          <a:extLst>
            <a:ext uri="{FF2B5EF4-FFF2-40B4-BE49-F238E27FC236}">
              <a16:creationId xmlns:a16="http://schemas.microsoft.com/office/drawing/2014/main" id="{D40EF442-9AB4-4C72-B936-688E02F4A6EB}"/>
            </a:ext>
          </a:extLst>
        </xdr:cNvPr>
        <xdr:cNvSpPr/>
      </xdr:nvSpPr>
      <xdr:spPr>
        <a:xfrm>
          <a:off x="7879246" y="2369654"/>
          <a:ext cx="3750917" cy="417168"/>
        </a:xfrm>
        <a:prstGeom prst="round2SameRect">
          <a:avLst/>
        </a:prstGeom>
        <a:solidFill>
          <a:srgbClr val="0D4B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latin typeface="+mj-lt"/>
            </a:rPr>
            <a:t>           SALES BY</a:t>
          </a:r>
          <a:r>
            <a:rPr lang="en-IN" sz="1400" b="1" baseline="0">
              <a:latin typeface="+mj-lt"/>
            </a:rPr>
            <a:t> PRODUCT CATEGORY</a:t>
          </a:r>
          <a:endParaRPr lang="en-IN" sz="1400" b="1">
            <a:latin typeface="+mj-lt"/>
          </a:endParaRPr>
        </a:p>
      </xdr:txBody>
    </xdr:sp>
    <xdr:clientData/>
  </xdr:twoCellAnchor>
  <xdr:twoCellAnchor>
    <xdr:from>
      <xdr:col>0</xdr:col>
      <xdr:colOff>69850</xdr:colOff>
      <xdr:row>29</xdr:row>
      <xdr:rowOff>114300</xdr:rowOff>
    </xdr:from>
    <xdr:to>
      <xdr:col>6</xdr:col>
      <xdr:colOff>501650</xdr:colOff>
      <xdr:row>46</xdr:row>
      <xdr:rowOff>57150</xdr:rowOff>
    </xdr:to>
    <xdr:sp macro="" textlink="">
      <xdr:nvSpPr>
        <xdr:cNvPr id="17" name="Rectangle: Rounded Corners 16">
          <a:extLst>
            <a:ext uri="{FF2B5EF4-FFF2-40B4-BE49-F238E27FC236}">
              <a16:creationId xmlns:a16="http://schemas.microsoft.com/office/drawing/2014/main" id="{D3E46A98-DB84-4E79-8151-19C6074D80E3}"/>
            </a:ext>
          </a:extLst>
        </xdr:cNvPr>
        <xdr:cNvSpPr/>
      </xdr:nvSpPr>
      <xdr:spPr>
        <a:xfrm>
          <a:off x="69850" y="5454650"/>
          <a:ext cx="4089400" cy="3073400"/>
        </a:xfrm>
        <a:prstGeom prst="roundRect">
          <a:avLst>
            <a:gd name="adj" fmla="val 2254"/>
          </a:avLst>
        </a:prstGeom>
        <a:solidFill>
          <a:schemeClr val="bg1"/>
        </a:solidFill>
        <a:ln w="3175">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552450</xdr:colOff>
      <xdr:row>29</xdr:row>
      <xdr:rowOff>120650</xdr:rowOff>
    </xdr:from>
    <xdr:to>
      <xdr:col>12</xdr:col>
      <xdr:colOff>527050</xdr:colOff>
      <xdr:row>46</xdr:row>
      <xdr:rowOff>63500</xdr:rowOff>
    </xdr:to>
    <xdr:sp macro="" textlink="">
      <xdr:nvSpPr>
        <xdr:cNvPr id="18" name="Rectangle: Rounded Corners 17">
          <a:extLst>
            <a:ext uri="{FF2B5EF4-FFF2-40B4-BE49-F238E27FC236}">
              <a16:creationId xmlns:a16="http://schemas.microsoft.com/office/drawing/2014/main" id="{CBAFC006-2562-41CD-96FA-B584746BE443}"/>
            </a:ext>
          </a:extLst>
        </xdr:cNvPr>
        <xdr:cNvSpPr/>
      </xdr:nvSpPr>
      <xdr:spPr>
        <a:xfrm>
          <a:off x="4210050" y="5461000"/>
          <a:ext cx="3632200" cy="3073400"/>
        </a:xfrm>
        <a:prstGeom prst="roundRect">
          <a:avLst>
            <a:gd name="adj" fmla="val 2254"/>
          </a:avLst>
        </a:prstGeom>
        <a:solidFill>
          <a:schemeClr val="bg1"/>
        </a:solidFill>
        <a:ln w="3175">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607390</xdr:colOff>
      <xdr:row>29</xdr:row>
      <xdr:rowOff>107950</xdr:rowOff>
    </xdr:from>
    <xdr:to>
      <xdr:col>19</xdr:col>
      <xdr:colOff>131140</xdr:colOff>
      <xdr:row>46</xdr:row>
      <xdr:rowOff>50800</xdr:rowOff>
    </xdr:to>
    <xdr:sp macro="" textlink="">
      <xdr:nvSpPr>
        <xdr:cNvPr id="19" name="Rectangle: Rounded Corners 18">
          <a:extLst>
            <a:ext uri="{FF2B5EF4-FFF2-40B4-BE49-F238E27FC236}">
              <a16:creationId xmlns:a16="http://schemas.microsoft.com/office/drawing/2014/main" id="{E63650F7-3720-45E7-9730-47979D247305}"/>
            </a:ext>
          </a:extLst>
        </xdr:cNvPr>
        <xdr:cNvSpPr/>
      </xdr:nvSpPr>
      <xdr:spPr>
        <a:xfrm>
          <a:off x="7896086" y="5512352"/>
          <a:ext cx="3775489" cy="3110948"/>
        </a:xfrm>
        <a:prstGeom prst="roundRect">
          <a:avLst>
            <a:gd name="adj" fmla="val 2254"/>
          </a:avLst>
        </a:prstGeom>
        <a:solidFill>
          <a:schemeClr val="bg1"/>
        </a:solidFill>
        <a:ln w="3175">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69850</xdr:colOff>
      <xdr:row>29</xdr:row>
      <xdr:rowOff>114300</xdr:rowOff>
    </xdr:from>
    <xdr:to>
      <xdr:col>6</xdr:col>
      <xdr:colOff>476250</xdr:colOff>
      <xdr:row>31</xdr:row>
      <xdr:rowOff>146050</xdr:rowOff>
    </xdr:to>
    <xdr:sp macro="" textlink="">
      <xdr:nvSpPr>
        <xdr:cNvPr id="20" name="Rectangle: Top Corners Rounded 19">
          <a:extLst>
            <a:ext uri="{FF2B5EF4-FFF2-40B4-BE49-F238E27FC236}">
              <a16:creationId xmlns:a16="http://schemas.microsoft.com/office/drawing/2014/main" id="{D1991756-12E0-4D73-B050-756C8620DDEF}"/>
            </a:ext>
          </a:extLst>
        </xdr:cNvPr>
        <xdr:cNvSpPr/>
      </xdr:nvSpPr>
      <xdr:spPr>
        <a:xfrm>
          <a:off x="69850" y="5454650"/>
          <a:ext cx="4064000" cy="400050"/>
        </a:xfrm>
        <a:prstGeom prst="round2SameRect">
          <a:avLst/>
        </a:prstGeom>
        <a:solidFill>
          <a:srgbClr val="0D4B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latin typeface="+mj-lt"/>
            </a:rPr>
            <a:t>                 SALES BY MARKETING</a:t>
          </a:r>
          <a:r>
            <a:rPr lang="en-IN" sz="1400" b="1" baseline="0">
              <a:latin typeface="+mj-lt"/>
            </a:rPr>
            <a:t> CHANNEL</a:t>
          </a:r>
          <a:endParaRPr lang="en-IN" sz="1400" b="1">
            <a:latin typeface="+mj-lt"/>
          </a:endParaRPr>
        </a:p>
      </xdr:txBody>
    </xdr:sp>
    <xdr:clientData/>
  </xdr:twoCellAnchor>
  <xdr:twoCellAnchor>
    <xdr:from>
      <xdr:col>6</xdr:col>
      <xdr:colOff>552450</xdr:colOff>
      <xdr:row>29</xdr:row>
      <xdr:rowOff>120650</xdr:rowOff>
    </xdr:from>
    <xdr:to>
      <xdr:col>12</xdr:col>
      <xdr:colOff>514350</xdr:colOff>
      <xdr:row>31</xdr:row>
      <xdr:rowOff>152400</xdr:rowOff>
    </xdr:to>
    <xdr:sp macro="" textlink="">
      <xdr:nvSpPr>
        <xdr:cNvPr id="22" name="Rectangle: Top Corners Rounded 21">
          <a:extLst>
            <a:ext uri="{FF2B5EF4-FFF2-40B4-BE49-F238E27FC236}">
              <a16:creationId xmlns:a16="http://schemas.microsoft.com/office/drawing/2014/main" id="{4945FE3B-7C0D-4AF4-A49D-DB1E1BD34053}"/>
            </a:ext>
          </a:extLst>
        </xdr:cNvPr>
        <xdr:cNvSpPr/>
      </xdr:nvSpPr>
      <xdr:spPr>
        <a:xfrm>
          <a:off x="4210050" y="5461000"/>
          <a:ext cx="3619500" cy="400050"/>
        </a:xfrm>
        <a:prstGeom prst="round2SameRect">
          <a:avLst/>
        </a:prstGeom>
        <a:solidFill>
          <a:srgbClr val="0D4B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latin typeface="+mj-lt"/>
            </a:rPr>
            <a:t>                PROFIT</a:t>
          </a:r>
          <a:r>
            <a:rPr lang="en-IN" sz="1400" b="1" baseline="0">
              <a:latin typeface="+mj-lt"/>
            </a:rPr>
            <a:t> BY SALES  PERSON</a:t>
          </a:r>
          <a:endParaRPr lang="en-IN" sz="1400" b="1">
            <a:latin typeface="+mj-lt"/>
          </a:endParaRPr>
        </a:p>
      </xdr:txBody>
    </xdr:sp>
    <xdr:clientData/>
  </xdr:twoCellAnchor>
  <xdr:twoCellAnchor>
    <xdr:from>
      <xdr:col>12</xdr:col>
      <xdr:colOff>607390</xdr:colOff>
      <xdr:row>29</xdr:row>
      <xdr:rowOff>107950</xdr:rowOff>
    </xdr:from>
    <xdr:to>
      <xdr:col>19</xdr:col>
      <xdr:colOff>117336</xdr:colOff>
      <xdr:row>31</xdr:row>
      <xdr:rowOff>139700</xdr:rowOff>
    </xdr:to>
    <xdr:sp macro="" textlink="">
      <xdr:nvSpPr>
        <xdr:cNvPr id="25" name="Rectangle: Top Corners Rounded 24">
          <a:extLst>
            <a:ext uri="{FF2B5EF4-FFF2-40B4-BE49-F238E27FC236}">
              <a16:creationId xmlns:a16="http://schemas.microsoft.com/office/drawing/2014/main" id="{E02E2DAF-65A5-4F17-893F-6213B3873E5D}"/>
            </a:ext>
          </a:extLst>
        </xdr:cNvPr>
        <xdr:cNvSpPr/>
      </xdr:nvSpPr>
      <xdr:spPr>
        <a:xfrm>
          <a:off x="7896086" y="5512352"/>
          <a:ext cx="3761685" cy="404468"/>
        </a:xfrm>
        <a:prstGeom prst="round2SameRect">
          <a:avLst/>
        </a:prstGeom>
        <a:solidFill>
          <a:srgbClr val="0D4B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latin typeface="+mj-lt"/>
            </a:rPr>
            <a:t>        SALES BY CUSTOMER</a:t>
          </a:r>
          <a:r>
            <a:rPr lang="en-IN" sz="1400" b="1" baseline="0">
              <a:latin typeface="+mj-lt"/>
            </a:rPr>
            <a:t> SEGMENT</a:t>
          </a:r>
          <a:endParaRPr lang="en-IN" sz="1400" b="1">
            <a:latin typeface="+mj-lt"/>
          </a:endParaRPr>
        </a:p>
      </xdr:txBody>
    </xdr:sp>
    <xdr:clientData/>
  </xdr:twoCellAnchor>
  <xdr:twoCellAnchor>
    <xdr:from>
      <xdr:col>0</xdr:col>
      <xdr:colOff>254000</xdr:colOff>
      <xdr:row>15</xdr:row>
      <xdr:rowOff>165100</xdr:rowOff>
    </xdr:from>
    <xdr:to>
      <xdr:col>6</xdr:col>
      <xdr:colOff>266700</xdr:colOff>
      <xdr:row>28</xdr:row>
      <xdr:rowOff>107950</xdr:rowOff>
    </xdr:to>
    <xdr:graphicFrame macro="">
      <xdr:nvGraphicFramePr>
        <xdr:cNvPr id="26" name="Chart 25">
          <a:extLst>
            <a:ext uri="{FF2B5EF4-FFF2-40B4-BE49-F238E27FC236}">
              <a16:creationId xmlns:a16="http://schemas.microsoft.com/office/drawing/2014/main" id="{80F100A0-3204-41EB-A706-9D1CD233D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50800</xdr:colOff>
      <xdr:row>16</xdr:row>
      <xdr:rowOff>165100</xdr:rowOff>
    </xdr:from>
    <xdr:to>
      <xdr:col>18</xdr:col>
      <xdr:colOff>520700</xdr:colOff>
      <xdr:row>27</xdr:row>
      <xdr:rowOff>152400</xdr:rowOff>
    </xdr:to>
    <xdr:graphicFrame macro="">
      <xdr:nvGraphicFramePr>
        <xdr:cNvPr id="28" name="Chart 27">
          <a:extLst>
            <a:ext uri="{FF2B5EF4-FFF2-40B4-BE49-F238E27FC236}">
              <a16:creationId xmlns:a16="http://schemas.microsoft.com/office/drawing/2014/main" id="{E474ABF8-4BB9-48A5-AA23-6C4316BC1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368300</xdr:colOff>
      <xdr:row>32</xdr:row>
      <xdr:rowOff>177800</xdr:rowOff>
    </xdr:from>
    <xdr:to>
      <xdr:col>6</xdr:col>
      <xdr:colOff>63500</xdr:colOff>
      <xdr:row>45</xdr:row>
      <xdr:rowOff>0</xdr:rowOff>
    </xdr:to>
    <xdr:graphicFrame macro="">
      <xdr:nvGraphicFramePr>
        <xdr:cNvPr id="29" name="Chart 28">
          <a:extLst>
            <a:ext uri="{FF2B5EF4-FFF2-40B4-BE49-F238E27FC236}">
              <a16:creationId xmlns:a16="http://schemas.microsoft.com/office/drawing/2014/main" id="{489E7206-50AB-483F-A1F3-EA3C6BFAB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38100</xdr:colOff>
      <xdr:row>33</xdr:row>
      <xdr:rowOff>6350</xdr:rowOff>
    </xdr:from>
    <xdr:to>
      <xdr:col>12</xdr:col>
      <xdr:colOff>438150</xdr:colOff>
      <xdr:row>45</xdr:row>
      <xdr:rowOff>12700</xdr:rowOff>
    </xdr:to>
    <xdr:graphicFrame macro="">
      <xdr:nvGraphicFramePr>
        <xdr:cNvPr id="30" name="Chart 29">
          <a:extLst>
            <a:ext uri="{FF2B5EF4-FFF2-40B4-BE49-F238E27FC236}">
              <a16:creationId xmlns:a16="http://schemas.microsoft.com/office/drawing/2014/main" id="{4FF22CD7-6CCF-4847-A486-694AA6193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27609</xdr:colOff>
      <xdr:row>9</xdr:row>
      <xdr:rowOff>14634</xdr:rowOff>
    </xdr:from>
    <xdr:to>
      <xdr:col>3</xdr:col>
      <xdr:colOff>248478</xdr:colOff>
      <xdr:row>10</xdr:row>
      <xdr:rowOff>158750</xdr:rowOff>
    </xdr:to>
    <xdr:sp macro="" textlink="'Pivot table'!H6">
      <xdr:nvSpPr>
        <xdr:cNvPr id="33" name="TextBox 32">
          <a:extLst>
            <a:ext uri="{FF2B5EF4-FFF2-40B4-BE49-F238E27FC236}">
              <a16:creationId xmlns:a16="http://schemas.microsoft.com/office/drawing/2014/main" id="{DF1779B2-82C6-1CE2-F042-1CDEEF9DF763}"/>
            </a:ext>
          </a:extLst>
        </xdr:cNvPr>
        <xdr:cNvSpPr txBox="1"/>
      </xdr:nvSpPr>
      <xdr:spPr>
        <a:xfrm>
          <a:off x="635000" y="1691862"/>
          <a:ext cx="1435652" cy="330475"/>
        </a:xfrm>
        <a:prstGeom prst="rect">
          <a:avLst/>
        </a:prstGeom>
        <a:solidFill>
          <a:schemeClr val="accent3">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284E6A-354A-41AA-B254-BC71C566F500}" type="TxLink">
            <a:rPr lang="en-US" sz="1600" b="1" i="0" u="none" strike="noStrike">
              <a:solidFill>
                <a:srgbClr val="000000"/>
              </a:solidFill>
              <a:latin typeface="+mj-lt"/>
              <a:ea typeface="Calibri"/>
              <a:cs typeface="Calibri"/>
            </a:rPr>
            <a:pPr/>
            <a:t>5455120.02</a:t>
          </a:fld>
          <a:endParaRPr lang="en-IN" sz="1600" b="1">
            <a:latin typeface="+mj-lt"/>
          </a:endParaRPr>
        </a:p>
      </xdr:txBody>
    </xdr:sp>
    <xdr:clientData/>
  </xdr:twoCellAnchor>
  <xdr:twoCellAnchor>
    <xdr:from>
      <xdr:col>5</xdr:col>
      <xdr:colOff>6901</xdr:colOff>
      <xdr:row>8</xdr:row>
      <xdr:rowOff>162337</xdr:rowOff>
    </xdr:from>
    <xdr:to>
      <xdr:col>7</xdr:col>
      <xdr:colOff>151021</xdr:colOff>
      <xdr:row>11</xdr:row>
      <xdr:rowOff>41412</xdr:rowOff>
    </xdr:to>
    <xdr:sp macro="" textlink="'Pivot table'!A75">
      <xdr:nvSpPr>
        <xdr:cNvPr id="34" name="TextBox 33">
          <a:extLst>
            <a:ext uri="{FF2B5EF4-FFF2-40B4-BE49-F238E27FC236}">
              <a16:creationId xmlns:a16="http://schemas.microsoft.com/office/drawing/2014/main" id="{7BEEEB14-6B69-DF13-D4FC-920B73D89B0B}"/>
            </a:ext>
          </a:extLst>
        </xdr:cNvPr>
        <xdr:cNvSpPr txBox="1"/>
      </xdr:nvSpPr>
      <xdr:spPr>
        <a:xfrm>
          <a:off x="3043858" y="1653207"/>
          <a:ext cx="1358902" cy="438151"/>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9C78D0-A98C-4660-BB56-54EE70F8C426}" type="TxLink">
            <a:rPr lang="en-US" sz="1600" b="1" i="0" u="none" strike="noStrike">
              <a:solidFill>
                <a:srgbClr val="000000"/>
              </a:solidFill>
              <a:latin typeface="+mj-lt"/>
              <a:ea typeface="Calibri"/>
              <a:cs typeface="Calibri"/>
            </a:rPr>
            <a:pPr/>
            <a:t>1214531.44</a:t>
          </a:fld>
          <a:endParaRPr lang="en-IN" sz="1600" b="1">
            <a:latin typeface="+mj-lt"/>
          </a:endParaRPr>
        </a:p>
      </xdr:txBody>
    </xdr:sp>
    <xdr:clientData/>
  </xdr:twoCellAnchor>
  <xdr:twoCellAnchor>
    <xdr:from>
      <xdr:col>8</xdr:col>
      <xdr:colOff>476250</xdr:colOff>
      <xdr:row>8</xdr:row>
      <xdr:rowOff>172554</xdr:rowOff>
    </xdr:from>
    <xdr:to>
      <xdr:col>10</xdr:col>
      <xdr:colOff>44175</xdr:colOff>
      <xdr:row>11</xdr:row>
      <xdr:rowOff>13804</xdr:rowOff>
    </xdr:to>
    <xdr:sp macro="" textlink="'Pivot table'!D99">
      <xdr:nvSpPr>
        <xdr:cNvPr id="36" name="TextBox 35">
          <a:extLst>
            <a:ext uri="{FF2B5EF4-FFF2-40B4-BE49-F238E27FC236}">
              <a16:creationId xmlns:a16="http://schemas.microsoft.com/office/drawing/2014/main" id="{25E15C79-7553-B90A-DBBC-F1659D37B108}"/>
            </a:ext>
          </a:extLst>
        </xdr:cNvPr>
        <xdr:cNvSpPr txBox="1"/>
      </xdr:nvSpPr>
      <xdr:spPr>
        <a:xfrm>
          <a:off x="5353050" y="1645754"/>
          <a:ext cx="787125" cy="393700"/>
        </a:xfrm>
        <a:prstGeom prst="rect">
          <a:avLst/>
        </a:prstGeom>
        <a:solidFill>
          <a:schemeClr val="accent3">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458CCB-9483-4D9F-920A-05FAEA24B3DA}" type="TxLink">
            <a:rPr lang="en-US" sz="1600" b="1" i="0" u="none" strike="noStrike">
              <a:solidFill>
                <a:srgbClr val="000000"/>
              </a:solidFill>
              <a:latin typeface="+mj-lt"/>
              <a:ea typeface="Calibri"/>
              <a:cs typeface="Calibri"/>
            </a:rPr>
            <a:pPr/>
            <a:t>1000</a:t>
          </a:fld>
          <a:endParaRPr lang="en-IN" sz="1600" b="1">
            <a:latin typeface="+mj-lt"/>
          </a:endParaRPr>
        </a:p>
      </xdr:txBody>
    </xdr:sp>
    <xdr:clientData/>
  </xdr:twoCellAnchor>
  <xdr:twoCellAnchor>
    <xdr:from>
      <xdr:col>12</xdr:col>
      <xdr:colOff>276915</xdr:colOff>
      <xdr:row>8</xdr:row>
      <xdr:rowOff>165652</xdr:rowOff>
    </xdr:from>
    <xdr:to>
      <xdr:col>14</xdr:col>
      <xdr:colOff>88900</xdr:colOff>
      <xdr:row>10</xdr:row>
      <xdr:rowOff>117337</xdr:rowOff>
    </xdr:to>
    <xdr:sp macro="" textlink="'Pivot table'!A99">
      <xdr:nvSpPr>
        <xdr:cNvPr id="37" name="TextBox 36">
          <a:extLst>
            <a:ext uri="{FF2B5EF4-FFF2-40B4-BE49-F238E27FC236}">
              <a16:creationId xmlns:a16="http://schemas.microsoft.com/office/drawing/2014/main" id="{C118EDD5-51F5-6C35-BB3A-B92929106460}"/>
            </a:ext>
          </a:extLst>
        </xdr:cNvPr>
        <xdr:cNvSpPr txBox="1"/>
      </xdr:nvSpPr>
      <xdr:spPr>
        <a:xfrm>
          <a:off x="7592115" y="1638852"/>
          <a:ext cx="1031185" cy="319985"/>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0C6780-FDA9-41C4-B9EA-DCE03B17C70F}" type="TxLink">
            <a:rPr lang="en-US" sz="1600" b="1" i="0" u="none" strike="noStrike">
              <a:solidFill>
                <a:schemeClr val="tx1"/>
              </a:solidFill>
              <a:latin typeface="+mj-lt"/>
              <a:ea typeface="Calibri"/>
              <a:cs typeface="Calibri"/>
            </a:rPr>
            <a:pPr/>
            <a:t>10757</a:t>
          </a:fld>
          <a:endParaRPr lang="en-IN" sz="1600" b="1">
            <a:solidFill>
              <a:schemeClr val="tx1"/>
            </a:solidFill>
            <a:latin typeface="+mj-lt"/>
          </a:endParaRPr>
        </a:p>
      </xdr:txBody>
    </xdr:sp>
    <xdr:clientData/>
  </xdr:twoCellAnchor>
  <xdr:twoCellAnchor>
    <xdr:from>
      <xdr:col>16</xdr:col>
      <xdr:colOff>12701</xdr:colOff>
      <xdr:row>8</xdr:row>
      <xdr:rowOff>140252</xdr:rowOff>
    </xdr:from>
    <xdr:to>
      <xdr:col>17</xdr:col>
      <xdr:colOff>558800</xdr:colOff>
      <xdr:row>10</xdr:row>
      <xdr:rowOff>54665</xdr:rowOff>
    </xdr:to>
    <xdr:sp macro="" textlink="'Pivot table'!F99">
      <xdr:nvSpPr>
        <xdr:cNvPr id="38" name="TextBox 37">
          <a:extLst>
            <a:ext uri="{FF2B5EF4-FFF2-40B4-BE49-F238E27FC236}">
              <a16:creationId xmlns:a16="http://schemas.microsoft.com/office/drawing/2014/main" id="{3161FDA9-653E-03BB-2B50-1CFF1F71F266}"/>
            </a:ext>
          </a:extLst>
        </xdr:cNvPr>
        <xdr:cNvSpPr txBox="1"/>
      </xdr:nvSpPr>
      <xdr:spPr>
        <a:xfrm>
          <a:off x="9766301" y="1613452"/>
          <a:ext cx="1155699" cy="282713"/>
        </a:xfrm>
        <a:prstGeom prst="rect">
          <a:avLst/>
        </a:prstGeom>
        <a:solidFill>
          <a:schemeClr val="accent3">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7EF7E4-750E-4379-8A96-80C5C7CBBBE1}" type="TxLink">
            <a:rPr lang="en-US" sz="1600" b="1" i="0" u="none" strike="noStrike">
              <a:solidFill>
                <a:srgbClr val="000000"/>
              </a:solidFill>
              <a:latin typeface="+mj-lt"/>
              <a:ea typeface="Calibri"/>
              <a:cs typeface="Calibri"/>
            </a:rPr>
            <a:pPr/>
            <a:t>5455.12002</a:t>
          </a:fld>
          <a:endParaRPr lang="en-IN" sz="1600" b="1">
            <a:latin typeface="+mj-lt"/>
          </a:endParaRPr>
        </a:p>
      </xdr:txBody>
    </xdr:sp>
    <xdr:clientData/>
  </xdr:twoCellAnchor>
  <xdr:twoCellAnchor editAs="oneCell">
    <xdr:from>
      <xdr:col>8</xdr:col>
      <xdr:colOff>483154</xdr:colOff>
      <xdr:row>3</xdr:row>
      <xdr:rowOff>6902</xdr:rowOff>
    </xdr:from>
    <xdr:to>
      <xdr:col>18</xdr:col>
      <xdr:colOff>352012</xdr:colOff>
      <xdr:row>6</xdr:row>
      <xdr:rowOff>69022</xdr:rowOff>
    </xdr:to>
    <mc:AlternateContent xmlns:mc="http://schemas.openxmlformats.org/markup-compatibility/2006" xmlns:a14="http://schemas.microsoft.com/office/drawing/2010/main">
      <mc:Choice Requires="a14">
        <xdr:graphicFrame macro="">
          <xdr:nvGraphicFramePr>
            <xdr:cNvPr id="42" name="Marketing_Channel 1">
              <a:extLst>
                <a:ext uri="{FF2B5EF4-FFF2-40B4-BE49-F238E27FC236}">
                  <a16:creationId xmlns:a16="http://schemas.microsoft.com/office/drawing/2014/main" id="{A1CE42FE-B99A-4BFC-AA40-9DF70D1D4A92}"/>
                </a:ext>
              </a:extLst>
            </xdr:cNvPr>
            <xdr:cNvGraphicFramePr/>
          </xdr:nvGraphicFramePr>
          <xdr:xfrm>
            <a:off x="0" y="0"/>
            <a:ext cx="0" cy="0"/>
          </xdr:xfrm>
          <a:graphic>
            <a:graphicData uri="http://schemas.microsoft.com/office/drawing/2010/slicer">
              <sle:slicer xmlns:sle="http://schemas.microsoft.com/office/drawing/2010/slicer" name="Marketing_Channel 1"/>
            </a:graphicData>
          </a:graphic>
        </xdr:graphicFrame>
      </mc:Choice>
      <mc:Fallback xmlns="">
        <xdr:sp macro="" textlink="">
          <xdr:nvSpPr>
            <xdr:cNvPr id="0" name=""/>
            <xdr:cNvSpPr>
              <a:spLocks noTextEdit="1"/>
            </xdr:cNvSpPr>
          </xdr:nvSpPr>
          <xdr:spPr>
            <a:xfrm>
              <a:off x="5342284" y="565978"/>
              <a:ext cx="5942771" cy="621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352287</xdr:colOff>
      <xdr:row>3</xdr:row>
      <xdr:rowOff>4416</xdr:rowOff>
    </xdr:from>
    <xdr:to>
      <xdr:col>8</xdr:col>
      <xdr:colOff>146603</xdr:colOff>
      <xdr:row>6</xdr:row>
      <xdr:rowOff>107950</xdr:rowOff>
    </xdr:to>
    <mc:AlternateContent xmlns:mc="http://schemas.openxmlformats.org/markup-compatibility/2006" xmlns:a14="http://schemas.microsoft.com/office/drawing/2010/main">
      <mc:Choice Requires="a14">
        <xdr:graphicFrame macro="">
          <xdr:nvGraphicFramePr>
            <xdr:cNvPr id="43" name="Region 1">
              <a:extLst>
                <a:ext uri="{FF2B5EF4-FFF2-40B4-BE49-F238E27FC236}">
                  <a16:creationId xmlns:a16="http://schemas.microsoft.com/office/drawing/2014/main" id="{C9ECA1A1-DC04-45F2-B799-B8A3545B5FB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52287" y="556866"/>
              <a:ext cx="4671116" cy="655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109607</xdr:colOff>
      <xdr:row>15</xdr:row>
      <xdr:rowOff>144946</xdr:rowOff>
    </xdr:from>
    <xdr:to>
      <xdr:col>12</xdr:col>
      <xdr:colOff>273567</xdr:colOff>
      <xdr:row>29</xdr:row>
      <xdr:rowOff>41650</xdr:rowOff>
    </xdr:to>
    <xdr:graphicFrame macro="">
      <xdr:nvGraphicFramePr>
        <xdr:cNvPr id="45" name="Chart 44">
          <a:extLst>
            <a:ext uri="{FF2B5EF4-FFF2-40B4-BE49-F238E27FC236}">
              <a16:creationId xmlns:a16="http://schemas.microsoft.com/office/drawing/2014/main" id="{DC87D9DB-632C-4964-ADF5-CE436C5D6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161786</xdr:colOff>
      <xdr:row>33</xdr:row>
      <xdr:rowOff>552</xdr:rowOff>
    </xdr:from>
    <xdr:to>
      <xdr:col>19</xdr:col>
      <xdr:colOff>33167</xdr:colOff>
      <xdr:row>44</xdr:row>
      <xdr:rowOff>127000</xdr:rowOff>
    </xdr:to>
    <xdr:graphicFrame macro="">
      <xdr:nvGraphicFramePr>
        <xdr:cNvPr id="12" name="Chart 11">
          <a:extLst>
            <a:ext uri="{FF2B5EF4-FFF2-40B4-BE49-F238E27FC236}">
              <a16:creationId xmlns:a16="http://schemas.microsoft.com/office/drawing/2014/main" id="{2F6F8088-D3AB-4CF0-9428-BE3DE8970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06" refreshedDate="46197.831651851855" createdVersion="8" refreshedVersion="8" minRefreshableVersion="3" recordCount="1000" xr:uid="{94A46622-F44D-4934-BFF7-895397E26EB2}">
  <cacheSource type="worksheet">
    <worksheetSource ref="A1:N1001" sheet="Marketing_Sales_Data"/>
  </cacheSource>
  <cacheFields count="17">
    <cacheField name="Order_ID" numFmtId="0">
      <sharedItems count="10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 v="ORD0351"/>
        <s v="ORD0352"/>
        <s v="ORD0353"/>
        <s v="ORD0354"/>
        <s v="ORD0355"/>
        <s v="ORD0356"/>
        <s v="ORD0357"/>
        <s v="ORD0358"/>
        <s v="ORD0359"/>
        <s v="ORD0360"/>
        <s v="ORD0361"/>
        <s v="ORD0362"/>
        <s v="ORD0363"/>
        <s v="ORD0364"/>
        <s v="ORD0365"/>
        <s v="ORD0366"/>
        <s v="ORD0367"/>
        <s v="ORD0368"/>
        <s v="ORD0369"/>
        <s v="ORD0370"/>
        <s v="ORD0371"/>
        <s v="ORD0372"/>
        <s v="ORD0373"/>
        <s v="ORD0374"/>
        <s v="ORD0375"/>
        <s v="ORD0376"/>
        <s v="ORD0377"/>
        <s v="ORD0378"/>
        <s v="ORD0379"/>
        <s v="ORD0380"/>
        <s v="ORD0381"/>
        <s v="ORD0382"/>
        <s v="ORD0383"/>
        <s v="ORD0384"/>
        <s v="ORD0385"/>
        <s v="ORD0386"/>
        <s v="ORD0387"/>
        <s v="ORD0388"/>
        <s v="ORD0389"/>
        <s v="ORD0390"/>
        <s v="ORD0391"/>
        <s v="ORD0392"/>
        <s v="ORD0393"/>
        <s v="ORD0394"/>
        <s v="ORD0395"/>
        <s v="ORD0396"/>
        <s v="ORD0397"/>
        <s v="ORD0398"/>
        <s v="ORD0399"/>
        <s v="ORD0400"/>
        <s v="ORD0401"/>
        <s v="ORD0402"/>
        <s v="ORD0403"/>
        <s v="ORD0404"/>
        <s v="ORD0405"/>
        <s v="ORD0406"/>
        <s v="ORD0407"/>
        <s v="ORD0408"/>
        <s v="ORD0409"/>
        <s v="ORD0410"/>
        <s v="ORD0411"/>
        <s v="ORD0412"/>
        <s v="ORD0413"/>
        <s v="ORD0414"/>
        <s v="ORD0415"/>
        <s v="ORD0416"/>
        <s v="ORD0417"/>
        <s v="ORD0418"/>
        <s v="ORD0419"/>
        <s v="ORD0420"/>
        <s v="ORD0421"/>
        <s v="ORD0422"/>
        <s v="ORD0423"/>
        <s v="ORD0424"/>
        <s v="ORD0425"/>
        <s v="ORD0426"/>
        <s v="ORD0427"/>
        <s v="ORD0428"/>
        <s v="ORD0429"/>
        <s v="ORD0430"/>
        <s v="ORD0431"/>
        <s v="ORD0432"/>
        <s v="ORD0433"/>
        <s v="ORD0434"/>
        <s v="ORD0435"/>
        <s v="ORD0436"/>
        <s v="ORD0437"/>
        <s v="ORD0438"/>
        <s v="ORD0439"/>
        <s v="ORD0440"/>
        <s v="ORD0441"/>
        <s v="ORD0442"/>
        <s v="ORD0443"/>
        <s v="ORD0444"/>
        <s v="ORD0445"/>
        <s v="ORD0446"/>
        <s v="ORD0447"/>
        <s v="ORD0448"/>
        <s v="ORD0449"/>
        <s v="ORD0450"/>
        <s v="ORD0451"/>
        <s v="ORD0452"/>
        <s v="ORD0453"/>
        <s v="ORD0454"/>
        <s v="ORD0455"/>
        <s v="ORD0456"/>
        <s v="ORD0457"/>
        <s v="ORD0458"/>
        <s v="ORD0459"/>
        <s v="ORD0460"/>
        <s v="ORD0461"/>
        <s v="ORD0462"/>
        <s v="ORD0463"/>
        <s v="ORD0464"/>
        <s v="ORD0465"/>
        <s v="ORD0466"/>
        <s v="ORD0467"/>
        <s v="ORD0468"/>
        <s v="ORD0469"/>
        <s v="ORD0470"/>
        <s v="ORD0471"/>
        <s v="ORD0472"/>
        <s v="ORD0473"/>
        <s v="ORD0474"/>
        <s v="ORD0475"/>
        <s v="ORD0476"/>
        <s v="ORD0477"/>
        <s v="ORD0478"/>
        <s v="ORD0479"/>
        <s v="ORD0480"/>
        <s v="ORD0481"/>
        <s v="ORD0482"/>
        <s v="ORD0483"/>
        <s v="ORD0484"/>
        <s v="ORD0485"/>
        <s v="ORD0486"/>
        <s v="ORD0487"/>
        <s v="ORD0488"/>
        <s v="ORD0489"/>
        <s v="ORD0490"/>
        <s v="ORD0491"/>
        <s v="ORD0492"/>
        <s v="ORD0493"/>
        <s v="ORD0494"/>
        <s v="ORD0495"/>
        <s v="ORD0496"/>
        <s v="ORD0497"/>
        <s v="ORD0498"/>
        <s v="ORD0499"/>
        <s v="ORD0500"/>
        <s v="ORD0501"/>
        <s v="ORD0502"/>
        <s v="ORD0503"/>
        <s v="ORD0504"/>
        <s v="ORD0505"/>
        <s v="ORD0506"/>
        <s v="ORD0507"/>
        <s v="ORD0508"/>
        <s v="ORD0509"/>
        <s v="ORD0510"/>
        <s v="ORD0511"/>
        <s v="ORD0512"/>
        <s v="ORD0513"/>
        <s v="ORD0514"/>
        <s v="ORD0515"/>
        <s v="ORD0516"/>
        <s v="ORD0517"/>
        <s v="ORD0518"/>
        <s v="ORD0519"/>
        <s v="ORD0520"/>
        <s v="ORD0521"/>
        <s v="ORD0522"/>
        <s v="ORD0523"/>
        <s v="ORD0524"/>
        <s v="ORD0525"/>
        <s v="ORD0526"/>
        <s v="ORD0527"/>
        <s v="ORD0528"/>
        <s v="ORD0529"/>
        <s v="ORD0530"/>
        <s v="ORD0531"/>
        <s v="ORD0532"/>
        <s v="ORD0533"/>
        <s v="ORD0534"/>
        <s v="ORD0535"/>
        <s v="ORD0536"/>
        <s v="ORD0537"/>
        <s v="ORD0538"/>
        <s v="ORD0539"/>
        <s v="ORD0540"/>
        <s v="ORD0541"/>
        <s v="ORD0542"/>
        <s v="ORD0543"/>
        <s v="ORD0544"/>
        <s v="ORD0545"/>
        <s v="ORD0546"/>
        <s v="ORD0547"/>
        <s v="ORD0548"/>
        <s v="ORD0549"/>
        <s v="ORD0550"/>
        <s v="ORD0551"/>
        <s v="ORD0552"/>
        <s v="ORD0553"/>
        <s v="ORD0554"/>
        <s v="ORD0555"/>
        <s v="ORD0556"/>
        <s v="ORD0557"/>
        <s v="ORD0558"/>
        <s v="ORD0559"/>
        <s v="ORD0560"/>
        <s v="ORD0561"/>
        <s v="ORD0562"/>
        <s v="ORD0563"/>
        <s v="ORD0564"/>
        <s v="ORD0565"/>
        <s v="ORD0566"/>
        <s v="ORD0567"/>
        <s v="ORD0568"/>
        <s v="ORD0569"/>
        <s v="ORD0570"/>
        <s v="ORD0571"/>
        <s v="ORD0572"/>
        <s v="ORD0573"/>
        <s v="ORD0574"/>
        <s v="ORD0575"/>
        <s v="ORD0576"/>
        <s v="ORD0577"/>
        <s v="ORD0578"/>
        <s v="ORD0579"/>
        <s v="ORD0580"/>
        <s v="ORD0581"/>
        <s v="ORD0582"/>
        <s v="ORD0583"/>
        <s v="ORD0584"/>
        <s v="ORD0585"/>
        <s v="ORD0586"/>
        <s v="ORD0587"/>
        <s v="ORD0588"/>
        <s v="ORD0589"/>
        <s v="ORD0590"/>
        <s v="ORD0591"/>
        <s v="ORD0592"/>
        <s v="ORD0593"/>
        <s v="ORD0594"/>
        <s v="ORD0595"/>
        <s v="ORD0596"/>
        <s v="ORD0597"/>
        <s v="ORD0598"/>
        <s v="ORD0599"/>
        <s v="ORD0600"/>
        <s v="ORD0601"/>
        <s v="ORD0602"/>
        <s v="ORD0603"/>
        <s v="ORD0604"/>
        <s v="ORD0605"/>
        <s v="ORD0606"/>
        <s v="ORD0607"/>
        <s v="ORD0608"/>
        <s v="ORD0609"/>
        <s v="ORD0610"/>
        <s v="ORD0611"/>
        <s v="ORD0612"/>
        <s v="ORD0613"/>
        <s v="ORD0614"/>
        <s v="ORD0615"/>
        <s v="ORD0616"/>
        <s v="ORD0617"/>
        <s v="ORD0618"/>
        <s v="ORD0619"/>
        <s v="ORD0620"/>
        <s v="ORD0621"/>
        <s v="ORD0622"/>
        <s v="ORD0623"/>
        <s v="ORD0624"/>
        <s v="ORD0625"/>
        <s v="ORD0626"/>
        <s v="ORD0627"/>
        <s v="ORD0628"/>
        <s v="ORD0629"/>
        <s v="ORD0630"/>
        <s v="ORD0631"/>
        <s v="ORD0632"/>
        <s v="ORD0633"/>
        <s v="ORD0634"/>
        <s v="ORD0635"/>
        <s v="ORD0636"/>
        <s v="ORD0637"/>
        <s v="ORD0638"/>
        <s v="ORD0639"/>
        <s v="ORD0640"/>
        <s v="ORD0641"/>
        <s v="ORD0642"/>
        <s v="ORD0643"/>
        <s v="ORD0644"/>
        <s v="ORD0645"/>
        <s v="ORD0646"/>
        <s v="ORD0647"/>
        <s v="ORD0648"/>
        <s v="ORD0649"/>
        <s v="ORD0650"/>
        <s v="ORD0651"/>
        <s v="ORD0652"/>
        <s v="ORD0653"/>
        <s v="ORD0654"/>
        <s v="ORD0655"/>
        <s v="ORD0656"/>
        <s v="ORD0657"/>
        <s v="ORD0658"/>
        <s v="ORD0659"/>
        <s v="ORD0660"/>
        <s v="ORD0661"/>
        <s v="ORD0662"/>
        <s v="ORD0663"/>
        <s v="ORD0664"/>
        <s v="ORD0665"/>
        <s v="ORD0666"/>
        <s v="ORD0667"/>
        <s v="ORD0668"/>
        <s v="ORD0669"/>
        <s v="ORD0670"/>
        <s v="ORD0671"/>
        <s v="ORD0672"/>
        <s v="ORD0673"/>
        <s v="ORD0674"/>
        <s v="ORD0675"/>
        <s v="ORD0676"/>
        <s v="ORD0677"/>
        <s v="ORD0678"/>
        <s v="ORD0679"/>
        <s v="ORD0680"/>
        <s v="ORD0681"/>
        <s v="ORD0682"/>
        <s v="ORD0683"/>
        <s v="ORD0684"/>
        <s v="ORD0685"/>
        <s v="ORD0686"/>
        <s v="ORD0687"/>
        <s v="ORD0688"/>
        <s v="ORD0689"/>
        <s v="ORD0690"/>
        <s v="ORD0691"/>
        <s v="ORD0692"/>
        <s v="ORD0693"/>
        <s v="ORD0694"/>
        <s v="ORD0695"/>
        <s v="ORD0696"/>
        <s v="ORD0697"/>
        <s v="ORD0698"/>
        <s v="ORD0699"/>
        <s v="ORD0700"/>
        <s v="ORD0701"/>
        <s v="ORD0702"/>
        <s v="ORD0703"/>
        <s v="ORD0704"/>
        <s v="ORD0705"/>
        <s v="ORD0706"/>
        <s v="ORD0707"/>
        <s v="ORD0708"/>
        <s v="ORD0709"/>
        <s v="ORD0710"/>
        <s v="ORD0711"/>
        <s v="ORD0712"/>
        <s v="ORD0713"/>
        <s v="ORD0714"/>
        <s v="ORD0715"/>
        <s v="ORD0716"/>
        <s v="ORD0717"/>
        <s v="ORD0718"/>
        <s v="ORD0719"/>
        <s v="ORD0720"/>
        <s v="ORD0721"/>
        <s v="ORD0722"/>
        <s v="ORD0723"/>
        <s v="ORD0724"/>
        <s v="ORD0725"/>
        <s v="ORD0726"/>
        <s v="ORD0727"/>
        <s v="ORD0728"/>
        <s v="ORD0729"/>
        <s v="ORD0730"/>
        <s v="ORD0731"/>
        <s v="ORD0732"/>
        <s v="ORD0733"/>
        <s v="ORD0734"/>
        <s v="ORD0735"/>
        <s v="ORD0736"/>
        <s v="ORD0737"/>
        <s v="ORD0738"/>
        <s v="ORD0739"/>
        <s v="ORD0740"/>
        <s v="ORD0741"/>
        <s v="ORD0742"/>
        <s v="ORD0743"/>
        <s v="ORD0744"/>
        <s v="ORD0745"/>
        <s v="ORD0746"/>
        <s v="ORD0747"/>
        <s v="ORD0748"/>
        <s v="ORD0749"/>
        <s v="ORD0750"/>
        <s v="ORD0751"/>
        <s v="ORD0752"/>
        <s v="ORD0753"/>
        <s v="ORD0754"/>
        <s v="ORD0755"/>
        <s v="ORD0756"/>
        <s v="ORD0757"/>
        <s v="ORD0758"/>
        <s v="ORD0759"/>
        <s v="ORD0760"/>
        <s v="ORD0761"/>
        <s v="ORD0762"/>
        <s v="ORD0763"/>
        <s v="ORD0764"/>
        <s v="ORD0765"/>
        <s v="ORD0766"/>
        <s v="ORD0767"/>
        <s v="ORD0768"/>
        <s v="ORD0769"/>
        <s v="ORD0770"/>
        <s v="ORD0771"/>
        <s v="ORD0772"/>
        <s v="ORD0773"/>
        <s v="ORD0774"/>
        <s v="ORD0775"/>
        <s v="ORD0776"/>
        <s v="ORD0777"/>
        <s v="ORD0778"/>
        <s v="ORD0779"/>
        <s v="ORD0780"/>
        <s v="ORD0781"/>
        <s v="ORD0782"/>
        <s v="ORD0783"/>
        <s v="ORD0784"/>
        <s v="ORD0785"/>
        <s v="ORD0786"/>
        <s v="ORD0787"/>
        <s v="ORD0788"/>
        <s v="ORD0789"/>
        <s v="ORD0790"/>
        <s v="ORD0791"/>
        <s v="ORD0792"/>
        <s v="ORD0793"/>
        <s v="ORD0794"/>
        <s v="ORD0795"/>
        <s v="ORD0796"/>
        <s v="ORD0797"/>
        <s v="ORD0798"/>
        <s v="ORD0799"/>
        <s v="ORD0800"/>
        <s v="ORD0801"/>
        <s v="ORD0802"/>
        <s v="ORD0803"/>
        <s v="ORD0804"/>
        <s v="ORD0805"/>
        <s v="ORD0806"/>
        <s v="ORD0807"/>
        <s v="ORD0808"/>
        <s v="ORD0809"/>
        <s v="ORD0810"/>
        <s v="ORD0811"/>
        <s v="ORD0812"/>
        <s v="ORD0813"/>
        <s v="ORD0814"/>
        <s v="ORD0815"/>
        <s v="ORD0816"/>
        <s v="ORD0817"/>
        <s v="ORD0818"/>
        <s v="ORD0819"/>
        <s v="ORD0820"/>
        <s v="ORD0821"/>
        <s v="ORD0822"/>
        <s v="ORD0823"/>
        <s v="ORD0824"/>
        <s v="ORD0825"/>
        <s v="ORD0826"/>
        <s v="ORD0827"/>
        <s v="ORD0828"/>
        <s v="ORD0829"/>
        <s v="ORD0830"/>
        <s v="ORD0831"/>
        <s v="ORD0832"/>
        <s v="ORD0833"/>
        <s v="ORD0834"/>
        <s v="ORD0835"/>
        <s v="ORD0836"/>
        <s v="ORD0837"/>
        <s v="ORD0838"/>
        <s v="ORD0839"/>
        <s v="ORD0840"/>
        <s v="ORD0841"/>
        <s v="ORD0842"/>
        <s v="ORD0843"/>
        <s v="ORD0844"/>
        <s v="ORD0845"/>
        <s v="ORD0846"/>
        <s v="ORD0847"/>
        <s v="ORD0848"/>
        <s v="ORD0849"/>
        <s v="ORD0850"/>
        <s v="ORD0851"/>
        <s v="ORD0852"/>
        <s v="ORD0853"/>
        <s v="ORD0854"/>
        <s v="ORD0855"/>
        <s v="ORD0856"/>
        <s v="ORD0857"/>
        <s v="ORD0858"/>
        <s v="ORD0859"/>
        <s v="ORD0860"/>
        <s v="ORD0861"/>
        <s v="ORD0862"/>
        <s v="ORD0863"/>
        <s v="ORD0864"/>
        <s v="ORD0865"/>
        <s v="ORD0866"/>
        <s v="ORD0867"/>
        <s v="ORD0868"/>
        <s v="ORD0869"/>
        <s v="ORD0870"/>
        <s v="ORD0871"/>
        <s v="ORD0872"/>
        <s v="ORD0873"/>
        <s v="ORD0874"/>
        <s v="ORD0875"/>
        <s v="ORD0876"/>
        <s v="ORD0877"/>
        <s v="ORD0878"/>
        <s v="ORD0879"/>
        <s v="ORD0880"/>
        <s v="ORD0881"/>
        <s v="ORD0882"/>
        <s v="ORD0883"/>
        <s v="ORD0884"/>
        <s v="ORD0885"/>
        <s v="ORD0886"/>
        <s v="ORD0887"/>
        <s v="ORD0888"/>
        <s v="ORD0889"/>
        <s v="ORD0890"/>
        <s v="ORD0891"/>
        <s v="ORD0892"/>
        <s v="ORD0893"/>
        <s v="ORD0894"/>
        <s v="ORD0895"/>
        <s v="ORD0896"/>
        <s v="ORD0897"/>
        <s v="ORD0898"/>
        <s v="ORD0899"/>
        <s v="ORD0900"/>
        <s v="ORD0901"/>
        <s v="ORD0902"/>
        <s v="ORD0903"/>
        <s v="ORD0904"/>
        <s v="ORD0905"/>
        <s v="ORD0906"/>
        <s v="ORD0907"/>
        <s v="ORD0908"/>
        <s v="ORD0909"/>
        <s v="ORD0910"/>
        <s v="ORD0911"/>
        <s v="ORD0912"/>
        <s v="ORD0913"/>
        <s v="ORD0914"/>
        <s v="ORD0915"/>
        <s v="ORD0916"/>
        <s v="ORD0917"/>
        <s v="ORD0918"/>
        <s v="ORD0919"/>
        <s v="ORD0920"/>
        <s v="ORD0921"/>
        <s v="ORD0922"/>
        <s v="ORD0923"/>
        <s v="ORD0924"/>
        <s v="ORD0925"/>
        <s v="ORD0926"/>
        <s v="ORD0927"/>
        <s v="ORD0928"/>
        <s v="ORD0929"/>
        <s v="ORD0930"/>
        <s v="ORD0931"/>
        <s v="ORD0932"/>
        <s v="ORD0933"/>
        <s v="ORD0934"/>
        <s v="ORD0935"/>
        <s v="ORD0936"/>
        <s v="ORD0937"/>
        <s v="ORD0938"/>
        <s v="ORD0939"/>
        <s v="ORD0940"/>
        <s v="ORD0941"/>
        <s v="ORD0942"/>
        <s v="ORD0943"/>
        <s v="ORD0944"/>
        <s v="ORD0945"/>
        <s v="ORD0946"/>
        <s v="ORD0947"/>
        <s v="ORD0948"/>
        <s v="ORD0949"/>
        <s v="ORD0950"/>
        <s v="ORD0951"/>
        <s v="ORD0952"/>
        <s v="ORD0953"/>
        <s v="ORD0954"/>
        <s v="ORD0955"/>
        <s v="ORD0956"/>
        <s v="ORD0957"/>
        <s v="ORD0958"/>
        <s v="ORD0959"/>
        <s v="ORD0960"/>
        <s v="ORD0961"/>
        <s v="ORD0962"/>
        <s v="ORD0963"/>
        <s v="ORD0964"/>
        <s v="ORD0965"/>
        <s v="ORD0966"/>
        <s v="ORD0967"/>
        <s v="ORD0968"/>
        <s v="ORD0969"/>
        <s v="ORD0970"/>
        <s v="ORD0971"/>
        <s v="ORD0972"/>
        <s v="ORD0973"/>
        <s v="ORD0974"/>
        <s v="ORD0975"/>
        <s v="ORD0976"/>
        <s v="ORD0977"/>
        <s v="ORD0978"/>
        <s v="ORD0979"/>
        <s v="ORD0980"/>
        <s v="ORD0981"/>
        <s v="ORD0982"/>
        <s v="ORD0983"/>
        <s v="ORD0984"/>
        <s v="ORD0985"/>
        <s v="ORD0986"/>
        <s v="ORD0987"/>
        <s v="ORD0988"/>
        <s v="ORD0989"/>
        <s v="ORD0990"/>
        <s v="ORD0991"/>
        <s v="ORD0992"/>
        <s v="ORD0993"/>
        <s v="ORD0994"/>
        <s v="ORD0995"/>
        <s v="ORD0996"/>
        <s v="ORD0997"/>
        <s v="ORD0998"/>
        <s v="ORD0999"/>
        <s v="ORD1000"/>
      </sharedItems>
    </cacheField>
    <cacheField name="Order_Date" numFmtId="0">
      <sharedItems/>
    </cacheField>
    <cacheField name="Region" numFmtId="0">
      <sharedItems count="4">
        <s v="West"/>
        <s v="East"/>
        <s v="North"/>
        <s v="South"/>
      </sharedItems>
    </cacheField>
    <cacheField name="Salesperson" numFmtId="0">
      <sharedItems count="8">
        <s v="Vikas"/>
        <s v="Rahul"/>
        <s v="Arjun"/>
        <s v="Amit"/>
        <s v="Anjali"/>
        <s v="Sneha"/>
        <s v="Priya"/>
        <s v="Neha"/>
      </sharedItems>
    </cacheField>
    <cacheField name="Customer_Segment" numFmtId="0">
      <sharedItems count="4">
        <s v="Small Business"/>
        <s v="Consumer"/>
        <s v="Corporate"/>
        <s v="Enterprise"/>
      </sharedItems>
    </cacheField>
    <cacheField name="Product_Category" numFmtId="0">
      <sharedItems count="4">
        <s v="Electronics"/>
        <s v="Accessories"/>
        <s v="Clothing"/>
        <s v="Furniture"/>
      </sharedItems>
    </cacheField>
    <cacheField name="Product" numFmtId="0">
      <sharedItems/>
    </cacheField>
    <cacheField name="Units_Sold" numFmtId="0">
      <sharedItems containsSemiMixedTypes="0" containsString="0" containsNumber="1" containsInteger="1" minValue="1" maxValue="20"/>
    </cacheField>
    <cacheField name="Unit_Price" numFmtId="0">
      <sharedItems containsSemiMixedTypes="0" containsString="0" containsNumber="1" minValue="11.23" maxValue="999.73"/>
    </cacheField>
    <cacheField name="Sales_Amount" numFmtId="0">
      <sharedItems containsSemiMixedTypes="0" containsString="0" containsNumber="1" minValue="39.76" maxValue="19420.8"/>
    </cacheField>
    <cacheField name="Marketing_Channel" numFmtId="0">
      <sharedItems count="6">
        <s v="Facebook"/>
        <s v="Email"/>
        <s v="Instagram"/>
        <s v="LinkedIn"/>
        <s v="Google Ads"/>
        <s v="YouTube"/>
      </sharedItems>
    </cacheField>
    <cacheField name="Campaign" numFmtId="0">
      <sharedItems/>
    </cacheField>
    <cacheField name="Profit" numFmtId="0">
      <sharedItems containsSemiMixedTypes="0" containsString="0" containsNumber="1" minValue="5.81" maxValue="6109.3"/>
    </cacheField>
    <cacheField name="Month" numFmtId="17">
      <sharedItems containsSemiMixedTypes="0" containsNonDate="0" containsDate="1" containsString="0" minDate="2025-01-01T00:00:00" maxDate="2026-01-02T00:00:00" count="13">
        <d v="2025-02-01T00:00:00"/>
        <d v="2025-03-01T00:00:00"/>
        <d v="2025-05-01T00:00:00"/>
        <d v="2026-01-01T00:00:00"/>
        <d v="2025-08-01T00:00:00"/>
        <d v="2025-09-01T00:00:00"/>
        <d v="2025-04-01T00:00:00"/>
        <d v="2025-06-01T00:00:00"/>
        <d v="2025-11-01T00:00:00"/>
        <d v="2025-07-01T00:00:00"/>
        <d v="2025-12-01T00:00:00"/>
        <d v="2025-10-01T00:00:00"/>
        <d v="2025-01-01T00:00:00"/>
      </sharedItems>
      <fieldGroup par="16"/>
    </cacheField>
    <cacheField name="Months (Month)" numFmtId="0" databaseField="0">
      <fieldGroup base="13">
        <rangePr groupBy="months" startDate="2025-01-01T00:00:00" endDate="2026-01-02T00:00:00"/>
        <groupItems count="14">
          <s v="&lt;01-01-2025"/>
          <s v="Jan"/>
          <s v="Feb"/>
          <s v="Mar"/>
          <s v="Apr"/>
          <s v="May"/>
          <s v="Jun"/>
          <s v="Jul"/>
          <s v="Aug"/>
          <s v="Sep"/>
          <s v="Oct"/>
          <s v="Nov"/>
          <s v="Dec"/>
          <s v="&gt;02-01-2026"/>
        </groupItems>
      </fieldGroup>
    </cacheField>
    <cacheField name="Quarters (Month)" numFmtId="0" databaseField="0">
      <fieldGroup base="13">
        <rangePr groupBy="quarters" startDate="2025-01-01T00:00:00" endDate="2026-01-02T00:00:00"/>
        <groupItems count="6">
          <s v="&lt;01-01-2025"/>
          <s v="Qtr1"/>
          <s v="Qtr2"/>
          <s v="Qtr3"/>
          <s v="Qtr4"/>
          <s v="&gt;02-01-2026"/>
        </groupItems>
      </fieldGroup>
    </cacheField>
    <cacheField name="Years (Month)" numFmtId="0" databaseField="0">
      <fieldGroup base="13">
        <rangePr groupBy="years" startDate="2025-01-01T00:00:00" endDate="2026-01-02T00:00:00"/>
        <groupItems count="4">
          <s v="&lt;01-01-2025"/>
          <s v="2025"/>
          <s v="2026"/>
          <s v="&gt;02-01-2026"/>
        </groupItems>
      </fieldGroup>
    </cacheField>
  </cacheFields>
  <extLst>
    <ext xmlns:x14="http://schemas.microsoft.com/office/spreadsheetml/2009/9/main" uri="{725AE2AE-9491-48be-B2B4-4EB974FC3084}">
      <x14:pivotCacheDefinition pivotCacheId="2987954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2025-02-06"/>
    <x v="0"/>
    <x v="0"/>
    <x v="0"/>
    <x v="0"/>
    <s v="Laptop"/>
    <n v="2"/>
    <n v="442.37"/>
    <n v="884.74"/>
    <x v="0"/>
    <s v="Referral"/>
    <n v="255.9"/>
    <x v="0"/>
  </r>
  <r>
    <x v="1"/>
    <s v="2025-03-04"/>
    <x v="1"/>
    <x v="1"/>
    <x v="1"/>
    <x v="1"/>
    <s v="Mouse"/>
    <n v="10"/>
    <n v="837.16"/>
    <n v="8371.6"/>
    <x v="1"/>
    <s v="Referral"/>
    <n v="2686.71"/>
    <x v="1"/>
  </r>
  <r>
    <x v="2"/>
    <s v="2025-05-07"/>
    <x v="2"/>
    <x v="2"/>
    <x v="1"/>
    <x v="0"/>
    <s v="Laptop"/>
    <n v="9"/>
    <n v="329.83"/>
    <n v="2968.47"/>
    <x v="1"/>
    <s v="Festive Offer"/>
    <n v="670.3"/>
    <x v="2"/>
  </r>
  <r>
    <x v="3"/>
    <s v="2026-01-01"/>
    <x v="1"/>
    <x v="0"/>
    <x v="1"/>
    <x v="2"/>
    <s v="Jacket"/>
    <n v="20"/>
    <n v="665.59"/>
    <n v="13311.8"/>
    <x v="1"/>
    <s v="New Launch"/>
    <n v="2405.54"/>
    <x v="3"/>
  </r>
  <r>
    <x v="4"/>
    <s v="2025-05-11"/>
    <x v="1"/>
    <x v="3"/>
    <x v="2"/>
    <x v="3"/>
    <s v="Chair"/>
    <n v="5"/>
    <n v="436.56"/>
    <n v="2182.8000000000002"/>
    <x v="0"/>
    <s v="Festive Offer"/>
    <n v="384.31"/>
    <x v="2"/>
  </r>
  <r>
    <x v="5"/>
    <s v="2025-05-07"/>
    <x v="3"/>
    <x v="0"/>
    <x v="3"/>
    <x v="0"/>
    <s v="Laptop"/>
    <n v="20"/>
    <n v="255.47"/>
    <n v="5109.3999999999996"/>
    <x v="2"/>
    <s v="Summer Sale"/>
    <n v="1329.45"/>
    <x v="2"/>
  </r>
  <r>
    <x v="6"/>
    <s v="2025-03-27"/>
    <x v="2"/>
    <x v="4"/>
    <x v="1"/>
    <x v="0"/>
    <s v="Chair"/>
    <n v="8"/>
    <n v="844.07"/>
    <n v="6752.56"/>
    <x v="2"/>
    <s v="New Launch"/>
    <n v="2137.19"/>
    <x v="1"/>
  </r>
  <r>
    <x v="7"/>
    <s v="2025-08-14"/>
    <x v="2"/>
    <x v="1"/>
    <x v="3"/>
    <x v="0"/>
    <s v="Shirt"/>
    <n v="12"/>
    <n v="147.06"/>
    <n v="1764.72"/>
    <x v="0"/>
    <s v="New Launch"/>
    <n v="392.66"/>
    <x v="4"/>
  </r>
  <r>
    <x v="8"/>
    <s v="2025-03-06"/>
    <x v="2"/>
    <x v="1"/>
    <x v="3"/>
    <x v="1"/>
    <s v="Chair"/>
    <n v="12"/>
    <n v="201.54"/>
    <n v="2418.48"/>
    <x v="1"/>
    <s v="Festive Offer"/>
    <n v="415.3"/>
    <x v="1"/>
  </r>
  <r>
    <x v="9"/>
    <s v="2025-09-01"/>
    <x v="2"/>
    <x v="3"/>
    <x v="3"/>
    <x v="1"/>
    <s v="Laptop"/>
    <n v="11"/>
    <n v="742.28"/>
    <n v="8165.08"/>
    <x v="0"/>
    <s v="Festive Offer"/>
    <n v="2258.25"/>
    <x v="5"/>
  </r>
  <r>
    <x v="10"/>
    <s v="2025-04-30"/>
    <x v="2"/>
    <x v="2"/>
    <x v="2"/>
    <x v="3"/>
    <s v="Jacket"/>
    <n v="9"/>
    <n v="791.66"/>
    <n v="7124.94"/>
    <x v="3"/>
    <s v="Summer Sale"/>
    <n v="1075.08"/>
    <x v="6"/>
  </r>
  <r>
    <x v="11"/>
    <s v="2025-02-12"/>
    <x v="3"/>
    <x v="0"/>
    <x v="1"/>
    <x v="2"/>
    <s v="Mouse"/>
    <n v="15"/>
    <n v="491.78"/>
    <n v="7376.7"/>
    <x v="4"/>
    <s v="Referral"/>
    <n v="2041.89"/>
    <x v="0"/>
  </r>
  <r>
    <x v="12"/>
    <s v="2025-06-13"/>
    <x v="1"/>
    <x v="5"/>
    <x v="3"/>
    <x v="1"/>
    <s v="Laptop"/>
    <n v="8"/>
    <n v="380.24"/>
    <n v="3041.92"/>
    <x v="2"/>
    <s v="Festive Offer"/>
    <n v="534.13"/>
    <x v="7"/>
  </r>
  <r>
    <x v="13"/>
    <s v="2025-09-16"/>
    <x v="2"/>
    <x v="4"/>
    <x v="2"/>
    <x v="2"/>
    <s v="Chair"/>
    <n v="11"/>
    <n v="780.2"/>
    <n v="8582.2000000000007"/>
    <x v="0"/>
    <s v="Festive Offer"/>
    <n v="2997.32"/>
    <x v="5"/>
  </r>
  <r>
    <x v="14"/>
    <s v="2025-03-22"/>
    <x v="0"/>
    <x v="6"/>
    <x v="0"/>
    <x v="1"/>
    <s v="Mouse"/>
    <n v="13"/>
    <n v="350.43"/>
    <n v="4555.59"/>
    <x v="2"/>
    <s v="Referral"/>
    <n v="700.15"/>
    <x v="1"/>
  </r>
  <r>
    <x v="15"/>
    <s v="2025-11-04"/>
    <x v="3"/>
    <x v="6"/>
    <x v="3"/>
    <x v="0"/>
    <s v="Shirt"/>
    <n v="13"/>
    <n v="38.869999999999997"/>
    <n v="505.31"/>
    <x v="3"/>
    <s v="Brand Awareness"/>
    <n v="70.75"/>
    <x v="8"/>
  </r>
  <r>
    <x v="16"/>
    <s v="2025-09-10"/>
    <x v="2"/>
    <x v="0"/>
    <x v="0"/>
    <x v="2"/>
    <s v="Jacket"/>
    <n v="14"/>
    <n v="446.06"/>
    <n v="6244.84"/>
    <x v="1"/>
    <s v="New Launch"/>
    <n v="1921.01"/>
    <x v="5"/>
  </r>
  <r>
    <x v="17"/>
    <s v="2025-07-22"/>
    <x v="2"/>
    <x v="6"/>
    <x v="1"/>
    <x v="2"/>
    <s v="Chair"/>
    <n v="18"/>
    <n v="851.94"/>
    <n v="15334.92"/>
    <x v="5"/>
    <s v="Brand Awareness"/>
    <n v="4180.41"/>
    <x v="9"/>
  </r>
  <r>
    <x v="18"/>
    <s v="2025-04-10"/>
    <x v="1"/>
    <x v="6"/>
    <x v="3"/>
    <x v="0"/>
    <s v="Table"/>
    <n v="2"/>
    <n v="779.13"/>
    <n v="1558.26"/>
    <x v="4"/>
    <s v="New Launch"/>
    <n v="215.57"/>
    <x v="6"/>
  </r>
  <r>
    <x v="19"/>
    <s v="2025-12-18"/>
    <x v="0"/>
    <x v="0"/>
    <x v="2"/>
    <x v="3"/>
    <s v="Mouse"/>
    <n v="7"/>
    <n v="81.88"/>
    <n v="573.16"/>
    <x v="0"/>
    <s v="Summer Sale"/>
    <n v="67.209999999999994"/>
    <x v="10"/>
  </r>
  <r>
    <x v="20"/>
    <s v="2025-02-07"/>
    <x v="0"/>
    <x v="4"/>
    <x v="0"/>
    <x v="0"/>
    <s v="Laptop"/>
    <n v="12"/>
    <n v="273.64"/>
    <n v="3283.68"/>
    <x v="0"/>
    <s v="Summer Sale"/>
    <n v="360.34"/>
    <x v="0"/>
  </r>
  <r>
    <x v="21"/>
    <s v="2025-06-09"/>
    <x v="0"/>
    <x v="5"/>
    <x v="0"/>
    <x v="2"/>
    <s v="Jacket"/>
    <n v="8"/>
    <n v="697.98"/>
    <n v="5583.84"/>
    <x v="0"/>
    <s v="New Launch"/>
    <n v="1553.21"/>
    <x v="7"/>
  </r>
  <r>
    <x v="22"/>
    <s v="2025-12-20"/>
    <x v="0"/>
    <x v="5"/>
    <x v="3"/>
    <x v="2"/>
    <s v="Laptop"/>
    <n v="11"/>
    <n v="546.91999999999996"/>
    <n v="6016.12"/>
    <x v="4"/>
    <s v="Summer Sale"/>
    <n v="803.63"/>
    <x v="10"/>
  </r>
  <r>
    <x v="23"/>
    <s v="2025-10-22"/>
    <x v="1"/>
    <x v="4"/>
    <x v="0"/>
    <x v="2"/>
    <s v="Headphones"/>
    <n v="5"/>
    <n v="590.83000000000004"/>
    <n v="2954.15"/>
    <x v="5"/>
    <s v="Summer Sale"/>
    <n v="1018.59"/>
    <x v="11"/>
  </r>
  <r>
    <x v="24"/>
    <s v="2025-05-22"/>
    <x v="3"/>
    <x v="5"/>
    <x v="0"/>
    <x v="0"/>
    <s v="Headphones"/>
    <n v="17"/>
    <n v="769.46"/>
    <n v="13080.82"/>
    <x v="1"/>
    <s v="Brand Awareness"/>
    <n v="3577.15"/>
    <x v="2"/>
  </r>
  <r>
    <x v="25"/>
    <s v="2025-11-01"/>
    <x v="3"/>
    <x v="6"/>
    <x v="0"/>
    <x v="2"/>
    <s v="Jacket"/>
    <n v="14"/>
    <n v="925.09"/>
    <n v="12951.26"/>
    <x v="1"/>
    <s v="Festive Offer"/>
    <n v="1706.44"/>
    <x v="8"/>
  </r>
  <r>
    <x v="26"/>
    <s v="2025-10-30"/>
    <x v="3"/>
    <x v="3"/>
    <x v="2"/>
    <x v="2"/>
    <s v="Shirt"/>
    <n v="15"/>
    <n v="465.99"/>
    <n v="6989.85"/>
    <x v="0"/>
    <s v="New Launch"/>
    <n v="1616.31"/>
    <x v="11"/>
  </r>
  <r>
    <x v="27"/>
    <s v="2025-10-23"/>
    <x v="2"/>
    <x v="6"/>
    <x v="3"/>
    <x v="1"/>
    <s v="Monitor"/>
    <n v="12"/>
    <n v="901.7"/>
    <n v="10820.4"/>
    <x v="3"/>
    <s v="Festive Offer"/>
    <n v="3277.81"/>
    <x v="11"/>
  </r>
  <r>
    <x v="28"/>
    <s v="2025-05-30"/>
    <x v="2"/>
    <x v="2"/>
    <x v="1"/>
    <x v="0"/>
    <s v="Table"/>
    <n v="11"/>
    <n v="843.63"/>
    <n v="9279.93"/>
    <x v="0"/>
    <s v="Referral"/>
    <n v="2927.9"/>
    <x v="2"/>
  </r>
  <r>
    <x v="29"/>
    <s v="2025-12-13"/>
    <x v="3"/>
    <x v="5"/>
    <x v="2"/>
    <x v="0"/>
    <s v="Monitor"/>
    <n v="2"/>
    <n v="73.22"/>
    <n v="146.44"/>
    <x v="1"/>
    <s v="Brand Awareness"/>
    <n v="45.1"/>
    <x v="10"/>
  </r>
  <r>
    <x v="30"/>
    <s v="2025-09-05"/>
    <x v="1"/>
    <x v="3"/>
    <x v="2"/>
    <x v="3"/>
    <s v="Monitor"/>
    <n v="16"/>
    <n v="486.43"/>
    <n v="7782.88"/>
    <x v="5"/>
    <s v="Referral"/>
    <n v="1317.27"/>
    <x v="5"/>
  </r>
  <r>
    <x v="31"/>
    <s v="2025-08-03"/>
    <x v="2"/>
    <x v="3"/>
    <x v="3"/>
    <x v="1"/>
    <s v="Mouse"/>
    <n v="4"/>
    <n v="105.38"/>
    <n v="421.52"/>
    <x v="4"/>
    <s v="New Launch"/>
    <n v="108.37"/>
    <x v="4"/>
  </r>
  <r>
    <x v="32"/>
    <s v="2025-10-18"/>
    <x v="1"/>
    <x v="7"/>
    <x v="3"/>
    <x v="2"/>
    <s v="Chair"/>
    <n v="3"/>
    <n v="902.86"/>
    <n v="2708.58"/>
    <x v="3"/>
    <s v="Summer Sale"/>
    <n v="339.42"/>
    <x v="11"/>
  </r>
  <r>
    <x v="33"/>
    <s v="2025-03-22"/>
    <x v="1"/>
    <x v="7"/>
    <x v="0"/>
    <x v="3"/>
    <s v="Chair"/>
    <n v="12"/>
    <n v="959.53"/>
    <n v="11514.36"/>
    <x v="5"/>
    <s v="Summer Sale"/>
    <n v="1465.63"/>
    <x v="1"/>
  </r>
  <r>
    <x v="34"/>
    <s v="2025-03-15"/>
    <x v="2"/>
    <x v="4"/>
    <x v="2"/>
    <x v="1"/>
    <s v="Table"/>
    <n v="14"/>
    <n v="157.18"/>
    <n v="2200.52"/>
    <x v="0"/>
    <s v="Brand Awareness"/>
    <n v="752.56"/>
    <x v="1"/>
  </r>
  <r>
    <x v="35"/>
    <s v="2025-07-07"/>
    <x v="1"/>
    <x v="4"/>
    <x v="2"/>
    <x v="1"/>
    <s v="Shirt"/>
    <n v="1"/>
    <n v="313.33999999999997"/>
    <n v="313.33999999999997"/>
    <x v="3"/>
    <s v="Summer Sale"/>
    <n v="80.39"/>
    <x v="9"/>
  </r>
  <r>
    <x v="36"/>
    <s v="2025-09-26"/>
    <x v="3"/>
    <x v="4"/>
    <x v="3"/>
    <x v="0"/>
    <s v="Headphones"/>
    <n v="19"/>
    <n v="126.77"/>
    <n v="2408.63"/>
    <x v="1"/>
    <s v="Summer Sale"/>
    <n v="693.85"/>
    <x v="5"/>
  </r>
  <r>
    <x v="37"/>
    <s v="2025-05-29"/>
    <x v="3"/>
    <x v="7"/>
    <x v="2"/>
    <x v="2"/>
    <s v="Jacket"/>
    <n v="6"/>
    <n v="356.45"/>
    <n v="2138.6999999999998"/>
    <x v="3"/>
    <s v="Referral"/>
    <n v="455.22"/>
    <x v="2"/>
  </r>
  <r>
    <x v="38"/>
    <s v="2025-09-13"/>
    <x v="2"/>
    <x v="5"/>
    <x v="3"/>
    <x v="3"/>
    <s v="Monitor"/>
    <n v="14"/>
    <n v="333.05"/>
    <n v="4662.7"/>
    <x v="4"/>
    <s v="Brand Awareness"/>
    <n v="1176.83"/>
    <x v="5"/>
  </r>
  <r>
    <x v="39"/>
    <s v="2025-11-21"/>
    <x v="1"/>
    <x v="7"/>
    <x v="3"/>
    <x v="1"/>
    <s v="Laptop"/>
    <n v="17"/>
    <n v="837.9"/>
    <n v="14244.3"/>
    <x v="1"/>
    <s v="Summer Sale"/>
    <n v="2029.53"/>
    <x v="8"/>
  </r>
  <r>
    <x v="40"/>
    <s v="2025-11-15"/>
    <x v="1"/>
    <x v="6"/>
    <x v="1"/>
    <x v="3"/>
    <s v="Laptop"/>
    <n v="2"/>
    <n v="841.5"/>
    <n v="1683"/>
    <x v="2"/>
    <s v="Summer Sale"/>
    <n v="184.76"/>
    <x v="8"/>
  </r>
  <r>
    <x v="41"/>
    <s v="2025-10-20"/>
    <x v="1"/>
    <x v="5"/>
    <x v="2"/>
    <x v="3"/>
    <s v="Monitor"/>
    <n v="10"/>
    <n v="499.27"/>
    <n v="4992.7"/>
    <x v="4"/>
    <s v="Festive Offer"/>
    <n v="1553.06"/>
    <x v="11"/>
  </r>
  <r>
    <x v="42"/>
    <s v="2025-09-13"/>
    <x v="2"/>
    <x v="3"/>
    <x v="2"/>
    <x v="3"/>
    <s v="Laptop"/>
    <n v="11"/>
    <n v="348.26"/>
    <n v="3830.86"/>
    <x v="2"/>
    <s v="Festive Offer"/>
    <n v="736.31"/>
    <x v="5"/>
  </r>
  <r>
    <x v="43"/>
    <s v="2025-08-19"/>
    <x v="3"/>
    <x v="3"/>
    <x v="1"/>
    <x v="2"/>
    <s v="Laptop"/>
    <n v="18"/>
    <n v="97.1"/>
    <n v="1747.8"/>
    <x v="3"/>
    <s v="Referral"/>
    <n v="537.46"/>
    <x v="4"/>
  </r>
  <r>
    <x v="44"/>
    <s v="2025-05-26"/>
    <x v="1"/>
    <x v="3"/>
    <x v="1"/>
    <x v="0"/>
    <s v="Monitor"/>
    <n v="17"/>
    <n v="636.16999999999996"/>
    <n v="10814.89"/>
    <x v="0"/>
    <s v="Brand Awareness"/>
    <n v="3086.67"/>
    <x v="2"/>
  </r>
  <r>
    <x v="45"/>
    <s v="2025-04-04"/>
    <x v="1"/>
    <x v="3"/>
    <x v="0"/>
    <x v="3"/>
    <s v="Jacket"/>
    <n v="18"/>
    <n v="345.17"/>
    <n v="6213.06"/>
    <x v="1"/>
    <s v="Brand Awareness"/>
    <n v="1780.24"/>
    <x v="6"/>
  </r>
  <r>
    <x v="46"/>
    <s v="2025-01-29"/>
    <x v="0"/>
    <x v="2"/>
    <x v="1"/>
    <x v="2"/>
    <s v="Monitor"/>
    <n v="20"/>
    <n v="367.32"/>
    <n v="7346.4"/>
    <x v="1"/>
    <s v="Brand Awareness"/>
    <n v="1709.39"/>
    <x v="12"/>
  </r>
  <r>
    <x v="47"/>
    <s v="2025-12-22"/>
    <x v="0"/>
    <x v="2"/>
    <x v="1"/>
    <x v="1"/>
    <s v="Chair"/>
    <n v="12"/>
    <n v="138.16999999999999"/>
    <n v="1658.04"/>
    <x v="0"/>
    <s v="Summer Sale"/>
    <n v="531.63"/>
    <x v="10"/>
  </r>
  <r>
    <x v="48"/>
    <s v="2025-11-24"/>
    <x v="3"/>
    <x v="2"/>
    <x v="0"/>
    <x v="2"/>
    <s v="Table"/>
    <n v="18"/>
    <n v="170"/>
    <n v="3060"/>
    <x v="1"/>
    <s v="New Launch"/>
    <n v="441.02"/>
    <x v="8"/>
  </r>
  <r>
    <x v="49"/>
    <s v="2025-05-10"/>
    <x v="1"/>
    <x v="3"/>
    <x v="3"/>
    <x v="1"/>
    <s v="Shirt"/>
    <n v="13"/>
    <n v="62.07"/>
    <n v="806.91"/>
    <x v="0"/>
    <s v="Summer Sale"/>
    <n v="208.87"/>
    <x v="2"/>
  </r>
  <r>
    <x v="50"/>
    <s v="2025-05-16"/>
    <x v="2"/>
    <x v="2"/>
    <x v="1"/>
    <x v="2"/>
    <s v="Headphones"/>
    <n v="2"/>
    <n v="95.51"/>
    <n v="191.02"/>
    <x v="1"/>
    <s v="Referral"/>
    <n v="65.819999999999993"/>
    <x v="2"/>
  </r>
  <r>
    <x v="51"/>
    <s v="2025-12-27"/>
    <x v="1"/>
    <x v="7"/>
    <x v="0"/>
    <x v="2"/>
    <s v="Mouse"/>
    <n v="20"/>
    <n v="156.83000000000001"/>
    <n v="3136.6"/>
    <x v="1"/>
    <s v="New Launch"/>
    <n v="1012.57"/>
    <x v="10"/>
  </r>
  <r>
    <x v="52"/>
    <s v="2025-03-24"/>
    <x v="1"/>
    <x v="1"/>
    <x v="0"/>
    <x v="1"/>
    <s v="Laptop"/>
    <n v="2"/>
    <n v="979.72"/>
    <n v="1959.44"/>
    <x v="0"/>
    <s v="Festive Offer"/>
    <n v="278.13"/>
    <x v="1"/>
  </r>
  <r>
    <x v="53"/>
    <s v="2025-03-11"/>
    <x v="3"/>
    <x v="2"/>
    <x v="2"/>
    <x v="2"/>
    <s v="Mouse"/>
    <n v="19"/>
    <n v="820.65"/>
    <n v="15592.35"/>
    <x v="3"/>
    <s v="Referral"/>
    <n v="2501.44"/>
    <x v="1"/>
  </r>
  <r>
    <x v="54"/>
    <s v="2025-05-24"/>
    <x v="2"/>
    <x v="3"/>
    <x v="3"/>
    <x v="1"/>
    <s v="Table"/>
    <n v="8"/>
    <n v="876.82"/>
    <n v="7014.56"/>
    <x v="5"/>
    <s v="Referral"/>
    <n v="1494.38"/>
    <x v="2"/>
  </r>
  <r>
    <x v="55"/>
    <s v="2025-10-28"/>
    <x v="2"/>
    <x v="3"/>
    <x v="3"/>
    <x v="3"/>
    <s v="Mouse"/>
    <n v="1"/>
    <n v="565.1"/>
    <n v="565.1"/>
    <x v="4"/>
    <s v="Festive Offer"/>
    <n v="74.959999999999994"/>
    <x v="11"/>
  </r>
  <r>
    <x v="56"/>
    <s v="2025-12-12"/>
    <x v="2"/>
    <x v="3"/>
    <x v="1"/>
    <x v="2"/>
    <s v="Table"/>
    <n v="16"/>
    <n v="277.27999999999997"/>
    <n v="4436.4799999999996"/>
    <x v="5"/>
    <s v="Festive Offer"/>
    <n v="653.57000000000005"/>
    <x v="10"/>
  </r>
  <r>
    <x v="57"/>
    <s v="2025-01-14"/>
    <x v="0"/>
    <x v="6"/>
    <x v="2"/>
    <x v="1"/>
    <s v="Laptop"/>
    <n v="5"/>
    <n v="945.9"/>
    <n v="4729.5"/>
    <x v="0"/>
    <s v="Summer Sale"/>
    <n v="1090.17"/>
    <x v="12"/>
  </r>
  <r>
    <x v="58"/>
    <s v="2025-04-02"/>
    <x v="3"/>
    <x v="7"/>
    <x v="0"/>
    <x v="1"/>
    <s v="Headphones"/>
    <n v="5"/>
    <n v="556.79"/>
    <n v="2783.95"/>
    <x v="4"/>
    <s v="New Launch"/>
    <n v="312.61"/>
    <x v="6"/>
  </r>
  <r>
    <x v="59"/>
    <s v="2025-12-05"/>
    <x v="3"/>
    <x v="6"/>
    <x v="2"/>
    <x v="1"/>
    <s v="Headphones"/>
    <n v="5"/>
    <n v="11.23"/>
    <n v="56.15"/>
    <x v="3"/>
    <s v="Referral"/>
    <n v="5.81"/>
    <x v="10"/>
  </r>
  <r>
    <x v="60"/>
    <s v="2025-07-28"/>
    <x v="3"/>
    <x v="2"/>
    <x v="2"/>
    <x v="1"/>
    <s v="Chair"/>
    <n v="17"/>
    <n v="166.45"/>
    <n v="2829.65"/>
    <x v="5"/>
    <s v="Festive Offer"/>
    <n v="486.47"/>
    <x v="9"/>
  </r>
  <r>
    <x v="61"/>
    <s v="2025-04-22"/>
    <x v="2"/>
    <x v="6"/>
    <x v="0"/>
    <x v="0"/>
    <s v="Mouse"/>
    <n v="1"/>
    <n v="268.43"/>
    <n v="268.43"/>
    <x v="0"/>
    <s v="Referral"/>
    <n v="74.41"/>
    <x v="6"/>
  </r>
  <r>
    <x v="62"/>
    <s v="2025-12-04"/>
    <x v="2"/>
    <x v="0"/>
    <x v="1"/>
    <x v="1"/>
    <s v="Shirt"/>
    <n v="3"/>
    <n v="510.38"/>
    <n v="1531.14"/>
    <x v="2"/>
    <s v="New Launch"/>
    <n v="180.25"/>
    <x v="10"/>
  </r>
  <r>
    <x v="63"/>
    <s v="2025-05-28"/>
    <x v="0"/>
    <x v="5"/>
    <x v="3"/>
    <x v="3"/>
    <s v="Shirt"/>
    <n v="11"/>
    <n v="182.03"/>
    <n v="2002.33"/>
    <x v="1"/>
    <s v="Brand Awareness"/>
    <n v="628.1"/>
    <x v="2"/>
  </r>
  <r>
    <x v="64"/>
    <s v="2025-09-20"/>
    <x v="2"/>
    <x v="4"/>
    <x v="0"/>
    <x v="2"/>
    <s v="Shirt"/>
    <n v="13"/>
    <n v="384.41"/>
    <n v="4997.33"/>
    <x v="5"/>
    <s v="Referral"/>
    <n v="722.71"/>
    <x v="5"/>
  </r>
  <r>
    <x v="65"/>
    <s v="2025-08-05"/>
    <x v="2"/>
    <x v="6"/>
    <x v="1"/>
    <x v="0"/>
    <s v="Table"/>
    <n v="17"/>
    <n v="188.05"/>
    <n v="3196.85"/>
    <x v="4"/>
    <s v="Referral"/>
    <n v="509.77"/>
    <x v="4"/>
  </r>
  <r>
    <x v="66"/>
    <s v="2025-08-27"/>
    <x v="3"/>
    <x v="4"/>
    <x v="0"/>
    <x v="3"/>
    <s v="Mouse"/>
    <n v="17"/>
    <n v="809.7"/>
    <n v="13764.9"/>
    <x v="4"/>
    <s v="Summer Sale"/>
    <n v="1600.02"/>
    <x v="4"/>
  </r>
  <r>
    <x v="67"/>
    <s v="2025-02-15"/>
    <x v="3"/>
    <x v="7"/>
    <x v="1"/>
    <x v="0"/>
    <s v="Laptop"/>
    <n v="18"/>
    <n v="116.8"/>
    <n v="2102.4"/>
    <x v="0"/>
    <s v="Festive Offer"/>
    <n v="670.97"/>
    <x v="0"/>
  </r>
  <r>
    <x v="68"/>
    <s v="2025-07-19"/>
    <x v="2"/>
    <x v="1"/>
    <x v="3"/>
    <x v="3"/>
    <s v="Headphones"/>
    <n v="2"/>
    <n v="861.18"/>
    <n v="1722.36"/>
    <x v="3"/>
    <s v="Festive Offer"/>
    <n v="556.44000000000005"/>
    <x v="9"/>
  </r>
  <r>
    <x v="69"/>
    <s v="2025-12-22"/>
    <x v="2"/>
    <x v="6"/>
    <x v="0"/>
    <x v="2"/>
    <s v="Chair"/>
    <n v="2"/>
    <n v="517.28"/>
    <n v="1034.56"/>
    <x v="3"/>
    <s v="Brand Awareness"/>
    <n v="254.04"/>
    <x v="10"/>
  </r>
  <r>
    <x v="70"/>
    <s v="2025-09-06"/>
    <x v="2"/>
    <x v="0"/>
    <x v="3"/>
    <x v="0"/>
    <s v="Shirt"/>
    <n v="20"/>
    <n v="752.15"/>
    <n v="15043"/>
    <x v="5"/>
    <s v="New Launch"/>
    <n v="2274.88"/>
    <x v="5"/>
  </r>
  <r>
    <x v="71"/>
    <s v="2025-07-04"/>
    <x v="2"/>
    <x v="7"/>
    <x v="3"/>
    <x v="0"/>
    <s v="Table"/>
    <n v="14"/>
    <n v="96.94"/>
    <n v="1357.16"/>
    <x v="4"/>
    <s v="Festive Offer"/>
    <n v="212.32"/>
    <x v="9"/>
  </r>
  <r>
    <x v="72"/>
    <s v="2025-04-25"/>
    <x v="1"/>
    <x v="7"/>
    <x v="1"/>
    <x v="3"/>
    <s v="Monitor"/>
    <n v="4"/>
    <n v="698.95"/>
    <n v="2795.8"/>
    <x v="1"/>
    <s v="New Launch"/>
    <n v="382.68"/>
    <x v="6"/>
  </r>
  <r>
    <x v="73"/>
    <s v="2025-02-10"/>
    <x v="2"/>
    <x v="2"/>
    <x v="2"/>
    <x v="3"/>
    <s v="Mouse"/>
    <n v="5"/>
    <n v="757.39"/>
    <n v="3786.95"/>
    <x v="0"/>
    <s v="Brand Awareness"/>
    <n v="962.69"/>
    <x v="0"/>
  </r>
  <r>
    <x v="74"/>
    <s v="2025-08-01"/>
    <x v="1"/>
    <x v="4"/>
    <x v="3"/>
    <x v="3"/>
    <s v="Table"/>
    <n v="7"/>
    <n v="300.47000000000003"/>
    <n v="2103.29"/>
    <x v="4"/>
    <s v="Referral"/>
    <n v="494.81"/>
    <x v="4"/>
  </r>
  <r>
    <x v="75"/>
    <s v="2025-08-09"/>
    <x v="1"/>
    <x v="6"/>
    <x v="2"/>
    <x v="1"/>
    <s v="Table"/>
    <n v="4"/>
    <n v="706.79"/>
    <n v="2827.16"/>
    <x v="5"/>
    <s v="New Launch"/>
    <n v="897.66"/>
    <x v="4"/>
  </r>
  <r>
    <x v="76"/>
    <s v="2025-12-14"/>
    <x v="0"/>
    <x v="5"/>
    <x v="3"/>
    <x v="2"/>
    <s v="Laptop"/>
    <n v="6"/>
    <n v="869.16"/>
    <n v="5214.96"/>
    <x v="2"/>
    <s v="Brand Awareness"/>
    <n v="937.94"/>
    <x v="10"/>
  </r>
  <r>
    <x v="77"/>
    <s v="2025-02-28"/>
    <x v="1"/>
    <x v="2"/>
    <x v="3"/>
    <x v="3"/>
    <s v="Headphones"/>
    <n v="12"/>
    <n v="878.87"/>
    <n v="10546.44"/>
    <x v="4"/>
    <s v="Referral"/>
    <n v="2969.82"/>
    <x v="0"/>
  </r>
  <r>
    <x v="78"/>
    <s v="2025-01-11"/>
    <x v="3"/>
    <x v="6"/>
    <x v="2"/>
    <x v="2"/>
    <s v="Headphones"/>
    <n v="6"/>
    <n v="544.59"/>
    <n v="3267.54"/>
    <x v="0"/>
    <s v="Referral"/>
    <n v="858.9"/>
    <x v="12"/>
  </r>
  <r>
    <x v="79"/>
    <s v="2025-12-07"/>
    <x v="1"/>
    <x v="1"/>
    <x v="0"/>
    <x v="1"/>
    <s v="Mouse"/>
    <n v="12"/>
    <n v="960.21"/>
    <n v="11522.52"/>
    <x v="2"/>
    <s v="Summer Sale"/>
    <n v="1789.05"/>
    <x v="10"/>
  </r>
  <r>
    <x v="80"/>
    <s v="2025-05-08"/>
    <x v="0"/>
    <x v="7"/>
    <x v="2"/>
    <x v="0"/>
    <s v="Table"/>
    <n v="19"/>
    <n v="700.55"/>
    <n v="13310.45"/>
    <x v="4"/>
    <s v="New Launch"/>
    <n v="2041.45"/>
    <x v="2"/>
  </r>
  <r>
    <x v="81"/>
    <s v="2025-07-03"/>
    <x v="3"/>
    <x v="4"/>
    <x v="3"/>
    <x v="2"/>
    <s v="Monitor"/>
    <n v="16"/>
    <n v="900.75"/>
    <n v="14412"/>
    <x v="4"/>
    <s v="Festive Offer"/>
    <n v="4954.96"/>
    <x v="9"/>
  </r>
  <r>
    <x v="82"/>
    <s v="2025-11-19"/>
    <x v="1"/>
    <x v="1"/>
    <x v="2"/>
    <x v="2"/>
    <s v="Headphones"/>
    <n v="2"/>
    <n v="19.88"/>
    <n v="39.76"/>
    <x v="4"/>
    <s v="Festive Offer"/>
    <n v="10.69"/>
    <x v="8"/>
  </r>
  <r>
    <x v="83"/>
    <s v="2025-01-04"/>
    <x v="1"/>
    <x v="7"/>
    <x v="3"/>
    <x v="1"/>
    <s v="Chair"/>
    <n v="4"/>
    <n v="496.75"/>
    <n v="1987"/>
    <x v="4"/>
    <s v="Referral"/>
    <n v="694.83"/>
    <x v="12"/>
  </r>
  <r>
    <x v="84"/>
    <s v="2025-11-01"/>
    <x v="1"/>
    <x v="3"/>
    <x v="3"/>
    <x v="2"/>
    <s v="Jacket"/>
    <n v="3"/>
    <n v="946.42"/>
    <n v="2839.26"/>
    <x v="3"/>
    <s v="Summer Sale"/>
    <n v="563.54999999999995"/>
    <x v="8"/>
  </r>
  <r>
    <x v="85"/>
    <s v="2025-07-21"/>
    <x v="3"/>
    <x v="7"/>
    <x v="3"/>
    <x v="0"/>
    <s v="Monitor"/>
    <n v="6"/>
    <n v="961.19"/>
    <n v="5767.14"/>
    <x v="5"/>
    <s v="Summer Sale"/>
    <n v="760.62"/>
    <x v="9"/>
  </r>
  <r>
    <x v="86"/>
    <s v="2025-06-25"/>
    <x v="3"/>
    <x v="2"/>
    <x v="0"/>
    <x v="0"/>
    <s v="Jacket"/>
    <n v="11"/>
    <n v="814.68"/>
    <n v="8961.48"/>
    <x v="4"/>
    <s v="New Launch"/>
    <n v="1806.81"/>
    <x v="7"/>
  </r>
  <r>
    <x v="87"/>
    <s v="2025-09-26"/>
    <x v="2"/>
    <x v="2"/>
    <x v="0"/>
    <x v="1"/>
    <s v="Headphones"/>
    <n v="17"/>
    <n v="568.75"/>
    <n v="9668.75"/>
    <x v="1"/>
    <s v="Referral"/>
    <n v="1599.56"/>
    <x v="5"/>
  </r>
  <r>
    <x v="88"/>
    <s v="2025-01-28"/>
    <x v="0"/>
    <x v="2"/>
    <x v="0"/>
    <x v="1"/>
    <s v="Chair"/>
    <n v="12"/>
    <n v="96.71"/>
    <n v="1160.52"/>
    <x v="1"/>
    <s v="Brand Awareness"/>
    <n v="329.74"/>
    <x v="12"/>
  </r>
  <r>
    <x v="89"/>
    <s v="2025-08-06"/>
    <x v="1"/>
    <x v="6"/>
    <x v="2"/>
    <x v="0"/>
    <s v="Monitor"/>
    <n v="9"/>
    <n v="783.55"/>
    <n v="7051.95"/>
    <x v="1"/>
    <s v="Brand Awareness"/>
    <n v="1748.69"/>
    <x v="4"/>
  </r>
  <r>
    <x v="90"/>
    <s v="2025-08-12"/>
    <x v="3"/>
    <x v="4"/>
    <x v="3"/>
    <x v="1"/>
    <s v="Shirt"/>
    <n v="20"/>
    <n v="468.64"/>
    <n v="9372.7999999999993"/>
    <x v="0"/>
    <s v="New Launch"/>
    <n v="2981.3"/>
    <x v="4"/>
  </r>
  <r>
    <x v="91"/>
    <s v="2025-06-22"/>
    <x v="3"/>
    <x v="3"/>
    <x v="3"/>
    <x v="2"/>
    <s v="Table"/>
    <n v="5"/>
    <n v="702.22"/>
    <n v="3511.1"/>
    <x v="2"/>
    <s v="Brand Awareness"/>
    <n v="957.43"/>
    <x v="7"/>
  </r>
  <r>
    <x v="92"/>
    <s v="2025-06-17"/>
    <x v="1"/>
    <x v="6"/>
    <x v="0"/>
    <x v="0"/>
    <s v="Table"/>
    <n v="2"/>
    <n v="951.71"/>
    <n v="1903.42"/>
    <x v="4"/>
    <s v="New Launch"/>
    <n v="537.85"/>
    <x v="7"/>
  </r>
  <r>
    <x v="93"/>
    <s v="2025-04-16"/>
    <x v="1"/>
    <x v="4"/>
    <x v="2"/>
    <x v="1"/>
    <s v="Chair"/>
    <n v="20"/>
    <n v="472.84"/>
    <n v="9456.7999999999993"/>
    <x v="0"/>
    <s v="Referral"/>
    <n v="2641.43"/>
    <x v="6"/>
  </r>
  <r>
    <x v="94"/>
    <s v="2025-06-28"/>
    <x v="2"/>
    <x v="2"/>
    <x v="0"/>
    <x v="1"/>
    <s v="Headphones"/>
    <n v="3"/>
    <n v="393.31"/>
    <n v="1179.93"/>
    <x v="5"/>
    <s v="New Launch"/>
    <n v="145.08000000000001"/>
    <x v="7"/>
  </r>
  <r>
    <x v="95"/>
    <s v="2025-11-29"/>
    <x v="3"/>
    <x v="0"/>
    <x v="2"/>
    <x v="3"/>
    <s v="Chair"/>
    <n v="15"/>
    <n v="493.38"/>
    <n v="7400.7"/>
    <x v="1"/>
    <s v="Summer Sale"/>
    <n v="1537.99"/>
    <x v="8"/>
  </r>
  <r>
    <x v="96"/>
    <s v="2025-03-24"/>
    <x v="2"/>
    <x v="4"/>
    <x v="2"/>
    <x v="2"/>
    <s v="Table"/>
    <n v="6"/>
    <n v="387.41"/>
    <n v="2324.46"/>
    <x v="3"/>
    <s v="Summer Sale"/>
    <n v="393.15"/>
    <x v="1"/>
  </r>
  <r>
    <x v="97"/>
    <s v="2025-03-01"/>
    <x v="0"/>
    <x v="3"/>
    <x v="1"/>
    <x v="0"/>
    <s v="Jacket"/>
    <n v="8"/>
    <n v="944.49"/>
    <n v="7555.92"/>
    <x v="2"/>
    <s v="Festive Offer"/>
    <n v="1302.81"/>
    <x v="1"/>
  </r>
  <r>
    <x v="98"/>
    <s v="2025-07-27"/>
    <x v="2"/>
    <x v="2"/>
    <x v="1"/>
    <x v="2"/>
    <s v="Monitor"/>
    <n v="9"/>
    <n v="717.69"/>
    <n v="6459.21"/>
    <x v="5"/>
    <s v="Brand Awareness"/>
    <n v="1568.57"/>
    <x v="9"/>
  </r>
  <r>
    <x v="99"/>
    <s v="2025-07-26"/>
    <x v="3"/>
    <x v="0"/>
    <x v="2"/>
    <x v="2"/>
    <s v="Jacket"/>
    <n v="8"/>
    <n v="507.97"/>
    <n v="4063.76"/>
    <x v="0"/>
    <s v="Brand Awareness"/>
    <n v="443.68"/>
    <x v="9"/>
  </r>
  <r>
    <x v="100"/>
    <s v="2025-03-15"/>
    <x v="2"/>
    <x v="7"/>
    <x v="2"/>
    <x v="2"/>
    <s v="Jacket"/>
    <n v="7"/>
    <n v="835.05"/>
    <n v="5845.35"/>
    <x v="3"/>
    <s v="New Launch"/>
    <n v="622.22"/>
    <x v="1"/>
  </r>
  <r>
    <x v="101"/>
    <s v="2025-09-06"/>
    <x v="2"/>
    <x v="1"/>
    <x v="0"/>
    <x v="1"/>
    <s v="Headphones"/>
    <n v="19"/>
    <n v="411.21"/>
    <n v="7812.99"/>
    <x v="5"/>
    <s v="Referral"/>
    <n v="1075.8"/>
    <x v="5"/>
  </r>
  <r>
    <x v="102"/>
    <s v="2025-11-20"/>
    <x v="0"/>
    <x v="4"/>
    <x v="3"/>
    <x v="2"/>
    <s v="Jacket"/>
    <n v="8"/>
    <n v="844.04"/>
    <n v="6752.32"/>
    <x v="3"/>
    <s v="Festive Offer"/>
    <n v="1024.1099999999999"/>
    <x v="8"/>
  </r>
  <r>
    <x v="103"/>
    <s v="2025-11-01"/>
    <x v="3"/>
    <x v="2"/>
    <x v="2"/>
    <x v="3"/>
    <s v="Jacket"/>
    <n v="18"/>
    <n v="654.08000000000004"/>
    <n v="11773.44"/>
    <x v="0"/>
    <s v="New Launch"/>
    <n v="3790.71"/>
    <x v="8"/>
  </r>
  <r>
    <x v="104"/>
    <s v="2026-01-01"/>
    <x v="2"/>
    <x v="1"/>
    <x v="1"/>
    <x v="3"/>
    <s v="Chair"/>
    <n v="2"/>
    <n v="344.18"/>
    <n v="688.36"/>
    <x v="2"/>
    <s v="Festive Offer"/>
    <n v="72.760000000000005"/>
    <x v="3"/>
  </r>
  <r>
    <x v="105"/>
    <s v="2025-03-12"/>
    <x v="3"/>
    <x v="5"/>
    <x v="3"/>
    <x v="1"/>
    <s v="Monitor"/>
    <n v="18"/>
    <n v="672.22"/>
    <n v="12099.96"/>
    <x v="0"/>
    <s v="Festive Offer"/>
    <n v="2625.57"/>
    <x v="1"/>
  </r>
  <r>
    <x v="106"/>
    <s v="2025-12-04"/>
    <x v="0"/>
    <x v="0"/>
    <x v="0"/>
    <x v="0"/>
    <s v="Shirt"/>
    <n v="17"/>
    <n v="573.07000000000005"/>
    <n v="9742.19"/>
    <x v="4"/>
    <s v="Referral"/>
    <n v="1794.99"/>
    <x v="10"/>
  </r>
  <r>
    <x v="107"/>
    <s v="2025-04-30"/>
    <x v="2"/>
    <x v="0"/>
    <x v="3"/>
    <x v="2"/>
    <s v="Mouse"/>
    <n v="17"/>
    <n v="600.66999999999996"/>
    <n v="10211.39"/>
    <x v="5"/>
    <s v="New Launch"/>
    <n v="2833.97"/>
    <x v="6"/>
  </r>
  <r>
    <x v="108"/>
    <s v="2025-05-28"/>
    <x v="0"/>
    <x v="4"/>
    <x v="3"/>
    <x v="1"/>
    <s v="Table"/>
    <n v="16"/>
    <n v="993.04"/>
    <n v="15888.64"/>
    <x v="4"/>
    <s v="Summer Sale"/>
    <n v="4225.91"/>
    <x v="2"/>
  </r>
  <r>
    <x v="109"/>
    <s v="2025-07-15"/>
    <x v="2"/>
    <x v="2"/>
    <x v="1"/>
    <x v="0"/>
    <s v="Headphones"/>
    <n v="16"/>
    <n v="492.17"/>
    <n v="7874.72"/>
    <x v="5"/>
    <s v="Summer Sale"/>
    <n v="895.01"/>
    <x v="9"/>
  </r>
  <r>
    <x v="110"/>
    <s v="2025-05-12"/>
    <x v="1"/>
    <x v="5"/>
    <x v="3"/>
    <x v="0"/>
    <s v="Headphones"/>
    <n v="13"/>
    <n v="835.86"/>
    <n v="10866.18"/>
    <x v="3"/>
    <s v="Referral"/>
    <n v="2842.64"/>
    <x v="2"/>
  </r>
  <r>
    <x v="111"/>
    <s v="2025-12-15"/>
    <x v="0"/>
    <x v="7"/>
    <x v="0"/>
    <x v="2"/>
    <s v="Jacket"/>
    <n v="10"/>
    <n v="420.26"/>
    <n v="4202.6000000000004"/>
    <x v="2"/>
    <s v="Brand Awareness"/>
    <n v="1181.8499999999999"/>
    <x v="10"/>
  </r>
  <r>
    <x v="112"/>
    <s v="2025-12-17"/>
    <x v="3"/>
    <x v="3"/>
    <x v="2"/>
    <x v="1"/>
    <s v="Laptop"/>
    <n v="19"/>
    <n v="780.39"/>
    <n v="14827.41"/>
    <x v="1"/>
    <s v="Referral"/>
    <n v="2750.18"/>
    <x v="10"/>
  </r>
  <r>
    <x v="113"/>
    <s v="2025-08-26"/>
    <x v="2"/>
    <x v="4"/>
    <x v="2"/>
    <x v="0"/>
    <s v="Jacket"/>
    <n v="2"/>
    <n v="436.61"/>
    <n v="873.22"/>
    <x v="0"/>
    <s v="New Launch"/>
    <n v="120.4"/>
    <x v="4"/>
  </r>
  <r>
    <x v="114"/>
    <s v="2025-06-26"/>
    <x v="0"/>
    <x v="6"/>
    <x v="0"/>
    <x v="1"/>
    <s v="Monitor"/>
    <n v="18"/>
    <n v="22.62"/>
    <n v="407.16"/>
    <x v="3"/>
    <s v="Festive Offer"/>
    <n v="67.8"/>
    <x v="7"/>
  </r>
  <r>
    <x v="115"/>
    <s v="2025-03-12"/>
    <x v="3"/>
    <x v="5"/>
    <x v="0"/>
    <x v="1"/>
    <s v="Table"/>
    <n v="13"/>
    <n v="873.17"/>
    <n v="11351.21"/>
    <x v="0"/>
    <s v="Summer Sale"/>
    <n v="3711.16"/>
    <x v="1"/>
  </r>
  <r>
    <x v="116"/>
    <s v="2025-03-03"/>
    <x v="2"/>
    <x v="6"/>
    <x v="3"/>
    <x v="0"/>
    <s v="Laptop"/>
    <n v="17"/>
    <n v="556.63"/>
    <n v="9462.7099999999991"/>
    <x v="5"/>
    <s v="Brand Awareness"/>
    <n v="2251.88"/>
    <x v="1"/>
  </r>
  <r>
    <x v="117"/>
    <s v="2025-10-26"/>
    <x v="0"/>
    <x v="2"/>
    <x v="0"/>
    <x v="3"/>
    <s v="Monitor"/>
    <n v="19"/>
    <n v="944.87"/>
    <n v="17952.53"/>
    <x v="1"/>
    <s v="Referral"/>
    <n v="4772.76"/>
    <x v="11"/>
  </r>
  <r>
    <x v="118"/>
    <s v="2025-03-05"/>
    <x v="0"/>
    <x v="3"/>
    <x v="0"/>
    <x v="1"/>
    <s v="Laptop"/>
    <n v="4"/>
    <n v="212.07"/>
    <n v="848.28"/>
    <x v="0"/>
    <s v="Referral"/>
    <n v="192.06"/>
    <x v="1"/>
  </r>
  <r>
    <x v="119"/>
    <s v="2025-08-26"/>
    <x v="3"/>
    <x v="6"/>
    <x v="3"/>
    <x v="2"/>
    <s v="Headphones"/>
    <n v="9"/>
    <n v="721.19"/>
    <n v="6490.71"/>
    <x v="0"/>
    <s v="Summer Sale"/>
    <n v="809.23"/>
    <x v="4"/>
  </r>
  <r>
    <x v="120"/>
    <s v="2025-04-23"/>
    <x v="3"/>
    <x v="7"/>
    <x v="0"/>
    <x v="2"/>
    <s v="Mouse"/>
    <n v="7"/>
    <n v="67.790000000000006"/>
    <n v="474.53"/>
    <x v="1"/>
    <s v="Referral"/>
    <n v="91.54"/>
    <x v="6"/>
  </r>
  <r>
    <x v="121"/>
    <s v="2025-09-10"/>
    <x v="2"/>
    <x v="2"/>
    <x v="3"/>
    <x v="1"/>
    <s v="Chair"/>
    <n v="8"/>
    <n v="404.09"/>
    <n v="3232.72"/>
    <x v="0"/>
    <s v="New Launch"/>
    <n v="758.83"/>
    <x v="5"/>
  </r>
  <r>
    <x v="122"/>
    <s v="2025-11-28"/>
    <x v="0"/>
    <x v="4"/>
    <x v="3"/>
    <x v="1"/>
    <s v="Chair"/>
    <n v="13"/>
    <n v="596.61"/>
    <n v="7755.93"/>
    <x v="0"/>
    <s v="Festive Offer"/>
    <n v="2693.01"/>
    <x v="8"/>
  </r>
  <r>
    <x v="123"/>
    <s v="2025-01-15"/>
    <x v="2"/>
    <x v="0"/>
    <x v="0"/>
    <x v="2"/>
    <s v="Table"/>
    <n v="5"/>
    <n v="796.27"/>
    <n v="3981.35"/>
    <x v="1"/>
    <s v="Summer Sale"/>
    <n v="921.24"/>
    <x v="12"/>
  </r>
  <r>
    <x v="124"/>
    <s v="2025-01-13"/>
    <x v="0"/>
    <x v="6"/>
    <x v="2"/>
    <x v="3"/>
    <s v="Monitor"/>
    <n v="14"/>
    <n v="745.65"/>
    <n v="10439.1"/>
    <x v="1"/>
    <s v="New Launch"/>
    <n v="3366.78"/>
    <x v="12"/>
  </r>
  <r>
    <x v="125"/>
    <s v="2025-06-22"/>
    <x v="1"/>
    <x v="7"/>
    <x v="3"/>
    <x v="2"/>
    <s v="Laptop"/>
    <n v="14"/>
    <n v="183.53"/>
    <n v="2569.42"/>
    <x v="4"/>
    <s v="Festive Offer"/>
    <n v="360.23"/>
    <x v="7"/>
  </r>
  <r>
    <x v="126"/>
    <s v="2025-06-30"/>
    <x v="3"/>
    <x v="1"/>
    <x v="3"/>
    <x v="2"/>
    <s v="Chair"/>
    <n v="8"/>
    <n v="187.3"/>
    <n v="1498.4"/>
    <x v="1"/>
    <s v="Brand Awareness"/>
    <n v="406.6"/>
    <x v="7"/>
  </r>
  <r>
    <x v="127"/>
    <s v="2025-10-24"/>
    <x v="0"/>
    <x v="2"/>
    <x v="3"/>
    <x v="2"/>
    <s v="Table"/>
    <n v="13"/>
    <n v="721.35"/>
    <n v="9377.5499999999993"/>
    <x v="3"/>
    <s v="Brand Awareness"/>
    <n v="1008.04"/>
    <x v="11"/>
  </r>
  <r>
    <x v="128"/>
    <s v="2025-10-04"/>
    <x v="2"/>
    <x v="4"/>
    <x v="1"/>
    <x v="1"/>
    <s v="Monitor"/>
    <n v="8"/>
    <n v="842.82"/>
    <n v="6742.56"/>
    <x v="0"/>
    <s v="Referral"/>
    <n v="1316.91"/>
    <x v="11"/>
  </r>
  <r>
    <x v="129"/>
    <s v="2025-10-03"/>
    <x v="3"/>
    <x v="1"/>
    <x v="2"/>
    <x v="3"/>
    <s v="Shirt"/>
    <n v="15"/>
    <n v="837.58"/>
    <n v="12563.7"/>
    <x v="4"/>
    <s v="Brand Awareness"/>
    <n v="1394.03"/>
    <x v="11"/>
  </r>
  <r>
    <x v="130"/>
    <s v="2025-01-21"/>
    <x v="0"/>
    <x v="2"/>
    <x v="3"/>
    <x v="0"/>
    <s v="Jacket"/>
    <n v="11"/>
    <n v="629.65"/>
    <n v="6926.15"/>
    <x v="2"/>
    <s v="Brand Awareness"/>
    <n v="777.67"/>
    <x v="12"/>
  </r>
  <r>
    <x v="131"/>
    <s v="2025-11-02"/>
    <x v="0"/>
    <x v="4"/>
    <x v="3"/>
    <x v="2"/>
    <s v="Monitor"/>
    <n v="15"/>
    <n v="180.03"/>
    <n v="2700.45"/>
    <x v="0"/>
    <s v="Brand Awareness"/>
    <n v="548.91999999999996"/>
    <x v="8"/>
  </r>
  <r>
    <x v="132"/>
    <s v="2025-02-11"/>
    <x v="3"/>
    <x v="5"/>
    <x v="0"/>
    <x v="2"/>
    <s v="Table"/>
    <n v="15"/>
    <n v="62.8"/>
    <n v="942"/>
    <x v="4"/>
    <s v="Festive Offer"/>
    <n v="148.16999999999999"/>
    <x v="0"/>
  </r>
  <r>
    <x v="133"/>
    <s v="2025-11-27"/>
    <x v="3"/>
    <x v="5"/>
    <x v="2"/>
    <x v="2"/>
    <s v="Headphones"/>
    <n v="2"/>
    <n v="982.61"/>
    <n v="1965.22"/>
    <x v="4"/>
    <s v="Festive Offer"/>
    <n v="654.91999999999996"/>
    <x v="8"/>
  </r>
  <r>
    <x v="134"/>
    <s v="2025-04-05"/>
    <x v="0"/>
    <x v="0"/>
    <x v="0"/>
    <x v="3"/>
    <s v="Shirt"/>
    <n v="15"/>
    <n v="401.27"/>
    <n v="6019.05"/>
    <x v="5"/>
    <s v="Brand Awareness"/>
    <n v="1675.45"/>
    <x v="6"/>
  </r>
  <r>
    <x v="135"/>
    <s v="2025-08-09"/>
    <x v="0"/>
    <x v="7"/>
    <x v="1"/>
    <x v="1"/>
    <s v="Mouse"/>
    <n v="12"/>
    <n v="476.89"/>
    <n v="5722.68"/>
    <x v="4"/>
    <s v="Festive Offer"/>
    <n v="1661.46"/>
    <x v="4"/>
  </r>
  <r>
    <x v="136"/>
    <s v="2025-01-17"/>
    <x v="3"/>
    <x v="7"/>
    <x v="2"/>
    <x v="0"/>
    <s v="Chair"/>
    <n v="4"/>
    <n v="311.98"/>
    <n v="1247.92"/>
    <x v="4"/>
    <s v="Summer Sale"/>
    <n v="296.02999999999997"/>
    <x v="12"/>
  </r>
  <r>
    <x v="137"/>
    <s v="2025-09-22"/>
    <x v="1"/>
    <x v="2"/>
    <x v="2"/>
    <x v="3"/>
    <s v="Headphones"/>
    <n v="4"/>
    <n v="40.51"/>
    <n v="162.04"/>
    <x v="3"/>
    <s v="Referral"/>
    <n v="30.18"/>
    <x v="5"/>
  </r>
  <r>
    <x v="138"/>
    <s v="2025-11-20"/>
    <x v="0"/>
    <x v="3"/>
    <x v="0"/>
    <x v="3"/>
    <s v="Table"/>
    <n v="20"/>
    <n v="257.26"/>
    <n v="5145.2"/>
    <x v="2"/>
    <s v="Brand Awareness"/>
    <n v="567.16999999999996"/>
    <x v="8"/>
  </r>
  <r>
    <x v="139"/>
    <s v="2025-03-08"/>
    <x v="0"/>
    <x v="4"/>
    <x v="2"/>
    <x v="0"/>
    <s v="Monitor"/>
    <n v="10"/>
    <n v="484.17"/>
    <n v="4841.7"/>
    <x v="2"/>
    <s v="Festive Offer"/>
    <n v="1053.8900000000001"/>
    <x v="1"/>
  </r>
  <r>
    <x v="140"/>
    <s v="2025-01-23"/>
    <x v="3"/>
    <x v="6"/>
    <x v="2"/>
    <x v="0"/>
    <s v="Mouse"/>
    <n v="18"/>
    <n v="859.29"/>
    <n v="15467.22"/>
    <x v="3"/>
    <s v="Summer Sale"/>
    <n v="2410.23"/>
    <x v="12"/>
  </r>
  <r>
    <x v="141"/>
    <s v="2025-11-03"/>
    <x v="3"/>
    <x v="6"/>
    <x v="1"/>
    <x v="3"/>
    <s v="Table"/>
    <n v="19"/>
    <n v="753.47"/>
    <n v="14315.93"/>
    <x v="2"/>
    <s v="Summer Sale"/>
    <n v="3690.75"/>
    <x v="8"/>
  </r>
  <r>
    <x v="142"/>
    <s v="2025-12-04"/>
    <x v="0"/>
    <x v="5"/>
    <x v="3"/>
    <x v="1"/>
    <s v="Table"/>
    <n v="16"/>
    <n v="406.82"/>
    <n v="6509.12"/>
    <x v="0"/>
    <s v="Referral"/>
    <n v="1369.04"/>
    <x v="10"/>
  </r>
  <r>
    <x v="143"/>
    <s v="2025-12-11"/>
    <x v="2"/>
    <x v="4"/>
    <x v="2"/>
    <x v="2"/>
    <s v="Mouse"/>
    <n v="7"/>
    <n v="210.31"/>
    <n v="1472.17"/>
    <x v="5"/>
    <s v="Brand Awareness"/>
    <n v="290.39999999999998"/>
    <x v="10"/>
  </r>
  <r>
    <x v="144"/>
    <s v="2025-06-15"/>
    <x v="3"/>
    <x v="4"/>
    <x v="3"/>
    <x v="3"/>
    <s v="Table"/>
    <n v="9"/>
    <n v="341.21"/>
    <n v="3070.89"/>
    <x v="4"/>
    <s v="Referral"/>
    <n v="568.74"/>
    <x v="7"/>
  </r>
  <r>
    <x v="145"/>
    <s v="2025-08-09"/>
    <x v="1"/>
    <x v="0"/>
    <x v="0"/>
    <x v="2"/>
    <s v="Monitor"/>
    <n v="5"/>
    <n v="520.16"/>
    <n v="2600.8000000000002"/>
    <x v="4"/>
    <s v="Summer Sale"/>
    <n v="344.08"/>
    <x v="4"/>
  </r>
  <r>
    <x v="146"/>
    <s v="2025-06-17"/>
    <x v="0"/>
    <x v="3"/>
    <x v="1"/>
    <x v="0"/>
    <s v="Chair"/>
    <n v="2"/>
    <n v="491.76"/>
    <n v="983.52"/>
    <x v="2"/>
    <s v="Festive Offer"/>
    <n v="218.67"/>
    <x v="7"/>
  </r>
  <r>
    <x v="147"/>
    <s v="2025-03-31"/>
    <x v="2"/>
    <x v="4"/>
    <x v="1"/>
    <x v="2"/>
    <s v="Chair"/>
    <n v="7"/>
    <n v="31.2"/>
    <n v="218.4"/>
    <x v="1"/>
    <s v="New Launch"/>
    <n v="39.61"/>
    <x v="1"/>
  </r>
  <r>
    <x v="148"/>
    <s v="2025-01-24"/>
    <x v="0"/>
    <x v="0"/>
    <x v="1"/>
    <x v="0"/>
    <s v="Headphones"/>
    <n v="11"/>
    <n v="43.06"/>
    <n v="473.66"/>
    <x v="2"/>
    <s v="Brand Awareness"/>
    <n v="60.68"/>
    <x v="12"/>
  </r>
  <r>
    <x v="149"/>
    <s v="2025-04-07"/>
    <x v="0"/>
    <x v="2"/>
    <x v="3"/>
    <x v="0"/>
    <s v="Chair"/>
    <n v="6"/>
    <n v="234.98"/>
    <n v="1409.88"/>
    <x v="2"/>
    <s v="New Launch"/>
    <n v="434.8"/>
    <x v="6"/>
  </r>
  <r>
    <x v="150"/>
    <s v="2025-05-17"/>
    <x v="3"/>
    <x v="4"/>
    <x v="2"/>
    <x v="0"/>
    <s v="Shirt"/>
    <n v="14"/>
    <n v="513.23"/>
    <n v="7185.22"/>
    <x v="4"/>
    <s v="Festive Offer"/>
    <n v="1616.67"/>
    <x v="2"/>
  </r>
  <r>
    <x v="151"/>
    <s v="2025-08-03"/>
    <x v="2"/>
    <x v="7"/>
    <x v="0"/>
    <x v="3"/>
    <s v="Shirt"/>
    <n v="2"/>
    <n v="831.35"/>
    <n v="1662.7"/>
    <x v="3"/>
    <s v="Summer Sale"/>
    <n v="517.62"/>
    <x v="4"/>
  </r>
  <r>
    <x v="152"/>
    <s v="2025-08-09"/>
    <x v="2"/>
    <x v="7"/>
    <x v="0"/>
    <x v="2"/>
    <s v="Chair"/>
    <n v="5"/>
    <n v="324.61"/>
    <n v="1623.05"/>
    <x v="2"/>
    <s v="Referral"/>
    <n v="466.56"/>
    <x v="4"/>
  </r>
  <r>
    <x v="153"/>
    <s v="2025-11-03"/>
    <x v="1"/>
    <x v="6"/>
    <x v="0"/>
    <x v="2"/>
    <s v="Mouse"/>
    <n v="6"/>
    <n v="439.55"/>
    <n v="2637.3"/>
    <x v="1"/>
    <s v="Summer Sale"/>
    <n v="529.72"/>
    <x v="8"/>
  </r>
  <r>
    <x v="154"/>
    <s v="2025-07-29"/>
    <x v="2"/>
    <x v="5"/>
    <x v="0"/>
    <x v="0"/>
    <s v="Chair"/>
    <n v="18"/>
    <n v="104.17"/>
    <n v="1875.06"/>
    <x v="3"/>
    <s v="Brand Awareness"/>
    <n v="335.78"/>
    <x v="9"/>
  </r>
  <r>
    <x v="155"/>
    <s v="2025-02-16"/>
    <x v="0"/>
    <x v="5"/>
    <x v="1"/>
    <x v="1"/>
    <s v="Mouse"/>
    <n v="11"/>
    <n v="465.3"/>
    <n v="5118.3"/>
    <x v="5"/>
    <s v="Festive Offer"/>
    <n v="1254.92"/>
    <x v="0"/>
  </r>
  <r>
    <x v="156"/>
    <s v="2025-01-12"/>
    <x v="0"/>
    <x v="6"/>
    <x v="3"/>
    <x v="0"/>
    <s v="Shirt"/>
    <n v="11"/>
    <n v="566.85"/>
    <n v="6235.35"/>
    <x v="0"/>
    <s v="Referral"/>
    <n v="818.01"/>
    <x v="12"/>
  </r>
  <r>
    <x v="157"/>
    <s v="2025-12-14"/>
    <x v="2"/>
    <x v="2"/>
    <x v="3"/>
    <x v="0"/>
    <s v="Laptop"/>
    <n v="13"/>
    <n v="934.92"/>
    <n v="12153.96"/>
    <x v="2"/>
    <s v="Summer Sale"/>
    <n v="3119.98"/>
    <x v="10"/>
  </r>
  <r>
    <x v="158"/>
    <s v="2025-12-22"/>
    <x v="2"/>
    <x v="7"/>
    <x v="2"/>
    <x v="0"/>
    <s v="Shirt"/>
    <n v="5"/>
    <n v="85.21"/>
    <n v="426.05"/>
    <x v="2"/>
    <s v="Brand Awareness"/>
    <n v="107.38"/>
    <x v="10"/>
  </r>
  <r>
    <x v="159"/>
    <s v="2025-06-13"/>
    <x v="1"/>
    <x v="4"/>
    <x v="2"/>
    <x v="2"/>
    <s v="Headphones"/>
    <n v="8"/>
    <n v="863.01"/>
    <n v="6904.08"/>
    <x v="4"/>
    <s v="Brand Awareness"/>
    <n v="1128.6300000000001"/>
    <x v="7"/>
  </r>
  <r>
    <x v="160"/>
    <s v="2025-10-31"/>
    <x v="2"/>
    <x v="5"/>
    <x v="3"/>
    <x v="0"/>
    <s v="Chair"/>
    <n v="15"/>
    <n v="985.72"/>
    <n v="14785.8"/>
    <x v="3"/>
    <s v="Summer Sale"/>
    <n v="1642.74"/>
    <x v="11"/>
  </r>
  <r>
    <x v="161"/>
    <s v="2025-05-14"/>
    <x v="1"/>
    <x v="4"/>
    <x v="3"/>
    <x v="3"/>
    <s v="Shirt"/>
    <n v="12"/>
    <n v="715.92"/>
    <n v="8591.0400000000009"/>
    <x v="1"/>
    <s v="Festive Offer"/>
    <n v="1424.73"/>
    <x v="2"/>
  </r>
  <r>
    <x v="162"/>
    <s v="2025-03-09"/>
    <x v="0"/>
    <x v="6"/>
    <x v="3"/>
    <x v="2"/>
    <s v="Laptop"/>
    <n v="13"/>
    <n v="89.51"/>
    <n v="1163.6300000000001"/>
    <x v="2"/>
    <s v="New Launch"/>
    <n v="130.84"/>
    <x v="1"/>
  </r>
  <r>
    <x v="163"/>
    <s v="2025-07-10"/>
    <x v="3"/>
    <x v="5"/>
    <x v="0"/>
    <x v="2"/>
    <s v="Table"/>
    <n v="18"/>
    <n v="180.94"/>
    <n v="3256.92"/>
    <x v="5"/>
    <s v="Brand Awareness"/>
    <n v="770.35"/>
    <x v="9"/>
  </r>
  <r>
    <x v="164"/>
    <s v="2025-12-14"/>
    <x v="1"/>
    <x v="7"/>
    <x v="2"/>
    <x v="3"/>
    <s v="Shirt"/>
    <n v="8"/>
    <n v="753.67"/>
    <n v="6029.36"/>
    <x v="3"/>
    <s v="Summer Sale"/>
    <n v="1197.58"/>
    <x v="10"/>
  </r>
  <r>
    <x v="165"/>
    <s v="2025-12-05"/>
    <x v="0"/>
    <x v="1"/>
    <x v="3"/>
    <x v="1"/>
    <s v="Shirt"/>
    <n v="15"/>
    <n v="260.63"/>
    <n v="3909.45"/>
    <x v="0"/>
    <s v="Brand Awareness"/>
    <n v="924.92"/>
    <x v="10"/>
  </r>
  <r>
    <x v="166"/>
    <s v="2025-03-02"/>
    <x v="3"/>
    <x v="7"/>
    <x v="0"/>
    <x v="2"/>
    <s v="Laptop"/>
    <n v="2"/>
    <n v="603.53"/>
    <n v="1207.06"/>
    <x v="0"/>
    <s v="Referral"/>
    <n v="275.33999999999997"/>
    <x v="1"/>
  </r>
  <r>
    <x v="167"/>
    <s v="2025-08-31"/>
    <x v="0"/>
    <x v="1"/>
    <x v="1"/>
    <x v="3"/>
    <s v="Mouse"/>
    <n v="12"/>
    <n v="699.83"/>
    <n v="8397.9599999999991"/>
    <x v="2"/>
    <s v="Referral"/>
    <n v="2698.22"/>
    <x v="4"/>
  </r>
  <r>
    <x v="168"/>
    <s v="2025-08-25"/>
    <x v="3"/>
    <x v="7"/>
    <x v="0"/>
    <x v="0"/>
    <s v="Headphones"/>
    <n v="14"/>
    <n v="674.59"/>
    <n v="9444.26"/>
    <x v="2"/>
    <s v="Referral"/>
    <n v="3079.28"/>
    <x v="4"/>
  </r>
  <r>
    <x v="169"/>
    <s v="2025-03-02"/>
    <x v="0"/>
    <x v="7"/>
    <x v="0"/>
    <x v="3"/>
    <s v="Laptop"/>
    <n v="10"/>
    <n v="353.85"/>
    <n v="3538.5"/>
    <x v="5"/>
    <s v="Referral"/>
    <n v="1038.81"/>
    <x v="1"/>
  </r>
  <r>
    <x v="170"/>
    <s v="2025-12-22"/>
    <x v="1"/>
    <x v="4"/>
    <x v="2"/>
    <x v="0"/>
    <s v="Shirt"/>
    <n v="12"/>
    <n v="405.12"/>
    <n v="4861.4399999999996"/>
    <x v="2"/>
    <s v="New Launch"/>
    <n v="506.34"/>
    <x v="10"/>
  </r>
  <r>
    <x v="171"/>
    <s v="2025-12-30"/>
    <x v="1"/>
    <x v="5"/>
    <x v="1"/>
    <x v="2"/>
    <s v="Laptop"/>
    <n v="11"/>
    <n v="336.05"/>
    <n v="3696.55"/>
    <x v="0"/>
    <s v="Festive Offer"/>
    <n v="397.18"/>
    <x v="10"/>
  </r>
  <r>
    <x v="172"/>
    <s v="2025-07-12"/>
    <x v="2"/>
    <x v="7"/>
    <x v="1"/>
    <x v="3"/>
    <s v="Laptop"/>
    <n v="14"/>
    <n v="838.71"/>
    <n v="11741.94"/>
    <x v="0"/>
    <s v="Referral"/>
    <n v="2407.73"/>
    <x v="9"/>
  </r>
  <r>
    <x v="173"/>
    <s v="2025-07-16"/>
    <x v="0"/>
    <x v="6"/>
    <x v="1"/>
    <x v="1"/>
    <s v="Jacket"/>
    <n v="10"/>
    <n v="624.35"/>
    <n v="6243.5"/>
    <x v="2"/>
    <s v="Referral"/>
    <n v="654.33000000000004"/>
    <x v="9"/>
  </r>
  <r>
    <x v="174"/>
    <s v="2025-07-13"/>
    <x v="3"/>
    <x v="0"/>
    <x v="2"/>
    <x v="2"/>
    <s v="Shirt"/>
    <n v="6"/>
    <n v="345.43"/>
    <n v="2072.58"/>
    <x v="0"/>
    <s v="Summer Sale"/>
    <n v="595.38"/>
    <x v="9"/>
  </r>
  <r>
    <x v="175"/>
    <s v="2025-03-06"/>
    <x v="1"/>
    <x v="4"/>
    <x v="2"/>
    <x v="1"/>
    <s v="Table"/>
    <n v="17"/>
    <n v="941.28"/>
    <n v="16001.76"/>
    <x v="3"/>
    <s v="Festive Offer"/>
    <n v="2858.02"/>
    <x v="1"/>
  </r>
  <r>
    <x v="176"/>
    <s v="2025-10-22"/>
    <x v="1"/>
    <x v="5"/>
    <x v="3"/>
    <x v="1"/>
    <s v="Laptop"/>
    <n v="17"/>
    <n v="912.27"/>
    <n v="15508.59"/>
    <x v="2"/>
    <s v="Festive Offer"/>
    <n v="4838.22"/>
    <x v="11"/>
  </r>
  <r>
    <x v="177"/>
    <s v="2025-04-23"/>
    <x v="1"/>
    <x v="5"/>
    <x v="0"/>
    <x v="1"/>
    <s v="Table"/>
    <n v="15"/>
    <n v="105.71"/>
    <n v="1585.65"/>
    <x v="2"/>
    <s v="Festive Offer"/>
    <n v="328.98"/>
    <x v="6"/>
  </r>
  <r>
    <x v="178"/>
    <s v="2025-07-01"/>
    <x v="0"/>
    <x v="1"/>
    <x v="2"/>
    <x v="0"/>
    <s v="Chair"/>
    <n v="8"/>
    <n v="649.91999999999996"/>
    <n v="5199.3599999999997"/>
    <x v="2"/>
    <s v="Summer Sale"/>
    <n v="1510.5"/>
    <x v="9"/>
  </r>
  <r>
    <x v="179"/>
    <s v="2025-09-06"/>
    <x v="2"/>
    <x v="4"/>
    <x v="3"/>
    <x v="2"/>
    <s v="Headphones"/>
    <n v="5"/>
    <n v="652.48"/>
    <n v="3262.4"/>
    <x v="4"/>
    <s v="New Launch"/>
    <n v="880.23"/>
    <x v="5"/>
  </r>
  <r>
    <x v="180"/>
    <s v="2025-06-15"/>
    <x v="3"/>
    <x v="1"/>
    <x v="1"/>
    <x v="0"/>
    <s v="Headphones"/>
    <n v="15"/>
    <n v="941.92"/>
    <n v="14128.8"/>
    <x v="4"/>
    <s v="New Launch"/>
    <n v="1755.77"/>
    <x v="7"/>
  </r>
  <r>
    <x v="181"/>
    <s v="2025-09-26"/>
    <x v="1"/>
    <x v="0"/>
    <x v="3"/>
    <x v="3"/>
    <s v="Chair"/>
    <n v="10"/>
    <n v="45.36"/>
    <n v="453.6"/>
    <x v="4"/>
    <s v="Festive Offer"/>
    <n v="154.97999999999999"/>
    <x v="5"/>
  </r>
  <r>
    <x v="182"/>
    <s v="2025-03-26"/>
    <x v="2"/>
    <x v="6"/>
    <x v="1"/>
    <x v="1"/>
    <s v="Mouse"/>
    <n v="17"/>
    <n v="239.83"/>
    <n v="4077.11"/>
    <x v="5"/>
    <s v="Festive Offer"/>
    <n v="1272.45"/>
    <x v="1"/>
  </r>
  <r>
    <x v="183"/>
    <s v="2025-05-06"/>
    <x v="1"/>
    <x v="2"/>
    <x v="3"/>
    <x v="0"/>
    <s v="Mouse"/>
    <n v="6"/>
    <n v="426.86"/>
    <n v="2561.16"/>
    <x v="5"/>
    <s v="Summer Sale"/>
    <n v="453.82"/>
    <x v="2"/>
  </r>
  <r>
    <x v="184"/>
    <s v="2025-02-27"/>
    <x v="0"/>
    <x v="2"/>
    <x v="0"/>
    <x v="0"/>
    <s v="Headphones"/>
    <n v="16"/>
    <n v="801.96"/>
    <n v="12831.36"/>
    <x v="3"/>
    <s v="Festive Offer"/>
    <n v="2825.44"/>
    <x v="0"/>
  </r>
  <r>
    <x v="185"/>
    <s v="2025-10-19"/>
    <x v="3"/>
    <x v="3"/>
    <x v="3"/>
    <x v="1"/>
    <s v="Mouse"/>
    <n v="5"/>
    <n v="118.68"/>
    <n v="593.4"/>
    <x v="2"/>
    <s v="Festive Offer"/>
    <n v="169.36"/>
    <x v="11"/>
  </r>
  <r>
    <x v="186"/>
    <s v="2025-05-21"/>
    <x v="1"/>
    <x v="1"/>
    <x v="3"/>
    <x v="3"/>
    <s v="Laptop"/>
    <n v="20"/>
    <n v="687.55"/>
    <n v="13751"/>
    <x v="0"/>
    <s v="Festive Offer"/>
    <n v="2987.04"/>
    <x v="2"/>
  </r>
  <r>
    <x v="187"/>
    <s v="2025-01-10"/>
    <x v="2"/>
    <x v="5"/>
    <x v="0"/>
    <x v="0"/>
    <s v="Monitor"/>
    <n v="18"/>
    <n v="509.01"/>
    <n v="9162.18"/>
    <x v="2"/>
    <s v="Brand Awareness"/>
    <n v="1840.74"/>
    <x v="12"/>
  </r>
  <r>
    <x v="188"/>
    <s v="2025-03-04"/>
    <x v="3"/>
    <x v="5"/>
    <x v="3"/>
    <x v="1"/>
    <s v="Monitor"/>
    <n v="7"/>
    <n v="542.76"/>
    <n v="3799.32"/>
    <x v="3"/>
    <s v="Referral"/>
    <n v="953.54"/>
    <x v="1"/>
  </r>
  <r>
    <x v="189"/>
    <s v="2025-04-16"/>
    <x v="1"/>
    <x v="4"/>
    <x v="2"/>
    <x v="2"/>
    <s v="Laptop"/>
    <n v="14"/>
    <n v="752.4"/>
    <n v="10533.6"/>
    <x v="2"/>
    <s v="Festive Offer"/>
    <n v="1212.8800000000001"/>
    <x v="6"/>
  </r>
  <r>
    <x v="190"/>
    <s v="2025-08-31"/>
    <x v="1"/>
    <x v="3"/>
    <x v="3"/>
    <x v="1"/>
    <s v="Table"/>
    <n v="20"/>
    <n v="403.28"/>
    <n v="8065.6"/>
    <x v="4"/>
    <s v="New Launch"/>
    <n v="2602.71"/>
    <x v="4"/>
  </r>
  <r>
    <x v="191"/>
    <s v="2025-03-19"/>
    <x v="2"/>
    <x v="7"/>
    <x v="3"/>
    <x v="2"/>
    <s v="Table"/>
    <n v="1"/>
    <n v="95.45"/>
    <n v="95.45"/>
    <x v="2"/>
    <s v="New Launch"/>
    <n v="20.66"/>
    <x v="1"/>
  </r>
  <r>
    <x v="192"/>
    <s v="2025-10-26"/>
    <x v="0"/>
    <x v="7"/>
    <x v="3"/>
    <x v="3"/>
    <s v="Monitor"/>
    <n v="14"/>
    <n v="849.99"/>
    <n v="11899.86"/>
    <x v="5"/>
    <s v="Festive Offer"/>
    <n v="2984.87"/>
    <x v="11"/>
  </r>
  <r>
    <x v="193"/>
    <s v="2025-04-27"/>
    <x v="3"/>
    <x v="2"/>
    <x v="3"/>
    <x v="0"/>
    <s v="Monitor"/>
    <n v="1"/>
    <n v="765.84"/>
    <n v="765.84"/>
    <x v="4"/>
    <s v="Summer Sale"/>
    <n v="102.39"/>
    <x v="6"/>
  </r>
  <r>
    <x v="194"/>
    <s v="2025-01-06"/>
    <x v="2"/>
    <x v="5"/>
    <x v="1"/>
    <x v="3"/>
    <s v="Mouse"/>
    <n v="7"/>
    <n v="173.88"/>
    <n v="1217.1600000000001"/>
    <x v="0"/>
    <s v="Referral"/>
    <n v="298.41000000000003"/>
    <x v="12"/>
  </r>
  <r>
    <x v="195"/>
    <s v="2025-07-10"/>
    <x v="0"/>
    <x v="6"/>
    <x v="2"/>
    <x v="1"/>
    <s v="Laptop"/>
    <n v="13"/>
    <n v="146.44999999999999"/>
    <n v="1903.85"/>
    <x v="5"/>
    <s v="New Launch"/>
    <n v="641.4"/>
    <x v="9"/>
  </r>
  <r>
    <x v="196"/>
    <s v="2025-07-20"/>
    <x v="0"/>
    <x v="3"/>
    <x v="0"/>
    <x v="2"/>
    <s v="Monitor"/>
    <n v="9"/>
    <n v="716.1"/>
    <n v="6444.9"/>
    <x v="4"/>
    <s v="Summer Sale"/>
    <n v="1115"/>
    <x v="9"/>
  </r>
  <r>
    <x v="197"/>
    <s v="2025-12-09"/>
    <x v="0"/>
    <x v="4"/>
    <x v="3"/>
    <x v="3"/>
    <s v="Jacket"/>
    <n v="17"/>
    <n v="117.74"/>
    <n v="2001.58"/>
    <x v="5"/>
    <s v="Festive Offer"/>
    <n v="373.37"/>
    <x v="10"/>
  </r>
  <r>
    <x v="198"/>
    <s v="2025-08-31"/>
    <x v="2"/>
    <x v="0"/>
    <x v="0"/>
    <x v="2"/>
    <s v="Headphones"/>
    <n v="5"/>
    <n v="281.62"/>
    <n v="1408.1"/>
    <x v="5"/>
    <s v="Brand Awareness"/>
    <n v="169.27"/>
    <x v="4"/>
  </r>
  <r>
    <x v="199"/>
    <s v="2025-04-13"/>
    <x v="1"/>
    <x v="0"/>
    <x v="0"/>
    <x v="2"/>
    <s v="Jacket"/>
    <n v="10"/>
    <n v="718.54"/>
    <n v="7185.4"/>
    <x v="2"/>
    <s v="Summer Sale"/>
    <n v="802.05"/>
    <x v="6"/>
  </r>
  <r>
    <x v="200"/>
    <s v="2025-04-27"/>
    <x v="0"/>
    <x v="6"/>
    <x v="3"/>
    <x v="1"/>
    <s v="Shirt"/>
    <n v="3"/>
    <n v="133.75"/>
    <n v="401.25"/>
    <x v="0"/>
    <s v="Festive Offer"/>
    <n v="94.71"/>
    <x v="6"/>
  </r>
  <r>
    <x v="201"/>
    <s v="2025-09-18"/>
    <x v="0"/>
    <x v="2"/>
    <x v="3"/>
    <x v="2"/>
    <s v="Laptop"/>
    <n v="2"/>
    <n v="240.29"/>
    <n v="480.58"/>
    <x v="3"/>
    <s v="Brand Awareness"/>
    <n v="146.44999999999999"/>
    <x v="5"/>
  </r>
  <r>
    <x v="202"/>
    <s v="2025-01-05"/>
    <x v="1"/>
    <x v="3"/>
    <x v="3"/>
    <x v="3"/>
    <s v="Shirt"/>
    <n v="7"/>
    <n v="759.14"/>
    <n v="5313.98"/>
    <x v="3"/>
    <s v="Brand Awareness"/>
    <n v="1462.37"/>
    <x v="12"/>
  </r>
  <r>
    <x v="203"/>
    <s v="2025-10-05"/>
    <x v="2"/>
    <x v="5"/>
    <x v="1"/>
    <x v="0"/>
    <s v="Headphones"/>
    <n v="14"/>
    <n v="527.96"/>
    <n v="7391.44"/>
    <x v="3"/>
    <s v="Festive Offer"/>
    <n v="1159.3699999999999"/>
    <x v="11"/>
  </r>
  <r>
    <x v="204"/>
    <s v="2025-10-04"/>
    <x v="3"/>
    <x v="0"/>
    <x v="0"/>
    <x v="1"/>
    <s v="Jacket"/>
    <n v="5"/>
    <n v="111.41"/>
    <n v="557.04999999999995"/>
    <x v="5"/>
    <s v="Summer Sale"/>
    <n v="104.59"/>
    <x v="11"/>
  </r>
  <r>
    <x v="205"/>
    <s v="2025-05-01"/>
    <x v="3"/>
    <x v="3"/>
    <x v="0"/>
    <x v="0"/>
    <s v="Chair"/>
    <n v="19"/>
    <n v="73.290000000000006"/>
    <n v="1392.51"/>
    <x v="3"/>
    <s v="Festive Offer"/>
    <n v="238.23"/>
    <x v="2"/>
  </r>
  <r>
    <x v="206"/>
    <s v="2025-10-29"/>
    <x v="2"/>
    <x v="3"/>
    <x v="1"/>
    <x v="1"/>
    <s v="Monitor"/>
    <n v="4"/>
    <n v="591.9"/>
    <n v="2367.6"/>
    <x v="4"/>
    <s v="Festive Offer"/>
    <n v="381.84"/>
    <x v="11"/>
  </r>
  <r>
    <x v="207"/>
    <s v="2025-06-09"/>
    <x v="3"/>
    <x v="5"/>
    <x v="2"/>
    <x v="3"/>
    <s v="Headphones"/>
    <n v="5"/>
    <n v="680.64"/>
    <n v="3403.2"/>
    <x v="1"/>
    <s v="Summer Sale"/>
    <n v="397.85"/>
    <x v="7"/>
  </r>
  <r>
    <x v="208"/>
    <s v="2025-08-08"/>
    <x v="3"/>
    <x v="2"/>
    <x v="2"/>
    <x v="1"/>
    <s v="Mouse"/>
    <n v="3"/>
    <n v="293.69"/>
    <n v="881.07"/>
    <x v="4"/>
    <s v="Brand Awareness"/>
    <n v="166.31"/>
    <x v="4"/>
  </r>
  <r>
    <x v="209"/>
    <s v="2025-05-29"/>
    <x v="3"/>
    <x v="0"/>
    <x v="2"/>
    <x v="1"/>
    <s v="Headphones"/>
    <n v="12"/>
    <n v="618.46"/>
    <n v="7421.52"/>
    <x v="2"/>
    <s v="Referral"/>
    <n v="2294.73"/>
    <x v="2"/>
  </r>
  <r>
    <x v="210"/>
    <s v="2025-02-15"/>
    <x v="2"/>
    <x v="4"/>
    <x v="1"/>
    <x v="3"/>
    <s v="Monitor"/>
    <n v="20"/>
    <n v="862.45"/>
    <n v="17249"/>
    <x v="4"/>
    <s v="Festive Offer"/>
    <n v="4781.51"/>
    <x v="0"/>
  </r>
  <r>
    <x v="211"/>
    <s v="2025-04-25"/>
    <x v="3"/>
    <x v="2"/>
    <x v="3"/>
    <x v="0"/>
    <s v="Mouse"/>
    <n v="13"/>
    <n v="975.23"/>
    <n v="12677.99"/>
    <x v="1"/>
    <s v="New Launch"/>
    <n v="4199.1899999999996"/>
    <x v="6"/>
  </r>
  <r>
    <x v="212"/>
    <s v="2025-02-14"/>
    <x v="2"/>
    <x v="7"/>
    <x v="3"/>
    <x v="3"/>
    <s v="Headphones"/>
    <n v="4"/>
    <n v="488.69"/>
    <n v="1954.76"/>
    <x v="1"/>
    <s v="Summer Sale"/>
    <n v="624.08000000000004"/>
    <x v="0"/>
  </r>
  <r>
    <x v="213"/>
    <s v="2025-09-17"/>
    <x v="1"/>
    <x v="5"/>
    <x v="0"/>
    <x v="0"/>
    <s v="Mouse"/>
    <n v="10"/>
    <n v="568.20000000000005"/>
    <n v="5682"/>
    <x v="1"/>
    <s v="New Launch"/>
    <n v="1028.8599999999999"/>
    <x v="5"/>
  </r>
  <r>
    <x v="214"/>
    <s v="2025-12-25"/>
    <x v="0"/>
    <x v="4"/>
    <x v="0"/>
    <x v="0"/>
    <s v="Mouse"/>
    <n v="7"/>
    <n v="750.17"/>
    <n v="5251.19"/>
    <x v="4"/>
    <s v="Referral"/>
    <n v="1330.03"/>
    <x v="10"/>
  </r>
  <r>
    <x v="215"/>
    <s v="2025-09-27"/>
    <x v="1"/>
    <x v="3"/>
    <x v="1"/>
    <x v="0"/>
    <s v="Headphones"/>
    <n v="11"/>
    <n v="193.48"/>
    <n v="2128.2800000000002"/>
    <x v="2"/>
    <s v="Summer Sale"/>
    <n v="374.99"/>
    <x v="5"/>
  </r>
  <r>
    <x v="216"/>
    <s v="2025-12-05"/>
    <x v="0"/>
    <x v="0"/>
    <x v="1"/>
    <x v="2"/>
    <s v="Jacket"/>
    <n v="3"/>
    <n v="42.82"/>
    <n v="128.46"/>
    <x v="5"/>
    <s v="Referral"/>
    <n v="32.119999999999997"/>
    <x v="10"/>
  </r>
  <r>
    <x v="217"/>
    <s v="2025-05-05"/>
    <x v="1"/>
    <x v="0"/>
    <x v="0"/>
    <x v="1"/>
    <s v="Chair"/>
    <n v="17"/>
    <n v="339.82"/>
    <n v="5776.94"/>
    <x v="4"/>
    <s v="Festive Offer"/>
    <n v="1146.6099999999999"/>
    <x v="2"/>
  </r>
  <r>
    <x v="218"/>
    <s v="2025-11-07"/>
    <x v="3"/>
    <x v="0"/>
    <x v="1"/>
    <x v="1"/>
    <s v="Chair"/>
    <n v="8"/>
    <n v="558.09"/>
    <n v="4464.72"/>
    <x v="5"/>
    <s v="Summer Sale"/>
    <n v="966.66"/>
    <x v="8"/>
  </r>
  <r>
    <x v="219"/>
    <s v="2025-01-05"/>
    <x v="2"/>
    <x v="1"/>
    <x v="0"/>
    <x v="1"/>
    <s v="Mouse"/>
    <n v="15"/>
    <n v="498.33"/>
    <n v="7474.95"/>
    <x v="3"/>
    <s v="Festive Offer"/>
    <n v="1572.84"/>
    <x v="12"/>
  </r>
  <r>
    <x v="220"/>
    <s v="2025-02-27"/>
    <x v="3"/>
    <x v="3"/>
    <x v="1"/>
    <x v="2"/>
    <s v="Laptop"/>
    <n v="3"/>
    <n v="121.4"/>
    <n v="364.2"/>
    <x v="5"/>
    <s v="Summer Sale"/>
    <n v="108.8"/>
    <x v="0"/>
  </r>
  <r>
    <x v="221"/>
    <s v="2025-11-08"/>
    <x v="1"/>
    <x v="4"/>
    <x v="0"/>
    <x v="1"/>
    <s v="Monitor"/>
    <n v="14"/>
    <n v="623.85"/>
    <n v="8733.9"/>
    <x v="0"/>
    <s v="Referral"/>
    <n v="1172.07"/>
    <x v="8"/>
  </r>
  <r>
    <x v="222"/>
    <s v="2025-04-03"/>
    <x v="2"/>
    <x v="6"/>
    <x v="0"/>
    <x v="2"/>
    <s v="Headphones"/>
    <n v="6"/>
    <n v="320.18"/>
    <n v="1921.08"/>
    <x v="0"/>
    <s v="Summer Sale"/>
    <n v="415.76"/>
    <x v="6"/>
  </r>
  <r>
    <x v="223"/>
    <s v="2025-04-20"/>
    <x v="2"/>
    <x v="5"/>
    <x v="0"/>
    <x v="0"/>
    <s v="Mouse"/>
    <n v="7"/>
    <n v="117.93"/>
    <n v="825.51"/>
    <x v="2"/>
    <s v="Festive Offer"/>
    <n v="113.67"/>
    <x v="6"/>
  </r>
  <r>
    <x v="224"/>
    <s v="2025-12-08"/>
    <x v="0"/>
    <x v="4"/>
    <x v="0"/>
    <x v="3"/>
    <s v="Headphones"/>
    <n v="5"/>
    <n v="312.83999999999997"/>
    <n v="1564.2"/>
    <x v="5"/>
    <s v="Brand Awareness"/>
    <n v="203.44"/>
    <x v="10"/>
  </r>
  <r>
    <x v="225"/>
    <s v="2025-12-31"/>
    <x v="2"/>
    <x v="2"/>
    <x v="1"/>
    <x v="0"/>
    <s v="Headphones"/>
    <n v="1"/>
    <n v="202"/>
    <n v="202"/>
    <x v="3"/>
    <s v="Brand Awareness"/>
    <n v="49.18"/>
    <x v="10"/>
  </r>
  <r>
    <x v="226"/>
    <s v="2025-09-23"/>
    <x v="0"/>
    <x v="0"/>
    <x v="3"/>
    <x v="3"/>
    <s v="Mouse"/>
    <n v="11"/>
    <n v="369.73"/>
    <n v="4067.03"/>
    <x v="4"/>
    <s v="Summer Sale"/>
    <n v="697.36"/>
    <x v="5"/>
  </r>
  <r>
    <x v="227"/>
    <s v="2025-03-03"/>
    <x v="3"/>
    <x v="1"/>
    <x v="3"/>
    <x v="0"/>
    <s v="Shirt"/>
    <n v="8"/>
    <n v="278.55"/>
    <n v="2228.4"/>
    <x v="4"/>
    <s v="Brand Awareness"/>
    <n v="279.55"/>
    <x v="1"/>
  </r>
  <r>
    <x v="228"/>
    <s v="2025-05-17"/>
    <x v="3"/>
    <x v="2"/>
    <x v="3"/>
    <x v="0"/>
    <s v="Shirt"/>
    <n v="6"/>
    <n v="132.76"/>
    <n v="796.56"/>
    <x v="5"/>
    <s v="New Launch"/>
    <n v="196.36"/>
    <x v="2"/>
  </r>
  <r>
    <x v="229"/>
    <s v="2025-11-23"/>
    <x v="2"/>
    <x v="0"/>
    <x v="3"/>
    <x v="0"/>
    <s v="Table"/>
    <n v="8"/>
    <n v="688.09"/>
    <n v="5504.72"/>
    <x v="1"/>
    <s v="Referral"/>
    <n v="1199.94"/>
    <x v="8"/>
  </r>
  <r>
    <x v="230"/>
    <s v="2025-01-19"/>
    <x v="2"/>
    <x v="6"/>
    <x v="1"/>
    <x v="1"/>
    <s v="Headphones"/>
    <n v="19"/>
    <n v="742.68"/>
    <n v="14110.92"/>
    <x v="4"/>
    <s v="Referral"/>
    <n v="1475.21"/>
    <x v="12"/>
  </r>
  <r>
    <x v="231"/>
    <s v="2025-12-11"/>
    <x v="1"/>
    <x v="5"/>
    <x v="0"/>
    <x v="1"/>
    <s v="Jacket"/>
    <n v="17"/>
    <n v="415.5"/>
    <n v="7063.5"/>
    <x v="5"/>
    <s v="Brand Awareness"/>
    <n v="1108.05"/>
    <x v="10"/>
  </r>
  <r>
    <x v="232"/>
    <s v="2025-10-18"/>
    <x v="3"/>
    <x v="6"/>
    <x v="0"/>
    <x v="2"/>
    <s v="Chair"/>
    <n v="16"/>
    <n v="94.45"/>
    <n v="1511.2"/>
    <x v="3"/>
    <s v="Festive Offer"/>
    <n v="317.77"/>
    <x v="11"/>
  </r>
  <r>
    <x v="233"/>
    <s v="2025-11-06"/>
    <x v="3"/>
    <x v="7"/>
    <x v="1"/>
    <x v="1"/>
    <s v="Laptop"/>
    <n v="10"/>
    <n v="424.56"/>
    <n v="4245.6000000000004"/>
    <x v="0"/>
    <s v="Referral"/>
    <n v="827.88"/>
    <x v="8"/>
  </r>
  <r>
    <x v="234"/>
    <s v="2025-06-01"/>
    <x v="3"/>
    <x v="2"/>
    <x v="3"/>
    <x v="0"/>
    <s v="Monitor"/>
    <n v="5"/>
    <n v="882.88"/>
    <n v="4414.3999999999996"/>
    <x v="5"/>
    <s v="Referral"/>
    <n v="878.53"/>
    <x v="7"/>
  </r>
  <r>
    <x v="235"/>
    <s v="2025-07-10"/>
    <x v="1"/>
    <x v="3"/>
    <x v="1"/>
    <x v="3"/>
    <s v="Table"/>
    <n v="15"/>
    <n v="761.02"/>
    <n v="11415.3"/>
    <x v="2"/>
    <s v="Brand Awareness"/>
    <n v="3121.82"/>
    <x v="9"/>
  </r>
  <r>
    <x v="236"/>
    <s v="2025-04-24"/>
    <x v="2"/>
    <x v="4"/>
    <x v="3"/>
    <x v="3"/>
    <s v="Table"/>
    <n v="1"/>
    <n v="415.84"/>
    <n v="415.84"/>
    <x v="1"/>
    <s v="Festive Offer"/>
    <n v="93.6"/>
    <x v="6"/>
  </r>
  <r>
    <x v="237"/>
    <s v="2025-05-13"/>
    <x v="3"/>
    <x v="2"/>
    <x v="1"/>
    <x v="2"/>
    <s v="Headphones"/>
    <n v="15"/>
    <n v="572.67999999999995"/>
    <n v="8590.2000000000007"/>
    <x v="0"/>
    <s v="Summer Sale"/>
    <n v="1387.65"/>
    <x v="2"/>
  </r>
  <r>
    <x v="238"/>
    <s v="2025-05-10"/>
    <x v="2"/>
    <x v="2"/>
    <x v="2"/>
    <x v="1"/>
    <s v="Monitor"/>
    <n v="7"/>
    <n v="946.22"/>
    <n v="6623.54"/>
    <x v="1"/>
    <s v="Festive Offer"/>
    <n v="1343.37"/>
    <x v="2"/>
  </r>
  <r>
    <x v="239"/>
    <s v="2025-11-25"/>
    <x v="0"/>
    <x v="7"/>
    <x v="3"/>
    <x v="3"/>
    <s v="Shirt"/>
    <n v="8"/>
    <n v="462.64"/>
    <n v="3701.12"/>
    <x v="3"/>
    <s v="Festive Offer"/>
    <n v="840.92"/>
    <x v="8"/>
  </r>
  <r>
    <x v="240"/>
    <s v="2025-12-25"/>
    <x v="0"/>
    <x v="0"/>
    <x v="3"/>
    <x v="1"/>
    <s v="Mouse"/>
    <n v="11"/>
    <n v="81.5"/>
    <n v="896.5"/>
    <x v="3"/>
    <s v="Brand Awareness"/>
    <n v="217.72"/>
    <x v="10"/>
  </r>
  <r>
    <x v="241"/>
    <s v="2025-03-28"/>
    <x v="1"/>
    <x v="6"/>
    <x v="0"/>
    <x v="0"/>
    <s v="Table"/>
    <n v="14"/>
    <n v="322.56"/>
    <n v="4515.84"/>
    <x v="2"/>
    <s v="Brand Awareness"/>
    <n v="985.43"/>
    <x v="1"/>
  </r>
  <r>
    <x v="242"/>
    <s v="2025-01-08"/>
    <x v="1"/>
    <x v="7"/>
    <x v="1"/>
    <x v="0"/>
    <s v="Monitor"/>
    <n v="7"/>
    <n v="483.65"/>
    <n v="3385.55"/>
    <x v="3"/>
    <s v="Referral"/>
    <n v="772.61"/>
    <x v="12"/>
  </r>
  <r>
    <x v="243"/>
    <s v="2025-04-15"/>
    <x v="3"/>
    <x v="7"/>
    <x v="1"/>
    <x v="0"/>
    <s v="Chair"/>
    <n v="3"/>
    <n v="57.69"/>
    <n v="173.07"/>
    <x v="5"/>
    <s v="Festive Offer"/>
    <n v="24.35"/>
    <x v="6"/>
  </r>
  <r>
    <x v="244"/>
    <s v="2025-06-18"/>
    <x v="0"/>
    <x v="0"/>
    <x v="2"/>
    <x v="1"/>
    <s v="Headphones"/>
    <n v="18"/>
    <n v="410.35"/>
    <n v="7386.3"/>
    <x v="4"/>
    <s v="Referral"/>
    <n v="914.57"/>
    <x v="7"/>
  </r>
  <r>
    <x v="245"/>
    <s v="2025-08-08"/>
    <x v="3"/>
    <x v="1"/>
    <x v="1"/>
    <x v="0"/>
    <s v="Headphones"/>
    <n v="9"/>
    <n v="115.21"/>
    <n v="1036.8900000000001"/>
    <x v="2"/>
    <s v="Summer Sale"/>
    <n v="344.59"/>
    <x v="4"/>
  </r>
  <r>
    <x v="246"/>
    <s v="2025-12-19"/>
    <x v="0"/>
    <x v="2"/>
    <x v="3"/>
    <x v="2"/>
    <s v="Mouse"/>
    <n v="20"/>
    <n v="371.69"/>
    <n v="7433.8"/>
    <x v="4"/>
    <s v="New Launch"/>
    <n v="2532.9299999999998"/>
    <x v="10"/>
  </r>
  <r>
    <x v="247"/>
    <s v="2025-11-29"/>
    <x v="0"/>
    <x v="0"/>
    <x v="0"/>
    <x v="0"/>
    <s v="Headphones"/>
    <n v="16"/>
    <n v="178.33"/>
    <n v="2853.28"/>
    <x v="0"/>
    <s v="Referral"/>
    <n v="367.73"/>
    <x v="8"/>
  </r>
  <r>
    <x v="248"/>
    <s v="2025-08-29"/>
    <x v="3"/>
    <x v="2"/>
    <x v="0"/>
    <x v="2"/>
    <s v="Jacket"/>
    <n v="12"/>
    <n v="404.32"/>
    <n v="4851.84"/>
    <x v="2"/>
    <s v="Festive Offer"/>
    <n v="1269.0899999999999"/>
    <x v="4"/>
  </r>
  <r>
    <x v="249"/>
    <s v="2025-07-01"/>
    <x v="1"/>
    <x v="0"/>
    <x v="0"/>
    <x v="1"/>
    <s v="Laptop"/>
    <n v="11"/>
    <n v="591.03"/>
    <n v="6501.33"/>
    <x v="4"/>
    <s v="Brand Awareness"/>
    <n v="1784.81"/>
    <x v="9"/>
  </r>
  <r>
    <x v="250"/>
    <s v="2025-01-31"/>
    <x v="0"/>
    <x v="7"/>
    <x v="1"/>
    <x v="1"/>
    <s v="Table"/>
    <n v="17"/>
    <n v="381.18"/>
    <n v="6480.06"/>
    <x v="4"/>
    <s v="New Launch"/>
    <n v="1190.52"/>
    <x v="12"/>
  </r>
  <r>
    <x v="251"/>
    <s v="2025-05-11"/>
    <x v="1"/>
    <x v="2"/>
    <x v="0"/>
    <x v="2"/>
    <s v="Laptop"/>
    <n v="16"/>
    <n v="917.43"/>
    <n v="14678.88"/>
    <x v="0"/>
    <s v="New Launch"/>
    <n v="3177.13"/>
    <x v="2"/>
  </r>
  <r>
    <x v="252"/>
    <s v="2025-02-20"/>
    <x v="0"/>
    <x v="2"/>
    <x v="0"/>
    <x v="0"/>
    <s v="Monitor"/>
    <n v="12"/>
    <n v="806.49"/>
    <n v="9677.8799999999992"/>
    <x v="3"/>
    <s v="Referral"/>
    <n v="1870.59"/>
    <x v="0"/>
  </r>
  <r>
    <x v="253"/>
    <s v="2025-04-30"/>
    <x v="0"/>
    <x v="3"/>
    <x v="0"/>
    <x v="0"/>
    <s v="Laptop"/>
    <n v="20"/>
    <n v="543.28"/>
    <n v="10865.6"/>
    <x v="5"/>
    <s v="Summer Sale"/>
    <n v="3626.43"/>
    <x v="6"/>
  </r>
  <r>
    <x v="254"/>
    <s v="2025-05-22"/>
    <x v="3"/>
    <x v="7"/>
    <x v="1"/>
    <x v="1"/>
    <s v="Mouse"/>
    <n v="13"/>
    <n v="151.41999999999999"/>
    <n v="1968.46"/>
    <x v="1"/>
    <s v="Referral"/>
    <n v="226.31"/>
    <x v="2"/>
  </r>
  <r>
    <x v="255"/>
    <s v="2025-11-07"/>
    <x v="2"/>
    <x v="5"/>
    <x v="3"/>
    <x v="2"/>
    <s v="Chair"/>
    <n v="4"/>
    <n v="816.17"/>
    <n v="3264.68"/>
    <x v="1"/>
    <s v="New Launch"/>
    <n v="1071.96"/>
    <x v="8"/>
  </r>
  <r>
    <x v="256"/>
    <s v="2025-10-30"/>
    <x v="0"/>
    <x v="0"/>
    <x v="1"/>
    <x v="3"/>
    <s v="Monitor"/>
    <n v="2"/>
    <n v="257.04000000000002"/>
    <n v="514.08000000000004"/>
    <x v="0"/>
    <s v="New Launch"/>
    <n v="170.65"/>
    <x v="11"/>
  </r>
  <r>
    <x v="257"/>
    <s v="2025-05-06"/>
    <x v="0"/>
    <x v="2"/>
    <x v="1"/>
    <x v="3"/>
    <s v="Monitor"/>
    <n v="1"/>
    <n v="971.62"/>
    <n v="971.62"/>
    <x v="1"/>
    <s v="Referral"/>
    <n v="241.17"/>
    <x v="2"/>
  </r>
  <r>
    <x v="258"/>
    <s v="2025-06-25"/>
    <x v="1"/>
    <x v="3"/>
    <x v="0"/>
    <x v="1"/>
    <s v="Mouse"/>
    <n v="13"/>
    <n v="638.41"/>
    <n v="8299.33"/>
    <x v="0"/>
    <s v="Summer Sale"/>
    <n v="2369.21"/>
    <x v="7"/>
  </r>
  <r>
    <x v="259"/>
    <s v="2025-06-10"/>
    <x v="1"/>
    <x v="6"/>
    <x v="1"/>
    <x v="1"/>
    <s v="Jacket"/>
    <n v="2"/>
    <n v="223.31"/>
    <n v="446.62"/>
    <x v="0"/>
    <s v="Summer Sale"/>
    <n v="111.2"/>
    <x v="7"/>
  </r>
  <r>
    <x v="260"/>
    <s v="2025-07-30"/>
    <x v="0"/>
    <x v="1"/>
    <x v="0"/>
    <x v="2"/>
    <s v="Jacket"/>
    <n v="6"/>
    <n v="330.95"/>
    <n v="1985.7"/>
    <x v="5"/>
    <s v="Brand Awareness"/>
    <n v="320.87"/>
    <x v="9"/>
  </r>
  <r>
    <x v="261"/>
    <s v="2025-01-03"/>
    <x v="1"/>
    <x v="6"/>
    <x v="0"/>
    <x v="0"/>
    <s v="Headphones"/>
    <n v="19"/>
    <n v="846.42"/>
    <n v="16081.98"/>
    <x v="5"/>
    <s v="Summer Sale"/>
    <n v="3119.49"/>
    <x v="12"/>
  </r>
  <r>
    <x v="262"/>
    <s v="2025-09-25"/>
    <x v="0"/>
    <x v="7"/>
    <x v="2"/>
    <x v="1"/>
    <s v="Headphones"/>
    <n v="18"/>
    <n v="80.09"/>
    <n v="1441.62"/>
    <x v="2"/>
    <s v="Brand Awareness"/>
    <n v="200.35"/>
    <x v="5"/>
  </r>
  <r>
    <x v="263"/>
    <s v="2025-09-27"/>
    <x v="2"/>
    <x v="4"/>
    <x v="0"/>
    <x v="0"/>
    <s v="Mouse"/>
    <n v="6"/>
    <n v="132.4"/>
    <n v="794.4"/>
    <x v="4"/>
    <s v="Referral"/>
    <n v="195.5"/>
    <x v="5"/>
  </r>
  <r>
    <x v="264"/>
    <s v="2025-12-14"/>
    <x v="2"/>
    <x v="7"/>
    <x v="2"/>
    <x v="3"/>
    <s v="Table"/>
    <n v="18"/>
    <n v="404.53"/>
    <n v="7281.54"/>
    <x v="5"/>
    <s v="New Launch"/>
    <n v="1480.32"/>
    <x v="10"/>
  </r>
  <r>
    <x v="265"/>
    <s v="2025-12-08"/>
    <x v="0"/>
    <x v="2"/>
    <x v="1"/>
    <x v="3"/>
    <s v="Monitor"/>
    <n v="19"/>
    <n v="332.49"/>
    <n v="6317.31"/>
    <x v="3"/>
    <s v="Summer Sale"/>
    <n v="2039.39"/>
    <x v="10"/>
  </r>
  <r>
    <x v="266"/>
    <s v="2025-05-29"/>
    <x v="2"/>
    <x v="7"/>
    <x v="2"/>
    <x v="3"/>
    <s v="Headphones"/>
    <n v="18"/>
    <n v="634.17999999999995"/>
    <n v="11415.24"/>
    <x v="0"/>
    <s v="Brand Awareness"/>
    <n v="1849.79"/>
    <x v="2"/>
  </r>
  <r>
    <x v="267"/>
    <s v="2025-01-28"/>
    <x v="2"/>
    <x v="4"/>
    <x v="3"/>
    <x v="1"/>
    <s v="Monitor"/>
    <n v="1"/>
    <n v="567.76"/>
    <n v="567.76"/>
    <x v="4"/>
    <s v="Brand Awareness"/>
    <n v="164.03"/>
    <x v="12"/>
  </r>
  <r>
    <x v="268"/>
    <s v="2025-11-07"/>
    <x v="3"/>
    <x v="6"/>
    <x v="2"/>
    <x v="2"/>
    <s v="Shirt"/>
    <n v="17"/>
    <n v="796.91"/>
    <n v="13547.47"/>
    <x v="1"/>
    <s v="Brand Awareness"/>
    <n v="2413.08"/>
    <x v="8"/>
  </r>
  <r>
    <x v="269"/>
    <s v="2025-07-19"/>
    <x v="1"/>
    <x v="4"/>
    <x v="3"/>
    <x v="3"/>
    <s v="Table"/>
    <n v="5"/>
    <n v="798.54"/>
    <n v="3992.7"/>
    <x v="4"/>
    <s v="Summer Sale"/>
    <n v="1206.6500000000001"/>
    <x v="9"/>
  </r>
  <r>
    <x v="270"/>
    <s v="2025-12-12"/>
    <x v="0"/>
    <x v="3"/>
    <x v="3"/>
    <x v="3"/>
    <s v="Monitor"/>
    <n v="12"/>
    <n v="724.81"/>
    <n v="8697.7199999999993"/>
    <x v="2"/>
    <s v="Festive Offer"/>
    <n v="2841.03"/>
    <x v="10"/>
  </r>
  <r>
    <x v="271"/>
    <s v="2025-11-25"/>
    <x v="2"/>
    <x v="1"/>
    <x v="0"/>
    <x v="2"/>
    <s v="Chair"/>
    <n v="19"/>
    <n v="584.99"/>
    <n v="11114.81"/>
    <x v="3"/>
    <s v="Referral"/>
    <n v="1410.55"/>
    <x v="8"/>
  </r>
  <r>
    <x v="272"/>
    <s v="2025-07-04"/>
    <x v="1"/>
    <x v="3"/>
    <x v="2"/>
    <x v="2"/>
    <s v="Laptop"/>
    <n v="12"/>
    <n v="674.14"/>
    <n v="8089.68"/>
    <x v="4"/>
    <s v="Referral"/>
    <n v="1618.99"/>
    <x v="9"/>
  </r>
  <r>
    <x v="273"/>
    <s v="2025-11-16"/>
    <x v="1"/>
    <x v="1"/>
    <x v="2"/>
    <x v="0"/>
    <s v="Mouse"/>
    <n v="12"/>
    <n v="214.37"/>
    <n v="2572.44"/>
    <x v="1"/>
    <s v="Brand Awareness"/>
    <n v="565.44000000000005"/>
    <x v="8"/>
  </r>
  <r>
    <x v="274"/>
    <s v="2025-01-27"/>
    <x v="1"/>
    <x v="6"/>
    <x v="0"/>
    <x v="1"/>
    <s v="Table"/>
    <n v="14"/>
    <n v="99.04"/>
    <n v="1386.56"/>
    <x v="5"/>
    <s v="Brand Awareness"/>
    <n v="349.28"/>
    <x v="12"/>
  </r>
  <r>
    <x v="275"/>
    <s v="2025-07-20"/>
    <x v="0"/>
    <x v="4"/>
    <x v="1"/>
    <x v="0"/>
    <s v="Monitor"/>
    <n v="8"/>
    <n v="331.43"/>
    <n v="2651.44"/>
    <x v="5"/>
    <s v="Summer Sale"/>
    <n v="772.64"/>
    <x v="9"/>
  </r>
  <r>
    <x v="276"/>
    <s v="2025-05-23"/>
    <x v="0"/>
    <x v="2"/>
    <x v="3"/>
    <x v="0"/>
    <s v="Jacket"/>
    <n v="5"/>
    <n v="451.09"/>
    <n v="2255.4499999999998"/>
    <x v="1"/>
    <s v="Brand Awareness"/>
    <n v="269.08999999999997"/>
    <x v="2"/>
  </r>
  <r>
    <x v="277"/>
    <s v="2025-11-01"/>
    <x v="0"/>
    <x v="0"/>
    <x v="0"/>
    <x v="3"/>
    <s v="Jacket"/>
    <n v="6"/>
    <n v="275.69"/>
    <n v="1654.14"/>
    <x v="0"/>
    <s v="Brand Awareness"/>
    <n v="572.36"/>
    <x v="8"/>
  </r>
  <r>
    <x v="278"/>
    <s v="2025-12-21"/>
    <x v="3"/>
    <x v="6"/>
    <x v="0"/>
    <x v="1"/>
    <s v="Chair"/>
    <n v="16"/>
    <n v="432.03"/>
    <n v="6912.48"/>
    <x v="1"/>
    <s v="Summer Sale"/>
    <n v="841.34"/>
    <x v="10"/>
  </r>
  <r>
    <x v="279"/>
    <s v="2025-10-07"/>
    <x v="0"/>
    <x v="2"/>
    <x v="0"/>
    <x v="2"/>
    <s v="Jacket"/>
    <n v="4"/>
    <n v="988.38"/>
    <n v="3953.52"/>
    <x v="1"/>
    <s v="Brand Awareness"/>
    <n v="491.32"/>
    <x v="11"/>
  </r>
  <r>
    <x v="280"/>
    <s v="2025-12-13"/>
    <x v="1"/>
    <x v="2"/>
    <x v="2"/>
    <x v="0"/>
    <s v="Chair"/>
    <n v="11"/>
    <n v="71.709999999999994"/>
    <n v="788.81"/>
    <x v="4"/>
    <s v="Festive Offer"/>
    <n v="83.17"/>
    <x v="10"/>
  </r>
  <r>
    <x v="281"/>
    <s v="2025-04-25"/>
    <x v="2"/>
    <x v="7"/>
    <x v="0"/>
    <x v="2"/>
    <s v="Mouse"/>
    <n v="13"/>
    <n v="291.82"/>
    <n v="3793.66"/>
    <x v="4"/>
    <s v="New Launch"/>
    <n v="777.81"/>
    <x v="6"/>
  </r>
  <r>
    <x v="282"/>
    <s v="2025-10-27"/>
    <x v="3"/>
    <x v="7"/>
    <x v="1"/>
    <x v="3"/>
    <s v="Mouse"/>
    <n v="17"/>
    <n v="642.07000000000005"/>
    <n v="10915.19"/>
    <x v="0"/>
    <s v="Festive Offer"/>
    <n v="2230.16"/>
    <x v="11"/>
  </r>
  <r>
    <x v="283"/>
    <s v="2025-07-13"/>
    <x v="3"/>
    <x v="4"/>
    <x v="2"/>
    <x v="3"/>
    <s v="Table"/>
    <n v="16"/>
    <n v="424.62"/>
    <n v="6793.92"/>
    <x v="0"/>
    <s v="Festive Offer"/>
    <n v="2171.4499999999998"/>
    <x v="9"/>
  </r>
  <r>
    <x v="284"/>
    <s v="2025-03-06"/>
    <x v="2"/>
    <x v="5"/>
    <x v="1"/>
    <x v="2"/>
    <s v="Headphones"/>
    <n v="7"/>
    <n v="159.97"/>
    <n v="1119.79"/>
    <x v="2"/>
    <s v="Brand Awareness"/>
    <n v="195.07"/>
    <x v="1"/>
  </r>
  <r>
    <x v="285"/>
    <s v="2025-04-25"/>
    <x v="1"/>
    <x v="3"/>
    <x v="3"/>
    <x v="1"/>
    <s v="Chair"/>
    <n v="7"/>
    <n v="379.68"/>
    <n v="2657.76"/>
    <x v="3"/>
    <s v="Festive Offer"/>
    <n v="408.19"/>
    <x v="6"/>
  </r>
  <r>
    <x v="286"/>
    <s v="2025-05-08"/>
    <x v="2"/>
    <x v="6"/>
    <x v="3"/>
    <x v="0"/>
    <s v="Chair"/>
    <n v="17"/>
    <n v="959.11"/>
    <n v="16304.87"/>
    <x v="4"/>
    <s v="Referral"/>
    <n v="2193.04"/>
    <x v="2"/>
  </r>
  <r>
    <x v="287"/>
    <s v="2025-02-21"/>
    <x v="3"/>
    <x v="2"/>
    <x v="3"/>
    <x v="2"/>
    <s v="Jacket"/>
    <n v="20"/>
    <n v="648.69000000000005"/>
    <n v="12973.8"/>
    <x v="3"/>
    <s v="Festive Offer"/>
    <n v="4473.09"/>
    <x v="0"/>
  </r>
  <r>
    <x v="288"/>
    <s v="2025-08-25"/>
    <x v="0"/>
    <x v="7"/>
    <x v="0"/>
    <x v="0"/>
    <s v="Laptop"/>
    <n v="20"/>
    <n v="551.76"/>
    <n v="11035.2"/>
    <x v="4"/>
    <s v="Summer Sale"/>
    <n v="1390.31"/>
    <x v="4"/>
  </r>
  <r>
    <x v="289"/>
    <s v="2025-03-14"/>
    <x v="3"/>
    <x v="3"/>
    <x v="1"/>
    <x v="2"/>
    <s v="Mouse"/>
    <n v="5"/>
    <n v="164.25"/>
    <n v="821.25"/>
    <x v="2"/>
    <s v="Summer Sale"/>
    <n v="250.26"/>
    <x v="1"/>
  </r>
  <r>
    <x v="290"/>
    <s v="2025-04-10"/>
    <x v="0"/>
    <x v="1"/>
    <x v="0"/>
    <x v="1"/>
    <s v="Table"/>
    <n v="9"/>
    <n v="229.45"/>
    <n v="2065.0500000000002"/>
    <x v="5"/>
    <s v="Brand Awareness"/>
    <n v="267.93"/>
    <x v="6"/>
  </r>
  <r>
    <x v="291"/>
    <s v="2025-10-25"/>
    <x v="3"/>
    <x v="7"/>
    <x v="0"/>
    <x v="0"/>
    <s v="Shirt"/>
    <n v="20"/>
    <n v="283.19"/>
    <n v="5663.8"/>
    <x v="3"/>
    <s v="Referral"/>
    <n v="1226.58"/>
    <x v="11"/>
  </r>
  <r>
    <x v="292"/>
    <s v="2025-06-30"/>
    <x v="3"/>
    <x v="3"/>
    <x v="3"/>
    <x v="3"/>
    <s v="Jacket"/>
    <n v="3"/>
    <n v="832.03"/>
    <n v="2496.09"/>
    <x v="4"/>
    <s v="Referral"/>
    <n v="530.33000000000004"/>
    <x v="7"/>
  </r>
  <r>
    <x v="293"/>
    <s v="2025-11-01"/>
    <x v="2"/>
    <x v="5"/>
    <x v="2"/>
    <x v="0"/>
    <s v="Jacket"/>
    <n v="20"/>
    <n v="585.78"/>
    <n v="11715.6"/>
    <x v="4"/>
    <s v="Festive Offer"/>
    <n v="2437.27"/>
    <x v="8"/>
  </r>
  <r>
    <x v="294"/>
    <s v="2025-10-09"/>
    <x v="2"/>
    <x v="4"/>
    <x v="1"/>
    <x v="1"/>
    <s v="Shirt"/>
    <n v="20"/>
    <n v="221.03"/>
    <n v="4420.6000000000004"/>
    <x v="4"/>
    <s v="Summer Sale"/>
    <n v="919.36"/>
    <x v="11"/>
  </r>
  <r>
    <x v="295"/>
    <s v="2025-12-09"/>
    <x v="1"/>
    <x v="0"/>
    <x v="2"/>
    <x v="3"/>
    <s v="Mouse"/>
    <n v="16"/>
    <n v="608.54"/>
    <n v="9736.64"/>
    <x v="5"/>
    <s v="Brand Awareness"/>
    <n v="3179.22"/>
    <x v="10"/>
  </r>
  <r>
    <x v="296"/>
    <s v="2025-05-08"/>
    <x v="3"/>
    <x v="1"/>
    <x v="0"/>
    <x v="1"/>
    <s v="Chair"/>
    <n v="19"/>
    <n v="621.87"/>
    <n v="11815.53"/>
    <x v="5"/>
    <s v="Referral"/>
    <n v="3250.38"/>
    <x v="2"/>
  </r>
  <r>
    <x v="297"/>
    <s v="2025-04-18"/>
    <x v="2"/>
    <x v="5"/>
    <x v="3"/>
    <x v="2"/>
    <s v="Monitor"/>
    <n v="14"/>
    <n v="748.73"/>
    <n v="10482.219999999999"/>
    <x v="0"/>
    <s v="Brand Awareness"/>
    <n v="3453.78"/>
    <x v="6"/>
  </r>
  <r>
    <x v="298"/>
    <s v="2025-02-05"/>
    <x v="0"/>
    <x v="3"/>
    <x v="1"/>
    <x v="0"/>
    <s v="Chair"/>
    <n v="16"/>
    <n v="315.64"/>
    <n v="5050.24"/>
    <x v="0"/>
    <s v="New Launch"/>
    <n v="1756.18"/>
    <x v="0"/>
  </r>
  <r>
    <x v="299"/>
    <s v="2025-08-07"/>
    <x v="2"/>
    <x v="2"/>
    <x v="1"/>
    <x v="0"/>
    <s v="Shirt"/>
    <n v="9"/>
    <n v="428.44"/>
    <n v="3855.96"/>
    <x v="1"/>
    <s v="Referral"/>
    <n v="1146.5"/>
    <x v="4"/>
  </r>
  <r>
    <x v="300"/>
    <s v="2025-10-23"/>
    <x v="0"/>
    <x v="3"/>
    <x v="0"/>
    <x v="3"/>
    <s v="Shirt"/>
    <n v="4"/>
    <n v="681.45"/>
    <n v="2725.8"/>
    <x v="2"/>
    <s v="Brand Awareness"/>
    <n v="801.15"/>
    <x v="11"/>
  </r>
  <r>
    <x v="301"/>
    <s v="2025-04-04"/>
    <x v="1"/>
    <x v="5"/>
    <x v="3"/>
    <x v="0"/>
    <s v="Shirt"/>
    <n v="1"/>
    <n v="926.64"/>
    <n v="926.64"/>
    <x v="2"/>
    <s v="New Launch"/>
    <n v="129.96"/>
    <x v="6"/>
  </r>
  <r>
    <x v="302"/>
    <s v="2025-03-28"/>
    <x v="2"/>
    <x v="1"/>
    <x v="2"/>
    <x v="1"/>
    <s v="Shirt"/>
    <n v="2"/>
    <n v="506.07"/>
    <n v="1012.14"/>
    <x v="3"/>
    <s v="Referral"/>
    <n v="286.14999999999998"/>
    <x v="1"/>
  </r>
  <r>
    <x v="303"/>
    <s v="2025-02-01"/>
    <x v="2"/>
    <x v="5"/>
    <x v="3"/>
    <x v="1"/>
    <s v="Table"/>
    <n v="14"/>
    <n v="765.69"/>
    <n v="10719.66"/>
    <x v="2"/>
    <s v="New Launch"/>
    <n v="2761.11"/>
    <x v="0"/>
  </r>
  <r>
    <x v="304"/>
    <s v="2025-12-06"/>
    <x v="3"/>
    <x v="7"/>
    <x v="3"/>
    <x v="2"/>
    <s v="Mouse"/>
    <n v="2"/>
    <n v="791.86"/>
    <n v="1583.72"/>
    <x v="5"/>
    <s v="Summer Sale"/>
    <n v="308.57"/>
    <x v="10"/>
  </r>
  <r>
    <x v="305"/>
    <s v="2025-01-15"/>
    <x v="0"/>
    <x v="6"/>
    <x v="0"/>
    <x v="2"/>
    <s v="Table"/>
    <n v="7"/>
    <n v="371.18"/>
    <n v="2598.2600000000002"/>
    <x v="3"/>
    <s v="Referral"/>
    <n v="697.82"/>
    <x v="12"/>
  </r>
  <r>
    <x v="306"/>
    <s v="2025-11-16"/>
    <x v="3"/>
    <x v="3"/>
    <x v="2"/>
    <x v="2"/>
    <s v="Table"/>
    <n v="8"/>
    <n v="986.81"/>
    <n v="7894.48"/>
    <x v="4"/>
    <s v="Festive Offer"/>
    <n v="1798.76"/>
    <x v="8"/>
  </r>
  <r>
    <x v="307"/>
    <s v="2025-01-11"/>
    <x v="3"/>
    <x v="3"/>
    <x v="3"/>
    <x v="3"/>
    <s v="Laptop"/>
    <n v="19"/>
    <n v="678.64"/>
    <n v="12894.16"/>
    <x v="1"/>
    <s v="Summer Sale"/>
    <n v="4015.95"/>
    <x v="12"/>
  </r>
  <r>
    <x v="308"/>
    <s v="2025-05-31"/>
    <x v="3"/>
    <x v="6"/>
    <x v="0"/>
    <x v="0"/>
    <s v="Jacket"/>
    <n v="3"/>
    <n v="127.87"/>
    <n v="383.61"/>
    <x v="3"/>
    <s v="New Launch"/>
    <n v="64.010000000000005"/>
    <x v="2"/>
  </r>
  <r>
    <x v="309"/>
    <s v="2025-06-19"/>
    <x v="0"/>
    <x v="1"/>
    <x v="0"/>
    <x v="3"/>
    <s v="Chair"/>
    <n v="19"/>
    <n v="246.63"/>
    <n v="4685.97"/>
    <x v="3"/>
    <s v="Referral"/>
    <n v="1551.26"/>
    <x v="7"/>
  </r>
  <r>
    <x v="310"/>
    <s v="2025-10-02"/>
    <x v="3"/>
    <x v="2"/>
    <x v="3"/>
    <x v="0"/>
    <s v="Laptop"/>
    <n v="18"/>
    <n v="210.21"/>
    <n v="3783.78"/>
    <x v="0"/>
    <s v="New Launch"/>
    <n v="893.23"/>
    <x v="11"/>
  </r>
  <r>
    <x v="311"/>
    <s v="2025-10-31"/>
    <x v="2"/>
    <x v="6"/>
    <x v="1"/>
    <x v="0"/>
    <s v="Chair"/>
    <n v="3"/>
    <n v="332.71"/>
    <n v="998.13"/>
    <x v="5"/>
    <s v="Festive Offer"/>
    <n v="311.31"/>
    <x v="11"/>
  </r>
  <r>
    <x v="312"/>
    <s v="2025-12-22"/>
    <x v="3"/>
    <x v="1"/>
    <x v="2"/>
    <x v="3"/>
    <s v="Monitor"/>
    <n v="9"/>
    <n v="419.79"/>
    <n v="3778.11"/>
    <x v="5"/>
    <s v="New Launch"/>
    <n v="1070.55"/>
    <x v="10"/>
  </r>
  <r>
    <x v="313"/>
    <s v="2025-12-31"/>
    <x v="2"/>
    <x v="2"/>
    <x v="2"/>
    <x v="2"/>
    <s v="Monitor"/>
    <n v="16"/>
    <n v="678.66"/>
    <n v="10858.56"/>
    <x v="5"/>
    <s v="New Launch"/>
    <n v="2963.29"/>
    <x v="10"/>
  </r>
  <r>
    <x v="314"/>
    <s v="2025-05-29"/>
    <x v="1"/>
    <x v="5"/>
    <x v="1"/>
    <x v="2"/>
    <s v="Headphones"/>
    <n v="18"/>
    <n v="624.25"/>
    <n v="11236.5"/>
    <x v="1"/>
    <s v="Festive Offer"/>
    <n v="1729.22"/>
    <x v="2"/>
  </r>
  <r>
    <x v="315"/>
    <s v="2025-03-17"/>
    <x v="3"/>
    <x v="7"/>
    <x v="2"/>
    <x v="0"/>
    <s v="Laptop"/>
    <n v="19"/>
    <n v="785.34"/>
    <n v="14921.46"/>
    <x v="1"/>
    <s v="Festive Offer"/>
    <n v="2645.34"/>
    <x v="1"/>
  </r>
  <r>
    <x v="316"/>
    <s v="2025-09-13"/>
    <x v="0"/>
    <x v="3"/>
    <x v="1"/>
    <x v="0"/>
    <s v="Table"/>
    <n v="12"/>
    <n v="410.88"/>
    <n v="4930.5600000000004"/>
    <x v="0"/>
    <s v="Summer Sale"/>
    <n v="1299.72"/>
    <x v="5"/>
  </r>
  <r>
    <x v="317"/>
    <s v="2025-08-28"/>
    <x v="1"/>
    <x v="6"/>
    <x v="0"/>
    <x v="3"/>
    <s v="Laptop"/>
    <n v="14"/>
    <n v="496.36"/>
    <n v="6949.04"/>
    <x v="0"/>
    <s v="Brand Awareness"/>
    <n v="1002.51"/>
    <x v="4"/>
  </r>
  <r>
    <x v="318"/>
    <s v="2025-01-02"/>
    <x v="2"/>
    <x v="2"/>
    <x v="3"/>
    <x v="0"/>
    <s v="Table"/>
    <n v="9"/>
    <n v="781.52"/>
    <n v="7033.68"/>
    <x v="2"/>
    <s v="Summer Sale"/>
    <n v="935.19"/>
    <x v="12"/>
  </r>
  <r>
    <x v="319"/>
    <s v="2025-07-16"/>
    <x v="0"/>
    <x v="4"/>
    <x v="3"/>
    <x v="0"/>
    <s v="Chair"/>
    <n v="12"/>
    <n v="705.6"/>
    <n v="8467.2000000000007"/>
    <x v="3"/>
    <s v="Brand Awareness"/>
    <n v="2069.04"/>
    <x v="9"/>
  </r>
  <r>
    <x v="320"/>
    <s v="2025-10-04"/>
    <x v="3"/>
    <x v="2"/>
    <x v="3"/>
    <x v="2"/>
    <s v="Jacket"/>
    <n v="9"/>
    <n v="749.92"/>
    <n v="6749.28"/>
    <x v="3"/>
    <s v="New Launch"/>
    <n v="885.41"/>
    <x v="11"/>
  </r>
  <r>
    <x v="321"/>
    <s v="2025-03-18"/>
    <x v="1"/>
    <x v="0"/>
    <x v="3"/>
    <x v="2"/>
    <s v="Laptop"/>
    <n v="20"/>
    <n v="119.4"/>
    <n v="2388"/>
    <x v="3"/>
    <s v="Referral"/>
    <n v="544.9"/>
    <x v="1"/>
  </r>
  <r>
    <x v="322"/>
    <s v="2025-02-09"/>
    <x v="0"/>
    <x v="4"/>
    <x v="1"/>
    <x v="0"/>
    <s v="Headphones"/>
    <n v="15"/>
    <n v="182.37"/>
    <n v="2735.55"/>
    <x v="4"/>
    <s v="New Launch"/>
    <n v="471.3"/>
    <x v="0"/>
  </r>
  <r>
    <x v="323"/>
    <s v="2025-11-09"/>
    <x v="3"/>
    <x v="7"/>
    <x v="3"/>
    <x v="0"/>
    <s v="Jacket"/>
    <n v="15"/>
    <n v="797.93"/>
    <n v="11968.95"/>
    <x v="3"/>
    <s v="Referral"/>
    <n v="4163.76"/>
    <x v="8"/>
  </r>
  <r>
    <x v="324"/>
    <s v="2025-05-30"/>
    <x v="2"/>
    <x v="5"/>
    <x v="3"/>
    <x v="1"/>
    <s v="Chair"/>
    <n v="4"/>
    <n v="560.74"/>
    <n v="2242.96"/>
    <x v="3"/>
    <s v="Summer Sale"/>
    <n v="535.32000000000005"/>
    <x v="2"/>
  </r>
  <r>
    <x v="325"/>
    <s v="2025-08-07"/>
    <x v="0"/>
    <x v="0"/>
    <x v="0"/>
    <x v="0"/>
    <s v="Monitor"/>
    <n v="14"/>
    <n v="247.63"/>
    <n v="3466.82"/>
    <x v="1"/>
    <s v="Referral"/>
    <n v="371.33"/>
    <x v="4"/>
  </r>
  <r>
    <x v="326"/>
    <s v="2025-11-19"/>
    <x v="3"/>
    <x v="6"/>
    <x v="2"/>
    <x v="0"/>
    <s v="Mouse"/>
    <n v="12"/>
    <n v="883.27"/>
    <n v="10599.24"/>
    <x v="0"/>
    <s v="Festive Offer"/>
    <n v="1710.49"/>
    <x v="8"/>
  </r>
  <r>
    <x v="327"/>
    <s v="2025-04-16"/>
    <x v="0"/>
    <x v="3"/>
    <x v="3"/>
    <x v="1"/>
    <s v="Monitor"/>
    <n v="18"/>
    <n v="801.86"/>
    <n v="14433.48"/>
    <x v="1"/>
    <s v="Brand Awareness"/>
    <n v="3212.53"/>
    <x v="6"/>
  </r>
  <r>
    <x v="328"/>
    <s v="2025-10-06"/>
    <x v="3"/>
    <x v="1"/>
    <x v="2"/>
    <x v="0"/>
    <s v="Chair"/>
    <n v="7"/>
    <n v="814.52"/>
    <n v="5701.64"/>
    <x v="0"/>
    <s v="Summer Sale"/>
    <n v="1940.06"/>
    <x v="11"/>
  </r>
  <r>
    <x v="329"/>
    <s v="2025-05-04"/>
    <x v="0"/>
    <x v="0"/>
    <x v="0"/>
    <x v="2"/>
    <s v="Headphones"/>
    <n v="6"/>
    <n v="920.7"/>
    <n v="5524.2"/>
    <x v="3"/>
    <s v="Referral"/>
    <n v="854.5"/>
    <x v="2"/>
  </r>
  <r>
    <x v="330"/>
    <s v="2025-04-18"/>
    <x v="1"/>
    <x v="2"/>
    <x v="0"/>
    <x v="3"/>
    <s v="Monitor"/>
    <n v="13"/>
    <n v="998.53"/>
    <n v="12980.89"/>
    <x v="4"/>
    <s v="Referral"/>
    <n v="3666.12"/>
    <x v="6"/>
  </r>
  <r>
    <x v="331"/>
    <s v="2025-06-24"/>
    <x v="0"/>
    <x v="2"/>
    <x v="2"/>
    <x v="3"/>
    <s v="Chair"/>
    <n v="8"/>
    <n v="657.15"/>
    <n v="5257.2"/>
    <x v="0"/>
    <s v="Referral"/>
    <n v="703.38"/>
    <x v="7"/>
  </r>
  <r>
    <x v="332"/>
    <s v="2025-05-16"/>
    <x v="2"/>
    <x v="6"/>
    <x v="0"/>
    <x v="2"/>
    <s v="Chair"/>
    <n v="4"/>
    <n v="800.38"/>
    <n v="3201.52"/>
    <x v="5"/>
    <s v="Brand Awareness"/>
    <n v="506.03"/>
    <x v="2"/>
  </r>
  <r>
    <x v="333"/>
    <s v="2025-06-02"/>
    <x v="1"/>
    <x v="5"/>
    <x v="0"/>
    <x v="2"/>
    <s v="Laptop"/>
    <n v="1"/>
    <n v="272.77"/>
    <n v="272.77"/>
    <x v="3"/>
    <s v="Summer Sale"/>
    <n v="67.959999999999994"/>
    <x v="7"/>
  </r>
  <r>
    <x v="334"/>
    <s v="2025-05-19"/>
    <x v="2"/>
    <x v="0"/>
    <x v="0"/>
    <x v="0"/>
    <s v="Monitor"/>
    <n v="16"/>
    <n v="964.21"/>
    <n v="15427.36"/>
    <x v="1"/>
    <s v="Festive Offer"/>
    <n v="5078.4399999999996"/>
    <x v="2"/>
  </r>
  <r>
    <x v="335"/>
    <s v="2025-01-04"/>
    <x v="1"/>
    <x v="1"/>
    <x v="2"/>
    <x v="3"/>
    <s v="Mouse"/>
    <n v="12"/>
    <n v="969.27"/>
    <n v="11631.24"/>
    <x v="4"/>
    <s v="Festive Offer"/>
    <n v="3056.28"/>
    <x v="12"/>
  </r>
  <r>
    <x v="336"/>
    <s v="2025-01-01"/>
    <x v="1"/>
    <x v="4"/>
    <x v="2"/>
    <x v="1"/>
    <s v="Shirt"/>
    <n v="13"/>
    <n v="480.39"/>
    <n v="6245.07"/>
    <x v="0"/>
    <s v="Festive Offer"/>
    <n v="1287.6600000000001"/>
    <x v="12"/>
  </r>
  <r>
    <x v="337"/>
    <s v="2025-03-22"/>
    <x v="3"/>
    <x v="0"/>
    <x v="0"/>
    <x v="0"/>
    <s v="Chair"/>
    <n v="14"/>
    <n v="531.37"/>
    <n v="7439.18"/>
    <x v="1"/>
    <s v="Referral"/>
    <n v="1257.05"/>
    <x v="1"/>
  </r>
  <r>
    <x v="338"/>
    <s v="2025-05-06"/>
    <x v="1"/>
    <x v="0"/>
    <x v="2"/>
    <x v="2"/>
    <s v="Laptop"/>
    <n v="4"/>
    <n v="593.88"/>
    <n v="2375.52"/>
    <x v="2"/>
    <s v="Festive Offer"/>
    <n v="404.69"/>
    <x v="2"/>
  </r>
  <r>
    <x v="339"/>
    <s v="2025-03-02"/>
    <x v="2"/>
    <x v="4"/>
    <x v="0"/>
    <x v="2"/>
    <s v="Monitor"/>
    <n v="14"/>
    <n v="260.73"/>
    <n v="3650.22"/>
    <x v="4"/>
    <s v="Summer Sale"/>
    <n v="987.1"/>
    <x v="1"/>
  </r>
  <r>
    <x v="340"/>
    <s v="2025-11-27"/>
    <x v="2"/>
    <x v="0"/>
    <x v="1"/>
    <x v="3"/>
    <s v="Table"/>
    <n v="2"/>
    <n v="975.64"/>
    <n v="1951.28"/>
    <x v="0"/>
    <s v="Summer Sale"/>
    <n v="626.98"/>
    <x v="8"/>
  </r>
  <r>
    <x v="341"/>
    <s v="2025-10-10"/>
    <x v="3"/>
    <x v="1"/>
    <x v="0"/>
    <x v="0"/>
    <s v="Monitor"/>
    <n v="4"/>
    <n v="368.73"/>
    <n v="1474.92"/>
    <x v="2"/>
    <s v="Festive Offer"/>
    <n v="276.56"/>
    <x v="11"/>
  </r>
  <r>
    <x v="342"/>
    <s v="2025-01-30"/>
    <x v="3"/>
    <x v="0"/>
    <x v="3"/>
    <x v="1"/>
    <s v="Jacket"/>
    <n v="5"/>
    <n v="601.20000000000005"/>
    <n v="3006"/>
    <x v="0"/>
    <s v="Summer Sale"/>
    <n v="1037.8"/>
    <x v="12"/>
  </r>
  <r>
    <x v="343"/>
    <s v="2025-04-29"/>
    <x v="3"/>
    <x v="1"/>
    <x v="1"/>
    <x v="2"/>
    <s v="Shirt"/>
    <n v="8"/>
    <n v="329.3"/>
    <n v="2634.4"/>
    <x v="4"/>
    <s v="Festive Offer"/>
    <n v="544.12"/>
    <x v="6"/>
  </r>
  <r>
    <x v="344"/>
    <s v="2025-02-10"/>
    <x v="0"/>
    <x v="4"/>
    <x v="3"/>
    <x v="2"/>
    <s v="Laptop"/>
    <n v="16"/>
    <n v="623.80999999999995"/>
    <n v="9980.9599999999991"/>
    <x v="4"/>
    <s v="New Launch"/>
    <n v="2963.06"/>
    <x v="0"/>
  </r>
  <r>
    <x v="345"/>
    <s v="2025-04-22"/>
    <x v="1"/>
    <x v="1"/>
    <x v="0"/>
    <x v="2"/>
    <s v="Headphones"/>
    <n v="12"/>
    <n v="161.03"/>
    <n v="1932.36"/>
    <x v="0"/>
    <s v="New Launch"/>
    <n v="497.21"/>
    <x v="6"/>
  </r>
  <r>
    <x v="346"/>
    <s v="2025-12-22"/>
    <x v="3"/>
    <x v="0"/>
    <x v="2"/>
    <x v="0"/>
    <s v="Table"/>
    <n v="16"/>
    <n v="586.36"/>
    <n v="9381.76"/>
    <x v="5"/>
    <s v="Referral"/>
    <n v="3089.27"/>
    <x v="10"/>
  </r>
  <r>
    <x v="347"/>
    <s v="2025-12-15"/>
    <x v="2"/>
    <x v="7"/>
    <x v="2"/>
    <x v="3"/>
    <s v="Jacket"/>
    <n v="12"/>
    <n v="399.66"/>
    <n v="4795.92"/>
    <x v="1"/>
    <s v="Referral"/>
    <n v="807.69"/>
    <x v="10"/>
  </r>
  <r>
    <x v="348"/>
    <s v="2025-11-05"/>
    <x v="1"/>
    <x v="4"/>
    <x v="1"/>
    <x v="2"/>
    <s v="Mouse"/>
    <n v="19"/>
    <n v="678.04"/>
    <n v="12882.76"/>
    <x v="5"/>
    <s v="Festive Offer"/>
    <n v="3630.69"/>
    <x v="8"/>
  </r>
  <r>
    <x v="349"/>
    <s v="2025-11-03"/>
    <x v="0"/>
    <x v="1"/>
    <x v="3"/>
    <x v="0"/>
    <s v="Chair"/>
    <n v="19"/>
    <n v="82.78"/>
    <n v="1572.82"/>
    <x v="3"/>
    <s v="Brand Awareness"/>
    <n v="418.03"/>
    <x v="8"/>
  </r>
  <r>
    <x v="350"/>
    <s v="2025-03-01"/>
    <x v="3"/>
    <x v="0"/>
    <x v="2"/>
    <x v="2"/>
    <s v="Laptop"/>
    <n v="3"/>
    <n v="866.43"/>
    <n v="2599.29"/>
    <x v="0"/>
    <s v="Referral"/>
    <n v="435.25"/>
    <x v="1"/>
  </r>
  <r>
    <x v="351"/>
    <s v="2025-10-04"/>
    <x v="0"/>
    <x v="5"/>
    <x v="3"/>
    <x v="0"/>
    <s v="Laptop"/>
    <n v="16"/>
    <n v="943.48"/>
    <n v="15095.68"/>
    <x v="1"/>
    <s v="Referral"/>
    <n v="2759.1"/>
    <x v="11"/>
  </r>
  <r>
    <x v="352"/>
    <s v="2025-11-12"/>
    <x v="0"/>
    <x v="0"/>
    <x v="3"/>
    <x v="1"/>
    <s v="Laptop"/>
    <n v="11"/>
    <n v="587.51"/>
    <n v="6462.61"/>
    <x v="4"/>
    <s v="Festive Offer"/>
    <n v="1560.12"/>
    <x v="8"/>
  </r>
  <r>
    <x v="353"/>
    <s v="2025-01-17"/>
    <x v="2"/>
    <x v="5"/>
    <x v="1"/>
    <x v="3"/>
    <s v="Chair"/>
    <n v="17"/>
    <n v="308.52"/>
    <n v="5244.84"/>
    <x v="3"/>
    <s v="Summer Sale"/>
    <n v="992.86"/>
    <x v="12"/>
  </r>
  <r>
    <x v="354"/>
    <s v="2025-02-07"/>
    <x v="1"/>
    <x v="0"/>
    <x v="1"/>
    <x v="2"/>
    <s v="Chair"/>
    <n v="12"/>
    <n v="723.03"/>
    <n v="8676.36"/>
    <x v="1"/>
    <s v="Referral"/>
    <n v="2684.39"/>
    <x v="0"/>
  </r>
  <r>
    <x v="355"/>
    <s v="2025-02-16"/>
    <x v="3"/>
    <x v="3"/>
    <x v="1"/>
    <x v="2"/>
    <s v="Chair"/>
    <n v="12"/>
    <n v="116.12"/>
    <n v="1393.44"/>
    <x v="0"/>
    <s v="Festive Offer"/>
    <n v="227.6"/>
    <x v="0"/>
  </r>
  <r>
    <x v="356"/>
    <s v="2025-07-14"/>
    <x v="1"/>
    <x v="0"/>
    <x v="0"/>
    <x v="1"/>
    <s v="Monitor"/>
    <n v="6"/>
    <n v="769.84"/>
    <n v="4619.04"/>
    <x v="5"/>
    <s v="Summer Sale"/>
    <n v="1480.43"/>
    <x v="9"/>
  </r>
  <r>
    <x v="357"/>
    <s v="2025-12-24"/>
    <x v="3"/>
    <x v="0"/>
    <x v="1"/>
    <x v="2"/>
    <s v="Jacket"/>
    <n v="17"/>
    <n v="591.9"/>
    <n v="10062.299999999999"/>
    <x v="4"/>
    <s v="Festive Offer"/>
    <n v="2929.96"/>
    <x v="10"/>
  </r>
  <r>
    <x v="358"/>
    <s v="2025-01-05"/>
    <x v="3"/>
    <x v="2"/>
    <x v="3"/>
    <x v="3"/>
    <s v="Headphones"/>
    <n v="4"/>
    <n v="696.85"/>
    <n v="2787.4"/>
    <x v="5"/>
    <s v="Brand Awareness"/>
    <n v="584.27"/>
    <x v="12"/>
  </r>
  <r>
    <x v="359"/>
    <s v="2025-07-11"/>
    <x v="0"/>
    <x v="2"/>
    <x v="0"/>
    <x v="1"/>
    <s v="Shirt"/>
    <n v="18"/>
    <n v="977.1"/>
    <n v="17587.8"/>
    <x v="1"/>
    <s v="Summer Sale"/>
    <n v="2982.5"/>
    <x v="9"/>
  </r>
  <r>
    <x v="360"/>
    <s v="2025-07-20"/>
    <x v="3"/>
    <x v="5"/>
    <x v="3"/>
    <x v="2"/>
    <s v="Monitor"/>
    <n v="14"/>
    <n v="234.45"/>
    <n v="3282.3"/>
    <x v="1"/>
    <s v="Festive Offer"/>
    <n v="529.26"/>
    <x v="9"/>
  </r>
  <r>
    <x v="361"/>
    <s v="2025-11-13"/>
    <x v="3"/>
    <x v="6"/>
    <x v="3"/>
    <x v="2"/>
    <s v="Headphones"/>
    <n v="13"/>
    <n v="48.72"/>
    <n v="633.36"/>
    <x v="3"/>
    <s v="Summer Sale"/>
    <n v="115.26"/>
    <x v="8"/>
  </r>
  <r>
    <x v="362"/>
    <s v="2025-03-10"/>
    <x v="3"/>
    <x v="3"/>
    <x v="3"/>
    <x v="1"/>
    <s v="Jacket"/>
    <n v="10"/>
    <n v="675.39"/>
    <n v="6753.9"/>
    <x v="3"/>
    <s v="New Launch"/>
    <n v="2196.41"/>
    <x v="1"/>
  </r>
  <r>
    <x v="363"/>
    <s v="2025-12-01"/>
    <x v="2"/>
    <x v="5"/>
    <x v="3"/>
    <x v="2"/>
    <s v="Laptop"/>
    <n v="19"/>
    <n v="991.67"/>
    <n v="18841.73"/>
    <x v="4"/>
    <s v="Referral"/>
    <n v="6109.3"/>
    <x v="10"/>
  </r>
  <r>
    <x v="364"/>
    <s v="2025-07-17"/>
    <x v="1"/>
    <x v="7"/>
    <x v="1"/>
    <x v="1"/>
    <s v="Laptop"/>
    <n v="13"/>
    <n v="406.01"/>
    <n v="5278.13"/>
    <x v="0"/>
    <s v="New Launch"/>
    <n v="941.04"/>
    <x v="9"/>
  </r>
  <r>
    <x v="365"/>
    <s v="2025-06-26"/>
    <x v="3"/>
    <x v="5"/>
    <x v="1"/>
    <x v="1"/>
    <s v="Chair"/>
    <n v="3"/>
    <n v="632.15"/>
    <n v="1896.45"/>
    <x v="5"/>
    <s v="Summer Sale"/>
    <n v="231.65"/>
    <x v="7"/>
  </r>
  <r>
    <x v="366"/>
    <s v="2025-04-09"/>
    <x v="1"/>
    <x v="5"/>
    <x v="1"/>
    <x v="1"/>
    <s v="Jacket"/>
    <n v="17"/>
    <n v="645.61"/>
    <n v="10975.37"/>
    <x v="5"/>
    <s v="New Launch"/>
    <n v="1286.6300000000001"/>
    <x v="6"/>
  </r>
  <r>
    <x v="367"/>
    <s v="2025-12-11"/>
    <x v="2"/>
    <x v="4"/>
    <x v="3"/>
    <x v="3"/>
    <s v="Table"/>
    <n v="16"/>
    <n v="467.87"/>
    <n v="7485.92"/>
    <x v="2"/>
    <s v="Brand Awareness"/>
    <n v="2416.98"/>
    <x v="10"/>
  </r>
  <r>
    <x v="368"/>
    <s v="2025-08-31"/>
    <x v="3"/>
    <x v="7"/>
    <x v="3"/>
    <x v="3"/>
    <s v="Table"/>
    <n v="18"/>
    <n v="387"/>
    <n v="6966"/>
    <x v="0"/>
    <s v="Referral"/>
    <n v="1170.0899999999999"/>
    <x v="4"/>
  </r>
  <r>
    <x v="369"/>
    <s v="2025-10-22"/>
    <x v="0"/>
    <x v="5"/>
    <x v="3"/>
    <x v="2"/>
    <s v="Headphones"/>
    <n v="4"/>
    <n v="300.33"/>
    <n v="1201.32"/>
    <x v="2"/>
    <s v="Festive Offer"/>
    <n v="342.48"/>
    <x v="11"/>
  </r>
  <r>
    <x v="370"/>
    <s v="2025-08-26"/>
    <x v="3"/>
    <x v="2"/>
    <x v="2"/>
    <x v="1"/>
    <s v="Mouse"/>
    <n v="10"/>
    <n v="555.78"/>
    <n v="5557.8"/>
    <x v="5"/>
    <s v="Summer Sale"/>
    <n v="1762.63"/>
    <x v="4"/>
  </r>
  <r>
    <x v="371"/>
    <s v="2025-03-30"/>
    <x v="2"/>
    <x v="2"/>
    <x v="2"/>
    <x v="2"/>
    <s v="Table"/>
    <n v="12"/>
    <n v="100.82"/>
    <n v="1209.8399999999999"/>
    <x v="0"/>
    <s v="Referral"/>
    <n v="329.38"/>
    <x v="1"/>
  </r>
  <r>
    <x v="372"/>
    <s v="2025-02-22"/>
    <x v="2"/>
    <x v="2"/>
    <x v="2"/>
    <x v="0"/>
    <s v="Table"/>
    <n v="8"/>
    <n v="600.75"/>
    <n v="4806"/>
    <x v="5"/>
    <s v="Referral"/>
    <n v="1297.75"/>
    <x v="0"/>
  </r>
  <r>
    <x v="373"/>
    <s v="2025-12-11"/>
    <x v="3"/>
    <x v="7"/>
    <x v="0"/>
    <x v="3"/>
    <s v="Jacket"/>
    <n v="10"/>
    <n v="862.34"/>
    <n v="8623.4"/>
    <x v="3"/>
    <s v="Festive Offer"/>
    <n v="2890.06"/>
    <x v="10"/>
  </r>
  <r>
    <x v="374"/>
    <s v="2025-09-02"/>
    <x v="2"/>
    <x v="4"/>
    <x v="3"/>
    <x v="3"/>
    <s v="Monitor"/>
    <n v="15"/>
    <n v="214.34"/>
    <n v="3215.1"/>
    <x v="1"/>
    <s v="New Launch"/>
    <n v="554.33000000000004"/>
    <x v="5"/>
  </r>
  <r>
    <x v="375"/>
    <s v="2025-03-03"/>
    <x v="0"/>
    <x v="5"/>
    <x v="1"/>
    <x v="2"/>
    <s v="Headphones"/>
    <n v="12"/>
    <n v="186.33"/>
    <n v="2235.96"/>
    <x v="1"/>
    <s v="Referral"/>
    <n v="224.04"/>
    <x v="1"/>
  </r>
  <r>
    <x v="376"/>
    <s v="2025-11-08"/>
    <x v="3"/>
    <x v="1"/>
    <x v="1"/>
    <x v="1"/>
    <s v="Shirt"/>
    <n v="16"/>
    <n v="195.12"/>
    <n v="3121.92"/>
    <x v="5"/>
    <s v="Festive Offer"/>
    <n v="547.39"/>
    <x v="8"/>
  </r>
  <r>
    <x v="377"/>
    <s v="2025-05-16"/>
    <x v="3"/>
    <x v="6"/>
    <x v="1"/>
    <x v="3"/>
    <s v="Jacket"/>
    <n v="9"/>
    <n v="713.89"/>
    <n v="6425.01"/>
    <x v="5"/>
    <s v="Summer Sale"/>
    <n v="1320.05"/>
    <x v="2"/>
  </r>
  <r>
    <x v="378"/>
    <s v="2025-04-06"/>
    <x v="3"/>
    <x v="0"/>
    <x v="3"/>
    <x v="1"/>
    <s v="Jacket"/>
    <n v="17"/>
    <n v="72.06"/>
    <n v="1225.02"/>
    <x v="4"/>
    <s v="Festive Offer"/>
    <n v="362.22"/>
    <x v="6"/>
  </r>
  <r>
    <x v="379"/>
    <s v="2025-09-12"/>
    <x v="2"/>
    <x v="2"/>
    <x v="0"/>
    <x v="1"/>
    <s v="Mouse"/>
    <n v="15"/>
    <n v="89.89"/>
    <n v="1348.35"/>
    <x v="3"/>
    <s v="Brand Awareness"/>
    <n v="234.49"/>
    <x v="5"/>
  </r>
  <r>
    <x v="380"/>
    <s v="2025-07-11"/>
    <x v="2"/>
    <x v="1"/>
    <x v="1"/>
    <x v="2"/>
    <s v="Laptop"/>
    <n v="18"/>
    <n v="365.42"/>
    <n v="6577.56"/>
    <x v="1"/>
    <s v="Summer Sale"/>
    <n v="2136.0100000000002"/>
    <x v="9"/>
  </r>
  <r>
    <x v="381"/>
    <s v="2025-07-16"/>
    <x v="2"/>
    <x v="6"/>
    <x v="2"/>
    <x v="3"/>
    <s v="Mouse"/>
    <n v="15"/>
    <n v="978.26"/>
    <n v="14673.9"/>
    <x v="3"/>
    <s v="Brand Awareness"/>
    <n v="3108.1"/>
    <x v="9"/>
  </r>
  <r>
    <x v="382"/>
    <s v="2025-05-12"/>
    <x v="0"/>
    <x v="7"/>
    <x v="2"/>
    <x v="3"/>
    <s v="Laptop"/>
    <n v="5"/>
    <n v="631.84"/>
    <n v="3159.2"/>
    <x v="3"/>
    <s v="Referral"/>
    <n v="783.46"/>
    <x v="2"/>
  </r>
  <r>
    <x v="383"/>
    <s v="2025-06-21"/>
    <x v="0"/>
    <x v="4"/>
    <x v="1"/>
    <x v="3"/>
    <s v="Jacket"/>
    <n v="2"/>
    <n v="556.58000000000004"/>
    <n v="1113.1600000000001"/>
    <x v="2"/>
    <s v="Brand Awareness"/>
    <n v="342.34"/>
    <x v="7"/>
  </r>
  <r>
    <x v="384"/>
    <s v="2025-11-14"/>
    <x v="0"/>
    <x v="2"/>
    <x v="3"/>
    <x v="2"/>
    <s v="Laptop"/>
    <n v="9"/>
    <n v="686.3"/>
    <n v="6176.7"/>
    <x v="0"/>
    <s v="Referral"/>
    <n v="1387.9"/>
    <x v="8"/>
  </r>
  <r>
    <x v="385"/>
    <s v="2025-03-30"/>
    <x v="2"/>
    <x v="6"/>
    <x v="1"/>
    <x v="0"/>
    <s v="Chair"/>
    <n v="18"/>
    <n v="402.99"/>
    <n v="7253.82"/>
    <x v="5"/>
    <s v="Summer Sale"/>
    <n v="1093.6600000000001"/>
    <x v="1"/>
  </r>
  <r>
    <x v="386"/>
    <s v="2025-07-28"/>
    <x v="2"/>
    <x v="2"/>
    <x v="1"/>
    <x v="3"/>
    <s v="Shirt"/>
    <n v="1"/>
    <n v="589.67999999999995"/>
    <n v="589.67999999999995"/>
    <x v="4"/>
    <s v="Referral"/>
    <n v="143"/>
    <x v="9"/>
  </r>
  <r>
    <x v="387"/>
    <s v="2025-05-07"/>
    <x v="2"/>
    <x v="7"/>
    <x v="1"/>
    <x v="3"/>
    <s v="Mouse"/>
    <n v="12"/>
    <n v="842.16"/>
    <n v="10105.92"/>
    <x v="1"/>
    <s v="Referral"/>
    <n v="2810.62"/>
    <x v="2"/>
  </r>
  <r>
    <x v="388"/>
    <s v="2025-02-25"/>
    <x v="1"/>
    <x v="7"/>
    <x v="2"/>
    <x v="0"/>
    <s v="Mouse"/>
    <n v="7"/>
    <n v="93.88"/>
    <n v="657.16"/>
    <x v="3"/>
    <s v="Brand Awareness"/>
    <n v="75.900000000000006"/>
    <x v="0"/>
  </r>
  <r>
    <x v="389"/>
    <s v="2025-07-10"/>
    <x v="0"/>
    <x v="3"/>
    <x v="1"/>
    <x v="1"/>
    <s v="Laptop"/>
    <n v="19"/>
    <n v="740.63"/>
    <n v="14071.97"/>
    <x v="2"/>
    <s v="Brand Awareness"/>
    <n v="4627.6400000000003"/>
    <x v="9"/>
  </r>
  <r>
    <x v="390"/>
    <s v="2025-06-07"/>
    <x v="2"/>
    <x v="1"/>
    <x v="1"/>
    <x v="1"/>
    <s v="Jacket"/>
    <n v="13"/>
    <n v="759.95"/>
    <n v="9879.35"/>
    <x v="4"/>
    <s v="Referral"/>
    <n v="2953.02"/>
    <x v="7"/>
  </r>
  <r>
    <x v="391"/>
    <s v="2025-11-01"/>
    <x v="3"/>
    <x v="7"/>
    <x v="2"/>
    <x v="1"/>
    <s v="Jacket"/>
    <n v="18"/>
    <n v="839.54"/>
    <n v="15111.72"/>
    <x v="2"/>
    <s v="Referral"/>
    <n v="2159"/>
    <x v="8"/>
  </r>
  <r>
    <x v="392"/>
    <s v="2025-04-17"/>
    <x v="1"/>
    <x v="4"/>
    <x v="3"/>
    <x v="0"/>
    <s v="Laptop"/>
    <n v="2"/>
    <n v="948.34"/>
    <n v="1896.68"/>
    <x v="2"/>
    <s v="Referral"/>
    <n v="495.4"/>
    <x v="6"/>
  </r>
  <r>
    <x v="393"/>
    <s v="2025-12-13"/>
    <x v="1"/>
    <x v="4"/>
    <x v="0"/>
    <x v="0"/>
    <s v="Laptop"/>
    <n v="2"/>
    <n v="935.21"/>
    <n v="1870.42"/>
    <x v="4"/>
    <s v="Festive Offer"/>
    <n v="197.62"/>
    <x v="10"/>
  </r>
  <r>
    <x v="394"/>
    <s v="2025-02-13"/>
    <x v="2"/>
    <x v="2"/>
    <x v="1"/>
    <x v="2"/>
    <s v="Shirt"/>
    <n v="11"/>
    <n v="786.3"/>
    <n v="8649.2999999999993"/>
    <x v="2"/>
    <s v="Referral"/>
    <n v="955.4"/>
    <x v="0"/>
  </r>
  <r>
    <x v="395"/>
    <s v="2025-03-14"/>
    <x v="3"/>
    <x v="0"/>
    <x v="1"/>
    <x v="2"/>
    <s v="Headphones"/>
    <n v="9"/>
    <n v="324"/>
    <n v="2916"/>
    <x v="2"/>
    <s v="Brand Awareness"/>
    <n v="402.9"/>
    <x v="1"/>
  </r>
  <r>
    <x v="396"/>
    <s v="2025-03-03"/>
    <x v="2"/>
    <x v="4"/>
    <x v="1"/>
    <x v="3"/>
    <s v="Monitor"/>
    <n v="10"/>
    <n v="486.79"/>
    <n v="4867.8999999999996"/>
    <x v="0"/>
    <s v="Festive Offer"/>
    <n v="709.72"/>
    <x v="1"/>
  </r>
  <r>
    <x v="397"/>
    <s v="2025-12-02"/>
    <x v="3"/>
    <x v="1"/>
    <x v="1"/>
    <x v="0"/>
    <s v="Shirt"/>
    <n v="5"/>
    <n v="542.58000000000004"/>
    <n v="2712.9"/>
    <x v="0"/>
    <s v="Brand Awareness"/>
    <n v="855.09"/>
    <x v="10"/>
  </r>
  <r>
    <x v="398"/>
    <s v="2025-09-21"/>
    <x v="1"/>
    <x v="1"/>
    <x v="0"/>
    <x v="2"/>
    <s v="Jacket"/>
    <n v="17"/>
    <n v="701.25"/>
    <n v="11921.25"/>
    <x v="3"/>
    <s v="Summer Sale"/>
    <n v="3810.08"/>
    <x v="5"/>
  </r>
  <r>
    <x v="399"/>
    <s v="2025-08-02"/>
    <x v="1"/>
    <x v="4"/>
    <x v="0"/>
    <x v="2"/>
    <s v="Laptop"/>
    <n v="8"/>
    <n v="421.97"/>
    <n v="3375.76"/>
    <x v="1"/>
    <s v="New Launch"/>
    <n v="427.46"/>
    <x v="4"/>
  </r>
  <r>
    <x v="400"/>
    <s v="2025-04-07"/>
    <x v="0"/>
    <x v="7"/>
    <x v="0"/>
    <x v="1"/>
    <s v="Shirt"/>
    <n v="20"/>
    <n v="744.94"/>
    <n v="14898.8"/>
    <x v="3"/>
    <s v="New Launch"/>
    <n v="1815.58"/>
    <x v="6"/>
  </r>
  <r>
    <x v="401"/>
    <s v="2025-04-25"/>
    <x v="2"/>
    <x v="4"/>
    <x v="1"/>
    <x v="1"/>
    <s v="Jacket"/>
    <n v="15"/>
    <n v="977.79"/>
    <n v="14666.85"/>
    <x v="4"/>
    <s v="Brand Awareness"/>
    <n v="3802.31"/>
    <x v="6"/>
  </r>
  <r>
    <x v="402"/>
    <s v="2025-12-01"/>
    <x v="3"/>
    <x v="6"/>
    <x v="2"/>
    <x v="1"/>
    <s v="Chair"/>
    <n v="10"/>
    <n v="59.66"/>
    <n v="596.6"/>
    <x v="2"/>
    <s v="Brand Awareness"/>
    <n v="81.66"/>
    <x v="10"/>
  </r>
  <r>
    <x v="403"/>
    <s v="2025-09-08"/>
    <x v="1"/>
    <x v="1"/>
    <x v="2"/>
    <x v="2"/>
    <s v="Chair"/>
    <n v="18"/>
    <n v="63.03"/>
    <n v="1134.54"/>
    <x v="3"/>
    <s v="Summer Sale"/>
    <n v="314.76"/>
    <x v="5"/>
  </r>
  <r>
    <x v="404"/>
    <s v="2025-04-28"/>
    <x v="2"/>
    <x v="0"/>
    <x v="3"/>
    <x v="1"/>
    <s v="Jacket"/>
    <n v="20"/>
    <n v="53.59"/>
    <n v="1071.8"/>
    <x v="1"/>
    <s v="Referral"/>
    <n v="246.76"/>
    <x v="6"/>
  </r>
  <r>
    <x v="405"/>
    <s v="2025-10-13"/>
    <x v="3"/>
    <x v="4"/>
    <x v="2"/>
    <x v="0"/>
    <s v="Monitor"/>
    <n v="13"/>
    <n v="155.27000000000001"/>
    <n v="2018.51"/>
    <x v="2"/>
    <s v="New Launch"/>
    <n v="621.84"/>
    <x v="11"/>
  </r>
  <r>
    <x v="406"/>
    <s v="2025-10-29"/>
    <x v="1"/>
    <x v="2"/>
    <x v="3"/>
    <x v="3"/>
    <s v="Chair"/>
    <n v="16"/>
    <n v="158.69"/>
    <n v="2539.04"/>
    <x v="3"/>
    <s v="Brand Awareness"/>
    <n v="408.66"/>
    <x v="11"/>
  </r>
  <r>
    <x v="407"/>
    <s v="2025-11-01"/>
    <x v="3"/>
    <x v="0"/>
    <x v="0"/>
    <x v="3"/>
    <s v="Table"/>
    <n v="5"/>
    <n v="156.65"/>
    <n v="783.25"/>
    <x v="3"/>
    <s v="Referral"/>
    <n v="217.55"/>
    <x v="8"/>
  </r>
  <r>
    <x v="408"/>
    <s v="2025-04-19"/>
    <x v="2"/>
    <x v="0"/>
    <x v="1"/>
    <x v="2"/>
    <s v="Monitor"/>
    <n v="5"/>
    <n v="849.38"/>
    <n v="4246.8999999999996"/>
    <x v="1"/>
    <s v="Referral"/>
    <n v="668.45"/>
    <x v="6"/>
  </r>
  <r>
    <x v="409"/>
    <s v="2025-05-14"/>
    <x v="0"/>
    <x v="4"/>
    <x v="3"/>
    <x v="2"/>
    <s v="Chair"/>
    <n v="7"/>
    <n v="455.67"/>
    <n v="3189.69"/>
    <x v="1"/>
    <s v="Festive Offer"/>
    <n v="656.76"/>
    <x v="2"/>
  </r>
  <r>
    <x v="410"/>
    <s v="2025-04-03"/>
    <x v="1"/>
    <x v="7"/>
    <x v="3"/>
    <x v="0"/>
    <s v="Jacket"/>
    <n v="20"/>
    <n v="502.26"/>
    <n v="10045.200000000001"/>
    <x v="2"/>
    <s v="Festive Offer"/>
    <n v="1366.74"/>
    <x v="6"/>
  </r>
  <r>
    <x v="411"/>
    <s v="2025-06-27"/>
    <x v="0"/>
    <x v="6"/>
    <x v="2"/>
    <x v="3"/>
    <s v="Chair"/>
    <n v="20"/>
    <n v="656.76"/>
    <n v="13135.2"/>
    <x v="0"/>
    <s v="Festive Offer"/>
    <n v="2778.46"/>
    <x v="7"/>
  </r>
  <r>
    <x v="412"/>
    <s v="2025-05-14"/>
    <x v="1"/>
    <x v="7"/>
    <x v="2"/>
    <x v="2"/>
    <s v="Laptop"/>
    <n v="9"/>
    <n v="50.91"/>
    <n v="458.19"/>
    <x v="2"/>
    <s v="Brand Awareness"/>
    <n v="81.12"/>
    <x v="2"/>
  </r>
  <r>
    <x v="413"/>
    <s v="2025-11-20"/>
    <x v="3"/>
    <x v="7"/>
    <x v="1"/>
    <x v="0"/>
    <s v="Chair"/>
    <n v="1"/>
    <n v="940.6"/>
    <n v="940.6"/>
    <x v="0"/>
    <s v="Brand Awareness"/>
    <n v="310.01"/>
    <x v="8"/>
  </r>
  <r>
    <x v="414"/>
    <s v="2025-08-03"/>
    <x v="1"/>
    <x v="1"/>
    <x v="2"/>
    <x v="2"/>
    <s v="Jacket"/>
    <n v="6"/>
    <n v="882.59"/>
    <n v="5295.54"/>
    <x v="5"/>
    <s v="Summer Sale"/>
    <n v="994.29"/>
    <x v="4"/>
  </r>
  <r>
    <x v="415"/>
    <s v="2025-07-07"/>
    <x v="3"/>
    <x v="6"/>
    <x v="1"/>
    <x v="1"/>
    <s v="Mouse"/>
    <n v="4"/>
    <n v="53.33"/>
    <n v="213.32"/>
    <x v="4"/>
    <s v="Brand Awareness"/>
    <n v="52.41"/>
    <x v="9"/>
  </r>
  <r>
    <x v="416"/>
    <s v="2025-11-12"/>
    <x v="3"/>
    <x v="7"/>
    <x v="1"/>
    <x v="2"/>
    <s v="Headphones"/>
    <n v="19"/>
    <n v="617.74"/>
    <n v="11737.06"/>
    <x v="0"/>
    <s v="Brand Awareness"/>
    <n v="2039.2"/>
    <x v="8"/>
  </r>
  <r>
    <x v="417"/>
    <s v="2025-10-21"/>
    <x v="2"/>
    <x v="5"/>
    <x v="1"/>
    <x v="3"/>
    <s v="Shirt"/>
    <n v="20"/>
    <n v="37.22"/>
    <n v="744.4"/>
    <x v="2"/>
    <s v="Referral"/>
    <n v="124.22"/>
    <x v="11"/>
  </r>
  <r>
    <x v="418"/>
    <s v="2025-08-27"/>
    <x v="2"/>
    <x v="6"/>
    <x v="0"/>
    <x v="0"/>
    <s v="Jacket"/>
    <n v="13"/>
    <n v="496.16"/>
    <n v="6450.08"/>
    <x v="3"/>
    <s v="Festive Offer"/>
    <n v="1962.7"/>
    <x v="4"/>
  </r>
  <r>
    <x v="419"/>
    <s v="2025-09-05"/>
    <x v="0"/>
    <x v="0"/>
    <x v="1"/>
    <x v="2"/>
    <s v="Table"/>
    <n v="14"/>
    <n v="426.94"/>
    <n v="5977.16"/>
    <x v="4"/>
    <s v="Festive Offer"/>
    <n v="1060.47"/>
    <x v="5"/>
  </r>
  <r>
    <x v="420"/>
    <s v="2025-10-05"/>
    <x v="2"/>
    <x v="5"/>
    <x v="2"/>
    <x v="3"/>
    <s v="Table"/>
    <n v="7"/>
    <n v="779.43"/>
    <n v="5456.01"/>
    <x v="4"/>
    <s v="Summer Sale"/>
    <n v="1058.8900000000001"/>
    <x v="11"/>
  </r>
  <r>
    <x v="421"/>
    <s v="2025-09-28"/>
    <x v="2"/>
    <x v="5"/>
    <x v="2"/>
    <x v="0"/>
    <s v="Shirt"/>
    <n v="15"/>
    <n v="258.27999999999997"/>
    <n v="3874.2"/>
    <x v="5"/>
    <s v="Brand Awareness"/>
    <n v="743.76"/>
    <x v="5"/>
  </r>
  <r>
    <x v="422"/>
    <s v="2025-03-12"/>
    <x v="0"/>
    <x v="6"/>
    <x v="0"/>
    <x v="1"/>
    <s v="Laptop"/>
    <n v="16"/>
    <n v="30.74"/>
    <n v="491.84"/>
    <x v="3"/>
    <s v="Summer Sale"/>
    <n v="104.72"/>
    <x v="1"/>
  </r>
  <r>
    <x v="423"/>
    <s v="2025-04-14"/>
    <x v="1"/>
    <x v="4"/>
    <x v="0"/>
    <x v="0"/>
    <s v="Jacket"/>
    <n v="8"/>
    <n v="18.45"/>
    <n v="147.6"/>
    <x v="4"/>
    <s v="Referral"/>
    <n v="49.09"/>
    <x v="6"/>
  </r>
  <r>
    <x v="424"/>
    <s v="2025-06-15"/>
    <x v="3"/>
    <x v="5"/>
    <x v="2"/>
    <x v="0"/>
    <s v="Headphones"/>
    <n v="18"/>
    <n v="349.81"/>
    <n v="6296.58"/>
    <x v="5"/>
    <s v="Referral"/>
    <n v="1770.3"/>
    <x v="7"/>
  </r>
  <r>
    <x v="425"/>
    <s v="2025-08-06"/>
    <x v="0"/>
    <x v="7"/>
    <x v="0"/>
    <x v="3"/>
    <s v="Table"/>
    <n v="18"/>
    <n v="445.93"/>
    <n v="8026.74"/>
    <x v="0"/>
    <s v="Summer Sale"/>
    <n v="2290.73"/>
    <x v="4"/>
  </r>
  <r>
    <x v="426"/>
    <s v="2025-05-15"/>
    <x v="0"/>
    <x v="2"/>
    <x v="2"/>
    <x v="2"/>
    <s v="Headphones"/>
    <n v="10"/>
    <n v="460.82"/>
    <n v="4608.2"/>
    <x v="2"/>
    <s v="Summer Sale"/>
    <n v="1123.22"/>
    <x v="2"/>
  </r>
  <r>
    <x v="427"/>
    <s v="2025-03-16"/>
    <x v="1"/>
    <x v="2"/>
    <x v="2"/>
    <x v="1"/>
    <s v="Headphones"/>
    <n v="5"/>
    <n v="138.97"/>
    <n v="694.85"/>
    <x v="1"/>
    <s v="Festive Offer"/>
    <n v="77.180000000000007"/>
    <x v="1"/>
  </r>
  <r>
    <x v="428"/>
    <s v="2025-02-23"/>
    <x v="2"/>
    <x v="0"/>
    <x v="1"/>
    <x v="2"/>
    <s v="Mouse"/>
    <n v="15"/>
    <n v="87.97"/>
    <n v="1319.55"/>
    <x v="2"/>
    <s v="Brand Awareness"/>
    <n v="256.02999999999997"/>
    <x v="0"/>
  </r>
  <r>
    <x v="429"/>
    <s v="2025-02-24"/>
    <x v="2"/>
    <x v="4"/>
    <x v="3"/>
    <x v="3"/>
    <s v="Table"/>
    <n v="12"/>
    <n v="790.95"/>
    <n v="9491.4"/>
    <x v="5"/>
    <s v="Referral"/>
    <n v="3054.33"/>
    <x v="0"/>
  </r>
  <r>
    <x v="430"/>
    <s v="2025-08-11"/>
    <x v="3"/>
    <x v="4"/>
    <x v="0"/>
    <x v="1"/>
    <s v="Laptop"/>
    <n v="5"/>
    <n v="41.22"/>
    <n v="206.1"/>
    <x v="0"/>
    <s v="Festive Offer"/>
    <n v="63.52"/>
    <x v="4"/>
  </r>
  <r>
    <x v="431"/>
    <s v="2025-07-26"/>
    <x v="0"/>
    <x v="3"/>
    <x v="2"/>
    <x v="2"/>
    <s v="Mouse"/>
    <n v="6"/>
    <n v="92.67"/>
    <n v="556.02"/>
    <x v="4"/>
    <s v="Brand Awareness"/>
    <n v="59.43"/>
    <x v="9"/>
  </r>
  <r>
    <x v="432"/>
    <s v="2025-07-23"/>
    <x v="2"/>
    <x v="5"/>
    <x v="0"/>
    <x v="3"/>
    <s v="Monitor"/>
    <n v="5"/>
    <n v="923.67"/>
    <n v="4618.3500000000004"/>
    <x v="2"/>
    <s v="New Launch"/>
    <n v="1335.52"/>
    <x v="9"/>
  </r>
  <r>
    <x v="433"/>
    <s v="2025-02-07"/>
    <x v="0"/>
    <x v="2"/>
    <x v="1"/>
    <x v="0"/>
    <s v="Headphones"/>
    <n v="12"/>
    <n v="186.18"/>
    <n v="2234.16"/>
    <x v="3"/>
    <s v="Brand Awareness"/>
    <n v="702.3"/>
    <x v="0"/>
  </r>
  <r>
    <x v="434"/>
    <s v="2025-01-29"/>
    <x v="0"/>
    <x v="4"/>
    <x v="2"/>
    <x v="3"/>
    <s v="Mouse"/>
    <n v="6"/>
    <n v="698.71"/>
    <n v="4192.26"/>
    <x v="5"/>
    <s v="Summer Sale"/>
    <n v="706.03"/>
    <x v="12"/>
  </r>
  <r>
    <x v="435"/>
    <s v="2025-03-12"/>
    <x v="2"/>
    <x v="5"/>
    <x v="1"/>
    <x v="3"/>
    <s v="Headphones"/>
    <n v="20"/>
    <n v="845.59"/>
    <n v="16911.8"/>
    <x v="3"/>
    <s v="Referral"/>
    <n v="1841.25"/>
    <x v="1"/>
  </r>
  <r>
    <x v="436"/>
    <s v="2025-02-27"/>
    <x v="0"/>
    <x v="7"/>
    <x v="1"/>
    <x v="3"/>
    <s v="Jacket"/>
    <n v="18"/>
    <n v="354.17"/>
    <n v="6375.06"/>
    <x v="1"/>
    <s v="Brand Awareness"/>
    <n v="716.81"/>
    <x v="0"/>
  </r>
  <r>
    <x v="437"/>
    <s v="2025-04-22"/>
    <x v="1"/>
    <x v="3"/>
    <x v="3"/>
    <x v="3"/>
    <s v="Monitor"/>
    <n v="12"/>
    <n v="275.61"/>
    <n v="3307.32"/>
    <x v="1"/>
    <s v="Referral"/>
    <n v="588.41"/>
    <x v="6"/>
  </r>
  <r>
    <x v="438"/>
    <s v="2025-12-20"/>
    <x v="2"/>
    <x v="5"/>
    <x v="0"/>
    <x v="2"/>
    <s v="Monitor"/>
    <n v="7"/>
    <n v="620.91"/>
    <n v="4346.37"/>
    <x v="0"/>
    <s v="Summer Sale"/>
    <n v="915.08"/>
    <x v="10"/>
  </r>
  <r>
    <x v="439"/>
    <s v="2025-12-24"/>
    <x v="3"/>
    <x v="4"/>
    <x v="1"/>
    <x v="3"/>
    <s v="Headphones"/>
    <n v="19"/>
    <n v="381.78"/>
    <n v="7253.82"/>
    <x v="4"/>
    <s v="Brand Awareness"/>
    <n v="1238.71"/>
    <x v="10"/>
  </r>
  <r>
    <x v="440"/>
    <s v="2025-01-08"/>
    <x v="1"/>
    <x v="1"/>
    <x v="2"/>
    <x v="3"/>
    <s v="Laptop"/>
    <n v="10"/>
    <n v="200.82"/>
    <n v="2008.2"/>
    <x v="3"/>
    <s v="Summer Sale"/>
    <n v="552.37"/>
    <x v="12"/>
  </r>
  <r>
    <x v="441"/>
    <s v="2025-05-18"/>
    <x v="0"/>
    <x v="3"/>
    <x v="2"/>
    <x v="3"/>
    <s v="Chair"/>
    <n v="5"/>
    <n v="569.83000000000004"/>
    <n v="2849.15"/>
    <x v="2"/>
    <s v="Brand Awareness"/>
    <n v="672.34"/>
    <x v="2"/>
  </r>
  <r>
    <x v="442"/>
    <s v="2025-12-15"/>
    <x v="1"/>
    <x v="1"/>
    <x v="1"/>
    <x v="3"/>
    <s v="Laptop"/>
    <n v="16"/>
    <n v="725.77"/>
    <n v="11612.32"/>
    <x v="3"/>
    <s v="Brand Awareness"/>
    <n v="1296.3699999999999"/>
    <x v="10"/>
  </r>
  <r>
    <x v="443"/>
    <s v="2025-02-12"/>
    <x v="1"/>
    <x v="2"/>
    <x v="0"/>
    <x v="1"/>
    <s v="Laptop"/>
    <n v="13"/>
    <n v="775.4"/>
    <n v="10080.200000000001"/>
    <x v="4"/>
    <s v="New Launch"/>
    <n v="2165.31"/>
    <x v="0"/>
  </r>
  <r>
    <x v="444"/>
    <s v="2025-09-14"/>
    <x v="2"/>
    <x v="3"/>
    <x v="3"/>
    <x v="3"/>
    <s v="Mouse"/>
    <n v="9"/>
    <n v="828.76"/>
    <n v="7458.84"/>
    <x v="0"/>
    <s v="Brand Awareness"/>
    <n v="2198.98"/>
    <x v="5"/>
  </r>
  <r>
    <x v="445"/>
    <s v="2025-09-05"/>
    <x v="3"/>
    <x v="4"/>
    <x v="3"/>
    <x v="2"/>
    <s v="Headphones"/>
    <n v="4"/>
    <n v="799.93"/>
    <n v="3199.72"/>
    <x v="1"/>
    <s v="Referral"/>
    <n v="333.15"/>
    <x v="5"/>
  </r>
  <r>
    <x v="446"/>
    <s v="2025-12-15"/>
    <x v="2"/>
    <x v="5"/>
    <x v="1"/>
    <x v="3"/>
    <s v="Table"/>
    <n v="17"/>
    <n v="209.62"/>
    <n v="3563.54"/>
    <x v="4"/>
    <s v="Festive Offer"/>
    <n v="360.37"/>
    <x v="10"/>
  </r>
  <r>
    <x v="447"/>
    <s v="2025-10-09"/>
    <x v="0"/>
    <x v="6"/>
    <x v="1"/>
    <x v="3"/>
    <s v="Headphones"/>
    <n v="11"/>
    <n v="722.04"/>
    <n v="7942.44"/>
    <x v="0"/>
    <s v="Festive Offer"/>
    <n v="2338.0700000000002"/>
    <x v="11"/>
  </r>
  <r>
    <x v="448"/>
    <s v="2025-12-08"/>
    <x v="3"/>
    <x v="2"/>
    <x v="0"/>
    <x v="0"/>
    <s v="Monitor"/>
    <n v="4"/>
    <n v="632.48"/>
    <n v="2529.92"/>
    <x v="0"/>
    <s v="Brand Awareness"/>
    <n v="350.39"/>
    <x v="10"/>
  </r>
  <r>
    <x v="449"/>
    <s v="2025-09-29"/>
    <x v="0"/>
    <x v="4"/>
    <x v="1"/>
    <x v="2"/>
    <s v="Jacket"/>
    <n v="3"/>
    <n v="815.13"/>
    <n v="2445.39"/>
    <x v="2"/>
    <s v="Festive Offer"/>
    <n v="602.77"/>
    <x v="5"/>
  </r>
  <r>
    <x v="450"/>
    <s v="2025-01-07"/>
    <x v="1"/>
    <x v="6"/>
    <x v="0"/>
    <x v="3"/>
    <s v="Monitor"/>
    <n v="9"/>
    <n v="672.7"/>
    <n v="6054.3"/>
    <x v="4"/>
    <s v="Summer Sale"/>
    <n v="1264.23"/>
    <x v="12"/>
  </r>
  <r>
    <x v="451"/>
    <s v="2025-02-04"/>
    <x v="1"/>
    <x v="6"/>
    <x v="2"/>
    <x v="1"/>
    <s v="Jacket"/>
    <n v="15"/>
    <n v="587.71"/>
    <n v="8815.65"/>
    <x v="3"/>
    <s v="Brand Awareness"/>
    <n v="1539.61"/>
    <x v="0"/>
  </r>
  <r>
    <x v="452"/>
    <s v="2025-12-20"/>
    <x v="0"/>
    <x v="6"/>
    <x v="3"/>
    <x v="1"/>
    <s v="Shirt"/>
    <n v="11"/>
    <n v="741.86"/>
    <n v="8160.46"/>
    <x v="1"/>
    <s v="Festive Offer"/>
    <n v="2460.4699999999998"/>
    <x v="10"/>
  </r>
  <r>
    <x v="453"/>
    <s v="2025-12-25"/>
    <x v="1"/>
    <x v="3"/>
    <x v="0"/>
    <x v="1"/>
    <s v="Monitor"/>
    <n v="2"/>
    <n v="344.3"/>
    <n v="688.6"/>
    <x v="1"/>
    <s v="Festive Offer"/>
    <n v="90"/>
    <x v="10"/>
  </r>
  <r>
    <x v="454"/>
    <s v="2025-11-25"/>
    <x v="1"/>
    <x v="5"/>
    <x v="2"/>
    <x v="0"/>
    <s v="Headphones"/>
    <n v="8"/>
    <n v="747.2"/>
    <n v="5977.6"/>
    <x v="2"/>
    <s v="Festive Offer"/>
    <n v="1069.06"/>
    <x v="8"/>
  </r>
  <r>
    <x v="455"/>
    <s v="2025-02-16"/>
    <x v="0"/>
    <x v="1"/>
    <x v="1"/>
    <x v="0"/>
    <s v="Laptop"/>
    <n v="9"/>
    <n v="798.13"/>
    <n v="7183.17"/>
    <x v="3"/>
    <s v="New Launch"/>
    <n v="1637.93"/>
    <x v="0"/>
  </r>
  <r>
    <x v="456"/>
    <s v="2025-04-25"/>
    <x v="2"/>
    <x v="2"/>
    <x v="2"/>
    <x v="1"/>
    <s v="Shirt"/>
    <n v="4"/>
    <n v="746.77"/>
    <n v="2987.08"/>
    <x v="0"/>
    <s v="Referral"/>
    <n v="642.87"/>
    <x v="6"/>
  </r>
  <r>
    <x v="457"/>
    <s v="2025-10-20"/>
    <x v="3"/>
    <x v="3"/>
    <x v="2"/>
    <x v="2"/>
    <s v="Jacket"/>
    <n v="13"/>
    <n v="76.239999999999995"/>
    <n v="991.12"/>
    <x v="0"/>
    <s v="Brand Awareness"/>
    <n v="275.52"/>
    <x v="11"/>
  </r>
  <r>
    <x v="458"/>
    <s v="2025-05-11"/>
    <x v="2"/>
    <x v="7"/>
    <x v="0"/>
    <x v="2"/>
    <s v="Jacket"/>
    <n v="7"/>
    <n v="763.78"/>
    <n v="5346.46"/>
    <x v="5"/>
    <s v="Referral"/>
    <n v="1545.6"/>
    <x v="2"/>
  </r>
  <r>
    <x v="459"/>
    <s v="2025-07-23"/>
    <x v="3"/>
    <x v="7"/>
    <x v="3"/>
    <x v="2"/>
    <s v="Mouse"/>
    <n v="18"/>
    <n v="287.60000000000002"/>
    <n v="5176.8"/>
    <x v="2"/>
    <s v="Summer Sale"/>
    <n v="549.71"/>
    <x v="9"/>
  </r>
  <r>
    <x v="460"/>
    <s v="2025-12-03"/>
    <x v="3"/>
    <x v="5"/>
    <x v="0"/>
    <x v="3"/>
    <s v="Headphones"/>
    <n v="10"/>
    <n v="921.41"/>
    <n v="9214.1"/>
    <x v="5"/>
    <s v="Referral"/>
    <n v="1658.34"/>
    <x v="10"/>
  </r>
  <r>
    <x v="461"/>
    <s v="2025-04-04"/>
    <x v="3"/>
    <x v="0"/>
    <x v="3"/>
    <x v="1"/>
    <s v="Table"/>
    <n v="1"/>
    <n v="401.68"/>
    <n v="401.68"/>
    <x v="5"/>
    <s v="Summer Sale"/>
    <n v="139.22"/>
    <x v="6"/>
  </r>
  <r>
    <x v="462"/>
    <s v="2025-05-08"/>
    <x v="1"/>
    <x v="1"/>
    <x v="1"/>
    <x v="3"/>
    <s v="Chair"/>
    <n v="11"/>
    <n v="282.13"/>
    <n v="3103.43"/>
    <x v="0"/>
    <s v="Referral"/>
    <n v="708.34"/>
    <x v="2"/>
  </r>
  <r>
    <x v="463"/>
    <s v="2025-04-15"/>
    <x v="1"/>
    <x v="4"/>
    <x v="0"/>
    <x v="1"/>
    <s v="Monitor"/>
    <n v="19"/>
    <n v="639.89"/>
    <n v="12157.91"/>
    <x v="1"/>
    <s v="Summer Sale"/>
    <n v="2073.08"/>
    <x v="6"/>
  </r>
  <r>
    <x v="464"/>
    <s v="2025-06-18"/>
    <x v="3"/>
    <x v="1"/>
    <x v="3"/>
    <x v="2"/>
    <s v="Headphones"/>
    <n v="12"/>
    <n v="225.92"/>
    <n v="2711.04"/>
    <x v="1"/>
    <s v="Brand Awareness"/>
    <n v="370.5"/>
    <x v="7"/>
  </r>
  <r>
    <x v="465"/>
    <s v="2025-09-07"/>
    <x v="2"/>
    <x v="1"/>
    <x v="0"/>
    <x v="0"/>
    <s v="Chair"/>
    <n v="12"/>
    <n v="147.69999999999999"/>
    <n v="1772.4"/>
    <x v="4"/>
    <s v="Festive Offer"/>
    <n v="443.72"/>
    <x v="5"/>
  </r>
  <r>
    <x v="466"/>
    <s v="2025-08-25"/>
    <x v="2"/>
    <x v="3"/>
    <x v="1"/>
    <x v="1"/>
    <s v="Table"/>
    <n v="7"/>
    <n v="245.61"/>
    <n v="1719.27"/>
    <x v="3"/>
    <s v="New Launch"/>
    <n v="396.69"/>
    <x v="4"/>
  </r>
  <r>
    <x v="467"/>
    <s v="2025-02-18"/>
    <x v="0"/>
    <x v="0"/>
    <x v="3"/>
    <x v="2"/>
    <s v="Table"/>
    <n v="2"/>
    <n v="245.59"/>
    <n v="491.18"/>
    <x v="0"/>
    <s v="Brand Awareness"/>
    <n v="88.56"/>
    <x v="0"/>
  </r>
  <r>
    <x v="468"/>
    <s v="2025-11-28"/>
    <x v="2"/>
    <x v="0"/>
    <x v="0"/>
    <x v="2"/>
    <s v="Jacket"/>
    <n v="18"/>
    <n v="888.83"/>
    <n v="15998.94"/>
    <x v="3"/>
    <s v="New Launch"/>
    <n v="4901.4799999999996"/>
    <x v="8"/>
  </r>
  <r>
    <x v="469"/>
    <s v="2025-10-18"/>
    <x v="1"/>
    <x v="0"/>
    <x v="2"/>
    <x v="3"/>
    <s v="Table"/>
    <n v="12"/>
    <n v="562.46"/>
    <n v="6749.52"/>
    <x v="1"/>
    <s v="Festive Offer"/>
    <n v="1029.28"/>
    <x v="11"/>
  </r>
  <r>
    <x v="470"/>
    <s v="2025-10-16"/>
    <x v="3"/>
    <x v="1"/>
    <x v="1"/>
    <x v="3"/>
    <s v="Headphones"/>
    <n v="13"/>
    <n v="167.31"/>
    <n v="2175.0300000000002"/>
    <x v="4"/>
    <s v="Referral"/>
    <n v="283.56"/>
    <x v="11"/>
  </r>
  <r>
    <x v="471"/>
    <s v="2025-12-20"/>
    <x v="3"/>
    <x v="3"/>
    <x v="2"/>
    <x v="3"/>
    <s v="Headphones"/>
    <n v="19"/>
    <n v="510.97"/>
    <n v="9708.43"/>
    <x v="0"/>
    <s v="Summer Sale"/>
    <n v="980.86"/>
    <x v="10"/>
  </r>
  <r>
    <x v="472"/>
    <s v="2025-05-09"/>
    <x v="0"/>
    <x v="5"/>
    <x v="3"/>
    <x v="2"/>
    <s v="Monitor"/>
    <n v="15"/>
    <n v="287.27999999999997"/>
    <n v="4309.2"/>
    <x v="4"/>
    <s v="Referral"/>
    <n v="1039.67"/>
    <x v="2"/>
  </r>
  <r>
    <x v="473"/>
    <s v="2025-08-19"/>
    <x v="0"/>
    <x v="2"/>
    <x v="1"/>
    <x v="3"/>
    <s v="Table"/>
    <n v="12"/>
    <n v="263.79000000000002"/>
    <n v="3165.48"/>
    <x v="1"/>
    <s v="New Launch"/>
    <n v="783.96"/>
    <x v="4"/>
  </r>
  <r>
    <x v="474"/>
    <s v="2025-01-11"/>
    <x v="3"/>
    <x v="4"/>
    <x v="2"/>
    <x v="1"/>
    <s v="Monitor"/>
    <n v="20"/>
    <n v="184.44"/>
    <n v="3688.8"/>
    <x v="3"/>
    <s v="Festive Offer"/>
    <n v="1234.68"/>
    <x v="12"/>
  </r>
  <r>
    <x v="475"/>
    <s v="2025-03-14"/>
    <x v="3"/>
    <x v="0"/>
    <x v="3"/>
    <x v="3"/>
    <s v="Shirt"/>
    <n v="13"/>
    <n v="409.57"/>
    <n v="5324.41"/>
    <x v="2"/>
    <s v="Summer Sale"/>
    <n v="1118.22"/>
    <x v="1"/>
  </r>
  <r>
    <x v="476"/>
    <s v="2025-08-08"/>
    <x v="2"/>
    <x v="2"/>
    <x v="3"/>
    <x v="0"/>
    <s v="Headphones"/>
    <n v="4"/>
    <n v="745.21"/>
    <n v="2980.84"/>
    <x v="1"/>
    <s v="New Launch"/>
    <n v="398.86"/>
    <x v="4"/>
  </r>
  <r>
    <x v="477"/>
    <s v="2025-07-17"/>
    <x v="0"/>
    <x v="1"/>
    <x v="0"/>
    <x v="1"/>
    <s v="Mouse"/>
    <n v="5"/>
    <n v="46.19"/>
    <n v="230.95"/>
    <x v="1"/>
    <s v="Brand Awareness"/>
    <n v="52.1"/>
    <x v="9"/>
  </r>
  <r>
    <x v="478"/>
    <s v="2025-06-09"/>
    <x v="3"/>
    <x v="3"/>
    <x v="1"/>
    <x v="0"/>
    <s v="Mouse"/>
    <n v="9"/>
    <n v="465.34"/>
    <n v="4188.0600000000004"/>
    <x v="4"/>
    <s v="Brand Awareness"/>
    <n v="980.31"/>
    <x v="7"/>
  </r>
  <r>
    <x v="479"/>
    <s v="2025-08-11"/>
    <x v="2"/>
    <x v="4"/>
    <x v="1"/>
    <x v="1"/>
    <s v="Jacket"/>
    <n v="7"/>
    <n v="836.51"/>
    <n v="5855.57"/>
    <x v="1"/>
    <s v="Brand Awareness"/>
    <n v="1213.6600000000001"/>
    <x v="4"/>
  </r>
  <r>
    <x v="480"/>
    <s v="2025-04-11"/>
    <x v="3"/>
    <x v="3"/>
    <x v="2"/>
    <x v="3"/>
    <s v="Laptop"/>
    <n v="15"/>
    <n v="767.74"/>
    <n v="11516.1"/>
    <x v="3"/>
    <s v="New Launch"/>
    <n v="1459.15"/>
    <x v="6"/>
  </r>
  <r>
    <x v="481"/>
    <s v="2025-05-17"/>
    <x v="1"/>
    <x v="2"/>
    <x v="1"/>
    <x v="1"/>
    <s v="Table"/>
    <n v="15"/>
    <n v="704.51"/>
    <n v="10567.65"/>
    <x v="4"/>
    <s v="Festive Offer"/>
    <n v="3585.86"/>
    <x v="2"/>
  </r>
  <r>
    <x v="482"/>
    <s v="2025-07-27"/>
    <x v="0"/>
    <x v="6"/>
    <x v="2"/>
    <x v="1"/>
    <s v="Table"/>
    <n v="11"/>
    <n v="763.92"/>
    <n v="8403.1200000000008"/>
    <x v="5"/>
    <s v="Festive Offer"/>
    <n v="1988.37"/>
    <x v="9"/>
  </r>
  <r>
    <x v="483"/>
    <s v="2025-07-16"/>
    <x v="3"/>
    <x v="2"/>
    <x v="2"/>
    <x v="1"/>
    <s v="Headphones"/>
    <n v="4"/>
    <n v="719.95"/>
    <n v="2879.8"/>
    <x v="0"/>
    <s v="Referral"/>
    <n v="856.51"/>
    <x v="9"/>
  </r>
  <r>
    <x v="484"/>
    <s v="2025-09-04"/>
    <x v="2"/>
    <x v="1"/>
    <x v="1"/>
    <x v="2"/>
    <s v="Laptop"/>
    <n v="2"/>
    <n v="476.9"/>
    <n v="953.8"/>
    <x v="0"/>
    <s v="Summer Sale"/>
    <n v="117.36"/>
    <x v="5"/>
  </r>
  <r>
    <x v="485"/>
    <s v="2025-09-01"/>
    <x v="3"/>
    <x v="2"/>
    <x v="0"/>
    <x v="0"/>
    <s v="Laptop"/>
    <n v="20"/>
    <n v="481.26"/>
    <n v="9625.2000000000007"/>
    <x v="3"/>
    <s v="Referral"/>
    <n v="3330.33"/>
    <x v="5"/>
  </r>
  <r>
    <x v="486"/>
    <s v="2025-06-14"/>
    <x v="0"/>
    <x v="7"/>
    <x v="2"/>
    <x v="3"/>
    <s v="Chair"/>
    <n v="13"/>
    <n v="79.42"/>
    <n v="1032.46"/>
    <x v="1"/>
    <s v="Brand Awareness"/>
    <n v="297.36"/>
    <x v="7"/>
  </r>
  <r>
    <x v="487"/>
    <s v="2025-08-06"/>
    <x v="1"/>
    <x v="2"/>
    <x v="0"/>
    <x v="0"/>
    <s v="Chair"/>
    <n v="4"/>
    <n v="398.11"/>
    <n v="1592.44"/>
    <x v="2"/>
    <s v="Summer Sale"/>
    <n v="466.83"/>
    <x v="4"/>
  </r>
  <r>
    <x v="488"/>
    <s v="2025-04-18"/>
    <x v="1"/>
    <x v="6"/>
    <x v="3"/>
    <x v="0"/>
    <s v="Shirt"/>
    <n v="20"/>
    <n v="540.73"/>
    <n v="10814.6"/>
    <x v="1"/>
    <s v="Summer Sale"/>
    <n v="2843.58"/>
    <x v="6"/>
  </r>
  <r>
    <x v="489"/>
    <s v="2025-07-15"/>
    <x v="3"/>
    <x v="7"/>
    <x v="0"/>
    <x v="0"/>
    <s v="Chair"/>
    <n v="17"/>
    <n v="411.21"/>
    <n v="6990.57"/>
    <x v="1"/>
    <s v="Festive Offer"/>
    <n v="1254.82"/>
    <x v="9"/>
  </r>
  <r>
    <x v="490"/>
    <s v="2025-02-18"/>
    <x v="2"/>
    <x v="3"/>
    <x v="2"/>
    <x v="1"/>
    <s v="Headphones"/>
    <n v="5"/>
    <n v="43.71"/>
    <n v="218.55"/>
    <x v="1"/>
    <s v="Brand Awareness"/>
    <n v="27.38"/>
    <x v="0"/>
  </r>
  <r>
    <x v="491"/>
    <s v="2025-04-11"/>
    <x v="2"/>
    <x v="6"/>
    <x v="2"/>
    <x v="3"/>
    <s v="Jacket"/>
    <n v="2"/>
    <n v="523.51"/>
    <n v="1047.02"/>
    <x v="0"/>
    <s v="Summer Sale"/>
    <n v="210.97"/>
    <x v="6"/>
  </r>
  <r>
    <x v="492"/>
    <s v="2025-11-07"/>
    <x v="2"/>
    <x v="5"/>
    <x v="3"/>
    <x v="2"/>
    <s v="Chair"/>
    <n v="12"/>
    <n v="342.56"/>
    <n v="4110.72"/>
    <x v="3"/>
    <s v="New Launch"/>
    <n v="1367.12"/>
    <x v="8"/>
  </r>
  <r>
    <x v="493"/>
    <s v="2025-05-05"/>
    <x v="2"/>
    <x v="1"/>
    <x v="0"/>
    <x v="3"/>
    <s v="Chair"/>
    <n v="14"/>
    <n v="135.35"/>
    <n v="1894.9"/>
    <x v="0"/>
    <s v="Festive Offer"/>
    <n v="319.02999999999997"/>
    <x v="2"/>
  </r>
  <r>
    <x v="494"/>
    <s v="2025-08-31"/>
    <x v="3"/>
    <x v="0"/>
    <x v="1"/>
    <x v="2"/>
    <s v="Jacket"/>
    <n v="20"/>
    <n v="158.49"/>
    <n v="3169.8"/>
    <x v="0"/>
    <s v="Referral"/>
    <n v="890.01"/>
    <x v="4"/>
  </r>
  <r>
    <x v="495"/>
    <s v="2025-11-09"/>
    <x v="1"/>
    <x v="2"/>
    <x v="2"/>
    <x v="2"/>
    <s v="Mouse"/>
    <n v="10"/>
    <n v="175.55"/>
    <n v="1755.5"/>
    <x v="3"/>
    <s v="New Launch"/>
    <n v="315.87"/>
    <x v="8"/>
  </r>
  <r>
    <x v="496"/>
    <s v="2025-11-23"/>
    <x v="0"/>
    <x v="5"/>
    <x v="1"/>
    <x v="1"/>
    <s v="Laptop"/>
    <n v="18"/>
    <n v="202.37"/>
    <n v="3642.66"/>
    <x v="3"/>
    <s v="New Launch"/>
    <n v="1088.79"/>
    <x v="8"/>
  </r>
  <r>
    <x v="497"/>
    <s v="2025-07-09"/>
    <x v="2"/>
    <x v="5"/>
    <x v="0"/>
    <x v="1"/>
    <s v="Shirt"/>
    <n v="11"/>
    <n v="602.27"/>
    <n v="6624.97"/>
    <x v="3"/>
    <s v="Brand Awareness"/>
    <n v="1976.57"/>
    <x v="9"/>
  </r>
  <r>
    <x v="498"/>
    <s v="2025-10-31"/>
    <x v="3"/>
    <x v="3"/>
    <x v="0"/>
    <x v="1"/>
    <s v="Monitor"/>
    <n v="1"/>
    <n v="467.55"/>
    <n v="467.55"/>
    <x v="2"/>
    <s v="Festive Offer"/>
    <n v="83.32"/>
    <x v="11"/>
  </r>
  <r>
    <x v="499"/>
    <s v="2025-10-30"/>
    <x v="3"/>
    <x v="6"/>
    <x v="0"/>
    <x v="0"/>
    <s v="Mouse"/>
    <n v="18"/>
    <n v="224.16"/>
    <n v="4034.88"/>
    <x v="3"/>
    <s v="Festive Offer"/>
    <n v="571.91"/>
    <x v="11"/>
  </r>
  <r>
    <x v="500"/>
    <s v="2025-01-31"/>
    <x v="2"/>
    <x v="2"/>
    <x v="0"/>
    <x v="0"/>
    <s v="Monitor"/>
    <n v="20"/>
    <n v="764.51"/>
    <n v="15290.2"/>
    <x v="4"/>
    <s v="New Launch"/>
    <n v="4904.18"/>
    <x v="12"/>
  </r>
  <r>
    <x v="501"/>
    <s v="2025-09-02"/>
    <x v="2"/>
    <x v="6"/>
    <x v="3"/>
    <x v="2"/>
    <s v="Monitor"/>
    <n v="4"/>
    <n v="706.91"/>
    <n v="2827.64"/>
    <x v="4"/>
    <s v="Brand Awareness"/>
    <n v="444.65"/>
    <x v="5"/>
  </r>
  <r>
    <x v="502"/>
    <s v="2025-01-01"/>
    <x v="3"/>
    <x v="0"/>
    <x v="1"/>
    <x v="3"/>
    <s v="Monitor"/>
    <n v="10"/>
    <n v="598.78"/>
    <n v="5987.8"/>
    <x v="3"/>
    <s v="Referral"/>
    <n v="1392.07"/>
    <x v="12"/>
  </r>
  <r>
    <x v="503"/>
    <s v="2025-08-10"/>
    <x v="1"/>
    <x v="7"/>
    <x v="1"/>
    <x v="0"/>
    <s v="Chair"/>
    <n v="15"/>
    <n v="333.22"/>
    <n v="4998.3"/>
    <x v="1"/>
    <s v="New Launch"/>
    <n v="759.41"/>
    <x v="4"/>
  </r>
  <r>
    <x v="504"/>
    <s v="2025-06-20"/>
    <x v="0"/>
    <x v="4"/>
    <x v="2"/>
    <x v="1"/>
    <s v="Jacket"/>
    <n v="7"/>
    <n v="202.03"/>
    <n v="1414.21"/>
    <x v="3"/>
    <s v="Referral"/>
    <n v="188.49"/>
    <x v="7"/>
  </r>
  <r>
    <x v="505"/>
    <s v="2025-09-05"/>
    <x v="1"/>
    <x v="7"/>
    <x v="3"/>
    <x v="2"/>
    <s v="Table"/>
    <n v="8"/>
    <n v="346.71"/>
    <n v="2773.68"/>
    <x v="5"/>
    <s v="Brand Awareness"/>
    <n v="314.12"/>
    <x v="5"/>
  </r>
  <r>
    <x v="506"/>
    <s v="2025-05-04"/>
    <x v="1"/>
    <x v="1"/>
    <x v="1"/>
    <x v="3"/>
    <s v="Mouse"/>
    <n v="1"/>
    <n v="972.39"/>
    <n v="972.39"/>
    <x v="4"/>
    <s v="Festive Offer"/>
    <n v="334.05"/>
    <x v="2"/>
  </r>
  <r>
    <x v="507"/>
    <s v="2025-09-05"/>
    <x v="3"/>
    <x v="5"/>
    <x v="1"/>
    <x v="0"/>
    <s v="Chair"/>
    <n v="3"/>
    <n v="879.1"/>
    <n v="2637.3"/>
    <x v="1"/>
    <s v="Referral"/>
    <n v="888.52"/>
    <x v="5"/>
  </r>
  <r>
    <x v="508"/>
    <s v="2025-02-01"/>
    <x v="2"/>
    <x v="1"/>
    <x v="0"/>
    <x v="2"/>
    <s v="Shirt"/>
    <n v="12"/>
    <n v="688.2"/>
    <n v="8258.4"/>
    <x v="4"/>
    <s v="New Launch"/>
    <n v="2536.44"/>
    <x v="0"/>
  </r>
  <r>
    <x v="509"/>
    <s v="2025-06-20"/>
    <x v="0"/>
    <x v="4"/>
    <x v="0"/>
    <x v="2"/>
    <s v="Headphones"/>
    <n v="7"/>
    <n v="879.88"/>
    <n v="6159.16"/>
    <x v="1"/>
    <s v="New Launch"/>
    <n v="2106.1799999999998"/>
    <x v="7"/>
  </r>
  <r>
    <x v="510"/>
    <s v="2025-09-12"/>
    <x v="3"/>
    <x v="7"/>
    <x v="0"/>
    <x v="1"/>
    <s v="Shirt"/>
    <n v="13"/>
    <n v="419.12"/>
    <n v="5448.56"/>
    <x v="5"/>
    <s v="Festive Offer"/>
    <n v="1687.28"/>
    <x v="5"/>
  </r>
  <r>
    <x v="511"/>
    <s v="2026-01-01"/>
    <x v="2"/>
    <x v="4"/>
    <x v="3"/>
    <x v="3"/>
    <s v="Headphones"/>
    <n v="3"/>
    <n v="239.87"/>
    <n v="719.61"/>
    <x v="4"/>
    <s v="Festive Offer"/>
    <n v="242.31"/>
    <x v="3"/>
  </r>
  <r>
    <x v="512"/>
    <s v="2025-04-18"/>
    <x v="3"/>
    <x v="4"/>
    <x v="2"/>
    <x v="2"/>
    <s v="Monitor"/>
    <n v="3"/>
    <n v="499.99"/>
    <n v="1499.97"/>
    <x v="5"/>
    <s v="Referral"/>
    <n v="174.64"/>
    <x v="6"/>
  </r>
  <r>
    <x v="513"/>
    <s v="2025-07-21"/>
    <x v="1"/>
    <x v="5"/>
    <x v="2"/>
    <x v="2"/>
    <s v="Headphones"/>
    <n v="3"/>
    <n v="561.11"/>
    <n v="1683.33"/>
    <x v="2"/>
    <s v="Summer Sale"/>
    <n v="526.78"/>
    <x v="9"/>
  </r>
  <r>
    <x v="514"/>
    <s v="2025-05-29"/>
    <x v="1"/>
    <x v="4"/>
    <x v="2"/>
    <x v="3"/>
    <s v="Chair"/>
    <n v="5"/>
    <n v="12.68"/>
    <n v="63.4"/>
    <x v="0"/>
    <s v="Summer Sale"/>
    <n v="7.25"/>
    <x v="2"/>
  </r>
  <r>
    <x v="515"/>
    <s v="2025-08-05"/>
    <x v="1"/>
    <x v="6"/>
    <x v="2"/>
    <x v="0"/>
    <s v="Jacket"/>
    <n v="17"/>
    <n v="942.39"/>
    <n v="16020.63"/>
    <x v="4"/>
    <s v="Brand Awareness"/>
    <n v="2552.67"/>
    <x v="4"/>
  </r>
  <r>
    <x v="516"/>
    <s v="2025-01-22"/>
    <x v="1"/>
    <x v="0"/>
    <x v="3"/>
    <x v="2"/>
    <s v="Headphones"/>
    <n v="16"/>
    <n v="753.7"/>
    <n v="12059.2"/>
    <x v="4"/>
    <s v="New Launch"/>
    <n v="3603.74"/>
    <x v="12"/>
  </r>
  <r>
    <x v="517"/>
    <s v="2025-08-21"/>
    <x v="0"/>
    <x v="4"/>
    <x v="2"/>
    <x v="3"/>
    <s v="Chair"/>
    <n v="6"/>
    <n v="215.32"/>
    <n v="1291.92"/>
    <x v="2"/>
    <s v="New Launch"/>
    <n v="406.91"/>
    <x v="4"/>
  </r>
  <r>
    <x v="518"/>
    <s v="2025-10-10"/>
    <x v="1"/>
    <x v="1"/>
    <x v="0"/>
    <x v="2"/>
    <s v="Chair"/>
    <n v="9"/>
    <n v="747.78"/>
    <n v="6730.02"/>
    <x v="5"/>
    <s v="Festive Offer"/>
    <n v="1046.6099999999999"/>
    <x v="11"/>
  </r>
  <r>
    <x v="519"/>
    <s v="2025-05-19"/>
    <x v="2"/>
    <x v="7"/>
    <x v="1"/>
    <x v="3"/>
    <s v="Jacket"/>
    <n v="16"/>
    <n v="550.28"/>
    <n v="8804.48"/>
    <x v="5"/>
    <s v="Festive Offer"/>
    <n v="2707.39"/>
    <x v="2"/>
  </r>
  <r>
    <x v="520"/>
    <s v="2025-04-10"/>
    <x v="2"/>
    <x v="3"/>
    <x v="2"/>
    <x v="0"/>
    <s v="Mouse"/>
    <n v="17"/>
    <n v="962.94"/>
    <n v="16369.98"/>
    <x v="3"/>
    <s v="Summer Sale"/>
    <n v="3116.98"/>
    <x v="6"/>
  </r>
  <r>
    <x v="521"/>
    <s v="2025-09-27"/>
    <x v="3"/>
    <x v="0"/>
    <x v="3"/>
    <x v="1"/>
    <s v="Laptop"/>
    <n v="4"/>
    <n v="294.2"/>
    <n v="1176.8"/>
    <x v="0"/>
    <s v="Summer Sale"/>
    <n v="125.87"/>
    <x v="5"/>
  </r>
  <r>
    <x v="522"/>
    <s v="2025-02-04"/>
    <x v="3"/>
    <x v="3"/>
    <x v="3"/>
    <x v="0"/>
    <s v="Laptop"/>
    <n v="16"/>
    <n v="956.54"/>
    <n v="15304.64"/>
    <x v="1"/>
    <s v="Summer Sale"/>
    <n v="2466.4"/>
    <x v="0"/>
  </r>
  <r>
    <x v="523"/>
    <s v="2025-04-01"/>
    <x v="2"/>
    <x v="0"/>
    <x v="2"/>
    <x v="2"/>
    <s v="Jacket"/>
    <n v="9"/>
    <n v="238.82"/>
    <n v="2149.38"/>
    <x v="4"/>
    <s v="New Launch"/>
    <n v="739.21"/>
    <x v="6"/>
  </r>
  <r>
    <x v="524"/>
    <s v="2025-03-27"/>
    <x v="0"/>
    <x v="4"/>
    <x v="2"/>
    <x v="0"/>
    <s v="Shirt"/>
    <n v="20"/>
    <n v="690.7"/>
    <n v="13814"/>
    <x v="1"/>
    <s v="Referral"/>
    <n v="4312.88"/>
    <x v="1"/>
  </r>
  <r>
    <x v="525"/>
    <s v="2025-11-10"/>
    <x v="2"/>
    <x v="2"/>
    <x v="0"/>
    <x v="1"/>
    <s v="Headphones"/>
    <n v="3"/>
    <n v="708.44"/>
    <n v="2125.3200000000002"/>
    <x v="1"/>
    <s v="New Launch"/>
    <n v="690.8"/>
    <x v="8"/>
  </r>
  <r>
    <x v="526"/>
    <s v="2025-05-18"/>
    <x v="1"/>
    <x v="1"/>
    <x v="1"/>
    <x v="0"/>
    <s v="Jacket"/>
    <n v="6"/>
    <n v="822.66"/>
    <n v="4935.96"/>
    <x v="5"/>
    <s v="Brand Awareness"/>
    <n v="695.1"/>
    <x v="2"/>
  </r>
  <r>
    <x v="527"/>
    <s v="2025-11-06"/>
    <x v="1"/>
    <x v="6"/>
    <x v="3"/>
    <x v="1"/>
    <s v="Table"/>
    <n v="18"/>
    <n v="649.24"/>
    <n v="11686.32"/>
    <x v="2"/>
    <s v="Referral"/>
    <n v="1702.93"/>
    <x v="8"/>
  </r>
  <r>
    <x v="528"/>
    <s v="2025-11-14"/>
    <x v="1"/>
    <x v="5"/>
    <x v="0"/>
    <x v="1"/>
    <s v="Shirt"/>
    <n v="3"/>
    <n v="932.41"/>
    <n v="2797.23"/>
    <x v="2"/>
    <s v="Referral"/>
    <n v="744.02"/>
    <x v="8"/>
  </r>
  <r>
    <x v="529"/>
    <s v="2025-08-02"/>
    <x v="1"/>
    <x v="5"/>
    <x v="2"/>
    <x v="0"/>
    <s v="Headphones"/>
    <n v="4"/>
    <n v="968.15"/>
    <n v="3872.6"/>
    <x v="3"/>
    <s v="Festive Offer"/>
    <n v="405.78"/>
    <x v="4"/>
  </r>
  <r>
    <x v="530"/>
    <s v="2025-06-13"/>
    <x v="1"/>
    <x v="5"/>
    <x v="1"/>
    <x v="2"/>
    <s v="Headphones"/>
    <n v="7"/>
    <n v="650.79999999999995"/>
    <n v="4555.6000000000004"/>
    <x v="1"/>
    <s v="Summer Sale"/>
    <n v="591.83000000000004"/>
    <x v="7"/>
  </r>
  <r>
    <x v="531"/>
    <s v="2025-04-13"/>
    <x v="0"/>
    <x v="7"/>
    <x v="3"/>
    <x v="0"/>
    <s v="Jacket"/>
    <n v="14"/>
    <n v="328.25"/>
    <n v="4595.5"/>
    <x v="4"/>
    <s v="Referral"/>
    <n v="1300.75"/>
    <x v="6"/>
  </r>
  <r>
    <x v="532"/>
    <s v="2025-03-16"/>
    <x v="1"/>
    <x v="4"/>
    <x v="1"/>
    <x v="1"/>
    <s v="Chair"/>
    <n v="4"/>
    <n v="302.02"/>
    <n v="1208.08"/>
    <x v="5"/>
    <s v="Brand Awareness"/>
    <n v="229.03"/>
    <x v="1"/>
  </r>
  <r>
    <x v="533"/>
    <s v="2025-04-22"/>
    <x v="2"/>
    <x v="6"/>
    <x v="3"/>
    <x v="0"/>
    <s v="Table"/>
    <n v="9"/>
    <n v="589.79999999999995"/>
    <n v="5308.2"/>
    <x v="4"/>
    <s v="Summer Sale"/>
    <n v="1394.85"/>
    <x v="6"/>
  </r>
  <r>
    <x v="534"/>
    <s v="2025-02-14"/>
    <x v="1"/>
    <x v="3"/>
    <x v="3"/>
    <x v="3"/>
    <s v="Headphones"/>
    <n v="17"/>
    <n v="608.4"/>
    <n v="10342.799999999999"/>
    <x v="2"/>
    <s v="Brand Awareness"/>
    <n v="3537.4"/>
    <x v="0"/>
  </r>
  <r>
    <x v="535"/>
    <s v="2025-11-24"/>
    <x v="0"/>
    <x v="3"/>
    <x v="0"/>
    <x v="1"/>
    <s v="Laptop"/>
    <n v="4"/>
    <n v="138.53"/>
    <n v="554.12"/>
    <x v="3"/>
    <s v="Brand Awareness"/>
    <n v="123.75"/>
    <x v="8"/>
  </r>
  <r>
    <x v="536"/>
    <s v="2025-10-23"/>
    <x v="0"/>
    <x v="7"/>
    <x v="1"/>
    <x v="0"/>
    <s v="Shirt"/>
    <n v="19"/>
    <n v="881.08"/>
    <n v="16740.52"/>
    <x v="1"/>
    <s v="Brand Awareness"/>
    <n v="4023.24"/>
    <x v="11"/>
  </r>
  <r>
    <x v="537"/>
    <s v="2025-02-16"/>
    <x v="1"/>
    <x v="5"/>
    <x v="2"/>
    <x v="1"/>
    <s v="Jacket"/>
    <n v="13"/>
    <n v="355.64"/>
    <n v="4623.32"/>
    <x v="1"/>
    <s v="Referral"/>
    <n v="558.54"/>
    <x v="0"/>
  </r>
  <r>
    <x v="538"/>
    <s v="2025-01-07"/>
    <x v="0"/>
    <x v="5"/>
    <x v="2"/>
    <x v="3"/>
    <s v="Mouse"/>
    <n v="11"/>
    <n v="244.6"/>
    <n v="2690.6"/>
    <x v="1"/>
    <s v="Festive Offer"/>
    <n v="878.13"/>
    <x v="12"/>
  </r>
  <r>
    <x v="539"/>
    <s v="2025-03-21"/>
    <x v="1"/>
    <x v="6"/>
    <x v="1"/>
    <x v="2"/>
    <s v="Headphones"/>
    <n v="11"/>
    <n v="501.04"/>
    <n v="5511.44"/>
    <x v="4"/>
    <s v="Referral"/>
    <n v="1084.3699999999999"/>
    <x v="1"/>
  </r>
  <r>
    <x v="540"/>
    <s v="2025-11-14"/>
    <x v="1"/>
    <x v="5"/>
    <x v="2"/>
    <x v="0"/>
    <s v="Headphones"/>
    <n v="9"/>
    <n v="997.3"/>
    <n v="8975.7000000000007"/>
    <x v="1"/>
    <s v="Referral"/>
    <n v="1284.07"/>
    <x v="8"/>
  </r>
  <r>
    <x v="541"/>
    <s v="2025-09-19"/>
    <x v="0"/>
    <x v="1"/>
    <x v="2"/>
    <x v="2"/>
    <s v="Mouse"/>
    <n v="14"/>
    <n v="518.28"/>
    <n v="7255.92"/>
    <x v="3"/>
    <s v="Referral"/>
    <n v="2369.42"/>
    <x v="5"/>
  </r>
  <r>
    <x v="542"/>
    <s v="2025-06-09"/>
    <x v="0"/>
    <x v="6"/>
    <x v="1"/>
    <x v="1"/>
    <s v="Laptop"/>
    <n v="15"/>
    <n v="584.9"/>
    <n v="8773.5"/>
    <x v="3"/>
    <s v="Referral"/>
    <n v="2947.58"/>
    <x v="7"/>
  </r>
  <r>
    <x v="543"/>
    <s v="2025-10-05"/>
    <x v="2"/>
    <x v="0"/>
    <x v="0"/>
    <x v="3"/>
    <s v="Chair"/>
    <n v="17"/>
    <n v="401.09"/>
    <n v="6818.53"/>
    <x v="3"/>
    <s v="Referral"/>
    <n v="1439.11"/>
    <x v="11"/>
  </r>
  <r>
    <x v="544"/>
    <s v="2025-12-04"/>
    <x v="3"/>
    <x v="4"/>
    <x v="3"/>
    <x v="3"/>
    <s v="Headphones"/>
    <n v="16"/>
    <n v="696.95"/>
    <n v="11151.2"/>
    <x v="3"/>
    <s v="Brand Awareness"/>
    <n v="1685.92"/>
    <x v="10"/>
  </r>
  <r>
    <x v="545"/>
    <s v="2025-10-02"/>
    <x v="1"/>
    <x v="5"/>
    <x v="0"/>
    <x v="2"/>
    <s v="Headphones"/>
    <n v="19"/>
    <n v="967.29"/>
    <n v="18378.509999999998"/>
    <x v="2"/>
    <s v="Summer Sale"/>
    <n v="5850.89"/>
    <x v="11"/>
  </r>
  <r>
    <x v="546"/>
    <s v="2025-10-26"/>
    <x v="2"/>
    <x v="0"/>
    <x v="3"/>
    <x v="0"/>
    <s v="Table"/>
    <n v="20"/>
    <n v="869.58"/>
    <n v="17391.599999999999"/>
    <x v="3"/>
    <s v="Festive Offer"/>
    <n v="2794.57"/>
    <x v="11"/>
  </r>
  <r>
    <x v="547"/>
    <s v="2025-02-11"/>
    <x v="0"/>
    <x v="5"/>
    <x v="0"/>
    <x v="0"/>
    <s v="Shirt"/>
    <n v="8"/>
    <n v="851.25"/>
    <n v="6810"/>
    <x v="4"/>
    <s v="New Launch"/>
    <n v="1070.23"/>
    <x v="0"/>
  </r>
  <r>
    <x v="548"/>
    <s v="2025-11-17"/>
    <x v="2"/>
    <x v="6"/>
    <x v="1"/>
    <x v="1"/>
    <s v="Chair"/>
    <n v="13"/>
    <n v="247.51"/>
    <n v="3217.63"/>
    <x v="1"/>
    <s v="Festive Offer"/>
    <n v="345.59"/>
    <x v="8"/>
  </r>
  <r>
    <x v="549"/>
    <s v="2025-01-20"/>
    <x v="0"/>
    <x v="3"/>
    <x v="1"/>
    <x v="0"/>
    <s v="Monitor"/>
    <n v="16"/>
    <n v="569.41"/>
    <n v="9110.56"/>
    <x v="3"/>
    <s v="Summer Sale"/>
    <n v="1082.68"/>
    <x v="12"/>
  </r>
  <r>
    <x v="550"/>
    <s v="2025-05-27"/>
    <x v="0"/>
    <x v="2"/>
    <x v="1"/>
    <x v="3"/>
    <s v="Shirt"/>
    <n v="8"/>
    <n v="964.63"/>
    <n v="7717.04"/>
    <x v="5"/>
    <s v="New Launch"/>
    <n v="1327.9"/>
    <x v="2"/>
  </r>
  <r>
    <x v="551"/>
    <s v="2025-12-16"/>
    <x v="3"/>
    <x v="3"/>
    <x v="1"/>
    <x v="2"/>
    <s v="Headphones"/>
    <n v="2"/>
    <n v="985.07"/>
    <n v="1970.14"/>
    <x v="5"/>
    <s v="Referral"/>
    <n v="441.77"/>
    <x v="10"/>
  </r>
  <r>
    <x v="552"/>
    <s v="2025-09-23"/>
    <x v="2"/>
    <x v="0"/>
    <x v="2"/>
    <x v="3"/>
    <s v="Jacket"/>
    <n v="20"/>
    <n v="260.31"/>
    <n v="5206.2"/>
    <x v="1"/>
    <s v="Summer Sale"/>
    <n v="984.52"/>
    <x v="5"/>
  </r>
  <r>
    <x v="553"/>
    <s v="2025-01-09"/>
    <x v="2"/>
    <x v="7"/>
    <x v="1"/>
    <x v="3"/>
    <s v="Monitor"/>
    <n v="12"/>
    <n v="894.55"/>
    <n v="10734.6"/>
    <x v="0"/>
    <s v="Summer Sale"/>
    <n v="1815.1"/>
    <x v="12"/>
  </r>
  <r>
    <x v="554"/>
    <s v="2025-01-08"/>
    <x v="2"/>
    <x v="4"/>
    <x v="1"/>
    <x v="1"/>
    <s v="Shirt"/>
    <n v="9"/>
    <n v="527.99"/>
    <n v="4751.91"/>
    <x v="1"/>
    <s v="New Launch"/>
    <n v="1517.38"/>
    <x v="12"/>
  </r>
  <r>
    <x v="555"/>
    <s v="2025-11-11"/>
    <x v="0"/>
    <x v="3"/>
    <x v="0"/>
    <x v="1"/>
    <s v="Laptop"/>
    <n v="4"/>
    <n v="882.89"/>
    <n v="3531.56"/>
    <x v="1"/>
    <s v="Brand Awareness"/>
    <n v="890.38"/>
    <x v="8"/>
  </r>
  <r>
    <x v="556"/>
    <s v="2025-11-24"/>
    <x v="0"/>
    <x v="0"/>
    <x v="3"/>
    <x v="2"/>
    <s v="Table"/>
    <n v="20"/>
    <n v="930.56"/>
    <n v="18611.2"/>
    <x v="5"/>
    <s v="Brand Awareness"/>
    <n v="4706.84"/>
    <x v="8"/>
  </r>
  <r>
    <x v="557"/>
    <s v="2025-02-01"/>
    <x v="2"/>
    <x v="2"/>
    <x v="2"/>
    <x v="3"/>
    <s v="Laptop"/>
    <n v="20"/>
    <n v="425.82"/>
    <n v="8516.4"/>
    <x v="5"/>
    <s v="Summer Sale"/>
    <n v="2647.74"/>
    <x v="0"/>
  </r>
  <r>
    <x v="558"/>
    <s v="2025-10-30"/>
    <x v="3"/>
    <x v="2"/>
    <x v="1"/>
    <x v="0"/>
    <s v="Shirt"/>
    <n v="10"/>
    <n v="254.61"/>
    <n v="2546.1"/>
    <x v="4"/>
    <s v="Summer Sale"/>
    <n v="579.29999999999995"/>
    <x v="11"/>
  </r>
  <r>
    <x v="559"/>
    <s v="2025-02-26"/>
    <x v="1"/>
    <x v="5"/>
    <x v="3"/>
    <x v="2"/>
    <s v="Laptop"/>
    <n v="7"/>
    <n v="289.8"/>
    <n v="2028.6"/>
    <x v="0"/>
    <s v="Summer Sale"/>
    <n v="515.79999999999995"/>
    <x v="0"/>
  </r>
  <r>
    <x v="560"/>
    <s v="2025-06-23"/>
    <x v="2"/>
    <x v="7"/>
    <x v="0"/>
    <x v="3"/>
    <s v="Shirt"/>
    <n v="4"/>
    <n v="69.16"/>
    <n v="276.64"/>
    <x v="0"/>
    <s v="Referral"/>
    <n v="43.19"/>
    <x v="7"/>
  </r>
  <r>
    <x v="561"/>
    <s v="2025-06-07"/>
    <x v="3"/>
    <x v="1"/>
    <x v="1"/>
    <x v="1"/>
    <s v="Jacket"/>
    <n v="14"/>
    <n v="491.42"/>
    <n v="6879.88"/>
    <x v="1"/>
    <s v="New Launch"/>
    <n v="824.88"/>
    <x v="7"/>
  </r>
  <r>
    <x v="562"/>
    <s v="2025-12-21"/>
    <x v="1"/>
    <x v="4"/>
    <x v="3"/>
    <x v="0"/>
    <s v="Headphones"/>
    <n v="19"/>
    <n v="124.49"/>
    <n v="2365.31"/>
    <x v="2"/>
    <s v="Summer Sale"/>
    <n v="323.92"/>
    <x v="10"/>
  </r>
  <r>
    <x v="563"/>
    <s v="2025-07-09"/>
    <x v="3"/>
    <x v="4"/>
    <x v="1"/>
    <x v="1"/>
    <s v="Table"/>
    <n v="11"/>
    <n v="990.96"/>
    <n v="10900.56"/>
    <x v="1"/>
    <s v="Brand Awareness"/>
    <n v="2244.75"/>
    <x v="9"/>
  </r>
  <r>
    <x v="564"/>
    <s v="2025-07-12"/>
    <x v="1"/>
    <x v="3"/>
    <x v="3"/>
    <x v="2"/>
    <s v="Jacket"/>
    <n v="19"/>
    <n v="457.82"/>
    <n v="8698.58"/>
    <x v="5"/>
    <s v="Summer Sale"/>
    <n v="2896.08"/>
    <x v="9"/>
  </r>
  <r>
    <x v="565"/>
    <s v="2025-05-07"/>
    <x v="0"/>
    <x v="5"/>
    <x v="0"/>
    <x v="0"/>
    <s v="Mouse"/>
    <n v="3"/>
    <n v="236.33"/>
    <n v="708.99"/>
    <x v="5"/>
    <s v="Brand Awareness"/>
    <n v="154.94999999999999"/>
    <x v="2"/>
  </r>
  <r>
    <x v="566"/>
    <s v="2025-12-14"/>
    <x v="3"/>
    <x v="0"/>
    <x v="1"/>
    <x v="2"/>
    <s v="Jacket"/>
    <n v="14"/>
    <n v="230.34"/>
    <n v="3224.76"/>
    <x v="1"/>
    <s v="Brand Awareness"/>
    <n v="501.3"/>
    <x v="10"/>
  </r>
  <r>
    <x v="567"/>
    <s v="2025-03-22"/>
    <x v="1"/>
    <x v="5"/>
    <x v="2"/>
    <x v="1"/>
    <s v="Mouse"/>
    <n v="7"/>
    <n v="75.040000000000006"/>
    <n v="525.28"/>
    <x v="0"/>
    <s v="New Launch"/>
    <n v="127.16"/>
    <x v="1"/>
  </r>
  <r>
    <x v="568"/>
    <s v="2025-02-16"/>
    <x v="0"/>
    <x v="4"/>
    <x v="1"/>
    <x v="1"/>
    <s v="Shirt"/>
    <n v="9"/>
    <n v="67.7"/>
    <n v="609.29999999999995"/>
    <x v="4"/>
    <s v="Summer Sale"/>
    <n v="69.33"/>
    <x v="0"/>
  </r>
  <r>
    <x v="569"/>
    <s v="2025-08-28"/>
    <x v="3"/>
    <x v="1"/>
    <x v="2"/>
    <x v="2"/>
    <s v="Table"/>
    <n v="18"/>
    <n v="680.45"/>
    <n v="12248.1"/>
    <x v="0"/>
    <s v="New Launch"/>
    <n v="3025.62"/>
    <x v="4"/>
  </r>
  <r>
    <x v="570"/>
    <s v="2025-10-30"/>
    <x v="3"/>
    <x v="1"/>
    <x v="0"/>
    <x v="2"/>
    <s v="Laptop"/>
    <n v="3"/>
    <n v="237"/>
    <n v="711"/>
    <x v="3"/>
    <s v="Referral"/>
    <n v="192.94"/>
    <x v="11"/>
  </r>
  <r>
    <x v="571"/>
    <s v="2025-02-22"/>
    <x v="1"/>
    <x v="5"/>
    <x v="2"/>
    <x v="3"/>
    <s v="Table"/>
    <n v="15"/>
    <n v="742.23"/>
    <n v="11133.45"/>
    <x v="1"/>
    <s v="Festive Offer"/>
    <n v="2455.3200000000002"/>
    <x v="0"/>
  </r>
  <r>
    <x v="572"/>
    <s v="2025-12-09"/>
    <x v="1"/>
    <x v="7"/>
    <x v="1"/>
    <x v="3"/>
    <s v="Laptop"/>
    <n v="20"/>
    <n v="662.59"/>
    <n v="13251.8"/>
    <x v="3"/>
    <s v="Festive Offer"/>
    <n v="2843.39"/>
    <x v="10"/>
  </r>
  <r>
    <x v="573"/>
    <s v="2025-03-17"/>
    <x v="1"/>
    <x v="7"/>
    <x v="1"/>
    <x v="2"/>
    <s v="Laptop"/>
    <n v="15"/>
    <n v="363.7"/>
    <n v="5455.5"/>
    <x v="1"/>
    <s v="Brand Awareness"/>
    <n v="761.43"/>
    <x v="1"/>
  </r>
  <r>
    <x v="574"/>
    <s v="2025-02-20"/>
    <x v="1"/>
    <x v="7"/>
    <x v="2"/>
    <x v="1"/>
    <s v="Table"/>
    <n v="17"/>
    <n v="617.78"/>
    <n v="10502.26"/>
    <x v="3"/>
    <s v="Summer Sale"/>
    <n v="1908.66"/>
    <x v="0"/>
  </r>
  <r>
    <x v="575"/>
    <s v="2025-06-16"/>
    <x v="1"/>
    <x v="1"/>
    <x v="3"/>
    <x v="0"/>
    <s v="Jacket"/>
    <n v="10"/>
    <n v="634.84"/>
    <n v="6348.4"/>
    <x v="3"/>
    <s v="Summer Sale"/>
    <n v="2023.2"/>
    <x v="7"/>
  </r>
  <r>
    <x v="576"/>
    <s v="2025-08-03"/>
    <x v="0"/>
    <x v="5"/>
    <x v="1"/>
    <x v="0"/>
    <s v="Chair"/>
    <n v="4"/>
    <n v="818.99"/>
    <n v="3275.96"/>
    <x v="4"/>
    <s v="Referral"/>
    <n v="397.31"/>
    <x v="4"/>
  </r>
  <r>
    <x v="577"/>
    <s v="2025-12-15"/>
    <x v="3"/>
    <x v="0"/>
    <x v="1"/>
    <x v="3"/>
    <s v="Mouse"/>
    <n v="5"/>
    <n v="858.79"/>
    <n v="4293.95"/>
    <x v="5"/>
    <s v="New Launch"/>
    <n v="1326.66"/>
    <x v="10"/>
  </r>
  <r>
    <x v="578"/>
    <s v="2025-06-16"/>
    <x v="3"/>
    <x v="5"/>
    <x v="0"/>
    <x v="0"/>
    <s v="Headphones"/>
    <n v="11"/>
    <n v="657.52"/>
    <n v="7232.72"/>
    <x v="5"/>
    <s v="Summer Sale"/>
    <n v="1543.17"/>
    <x v="7"/>
  </r>
  <r>
    <x v="579"/>
    <s v="2025-04-12"/>
    <x v="3"/>
    <x v="0"/>
    <x v="3"/>
    <x v="1"/>
    <s v="Mouse"/>
    <n v="9"/>
    <n v="190.33"/>
    <n v="1712.97"/>
    <x v="3"/>
    <s v="Summer Sale"/>
    <n v="207.71"/>
    <x v="6"/>
  </r>
  <r>
    <x v="580"/>
    <s v="2025-08-24"/>
    <x v="2"/>
    <x v="2"/>
    <x v="3"/>
    <x v="3"/>
    <s v="Laptop"/>
    <n v="12"/>
    <n v="312.2"/>
    <n v="3746.4"/>
    <x v="0"/>
    <s v="Brand Awareness"/>
    <n v="987.35"/>
    <x v="4"/>
  </r>
  <r>
    <x v="581"/>
    <s v="2025-10-16"/>
    <x v="3"/>
    <x v="3"/>
    <x v="3"/>
    <x v="3"/>
    <s v="Shirt"/>
    <n v="6"/>
    <n v="206.85"/>
    <n v="1241.0999999999999"/>
    <x v="2"/>
    <s v="New Launch"/>
    <n v="232.1"/>
    <x v="11"/>
  </r>
  <r>
    <x v="582"/>
    <s v="2025-03-17"/>
    <x v="1"/>
    <x v="0"/>
    <x v="3"/>
    <x v="2"/>
    <s v="Jacket"/>
    <n v="6"/>
    <n v="335.83"/>
    <n v="2014.98"/>
    <x v="1"/>
    <s v="Festive Offer"/>
    <n v="475.3"/>
    <x v="1"/>
  </r>
  <r>
    <x v="583"/>
    <s v="2025-02-04"/>
    <x v="0"/>
    <x v="3"/>
    <x v="3"/>
    <x v="0"/>
    <s v="Mouse"/>
    <n v="18"/>
    <n v="496.39"/>
    <n v="8935.02"/>
    <x v="3"/>
    <s v="Brand Awareness"/>
    <n v="2139.52"/>
    <x v="0"/>
  </r>
  <r>
    <x v="584"/>
    <s v="2025-09-04"/>
    <x v="3"/>
    <x v="7"/>
    <x v="2"/>
    <x v="3"/>
    <s v="Monitor"/>
    <n v="4"/>
    <n v="930"/>
    <n v="3720"/>
    <x v="2"/>
    <s v="Summer Sale"/>
    <n v="806.87"/>
    <x v="5"/>
  </r>
  <r>
    <x v="585"/>
    <s v="2025-10-14"/>
    <x v="2"/>
    <x v="1"/>
    <x v="1"/>
    <x v="1"/>
    <s v="Jacket"/>
    <n v="14"/>
    <n v="985.56"/>
    <n v="13797.84"/>
    <x v="4"/>
    <s v="Summer Sale"/>
    <n v="3061.6"/>
    <x v="11"/>
  </r>
  <r>
    <x v="586"/>
    <s v="2025-12-07"/>
    <x v="2"/>
    <x v="0"/>
    <x v="2"/>
    <x v="1"/>
    <s v="Monitor"/>
    <n v="16"/>
    <n v="301.55"/>
    <n v="4824.8"/>
    <x v="5"/>
    <s v="Summer Sale"/>
    <n v="1637.62"/>
    <x v="10"/>
  </r>
  <r>
    <x v="587"/>
    <s v="2025-12-03"/>
    <x v="1"/>
    <x v="0"/>
    <x v="3"/>
    <x v="2"/>
    <s v="Chair"/>
    <n v="13"/>
    <n v="665.07"/>
    <n v="8645.91"/>
    <x v="1"/>
    <s v="Festive Offer"/>
    <n v="1339.1"/>
    <x v="10"/>
  </r>
  <r>
    <x v="588"/>
    <s v="2025-10-23"/>
    <x v="0"/>
    <x v="1"/>
    <x v="0"/>
    <x v="2"/>
    <s v="Table"/>
    <n v="11"/>
    <n v="685.19"/>
    <n v="7537.09"/>
    <x v="4"/>
    <s v="Festive Offer"/>
    <n v="2481.4899999999998"/>
    <x v="11"/>
  </r>
  <r>
    <x v="589"/>
    <s v="2025-08-14"/>
    <x v="1"/>
    <x v="5"/>
    <x v="0"/>
    <x v="1"/>
    <s v="Jacket"/>
    <n v="5"/>
    <n v="737.41"/>
    <n v="3687.05"/>
    <x v="3"/>
    <s v="Brand Awareness"/>
    <n v="1012.21"/>
    <x v="4"/>
  </r>
  <r>
    <x v="590"/>
    <s v="2025-08-16"/>
    <x v="3"/>
    <x v="6"/>
    <x v="1"/>
    <x v="0"/>
    <s v="Chair"/>
    <n v="11"/>
    <n v="959.07"/>
    <n v="10549.77"/>
    <x v="5"/>
    <s v="Summer Sale"/>
    <n v="3323.48"/>
    <x v="4"/>
  </r>
  <r>
    <x v="591"/>
    <s v="2025-03-31"/>
    <x v="3"/>
    <x v="2"/>
    <x v="3"/>
    <x v="2"/>
    <s v="Jacket"/>
    <n v="20"/>
    <n v="971.04"/>
    <n v="19420.8"/>
    <x v="4"/>
    <s v="Summer Sale"/>
    <n v="2205.13"/>
    <x v="1"/>
  </r>
  <r>
    <x v="592"/>
    <s v="2025-10-08"/>
    <x v="1"/>
    <x v="7"/>
    <x v="0"/>
    <x v="0"/>
    <s v="Monitor"/>
    <n v="11"/>
    <n v="289.44"/>
    <n v="3183.84"/>
    <x v="0"/>
    <s v="Summer Sale"/>
    <n v="719.72"/>
    <x v="11"/>
  </r>
  <r>
    <x v="593"/>
    <s v="2025-02-21"/>
    <x v="3"/>
    <x v="3"/>
    <x v="2"/>
    <x v="3"/>
    <s v="Monitor"/>
    <n v="3"/>
    <n v="79.92"/>
    <n v="239.76"/>
    <x v="1"/>
    <s v="Summer Sale"/>
    <n v="56.31"/>
    <x v="0"/>
  </r>
  <r>
    <x v="594"/>
    <s v="2025-08-12"/>
    <x v="0"/>
    <x v="3"/>
    <x v="0"/>
    <x v="2"/>
    <s v="Headphones"/>
    <n v="19"/>
    <n v="723.5"/>
    <n v="13746.5"/>
    <x v="5"/>
    <s v="New Launch"/>
    <n v="2755.57"/>
    <x v="4"/>
  </r>
  <r>
    <x v="595"/>
    <s v="2025-10-25"/>
    <x v="1"/>
    <x v="2"/>
    <x v="0"/>
    <x v="2"/>
    <s v="Chair"/>
    <n v="14"/>
    <n v="281.58"/>
    <n v="3942.12"/>
    <x v="4"/>
    <s v="Festive Offer"/>
    <n v="987.58"/>
    <x v="11"/>
  </r>
  <r>
    <x v="596"/>
    <s v="2025-08-10"/>
    <x v="1"/>
    <x v="3"/>
    <x v="2"/>
    <x v="1"/>
    <s v="Mouse"/>
    <n v="2"/>
    <n v="511.95"/>
    <n v="1023.9"/>
    <x v="2"/>
    <s v="Referral"/>
    <n v="128.57"/>
    <x v="4"/>
  </r>
  <r>
    <x v="597"/>
    <s v="2025-07-02"/>
    <x v="2"/>
    <x v="7"/>
    <x v="2"/>
    <x v="1"/>
    <s v="Shirt"/>
    <n v="20"/>
    <n v="502.78"/>
    <n v="10055.6"/>
    <x v="0"/>
    <s v="Referral"/>
    <n v="1814.55"/>
    <x v="9"/>
  </r>
  <r>
    <x v="598"/>
    <s v="2025-10-19"/>
    <x v="2"/>
    <x v="2"/>
    <x v="3"/>
    <x v="3"/>
    <s v="Shirt"/>
    <n v="11"/>
    <n v="838.14"/>
    <n v="9219.5400000000009"/>
    <x v="2"/>
    <s v="Brand Awareness"/>
    <n v="2908.69"/>
    <x v="11"/>
  </r>
  <r>
    <x v="599"/>
    <s v="2025-05-30"/>
    <x v="1"/>
    <x v="6"/>
    <x v="2"/>
    <x v="2"/>
    <s v="Table"/>
    <n v="20"/>
    <n v="866.9"/>
    <n v="17338"/>
    <x v="1"/>
    <s v="Summer Sale"/>
    <n v="5719.49"/>
    <x v="2"/>
  </r>
  <r>
    <x v="600"/>
    <s v="2025-01-31"/>
    <x v="2"/>
    <x v="4"/>
    <x v="1"/>
    <x v="0"/>
    <s v="Headphones"/>
    <n v="15"/>
    <n v="833.84"/>
    <n v="12507.6"/>
    <x v="4"/>
    <s v="New Launch"/>
    <n v="2401.84"/>
    <x v="12"/>
  </r>
  <r>
    <x v="601"/>
    <s v="2025-08-31"/>
    <x v="3"/>
    <x v="5"/>
    <x v="0"/>
    <x v="3"/>
    <s v="Jacket"/>
    <n v="6"/>
    <n v="181.77"/>
    <n v="1090.6199999999999"/>
    <x v="0"/>
    <s v="New Launch"/>
    <n v="291.31"/>
    <x v="4"/>
  </r>
  <r>
    <x v="602"/>
    <s v="2025-06-26"/>
    <x v="1"/>
    <x v="1"/>
    <x v="0"/>
    <x v="2"/>
    <s v="Headphones"/>
    <n v="9"/>
    <n v="23.56"/>
    <n v="212.04"/>
    <x v="5"/>
    <s v="Summer Sale"/>
    <n v="35.520000000000003"/>
    <x v="7"/>
  </r>
  <r>
    <x v="603"/>
    <s v="2025-07-19"/>
    <x v="1"/>
    <x v="3"/>
    <x v="3"/>
    <x v="1"/>
    <s v="Jacket"/>
    <n v="20"/>
    <n v="739.46"/>
    <n v="14789.2"/>
    <x v="0"/>
    <s v="Referral"/>
    <n v="1601.59"/>
    <x v="9"/>
  </r>
  <r>
    <x v="604"/>
    <s v="2025-07-25"/>
    <x v="0"/>
    <x v="3"/>
    <x v="1"/>
    <x v="0"/>
    <s v="Monitor"/>
    <n v="16"/>
    <n v="567.38"/>
    <n v="9078.08"/>
    <x v="2"/>
    <s v="Summer Sale"/>
    <n v="2748.83"/>
    <x v="9"/>
  </r>
  <r>
    <x v="605"/>
    <s v="2025-10-30"/>
    <x v="1"/>
    <x v="6"/>
    <x v="3"/>
    <x v="2"/>
    <s v="Shirt"/>
    <n v="5"/>
    <n v="488.5"/>
    <n v="2442.5"/>
    <x v="4"/>
    <s v="Summer Sale"/>
    <n v="754.04"/>
    <x v="11"/>
  </r>
  <r>
    <x v="606"/>
    <s v="2025-03-10"/>
    <x v="1"/>
    <x v="1"/>
    <x v="3"/>
    <x v="1"/>
    <s v="Table"/>
    <n v="11"/>
    <n v="911.74"/>
    <n v="10029.14"/>
    <x v="0"/>
    <s v="New Launch"/>
    <n v="1446.9"/>
    <x v="1"/>
  </r>
  <r>
    <x v="607"/>
    <s v="2025-05-06"/>
    <x v="0"/>
    <x v="2"/>
    <x v="0"/>
    <x v="3"/>
    <s v="Chair"/>
    <n v="15"/>
    <n v="881.67"/>
    <n v="13225.05"/>
    <x v="1"/>
    <s v="Brand Awareness"/>
    <n v="3009.63"/>
    <x v="2"/>
  </r>
  <r>
    <x v="608"/>
    <s v="2025-05-24"/>
    <x v="1"/>
    <x v="5"/>
    <x v="1"/>
    <x v="2"/>
    <s v="Chair"/>
    <n v="1"/>
    <n v="759.11"/>
    <n v="759.11"/>
    <x v="3"/>
    <s v="Brand Awareness"/>
    <n v="120.99"/>
    <x v="2"/>
  </r>
  <r>
    <x v="609"/>
    <s v="2025-09-14"/>
    <x v="2"/>
    <x v="3"/>
    <x v="3"/>
    <x v="1"/>
    <s v="Shirt"/>
    <n v="17"/>
    <n v="44"/>
    <n v="748"/>
    <x v="2"/>
    <s v="Brand Awareness"/>
    <n v="109.94"/>
    <x v="5"/>
  </r>
  <r>
    <x v="610"/>
    <s v="2025-03-18"/>
    <x v="1"/>
    <x v="6"/>
    <x v="3"/>
    <x v="3"/>
    <s v="Mouse"/>
    <n v="8"/>
    <n v="921.81"/>
    <n v="7374.48"/>
    <x v="0"/>
    <s v="New Launch"/>
    <n v="2471.7199999999998"/>
    <x v="1"/>
  </r>
  <r>
    <x v="611"/>
    <s v="2025-09-10"/>
    <x v="3"/>
    <x v="7"/>
    <x v="1"/>
    <x v="0"/>
    <s v="Laptop"/>
    <n v="17"/>
    <n v="932.16"/>
    <n v="15846.72"/>
    <x v="3"/>
    <s v="New Launch"/>
    <n v="2501.75"/>
    <x v="5"/>
  </r>
  <r>
    <x v="612"/>
    <s v="2025-06-18"/>
    <x v="0"/>
    <x v="2"/>
    <x v="2"/>
    <x v="1"/>
    <s v="Mouse"/>
    <n v="1"/>
    <n v="594.79"/>
    <n v="594.79"/>
    <x v="0"/>
    <s v="Summer Sale"/>
    <n v="103.31"/>
    <x v="7"/>
  </r>
  <r>
    <x v="613"/>
    <s v="2025-07-04"/>
    <x v="3"/>
    <x v="4"/>
    <x v="3"/>
    <x v="0"/>
    <s v="Laptop"/>
    <n v="3"/>
    <n v="217.6"/>
    <n v="652.79999999999995"/>
    <x v="2"/>
    <s v="Brand Awareness"/>
    <n v="220.18"/>
    <x v="9"/>
  </r>
  <r>
    <x v="614"/>
    <s v="2025-02-13"/>
    <x v="0"/>
    <x v="3"/>
    <x v="1"/>
    <x v="2"/>
    <s v="Jacket"/>
    <n v="5"/>
    <n v="227.61"/>
    <n v="1138.05"/>
    <x v="4"/>
    <s v="Festive Offer"/>
    <n v="210.63"/>
    <x v="0"/>
  </r>
  <r>
    <x v="615"/>
    <s v="2025-12-09"/>
    <x v="1"/>
    <x v="4"/>
    <x v="2"/>
    <x v="1"/>
    <s v="Headphones"/>
    <n v="19"/>
    <n v="630.38"/>
    <n v="11977.22"/>
    <x v="0"/>
    <s v="Referral"/>
    <n v="2944.21"/>
    <x v="10"/>
  </r>
  <r>
    <x v="616"/>
    <s v="2025-10-30"/>
    <x v="2"/>
    <x v="5"/>
    <x v="1"/>
    <x v="2"/>
    <s v="Table"/>
    <n v="7"/>
    <n v="582.82000000000005"/>
    <n v="4079.74"/>
    <x v="3"/>
    <s v="Brand Awareness"/>
    <n v="454.01"/>
    <x v="11"/>
  </r>
  <r>
    <x v="617"/>
    <s v="2025-05-01"/>
    <x v="2"/>
    <x v="5"/>
    <x v="0"/>
    <x v="1"/>
    <s v="Monitor"/>
    <n v="20"/>
    <n v="803.96"/>
    <n v="16079.2"/>
    <x v="1"/>
    <s v="Brand Awareness"/>
    <n v="2796.24"/>
    <x v="2"/>
  </r>
  <r>
    <x v="618"/>
    <s v="2025-12-12"/>
    <x v="2"/>
    <x v="7"/>
    <x v="0"/>
    <x v="0"/>
    <s v="Table"/>
    <n v="12"/>
    <n v="961.34"/>
    <n v="11536.08"/>
    <x v="2"/>
    <s v="Summer Sale"/>
    <n v="1920.97"/>
    <x v="10"/>
  </r>
  <r>
    <x v="619"/>
    <s v="2025-07-08"/>
    <x v="2"/>
    <x v="0"/>
    <x v="2"/>
    <x v="2"/>
    <s v="Jacket"/>
    <n v="15"/>
    <n v="651.69000000000005"/>
    <n v="9775.35"/>
    <x v="1"/>
    <s v="Referral"/>
    <n v="2834.42"/>
    <x v="9"/>
  </r>
  <r>
    <x v="620"/>
    <s v="2025-03-08"/>
    <x v="2"/>
    <x v="1"/>
    <x v="0"/>
    <x v="2"/>
    <s v="Table"/>
    <n v="17"/>
    <n v="799.39"/>
    <n v="13589.63"/>
    <x v="5"/>
    <s v="Brand Awareness"/>
    <n v="3015.7"/>
    <x v="1"/>
  </r>
  <r>
    <x v="621"/>
    <s v="2025-12-28"/>
    <x v="2"/>
    <x v="1"/>
    <x v="2"/>
    <x v="2"/>
    <s v="Laptop"/>
    <n v="9"/>
    <n v="183"/>
    <n v="1647"/>
    <x v="3"/>
    <s v="Summer Sale"/>
    <n v="548.25"/>
    <x v="10"/>
  </r>
  <r>
    <x v="622"/>
    <s v="2025-07-02"/>
    <x v="0"/>
    <x v="0"/>
    <x v="1"/>
    <x v="0"/>
    <s v="Jacket"/>
    <n v="6"/>
    <n v="322.27999999999997"/>
    <n v="1933.68"/>
    <x v="2"/>
    <s v="Festive Offer"/>
    <n v="413.48"/>
    <x v="9"/>
  </r>
  <r>
    <x v="623"/>
    <s v="2025-04-02"/>
    <x v="3"/>
    <x v="5"/>
    <x v="3"/>
    <x v="2"/>
    <s v="Headphones"/>
    <n v="20"/>
    <n v="697.71"/>
    <n v="13954.2"/>
    <x v="3"/>
    <s v="Referral"/>
    <n v="2245.79"/>
    <x v="6"/>
  </r>
  <r>
    <x v="624"/>
    <s v="2025-01-09"/>
    <x v="3"/>
    <x v="6"/>
    <x v="3"/>
    <x v="2"/>
    <s v="Laptop"/>
    <n v="11"/>
    <n v="944.08"/>
    <n v="10384.879999999999"/>
    <x v="2"/>
    <s v="New Launch"/>
    <n v="1610.96"/>
    <x v="12"/>
  </r>
  <r>
    <x v="625"/>
    <s v="2025-09-13"/>
    <x v="0"/>
    <x v="6"/>
    <x v="3"/>
    <x v="1"/>
    <s v="Jacket"/>
    <n v="18"/>
    <n v="52.61"/>
    <n v="946.98"/>
    <x v="3"/>
    <s v="Brand Awareness"/>
    <n v="276.33"/>
    <x v="5"/>
  </r>
  <r>
    <x v="626"/>
    <s v="2025-01-28"/>
    <x v="3"/>
    <x v="7"/>
    <x v="3"/>
    <x v="2"/>
    <s v="Mouse"/>
    <n v="16"/>
    <n v="614.49"/>
    <n v="9831.84"/>
    <x v="1"/>
    <s v="Summer Sale"/>
    <n v="1585.16"/>
    <x v="12"/>
  </r>
  <r>
    <x v="627"/>
    <s v="2025-09-22"/>
    <x v="1"/>
    <x v="0"/>
    <x v="1"/>
    <x v="0"/>
    <s v="Mouse"/>
    <n v="10"/>
    <n v="496.96"/>
    <n v="4969.6000000000004"/>
    <x v="0"/>
    <s v="Summer Sale"/>
    <n v="1576.15"/>
    <x v="5"/>
  </r>
  <r>
    <x v="628"/>
    <s v="2025-03-15"/>
    <x v="3"/>
    <x v="4"/>
    <x v="0"/>
    <x v="2"/>
    <s v="Table"/>
    <n v="5"/>
    <n v="771.19"/>
    <n v="3855.95"/>
    <x v="3"/>
    <s v="Referral"/>
    <n v="1301.46"/>
    <x v="1"/>
  </r>
  <r>
    <x v="629"/>
    <s v="2025-06-15"/>
    <x v="0"/>
    <x v="0"/>
    <x v="0"/>
    <x v="2"/>
    <s v="Shirt"/>
    <n v="8"/>
    <n v="649.96"/>
    <n v="5199.68"/>
    <x v="2"/>
    <s v="Referral"/>
    <n v="879.81"/>
    <x v="7"/>
  </r>
  <r>
    <x v="630"/>
    <s v="2025-01-19"/>
    <x v="0"/>
    <x v="4"/>
    <x v="3"/>
    <x v="2"/>
    <s v="Table"/>
    <n v="13"/>
    <n v="46.55"/>
    <n v="605.15"/>
    <x v="5"/>
    <s v="New Launch"/>
    <n v="189.19"/>
    <x v="12"/>
  </r>
  <r>
    <x v="631"/>
    <s v="2025-03-09"/>
    <x v="1"/>
    <x v="0"/>
    <x v="2"/>
    <x v="3"/>
    <s v="Jacket"/>
    <n v="9"/>
    <n v="387.54"/>
    <n v="3487.86"/>
    <x v="3"/>
    <s v="Summer Sale"/>
    <n v="523.88"/>
    <x v="1"/>
  </r>
  <r>
    <x v="632"/>
    <s v="2025-04-06"/>
    <x v="2"/>
    <x v="2"/>
    <x v="1"/>
    <x v="0"/>
    <s v="Monitor"/>
    <n v="14"/>
    <n v="223.17"/>
    <n v="3124.38"/>
    <x v="4"/>
    <s v="Referral"/>
    <n v="537.5"/>
    <x v="6"/>
  </r>
  <r>
    <x v="633"/>
    <s v="2025-12-28"/>
    <x v="1"/>
    <x v="3"/>
    <x v="2"/>
    <x v="0"/>
    <s v="Shirt"/>
    <n v="1"/>
    <n v="195.85"/>
    <n v="195.85"/>
    <x v="5"/>
    <s v="Brand Awareness"/>
    <n v="60.22"/>
    <x v="10"/>
  </r>
  <r>
    <x v="634"/>
    <s v="2025-01-27"/>
    <x v="3"/>
    <x v="3"/>
    <x v="3"/>
    <x v="1"/>
    <s v="Monitor"/>
    <n v="18"/>
    <n v="461.02"/>
    <n v="8298.36"/>
    <x v="3"/>
    <s v="Festive Offer"/>
    <n v="1660.48"/>
    <x v="12"/>
  </r>
  <r>
    <x v="635"/>
    <s v="2025-10-08"/>
    <x v="3"/>
    <x v="6"/>
    <x v="2"/>
    <x v="2"/>
    <s v="Headphones"/>
    <n v="9"/>
    <n v="891.16"/>
    <n v="8020.44"/>
    <x v="2"/>
    <s v="New Launch"/>
    <n v="1428.42"/>
    <x v="11"/>
  </r>
  <r>
    <x v="636"/>
    <s v="2025-10-24"/>
    <x v="0"/>
    <x v="3"/>
    <x v="3"/>
    <x v="2"/>
    <s v="Jacket"/>
    <n v="16"/>
    <n v="768.85"/>
    <n v="12301.6"/>
    <x v="5"/>
    <s v="Festive Offer"/>
    <n v="1458.66"/>
    <x v="11"/>
  </r>
  <r>
    <x v="637"/>
    <s v="2025-06-02"/>
    <x v="2"/>
    <x v="2"/>
    <x v="1"/>
    <x v="2"/>
    <s v="Laptop"/>
    <n v="8"/>
    <n v="504.32"/>
    <n v="4034.56"/>
    <x v="5"/>
    <s v="Brand Awareness"/>
    <n v="568.83000000000004"/>
    <x v="7"/>
  </r>
  <r>
    <x v="638"/>
    <s v="2025-03-26"/>
    <x v="1"/>
    <x v="1"/>
    <x v="1"/>
    <x v="2"/>
    <s v="Chair"/>
    <n v="15"/>
    <n v="220.44"/>
    <n v="3306.6"/>
    <x v="4"/>
    <s v="New Launch"/>
    <n v="962.96"/>
    <x v="1"/>
  </r>
  <r>
    <x v="639"/>
    <s v="2025-12-15"/>
    <x v="3"/>
    <x v="0"/>
    <x v="1"/>
    <x v="3"/>
    <s v="Mouse"/>
    <n v="4"/>
    <n v="326.94"/>
    <n v="1307.76"/>
    <x v="3"/>
    <s v="Festive Offer"/>
    <n v="441.01"/>
    <x v="10"/>
  </r>
  <r>
    <x v="640"/>
    <s v="2025-10-16"/>
    <x v="2"/>
    <x v="3"/>
    <x v="3"/>
    <x v="3"/>
    <s v="Shirt"/>
    <n v="18"/>
    <n v="406.46"/>
    <n v="7316.28"/>
    <x v="2"/>
    <s v="Brand Awareness"/>
    <n v="1283.46"/>
    <x v="11"/>
  </r>
  <r>
    <x v="641"/>
    <s v="2025-04-16"/>
    <x v="2"/>
    <x v="2"/>
    <x v="1"/>
    <x v="0"/>
    <s v="Shirt"/>
    <n v="14"/>
    <n v="197.01"/>
    <n v="2758.14"/>
    <x v="5"/>
    <s v="Festive Offer"/>
    <n v="905.87"/>
    <x v="6"/>
  </r>
  <r>
    <x v="642"/>
    <s v="2025-05-12"/>
    <x v="0"/>
    <x v="5"/>
    <x v="3"/>
    <x v="2"/>
    <s v="Monitor"/>
    <n v="8"/>
    <n v="726.1"/>
    <n v="5808.8"/>
    <x v="4"/>
    <s v="Festive Offer"/>
    <n v="2032.29"/>
    <x v="2"/>
  </r>
  <r>
    <x v="643"/>
    <s v="2025-06-30"/>
    <x v="3"/>
    <x v="7"/>
    <x v="1"/>
    <x v="0"/>
    <s v="Laptop"/>
    <n v="11"/>
    <n v="397.51"/>
    <n v="4372.6099999999997"/>
    <x v="0"/>
    <s v="Brand Awareness"/>
    <n v="1017.98"/>
    <x v="7"/>
  </r>
  <r>
    <x v="644"/>
    <s v="2025-12-01"/>
    <x v="3"/>
    <x v="2"/>
    <x v="3"/>
    <x v="0"/>
    <s v="Table"/>
    <n v="6"/>
    <n v="87.45"/>
    <n v="524.70000000000005"/>
    <x v="3"/>
    <s v="Summer Sale"/>
    <n v="66.61"/>
    <x v="10"/>
  </r>
  <r>
    <x v="645"/>
    <s v="2025-10-28"/>
    <x v="2"/>
    <x v="0"/>
    <x v="2"/>
    <x v="3"/>
    <s v="Table"/>
    <n v="17"/>
    <n v="452.9"/>
    <n v="7699.3"/>
    <x v="5"/>
    <s v="Referral"/>
    <n v="2556.61"/>
    <x v="11"/>
  </r>
  <r>
    <x v="646"/>
    <s v="2025-07-09"/>
    <x v="0"/>
    <x v="0"/>
    <x v="1"/>
    <x v="2"/>
    <s v="Jacket"/>
    <n v="9"/>
    <n v="466.68"/>
    <n v="4200.12"/>
    <x v="0"/>
    <s v="Summer Sale"/>
    <n v="742.13"/>
    <x v="9"/>
  </r>
  <r>
    <x v="647"/>
    <s v="2025-10-08"/>
    <x v="3"/>
    <x v="6"/>
    <x v="0"/>
    <x v="3"/>
    <s v="Shirt"/>
    <n v="2"/>
    <n v="946.22"/>
    <n v="1892.44"/>
    <x v="0"/>
    <s v="New Launch"/>
    <n v="647.08000000000004"/>
    <x v="11"/>
  </r>
  <r>
    <x v="648"/>
    <s v="2025-09-12"/>
    <x v="2"/>
    <x v="2"/>
    <x v="1"/>
    <x v="0"/>
    <s v="Shirt"/>
    <n v="3"/>
    <n v="38.950000000000003"/>
    <n v="116.85"/>
    <x v="3"/>
    <s v="Referral"/>
    <n v="40.11"/>
    <x v="5"/>
  </r>
  <r>
    <x v="649"/>
    <s v="2025-07-06"/>
    <x v="2"/>
    <x v="3"/>
    <x v="2"/>
    <x v="1"/>
    <s v="Chair"/>
    <n v="5"/>
    <n v="866.15"/>
    <n v="4330.75"/>
    <x v="1"/>
    <s v="Referral"/>
    <n v="1000.29"/>
    <x v="9"/>
  </r>
  <r>
    <x v="650"/>
    <s v="2025-08-20"/>
    <x v="0"/>
    <x v="4"/>
    <x v="2"/>
    <x v="2"/>
    <s v="Jacket"/>
    <n v="16"/>
    <n v="581.41999999999996"/>
    <n v="9302.7199999999993"/>
    <x v="1"/>
    <s v="Festive Offer"/>
    <n v="3100.4"/>
    <x v="4"/>
  </r>
  <r>
    <x v="651"/>
    <s v="2025-02-05"/>
    <x v="2"/>
    <x v="0"/>
    <x v="1"/>
    <x v="0"/>
    <s v="Table"/>
    <n v="17"/>
    <n v="219.14"/>
    <n v="3725.38"/>
    <x v="1"/>
    <s v="Brand Awareness"/>
    <n v="1114.9100000000001"/>
    <x v="0"/>
  </r>
  <r>
    <x v="652"/>
    <s v="2025-05-20"/>
    <x v="1"/>
    <x v="7"/>
    <x v="2"/>
    <x v="1"/>
    <s v="Mouse"/>
    <n v="13"/>
    <n v="435.11"/>
    <n v="5656.43"/>
    <x v="2"/>
    <s v="Brand Awareness"/>
    <n v="1222.3900000000001"/>
    <x v="2"/>
  </r>
  <r>
    <x v="653"/>
    <s v="2025-08-04"/>
    <x v="1"/>
    <x v="4"/>
    <x v="3"/>
    <x v="1"/>
    <s v="Headphones"/>
    <n v="7"/>
    <n v="552.73"/>
    <n v="3869.11"/>
    <x v="5"/>
    <s v="Referral"/>
    <n v="890.51"/>
    <x v="4"/>
  </r>
  <r>
    <x v="654"/>
    <s v="2025-02-13"/>
    <x v="2"/>
    <x v="7"/>
    <x v="1"/>
    <x v="0"/>
    <s v="Monitor"/>
    <n v="15"/>
    <n v="279.52999999999997"/>
    <n v="4192.95"/>
    <x v="0"/>
    <s v="Referral"/>
    <n v="562.03"/>
    <x v="0"/>
  </r>
  <r>
    <x v="655"/>
    <s v="2025-05-23"/>
    <x v="1"/>
    <x v="0"/>
    <x v="0"/>
    <x v="0"/>
    <s v="Shirt"/>
    <n v="5"/>
    <n v="143.26"/>
    <n v="716.3"/>
    <x v="5"/>
    <s v="Festive Offer"/>
    <n v="178.67"/>
    <x v="2"/>
  </r>
  <r>
    <x v="656"/>
    <s v="2025-01-26"/>
    <x v="3"/>
    <x v="1"/>
    <x v="1"/>
    <x v="2"/>
    <s v="Mouse"/>
    <n v="15"/>
    <n v="477.27"/>
    <n v="7159.05"/>
    <x v="1"/>
    <s v="Referral"/>
    <n v="2364.94"/>
    <x v="12"/>
  </r>
  <r>
    <x v="657"/>
    <s v="2025-01-13"/>
    <x v="3"/>
    <x v="5"/>
    <x v="3"/>
    <x v="0"/>
    <s v="Chair"/>
    <n v="2"/>
    <n v="568.03"/>
    <n v="1136.06"/>
    <x v="2"/>
    <s v="Brand Awareness"/>
    <n v="154.49"/>
    <x v="12"/>
  </r>
  <r>
    <x v="658"/>
    <s v="2025-10-27"/>
    <x v="1"/>
    <x v="0"/>
    <x v="1"/>
    <x v="3"/>
    <s v="Headphones"/>
    <n v="18"/>
    <n v="765.12"/>
    <n v="13772.16"/>
    <x v="1"/>
    <s v="Summer Sale"/>
    <n v="4757.9799999999996"/>
    <x v="11"/>
  </r>
  <r>
    <x v="659"/>
    <s v="2025-02-07"/>
    <x v="3"/>
    <x v="1"/>
    <x v="0"/>
    <x v="0"/>
    <s v="Headphones"/>
    <n v="12"/>
    <n v="642.83000000000004"/>
    <n v="7713.96"/>
    <x v="5"/>
    <s v="Referral"/>
    <n v="1176.21"/>
    <x v="0"/>
  </r>
  <r>
    <x v="660"/>
    <s v="2025-12-07"/>
    <x v="0"/>
    <x v="5"/>
    <x v="1"/>
    <x v="2"/>
    <s v="Shirt"/>
    <n v="3"/>
    <n v="830.9"/>
    <n v="2492.6999999999998"/>
    <x v="4"/>
    <s v="Referral"/>
    <n v="410.34"/>
    <x v="10"/>
  </r>
  <r>
    <x v="661"/>
    <s v="2025-06-13"/>
    <x v="2"/>
    <x v="3"/>
    <x v="1"/>
    <x v="1"/>
    <s v="Mouse"/>
    <n v="17"/>
    <n v="292.06"/>
    <n v="4965.0200000000004"/>
    <x v="3"/>
    <s v="New Launch"/>
    <n v="554.41999999999996"/>
    <x v="7"/>
  </r>
  <r>
    <x v="662"/>
    <s v="2025-08-04"/>
    <x v="3"/>
    <x v="3"/>
    <x v="1"/>
    <x v="1"/>
    <s v="Mouse"/>
    <n v="4"/>
    <n v="198.33"/>
    <n v="793.32"/>
    <x v="4"/>
    <s v="Referral"/>
    <n v="228.8"/>
    <x v="4"/>
  </r>
  <r>
    <x v="663"/>
    <s v="2025-07-09"/>
    <x v="1"/>
    <x v="1"/>
    <x v="1"/>
    <x v="1"/>
    <s v="Monitor"/>
    <n v="12"/>
    <n v="681.48"/>
    <n v="8177.76"/>
    <x v="4"/>
    <s v="Summer Sale"/>
    <n v="2767.46"/>
    <x v="9"/>
  </r>
  <r>
    <x v="664"/>
    <s v="2025-02-25"/>
    <x v="1"/>
    <x v="2"/>
    <x v="1"/>
    <x v="2"/>
    <s v="Laptop"/>
    <n v="11"/>
    <n v="847.21"/>
    <n v="9319.31"/>
    <x v="5"/>
    <s v="Referral"/>
    <n v="2027.37"/>
    <x v="0"/>
  </r>
  <r>
    <x v="665"/>
    <s v="2025-09-21"/>
    <x v="2"/>
    <x v="0"/>
    <x v="1"/>
    <x v="1"/>
    <s v="Chair"/>
    <n v="14"/>
    <n v="854.58"/>
    <n v="11964.12"/>
    <x v="3"/>
    <s v="Referral"/>
    <n v="2037.23"/>
    <x v="5"/>
  </r>
  <r>
    <x v="666"/>
    <s v="2025-04-10"/>
    <x v="0"/>
    <x v="6"/>
    <x v="1"/>
    <x v="1"/>
    <s v="Laptop"/>
    <n v="8"/>
    <n v="533.77"/>
    <n v="4270.16"/>
    <x v="3"/>
    <s v="Brand Awareness"/>
    <n v="433.25"/>
    <x v="6"/>
  </r>
  <r>
    <x v="667"/>
    <s v="2025-01-21"/>
    <x v="0"/>
    <x v="5"/>
    <x v="0"/>
    <x v="1"/>
    <s v="Table"/>
    <n v="16"/>
    <n v="533.61"/>
    <n v="8537.76"/>
    <x v="0"/>
    <s v="Brand Awareness"/>
    <n v="1231.26"/>
    <x v="12"/>
  </r>
  <r>
    <x v="668"/>
    <s v="2025-06-27"/>
    <x v="2"/>
    <x v="2"/>
    <x v="3"/>
    <x v="3"/>
    <s v="Shirt"/>
    <n v="17"/>
    <n v="921.56"/>
    <n v="15666.52"/>
    <x v="1"/>
    <s v="Referral"/>
    <n v="2581.9"/>
    <x v="7"/>
  </r>
  <r>
    <x v="669"/>
    <s v="2025-10-18"/>
    <x v="3"/>
    <x v="0"/>
    <x v="1"/>
    <x v="0"/>
    <s v="Shirt"/>
    <n v="13"/>
    <n v="647.19000000000005"/>
    <n v="8413.4699999999993"/>
    <x v="3"/>
    <s v="Brand Awareness"/>
    <n v="1412.96"/>
    <x v="11"/>
  </r>
  <r>
    <x v="670"/>
    <s v="2025-09-09"/>
    <x v="0"/>
    <x v="4"/>
    <x v="3"/>
    <x v="1"/>
    <s v="Monitor"/>
    <n v="11"/>
    <n v="337.89"/>
    <n v="3716.79"/>
    <x v="1"/>
    <s v="Referral"/>
    <n v="483.93"/>
    <x v="5"/>
  </r>
  <r>
    <x v="671"/>
    <s v="2025-01-13"/>
    <x v="0"/>
    <x v="3"/>
    <x v="3"/>
    <x v="3"/>
    <s v="Monitor"/>
    <n v="20"/>
    <n v="627.08000000000004"/>
    <n v="12541.6"/>
    <x v="4"/>
    <s v="Referral"/>
    <n v="2981.5"/>
    <x v="12"/>
  </r>
  <r>
    <x v="672"/>
    <s v="2025-03-06"/>
    <x v="1"/>
    <x v="4"/>
    <x v="1"/>
    <x v="0"/>
    <s v="Mouse"/>
    <n v="2"/>
    <n v="660.07"/>
    <n v="1320.14"/>
    <x v="0"/>
    <s v="Summer Sale"/>
    <n v="316.10000000000002"/>
    <x v="1"/>
  </r>
  <r>
    <x v="673"/>
    <s v="2025-02-22"/>
    <x v="2"/>
    <x v="6"/>
    <x v="1"/>
    <x v="2"/>
    <s v="Shirt"/>
    <n v="2"/>
    <n v="846.75"/>
    <n v="1693.5"/>
    <x v="0"/>
    <s v="Referral"/>
    <n v="444.1"/>
    <x v="0"/>
  </r>
  <r>
    <x v="674"/>
    <s v="2025-09-10"/>
    <x v="1"/>
    <x v="5"/>
    <x v="2"/>
    <x v="3"/>
    <s v="Table"/>
    <n v="9"/>
    <n v="844.3"/>
    <n v="7598.7"/>
    <x v="1"/>
    <s v="New Launch"/>
    <n v="904.7"/>
    <x v="5"/>
  </r>
  <r>
    <x v="675"/>
    <s v="2025-04-01"/>
    <x v="0"/>
    <x v="3"/>
    <x v="0"/>
    <x v="1"/>
    <s v="Headphones"/>
    <n v="14"/>
    <n v="413.7"/>
    <n v="5791.8"/>
    <x v="0"/>
    <s v="Summer Sale"/>
    <n v="996.51"/>
    <x v="6"/>
  </r>
  <r>
    <x v="676"/>
    <s v="2025-02-15"/>
    <x v="0"/>
    <x v="1"/>
    <x v="0"/>
    <x v="2"/>
    <s v="Chair"/>
    <n v="6"/>
    <n v="584.17999999999995"/>
    <n v="3505.08"/>
    <x v="5"/>
    <s v="Brand Awareness"/>
    <n v="1130.49"/>
    <x v="0"/>
  </r>
  <r>
    <x v="677"/>
    <s v="2025-09-02"/>
    <x v="0"/>
    <x v="6"/>
    <x v="2"/>
    <x v="0"/>
    <s v="Mouse"/>
    <n v="15"/>
    <n v="543.01"/>
    <n v="8145.15"/>
    <x v="4"/>
    <s v="Summer Sale"/>
    <n v="1252.27"/>
    <x v="5"/>
  </r>
  <r>
    <x v="678"/>
    <s v="2025-08-20"/>
    <x v="1"/>
    <x v="0"/>
    <x v="0"/>
    <x v="1"/>
    <s v="Monitor"/>
    <n v="16"/>
    <n v="244.36"/>
    <n v="3909.76"/>
    <x v="3"/>
    <s v="Festive Offer"/>
    <n v="1091.27"/>
    <x v="4"/>
  </r>
  <r>
    <x v="679"/>
    <s v="2025-04-20"/>
    <x v="1"/>
    <x v="4"/>
    <x v="0"/>
    <x v="1"/>
    <s v="Jacket"/>
    <n v="15"/>
    <n v="512.23"/>
    <n v="7683.45"/>
    <x v="1"/>
    <s v="Festive Offer"/>
    <n v="2067.69"/>
    <x v="6"/>
  </r>
  <r>
    <x v="680"/>
    <s v="2025-03-15"/>
    <x v="1"/>
    <x v="0"/>
    <x v="0"/>
    <x v="3"/>
    <s v="Shirt"/>
    <n v="8"/>
    <n v="51.54"/>
    <n v="412.32"/>
    <x v="0"/>
    <s v="Brand Awareness"/>
    <n v="117.34"/>
    <x v="1"/>
  </r>
  <r>
    <x v="681"/>
    <s v="2025-05-22"/>
    <x v="2"/>
    <x v="4"/>
    <x v="2"/>
    <x v="1"/>
    <s v="Mouse"/>
    <n v="19"/>
    <n v="199.35"/>
    <n v="3787.65"/>
    <x v="2"/>
    <s v="Brand Awareness"/>
    <n v="1229.23"/>
    <x v="2"/>
  </r>
  <r>
    <x v="682"/>
    <s v="2025-09-23"/>
    <x v="2"/>
    <x v="4"/>
    <x v="1"/>
    <x v="0"/>
    <s v="Table"/>
    <n v="6"/>
    <n v="93.71"/>
    <n v="562.26"/>
    <x v="1"/>
    <s v="Festive Offer"/>
    <n v="56.23"/>
    <x v="5"/>
  </r>
  <r>
    <x v="683"/>
    <s v="2025-08-18"/>
    <x v="3"/>
    <x v="2"/>
    <x v="0"/>
    <x v="0"/>
    <s v="Laptop"/>
    <n v="3"/>
    <n v="861.05"/>
    <n v="2583.15"/>
    <x v="3"/>
    <s v="Referral"/>
    <n v="608.79"/>
    <x v="4"/>
  </r>
  <r>
    <x v="684"/>
    <s v="2025-09-24"/>
    <x v="2"/>
    <x v="3"/>
    <x v="2"/>
    <x v="2"/>
    <s v="Jacket"/>
    <n v="18"/>
    <n v="481.13"/>
    <n v="8660.34"/>
    <x v="1"/>
    <s v="Referral"/>
    <n v="2582.5"/>
    <x v="5"/>
  </r>
  <r>
    <x v="685"/>
    <s v="2025-02-22"/>
    <x v="3"/>
    <x v="5"/>
    <x v="2"/>
    <x v="3"/>
    <s v="Jacket"/>
    <n v="9"/>
    <n v="787.71"/>
    <n v="7089.39"/>
    <x v="1"/>
    <s v="Festive Offer"/>
    <n v="2340.14"/>
    <x v="0"/>
  </r>
  <r>
    <x v="686"/>
    <s v="2025-10-26"/>
    <x v="3"/>
    <x v="0"/>
    <x v="3"/>
    <x v="3"/>
    <s v="Shirt"/>
    <n v="1"/>
    <n v="561.72"/>
    <n v="561.72"/>
    <x v="0"/>
    <s v="Summer Sale"/>
    <n v="79.7"/>
    <x v="11"/>
  </r>
  <r>
    <x v="687"/>
    <s v="2025-11-09"/>
    <x v="0"/>
    <x v="7"/>
    <x v="2"/>
    <x v="0"/>
    <s v="Table"/>
    <n v="18"/>
    <n v="15.77"/>
    <n v="283.86"/>
    <x v="2"/>
    <s v="Festive Offer"/>
    <n v="90.5"/>
    <x v="8"/>
  </r>
  <r>
    <x v="688"/>
    <s v="2025-02-09"/>
    <x v="1"/>
    <x v="6"/>
    <x v="3"/>
    <x v="0"/>
    <s v="Monitor"/>
    <n v="1"/>
    <n v="133.41999999999999"/>
    <n v="133.41999999999999"/>
    <x v="4"/>
    <s v="Referral"/>
    <n v="15.37"/>
    <x v="0"/>
  </r>
  <r>
    <x v="689"/>
    <s v="2025-06-09"/>
    <x v="0"/>
    <x v="3"/>
    <x v="0"/>
    <x v="0"/>
    <s v="Chair"/>
    <n v="8"/>
    <n v="361.71"/>
    <n v="2893.68"/>
    <x v="0"/>
    <s v="Festive Offer"/>
    <n v="629.69000000000005"/>
    <x v="7"/>
  </r>
  <r>
    <x v="690"/>
    <s v="2025-10-13"/>
    <x v="0"/>
    <x v="4"/>
    <x v="0"/>
    <x v="2"/>
    <s v="Chair"/>
    <n v="1"/>
    <n v="201.48"/>
    <n v="201.48"/>
    <x v="4"/>
    <s v="Brand Awareness"/>
    <n v="57.12"/>
    <x v="11"/>
  </r>
  <r>
    <x v="691"/>
    <s v="2025-12-02"/>
    <x v="2"/>
    <x v="2"/>
    <x v="2"/>
    <x v="2"/>
    <s v="Table"/>
    <n v="10"/>
    <n v="445.27"/>
    <n v="4452.7"/>
    <x v="4"/>
    <s v="New Launch"/>
    <n v="484.61"/>
    <x v="10"/>
  </r>
  <r>
    <x v="692"/>
    <s v="2025-05-26"/>
    <x v="0"/>
    <x v="2"/>
    <x v="1"/>
    <x v="3"/>
    <s v="Monitor"/>
    <n v="20"/>
    <n v="101.73"/>
    <n v="2034.6"/>
    <x v="4"/>
    <s v="Referral"/>
    <n v="400.31"/>
    <x v="2"/>
  </r>
  <r>
    <x v="693"/>
    <s v="2025-01-06"/>
    <x v="3"/>
    <x v="4"/>
    <x v="3"/>
    <x v="2"/>
    <s v="Laptop"/>
    <n v="10"/>
    <n v="876.2"/>
    <n v="8762"/>
    <x v="1"/>
    <s v="Brand Awareness"/>
    <n v="2755.48"/>
    <x v="12"/>
  </r>
  <r>
    <x v="694"/>
    <s v="2025-12-24"/>
    <x v="0"/>
    <x v="6"/>
    <x v="1"/>
    <x v="1"/>
    <s v="Jacket"/>
    <n v="11"/>
    <n v="279.63"/>
    <n v="3075.93"/>
    <x v="4"/>
    <s v="Festive Offer"/>
    <n v="980.08"/>
    <x v="10"/>
  </r>
  <r>
    <x v="695"/>
    <s v="2025-10-20"/>
    <x v="3"/>
    <x v="2"/>
    <x v="1"/>
    <x v="1"/>
    <s v="Headphones"/>
    <n v="12"/>
    <n v="202.94"/>
    <n v="2435.2800000000002"/>
    <x v="5"/>
    <s v="Summer Sale"/>
    <n v="823.82"/>
    <x v="11"/>
  </r>
  <r>
    <x v="696"/>
    <s v="2025-07-25"/>
    <x v="3"/>
    <x v="6"/>
    <x v="2"/>
    <x v="3"/>
    <s v="Headphones"/>
    <n v="16"/>
    <n v="521.16999999999996"/>
    <n v="8338.7199999999993"/>
    <x v="1"/>
    <s v="Festive Offer"/>
    <n v="1618.46"/>
    <x v="9"/>
  </r>
  <r>
    <x v="697"/>
    <s v="2025-11-24"/>
    <x v="3"/>
    <x v="7"/>
    <x v="0"/>
    <x v="1"/>
    <s v="Jacket"/>
    <n v="6"/>
    <n v="275.83999999999997"/>
    <n v="1655.04"/>
    <x v="3"/>
    <s v="New Launch"/>
    <n v="508.45"/>
    <x v="8"/>
  </r>
  <r>
    <x v="698"/>
    <s v="2025-09-07"/>
    <x v="0"/>
    <x v="0"/>
    <x v="0"/>
    <x v="1"/>
    <s v="Monitor"/>
    <n v="12"/>
    <n v="312.3"/>
    <n v="3747.6"/>
    <x v="5"/>
    <s v="New Launch"/>
    <n v="512.76"/>
    <x v="5"/>
  </r>
  <r>
    <x v="699"/>
    <s v="2025-07-11"/>
    <x v="3"/>
    <x v="1"/>
    <x v="3"/>
    <x v="2"/>
    <s v="Shirt"/>
    <n v="2"/>
    <n v="184.25"/>
    <n v="368.5"/>
    <x v="3"/>
    <s v="Summer Sale"/>
    <n v="116.66"/>
    <x v="9"/>
  </r>
  <r>
    <x v="700"/>
    <s v="2025-09-25"/>
    <x v="0"/>
    <x v="4"/>
    <x v="1"/>
    <x v="2"/>
    <s v="Table"/>
    <n v="2"/>
    <n v="46.08"/>
    <n v="92.16"/>
    <x v="4"/>
    <s v="Summer Sale"/>
    <n v="21.64"/>
    <x v="5"/>
  </r>
  <r>
    <x v="701"/>
    <s v="2025-06-20"/>
    <x v="0"/>
    <x v="6"/>
    <x v="0"/>
    <x v="2"/>
    <s v="Table"/>
    <n v="13"/>
    <n v="224.69"/>
    <n v="2920.97"/>
    <x v="1"/>
    <s v="Brand Awareness"/>
    <n v="355.29"/>
    <x v="7"/>
  </r>
  <r>
    <x v="702"/>
    <s v="2025-09-10"/>
    <x v="1"/>
    <x v="3"/>
    <x v="1"/>
    <x v="1"/>
    <s v="Laptop"/>
    <n v="20"/>
    <n v="263.57"/>
    <n v="5271.4"/>
    <x v="3"/>
    <s v="Festive Offer"/>
    <n v="1299.18"/>
    <x v="5"/>
  </r>
  <r>
    <x v="703"/>
    <s v="2025-10-01"/>
    <x v="2"/>
    <x v="0"/>
    <x v="0"/>
    <x v="3"/>
    <s v="Laptop"/>
    <n v="15"/>
    <n v="286.51"/>
    <n v="4297.6499999999996"/>
    <x v="2"/>
    <s v="Summer Sale"/>
    <n v="1006.87"/>
    <x v="11"/>
  </r>
  <r>
    <x v="704"/>
    <s v="2025-10-04"/>
    <x v="3"/>
    <x v="3"/>
    <x v="0"/>
    <x v="0"/>
    <s v="Chair"/>
    <n v="1"/>
    <n v="337.04"/>
    <n v="337.04"/>
    <x v="5"/>
    <s v="Brand Awareness"/>
    <n v="94.04"/>
    <x v="11"/>
  </r>
  <r>
    <x v="705"/>
    <s v="2025-04-19"/>
    <x v="1"/>
    <x v="4"/>
    <x v="3"/>
    <x v="0"/>
    <s v="Monitor"/>
    <n v="3"/>
    <n v="295.5"/>
    <n v="886.5"/>
    <x v="4"/>
    <s v="Referral"/>
    <n v="185.49"/>
    <x v="6"/>
  </r>
  <r>
    <x v="706"/>
    <s v="2025-07-18"/>
    <x v="0"/>
    <x v="1"/>
    <x v="2"/>
    <x v="3"/>
    <s v="Mouse"/>
    <n v="19"/>
    <n v="904.46"/>
    <n v="17184.740000000002"/>
    <x v="5"/>
    <s v="Referral"/>
    <n v="4097.21"/>
    <x v="9"/>
  </r>
  <r>
    <x v="707"/>
    <s v="2025-09-12"/>
    <x v="1"/>
    <x v="0"/>
    <x v="1"/>
    <x v="3"/>
    <s v="Chair"/>
    <n v="2"/>
    <n v="765.44"/>
    <n v="1530.88"/>
    <x v="5"/>
    <s v="Summer Sale"/>
    <n v="271.02999999999997"/>
    <x v="5"/>
  </r>
  <r>
    <x v="708"/>
    <s v="2025-12-02"/>
    <x v="1"/>
    <x v="6"/>
    <x v="1"/>
    <x v="3"/>
    <s v="Table"/>
    <n v="8"/>
    <n v="307.13"/>
    <n v="2457.04"/>
    <x v="4"/>
    <s v="Brand Awareness"/>
    <n v="590.29"/>
    <x v="10"/>
  </r>
  <r>
    <x v="709"/>
    <s v="2025-12-10"/>
    <x v="3"/>
    <x v="4"/>
    <x v="1"/>
    <x v="0"/>
    <s v="Chair"/>
    <n v="20"/>
    <n v="577.99"/>
    <n v="11559.8"/>
    <x v="0"/>
    <s v="Festive Offer"/>
    <n v="1641.41"/>
    <x v="10"/>
  </r>
  <r>
    <x v="710"/>
    <s v="2025-01-04"/>
    <x v="3"/>
    <x v="6"/>
    <x v="1"/>
    <x v="1"/>
    <s v="Shirt"/>
    <n v="19"/>
    <n v="289.60000000000002"/>
    <n v="5502.4"/>
    <x v="5"/>
    <s v="Festive Offer"/>
    <n v="1241.82"/>
    <x v="12"/>
  </r>
  <r>
    <x v="711"/>
    <s v="2025-11-09"/>
    <x v="1"/>
    <x v="6"/>
    <x v="1"/>
    <x v="3"/>
    <s v="Shirt"/>
    <n v="4"/>
    <n v="891.07"/>
    <n v="3564.28"/>
    <x v="2"/>
    <s v="New Launch"/>
    <n v="406.27"/>
    <x v="8"/>
  </r>
  <r>
    <x v="712"/>
    <s v="2025-12-23"/>
    <x v="0"/>
    <x v="3"/>
    <x v="0"/>
    <x v="1"/>
    <s v="Jacket"/>
    <n v="12"/>
    <n v="561.92999999999995"/>
    <n v="6743.16"/>
    <x v="3"/>
    <s v="Festive Offer"/>
    <n v="1709.08"/>
    <x v="10"/>
  </r>
  <r>
    <x v="713"/>
    <s v="2025-03-08"/>
    <x v="3"/>
    <x v="1"/>
    <x v="0"/>
    <x v="3"/>
    <s v="Shirt"/>
    <n v="10"/>
    <n v="203.06"/>
    <n v="2030.6"/>
    <x v="4"/>
    <s v="Summer Sale"/>
    <n v="220.35"/>
    <x v="1"/>
  </r>
  <r>
    <x v="714"/>
    <s v="2025-08-29"/>
    <x v="0"/>
    <x v="3"/>
    <x v="0"/>
    <x v="3"/>
    <s v="Laptop"/>
    <n v="17"/>
    <n v="39.53"/>
    <n v="672.01"/>
    <x v="0"/>
    <s v="Summer Sale"/>
    <n v="234.02"/>
    <x v="4"/>
  </r>
  <r>
    <x v="715"/>
    <s v="2025-02-21"/>
    <x v="1"/>
    <x v="0"/>
    <x v="2"/>
    <x v="1"/>
    <s v="Jacket"/>
    <n v="12"/>
    <n v="747.96"/>
    <n v="8975.52"/>
    <x v="3"/>
    <s v="New Launch"/>
    <n v="1593.69"/>
    <x v="0"/>
  </r>
  <r>
    <x v="716"/>
    <s v="2025-04-27"/>
    <x v="1"/>
    <x v="0"/>
    <x v="2"/>
    <x v="1"/>
    <s v="Mouse"/>
    <n v="1"/>
    <n v="186.2"/>
    <n v="186.2"/>
    <x v="3"/>
    <s v="Festive Offer"/>
    <n v="44.46"/>
    <x v="6"/>
  </r>
  <r>
    <x v="717"/>
    <s v="2025-03-30"/>
    <x v="0"/>
    <x v="3"/>
    <x v="0"/>
    <x v="2"/>
    <s v="Monitor"/>
    <n v="5"/>
    <n v="399.83"/>
    <n v="1999.15"/>
    <x v="3"/>
    <s v="Festive Offer"/>
    <n v="336.56"/>
    <x v="1"/>
  </r>
  <r>
    <x v="718"/>
    <s v="2025-01-21"/>
    <x v="0"/>
    <x v="0"/>
    <x v="3"/>
    <x v="3"/>
    <s v="Laptop"/>
    <n v="2"/>
    <n v="174.5"/>
    <n v="349"/>
    <x v="3"/>
    <s v="Brand Awareness"/>
    <n v="36.17"/>
    <x v="12"/>
  </r>
  <r>
    <x v="719"/>
    <s v="2025-09-13"/>
    <x v="1"/>
    <x v="5"/>
    <x v="0"/>
    <x v="1"/>
    <s v="Shirt"/>
    <n v="4"/>
    <n v="984.56"/>
    <n v="3938.24"/>
    <x v="5"/>
    <s v="Festive Offer"/>
    <n v="1178.1199999999999"/>
    <x v="5"/>
  </r>
  <r>
    <x v="720"/>
    <s v="2025-11-24"/>
    <x v="3"/>
    <x v="2"/>
    <x v="1"/>
    <x v="2"/>
    <s v="Chair"/>
    <n v="19"/>
    <n v="770.78"/>
    <n v="14644.82"/>
    <x v="1"/>
    <s v="New Launch"/>
    <n v="2994.34"/>
    <x v="8"/>
  </r>
  <r>
    <x v="721"/>
    <s v="2025-05-02"/>
    <x v="2"/>
    <x v="6"/>
    <x v="1"/>
    <x v="2"/>
    <s v="Monitor"/>
    <n v="15"/>
    <n v="110.55"/>
    <n v="1658.25"/>
    <x v="4"/>
    <s v="Brand Awareness"/>
    <n v="435.88"/>
    <x v="2"/>
  </r>
  <r>
    <x v="722"/>
    <s v="2025-02-20"/>
    <x v="1"/>
    <x v="6"/>
    <x v="3"/>
    <x v="2"/>
    <s v="Mouse"/>
    <n v="3"/>
    <n v="247.83"/>
    <n v="743.49"/>
    <x v="5"/>
    <s v="Festive Offer"/>
    <n v="169.28"/>
    <x v="0"/>
  </r>
  <r>
    <x v="723"/>
    <s v="2025-07-29"/>
    <x v="2"/>
    <x v="0"/>
    <x v="0"/>
    <x v="0"/>
    <s v="Shirt"/>
    <n v="18"/>
    <n v="55.83"/>
    <n v="1004.94"/>
    <x v="5"/>
    <s v="Summer Sale"/>
    <n v="106.28"/>
    <x v="9"/>
  </r>
  <r>
    <x v="724"/>
    <s v="2025-09-15"/>
    <x v="0"/>
    <x v="7"/>
    <x v="2"/>
    <x v="2"/>
    <s v="Jacket"/>
    <n v="11"/>
    <n v="438.6"/>
    <n v="4824.6000000000004"/>
    <x v="5"/>
    <s v="New Launch"/>
    <n v="1426.86"/>
    <x v="5"/>
  </r>
  <r>
    <x v="725"/>
    <s v="2025-09-26"/>
    <x v="0"/>
    <x v="0"/>
    <x v="1"/>
    <x v="2"/>
    <s v="Headphones"/>
    <n v="3"/>
    <n v="762.75"/>
    <n v="2288.25"/>
    <x v="1"/>
    <s v="New Launch"/>
    <n v="455.34"/>
    <x v="5"/>
  </r>
  <r>
    <x v="726"/>
    <s v="2025-10-20"/>
    <x v="2"/>
    <x v="7"/>
    <x v="1"/>
    <x v="3"/>
    <s v="Table"/>
    <n v="8"/>
    <n v="965.79"/>
    <n v="7726.32"/>
    <x v="1"/>
    <s v="Festive Offer"/>
    <n v="2062.19"/>
    <x v="11"/>
  </r>
  <r>
    <x v="727"/>
    <s v="2025-03-03"/>
    <x v="3"/>
    <x v="3"/>
    <x v="0"/>
    <x v="1"/>
    <s v="Shirt"/>
    <n v="7"/>
    <n v="686.46"/>
    <n v="4805.22"/>
    <x v="0"/>
    <s v="Referral"/>
    <n v="1576.29"/>
    <x v="1"/>
  </r>
  <r>
    <x v="728"/>
    <s v="2025-10-31"/>
    <x v="2"/>
    <x v="2"/>
    <x v="0"/>
    <x v="2"/>
    <s v="Monitor"/>
    <n v="4"/>
    <n v="528.97"/>
    <n v="2115.88"/>
    <x v="3"/>
    <s v="Referral"/>
    <n v="268.81"/>
    <x v="11"/>
  </r>
  <r>
    <x v="729"/>
    <s v="2025-04-08"/>
    <x v="1"/>
    <x v="0"/>
    <x v="3"/>
    <x v="3"/>
    <s v="Mouse"/>
    <n v="16"/>
    <n v="32.700000000000003"/>
    <n v="523.20000000000005"/>
    <x v="3"/>
    <s v="Festive Offer"/>
    <n v="96.6"/>
    <x v="6"/>
  </r>
  <r>
    <x v="730"/>
    <s v="2025-11-25"/>
    <x v="2"/>
    <x v="0"/>
    <x v="3"/>
    <x v="0"/>
    <s v="Table"/>
    <n v="18"/>
    <n v="240.22"/>
    <n v="4323.96"/>
    <x v="5"/>
    <s v="Festive Offer"/>
    <n v="1388.36"/>
    <x v="8"/>
  </r>
  <r>
    <x v="731"/>
    <s v="2025-04-10"/>
    <x v="2"/>
    <x v="3"/>
    <x v="1"/>
    <x v="1"/>
    <s v="Jacket"/>
    <n v="4"/>
    <n v="218.18"/>
    <n v="872.72"/>
    <x v="3"/>
    <s v="Referral"/>
    <n v="192.58"/>
    <x v="6"/>
  </r>
  <r>
    <x v="732"/>
    <s v="2025-11-24"/>
    <x v="2"/>
    <x v="6"/>
    <x v="1"/>
    <x v="2"/>
    <s v="Headphones"/>
    <n v="16"/>
    <n v="895.63"/>
    <n v="14330.08"/>
    <x v="2"/>
    <s v="Festive Offer"/>
    <n v="2117.5300000000002"/>
    <x v="8"/>
  </r>
  <r>
    <x v="733"/>
    <s v="2025-06-08"/>
    <x v="0"/>
    <x v="7"/>
    <x v="1"/>
    <x v="1"/>
    <s v="Chair"/>
    <n v="6"/>
    <n v="351.32"/>
    <n v="2107.92"/>
    <x v="1"/>
    <s v="Summer Sale"/>
    <n v="228.88"/>
    <x v="7"/>
  </r>
  <r>
    <x v="734"/>
    <s v="2025-01-05"/>
    <x v="1"/>
    <x v="2"/>
    <x v="1"/>
    <x v="2"/>
    <s v="Monitor"/>
    <n v="11"/>
    <n v="727.72"/>
    <n v="8004.92"/>
    <x v="1"/>
    <s v="Brand Awareness"/>
    <n v="1453.59"/>
    <x v="12"/>
  </r>
  <r>
    <x v="735"/>
    <s v="2025-09-14"/>
    <x v="2"/>
    <x v="3"/>
    <x v="1"/>
    <x v="3"/>
    <s v="Monitor"/>
    <n v="1"/>
    <n v="690.72"/>
    <n v="690.72"/>
    <x v="4"/>
    <s v="New Launch"/>
    <n v="171.77"/>
    <x v="5"/>
  </r>
  <r>
    <x v="736"/>
    <s v="2025-11-26"/>
    <x v="2"/>
    <x v="1"/>
    <x v="3"/>
    <x v="1"/>
    <s v="Chair"/>
    <n v="6"/>
    <n v="846.89"/>
    <n v="5081.34"/>
    <x v="1"/>
    <s v="Referral"/>
    <n v="1599.76"/>
    <x v="8"/>
  </r>
  <r>
    <x v="737"/>
    <s v="2025-08-24"/>
    <x v="1"/>
    <x v="1"/>
    <x v="0"/>
    <x v="3"/>
    <s v="Monitor"/>
    <n v="12"/>
    <n v="758.86"/>
    <n v="9106.32"/>
    <x v="0"/>
    <s v="Summer Sale"/>
    <n v="2761.07"/>
    <x v="4"/>
  </r>
  <r>
    <x v="738"/>
    <s v="2025-03-16"/>
    <x v="1"/>
    <x v="4"/>
    <x v="2"/>
    <x v="1"/>
    <s v="Shirt"/>
    <n v="8"/>
    <n v="413.02"/>
    <n v="3304.16"/>
    <x v="0"/>
    <s v="Referral"/>
    <n v="804.85"/>
    <x v="1"/>
  </r>
  <r>
    <x v="739"/>
    <s v="2025-02-06"/>
    <x v="2"/>
    <x v="2"/>
    <x v="2"/>
    <x v="3"/>
    <s v="Jacket"/>
    <n v="2"/>
    <n v="651.88"/>
    <n v="1303.76"/>
    <x v="1"/>
    <s v="Referral"/>
    <n v="367.97"/>
    <x v="0"/>
  </r>
  <r>
    <x v="740"/>
    <s v="2025-12-30"/>
    <x v="1"/>
    <x v="6"/>
    <x v="1"/>
    <x v="2"/>
    <s v="Jacket"/>
    <n v="6"/>
    <n v="341.98"/>
    <n v="2051.88"/>
    <x v="5"/>
    <s v="New Launch"/>
    <n v="351.58"/>
    <x v="10"/>
  </r>
  <r>
    <x v="741"/>
    <s v="2025-05-10"/>
    <x v="2"/>
    <x v="6"/>
    <x v="0"/>
    <x v="1"/>
    <s v="Jacket"/>
    <n v="19"/>
    <n v="819.39"/>
    <n v="15568.41"/>
    <x v="5"/>
    <s v="New Launch"/>
    <n v="4927.99"/>
    <x v="2"/>
  </r>
  <r>
    <x v="742"/>
    <s v="2025-02-28"/>
    <x v="3"/>
    <x v="0"/>
    <x v="2"/>
    <x v="2"/>
    <s v="Chair"/>
    <n v="14"/>
    <n v="940.85"/>
    <n v="13171.9"/>
    <x v="0"/>
    <s v="Brand Awareness"/>
    <n v="2771.11"/>
    <x v="0"/>
  </r>
  <r>
    <x v="743"/>
    <s v="2025-11-03"/>
    <x v="0"/>
    <x v="1"/>
    <x v="1"/>
    <x v="3"/>
    <s v="Laptop"/>
    <n v="14"/>
    <n v="268.52999999999997"/>
    <n v="3759.42"/>
    <x v="3"/>
    <s v="New Launch"/>
    <n v="594.09"/>
    <x v="8"/>
  </r>
  <r>
    <x v="744"/>
    <s v="2025-11-20"/>
    <x v="2"/>
    <x v="7"/>
    <x v="0"/>
    <x v="3"/>
    <s v="Shirt"/>
    <n v="7"/>
    <n v="44"/>
    <n v="308"/>
    <x v="3"/>
    <s v="Festive Offer"/>
    <n v="107.14"/>
    <x v="8"/>
  </r>
  <r>
    <x v="745"/>
    <s v="2025-09-09"/>
    <x v="1"/>
    <x v="5"/>
    <x v="0"/>
    <x v="3"/>
    <s v="Shirt"/>
    <n v="6"/>
    <n v="373.98"/>
    <n v="2243.88"/>
    <x v="2"/>
    <s v="Summer Sale"/>
    <n v="719.49"/>
    <x v="5"/>
  </r>
  <r>
    <x v="746"/>
    <s v="2025-04-13"/>
    <x v="0"/>
    <x v="7"/>
    <x v="1"/>
    <x v="2"/>
    <s v="Monitor"/>
    <n v="16"/>
    <n v="102.2"/>
    <n v="1635.2"/>
    <x v="1"/>
    <s v="Festive Offer"/>
    <n v="242.75"/>
    <x v="6"/>
  </r>
  <r>
    <x v="747"/>
    <s v="2025-09-05"/>
    <x v="2"/>
    <x v="4"/>
    <x v="1"/>
    <x v="2"/>
    <s v="Chair"/>
    <n v="8"/>
    <n v="158.54"/>
    <n v="1268.32"/>
    <x v="3"/>
    <s v="New Launch"/>
    <n v="362.42"/>
    <x v="5"/>
  </r>
  <r>
    <x v="748"/>
    <s v="2025-09-18"/>
    <x v="2"/>
    <x v="2"/>
    <x v="3"/>
    <x v="2"/>
    <s v="Mouse"/>
    <n v="11"/>
    <n v="30.43"/>
    <n v="334.73"/>
    <x v="3"/>
    <s v="Summer Sale"/>
    <n v="116.97"/>
    <x v="5"/>
  </r>
  <r>
    <x v="749"/>
    <s v="2025-09-21"/>
    <x v="1"/>
    <x v="2"/>
    <x v="1"/>
    <x v="0"/>
    <s v="Table"/>
    <n v="20"/>
    <n v="823.78"/>
    <n v="16475.599999999999"/>
    <x v="1"/>
    <s v="Referral"/>
    <n v="1889.9"/>
    <x v="5"/>
  </r>
  <r>
    <x v="750"/>
    <s v="2025-03-23"/>
    <x v="0"/>
    <x v="7"/>
    <x v="0"/>
    <x v="0"/>
    <s v="Shirt"/>
    <n v="2"/>
    <n v="713.7"/>
    <n v="1427.4"/>
    <x v="3"/>
    <s v="Referral"/>
    <n v="485.97"/>
    <x v="1"/>
  </r>
  <r>
    <x v="751"/>
    <s v="2025-01-12"/>
    <x v="0"/>
    <x v="5"/>
    <x v="1"/>
    <x v="0"/>
    <s v="Shirt"/>
    <n v="3"/>
    <n v="550.07000000000005"/>
    <n v="1650.21"/>
    <x v="5"/>
    <s v="Referral"/>
    <n v="332.88"/>
    <x v="12"/>
  </r>
  <r>
    <x v="752"/>
    <s v="2025-01-28"/>
    <x v="0"/>
    <x v="4"/>
    <x v="2"/>
    <x v="0"/>
    <s v="Monitor"/>
    <n v="1"/>
    <n v="495.39"/>
    <n v="495.39"/>
    <x v="5"/>
    <s v="Brand Awareness"/>
    <n v="66.06"/>
    <x v="12"/>
  </r>
  <r>
    <x v="753"/>
    <s v="2025-05-28"/>
    <x v="2"/>
    <x v="6"/>
    <x v="0"/>
    <x v="1"/>
    <s v="Chair"/>
    <n v="3"/>
    <n v="134.66"/>
    <n v="403.98"/>
    <x v="3"/>
    <s v="New Launch"/>
    <n v="116.51"/>
    <x v="2"/>
  </r>
  <r>
    <x v="754"/>
    <s v="2025-03-07"/>
    <x v="3"/>
    <x v="5"/>
    <x v="3"/>
    <x v="2"/>
    <s v="Table"/>
    <n v="1"/>
    <n v="635.21"/>
    <n v="635.21"/>
    <x v="5"/>
    <s v="Brand Awareness"/>
    <n v="205.08"/>
    <x v="1"/>
  </r>
  <r>
    <x v="755"/>
    <s v="2025-07-15"/>
    <x v="2"/>
    <x v="7"/>
    <x v="2"/>
    <x v="3"/>
    <s v="Chair"/>
    <n v="1"/>
    <n v="822.17"/>
    <n v="822.17"/>
    <x v="3"/>
    <s v="Festive Offer"/>
    <n v="96.13"/>
    <x v="9"/>
  </r>
  <r>
    <x v="756"/>
    <s v="2025-10-06"/>
    <x v="2"/>
    <x v="4"/>
    <x v="0"/>
    <x v="1"/>
    <s v="Monitor"/>
    <n v="9"/>
    <n v="771.99"/>
    <n v="6947.91"/>
    <x v="3"/>
    <s v="Festive Offer"/>
    <n v="1678.1"/>
    <x v="11"/>
  </r>
  <r>
    <x v="757"/>
    <s v="2025-08-15"/>
    <x v="0"/>
    <x v="4"/>
    <x v="3"/>
    <x v="0"/>
    <s v="Shirt"/>
    <n v="14"/>
    <n v="787.8"/>
    <n v="11029.2"/>
    <x v="2"/>
    <s v="Referral"/>
    <n v="3469.92"/>
    <x v="4"/>
  </r>
  <r>
    <x v="758"/>
    <s v="2025-02-28"/>
    <x v="1"/>
    <x v="3"/>
    <x v="3"/>
    <x v="2"/>
    <s v="Chair"/>
    <n v="18"/>
    <n v="979.78"/>
    <n v="17636.04"/>
    <x v="2"/>
    <s v="Summer Sale"/>
    <n v="2509.61"/>
    <x v="0"/>
  </r>
  <r>
    <x v="759"/>
    <s v="2025-03-17"/>
    <x v="0"/>
    <x v="4"/>
    <x v="1"/>
    <x v="1"/>
    <s v="Chair"/>
    <n v="17"/>
    <n v="327.58999999999997"/>
    <n v="5569.03"/>
    <x v="1"/>
    <s v="Summer Sale"/>
    <n v="631.94000000000005"/>
    <x v="1"/>
  </r>
  <r>
    <x v="760"/>
    <s v="2025-04-12"/>
    <x v="2"/>
    <x v="2"/>
    <x v="3"/>
    <x v="0"/>
    <s v="Chair"/>
    <n v="18"/>
    <n v="586.04"/>
    <n v="10548.72"/>
    <x v="1"/>
    <s v="Summer Sale"/>
    <n v="3388.13"/>
    <x v="6"/>
  </r>
  <r>
    <x v="761"/>
    <s v="2025-02-16"/>
    <x v="2"/>
    <x v="0"/>
    <x v="1"/>
    <x v="2"/>
    <s v="Headphones"/>
    <n v="19"/>
    <n v="289.33"/>
    <n v="5497.27"/>
    <x v="1"/>
    <s v="New Launch"/>
    <n v="780.06"/>
    <x v="0"/>
  </r>
  <r>
    <x v="762"/>
    <s v="2025-06-15"/>
    <x v="2"/>
    <x v="6"/>
    <x v="0"/>
    <x v="0"/>
    <s v="Jacket"/>
    <n v="12"/>
    <n v="823.88"/>
    <n v="9886.56"/>
    <x v="5"/>
    <s v="Summer Sale"/>
    <n v="3458.47"/>
    <x v="7"/>
  </r>
  <r>
    <x v="763"/>
    <s v="2025-07-29"/>
    <x v="1"/>
    <x v="4"/>
    <x v="3"/>
    <x v="0"/>
    <s v="Headphones"/>
    <n v="16"/>
    <n v="565.87"/>
    <n v="9053.92"/>
    <x v="1"/>
    <s v="New Launch"/>
    <n v="3077.84"/>
    <x v="9"/>
  </r>
  <r>
    <x v="764"/>
    <s v="2025-06-26"/>
    <x v="1"/>
    <x v="5"/>
    <x v="3"/>
    <x v="2"/>
    <s v="Mouse"/>
    <n v="8"/>
    <n v="601.63"/>
    <n v="4813.04"/>
    <x v="3"/>
    <s v="Brand Awareness"/>
    <n v="1500.33"/>
    <x v="7"/>
  </r>
  <r>
    <x v="765"/>
    <s v="2025-09-06"/>
    <x v="1"/>
    <x v="7"/>
    <x v="0"/>
    <x v="1"/>
    <s v="Jacket"/>
    <n v="10"/>
    <n v="675.81"/>
    <n v="6758.1"/>
    <x v="3"/>
    <s v="Brand Awareness"/>
    <n v="1016.11"/>
    <x v="5"/>
  </r>
  <r>
    <x v="766"/>
    <s v="2025-04-11"/>
    <x v="2"/>
    <x v="2"/>
    <x v="1"/>
    <x v="3"/>
    <s v="Jacket"/>
    <n v="10"/>
    <n v="759.11"/>
    <n v="7591.1"/>
    <x v="4"/>
    <s v="Festive Offer"/>
    <n v="770.9"/>
    <x v="6"/>
  </r>
  <r>
    <x v="767"/>
    <s v="2025-08-11"/>
    <x v="0"/>
    <x v="2"/>
    <x v="0"/>
    <x v="1"/>
    <s v="Jacket"/>
    <n v="3"/>
    <n v="598.35"/>
    <n v="1795.05"/>
    <x v="4"/>
    <s v="Brand Awareness"/>
    <n v="258.8"/>
    <x v="4"/>
  </r>
  <r>
    <x v="768"/>
    <s v="2025-01-30"/>
    <x v="2"/>
    <x v="1"/>
    <x v="3"/>
    <x v="3"/>
    <s v="Headphones"/>
    <n v="3"/>
    <n v="315.2"/>
    <n v="945.6"/>
    <x v="1"/>
    <s v="Summer Sale"/>
    <n v="241.2"/>
    <x v="12"/>
  </r>
  <r>
    <x v="769"/>
    <s v="2025-01-24"/>
    <x v="3"/>
    <x v="7"/>
    <x v="2"/>
    <x v="3"/>
    <s v="Table"/>
    <n v="5"/>
    <n v="596.91999999999996"/>
    <n v="2984.6"/>
    <x v="4"/>
    <s v="New Launch"/>
    <n v="795.5"/>
    <x v="12"/>
  </r>
  <r>
    <x v="770"/>
    <s v="2025-04-12"/>
    <x v="0"/>
    <x v="1"/>
    <x v="0"/>
    <x v="2"/>
    <s v="Mouse"/>
    <n v="11"/>
    <n v="97.93"/>
    <n v="1077.23"/>
    <x v="0"/>
    <s v="Festive Offer"/>
    <n v="279.54000000000002"/>
    <x v="6"/>
  </r>
  <r>
    <x v="771"/>
    <s v="2025-03-22"/>
    <x v="1"/>
    <x v="7"/>
    <x v="2"/>
    <x v="0"/>
    <s v="Laptop"/>
    <n v="5"/>
    <n v="16.809999999999999"/>
    <n v="84.05"/>
    <x v="0"/>
    <s v="Referral"/>
    <n v="11.27"/>
    <x v="1"/>
  </r>
  <r>
    <x v="772"/>
    <s v="2025-12-20"/>
    <x v="2"/>
    <x v="4"/>
    <x v="0"/>
    <x v="3"/>
    <s v="Chair"/>
    <n v="6"/>
    <n v="553.08000000000004"/>
    <n v="3318.48"/>
    <x v="0"/>
    <s v="Brand Awareness"/>
    <n v="583.45000000000005"/>
    <x v="10"/>
  </r>
  <r>
    <x v="773"/>
    <s v="2025-04-30"/>
    <x v="2"/>
    <x v="3"/>
    <x v="3"/>
    <x v="0"/>
    <s v="Headphones"/>
    <n v="17"/>
    <n v="933.24"/>
    <n v="15865.08"/>
    <x v="3"/>
    <s v="Summer Sale"/>
    <n v="4204.2299999999996"/>
    <x v="6"/>
  </r>
  <r>
    <x v="774"/>
    <s v="2025-11-30"/>
    <x v="1"/>
    <x v="4"/>
    <x v="0"/>
    <x v="0"/>
    <s v="Mouse"/>
    <n v="9"/>
    <n v="996.29"/>
    <n v="8966.61"/>
    <x v="0"/>
    <s v="Festive Offer"/>
    <n v="1154.07"/>
    <x v="8"/>
  </r>
  <r>
    <x v="775"/>
    <s v="2025-11-07"/>
    <x v="1"/>
    <x v="3"/>
    <x v="2"/>
    <x v="0"/>
    <s v="Mouse"/>
    <n v="16"/>
    <n v="348.34"/>
    <n v="5573.44"/>
    <x v="5"/>
    <s v="Brand Awareness"/>
    <n v="1815.62"/>
    <x v="8"/>
  </r>
  <r>
    <x v="776"/>
    <s v="2025-11-29"/>
    <x v="1"/>
    <x v="0"/>
    <x v="1"/>
    <x v="3"/>
    <s v="Chair"/>
    <n v="19"/>
    <n v="46.32"/>
    <n v="880.08"/>
    <x v="4"/>
    <s v="New Launch"/>
    <n v="212.36"/>
    <x v="8"/>
  </r>
  <r>
    <x v="777"/>
    <s v="2025-08-31"/>
    <x v="1"/>
    <x v="6"/>
    <x v="1"/>
    <x v="3"/>
    <s v="Table"/>
    <n v="12"/>
    <n v="471.19"/>
    <n v="5654.28"/>
    <x v="2"/>
    <s v="Brand Awareness"/>
    <n v="1159.1600000000001"/>
    <x v="4"/>
  </r>
  <r>
    <x v="778"/>
    <s v="2025-08-25"/>
    <x v="3"/>
    <x v="5"/>
    <x v="1"/>
    <x v="1"/>
    <s v="Table"/>
    <n v="12"/>
    <n v="676.63"/>
    <n v="8119.56"/>
    <x v="0"/>
    <s v="New Launch"/>
    <n v="1077.3499999999999"/>
    <x v="4"/>
  </r>
  <r>
    <x v="779"/>
    <s v="2025-03-12"/>
    <x v="1"/>
    <x v="7"/>
    <x v="0"/>
    <x v="1"/>
    <s v="Monitor"/>
    <n v="17"/>
    <n v="172.22"/>
    <n v="2927.74"/>
    <x v="5"/>
    <s v="Summer Sale"/>
    <n v="650.11"/>
    <x v="1"/>
  </r>
  <r>
    <x v="780"/>
    <s v="2025-11-15"/>
    <x v="1"/>
    <x v="2"/>
    <x v="3"/>
    <x v="2"/>
    <s v="Shirt"/>
    <n v="9"/>
    <n v="768.53"/>
    <n v="6916.77"/>
    <x v="4"/>
    <s v="Summer Sale"/>
    <n v="1630.08"/>
    <x v="8"/>
  </r>
  <r>
    <x v="781"/>
    <s v="2025-04-22"/>
    <x v="0"/>
    <x v="1"/>
    <x v="3"/>
    <x v="0"/>
    <s v="Monitor"/>
    <n v="6"/>
    <n v="205.46"/>
    <n v="1232.76"/>
    <x v="1"/>
    <s v="Referral"/>
    <n v="184.34"/>
    <x v="6"/>
  </r>
  <r>
    <x v="782"/>
    <s v="2025-11-11"/>
    <x v="0"/>
    <x v="4"/>
    <x v="2"/>
    <x v="3"/>
    <s v="Table"/>
    <n v="15"/>
    <n v="682.71"/>
    <n v="10240.65"/>
    <x v="0"/>
    <s v="Festive Offer"/>
    <n v="2587.44"/>
    <x v="8"/>
  </r>
  <r>
    <x v="783"/>
    <s v="2025-12-19"/>
    <x v="3"/>
    <x v="4"/>
    <x v="1"/>
    <x v="2"/>
    <s v="Mouse"/>
    <n v="16"/>
    <n v="725.06"/>
    <n v="11600.96"/>
    <x v="2"/>
    <s v="Summer Sale"/>
    <n v="1262.6300000000001"/>
    <x v="10"/>
  </r>
  <r>
    <x v="784"/>
    <s v="2025-06-18"/>
    <x v="2"/>
    <x v="4"/>
    <x v="3"/>
    <x v="2"/>
    <s v="Jacket"/>
    <n v="4"/>
    <n v="549.75"/>
    <n v="2199"/>
    <x v="2"/>
    <s v="Festive Offer"/>
    <n v="613.44000000000005"/>
    <x v="7"/>
  </r>
  <r>
    <x v="785"/>
    <s v="2025-05-16"/>
    <x v="2"/>
    <x v="6"/>
    <x v="0"/>
    <x v="1"/>
    <s v="Shirt"/>
    <n v="20"/>
    <n v="69.319999999999993"/>
    <n v="1386.4"/>
    <x v="3"/>
    <s v="New Launch"/>
    <n v="424.67"/>
    <x v="2"/>
  </r>
  <r>
    <x v="786"/>
    <s v="2025-06-12"/>
    <x v="3"/>
    <x v="3"/>
    <x v="2"/>
    <x v="0"/>
    <s v="Jacket"/>
    <n v="5"/>
    <n v="511.31"/>
    <n v="2556.5500000000002"/>
    <x v="5"/>
    <s v="Summer Sale"/>
    <n v="839.02"/>
    <x v="7"/>
  </r>
  <r>
    <x v="787"/>
    <s v="2025-06-01"/>
    <x v="3"/>
    <x v="0"/>
    <x v="0"/>
    <x v="0"/>
    <s v="Laptop"/>
    <n v="19"/>
    <n v="115.35"/>
    <n v="2191.65"/>
    <x v="5"/>
    <s v="Referral"/>
    <n v="623.04"/>
    <x v="7"/>
  </r>
  <r>
    <x v="788"/>
    <s v="2025-03-06"/>
    <x v="1"/>
    <x v="3"/>
    <x v="1"/>
    <x v="3"/>
    <s v="Mouse"/>
    <n v="1"/>
    <n v="496.26"/>
    <n v="496.26"/>
    <x v="3"/>
    <s v="Summer Sale"/>
    <n v="74.349999999999994"/>
    <x v="1"/>
  </r>
  <r>
    <x v="789"/>
    <s v="2025-10-23"/>
    <x v="0"/>
    <x v="5"/>
    <x v="3"/>
    <x v="2"/>
    <s v="Monitor"/>
    <n v="4"/>
    <n v="530.91"/>
    <n v="2123.64"/>
    <x v="2"/>
    <s v="Festive Offer"/>
    <n v="497.88"/>
    <x v="11"/>
  </r>
  <r>
    <x v="790"/>
    <s v="2025-07-29"/>
    <x v="1"/>
    <x v="3"/>
    <x v="0"/>
    <x v="2"/>
    <s v="Table"/>
    <n v="1"/>
    <n v="157.11000000000001"/>
    <n v="157.11000000000001"/>
    <x v="1"/>
    <s v="Referral"/>
    <n v="28.66"/>
    <x v="9"/>
  </r>
  <r>
    <x v="791"/>
    <s v="2025-04-30"/>
    <x v="1"/>
    <x v="4"/>
    <x v="2"/>
    <x v="0"/>
    <s v="Jacket"/>
    <n v="13"/>
    <n v="506.22"/>
    <n v="6580.86"/>
    <x v="2"/>
    <s v="Brand Awareness"/>
    <n v="1694.82"/>
    <x v="6"/>
  </r>
  <r>
    <x v="792"/>
    <s v="2025-04-20"/>
    <x v="2"/>
    <x v="4"/>
    <x v="2"/>
    <x v="1"/>
    <s v="Chair"/>
    <n v="19"/>
    <n v="11.6"/>
    <n v="220.4"/>
    <x v="5"/>
    <s v="New Launch"/>
    <n v="50.17"/>
    <x v="6"/>
  </r>
  <r>
    <x v="793"/>
    <s v="2025-02-28"/>
    <x v="0"/>
    <x v="1"/>
    <x v="1"/>
    <x v="2"/>
    <s v="Monitor"/>
    <n v="12"/>
    <n v="246.89"/>
    <n v="2962.68"/>
    <x v="1"/>
    <s v="Referral"/>
    <n v="445.83"/>
    <x v="0"/>
  </r>
  <r>
    <x v="794"/>
    <s v="2025-09-11"/>
    <x v="0"/>
    <x v="6"/>
    <x v="2"/>
    <x v="1"/>
    <s v="Shirt"/>
    <n v="19"/>
    <n v="234.92"/>
    <n v="4463.4799999999996"/>
    <x v="3"/>
    <s v="Referral"/>
    <n v="521.64"/>
    <x v="5"/>
  </r>
  <r>
    <x v="795"/>
    <s v="2025-12-02"/>
    <x v="3"/>
    <x v="7"/>
    <x v="3"/>
    <x v="1"/>
    <s v="Shirt"/>
    <n v="5"/>
    <n v="476.29"/>
    <n v="2381.4499999999998"/>
    <x v="0"/>
    <s v="Referral"/>
    <n v="456.3"/>
    <x v="10"/>
  </r>
  <r>
    <x v="796"/>
    <s v="2025-04-05"/>
    <x v="0"/>
    <x v="0"/>
    <x v="0"/>
    <x v="2"/>
    <s v="Shirt"/>
    <n v="11"/>
    <n v="618.84"/>
    <n v="6807.24"/>
    <x v="4"/>
    <s v="New Launch"/>
    <n v="1061.56"/>
    <x v="6"/>
  </r>
  <r>
    <x v="797"/>
    <s v="2025-04-05"/>
    <x v="1"/>
    <x v="4"/>
    <x v="3"/>
    <x v="0"/>
    <s v="Table"/>
    <n v="3"/>
    <n v="468.55"/>
    <n v="1405.65"/>
    <x v="3"/>
    <s v="New Launch"/>
    <n v="468.25"/>
    <x v="6"/>
  </r>
  <r>
    <x v="798"/>
    <s v="2025-09-26"/>
    <x v="1"/>
    <x v="5"/>
    <x v="3"/>
    <x v="2"/>
    <s v="Laptop"/>
    <n v="13"/>
    <n v="797.69"/>
    <n v="10369.969999999999"/>
    <x v="3"/>
    <s v="New Launch"/>
    <n v="1538.13"/>
    <x v="5"/>
  </r>
  <r>
    <x v="799"/>
    <s v="2025-12-14"/>
    <x v="3"/>
    <x v="3"/>
    <x v="1"/>
    <x v="2"/>
    <s v="Shirt"/>
    <n v="3"/>
    <n v="121.39"/>
    <n v="364.17"/>
    <x v="3"/>
    <s v="Referral"/>
    <n v="109.84"/>
    <x v="10"/>
  </r>
  <r>
    <x v="800"/>
    <s v="2025-11-06"/>
    <x v="3"/>
    <x v="4"/>
    <x v="2"/>
    <x v="2"/>
    <s v="Headphones"/>
    <n v="7"/>
    <n v="28.07"/>
    <n v="196.49"/>
    <x v="2"/>
    <s v="Summer Sale"/>
    <n v="34.630000000000003"/>
    <x v="8"/>
  </r>
  <r>
    <x v="801"/>
    <s v="2025-08-13"/>
    <x v="2"/>
    <x v="7"/>
    <x v="1"/>
    <x v="1"/>
    <s v="Mouse"/>
    <n v="9"/>
    <n v="583.87"/>
    <n v="5254.83"/>
    <x v="3"/>
    <s v="Summer Sale"/>
    <n v="811.49"/>
    <x v="4"/>
  </r>
  <r>
    <x v="802"/>
    <s v="2025-08-04"/>
    <x v="3"/>
    <x v="1"/>
    <x v="1"/>
    <x v="3"/>
    <s v="Headphones"/>
    <n v="15"/>
    <n v="617.41999999999996"/>
    <n v="9261.2999999999993"/>
    <x v="4"/>
    <s v="Brand Awareness"/>
    <n v="1294.06"/>
    <x v="4"/>
  </r>
  <r>
    <x v="803"/>
    <s v="2025-11-29"/>
    <x v="2"/>
    <x v="6"/>
    <x v="3"/>
    <x v="0"/>
    <s v="Headphones"/>
    <n v="8"/>
    <n v="66.14"/>
    <n v="529.12"/>
    <x v="0"/>
    <s v="Festive Offer"/>
    <n v="68.55"/>
    <x v="8"/>
  </r>
  <r>
    <x v="804"/>
    <s v="2025-04-13"/>
    <x v="3"/>
    <x v="4"/>
    <x v="2"/>
    <x v="0"/>
    <s v="Jacket"/>
    <n v="5"/>
    <n v="530.28"/>
    <n v="2651.4"/>
    <x v="4"/>
    <s v="New Launch"/>
    <n v="452.27"/>
    <x v="6"/>
  </r>
  <r>
    <x v="805"/>
    <s v="2025-08-03"/>
    <x v="2"/>
    <x v="2"/>
    <x v="3"/>
    <x v="0"/>
    <s v="Chair"/>
    <n v="13"/>
    <n v="289.70999999999998"/>
    <n v="3766.23"/>
    <x v="4"/>
    <s v="Summer Sale"/>
    <n v="408.62"/>
    <x v="4"/>
  </r>
  <r>
    <x v="806"/>
    <s v="2025-03-23"/>
    <x v="3"/>
    <x v="4"/>
    <x v="3"/>
    <x v="0"/>
    <s v="Headphones"/>
    <n v="14"/>
    <n v="851.29"/>
    <n v="11918.06"/>
    <x v="2"/>
    <s v="Summer Sale"/>
    <n v="3949.19"/>
    <x v="1"/>
  </r>
  <r>
    <x v="807"/>
    <s v="2025-10-11"/>
    <x v="1"/>
    <x v="1"/>
    <x v="3"/>
    <x v="2"/>
    <s v="Mouse"/>
    <n v="14"/>
    <n v="606.19000000000005"/>
    <n v="8486.66"/>
    <x v="5"/>
    <s v="Brand Awareness"/>
    <n v="1560.54"/>
    <x v="11"/>
  </r>
  <r>
    <x v="808"/>
    <s v="2025-09-09"/>
    <x v="0"/>
    <x v="0"/>
    <x v="2"/>
    <x v="1"/>
    <s v="Laptop"/>
    <n v="9"/>
    <n v="153.11000000000001"/>
    <n v="1377.99"/>
    <x v="2"/>
    <s v="New Launch"/>
    <n v="389.01"/>
    <x v="5"/>
  </r>
  <r>
    <x v="809"/>
    <s v="2025-08-10"/>
    <x v="0"/>
    <x v="0"/>
    <x v="2"/>
    <x v="1"/>
    <s v="Headphones"/>
    <n v="15"/>
    <n v="797.62"/>
    <n v="11964.3"/>
    <x v="0"/>
    <s v="New Launch"/>
    <n v="3299.58"/>
    <x v="4"/>
  </r>
  <r>
    <x v="810"/>
    <s v="2025-04-23"/>
    <x v="1"/>
    <x v="1"/>
    <x v="3"/>
    <x v="0"/>
    <s v="Chair"/>
    <n v="14"/>
    <n v="216.46"/>
    <n v="3030.44"/>
    <x v="2"/>
    <s v="Brand Awareness"/>
    <n v="697.35"/>
    <x v="6"/>
  </r>
  <r>
    <x v="811"/>
    <s v="2025-05-01"/>
    <x v="3"/>
    <x v="1"/>
    <x v="2"/>
    <x v="1"/>
    <s v="Mouse"/>
    <n v="6"/>
    <n v="493.42"/>
    <n v="2960.52"/>
    <x v="5"/>
    <s v="Brand Awareness"/>
    <n v="774.24"/>
    <x v="2"/>
  </r>
  <r>
    <x v="812"/>
    <s v="2025-07-01"/>
    <x v="2"/>
    <x v="0"/>
    <x v="3"/>
    <x v="2"/>
    <s v="Monitor"/>
    <n v="19"/>
    <n v="866.75"/>
    <n v="16468.25"/>
    <x v="3"/>
    <s v="Summer Sale"/>
    <n v="3460.67"/>
    <x v="9"/>
  </r>
  <r>
    <x v="813"/>
    <s v="2025-02-22"/>
    <x v="2"/>
    <x v="6"/>
    <x v="2"/>
    <x v="1"/>
    <s v="Laptop"/>
    <n v="4"/>
    <n v="522.61"/>
    <n v="2090.44"/>
    <x v="0"/>
    <s v="Brand Awareness"/>
    <n v="697.49"/>
    <x v="0"/>
  </r>
  <r>
    <x v="814"/>
    <s v="2025-10-04"/>
    <x v="2"/>
    <x v="2"/>
    <x v="2"/>
    <x v="2"/>
    <s v="Table"/>
    <n v="8"/>
    <n v="851.1"/>
    <n v="6808.8"/>
    <x v="5"/>
    <s v="Referral"/>
    <n v="1809.37"/>
    <x v="11"/>
  </r>
  <r>
    <x v="815"/>
    <s v="2025-12-09"/>
    <x v="0"/>
    <x v="4"/>
    <x v="3"/>
    <x v="1"/>
    <s v="Chair"/>
    <n v="17"/>
    <n v="333.01"/>
    <n v="5661.17"/>
    <x v="0"/>
    <s v="Festive Offer"/>
    <n v="915.98"/>
    <x v="10"/>
  </r>
  <r>
    <x v="816"/>
    <s v="2025-05-21"/>
    <x v="2"/>
    <x v="5"/>
    <x v="3"/>
    <x v="0"/>
    <s v="Chair"/>
    <n v="4"/>
    <n v="422.91"/>
    <n v="1691.64"/>
    <x v="5"/>
    <s v="Brand Awareness"/>
    <n v="446.42"/>
    <x v="2"/>
  </r>
  <r>
    <x v="817"/>
    <s v="2025-10-14"/>
    <x v="3"/>
    <x v="5"/>
    <x v="0"/>
    <x v="3"/>
    <s v="Mouse"/>
    <n v="2"/>
    <n v="155.47"/>
    <n v="310.94"/>
    <x v="0"/>
    <s v="Festive Offer"/>
    <n v="62.61"/>
    <x v="11"/>
  </r>
  <r>
    <x v="818"/>
    <s v="2025-02-16"/>
    <x v="2"/>
    <x v="3"/>
    <x v="2"/>
    <x v="1"/>
    <s v="Monitor"/>
    <n v="10"/>
    <n v="134.08000000000001"/>
    <n v="1340.8"/>
    <x v="1"/>
    <s v="Festive Offer"/>
    <n v="460.67"/>
    <x v="0"/>
  </r>
  <r>
    <x v="819"/>
    <s v="2025-05-04"/>
    <x v="1"/>
    <x v="0"/>
    <x v="2"/>
    <x v="3"/>
    <s v="Mouse"/>
    <n v="5"/>
    <n v="999.73"/>
    <n v="4998.6499999999996"/>
    <x v="1"/>
    <s v="Festive Offer"/>
    <n v="1214.04"/>
    <x v="2"/>
  </r>
  <r>
    <x v="820"/>
    <s v="2025-07-13"/>
    <x v="2"/>
    <x v="3"/>
    <x v="2"/>
    <x v="2"/>
    <s v="Headphones"/>
    <n v="3"/>
    <n v="71.94"/>
    <n v="215.82"/>
    <x v="5"/>
    <s v="Brand Awareness"/>
    <n v="68.5"/>
    <x v="9"/>
  </r>
  <r>
    <x v="821"/>
    <s v="2025-09-25"/>
    <x v="3"/>
    <x v="5"/>
    <x v="1"/>
    <x v="3"/>
    <s v="Table"/>
    <n v="3"/>
    <n v="681.68"/>
    <n v="2045.04"/>
    <x v="0"/>
    <s v="Referral"/>
    <n v="345.65"/>
    <x v="5"/>
  </r>
  <r>
    <x v="822"/>
    <s v="2025-05-27"/>
    <x v="1"/>
    <x v="6"/>
    <x v="2"/>
    <x v="0"/>
    <s v="Mouse"/>
    <n v="8"/>
    <n v="374.74"/>
    <n v="2997.92"/>
    <x v="3"/>
    <s v="Summer Sale"/>
    <n v="485.18"/>
    <x v="2"/>
  </r>
  <r>
    <x v="823"/>
    <s v="2025-07-19"/>
    <x v="2"/>
    <x v="4"/>
    <x v="1"/>
    <x v="2"/>
    <s v="Table"/>
    <n v="6"/>
    <n v="624.36"/>
    <n v="3746.16"/>
    <x v="0"/>
    <s v="Referral"/>
    <n v="1148.01"/>
    <x v="9"/>
  </r>
  <r>
    <x v="824"/>
    <s v="2025-08-16"/>
    <x v="0"/>
    <x v="2"/>
    <x v="2"/>
    <x v="2"/>
    <s v="Monitor"/>
    <n v="17"/>
    <n v="454.82"/>
    <n v="7731.94"/>
    <x v="1"/>
    <s v="Festive Offer"/>
    <n v="1067.6500000000001"/>
    <x v="4"/>
  </r>
  <r>
    <x v="825"/>
    <s v="2025-03-24"/>
    <x v="3"/>
    <x v="1"/>
    <x v="2"/>
    <x v="1"/>
    <s v="Shirt"/>
    <n v="10"/>
    <n v="51.56"/>
    <n v="515.6"/>
    <x v="0"/>
    <s v="Brand Awareness"/>
    <n v="148.57"/>
    <x v="1"/>
  </r>
  <r>
    <x v="826"/>
    <s v="2025-05-02"/>
    <x v="2"/>
    <x v="7"/>
    <x v="1"/>
    <x v="2"/>
    <s v="Jacket"/>
    <n v="12"/>
    <n v="555.88"/>
    <n v="6670.56"/>
    <x v="4"/>
    <s v="New Launch"/>
    <n v="1536.3"/>
    <x v="2"/>
  </r>
  <r>
    <x v="827"/>
    <s v="2025-09-09"/>
    <x v="3"/>
    <x v="1"/>
    <x v="1"/>
    <x v="1"/>
    <s v="Chair"/>
    <n v="13"/>
    <n v="589.27"/>
    <n v="7660.51"/>
    <x v="5"/>
    <s v="Summer Sale"/>
    <n v="2345.7800000000002"/>
    <x v="5"/>
  </r>
  <r>
    <x v="828"/>
    <s v="2025-01-31"/>
    <x v="0"/>
    <x v="3"/>
    <x v="1"/>
    <x v="3"/>
    <s v="Shirt"/>
    <n v="3"/>
    <n v="436.48"/>
    <n v="1309.44"/>
    <x v="0"/>
    <s v="New Launch"/>
    <n v="238.69"/>
    <x v="12"/>
  </r>
  <r>
    <x v="829"/>
    <s v="2025-02-04"/>
    <x v="2"/>
    <x v="6"/>
    <x v="2"/>
    <x v="3"/>
    <s v="Table"/>
    <n v="18"/>
    <n v="127.14"/>
    <n v="2288.52"/>
    <x v="3"/>
    <s v="Brand Awareness"/>
    <n v="563.46"/>
    <x v="0"/>
  </r>
  <r>
    <x v="830"/>
    <s v="2025-03-16"/>
    <x v="3"/>
    <x v="0"/>
    <x v="2"/>
    <x v="3"/>
    <s v="Table"/>
    <n v="17"/>
    <n v="127.41"/>
    <n v="2165.9699999999998"/>
    <x v="0"/>
    <s v="Festive Offer"/>
    <n v="249.5"/>
    <x v="1"/>
  </r>
  <r>
    <x v="831"/>
    <s v="2025-09-03"/>
    <x v="0"/>
    <x v="0"/>
    <x v="1"/>
    <x v="3"/>
    <s v="Jacket"/>
    <n v="1"/>
    <n v="124"/>
    <n v="124"/>
    <x v="1"/>
    <s v="Brand Awareness"/>
    <n v="25.75"/>
    <x v="5"/>
  </r>
  <r>
    <x v="832"/>
    <s v="2025-07-11"/>
    <x v="3"/>
    <x v="6"/>
    <x v="2"/>
    <x v="1"/>
    <s v="Jacket"/>
    <n v="8"/>
    <n v="639.59"/>
    <n v="5116.72"/>
    <x v="2"/>
    <s v="Festive Offer"/>
    <n v="967.99"/>
    <x v="9"/>
  </r>
  <r>
    <x v="833"/>
    <s v="2025-12-12"/>
    <x v="1"/>
    <x v="6"/>
    <x v="3"/>
    <x v="0"/>
    <s v="Chair"/>
    <n v="14"/>
    <n v="555.08000000000004"/>
    <n v="7771.12"/>
    <x v="2"/>
    <s v="Referral"/>
    <n v="1653.86"/>
    <x v="10"/>
  </r>
  <r>
    <x v="834"/>
    <s v="2025-04-18"/>
    <x v="2"/>
    <x v="1"/>
    <x v="3"/>
    <x v="1"/>
    <s v="Monitor"/>
    <n v="4"/>
    <n v="827.92"/>
    <n v="3311.68"/>
    <x v="5"/>
    <s v="Referral"/>
    <n v="681.28"/>
    <x v="6"/>
  </r>
  <r>
    <x v="835"/>
    <s v="2025-12-04"/>
    <x v="3"/>
    <x v="5"/>
    <x v="3"/>
    <x v="1"/>
    <s v="Shirt"/>
    <n v="20"/>
    <n v="44.79"/>
    <n v="895.8"/>
    <x v="1"/>
    <s v="Referral"/>
    <n v="160.31"/>
    <x v="10"/>
  </r>
  <r>
    <x v="836"/>
    <s v="2025-09-05"/>
    <x v="0"/>
    <x v="5"/>
    <x v="0"/>
    <x v="1"/>
    <s v="Table"/>
    <n v="8"/>
    <n v="813.86"/>
    <n v="6510.88"/>
    <x v="1"/>
    <s v="Referral"/>
    <n v="1692.07"/>
    <x v="5"/>
  </r>
  <r>
    <x v="837"/>
    <s v="2025-07-27"/>
    <x v="0"/>
    <x v="2"/>
    <x v="1"/>
    <x v="1"/>
    <s v="Mouse"/>
    <n v="3"/>
    <n v="336.47"/>
    <n v="1009.41"/>
    <x v="3"/>
    <s v="Festive Offer"/>
    <n v="336.46"/>
    <x v="9"/>
  </r>
  <r>
    <x v="838"/>
    <s v="2025-02-06"/>
    <x v="3"/>
    <x v="1"/>
    <x v="1"/>
    <x v="0"/>
    <s v="Chair"/>
    <n v="20"/>
    <n v="588.52"/>
    <n v="11770.4"/>
    <x v="4"/>
    <s v="Summer Sale"/>
    <n v="1973.67"/>
    <x v="0"/>
  </r>
  <r>
    <x v="839"/>
    <s v="2025-10-26"/>
    <x v="1"/>
    <x v="7"/>
    <x v="2"/>
    <x v="3"/>
    <s v="Mouse"/>
    <n v="4"/>
    <n v="473.01"/>
    <n v="1892.04"/>
    <x v="5"/>
    <s v="Festive Offer"/>
    <n v="228.3"/>
    <x v="11"/>
  </r>
  <r>
    <x v="840"/>
    <s v="2025-03-17"/>
    <x v="3"/>
    <x v="7"/>
    <x v="2"/>
    <x v="0"/>
    <s v="Chair"/>
    <n v="16"/>
    <n v="463.58"/>
    <n v="7417.28"/>
    <x v="5"/>
    <s v="Referral"/>
    <n v="1687.04"/>
    <x v="1"/>
  </r>
  <r>
    <x v="841"/>
    <s v="2025-09-22"/>
    <x v="2"/>
    <x v="2"/>
    <x v="2"/>
    <x v="2"/>
    <s v="Headphones"/>
    <n v="20"/>
    <n v="423.31"/>
    <n v="8466.2000000000007"/>
    <x v="3"/>
    <s v="Brand Awareness"/>
    <n v="2515.27"/>
    <x v="5"/>
  </r>
  <r>
    <x v="842"/>
    <s v="2025-03-18"/>
    <x v="3"/>
    <x v="7"/>
    <x v="1"/>
    <x v="1"/>
    <s v="Table"/>
    <n v="10"/>
    <n v="945.9"/>
    <n v="9459"/>
    <x v="4"/>
    <s v="Summer Sale"/>
    <n v="2000.44"/>
    <x v="1"/>
  </r>
  <r>
    <x v="843"/>
    <s v="2025-04-21"/>
    <x v="3"/>
    <x v="5"/>
    <x v="0"/>
    <x v="0"/>
    <s v="Jacket"/>
    <n v="4"/>
    <n v="521.4"/>
    <n v="2085.6"/>
    <x v="4"/>
    <s v="Summer Sale"/>
    <n v="527.33000000000004"/>
    <x v="6"/>
  </r>
  <r>
    <x v="844"/>
    <s v="2025-04-30"/>
    <x v="3"/>
    <x v="5"/>
    <x v="2"/>
    <x v="2"/>
    <s v="Monitor"/>
    <n v="6"/>
    <n v="928.01"/>
    <n v="5568.06"/>
    <x v="4"/>
    <s v="Festive Offer"/>
    <n v="1835.11"/>
    <x v="6"/>
  </r>
  <r>
    <x v="845"/>
    <s v="2025-08-17"/>
    <x v="2"/>
    <x v="1"/>
    <x v="0"/>
    <x v="0"/>
    <s v="Monitor"/>
    <n v="18"/>
    <n v="979.54"/>
    <n v="17631.72"/>
    <x v="2"/>
    <s v="Brand Awareness"/>
    <n v="4820.1499999999996"/>
    <x v="4"/>
  </r>
  <r>
    <x v="846"/>
    <s v="2025-10-06"/>
    <x v="2"/>
    <x v="1"/>
    <x v="2"/>
    <x v="0"/>
    <s v="Shirt"/>
    <n v="6"/>
    <n v="865.61"/>
    <n v="5193.66"/>
    <x v="5"/>
    <s v="Festive Offer"/>
    <n v="1268.1300000000001"/>
    <x v="11"/>
  </r>
  <r>
    <x v="847"/>
    <s v="2025-06-17"/>
    <x v="0"/>
    <x v="0"/>
    <x v="0"/>
    <x v="3"/>
    <s v="Monitor"/>
    <n v="1"/>
    <n v="571.29"/>
    <n v="571.29"/>
    <x v="0"/>
    <s v="Brand Awareness"/>
    <n v="98.42"/>
    <x v="7"/>
  </r>
  <r>
    <x v="848"/>
    <s v="2025-09-02"/>
    <x v="3"/>
    <x v="4"/>
    <x v="2"/>
    <x v="3"/>
    <s v="Headphones"/>
    <n v="13"/>
    <n v="292.92"/>
    <n v="3807.96"/>
    <x v="4"/>
    <s v="New Launch"/>
    <n v="438.32"/>
    <x v="5"/>
  </r>
  <r>
    <x v="849"/>
    <s v="2025-06-30"/>
    <x v="2"/>
    <x v="5"/>
    <x v="2"/>
    <x v="3"/>
    <s v="Mouse"/>
    <n v="9"/>
    <n v="611.83000000000004"/>
    <n v="5506.47"/>
    <x v="4"/>
    <s v="Brand Awareness"/>
    <n v="1116.05"/>
    <x v="7"/>
  </r>
  <r>
    <x v="850"/>
    <s v="2025-05-27"/>
    <x v="0"/>
    <x v="3"/>
    <x v="2"/>
    <x v="0"/>
    <s v="Chair"/>
    <n v="5"/>
    <n v="254.44"/>
    <n v="1272.2"/>
    <x v="3"/>
    <s v="Brand Awareness"/>
    <n v="129.4"/>
    <x v="2"/>
  </r>
  <r>
    <x v="851"/>
    <s v="2025-09-16"/>
    <x v="3"/>
    <x v="1"/>
    <x v="1"/>
    <x v="0"/>
    <s v="Jacket"/>
    <n v="11"/>
    <n v="792.28"/>
    <n v="8715.08"/>
    <x v="4"/>
    <s v="Brand Awareness"/>
    <n v="1752.31"/>
    <x v="5"/>
  </r>
  <r>
    <x v="852"/>
    <s v="2025-11-01"/>
    <x v="3"/>
    <x v="2"/>
    <x v="3"/>
    <x v="3"/>
    <s v="Monitor"/>
    <n v="5"/>
    <n v="873.72"/>
    <n v="4368.6000000000004"/>
    <x v="3"/>
    <s v="Festive Offer"/>
    <n v="628.91"/>
    <x v="8"/>
  </r>
  <r>
    <x v="853"/>
    <s v="2025-05-09"/>
    <x v="3"/>
    <x v="7"/>
    <x v="2"/>
    <x v="0"/>
    <s v="Chair"/>
    <n v="14"/>
    <n v="907.71"/>
    <n v="12707.94"/>
    <x v="2"/>
    <s v="Summer Sale"/>
    <n v="3708.01"/>
    <x v="2"/>
  </r>
  <r>
    <x v="854"/>
    <s v="2025-11-25"/>
    <x v="1"/>
    <x v="7"/>
    <x v="1"/>
    <x v="2"/>
    <s v="Laptop"/>
    <n v="15"/>
    <n v="372.32"/>
    <n v="5584.8"/>
    <x v="4"/>
    <s v="Festive Offer"/>
    <n v="1323.93"/>
    <x v="8"/>
  </r>
  <r>
    <x v="855"/>
    <s v="2025-08-14"/>
    <x v="0"/>
    <x v="2"/>
    <x v="2"/>
    <x v="2"/>
    <s v="Laptop"/>
    <n v="7"/>
    <n v="721.61"/>
    <n v="5051.2700000000004"/>
    <x v="5"/>
    <s v="Referral"/>
    <n v="1558.51"/>
    <x v="4"/>
  </r>
  <r>
    <x v="856"/>
    <s v="2025-12-27"/>
    <x v="2"/>
    <x v="5"/>
    <x v="2"/>
    <x v="2"/>
    <s v="Chair"/>
    <n v="6"/>
    <n v="830.88"/>
    <n v="4985.28"/>
    <x v="5"/>
    <s v="New Launch"/>
    <n v="699.74"/>
    <x v="10"/>
  </r>
  <r>
    <x v="857"/>
    <s v="2025-12-27"/>
    <x v="3"/>
    <x v="1"/>
    <x v="3"/>
    <x v="0"/>
    <s v="Laptop"/>
    <n v="20"/>
    <n v="677.5"/>
    <n v="13550"/>
    <x v="2"/>
    <s v="Brand Awareness"/>
    <n v="4501.21"/>
    <x v="10"/>
  </r>
  <r>
    <x v="858"/>
    <s v="2025-12-24"/>
    <x v="3"/>
    <x v="4"/>
    <x v="2"/>
    <x v="3"/>
    <s v="Laptop"/>
    <n v="6"/>
    <n v="811.22"/>
    <n v="4867.32"/>
    <x v="2"/>
    <s v="Summer Sale"/>
    <n v="997.03"/>
    <x v="10"/>
  </r>
  <r>
    <x v="859"/>
    <s v="2025-06-10"/>
    <x v="0"/>
    <x v="7"/>
    <x v="1"/>
    <x v="0"/>
    <s v="Chair"/>
    <n v="4"/>
    <n v="33.83"/>
    <n v="135.32"/>
    <x v="5"/>
    <s v="New Launch"/>
    <n v="30.33"/>
    <x v="7"/>
  </r>
  <r>
    <x v="860"/>
    <s v="2025-05-25"/>
    <x v="1"/>
    <x v="2"/>
    <x v="2"/>
    <x v="3"/>
    <s v="Table"/>
    <n v="3"/>
    <n v="603.73"/>
    <n v="1811.19"/>
    <x v="3"/>
    <s v="Referral"/>
    <n v="513.46"/>
    <x v="2"/>
  </r>
  <r>
    <x v="861"/>
    <s v="2025-10-31"/>
    <x v="1"/>
    <x v="3"/>
    <x v="0"/>
    <x v="0"/>
    <s v="Headphones"/>
    <n v="7"/>
    <n v="110.82"/>
    <n v="775.74"/>
    <x v="3"/>
    <s v="Festive Offer"/>
    <n v="196.61"/>
    <x v="11"/>
  </r>
  <r>
    <x v="862"/>
    <s v="2025-02-09"/>
    <x v="3"/>
    <x v="7"/>
    <x v="2"/>
    <x v="3"/>
    <s v="Jacket"/>
    <n v="20"/>
    <n v="63.97"/>
    <n v="1279.4000000000001"/>
    <x v="2"/>
    <s v="Brand Awareness"/>
    <n v="334.87"/>
    <x v="0"/>
  </r>
  <r>
    <x v="863"/>
    <s v="2025-02-14"/>
    <x v="2"/>
    <x v="2"/>
    <x v="3"/>
    <x v="1"/>
    <s v="Chair"/>
    <n v="19"/>
    <n v="497.59"/>
    <n v="9454.2099999999991"/>
    <x v="5"/>
    <s v="Referral"/>
    <n v="1541.81"/>
    <x v="0"/>
  </r>
  <r>
    <x v="864"/>
    <s v="2025-09-13"/>
    <x v="0"/>
    <x v="4"/>
    <x v="3"/>
    <x v="1"/>
    <s v="Mouse"/>
    <n v="3"/>
    <n v="770.81"/>
    <n v="2312.4299999999998"/>
    <x v="0"/>
    <s v="Summer Sale"/>
    <n v="513.38"/>
    <x v="5"/>
  </r>
  <r>
    <x v="865"/>
    <s v="2025-09-15"/>
    <x v="0"/>
    <x v="1"/>
    <x v="3"/>
    <x v="2"/>
    <s v="Shirt"/>
    <n v="6"/>
    <n v="345.07"/>
    <n v="2070.42"/>
    <x v="1"/>
    <s v="Referral"/>
    <n v="597.97"/>
    <x v="5"/>
  </r>
  <r>
    <x v="866"/>
    <s v="2025-08-31"/>
    <x v="3"/>
    <x v="4"/>
    <x v="2"/>
    <x v="0"/>
    <s v="Table"/>
    <n v="5"/>
    <n v="268.29000000000002"/>
    <n v="1341.45"/>
    <x v="2"/>
    <s v="Festive Offer"/>
    <n v="429.83"/>
    <x v="4"/>
  </r>
  <r>
    <x v="867"/>
    <s v="2025-12-20"/>
    <x v="3"/>
    <x v="6"/>
    <x v="3"/>
    <x v="0"/>
    <s v="Shirt"/>
    <n v="6"/>
    <n v="746.87"/>
    <n v="4481.22"/>
    <x v="3"/>
    <s v="Brand Awareness"/>
    <n v="564.83000000000004"/>
    <x v="10"/>
  </r>
  <r>
    <x v="868"/>
    <s v="2025-06-22"/>
    <x v="3"/>
    <x v="1"/>
    <x v="2"/>
    <x v="2"/>
    <s v="Shirt"/>
    <n v="6"/>
    <n v="100.98"/>
    <n v="605.88"/>
    <x v="2"/>
    <s v="Festive Offer"/>
    <n v="181.19"/>
    <x v="7"/>
  </r>
  <r>
    <x v="869"/>
    <s v="2025-09-03"/>
    <x v="3"/>
    <x v="1"/>
    <x v="2"/>
    <x v="2"/>
    <s v="Shirt"/>
    <n v="19"/>
    <n v="160.16999999999999"/>
    <n v="3043.23"/>
    <x v="3"/>
    <s v="New Launch"/>
    <n v="547.27"/>
    <x v="5"/>
  </r>
  <r>
    <x v="870"/>
    <s v="2025-09-14"/>
    <x v="2"/>
    <x v="0"/>
    <x v="3"/>
    <x v="0"/>
    <s v="Chair"/>
    <n v="19"/>
    <n v="460.96"/>
    <n v="8758.24"/>
    <x v="1"/>
    <s v="Summer Sale"/>
    <n v="2585.91"/>
    <x v="5"/>
  </r>
  <r>
    <x v="871"/>
    <s v="2025-02-24"/>
    <x v="1"/>
    <x v="0"/>
    <x v="2"/>
    <x v="0"/>
    <s v="Jacket"/>
    <n v="18"/>
    <n v="305.47000000000003"/>
    <n v="5498.46"/>
    <x v="3"/>
    <s v="Brand Awareness"/>
    <n v="1909.47"/>
    <x v="0"/>
  </r>
  <r>
    <x v="872"/>
    <s v="2025-04-18"/>
    <x v="3"/>
    <x v="1"/>
    <x v="1"/>
    <x v="0"/>
    <s v="Monitor"/>
    <n v="10"/>
    <n v="791.18"/>
    <n v="7911.8"/>
    <x v="2"/>
    <s v="Referral"/>
    <n v="2350.46"/>
    <x v="6"/>
  </r>
  <r>
    <x v="873"/>
    <s v="2025-01-30"/>
    <x v="0"/>
    <x v="5"/>
    <x v="1"/>
    <x v="3"/>
    <s v="Table"/>
    <n v="4"/>
    <n v="727.34"/>
    <n v="2909.36"/>
    <x v="0"/>
    <s v="Summer Sale"/>
    <n v="883.47"/>
    <x v="12"/>
  </r>
  <r>
    <x v="874"/>
    <s v="2025-07-12"/>
    <x v="0"/>
    <x v="4"/>
    <x v="2"/>
    <x v="1"/>
    <s v="Headphones"/>
    <n v="14"/>
    <n v="359.31"/>
    <n v="5030.34"/>
    <x v="5"/>
    <s v="Brand Awareness"/>
    <n v="798.79"/>
    <x v="9"/>
  </r>
  <r>
    <x v="875"/>
    <s v="2025-04-03"/>
    <x v="0"/>
    <x v="0"/>
    <x v="1"/>
    <x v="0"/>
    <s v="Shirt"/>
    <n v="18"/>
    <n v="667.36"/>
    <n v="12012.48"/>
    <x v="3"/>
    <s v="Referral"/>
    <n v="3117.73"/>
    <x v="6"/>
  </r>
  <r>
    <x v="876"/>
    <s v="2025-08-05"/>
    <x v="2"/>
    <x v="7"/>
    <x v="1"/>
    <x v="3"/>
    <s v="Laptop"/>
    <n v="16"/>
    <n v="742.59"/>
    <n v="11881.44"/>
    <x v="3"/>
    <s v="Festive Offer"/>
    <n v="1752.38"/>
    <x v="4"/>
  </r>
  <r>
    <x v="877"/>
    <s v="2025-09-26"/>
    <x v="2"/>
    <x v="2"/>
    <x v="2"/>
    <x v="3"/>
    <s v="Shirt"/>
    <n v="17"/>
    <n v="197.36"/>
    <n v="3355.12"/>
    <x v="2"/>
    <s v="New Launch"/>
    <n v="1151.23"/>
    <x v="5"/>
  </r>
  <r>
    <x v="878"/>
    <s v="2025-12-29"/>
    <x v="0"/>
    <x v="4"/>
    <x v="3"/>
    <x v="0"/>
    <s v="Shirt"/>
    <n v="19"/>
    <n v="97.21"/>
    <n v="1846.99"/>
    <x v="1"/>
    <s v="New Launch"/>
    <n v="506.61"/>
    <x v="10"/>
  </r>
  <r>
    <x v="879"/>
    <s v="2025-04-20"/>
    <x v="2"/>
    <x v="4"/>
    <x v="0"/>
    <x v="1"/>
    <s v="Monitor"/>
    <n v="16"/>
    <n v="740.63"/>
    <n v="11850.08"/>
    <x v="2"/>
    <s v="Summer Sale"/>
    <n v="2325.64"/>
    <x v="6"/>
  </r>
  <r>
    <x v="880"/>
    <s v="2025-06-26"/>
    <x v="1"/>
    <x v="5"/>
    <x v="3"/>
    <x v="2"/>
    <s v="Headphones"/>
    <n v="14"/>
    <n v="638.16999999999996"/>
    <n v="8934.3799999999992"/>
    <x v="2"/>
    <s v="Referral"/>
    <n v="1784.21"/>
    <x v="7"/>
  </r>
  <r>
    <x v="881"/>
    <s v="2025-02-20"/>
    <x v="0"/>
    <x v="2"/>
    <x v="2"/>
    <x v="2"/>
    <s v="Chair"/>
    <n v="15"/>
    <n v="455.47"/>
    <n v="6832.05"/>
    <x v="1"/>
    <s v="Festive Offer"/>
    <n v="1277.1600000000001"/>
    <x v="0"/>
  </r>
  <r>
    <x v="882"/>
    <s v="2025-10-23"/>
    <x v="0"/>
    <x v="0"/>
    <x v="2"/>
    <x v="1"/>
    <s v="Laptop"/>
    <n v="15"/>
    <n v="888.64"/>
    <n v="13329.6"/>
    <x v="1"/>
    <s v="Festive Offer"/>
    <n v="3672.01"/>
    <x v="11"/>
  </r>
  <r>
    <x v="883"/>
    <s v="2025-11-13"/>
    <x v="3"/>
    <x v="0"/>
    <x v="2"/>
    <x v="0"/>
    <s v="Laptop"/>
    <n v="20"/>
    <n v="720.43"/>
    <n v="14408.6"/>
    <x v="3"/>
    <s v="Festive Offer"/>
    <n v="3128.49"/>
    <x v="8"/>
  </r>
  <r>
    <x v="884"/>
    <s v="2025-09-26"/>
    <x v="3"/>
    <x v="1"/>
    <x v="3"/>
    <x v="0"/>
    <s v="Monitor"/>
    <n v="11"/>
    <n v="888.89"/>
    <n v="9777.7900000000009"/>
    <x v="1"/>
    <s v="Brand Awareness"/>
    <n v="3211.26"/>
    <x v="5"/>
  </r>
  <r>
    <x v="885"/>
    <s v="2025-04-21"/>
    <x v="0"/>
    <x v="1"/>
    <x v="0"/>
    <x v="0"/>
    <s v="Headphones"/>
    <n v="7"/>
    <n v="934.92"/>
    <n v="6544.44"/>
    <x v="0"/>
    <s v="Referral"/>
    <n v="697.19"/>
    <x v="6"/>
  </r>
  <r>
    <x v="886"/>
    <s v="2025-11-09"/>
    <x v="0"/>
    <x v="1"/>
    <x v="2"/>
    <x v="3"/>
    <s v="Headphones"/>
    <n v="15"/>
    <n v="91.63"/>
    <n v="1374.45"/>
    <x v="3"/>
    <s v="New Launch"/>
    <n v="225.97"/>
    <x v="8"/>
  </r>
  <r>
    <x v="887"/>
    <s v="2025-07-14"/>
    <x v="1"/>
    <x v="0"/>
    <x v="2"/>
    <x v="1"/>
    <s v="Mouse"/>
    <n v="4"/>
    <n v="139.80000000000001"/>
    <n v="559.20000000000005"/>
    <x v="2"/>
    <s v="New Launch"/>
    <n v="133.28"/>
    <x v="9"/>
  </r>
  <r>
    <x v="888"/>
    <s v="2025-04-20"/>
    <x v="0"/>
    <x v="7"/>
    <x v="3"/>
    <x v="2"/>
    <s v="Laptop"/>
    <n v="8"/>
    <n v="886.36"/>
    <n v="7090.88"/>
    <x v="1"/>
    <s v="New Launch"/>
    <n v="2465.62"/>
    <x v="6"/>
  </r>
  <r>
    <x v="889"/>
    <s v="2025-03-31"/>
    <x v="2"/>
    <x v="4"/>
    <x v="2"/>
    <x v="2"/>
    <s v="Headphones"/>
    <n v="1"/>
    <n v="205.11"/>
    <n v="205.11"/>
    <x v="4"/>
    <s v="Brand Awareness"/>
    <n v="53.69"/>
    <x v="1"/>
  </r>
  <r>
    <x v="890"/>
    <s v="2025-10-13"/>
    <x v="0"/>
    <x v="7"/>
    <x v="0"/>
    <x v="2"/>
    <s v="Shirt"/>
    <n v="15"/>
    <n v="272.69"/>
    <n v="4090.35"/>
    <x v="1"/>
    <s v="Summer Sale"/>
    <n v="1081.44"/>
    <x v="11"/>
  </r>
  <r>
    <x v="891"/>
    <s v="2025-09-27"/>
    <x v="1"/>
    <x v="1"/>
    <x v="0"/>
    <x v="0"/>
    <s v="Mouse"/>
    <n v="13"/>
    <n v="195.42"/>
    <n v="2540.46"/>
    <x v="2"/>
    <s v="Summer Sale"/>
    <n v="656.13"/>
    <x v="5"/>
  </r>
  <r>
    <x v="892"/>
    <s v="2025-01-17"/>
    <x v="3"/>
    <x v="1"/>
    <x v="1"/>
    <x v="1"/>
    <s v="Table"/>
    <n v="13"/>
    <n v="556.6"/>
    <n v="7235.8"/>
    <x v="2"/>
    <s v="Brand Awareness"/>
    <n v="1766.52"/>
    <x v="12"/>
  </r>
  <r>
    <x v="893"/>
    <s v="2025-04-28"/>
    <x v="2"/>
    <x v="1"/>
    <x v="0"/>
    <x v="1"/>
    <s v="Laptop"/>
    <n v="5"/>
    <n v="168.44"/>
    <n v="842.2"/>
    <x v="4"/>
    <s v="Referral"/>
    <n v="166.68"/>
    <x v="6"/>
  </r>
  <r>
    <x v="894"/>
    <s v="2025-02-07"/>
    <x v="0"/>
    <x v="3"/>
    <x v="3"/>
    <x v="2"/>
    <s v="Headphones"/>
    <n v="16"/>
    <n v="419.81"/>
    <n v="6716.96"/>
    <x v="3"/>
    <s v="Summer Sale"/>
    <n v="1801.39"/>
    <x v="0"/>
  </r>
  <r>
    <x v="895"/>
    <s v="2025-09-12"/>
    <x v="0"/>
    <x v="4"/>
    <x v="1"/>
    <x v="0"/>
    <s v="Table"/>
    <n v="3"/>
    <n v="389.69"/>
    <n v="1169.07"/>
    <x v="3"/>
    <s v="New Launch"/>
    <n v="329.19"/>
    <x v="5"/>
  </r>
  <r>
    <x v="896"/>
    <s v="2025-10-13"/>
    <x v="2"/>
    <x v="6"/>
    <x v="1"/>
    <x v="1"/>
    <s v="Jacket"/>
    <n v="11"/>
    <n v="264.57"/>
    <n v="2910.27"/>
    <x v="1"/>
    <s v="Referral"/>
    <n v="693.87"/>
    <x v="11"/>
  </r>
  <r>
    <x v="897"/>
    <s v="2025-04-03"/>
    <x v="2"/>
    <x v="7"/>
    <x v="1"/>
    <x v="1"/>
    <s v="Laptop"/>
    <n v="15"/>
    <n v="249.54"/>
    <n v="3743.1"/>
    <x v="4"/>
    <s v="Brand Awareness"/>
    <n v="824.39"/>
    <x v="6"/>
  </r>
  <r>
    <x v="898"/>
    <s v="2025-12-18"/>
    <x v="2"/>
    <x v="4"/>
    <x v="2"/>
    <x v="0"/>
    <s v="Table"/>
    <n v="4"/>
    <n v="908.84"/>
    <n v="3635.36"/>
    <x v="1"/>
    <s v="Summer Sale"/>
    <n v="634.14"/>
    <x v="10"/>
  </r>
  <r>
    <x v="899"/>
    <s v="2025-03-18"/>
    <x v="3"/>
    <x v="4"/>
    <x v="0"/>
    <x v="2"/>
    <s v="Laptop"/>
    <n v="13"/>
    <n v="923.69"/>
    <n v="12007.97"/>
    <x v="5"/>
    <s v="Summer Sale"/>
    <n v="1334.3"/>
    <x v="1"/>
  </r>
  <r>
    <x v="900"/>
    <s v="2025-03-21"/>
    <x v="3"/>
    <x v="2"/>
    <x v="2"/>
    <x v="2"/>
    <s v="Jacket"/>
    <n v="4"/>
    <n v="718.6"/>
    <n v="2874.4"/>
    <x v="2"/>
    <s v="New Launch"/>
    <n v="449.86"/>
    <x v="1"/>
  </r>
  <r>
    <x v="901"/>
    <s v="2025-11-06"/>
    <x v="3"/>
    <x v="0"/>
    <x v="0"/>
    <x v="1"/>
    <s v="Monitor"/>
    <n v="10"/>
    <n v="72.64"/>
    <n v="726.4"/>
    <x v="5"/>
    <s v="Festive Offer"/>
    <n v="210.31"/>
    <x v="8"/>
  </r>
  <r>
    <x v="902"/>
    <s v="2025-03-14"/>
    <x v="0"/>
    <x v="6"/>
    <x v="1"/>
    <x v="0"/>
    <s v="Laptop"/>
    <n v="11"/>
    <n v="933.2"/>
    <n v="10265.200000000001"/>
    <x v="1"/>
    <s v="Festive Offer"/>
    <n v="2574.91"/>
    <x v="1"/>
  </r>
  <r>
    <x v="903"/>
    <s v="2025-11-29"/>
    <x v="0"/>
    <x v="0"/>
    <x v="3"/>
    <x v="2"/>
    <s v="Chair"/>
    <n v="18"/>
    <n v="256.2"/>
    <n v="4611.6000000000004"/>
    <x v="2"/>
    <s v="Summer Sale"/>
    <n v="560.74"/>
    <x v="8"/>
  </r>
  <r>
    <x v="904"/>
    <s v="2025-11-12"/>
    <x v="3"/>
    <x v="5"/>
    <x v="2"/>
    <x v="0"/>
    <s v="Monitor"/>
    <n v="10"/>
    <n v="116.16"/>
    <n v="1161.5999999999999"/>
    <x v="4"/>
    <s v="Referral"/>
    <n v="119.7"/>
    <x v="8"/>
  </r>
  <r>
    <x v="905"/>
    <s v="2025-06-23"/>
    <x v="1"/>
    <x v="5"/>
    <x v="3"/>
    <x v="2"/>
    <s v="Jacket"/>
    <n v="15"/>
    <n v="260.5"/>
    <n v="3907.5"/>
    <x v="2"/>
    <s v="Referral"/>
    <n v="1322.1"/>
    <x v="7"/>
  </r>
  <r>
    <x v="906"/>
    <s v="2025-04-05"/>
    <x v="1"/>
    <x v="3"/>
    <x v="2"/>
    <x v="3"/>
    <s v="Mouse"/>
    <n v="6"/>
    <n v="502.21"/>
    <n v="3013.26"/>
    <x v="4"/>
    <s v="Summer Sale"/>
    <n v="573.4"/>
    <x v="6"/>
  </r>
  <r>
    <x v="907"/>
    <s v="2025-07-16"/>
    <x v="2"/>
    <x v="1"/>
    <x v="2"/>
    <x v="2"/>
    <s v="Laptop"/>
    <n v="11"/>
    <n v="561.65"/>
    <n v="6178.15"/>
    <x v="1"/>
    <s v="Festive Offer"/>
    <n v="1023.71"/>
    <x v="9"/>
  </r>
  <r>
    <x v="908"/>
    <s v="2025-03-03"/>
    <x v="3"/>
    <x v="4"/>
    <x v="0"/>
    <x v="2"/>
    <s v="Monitor"/>
    <n v="9"/>
    <n v="156.77000000000001"/>
    <n v="1410.93"/>
    <x v="3"/>
    <s v="New Launch"/>
    <n v="189.61"/>
    <x v="1"/>
  </r>
  <r>
    <x v="909"/>
    <s v="2025-05-29"/>
    <x v="1"/>
    <x v="5"/>
    <x v="3"/>
    <x v="3"/>
    <s v="Headphones"/>
    <n v="6"/>
    <n v="687.48"/>
    <n v="4124.88"/>
    <x v="2"/>
    <s v="Festive Offer"/>
    <n v="1226.69"/>
    <x v="2"/>
  </r>
  <r>
    <x v="910"/>
    <s v="2025-10-18"/>
    <x v="1"/>
    <x v="4"/>
    <x v="2"/>
    <x v="0"/>
    <s v="Mouse"/>
    <n v="1"/>
    <n v="558.13"/>
    <n v="558.13"/>
    <x v="1"/>
    <s v="Brand Awareness"/>
    <n v="83.81"/>
    <x v="11"/>
  </r>
  <r>
    <x v="911"/>
    <s v="2025-11-15"/>
    <x v="1"/>
    <x v="6"/>
    <x v="1"/>
    <x v="1"/>
    <s v="Chair"/>
    <n v="17"/>
    <n v="317.58"/>
    <n v="5398.86"/>
    <x v="4"/>
    <s v="Referral"/>
    <n v="1173.08"/>
    <x v="8"/>
  </r>
  <r>
    <x v="912"/>
    <s v="2025-12-02"/>
    <x v="2"/>
    <x v="2"/>
    <x v="0"/>
    <x v="1"/>
    <s v="Shirt"/>
    <n v="12"/>
    <n v="177.08"/>
    <n v="2124.96"/>
    <x v="4"/>
    <s v="Brand Awareness"/>
    <n v="238.88"/>
    <x v="10"/>
  </r>
  <r>
    <x v="913"/>
    <s v="2025-07-25"/>
    <x v="1"/>
    <x v="3"/>
    <x v="2"/>
    <x v="3"/>
    <s v="Laptop"/>
    <n v="5"/>
    <n v="973.91"/>
    <n v="4869.55"/>
    <x v="1"/>
    <s v="Festive Offer"/>
    <n v="608.9"/>
    <x v="9"/>
  </r>
  <r>
    <x v="914"/>
    <s v="2025-10-24"/>
    <x v="2"/>
    <x v="7"/>
    <x v="1"/>
    <x v="2"/>
    <s v="Jacket"/>
    <n v="6"/>
    <n v="52.49"/>
    <n v="314.94"/>
    <x v="5"/>
    <s v="Referral"/>
    <n v="58.65"/>
    <x v="11"/>
  </r>
  <r>
    <x v="915"/>
    <s v="2025-03-08"/>
    <x v="0"/>
    <x v="6"/>
    <x v="3"/>
    <x v="1"/>
    <s v="Jacket"/>
    <n v="10"/>
    <n v="307.33"/>
    <n v="3073.3"/>
    <x v="0"/>
    <s v="Referral"/>
    <n v="443.32"/>
    <x v="1"/>
  </r>
  <r>
    <x v="916"/>
    <s v="2025-07-27"/>
    <x v="1"/>
    <x v="0"/>
    <x v="0"/>
    <x v="1"/>
    <s v="Monitor"/>
    <n v="15"/>
    <n v="762.05"/>
    <n v="11430.75"/>
    <x v="2"/>
    <s v="Referral"/>
    <n v="2249.0700000000002"/>
    <x v="9"/>
  </r>
  <r>
    <x v="917"/>
    <s v="2025-05-21"/>
    <x v="2"/>
    <x v="1"/>
    <x v="0"/>
    <x v="3"/>
    <s v="Monitor"/>
    <n v="2"/>
    <n v="499.99"/>
    <n v="999.98"/>
    <x v="5"/>
    <s v="New Launch"/>
    <n v="258.08"/>
    <x v="2"/>
  </r>
  <r>
    <x v="918"/>
    <s v="2025-07-27"/>
    <x v="2"/>
    <x v="3"/>
    <x v="3"/>
    <x v="2"/>
    <s v="Table"/>
    <n v="2"/>
    <n v="257.64999999999998"/>
    <n v="515.29999999999995"/>
    <x v="1"/>
    <s v="Festive Offer"/>
    <n v="95.19"/>
    <x v="9"/>
  </r>
  <r>
    <x v="919"/>
    <s v="2025-12-08"/>
    <x v="0"/>
    <x v="4"/>
    <x v="1"/>
    <x v="1"/>
    <s v="Shirt"/>
    <n v="20"/>
    <n v="792.09"/>
    <n v="15841.8"/>
    <x v="2"/>
    <s v="Brand Awareness"/>
    <n v="2400.19"/>
    <x v="10"/>
  </r>
  <r>
    <x v="920"/>
    <s v="2025-10-22"/>
    <x v="2"/>
    <x v="6"/>
    <x v="3"/>
    <x v="3"/>
    <s v="Jacket"/>
    <n v="4"/>
    <n v="221.3"/>
    <n v="885.2"/>
    <x v="4"/>
    <s v="New Launch"/>
    <n v="108.4"/>
    <x v="11"/>
  </r>
  <r>
    <x v="921"/>
    <s v="2025-02-15"/>
    <x v="3"/>
    <x v="0"/>
    <x v="3"/>
    <x v="2"/>
    <s v="Mouse"/>
    <n v="5"/>
    <n v="968.13"/>
    <n v="4840.6499999999996"/>
    <x v="3"/>
    <s v="Festive Offer"/>
    <n v="889.75"/>
    <x v="0"/>
  </r>
  <r>
    <x v="922"/>
    <s v="2025-03-30"/>
    <x v="1"/>
    <x v="6"/>
    <x v="1"/>
    <x v="2"/>
    <s v="Table"/>
    <n v="9"/>
    <n v="808.58"/>
    <n v="7277.22"/>
    <x v="0"/>
    <s v="Brand Awareness"/>
    <n v="1117.1199999999999"/>
    <x v="1"/>
  </r>
  <r>
    <x v="923"/>
    <s v="2025-12-06"/>
    <x v="1"/>
    <x v="1"/>
    <x v="2"/>
    <x v="1"/>
    <s v="Headphones"/>
    <n v="17"/>
    <n v="516.52"/>
    <n v="8780.84"/>
    <x v="0"/>
    <s v="Festive Offer"/>
    <n v="1018.41"/>
    <x v="10"/>
  </r>
  <r>
    <x v="924"/>
    <s v="2025-02-11"/>
    <x v="1"/>
    <x v="1"/>
    <x v="0"/>
    <x v="3"/>
    <s v="Shirt"/>
    <n v="7"/>
    <n v="867.59"/>
    <n v="6073.13"/>
    <x v="4"/>
    <s v="New Launch"/>
    <n v="858.04"/>
    <x v="0"/>
  </r>
  <r>
    <x v="925"/>
    <s v="2025-08-29"/>
    <x v="2"/>
    <x v="4"/>
    <x v="0"/>
    <x v="1"/>
    <s v="Jacket"/>
    <n v="1"/>
    <n v="522.84"/>
    <n v="522.84"/>
    <x v="4"/>
    <s v="Brand Awareness"/>
    <n v="160.88"/>
    <x v="4"/>
  </r>
  <r>
    <x v="926"/>
    <s v="2025-12-11"/>
    <x v="0"/>
    <x v="6"/>
    <x v="1"/>
    <x v="1"/>
    <s v="Chair"/>
    <n v="20"/>
    <n v="371.42"/>
    <n v="7428.4"/>
    <x v="2"/>
    <s v="New Launch"/>
    <n v="1826.82"/>
    <x v="10"/>
  </r>
  <r>
    <x v="927"/>
    <s v="2025-10-08"/>
    <x v="1"/>
    <x v="5"/>
    <x v="0"/>
    <x v="3"/>
    <s v="Mouse"/>
    <n v="1"/>
    <n v="803.58"/>
    <n v="803.58"/>
    <x v="2"/>
    <s v="Festive Offer"/>
    <n v="245.66"/>
    <x v="11"/>
  </r>
  <r>
    <x v="928"/>
    <s v="2025-01-26"/>
    <x v="3"/>
    <x v="0"/>
    <x v="2"/>
    <x v="1"/>
    <s v="Table"/>
    <n v="5"/>
    <n v="193.95"/>
    <n v="969.75"/>
    <x v="5"/>
    <s v="Festive Offer"/>
    <n v="171.29"/>
    <x v="12"/>
  </r>
  <r>
    <x v="929"/>
    <s v="2025-03-23"/>
    <x v="3"/>
    <x v="0"/>
    <x v="2"/>
    <x v="0"/>
    <s v="Monitor"/>
    <n v="6"/>
    <n v="594.4"/>
    <n v="3566.4"/>
    <x v="2"/>
    <s v="New Launch"/>
    <n v="546.67999999999995"/>
    <x v="1"/>
  </r>
  <r>
    <x v="930"/>
    <s v="2025-11-21"/>
    <x v="0"/>
    <x v="1"/>
    <x v="1"/>
    <x v="3"/>
    <s v="Headphones"/>
    <n v="7"/>
    <n v="320.81"/>
    <n v="2245.67"/>
    <x v="1"/>
    <s v="Summer Sale"/>
    <n v="710.45"/>
    <x v="8"/>
  </r>
  <r>
    <x v="931"/>
    <s v="2025-06-15"/>
    <x v="1"/>
    <x v="4"/>
    <x v="2"/>
    <x v="3"/>
    <s v="Jacket"/>
    <n v="2"/>
    <n v="115.44"/>
    <n v="230.88"/>
    <x v="3"/>
    <s v="Summer Sale"/>
    <n v="44.95"/>
    <x v="7"/>
  </r>
  <r>
    <x v="932"/>
    <s v="2025-08-22"/>
    <x v="3"/>
    <x v="3"/>
    <x v="2"/>
    <x v="2"/>
    <s v="Jacket"/>
    <n v="10"/>
    <n v="453.74"/>
    <n v="4537.3999999999996"/>
    <x v="3"/>
    <s v="New Launch"/>
    <n v="1464.1"/>
    <x v="4"/>
  </r>
  <r>
    <x v="933"/>
    <s v="2025-01-22"/>
    <x v="1"/>
    <x v="4"/>
    <x v="3"/>
    <x v="3"/>
    <s v="Table"/>
    <n v="15"/>
    <n v="984.93"/>
    <n v="14773.95"/>
    <x v="1"/>
    <s v="Festive Offer"/>
    <n v="2320.81"/>
    <x v="12"/>
  </r>
  <r>
    <x v="934"/>
    <s v="2025-05-02"/>
    <x v="3"/>
    <x v="5"/>
    <x v="1"/>
    <x v="2"/>
    <s v="Chair"/>
    <n v="9"/>
    <n v="758.84"/>
    <n v="6829.56"/>
    <x v="2"/>
    <s v="Brand Awareness"/>
    <n v="1849.11"/>
    <x v="2"/>
  </r>
  <r>
    <x v="935"/>
    <s v="2025-02-08"/>
    <x v="0"/>
    <x v="2"/>
    <x v="3"/>
    <x v="0"/>
    <s v="Chair"/>
    <n v="3"/>
    <n v="97.33"/>
    <n v="291.99"/>
    <x v="1"/>
    <s v="New Launch"/>
    <n v="40.76"/>
    <x v="0"/>
  </r>
  <r>
    <x v="936"/>
    <s v="2025-10-08"/>
    <x v="1"/>
    <x v="6"/>
    <x v="1"/>
    <x v="0"/>
    <s v="Shirt"/>
    <n v="16"/>
    <n v="43.21"/>
    <n v="691.36"/>
    <x v="4"/>
    <s v="Summer Sale"/>
    <n v="153.71"/>
    <x v="11"/>
  </r>
  <r>
    <x v="937"/>
    <s v="2025-01-04"/>
    <x v="2"/>
    <x v="2"/>
    <x v="0"/>
    <x v="0"/>
    <s v="Monitor"/>
    <n v="15"/>
    <n v="956.97"/>
    <n v="14354.55"/>
    <x v="2"/>
    <s v="Summer Sale"/>
    <n v="2421.36"/>
    <x v="12"/>
  </r>
  <r>
    <x v="938"/>
    <s v="2025-03-31"/>
    <x v="2"/>
    <x v="2"/>
    <x v="3"/>
    <x v="2"/>
    <s v="Table"/>
    <n v="6"/>
    <n v="844.54"/>
    <n v="5067.24"/>
    <x v="3"/>
    <s v="Summer Sale"/>
    <n v="752.89"/>
    <x v="1"/>
  </r>
  <r>
    <x v="939"/>
    <s v="2025-11-27"/>
    <x v="0"/>
    <x v="2"/>
    <x v="0"/>
    <x v="2"/>
    <s v="Jacket"/>
    <n v="11"/>
    <n v="833.89"/>
    <n v="9172.7900000000009"/>
    <x v="5"/>
    <s v="Brand Awareness"/>
    <n v="2971.77"/>
    <x v="8"/>
  </r>
  <r>
    <x v="940"/>
    <s v="2025-03-29"/>
    <x v="2"/>
    <x v="7"/>
    <x v="3"/>
    <x v="3"/>
    <s v="Chair"/>
    <n v="12"/>
    <n v="132.41"/>
    <n v="1588.92"/>
    <x v="5"/>
    <s v="Brand Awareness"/>
    <n v="500.94"/>
    <x v="1"/>
  </r>
  <r>
    <x v="941"/>
    <s v="2025-04-11"/>
    <x v="2"/>
    <x v="3"/>
    <x v="1"/>
    <x v="3"/>
    <s v="Headphones"/>
    <n v="6"/>
    <n v="837.62"/>
    <n v="5025.72"/>
    <x v="4"/>
    <s v="Referral"/>
    <n v="1668.93"/>
    <x v="6"/>
  </r>
  <r>
    <x v="942"/>
    <s v="2025-08-19"/>
    <x v="0"/>
    <x v="7"/>
    <x v="1"/>
    <x v="2"/>
    <s v="Laptop"/>
    <n v="14"/>
    <n v="610.02"/>
    <n v="8540.2800000000007"/>
    <x v="3"/>
    <s v="Summer Sale"/>
    <n v="2472.5"/>
    <x v="4"/>
  </r>
  <r>
    <x v="943"/>
    <s v="2025-11-29"/>
    <x v="3"/>
    <x v="2"/>
    <x v="2"/>
    <x v="3"/>
    <s v="Shirt"/>
    <n v="16"/>
    <n v="590.47"/>
    <n v="9447.52"/>
    <x v="0"/>
    <s v="Festive Offer"/>
    <n v="2609.15"/>
    <x v="8"/>
  </r>
  <r>
    <x v="944"/>
    <s v="2025-05-04"/>
    <x v="0"/>
    <x v="5"/>
    <x v="1"/>
    <x v="2"/>
    <s v="Headphones"/>
    <n v="13"/>
    <n v="893.24"/>
    <n v="11612.12"/>
    <x v="4"/>
    <s v="Referral"/>
    <n v="1798.96"/>
    <x v="2"/>
  </r>
  <r>
    <x v="945"/>
    <s v="2025-08-09"/>
    <x v="2"/>
    <x v="1"/>
    <x v="1"/>
    <x v="1"/>
    <s v="Laptop"/>
    <n v="2"/>
    <n v="72.98"/>
    <n v="145.96"/>
    <x v="0"/>
    <s v="Summer Sale"/>
    <n v="19.22"/>
    <x v="4"/>
  </r>
  <r>
    <x v="946"/>
    <s v="2025-03-06"/>
    <x v="0"/>
    <x v="4"/>
    <x v="1"/>
    <x v="0"/>
    <s v="Monitor"/>
    <n v="2"/>
    <n v="388"/>
    <n v="776"/>
    <x v="1"/>
    <s v="Brand Awareness"/>
    <n v="111.22"/>
    <x v="1"/>
  </r>
  <r>
    <x v="947"/>
    <s v="2025-09-30"/>
    <x v="1"/>
    <x v="3"/>
    <x v="3"/>
    <x v="3"/>
    <s v="Table"/>
    <n v="19"/>
    <n v="558.44000000000005"/>
    <n v="10610.36"/>
    <x v="5"/>
    <s v="Summer Sale"/>
    <n v="2648.29"/>
    <x v="5"/>
  </r>
  <r>
    <x v="948"/>
    <s v="2025-06-30"/>
    <x v="2"/>
    <x v="3"/>
    <x v="0"/>
    <x v="0"/>
    <s v="Shirt"/>
    <n v="16"/>
    <n v="801.67"/>
    <n v="12826.72"/>
    <x v="0"/>
    <s v="Referral"/>
    <n v="2215.81"/>
    <x v="7"/>
  </r>
  <r>
    <x v="949"/>
    <s v="2025-06-22"/>
    <x v="1"/>
    <x v="2"/>
    <x v="2"/>
    <x v="2"/>
    <s v="Mouse"/>
    <n v="14"/>
    <n v="650.98"/>
    <n v="9113.7199999999993"/>
    <x v="4"/>
    <s v="Summer Sale"/>
    <n v="1915.28"/>
    <x v="7"/>
  </r>
  <r>
    <x v="950"/>
    <s v="2025-10-22"/>
    <x v="1"/>
    <x v="0"/>
    <x v="0"/>
    <x v="3"/>
    <s v="Table"/>
    <n v="4"/>
    <n v="188.04"/>
    <n v="752.16"/>
    <x v="2"/>
    <s v="New Launch"/>
    <n v="151.94"/>
    <x v="11"/>
  </r>
  <r>
    <x v="951"/>
    <s v="2025-03-16"/>
    <x v="0"/>
    <x v="6"/>
    <x v="1"/>
    <x v="1"/>
    <s v="Headphones"/>
    <n v="5"/>
    <n v="266.20999999999998"/>
    <n v="1331.05"/>
    <x v="1"/>
    <s v="Referral"/>
    <n v="461"/>
    <x v="1"/>
  </r>
  <r>
    <x v="952"/>
    <s v="2025-09-20"/>
    <x v="2"/>
    <x v="1"/>
    <x v="2"/>
    <x v="3"/>
    <s v="Chair"/>
    <n v="9"/>
    <n v="998.21"/>
    <n v="8983.89"/>
    <x v="3"/>
    <s v="Brand Awareness"/>
    <n v="1353.46"/>
    <x v="5"/>
  </r>
  <r>
    <x v="953"/>
    <s v="2025-07-01"/>
    <x v="2"/>
    <x v="4"/>
    <x v="2"/>
    <x v="0"/>
    <s v="Jacket"/>
    <n v="8"/>
    <n v="392.18"/>
    <n v="3137.44"/>
    <x v="5"/>
    <s v="Brand Awareness"/>
    <n v="789.23"/>
    <x v="9"/>
  </r>
  <r>
    <x v="954"/>
    <s v="2025-08-10"/>
    <x v="1"/>
    <x v="2"/>
    <x v="1"/>
    <x v="1"/>
    <s v="Mouse"/>
    <n v="18"/>
    <n v="900.13"/>
    <n v="16202.34"/>
    <x v="0"/>
    <s v="Brand Awareness"/>
    <n v="4255.54"/>
    <x v="4"/>
  </r>
  <r>
    <x v="955"/>
    <s v="2025-07-27"/>
    <x v="0"/>
    <x v="3"/>
    <x v="1"/>
    <x v="3"/>
    <s v="Chair"/>
    <n v="17"/>
    <n v="79.959999999999994"/>
    <n v="1359.32"/>
    <x v="0"/>
    <s v="Referral"/>
    <n v="436.48"/>
    <x v="9"/>
  </r>
  <r>
    <x v="956"/>
    <s v="2025-01-04"/>
    <x v="1"/>
    <x v="1"/>
    <x v="3"/>
    <x v="1"/>
    <s v="Monitor"/>
    <n v="3"/>
    <n v="920.7"/>
    <n v="2762.1"/>
    <x v="3"/>
    <s v="Brand Awareness"/>
    <n v="752.57"/>
    <x v="12"/>
  </r>
  <r>
    <x v="957"/>
    <s v="2025-05-21"/>
    <x v="3"/>
    <x v="0"/>
    <x v="3"/>
    <x v="0"/>
    <s v="Table"/>
    <n v="10"/>
    <n v="374.53"/>
    <n v="3745.3"/>
    <x v="3"/>
    <s v="Referral"/>
    <n v="718.07"/>
    <x v="2"/>
  </r>
  <r>
    <x v="958"/>
    <s v="2025-04-30"/>
    <x v="2"/>
    <x v="0"/>
    <x v="3"/>
    <x v="3"/>
    <s v="Headphones"/>
    <n v="17"/>
    <n v="537.79"/>
    <n v="9142.43"/>
    <x v="3"/>
    <s v="Festive Offer"/>
    <n v="2749.58"/>
    <x v="6"/>
  </r>
  <r>
    <x v="959"/>
    <s v="2025-12-28"/>
    <x v="1"/>
    <x v="1"/>
    <x v="1"/>
    <x v="1"/>
    <s v="Shirt"/>
    <n v="18"/>
    <n v="29.44"/>
    <n v="529.91999999999996"/>
    <x v="2"/>
    <s v="Summer Sale"/>
    <n v="134.44"/>
    <x v="10"/>
  </r>
  <r>
    <x v="960"/>
    <s v="2025-05-13"/>
    <x v="3"/>
    <x v="2"/>
    <x v="2"/>
    <x v="2"/>
    <s v="Headphones"/>
    <n v="11"/>
    <n v="610.75"/>
    <n v="6718.25"/>
    <x v="1"/>
    <s v="Referral"/>
    <n v="1239.1099999999999"/>
    <x v="2"/>
  </r>
  <r>
    <x v="961"/>
    <s v="2025-05-27"/>
    <x v="1"/>
    <x v="2"/>
    <x v="2"/>
    <x v="0"/>
    <s v="Shirt"/>
    <n v="12"/>
    <n v="596.91999999999996"/>
    <n v="7163.04"/>
    <x v="4"/>
    <s v="Referral"/>
    <n v="1214.8800000000001"/>
    <x v="2"/>
  </r>
  <r>
    <x v="962"/>
    <s v="2025-12-25"/>
    <x v="0"/>
    <x v="5"/>
    <x v="0"/>
    <x v="0"/>
    <s v="Table"/>
    <n v="4"/>
    <n v="878.45"/>
    <n v="3513.8"/>
    <x v="2"/>
    <s v="Referral"/>
    <n v="464.17"/>
    <x v="10"/>
  </r>
  <r>
    <x v="963"/>
    <s v="2025-06-02"/>
    <x v="2"/>
    <x v="4"/>
    <x v="3"/>
    <x v="2"/>
    <s v="Jacket"/>
    <n v="7"/>
    <n v="23.56"/>
    <n v="164.92"/>
    <x v="2"/>
    <s v="Festive Offer"/>
    <n v="24.12"/>
    <x v="7"/>
  </r>
  <r>
    <x v="964"/>
    <s v="2025-02-22"/>
    <x v="0"/>
    <x v="4"/>
    <x v="1"/>
    <x v="1"/>
    <s v="Monitor"/>
    <n v="16"/>
    <n v="803.22"/>
    <n v="12851.52"/>
    <x v="5"/>
    <s v="Referral"/>
    <n v="2976.41"/>
    <x v="0"/>
  </r>
  <r>
    <x v="965"/>
    <s v="2025-10-20"/>
    <x v="2"/>
    <x v="7"/>
    <x v="1"/>
    <x v="3"/>
    <s v="Shirt"/>
    <n v="11"/>
    <n v="854.24"/>
    <n v="9396.64"/>
    <x v="4"/>
    <s v="Festive Offer"/>
    <n v="1389.25"/>
    <x v="11"/>
  </r>
  <r>
    <x v="966"/>
    <s v="2025-03-11"/>
    <x v="0"/>
    <x v="7"/>
    <x v="0"/>
    <x v="1"/>
    <s v="Mouse"/>
    <n v="2"/>
    <n v="126.54"/>
    <n v="253.08"/>
    <x v="1"/>
    <s v="Brand Awareness"/>
    <n v="69.52"/>
    <x v="1"/>
  </r>
  <r>
    <x v="967"/>
    <s v="2025-05-23"/>
    <x v="2"/>
    <x v="1"/>
    <x v="3"/>
    <x v="0"/>
    <s v="Chair"/>
    <n v="9"/>
    <n v="302.7"/>
    <n v="2724.3"/>
    <x v="1"/>
    <s v="Brand Awareness"/>
    <n v="718.13"/>
    <x v="2"/>
  </r>
  <r>
    <x v="968"/>
    <s v="2025-12-31"/>
    <x v="1"/>
    <x v="1"/>
    <x v="3"/>
    <x v="1"/>
    <s v="Shirt"/>
    <n v="8"/>
    <n v="424.15"/>
    <n v="3393.2"/>
    <x v="0"/>
    <s v="Summer Sale"/>
    <n v="678.13"/>
    <x v="10"/>
  </r>
  <r>
    <x v="969"/>
    <s v="2025-09-24"/>
    <x v="1"/>
    <x v="6"/>
    <x v="2"/>
    <x v="3"/>
    <s v="Laptop"/>
    <n v="3"/>
    <n v="201.86"/>
    <n v="605.58000000000004"/>
    <x v="5"/>
    <s v="New Launch"/>
    <n v="172.06"/>
    <x v="5"/>
  </r>
  <r>
    <x v="970"/>
    <s v="2025-10-24"/>
    <x v="1"/>
    <x v="3"/>
    <x v="0"/>
    <x v="0"/>
    <s v="Headphones"/>
    <n v="5"/>
    <n v="866.71"/>
    <n v="4333.55"/>
    <x v="5"/>
    <s v="Festive Offer"/>
    <n v="940.94"/>
    <x v="11"/>
  </r>
  <r>
    <x v="971"/>
    <s v="2025-11-16"/>
    <x v="3"/>
    <x v="3"/>
    <x v="2"/>
    <x v="0"/>
    <s v="Chair"/>
    <n v="13"/>
    <n v="329.67"/>
    <n v="4285.71"/>
    <x v="2"/>
    <s v="Festive Offer"/>
    <n v="626.95000000000005"/>
    <x v="8"/>
  </r>
  <r>
    <x v="972"/>
    <s v="2025-08-12"/>
    <x v="3"/>
    <x v="2"/>
    <x v="3"/>
    <x v="2"/>
    <s v="Mouse"/>
    <n v="16"/>
    <n v="733.07"/>
    <n v="11729.12"/>
    <x v="1"/>
    <s v="New Launch"/>
    <n v="2852.3"/>
    <x v="4"/>
  </r>
  <r>
    <x v="973"/>
    <s v="2025-12-18"/>
    <x v="1"/>
    <x v="0"/>
    <x v="3"/>
    <x v="0"/>
    <s v="Jacket"/>
    <n v="10"/>
    <n v="619.16"/>
    <n v="6191.6"/>
    <x v="1"/>
    <s v="Summer Sale"/>
    <n v="1984.71"/>
    <x v="10"/>
  </r>
  <r>
    <x v="974"/>
    <s v="2025-09-30"/>
    <x v="3"/>
    <x v="0"/>
    <x v="3"/>
    <x v="2"/>
    <s v="Mouse"/>
    <n v="16"/>
    <n v="955.67"/>
    <n v="15290.72"/>
    <x v="0"/>
    <s v="Festive Offer"/>
    <n v="4409.38"/>
    <x v="5"/>
  </r>
  <r>
    <x v="975"/>
    <s v="2025-11-14"/>
    <x v="0"/>
    <x v="0"/>
    <x v="1"/>
    <x v="1"/>
    <s v="Shirt"/>
    <n v="9"/>
    <n v="233.59"/>
    <n v="2102.31"/>
    <x v="0"/>
    <s v="Brand Awareness"/>
    <n v="576.04"/>
    <x v="8"/>
  </r>
  <r>
    <x v="976"/>
    <s v="2025-03-01"/>
    <x v="3"/>
    <x v="4"/>
    <x v="1"/>
    <x v="1"/>
    <s v="Shirt"/>
    <n v="2"/>
    <n v="865.03"/>
    <n v="1730.06"/>
    <x v="1"/>
    <s v="Festive Offer"/>
    <n v="532.76"/>
    <x v="1"/>
  </r>
  <r>
    <x v="977"/>
    <s v="2025-09-04"/>
    <x v="2"/>
    <x v="3"/>
    <x v="2"/>
    <x v="0"/>
    <s v="Chair"/>
    <n v="7"/>
    <n v="537.73"/>
    <n v="3764.11"/>
    <x v="0"/>
    <s v="Summer Sale"/>
    <n v="1167.74"/>
    <x v="5"/>
  </r>
  <r>
    <x v="978"/>
    <s v="2025-11-10"/>
    <x v="1"/>
    <x v="3"/>
    <x v="3"/>
    <x v="0"/>
    <s v="Table"/>
    <n v="5"/>
    <n v="112.89"/>
    <n v="564.45000000000005"/>
    <x v="2"/>
    <s v="New Launch"/>
    <n v="183.12"/>
    <x v="8"/>
  </r>
  <r>
    <x v="979"/>
    <s v="2025-07-23"/>
    <x v="0"/>
    <x v="1"/>
    <x v="2"/>
    <x v="3"/>
    <s v="Shirt"/>
    <n v="3"/>
    <n v="818.22"/>
    <n v="2454.66"/>
    <x v="0"/>
    <s v="Referral"/>
    <n v="425.53"/>
    <x v="9"/>
  </r>
  <r>
    <x v="980"/>
    <s v="2025-09-28"/>
    <x v="1"/>
    <x v="1"/>
    <x v="3"/>
    <x v="2"/>
    <s v="Jacket"/>
    <n v="18"/>
    <n v="854.41"/>
    <n v="15379.38"/>
    <x v="0"/>
    <s v="Summer Sale"/>
    <n v="5154.07"/>
    <x v="5"/>
  </r>
  <r>
    <x v="981"/>
    <s v="2025-10-19"/>
    <x v="0"/>
    <x v="4"/>
    <x v="3"/>
    <x v="2"/>
    <s v="Shirt"/>
    <n v="20"/>
    <n v="656.92"/>
    <n v="13138.4"/>
    <x v="3"/>
    <s v="Referral"/>
    <n v="3491.38"/>
    <x v="11"/>
  </r>
  <r>
    <x v="982"/>
    <s v="2025-04-26"/>
    <x v="3"/>
    <x v="3"/>
    <x v="1"/>
    <x v="3"/>
    <s v="Headphones"/>
    <n v="2"/>
    <n v="993.07"/>
    <n v="1986.14"/>
    <x v="4"/>
    <s v="Brand Awareness"/>
    <n v="473.27"/>
    <x v="6"/>
  </r>
  <r>
    <x v="983"/>
    <s v="2025-01-25"/>
    <x v="0"/>
    <x v="1"/>
    <x v="0"/>
    <x v="1"/>
    <s v="Headphones"/>
    <n v="11"/>
    <n v="239.24"/>
    <n v="2631.64"/>
    <x v="4"/>
    <s v="Festive Offer"/>
    <n v="751.14"/>
    <x v="12"/>
  </r>
  <r>
    <x v="984"/>
    <s v="2025-12-12"/>
    <x v="0"/>
    <x v="5"/>
    <x v="1"/>
    <x v="3"/>
    <s v="Chair"/>
    <n v="8"/>
    <n v="262.49"/>
    <n v="2099.92"/>
    <x v="2"/>
    <s v="New Launch"/>
    <n v="280.85000000000002"/>
    <x v="10"/>
  </r>
  <r>
    <x v="985"/>
    <s v="2025-09-27"/>
    <x v="0"/>
    <x v="1"/>
    <x v="2"/>
    <x v="0"/>
    <s v="Headphones"/>
    <n v="10"/>
    <n v="640.37"/>
    <n v="6403.7"/>
    <x v="3"/>
    <s v="Festive Offer"/>
    <n v="1442.42"/>
    <x v="5"/>
  </r>
  <r>
    <x v="986"/>
    <s v="2025-06-04"/>
    <x v="1"/>
    <x v="2"/>
    <x v="0"/>
    <x v="1"/>
    <s v="Jacket"/>
    <n v="6"/>
    <n v="398.31"/>
    <n v="2389.86"/>
    <x v="5"/>
    <s v="New Launch"/>
    <n v="678.38"/>
    <x v="7"/>
  </r>
  <r>
    <x v="987"/>
    <s v="2025-06-17"/>
    <x v="1"/>
    <x v="3"/>
    <x v="1"/>
    <x v="0"/>
    <s v="Shirt"/>
    <n v="20"/>
    <n v="221.23"/>
    <n v="4424.6000000000004"/>
    <x v="5"/>
    <s v="Referral"/>
    <n v="1042.19"/>
    <x v="7"/>
  </r>
  <r>
    <x v="988"/>
    <s v="2025-05-08"/>
    <x v="0"/>
    <x v="5"/>
    <x v="1"/>
    <x v="3"/>
    <s v="Monitor"/>
    <n v="15"/>
    <n v="976.27"/>
    <n v="14644.05"/>
    <x v="4"/>
    <s v="Referral"/>
    <n v="1596.13"/>
    <x v="2"/>
  </r>
  <r>
    <x v="989"/>
    <s v="2025-08-14"/>
    <x v="1"/>
    <x v="0"/>
    <x v="1"/>
    <x v="2"/>
    <s v="Laptop"/>
    <n v="20"/>
    <n v="866.14"/>
    <n v="17322.8"/>
    <x v="5"/>
    <s v="New Launch"/>
    <n v="5351.42"/>
    <x v="4"/>
  </r>
  <r>
    <x v="990"/>
    <s v="2025-12-24"/>
    <x v="2"/>
    <x v="3"/>
    <x v="1"/>
    <x v="1"/>
    <s v="Shirt"/>
    <n v="12"/>
    <n v="86.88"/>
    <n v="1042.56"/>
    <x v="5"/>
    <s v="Brand Awareness"/>
    <n v="205.31"/>
    <x v="10"/>
  </r>
  <r>
    <x v="991"/>
    <s v="2025-12-12"/>
    <x v="3"/>
    <x v="4"/>
    <x v="2"/>
    <x v="2"/>
    <s v="Table"/>
    <n v="12"/>
    <n v="75.05"/>
    <n v="900.6"/>
    <x v="1"/>
    <s v="Brand Awareness"/>
    <n v="263.76"/>
    <x v="10"/>
  </r>
  <r>
    <x v="992"/>
    <s v="2025-09-17"/>
    <x v="0"/>
    <x v="7"/>
    <x v="2"/>
    <x v="2"/>
    <s v="Headphones"/>
    <n v="16"/>
    <n v="450.96"/>
    <n v="7215.36"/>
    <x v="2"/>
    <s v="Festive Offer"/>
    <n v="1304.1500000000001"/>
    <x v="5"/>
  </r>
  <r>
    <x v="993"/>
    <s v="2025-09-09"/>
    <x v="1"/>
    <x v="2"/>
    <x v="2"/>
    <x v="1"/>
    <s v="Table"/>
    <n v="10"/>
    <n v="231.25"/>
    <n v="2312.5"/>
    <x v="5"/>
    <s v="Referral"/>
    <n v="611.14"/>
    <x v="5"/>
  </r>
  <r>
    <x v="994"/>
    <s v="2025-01-04"/>
    <x v="2"/>
    <x v="0"/>
    <x v="2"/>
    <x v="2"/>
    <s v="Table"/>
    <n v="11"/>
    <n v="60.49"/>
    <n v="665.39"/>
    <x v="4"/>
    <s v="New Launch"/>
    <n v="102.88"/>
    <x v="12"/>
  </r>
  <r>
    <x v="995"/>
    <s v="2025-07-05"/>
    <x v="2"/>
    <x v="6"/>
    <x v="0"/>
    <x v="2"/>
    <s v="Monitor"/>
    <n v="17"/>
    <n v="964.95"/>
    <n v="16404.150000000001"/>
    <x v="4"/>
    <s v="Festive Offer"/>
    <n v="2130.21"/>
    <x v="9"/>
  </r>
  <r>
    <x v="996"/>
    <s v="2025-03-24"/>
    <x v="3"/>
    <x v="7"/>
    <x v="0"/>
    <x v="1"/>
    <s v="Table"/>
    <n v="15"/>
    <n v="974.82"/>
    <n v="14622.3"/>
    <x v="0"/>
    <s v="New Launch"/>
    <n v="3679.65"/>
    <x v="1"/>
  </r>
  <r>
    <x v="997"/>
    <s v="2025-06-11"/>
    <x v="0"/>
    <x v="7"/>
    <x v="2"/>
    <x v="2"/>
    <s v="Laptop"/>
    <n v="20"/>
    <n v="901.13"/>
    <n v="18022.599999999999"/>
    <x v="4"/>
    <s v="New Launch"/>
    <n v="4895.71"/>
    <x v="7"/>
  </r>
  <r>
    <x v="998"/>
    <s v="2025-10-16"/>
    <x v="3"/>
    <x v="0"/>
    <x v="0"/>
    <x v="2"/>
    <s v="Monitor"/>
    <n v="20"/>
    <n v="49.09"/>
    <n v="981.8"/>
    <x v="5"/>
    <s v="Summer Sale"/>
    <n v="241.78"/>
    <x v="11"/>
  </r>
  <r>
    <x v="999"/>
    <s v="2025-05-08"/>
    <x v="1"/>
    <x v="6"/>
    <x v="0"/>
    <x v="1"/>
    <s v="Mouse"/>
    <n v="9"/>
    <n v="736.61"/>
    <n v="6629.49"/>
    <x v="4"/>
    <s v="New Launch"/>
    <n v="1232.849999999999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8BA619-7254-4A28-9E16-FB17FF05146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97:A98" firstHeaderRow="1" firstDataRow="1" firstDataCol="0"/>
  <pivotFields count="17">
    <pivotField showAll="0"/>
    <pivotField showAll="0"/>
    <pivotField showAll="0">
      <items count="5">
        <item x="1"/>
        <item x="2"/>
        <item x="3"/>
        <item x="0"/>
        <item t="default"/>
      </items>
    </pivotField>
    <pivotField showAll="0"/>
    <pivotField showAll="0"/>
    <pivotField showAll="0">
      <items count="5">
        <item x="1"/>
        <item x="2"/>
        <item x="0"/>
        <item x="3"/>
        <item t="default"/>
      </items>
    </pivotField>
    <pivotField showAll="0"/>
    <pivotField dataField="1" showAll="0"/>
    <pivotField showAll="0"/>
    <pivotField showAll="0"/>
    <pivotField showAll="0">
      <items count="7">
        <item x="1"/>
        <item x="0"/>
        <item x="4"/>
        <item x="2"/>
        <item x="3"/>
        <item x="5"/>
        <item t="default"/>
      </items>
    </pivotField>
    <pivotField showAll="0"/>
    <pivotField showAll="0"/>
    <pivotField numFmtId="17" showAll="0">
      <items count="14">
        <item x="12"/>
        <item x="0"/>
        <item x="1"/>
        <item x="6"/>
        <item x="2"/>
        <item x="7"/>
        <item x="9"/>
        <item x="4"/>
        <item x="5"/>
        <item x="11"/>
        <item x="8"/>
        <item x="1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defaultSubtotal="0">
      <items count="4">
        <item sd="0" x="0"/>
        <item sd="0" x="1"/>
        <item sd="0" x="2"/>
        <item sd="0" x="3"/>
      </items>
    </pivotField>
  </pivotFields>
  <rowItems count="1">
    <i/>
  </rowItems>
  <colItems count="1">
    <i/>
  </colItems>
  <dataFields count="1">
    <dataField name="Sum of Units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CB167A-1FF5-4FE2-9591-F2740B6A7A4F}"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5:B40" firstHeaderRow="1" firstDataRow="1" firstDataCol="1"/>
  <pivotFields count="17">
    <pivotField showAll="0"/>
    <pivotField showAll="0"/>
    <pivotField showAll="0">
      <items count="5">
        <item x="1"/>
        <item x="2"/>
        <item x="3"/>
        <item x="0"/>
        <item t="default"/>
      </items>
    </pivotField>
    <pivotField showAll="0"/>
    <pivotField showAll="0"/>
    <pivotField axis="axisRow" showAll="0">
      <items count="5">
        <item x="1"/>
        <item x="2"/>
        <item x="0"/>
        <item x="3"/>
        <item t="default"/>
      </items>
    </pivotField>
    <pivotField showAll="0"/>
    <pivotField showAll="0"/>
    <pivotField showAll="0"/>
    <pivotField dataField="1" showAll="0"/>
    <pivotField showAll="0">
      <items count="7">
        <item x="1"/>
        <item x="0"/>
        <item x="4"/>
        <item x="2"/>
        <item x="3"/>
        <item x="5"/>
        <item t="default"/>
      </items>
    </pivotField>
    <pivotField showAll="0"/>
    <pivotField showAll="0"/>
    <pivotField numFmtId="17" showAll="0">
      <items count="14">
        <item x="12"/>
        <item x="0"/>
        <item x="1"/>
        <item x="6"/>
        <item x="2"/>
        <item x="7"/>
        <item x="9"/>
        <item x="4"/>
        <item x="5"/>
        <item x="11"/>
        <item x="8"/>
        <item x="1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defaultSubtotal="0">
      <items count="4">
        <item sd="0" x="0"/>
        <item sd="0" x="1"/>
        <item sd="0" x="2"/>
        <item sd="0" x="3"/>
      </items>
    </pivotField>
  </pivotFields>
  <rowFields count="1">
    <field x="5"/>
  </rowFields>
  <rowItems count="5">
    <i>
      <x/>
    </i>
    <i>
      <x v="1"/>
    </i>
    <i>
      <x v="2"/>
    </i>
    <i>
      <x v="3"/>
    </i>
    <i t="grand">
      <x/>
    </i>
  </rowItems>
  <colItems count="1">
    <i/>
  </colItems>
  <dataFields count="1">
    <dataField name="Sum of Sales_Amount" fld="9" baseField="0" baseItem="0"/>
  </dataFields>
  <chartFormats count="2">
    <chartFormat chart="38" format="3"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24EBD5-E904-4C32-9630-EDCD2995586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D97:D98" firstHeaderRow="1" firstDataRow="1" firstDataCol="0"/>
  <pivotFields count="17">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5">
        <item x="1"/>
        <item x="2"/>
        <item x="3"/>
        <item x="0"/>
        <item t="default"/>
      </items>
    </pivotField>
    <pivotField showAll="0"/>
    <pivotField showAll="0"/>
    <pivotField showAll="0">
      <items count="5">
        <item x="1"/>
        <item x="2"/>
        <item x="0"/>
        <item x="3"/>
        <item t="default"/>
      </items>
    </pivotField>
    <pivotField showAll="0"/>
    <pivotField showAll="0"/>
    <pivotField showAll="0"/>
    <pivotField showAll="0"/>
    <pivotField showAll="0">
      <items count="7">
        <item x="1"/>
        <item x="0"/>
        <item x="4"/>
        <item x="2"/>
        <item x="3"/>
        <item x="5"/>
        <item t="default"/>
      </items>
    </pivotField>
    <pivotField showAll="0"/>
    <pivotField showAll="0"/>
    <pivotField numFmtId="17" showAll="0">
      <items count="14">
        <item x="12"/>
        <item x="0"/>
        <item x="1"/>
        <item x="6"/>
        <item x="2"/>
        <item x="7"/>
        <item x="9"/>
        <item x="4"/>
        <item x="5"/>
        <item x="11"/>
        <item x="8"/>
        <item x="1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defaultSubtotal="0">
      <items count="4">
        <item sd="0" x="0"/>
        <item sd="0" x="1"/>
        <item sd="0" x="2"/>
        <item sd="0" x="3"/>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4BADFB-A1BF-4AEE-B6D4-9D1D6F0735A4}" name="Sales pers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64:B73" firstHeaderRow="1" firstDataRow="1" firstDataCol="1"/>
  <pivotFields count="17">
    <pivotField showAll="0"/>
    <pivotField showAll="0"/>
    <pivotField showAll="0">
      <items count="5">
        <item x="1"/>
        <item x="2"/>
        <item x="3"/>
        <item x="0"/>
        <item t="default"/>
      </items>
    </pivotField>
    <pivotField axis="axisRow" showAll="0">
      <items count="9">
        <item x="3"/>
        <item x="4"/>
        <item x="2"/>
        <item x="7"/>
        <item x="6"/>
        <item x="1"/>
        <item x="5"/>
        <item x="0"/>
        <item t="default"/>
      </items>
    </pivotField>
    <pivotField showAll="0"/>
    <pivotField showAll="0">
      <items count="5">
        <item x="1"/>
        <item x="2"/>
        <item x="0"/>
        <item x="3"/>
        <item t="default"/>
      </items>
    </pivotField>
    <pivotField showAll="0"/>
    <pivotField showAll="0"/>
    <pivotField showAll="0"/>
    <pivotField showAll="0"/>
    <pivotField showAll="0">
      <items count="7">
        <item x="1"/>
        <item x="0"/>
        <item x="4"/>
        <item x="2"/>
        <item x="3"/>
        <item x="5"/>
        <item t="default"/>
      </items>
    </pivotField>
    <pivotField showAll="0"/>
    <pivotField dataField="1" showAll="0"/>
    <pivotField numFmtId="17" showAll="0">
      <items count="14">
        <item x="12"/>
        <item x="0"/>
        <item x="1"/>
        <item x="6"/>
        <item x="2"/>
        <item x="7"/>
        <item x="9"/>
        <item x="4"/>
        <item x="5"/>
        <item x="11"/>
        <item x="8"/>
        <item x="1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defaultSubtotal="0">
      <items count="4">
        <item sd="0" x="0"/>
        <item sd="0" x="1"/>
        <item sd="0" x="2"/>
        <item sd="0" x="3"/>
      </items>
    </pivotField>
  </pivotFields>
  <rowFields count="1">
    <field x="3"/>
  </rowFields>
  <rowItems count="9">
    <i>
      <x/>
    </i>
    <i>
      <x v="1"/>
    </i>
    <i>
      <x v="2"/>
    </i>
    <i>
      <x v="3"/>
    </i>
    <i>
      <x v="4"/>
    </i>
    <i>
      <x v="5"/>
    </i>
    <i>
      <x v="6"/>
    </i>
    <i>
      <x v="7"/>
    </i>
    <i t="grand">
      <x/>
    </i>
  </rowItems>
  <colItems count="1">
    <i/>
  </colItems>
  <dataFields count="1">
    <dataField name="Sum of Profit" fld="12" baseField="0" baseItem="0"/>
  </dataFields>
  <chartFormats count="3">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7E24BD-3341-4CC6-81E7-64238EDC4AEF}"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B21:C26" firstHeaderRow="1" firstDataRow="1" firstDataCol="1"/>
  <pivotFields count="17">
    <pivotField showAll="0"/>
    <pivotField showAll="0"/>
    <pivotField axis="axisRow" showAll="0">
      <items count="5">
        <item x="1"/>
        <item x="2"/>
        <item x="3"/>
        <item x="0"/>
        <item t="default"/>
      </items>
    </pivotField>
    <pivotField showAll="0"/>
    <pivotField showAll="0"/>
    <pivotField showAll="0"/>
    <pivotField showAll="0"/>
    <pivotField showAll="0"/>
    <pivotField showAll="0"/>
    <pivotField dataField="1" showAll="0"/>
    <pivotField showAll="0">
      <items count="7">
        <item x="1"/>
        <item x="0"/>
        <item x="4"/>
        <item x="2"/>
        <item x="3"/>
        <item x="5"/>
        <item t="default"/>
      </items>
    </pivotField>
    <pivotField showAll="0"/>
    <pivotField showAll="0"/>
    <pivotField numFmtId="17" showAll="0">
      <items count="14">
        <item x="12"/>
        <item x="0"/>
        <item x="1"/>
        <item x="6"/>
        <item x="2"/>
        <item x="7"/>
        <item x="9"/>
        <item x="4"/>
        <item x="5"/>
        <item x="11"/>
        <item x="8"/>
        <item x="1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defaultSubtotal="0">
      <items count="4">
        <item sd="0" x="0"/>
        <item sd="0" x="1"/>
        <item sd="0" x="2"/>
        <item sd="0" x="3"/>
      </items>
    </pivotField>
  </pivotFields>
  <rowFields count="1">
    <field x="2"/>
  </rowFields>
  <rowItems count="5">
    <i>
      <x/>
    </i>
    <i>
      <x v="1"/>
    </i>
    <i>
      <x v="2"/>
    </i>
    <i>
      <x v="3"/>
    </i>
    <i t="grand">
      <x/>
    </i>
  </rowItems>
  <colItems count="1">
    <i/>
  </colItems>
  <dataFields count="1">
    <dataField name="Average of Sales_Amount" fld="9" subtotal="average" baseField="2" baseItem="1"/>
  </dataFields>
  <chartFormats count="21">
    <chartFormat chart="0"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2" count="1" selected="0">
            <x v="1"/>
          </reference>
        </references>
      </pivotArea>
    </chartFormat>
    <chartFormat chart="17" format="2">
      <pivotArea type="data" outline="0" fieldPosition="0">
        <references count="2">
          <reference field="4294967294" count="1" selected="0">
            <x v="0"/>
          </reference>
          <reference field="2" count="1" selected="0">
            <x v="3"/>
          </reference>
        </references>
      </pivotArea>
    </chartFormat>
    <chartFormat chart="17" format="3">
      <pivotArea type="data" outline="0" fieldPosition="0">
        <references count="2">
          <reference field="4294967294" count="1" selected="0">
            <x v="0"/>
          </reference>
          <reference field="2" count="1" selected="0">
            <x v="0"/>
          </reference>
        </references>
      </pivotArea>
    </chartFormat>
    <chartFormat chart="17" format="4">
      <pivotArea type="data" outline="0" fieldPosition="0">
        <references count="2">
          <reference field="4294967294" count="1" selected="0">
            <x v="0"/>
          </reference>
          <reference field="2" count="1" selected="0">
            <x v="2"/>
          </reference>
        </references>
      </pivotArea>
    </chartFormat>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2" count="1" selected="0">
            <x v="0"/>
          </reference>
        </references>
      </pivotArea>
    </chartFormat>
    <chartFormat chart="20" format="12">
      <pivotArea type="data" outline="0" fieldPosition="0">
        <references count="2">
          <reference field="4294967294" count="1" selected="0">
            <x v="0"/>
          </reference>
          <reference field="2" count="1" selected="0">
            <x v="1"/>
          </reference>
        </references>
      </pivotArea>
    </chartFormat>
    <chartFormat chart="20" format="13">
      <pivotArea type="data" outline="0" fieldPosition="0">
        <references count="2">
          <reference field="4294967294" count="1" selected="0">
            <x v="0"/>
          </reference>
          <reference field="2" count="1" selected="0">
            <x v="2"/>
          </reference>
        </references>
      </pivotArea>
    </chartFormat>
    <chartFormat chart="20" format="14">
      <pivotArea type="data" outline="0" fieldPosition="0">
        <references count="2">
          <reference field="4294967294" count="1" selected="0">
            <x v="0"/>
          </reference>
          <reference field="2" count="1" selected="0">
            <x v="3"/>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2" count="1" selected="0">
            <x v="0"/>
          </reference>
        </references>
      </pivotArea>
    </chartFormat>
    <chartFormat chart="21" format="7">
      <pivotArea type="data" outline="0" fieldPosition="0">
        <references count="2">
          <reference field="4294967294" count="1" selected="0">
            <x v="0"/>
          </reference>
          <reference field="2" count="1" selected="0">
            <x v="1"/>
          </reference>
        </references>
      </pivotArea>
    </chartFormat>
    <chartFormat chart="21" format="8">
      <pivotArea type="data" outline="0" fieldPosition="0">
        <references count="2">
          <reference field="4294967294" count="1" selected="0">
            <x v="0"/>
          </reference>
          <reference field="2" count="1" selected="0">
            <x v="2"/>
          </reference>
        </references>
      </pivotArea>
    </chartFormat>
    <chartFormat chart="21" format="9">
      <pivotArea type="data" outline="0" fieldPosition="0">
        <references count="2">
          <reference field="4294967294" count="1" selected="0">
            <x v="0"/>
          </reference>
          <reference field="2" count="1" selected="0">
            <x v="3"/>
          </reference>
        </references>
      </pivotArea>
    </chartFormat>
    <chartFormat chart="23" format="10" series="1">
      <pivotArea type="data" outline="0" fieldPosition="0">
        <references count="1">
          <reference field="4294967294" count="1" selected="0">
            <x v="0"/>
          </reference>
        </references>
      </pivotArea>
    </chartFormat>
    <chartFormat chart="23" format="11">
      <pivotArea type="data" outline="0" fieldPosition="0">
        <references count="2">
          <reference field="4294967294" count="1" selected="0">
            <x v="0"/>
          </reference>
          <reference field="2" count="1" selected="0">
            <x v="0"/>
          </reference>
        </references>
      </pivotArea>
    </chartFormat>
    <chartFormat chart="23" format="12">
      <pivotArea type="data" outline="0" fieldPosition="0">
        <references count="2">
          <reference field="4294967294" count="1" selected="0">
            <x v="0"/>
          </reference>
          <reference field="2" count="1" selected="0">
            <x v="1"/>
          </reference>
        </references>
      </pivotArea>
    </chartFormat>
    <chartFormat chart="23" format="13">
      <pivotArea type="data" outline="0" fieldPosition="0">
        <references count="2">
          <reference field="4294967294" count="1" selected="0">
            <x v="0"/>
          </reference>
          <reference field="2" count="1" selected="0">
            <x v="2"/>
          </reference>
        </references>
      </pivotArea>
    </chartFormat>
    <chartFormat chart="23"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0DDE36-0CDD-47EA-A3D9-895F74992732}" name="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A3:B17" firstHeaderRow="1" firstDataRow="1" firstDataCol="1"/>
  <pivotFields count="17">
    <pivotField showAll="0"/>
    <pivotField showAll="0"/>
    <pivotField showAll="0">
      <items count="5">
        <item x="1"/>
        <item x="2"/>
        <item x="3"/>
        <item x="0"/>
        <item t="default"/>
      </items>
    </pivotField>
    <pivotField showAll="0"/>
    <pivotField showAll="0"/>
    <pivotField showAll="0"/>
    <pivotField showAll="0"/>
    <pivotField showAll="0"/>
    <pivotField showAll="0"/>
    <pivotField dataField="1" showAll="0"/>
    <pivotField showAll="0">
      <items count="7">
        <item x="1"/>
        <item x="0"/>
        <item x="4"/>
        <item x="2"/>
        <item x="3"/>
        <item x="5"/>
        <item t="default"/>
      </items>
    </pivotField>
    <pivotField showAll="0"/>
    <pivotField showAll="0"/>
    <pivotField axis="axisRow" numFmtId="17" showAll="0">
      <items count="14">
        <item x="12"/>
        <item x="0"/>
        <item x="1"/>
        <item x="6"/>
        <item x="2"/>
        <item x="7"/>
        <item x="9"/>
        <item x="4"/>
        <item x="5"/>
        <item x="11"/>
        <item x="8"/>
        <item x="1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defaultSubtotal="0">
      <items count="4">
        <item sd="0" x="0"/>
        <item sd="0" x="1"/>
        <item sd="0" x="2"/>
        <item sd="0" x="3"/>
      </items>
    </pivotField>
  </pivotFields>
  <rowFields count="1">
    <field x="13"/>
  </rowFields>
  <rowItems count="14">
    <i>
      <x/>
    </i>
    <i>
      <x v="1"/>
    </i>
    <i>
      <x v="2"/>
    </i>
    <i>
      <x v="3"/>
    </i>
    <i>
      <x v="4"/>
    </i>
    <i>
      <x v="5"/>
    </i>
    <i>
      <x v="6"/>
    </i>
    <i>
      <x v="7"/>
    </i>
    <i>
      <x v="8"/>
    </i>
    <i>
      <x v="9"/>
    </i>
    <i>
      <x v="10"/>
    </i>
    <i>
      <x v="11"/>
    </i>
    <i>
      <x v="12"/>
    </i>
    <i t="grand">
      <x/>
    </i>
  </rowItems>
  <colItems count="1">
    <i/>
  </colItems>
  <dataFields count="1">
    <dataField name="Sum of Sales_Amount" fld="9" baseField="13" baseItem="12"/>
  </dataFields>
  <chartFormats count="2">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67DD18-5891-497A-84A0-EB8317B5722C}" name="Marke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48:B55" firstHeaderRow="1" firstDataRow="1" firstDataCol="1"/>
  <pivotFields count="17">
    <pivotField showAll="0"/>
    <pivotField showAll="0"/>
    <pivotField showAll="0">
      <items count="5">
        <item x="1"/>
        <item x="2"/>
        <item x="3"/>
        <item x="0"/>
        <item t="default"/>
      </items>
    </pivotField>
    <pivotField showAll="0"/>
    <pivotField showAll="0"/>
    <pivotField showAll="0">
      <items count="5">
        <item x="1"/>
        <item x="2"/>
        <item x="0"/>
        <item x="3"/>
        <item t="default"/>
      </items>
    </pivotField>
    <pivotField showAll="0"/>
    <pivotField showAll="0"/>
    <pivotField showAll="0"/>
    <pivotField dataField="1" showAll="0"/>
    <pivotField axis="axisRow" showAll="0">
      <items count="7">
        <item x="1"/>
        <item x="0"/>
        <item x="4"/>
        <item x="2"/>
        <item x="3"/>
        <item x="5"/>
        <item t="default"/>
      </items>
    </pivotField>
    <pivotField showAll="0"/>
    <pivotField showAll="0"/>
    <pivotField numFmtId="17" showAll="0">
      <items count="14">
        <item x="12"/>
        <item x="0"/>
        <item x="1"/>
        <item x="6"/>
        <item x="2"/>
        <item x="7"/>
        <item x="9"/>
        <item x="4"/>
        <item x="5"/>
        <item x="11"/>
        <item x="8"/>
        <item x="1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defaultSubtotal="0">
      <items count="4">
        <item sd="0" x="0"/>
        <item sd="0" x="1"/>
        <item sd="0" x="2"/>
        <item sd="0" x="3"/>
      </items>
    </pivotField>
  </pivotFields>
  <rowFields count="1">
    <field x="10"/>
  </rowFields>
  <rowItems count="7">
    <i>
      <x/>
    </i>
    <i>
      <x v="1"/>
    </i>
    <i>
      <x v="2"/>
    </i>
    <i>
      <x v="3"/>
    </i>
    <i>
      <x v="4"/>
    </i>
    <i>
      <x v="5"/>
    </i>
    <i t="grand">
      <x/>
    </i>
  </rowItems>
  <colItems count="1">
    <i/>
  </colItems>
  <dataFields count="1">
    <dataField name="Sum of Sales_Amount" fld="9" baseField="5" baseItem="0"/>
  </dataFields>
  <chartFormats count="5">
    <chartFormat chart="0"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87765B-EF73-4F3A-BDE2-0A5412C16D9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F97:F98" firstHeaderRow="1" firstDataRow="1" firstDataCol="0"/>
  <pivotFields count="17">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5">
        <item x="1"/>
        <item x="2"/>
        <item x="3"/>
        <item x="0"/>
        <item t="default"/>
      </items>
    </pivotField>
    <pivotField showAll="0"/>
    <pivotField showAll="0"/>
    <pivotField showAll="0">
      <items count="5">
        <item x="1"/>
        <item x="2"/>
        <item x="0"/>
        <item x="3"/>
        <item t="default"/>
      </items>
    </pivotField>
    <pivotField showAll="0"/>
    <pivotField showAll="0"/>
    <pivotField showAll="0"/>
    <pivotField dataField="1" showAll="0"/>
    <pivotField showAll="0">
      <items count="7">
        <item x="1"/>
        <item x="0"/>
        <item x="4"/>
        <item x="2"/>
        <item x="3"/>
        <item x="5"/>
        <item t="default"/>
      </items>
    </pivotField>
    <pivotField showAll="0"/>
    <pivotField showAll="0"/>
    <pivotField numFmtId="17" showAll="0">
      <items count="14">
        <item x="12"/>
        <item x="0"/>
        <item x="1"/>
        <item x="6"/>
        <item x="2"/>
        <item x="7"/>
        <item x="9"/>
        <item x="4"/>
        <item x="5"/>
        <item x="11"/>
        <item x="8"/>
        <item x="1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defaultSubtotal="0">
      <items count="4">
        <item sd="0" x="0"/>
        <item sd="0" x="1"/>
        <item sd="0" x="2"/>
        <item sd="0" x="3"/>
      </items>
    </pivotField>
  </pivotFields>
  <rowItems count="1">
    <i/>
  </rowItems>
  <colItems count="1">
    <i/>
  </colItems>
  <dataFields count="1">
    <dataField name="Average of Sales_Amount"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7EAC5E-A898-4307-A55C-50DDBD2DC572}" name="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81:B86" firstHeaderRow="1" firstDataRow="1" firstDataCol="1"/>
  <pivotFields count="17">
    <pivotField showAll="0"/>
    <pivotField showAll="0"/>
    <pivotField showAll="0">
      <items count="5">
        <item x="1"/>
        <item x="2"/>
        <item x="3"/>
        <item x="0"/>
        <item t="default"/>
      </items>
    </pivotField>
    <pivotField showAll="0">
      <items count="9">
        <item x="3"/>
        <item x="4"/>
        <item x="2"/>
        <item x="7"/>
        <item x="6"/>
        <item x="1"/>
        <item x="5"/>
        <item x="0"/>
        <item t="default"/>
      </items>
    </pivotField>
    <pivotField axis="axisRow" showAll="0">
      <items count="5">
        <item x="1"/>
        <item x="2"/>
        <item x="3"/>
        <item x="0"/>
        <item t="default"/>
      </items>
    </pivotField>
    <pivotField showAll="0">
      <items count="5">
        <item x="1"/>
        <item x="2"/>
        <item x="0"/>
        <item x="3"/>
        <item t="default"/>
      </items>
    </pivotField>
    <pivotField showAll="0"/>
    <pivotField showAll="0"/>
    <pivotField showAll="0"/>
    <pivotField dataField="1" showAll="0"/>
    <pivotField showAll="0">
      <items count="7">
        <item x="1"/>
        <item x="0"/>
        <item x="4"/>
        <item x="2"/>
        <item x="3"/>
        <item x="5"/>
        <item t="default"/>
      </items>
    </pivotField>
    <pivotField showAll="0"/>
    <pivotField showAll="0"/>
    <pivotField numFmtId="17" showAll="0">
      <items count="14">
        <item x="12"/>
        <item x="0"/>
        <item x="1"/>
        <item x="6"/>
        <item x="2"/>
        <item x="7"/>
        <item x="9"/>
        <item x="4"/>
        <item x="5"/>
        <item x="11"/>
        <item x="8"/>
        <item x="1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defaultSubtotal="0">
      <items count="4">
        <item sd="0" x="0"/>
        <item sd="0" x="1"/>
        <item sd="0" x="2"/>
        <item sd="0" x="3"/>
      </items>
    </pivotField>
  </pivotFields>
  <rowFields count="1">
    <field x="4"/>
  </rowFields>
  <rowItems count="5">
    <i>
      <x/>
    </i>
    <i>
      <x v="1"/>
    </i>
    <i>
      <x v="2"/>
    </i>
    <i>
      <x v="3"/>
    </i>
    <i t="grand">
      <x/>
    </i>
  </rowItems>
  <colItems count="1">
    <i/>
  </colItems>
  <dataFields count="1">
    <dataField name="Sum of Sales_Amount" fld="9" baseField="0" baseItem="0"/>
  </dataFields>
  <chartFormats count="4">
    <chartFormat chart="41"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7F54E2D-0B7D-40D5-BBA5-7560E7E96A0F}" sourceName="Region">
  <pivotTables>
    <pivotTable tabId="4" name="Months"/>
    <pivotTable tabId="4" name="Marketing"/>
    <pivotTable tabId="4" name="Product"/>
    <pivotTable tabId="4" name="Region"/>
    <pivotTable tabId="4" name="Sales person"/>
    <pivotTable tabId="4" name="segment"/>
    <pivotTable tabId="4" name="PivotTable7"/>
    <pivotTable tabId="4" name="PivotTable8"/>
    <pivotTable tabId="4" name="PivotTable9"/>
  </pivotTables>
  <data>
    <tabular pivotCacheId="298795410">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ing_Channel" xr10:uid="{D295DBEC-AA3C-4453-ADE8-4EFFDF6DDACF}" sourceName="Marketing_Channel">
  <pivotTables>
    <pivotTable tabId="4" name="Months"/>
    <pivotTable tabId="4" name="Marketing"/>
    <pivotTable tabId="4" name="PivotTable7"/>
    <pivotTable tabId="4" name="PivotTable8"/>
    <pivotTable tabId="4" name="PivotTable9"/>
    <pivotTable tabId="4" name="Product"/>
    <pivotTable tabId="4" name="Region"/>
    <pivotTable tabId="4" name="Sales person"/>
    <pivotTable tabId="4" name="segment"/>
  </pivotTables>
  <data>
    <tabular pivotCacheId="298795410">
      <items count="6">
        <i x="1" s="1"/>
        <i x="0" s="1"/>
        <i x="4" s="1"/>
        <i x="2"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3BDC2C1-78E2-465C-B73F-19E849203D92}" cache="Slicer_Region" caption="Region" columnCount="4" style="Slicer Style 2" rowHeight="252000"/>
  <slicer name="Marketing_Channel" xr10:uid="{EDD2F759-189F-4803-985B-C8CD252C7674}" cache="Slicer_Marketing_Channel" caption="Marketing_Channel" columnCount="6" style="Slicer Style 2"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6E03DF4-3F5A-4AA0-87AF-F8E195D8CE32}" cache="Slicer_Region" caption="Region" columnCount="4" style="Slicer Style 2" rowHeight="252000"/>
  <slicer name="Marketing_Channel 1" xr10:uid="{1A3712B0-0263-4BC5-9381-EFB118C67FB8}" cache="Slicer_Marketing_Channel" caption="Marketing_Channel" columnCount="6" style="Slicer Style 2"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13552-EAFB-452D-B2D6-60A35F82BBC9}">
  <dimension ref="A3:H99"/>
  <sheetViews>
    <sheetView topLeftCell="A69" zoomScale="98" zoomScaleNormal="98" workbookViewId="0">
      <selection activeCell="F1" sqref="F1"/>
    </sheetView>
  </sheetViews>
  <sheetFormatPr defaultRowHeight="14.5" x14ac:dyDescent="0.35"/>
  <cols>
    <col min="1" max="1" width="16.453125" bestFit="1" customWidth="1"/>
    <col min="2" max="2" width="19.6328125" bestFit="1" customWidth="1"/>
    <col min="3" max="3" width="22.90625" bestFit="1" customWidth="1"/>
    <col min="4" max="4" width="16.7265625" bestFit="1" customWidth="1"/>
    <col min="5" max="5" width="16.453125" bestFit="1" customWidth="1"/>
    <col min="6" max="6" width="22.90625" bestFit="1" customWidth="1"/>
    <col min="7" max="7" width="16.7265625" bestFit="1" customWidth="1"/>
    <col min="8" max="8" width="19.6328125" bestFit="1" customWidth="1"/>
  </cols>
  <sheetData>
    <row r="3" spans="1:8" x14ac:dyDescent="0.35">
      <c r="A3" s="1" t="s">
        <v>1395</v>
      </c>
      <c r="B3" t="s">
        <v>1394</v>
      </c>
    </row>
    <row r="4" spans="1:8" x14ac:dyDescent="0.35">
      <c r="A4" s="4">
        <v>45658</v>
      </c>
      <c r="B4">
        <v>403760.29</v>
      </c>
    </row>
    <row r="5" spans="1:8" x14ac:dyDescent="0.35">
      <c r="A5" s="4">
        <v>45689</v>
      </c>
      <c r="B5">
        <v>435403.98000000027</v>
      </c>
    </row>
    <row r="6" spans="1:8" x14ac:dyDescent="0.35">
      <c r="A6" s="4">
        <v>45717</v>
      </c>
      <c r="B6">
        <v>439281.71999999986</v>
      </c>
      <c r="H6">
        <f>GETPIVOTDATA("Sales_Amount",$A$3)</f>
        <v>5455120.0199999986</v>
      </c>
    </row>
    <row r="7" spans="1:8" x14ac:dyDescent="0.35">
      <c r="A7" s="4">
        <v>45748</v>
      </c>
      <c r="B7">
        <v>459440.00999999989</v>
      </c>
    </row>
    <row r="8" spans="1:8" x14ac:dyDescent="0.35">
      <c r="A8" s="4">
        <v>45778</v>
      </c>
      <c r="B8">
        <v>522089.54</v>
      </c>
    </row>
    <row r="9" spans="1:8" x14ac:dyDescent="0.35">
      <c r="A9" s="4">
        <v>45809</v>
      </c>
      <c r="B9">
        <v>303746.97999999986</v>
      </c>
    </row>
    <row r="10" spans="1:8" x14ac:dyDescent="0.35">
      <c r="A10" s="4">
        <v>45839</v>
      </c>
      <c r="B10">
        <v>450845.04999999987</v>
      </c>
    </row>
    <row r="11" spans="1:8" x14ac:dyDescent="0.35">
      <c r="A11" s="4">
        <v>45870</v>
      </c>
      <c r="B11">
        <v>440249.76000000024</v>
      </c>
    </row>
    <row r="12" spans="1:8" x14ac:dyDescent="0.35">
      <c r="A12" s="4">
        <v>45901</v>
      </c>
      <c r="B12">
        <v>459679.99999999988</v>
      </c>
    </row>
    <row r="13" spans="1:8" x14ac:dyDescent="0.35">
      <c r="A13" s="4">
        <v>45931</v>
      </c>
      <c r="B13">
        <v>503174.7799999998</v>
      </c>
    </row>
    <row r="14" spans="1:8" x14ac:dyDescent="0.35">
      <c r="A14" s="4">
        <v>45962</v>
      </c>
      <c r="B14">
        <v>490670.43</v>
      </c>
    </row>
    <row r="15" spans="1:8" x14ac:dyDescent="0.35">
      <c r="A15" s="4">
        <v>45992</v>
      </c>
      <c r="B15">
        <v>532057.71</v>
      </c>
    </row>
    <row r="16" spans="1:8" x14ac:dyDescent="0.35">
      <c r="A16" s="4">
        <v>46023</v>
      </c>
      <c r="B16">
        <v>14719.77</v>
      </c>
    </row>
    <row r="17" spans="1:3" x14ac:dyDescent="0.35">
      <c r="A17" s="4" t="s">
        <v>1396</v>
      </c>
      <c r="B17">
        <v>5455120.0199999986</v>
      </c>
    </row>
    <row r="21" spans="1:3" x14ac:dyDescent="0.35">
      <c r="B21" s="1" t="s">
        <v>1395</v>
      </c>
      <c r="C21" t="s">
        <v>1398</v>
      </c>
    </row>
    <row r="22" spans="1:3" x14ac:dyDescent="0.35">
      <c r="B22" s="2" t="s">
        <v>24</v>
      </c>
      <c r="C22">
        <v>5604.2549593495933</v>
      </c>
    </row>
    <row r="23" spans="1:3" x14ac:dyDescent="0.35">
      <c r="B23" s="2" t="s">
        <v>32</v>
      </c>
      <c r="C23">
        <v>5503.1403831417592</v>
      </c>
    </row>
    <row r="24" spans="1:3" x14ac:dyDescent="0.35">
      <c r="B24" s="2" t="s">
        <v>47</v>
      </c>
      <c r="C24">
        <v>5466.8772222222233</v>
      </c>
    </row>
    <row r="25" spans="1:3" x14ac:dyDescent="0.35">
      <c r="B25" s="2" t="s">
        <v>15</v>
      </c>
      <c r="C25">
        <v>5238.5917012448172</v>
      </c>
    </row>
    <row r="26" spans="1:3" x14ac:dyDescent="0.35">
      <c r="B26" s="2" t="s">
        <v>1396</v>
      </c>
      <c r="C26">
        <v>5455.1200200000003</v>
      </c>
    </row>
    <row r="35" spans="1:2" x14ac:dyDescent="0.35">
      <c r="A35" s="1" t="s">
        <v>1395</v>
      </c>
      <c r="B35" t="s">
        <v>1394</v>
      </c>
    </row>
    <row r="36" spans="1:2" x14ac:dyDescent="0.35">
      <c r="A36" s="2" t="s">
        <v>27</v>
      </c>
      <c r="B36">
        <v>1301063.7300000009</v>
      </c>
    </row>
    <row r="37" spans="1:2" x14ac:dyDescent="0.35">
      <c r="A37" s="2" t="s">
        <v>37</v>
      </c>
      <c r="B37">
        <v>1530872.8099999991</v>
      </c>
    </row>
    <row r="38" spans="1:2" x14ac:dyDescent="0.35">
      <c r="A38" s="2" t="s">
        <v>18</v>
      </c>
      <c r="B38">
        <v>1422012.1700000004</v>
      </c>
    </row>
    <row r="39" spans="1:2" x14ac:dyDescent="0.35">
      <c r="A39" s="2" t="s">
        <v>44</v>
      </c>
      <c r="B39">
        <v>1201171.3099999994</v>
      </c>
    </row>
    <row r="40" spans="1:2" x14ac:dyDescent="0.35">
      <c r="A40" s="2" t="s">
        <v>1396</v>
      </c>
      <c r="B40">
        <v>5455120.0200000005</v>
      </c>
    </row>
    <row r="48" spans="1:2" x14ac:dyDescent="0.35">
      <c r="A48" s="1" t="s">
        <v>1395</v>
      </c>
      <c r="B48" t="s">
        <v>1394</v>
      </c>
    </row>
    <row r="49" spans="1:2" x14ac:dyDescent="0.35">
      <c r="A49" s="2" t="s">
        <v>29</v>
      </c>
      <c r="B49">
        <v>1073563.6100000003</v>
      </c>
    </row>
    <row r="50" spans="1:2" x14ac:dyDescent="0.35">
      <c r="A50" s="2" t="s">
        <v>20</v>
      </c>
      <c r="B50">
        <v>844428.42999999982</v>
      </c>
    </row>
    <row r="51" spans="1:2" x14ac:dyDescent="0.35">
      <c r="A51" s="2" t="s">
        <v>66</v>
      </c>
      <c r="B51">
        <v>964258.39999999967</v>
      </c>
    </row>
    <row r="52" spans="1:2" x14ac:dyDescent="0.35">
      <c r="A52" s="2" t="s">
        <v>49</v>
      </c>
      <c r="B52">
        <v>787118.41999999993</v>
      </c>
    </row>
    <row r="53" spans="1:2" x14ac:dyDescent="0.35">
      <c r="A53" s="2" t="s">
        <v>63</v>
      </c>
      <c r="B53">
        <v>962743.23999999976</v>
      </c>
    </row>
    <row r="54" spans="1:2" x14ac:dyDescent="0.35">
      <c r="A54" s="2" t="s">
        <v>82</v>
      </c>
      <c r="B54">
        <v>823007.92000000027</v>
      </c>
    </row>
    <row r="55" spans="1:2" x14ac:dyDescent="0.35">
      <c r="A55" s="2" t="s">
        <v>1396</v>
      </c>
      <c r="B55">
        <v>5455120.0199999996</v>
      </c>
    </row>
    <row r="64" spans="1:2" x14ac:dyDescent="0.35">
      <c r="A64" s="1" t="s">
        <v>1395</v>
      </c>
      <c r="B64" t="s">
        <v>1399</v>
      </c>
    </row>
    <row r="65" spans="1:2" x14ac:dyDescent="0.35">
      <c r="A65" s="2" t="s">
        <v>42</v>
      </c>
      <c r="B65">
        <v>140192.49</v>
      </c>
    </row>
    <row r="66" spans="1:2" x14ac:dyDescent="0.35">
      <c r="A66" s="2" t="s">
        <v>53</v>
      </c>
      <c r="B66">
        <v>169050.93000000011</v>
      </c>
    </row>
    <row r="67" spans="1:2" x14ac:dyDescent="0.35">
      <c r="A67" s="2" t="s">
        <v>33</v>
      </c>
      <c r="B67">
        <v>177250.11999999994</v>
      </c>
    </row>
    <row r="68" spans="1:2" x14ac:dyDescent="0.35">
      <c r="A68" s="2" t="s">
        <v>116</v>
      </c>
      <c r="B68">
        <v>142020.66</v>
      </c>
    </row>
    <row r="69" spans="1:2" x14ac:dyDescent="0.35">
      <c r="A69" s="2" t="s">
        <v>74</v>
      </c>
      <c r="B69">
        <v>138212.10000000003</v>
      </c>
    </row>
    <row r="70" spans="1:2" x14ac:dyDescent="0.35">
      <c r="A70" s="2" t="s">
        <v>25</v>
      </c>
      <c r="B70">
        <v>144094.47000000012</v>
      </c>
    </row>
    <row r="71" spans="1:2" x14ac:dyDescent="0.35">
      <c r="A71" s="2" t="s">
        <v>69</v>
      </c>
      <c r="B71">
        <v>137327.09000000005</v>
      </c>
    </row>
    <row r="72" spans="1:2" x14ac:dyDescent="0.35">
      <c r="A72" s="2" t="s">
        <v>16</v>
      </c>
      <c r="B72">
        <v>166383.58000000005</v>
      </c>
    </row>
    <row r="73" spans="1:2" x14ac:dyDescent="0.35">
      <c r="A73" s="2" t="s">
        <v>1396</v>
      </c>
      <c r="B73">
        <v>1214531.4400000002</v>
      </c>
    </row>
    <row r="75" spans="1:2" x14ac:dyDescent="0.35">
      <c r="A75">
        <f>GETPIVOTDATA("Profit",$A$64)</f>
        <v>1214531.4400000002</v>
      </c>
    </row>
    <row r="81" spans="1:2" x14ac:dyDescent="0.35">
      <c r="A81" s="1" t="s">
        <v>1395</v>
      </c>
      <c r="B81" t="s">
        <v>1394</v>
      </c>
    </row>
    <row r="82" spans="1:2" x14ac:dyDescent="0.35">
      <c r="A82" s="2" t="s">
        <v>26</v>
      </c>
      <c r="B82">
        <v>1425793.5900000012</v>
      </c>
    </row>
    <row r="83" spans="1:2" x14ac:dyDescent="0.35">
      <c r="A83" s="2" t="s">
        <v>43</v>
      </c>
      <c r="B83">
        <v>1299938.8299999994</v>
      </c>
    </row>
    <row r="84" spans="1:2" x14ac:dyDescent="0.35">
      <c r="A84" s="2" t="s">
        <v>48</v>
      </c>
      <c r="B84">
        <v>1484967.209999999</v>
      </c>
    </row>
    <row r="85" spans="1:2" x14ac:dyDescent="0.35">
      <c r="A85" s="2" t="s">
        <v>17</v>
      </c>
      <c r="B85">
        <v>1244420.3899999999</v>
      </c>
    </row>
    <row r="86" spans="1:2" x14ac:dyDescent="0.35">
      <c r="A86" s="2" t="s">
        <v>1396</v>
      </c>
      <c r="B86">
        <v>5455120.0199999996</v>
      </c>
    </row>
    <row r="97" spans="1:6" x14ac:dyDescent="0.35">
      <c r="A97" t="s">
        <v>1400</v>
      </c>
      <c r="D97" t="s">
        <v>1401</v>
      </c>
      <c r="F97" t="s">
        <v>1398</v>
      </c>
    </row>
    <row r="98" spans="1:6" x14ac:dyDescent="0.35">
      <c r="A98">
        <v>10757</v>
      </c>
      <c r="D98">
        <v>1000</v>
      </c>
      <c r="F98">
        <v>5455.1200200000021</v>
      </c>
    </row>
    <row r="99" spans="1:6" x14ac:dyDescent="0.35">
      <c r="A99">
        <f>GETPIVOTDATA("Units_Sold",$A$97)</f>
        <v>10757</v>
      </c>
      <c r="D99">
        <f>GETPIVOTDATA("Order_ID",$D$97)</f>
        <v>1000</v>
      </c>
      <c r="F99">
        <f>GETPIVOTDATA("Sales_Amount",$F$97)</f>
        <v>5455.1200200000021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F01BC-C031-4A6C-BA1D-5858974D1EC0}">
  <dimension ref="A1"/>
  <sheetViews>
    <sheetView showGridLines="0" tabSelected="1" topLeftCell="A22" zoomScaleNormal="100" workbookViewId="0">
      <selection activeCell="S6" sqref="S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N2" sqref="N2"/>
    </sheetView>
  </sheetViews>
  <sheetFormatPr defaultRowHeight="14.5" x14ac:dyDescent="0.35"/>
  <cols>
    <col min="1" max="1" width="8.54296875" bestFit="1" customWidth="1"/>
    <col min="2" max="2" width="10.6328125" bestFit="1" customWidth="1"/>
    <col min="3" max="3" width="6.453125" bestFit="1" customWidth="1"/>
    <col min="4" max="4" width="10.81640625" bestFit="1" customWidth="1"/>
    <col min="5" max="5" width="17.26953125" bestFit="1" customWidth="1"/>
    <col min="6" max="6" width="15.7265625" bestFit="1" customWidth="1"/>
    <col min="7" max="7" width="11.36328125" bestFit="1" customWidth="1"/>
    <col min="8" max="8" width="9.6328125" bestFit="1" customWidth="1"/>
    <col min="9" max="9" width="9.26953125" bestFit="1" customWidth="1"/>
    <col min="10" max="10" width="12.7265625" bestFit="1" customWidth="1"/>
    <col min="11" max="11" width="17.26953125" bestFit="1" customWidth="1"/>
    <col min="12" max="12" width="15.453125" bestFit="1" customWidth="1"/>
    <col min="13" max="13" width="7.81640625" bestFit="1" customWidth="1"/>
    <col min="14" max="14" width="10.08984375" bestFit="1" customWidth="1"/>
  </cols>
  <sheetData>
    <row r="1" spans="1:14" x14ac:dyDescent="0.35">
      <c r="A1" t="s">
        <v>0</v>
      </c>
      <c r="B1" t="s">
        <v>1</v>
      </c>
      <c r="C1" t="s">
        <v>2</v>
      </c>
      <c r="D1" t="s">
        <v>3</v>
      </c>
      <c r="E1" t="s">
        <v>4</v>
      </c>
      <c r="F1" t="s">
        <v>5</v>
      </c>
      <c r="G1" t="s">
        <v>6</v>
      </c>
      <c r="H1" t="s">
        <v>7</v>
      </c>
      <c r="I1" t="s">
        <v>8</v>
      </c>
      <c r="J1" t="s">
        <v>9</v>
      </c>
      <c r="K1" t="s">
        <v>10</v>
      </c>
      <c r="L1" t="s">
        <v>11</v>
      </c>
      <c r="M1" t="s">
        <v>12</v>
      </c>
      <c r="N1" s="3" t="s">
        <v>1397</v>
      </c>
    </row>
    <row r="2" spans="1:14" x14ac:dyDescent="0.35">
      <c r="A2" t="s">
        <v>13</v>
      </c>
      <c r="B2" t="s">
        <v>14</v>
      </c>
      <c r="C2" t="s">
        <v>15</v>
      </c>
      <c r="D2" t="s">
        <v>16</v>
      </c>
      <c r="E2" t="s">
        <v>17</v>
      </c>
      <c r="F2" t="s">
        <v>18</v>
      </c>
      <c r="G2" t="s">
        <v>19</v>
      </c>
      <c r="H2">
        <v>2</v>
      </c>
      <c r="I2">
        <v>442.37</v>
      </c>
      <c r="J2">
        <v>884.74</v>
      </c>
      <c r="K2" t="s">
        <v>20</v>
      </c>
      <c r="L2" t="s">
        <v>21</v>
      </c>
      <c r="M2">
        <v>255.9</v>
      </c>
      <c r="N2" s="3">
        <f>DATE(YEAR(B2),MONTH(B2),1)</f>
        <v>45689</v>
      </c>
    </row>
    <row r="3" spans="1:14" x14ac:dyDescent="0.35">
      <c r="A3" t="s">
        <v>22</v>
      </c>
      <c r="B3" t="s">
        <v>23</v>
      </c>
      <c r="C3" t="s">
        <v>24</v>
      </c>
      <c r="D3" t="s">
        <v>25</v>
      </c>
      <c r="E3" t="s">
        <v>26</v>
      </c>
      <c r="F3" t="s">
        <v>27</v>
      </c>
      <c r="G3" t="s">
        <v>28</v>
      </c>
      <c r="H3">
        <v>10</v>
      </c>
      <c r="I3">
        <v>837.16</v>
      </c>
      <c r="J3">
        <v>8371.6</v>
      </c>
      <c r="K3" t="s">
        <v>29</v>
      </c>
      <c r="L3" t="s">
        <v>21</v>
      </c>
      <c r="M3">
        <v>2686.71</v>
      </c>
      <c r="N3" s="3">
        <f t="shared" ref="N3:N66" si="0">DATE(YEAR(B3),MONTH(B3),1)</f>
        <v>45717</v>
      </c>
    </row>
    <row r="4" spans="1:14" x14ac:dyDescent="0.35">
      <c r="A4" t="s">
        <v>30</v>
      </c>
      <c r="B4" t="s">
        <v>31</v>
      </c>
      <c r="C4" t="s">
        <v>32</v>
      </c>
      <c r="D4" t="s">
        <v>33</v>
      </c>
      <c r="E4" t="s">
        <v>26</v>
      </c>
      <c r="F4" t="s">
        <v>18</v>
      </c>
      <c r="G4" t="s">
        <v>19</v>
      </c>
      <c r="H4">
        <v>9</v>
      </c>
      <c r="I4">
        <v>329.83</v>
      </c>
      <c r="J4">
        <v>2968.47</v>
      </c>
      <c r="K4" t="s">
        <v>29</v>
      </c>
      <c r="L4" t="s">
        <v>34</v>
      </c>
      <c r="M4">
        <v>670.3</v>
      </c>
      <c r="N4" s="3">
        <f t="shared" si="0"/>
        <v>45778</v>
      </c>
    </row>
    <row r="5" spans="1:14" x14ac:dyDescent="0.35">
      <c r="A5" t="s">
        <v>35</v>
      </c>
      <c r="B5" t="s">
        <v>36</v>
      </c>
      <c r="C5" t="s">
        <v>24</v>
      </c>
      <c r="D5" t="s">
        <v>16</v>
      </c>
      <c r="E5" t="s">
        <v>26</v>
      </c>
      <c r="F5" t="s">
        <v>37</v>
      </c>
      <c r="G5" t="s">
        <v>38</v>
      </c>
      <c r="H5">
        <v>20</v>
      </c>
      <c r="I5">
        <v>665.59</v>
      </c>
      <c r="J5">
        <v>13311.8</v>
      </c>
      <c r="K5" t="s">
        <v>29</v>
      </c>
      <c r="L5" t="s">
        <v>39</v>
      </c>
      <c r="M5">
        <v>2405.54</v>
      </c>
      <c r="N5" s="3">
        <f t="shared" si="0"/>
        <v>46023</v>
      </c>
    </row>
    <row r="6" spans="1:14" x14ac:dyDescent="0.35">
      <c r="A6" t="s">
        <v>40</v>
      </c>
      <c r="B6" t="s">
        <v>41</v>
      </c>
      <c r="C6" t="s">
        <v>24</v>
      </c>
      <c r="D6" t="s">
        <v>42</v>
      </c>
      <c r="E6" t="s">
        <v>43</v>
      </c>
      <c r="F6" t="s">
        <v>44</v>
      </c>
      <c r="G6" t="s">
        <v>45</v>
      </c>
      <c r="H6">
        <v>5</v>
      </c>
      <c r="I6">
        <v>436.56</v>
      </c>
      <c r="J6">
        <v>2182.8000000000002</v>
      </c>
      <c r="K6" t="s">
        <v>20</v>
      </c>
      <c r="L6" t="s">
        <v>34</v>
      </c>
      <c r="M6">
        <v>384.31</v>
      </c>
      <c r="N6" s="3">
        <f t="shared" si="0"/>
        <v>45778</v>
      </c>
    </row>
    <row r="7" spans="1:14" x14ac:dyDescent="0.35">
      <c r="A7" t="s">
        <v>46</v>
      </c>
      <c r="B7" t="s">
        <v>31</v>
      </c>
      <c r="C7" t="s">
        <v>47</v>
      </c>
      <c r="D7" t="s">
        <v>16</v>
      </c>
      <c r="E7" t="s">
        <v>48</v>
      </c>
      <c r="F7" t="s">
        <v>18</v>
      </c>
      <c r="G7" t="s">
        <v>19</v>
      </c>
      <c r="H7">
        <v>20</v>
      </c>
      <c r="I7">
        <v>255.47</v>
      </c>
      <c r="J7">
        <v>5109.3999999999996</v>
      </c>
      <c r="K7" t="s">
        <v>49</v>
      </c>
      <c r="L7" t="s">
        <v>50</v>
      </c>
      <c r="M7">
        <v>1329.45</v>
      </c>
      <c r="N7" s="3">
        <f t="shared" si="0"/>
        <v>45778</v>
      </c>
    </row>
    <row r="8" spans="1:14" x14ac:dyDescent="0.35">
      <c r="A8" t="s">
        <v>51</v>
      </c>
      <c r="B8" t="s">
        <v>52</v>
      </c>
      <c r="C8" t="s">
        <v>32</v>
      </c>
      <c r="D8" t="s">
        <v>53</v>
      </c>
      <c r="E8" t="s">
        <v>26</v>
      </c>
      <c r="F8" t="s">
        <v>18</v>
      </c>
      <c r="G8" t="s">
        <v>45</v>
      </c>
      <c r="H8">
        <v>8</v>
      </c>
      <c r="I8">
        <v>844.07</v>
      </c>
      <c r="J8">
        <v>6752.56</v>
      </c>
      <c r="K8" t="s">
        <v>49</v>
      </c>
      <c r="L8" t="s">
        <v>39</v>
      </c>
      <c r="M8">
        <v>2137.19</v>
      </c>
      <c r="N8" s="3">
        <f t="shared" si="0"/>
        <v>45717</v>
      </c>
    </row>
    <row r="9" spans="1:14" x14ac:dyDescent="0.35">
      <c r="A9" t="s">
        <v>54</v>
      </c>
      <c r="B9" t="s">
        <v>55</v>
      </c>
      <c r="C9" t="s">
        <v>32</v>
      </c>
      <c r="D9" t="s">
        <v>25</v>
      </c>
      <c r="E9" t="s">
        <v>48</v>
      </c>
      <c r="F9" t="s">
        <v>18</v>
      </c>
      <c r="G9" t="s">
        <v>56</v>
      </c>
      <c r="H9">
        <v>12</v>
      </c>
      <c r="I9">
        <v>147.06</v>
      </c>
      <c r="J9">
        <v>1764.72</v>
      </c>
      <c r="K9" t="s">
        <v>20</v>
      </c>
      <c r="L9" t="s">
        <v>39</v>
      </c>
      <c r="M9">
        <v>392.66</v>
      </c>
      <c r="N9" s="3">
        <f t="shared" si="0"/>
        <v>45870</v>
      </c>
    </row>
    <row r="10" spans="1:14" x14ac:dyDescent="0.35">
      <c r="A10" t="s">
        <v>57</v>
      </c>
      <c r="B10" t="s">
        <v>58</v>
      </c>
      <c r="C10" t="s">
        <v>32</v>
      </c>
      <c r="D10" t="s">
        <v>25</v>
      </c>
      <c r="E10" t="s">
        <v>48</v>
      </c>
      <c r="F10" t="s">
        <v>27</v>
      </c>
      <c r="G10" t="s">
        <v>45</v>
      </c>
      <c r="H10">
        <v>12</v>
      </c>
      <c r="I10">
        <v>201.54</v>
      </c>
      <c r="J10">
        <v>2418.48</v>
      </c>
      <c r="K10" t="s">
        <v>29</v>
      </c>
      <c r="L10" t="s">
        <v>34</v>
      </c>
      <c r="M10">
        <v>415.3</v>
      </c>
      <c r="N10" s="3">
        <f t="shared" si="0"/>
        <v>45717</v>
      </c>
    </row>
    <row r="11" spans="1:14" x14ac:dyDescent="0.35">
      <c r="A11" t="s">
        <v>59</v>
      </c>
      <c r="B11" t="s">
        <v>60</v>
      </c>
      <c r="C11" t="s">
        <v>32</v>
      </c>
      <c r="D11" t="s">
        <v>42</v>
      </c>
      <c r="E11" t="s">
        <v>48</v>
      </c>
      <c r="F11" t="s">
        <v>27</v>
      </c>
      <c r="G11" t="s">
        <v>19</v>
      </c>
      <c r="H11">
        <v>11</v>
      </c>
      <c r="I11">
        <v>742.28</v>
      </c>
      <c r="J11">
        <v>8165.08</v>
      </c>
      <c r="K11" t="s">
        <v>20</v>
      </c>
      <c r="L11" t="s">
        <v>34</v>
      </c>
      <c r="M11">
        <v>2258.25</v>
      </c>
      <c r="N11" s="3">
        <f t="shared" si="0"/>
        <v>45901</v>
      </c>
    </row>
    <row r="12" spans="1:14" x14ac:dyDescent="0.35">
      <c r="A12" t="s">
        <v>61</v>
      </c>
      <c r="B12" t="s">
        <v>62</v>
      </c>
      <c r="C12" t="s">
        <v>32</v>
      </c>
      <c r="D12" t="s">
        <v>33</v>
      </c>
      <c r="E12" t="s">
        <v>43</v>
      </c>
      <c r="F12" t="s">
        <v>44</v>
      </c>
      <c r="G12" t="s">
        <v>38</v>
      </c>
      <c r="H12">
        <v>9</v>
      </c>
      <c r="I12">
        <v>791.66</v>
      </c>
      <c r="J12">
        <v>7124.94</v>
      </c>
      <c r="K12" t="s">
        <v>63</v>
      </c>
      <c r="L12" t="s">
        <v>50</v>
      </c>
      <c r="M12">
        <v>1075.08</v>
      </c>
      <c r="N12" s="3">
        <f t="shared" si="0"/>
        <v>45748</v>
      </c>
    </row>
    <row r="13" spans="1:14" x14ac:dyDescent="0.35">
      <c r="A13" t="s">
        <v>64</v>
      </c>
      <c r="B13" t="s">
        <v>65</v>
      </c>
      <c r="C13" t="s">
        <v>47</v>
      </c>
      <c r="D13" t="s">
        <v>16</v>
      </c>
      <c r="E13" t="s">
        <v>26</v>
      </c>
      <c r="F13" t="s">
        <v>37</v>
      </c>
      <c r="G13" t="s">
        <v>28</v>
      </c>
      <c r="H13">
        <v>15</v>
      </c>
      <c r="I13">
        <v>491.78</v>
      </c>
      <c r="J13">
        <v>7376.7</v>
      </c>
      <c r="K13" t="s">
        <v>66</v>
      </c>
      <c r="L13" t="s">
        <v>21</v>
      </c>
      <c r="M13">
        <v>2041.89</v>
      </c>
      <c r="N13" s="3">
        <f t="shared" si="0"/>
        <v>45689</v>
      </c>
    </row>
    <row r="14" spans="1:14" x14ac:dyDescent="0.35">
      <c r="A14" t="s">
        <v>67</v>
      </c>
      <c r="B14" t="s">
        <v>68</v>
      </c>
      <c r="C14" t="s">
        <v>24</v>
      </c>
      <c r="D14" t="s">
        <v>69</v>
      </c>
      <c r="E14" t="s">
        <v>48</v>
      </c>
      <c r="F14" t="s">
        <v>27</v>
      </c>
      <c r="G14" t="s">
        <v>19</v>
      </c>
      <c r="H14">
        <v>8</v>
      </c>
      <c r="I14">
        <v>380.24</v>
      </c>
      <c r="J14">
        <v>3041.92</v>
      </c>
      <c r="K14" t="s">
        <v>49</v>
      </c>
      <c r="L14" t="s">
        <v>34</v>
      </c>
      <c r="M14">
        <v>534.13</v>
      </c>
      <c r="N14" s="3">
        <f t="shared" si="0"/>
        <v>45809</v>
      </c>
    </row>
    <row r="15" spans="1:14" x14ac:dyDescent="0.35">
      <c r="A15" t="s">
        <v>70</v>
      </c>
      <c r="B15" t="s">
        <v>71</v>
      </c>
      <c r="C15" t="s">
        <v>32</v>
      </c>
      <c r="D15" t="s">
        <v>53</v>
      </c>
      <c r="E15" t="s">
        <v>43</v>
      </c>
      <c r="F15" t="s">
        <v>37</v>
      </c>
      <c r="G15" t="s">
        <v>45</v>
      </c>
      <c r="H15">
        <v>11</v>
      </c>
      <c r="I15">
        <v>780.2</v>
      </c>
      <c r="J15">
        <v>8582.2000000000007</v>
      </c>
      <c r="K15" t="s">
        <v>20</v>
      </c>
      <c r="L15" t="s">
        <v>34</v>
      </c>
      <c r="M15">
        <v>2997.32</v>
      </c>
      <c r="N15" s="3">
        <f t="shared" si="0"/>
        <v>45901</v>
      </c>
    </row>
    <row r="16" spans="1:14" x14ac:dyDescent="0.35">
      <c r="A16" t="s">
        <v>72</v>
      </c>
      <c r="B16" t="s">
        <v>73</v>
      </c>
      <c r="C16" t="s">
        <v>15</v>
      </c>
      <c r="D16" t="s">
        <v>74</v>
      </c>
      <c r="E16" t="s">
        <v>17</v>
      </c>
      <c r="F16" t="s">
        <v>27</v>
      </c>
      <c r="G16" t="s">
        <v>28</v>
      </c>
      <c r="H16">
        <v>13</v>
      </c>
      <c r="I16">
        <v>350.43</v>
      </c>
      <c r="J16">
        <v>4555.59</v>
      </c>
      <c r="K16" t="s">
        <v>49</v>
      </c>
      <c r="L16" t="s">
        <v>21</v>
      </c>
      <c r="M16">
        <v>700.15</v>
      </c>
      <c r="N16" s="3">
        <f t="shared" si="0"/>
        <v>45717</v>
      </c>
    </row>
    <row r="17" spans="1:14" x14ac:dyDescent="0.35">
      <c r="A17" t="s">
        <v>75</v>
      </c>
      <c r="B17" t="s">
        <v>76</v>
      </c>
      <c r="C17" t="s">
        <v>47</v>
      </c>
      <c r="D17" t="s">
        <v>74</v>
      </c>
      <c r="E17" t="s">
        <v>48</v>
      </c>
      <c r="F17" t="s">
        <v>18</v>
      </c>
      <c r="G17" t="s">
        <v>56</v>
      </c>
      <c r="H17">
        <v>13</v>
      </c>
      <c r="I17">
        <v>38.869999999999997</v>
      </c>
      <c r="J17">
        <v>505.31</v>
      </c>
      <c r="K17" t="s">
        <v>63</v>
      </c>
      <c r="L17" t="s">
        <v>77</v>
      </c>
      <c r="M17">
        <v>70.75</v>
      </c>
      <c r="N17" s="3">
        <f t="shared" si="0"/>
        <v>45962</v>
      </c>
    </row>
    <row r="18" spans="1:14" x14ac:dyDescent="0.35">
      <c r="A18" t="s">
        <v>78</v>
      </c>
      <c r="B18" t="s">
        <v>79</v>
      </c>
      <c r="C18" t="s">
        <v>32</v>
      </c>
      <c r="D18" t="s">
        <v>16</v>
      </c>
      <c r="E18" t="s">
        <v>17</v>
      </c>
      <c r="F18" t="s">
        <v>37</v>
      </c>
      <c r="G18" t="s">
        <v>38</v>
      </c>
      <c r="H18">
        <v>14</v>
      </c>
      <c r="I18">
        <v>446.06</v>
      </c>
      <c r="J18">
        <v>6244.84</v>
      </c>
      <c r="K18" t="s">
        <v>29</v>
      </c>
      <c r="L18" t="s">
        <v>39</v>
      </c>
      <c r="M18">
        <v>1921.01</v>
      </c>
      <c r="N18" s="3">
        <f t="shared" si="0"/>
        <v>45901</v>
      </c>
    </row>
    <row r="19" spans="1:14" x14ac:dyDescent="0.35">
      <c r="A19" t="s">
        <v>80</v>
      </c>
      <c r="B19" t="s">
        <v>81</v>
      </c>
      <c r="C19" t="s">
        <v>32</v>
      </c>
      <c r="D19" t="s">
        <v>74</v>
      </c>
      <c r="E19" t="s">
        <v>26</v>
      </c>
      <c r="F19" t="s">
        <v>37</v>
      </c>
      <c r="G19" t="s">
        <v>45</v>
      </c>
      <c r="H19">
        <v>18</v>
      </c>
      <c r="I19">
        <v>851.94</v>
      </c>
      <c r="J19">
        <v>15334.92</v>
      </c>
      <c r="K19" t="s">
        <v>82</v>
      </c>
      <c r="L19" t="s">
        <v>77</v>
      </c>
      <c r="M19">
        <v>4180.41</v>
      </c>
      <c r="N19" s="3">
        <f t="shared" si="0"/>
        <v>45839</v>
      </c>
    </row>
    <row r="20" spans="1:14" x14ac:dyDescent="0.35">
      <c r="A20" t="s">
        <v>83</v>
      </c>
      <c r="B20" t="s">
        <v>84</v>
      </c>
      <c r="C20" t="s">
        <v>24</v>
      </c>
      <c r="D20" t="s">
        <v>74</v>
      </c>
      <c r="E20" t="s">
        <v>48</v>
      </c>
      <c r="F20" t="s">
        <v>18</v>
      </c>
      <c r="G20" t="s">
        <v>85</v>
      </c>
      <c r="H20">
        <v>2</v>
      </c>
      <c r="I20">
        <v>779.13</v>
      </c>
      <c r="J20">
        <v>1558.26</v>
      </c>
      <c r="K20" t="s">
        <v>66</v>
      </c>
      <c r="L20" t="s">
        <v>39</v>
      </c>
      <c r="M20">
        <v>215.57</v>
      </c>
      <c r="N20" s="3">
        <f t="shared" si="0"/>
        <v>45748</v>
      </c>
    </row>
    <row r="21" spans="1:14" x14ac:dyDescent="0.35">
      <c r="A21" t="s">
        <v>86</v>
      </c>
      <c r="B21" t="s">
        <v>87</v>
      </c>
      <c r="C21" t="s">
        <v>15</v>
      </c>
      <c r="D21" t="s">
        <v>16</v>
      </c>
      <c r="E21" t="s">
        <v>43</v>
      </c>
      <c r="F21" t="s">
        <v>44</v>
      </c>
      <c r="G21" t="s">
        <v>28</v>
      </c>
      <c r="H21">
        <v>7</v>
      </c>
      <c r="I21">
        <v>81.88</v>
      </c>
      <c r="J21">
        <v>573.16</v>
      </c>
      <c r="K21" t="s">
        <v>20</v>
      </c>
      <c r="L21" t="s">
        <v>50</v>
      </c>
      <c r="M21">
        <v>67.209999999999994</v>
      </c>
      <c r="N21" s="3">
        <f t="shared" si="0"/>
        <v>45992</v>
      </c>
    </row>
    <row r="22" spans="1:14" x14ac:dyDescent="0.35">
      <c r="A22" t="s">
        <v>88</v>
      </c>
      <c r="B22" t="s">
        <v>89</v>
      </c>
      <c r="C22" t="s">
        <v>15</v>
      </c>
      <c r="D22" t="s">
        <v>53</v>
      </c>
      <c r="E22" t="s">
        <v>17</v>
      </c>
      <c r="F22" t="s">
        <v>18</v>
      </c>
      <c r="G22" t="s">
        <v>19</v>
      </c>
      <c r="H22">
        <v>12</v>
      </c>
      <c r="I22">
        <v>273.64</v>
      </c>
      <c r="J22">
        <v>3283.68</v>
      </c>
      <c r="K22" t="s">
        <v>20</v>
      </c>
      <c r="L22" t="s">
        <v>50</v>
      </c>
      <c r="M22">
        <v>360.34</v>
      </c>
      <c r="N22" s="3">
        <f t="shared" si="0"/>
        <v>45689</v>
      </c>
    </row>
    <row r="23" spans="1:14" x14ac:dyDescent="0.35">
      <c r="A23" t="s">
        <v>90</v>
      </c>
      <c r="B23" t="s">
        <v>91</v>
      </c>
      <c r="C23" t="s">
        <v>15</v>
      </c>
      <c r="D23" t="s">
        <v>69</v>
      </c>
      <c r="E23" t="s">
        <v>17</v>
      </c>
      <c r="F23" t="s">
        <v>37</v>
      </c>
      <c r="G23" t="s">
        <v>38</v>
      </c>
      <c r="H23">
        <v>8</v>
      </c>
      <c r="I23">
        <v>697.98</v>
      </c>
      <c r="J23">
        <v>5583.84</v>
      </c>
      <c r="K23" t="s">
        <v>20</v>
      </c>
      <c r="L23" t="s">
        <v>39</v>
      </c>
      <c r="M23">
        <v>1553.21</v>
      </c>
      <c r="N23" s="3">
        <f t="shared" si="0"/>
        <v>45809</v>
      </c>
    </row>
    <row r="24" spans="1:14" x14ac:dyDescent="0.35">
      <c r="A24" t="s">
        <v>92</v>
      </c>
      <c r="B24" t="s">
        <v>93</v>
      </c>
      <c r="C24" t="s">
        <v>15</v>
      </c>
      <c r="D24" t="s">
        <v>69</v>
      </c>
      <c r="E24" t="s">
        <v>48</v>
      </c>
      <c r="F24" t="s">
        <v>37</v>
      </c>
      <c r="G24" t="s">
        <v>19</v>
      </c>
      <c r="H24">
        <v>11</v>
      </c>
      <c r="I24">
        <v>546.91999999999996</v>
      </c>
      <c r="J24">
        <v>6016.12</v>
      </c>
      <c r="K24" t="s">
        <v>66</v>
      </c>
      <c r="L24" t="s">
        <v>50</v>
      </c>
      <c r="M24">
        <v>803.63</v>
      </c>
      <c r="N24" s="3">
        <f t="shared" si="0"/>
        <v>45992</v>
      </c>
    </row>
    <row r="25" spans="1:14" x14ac:dyDescent="0.35">
      <c r="A25" t="s">
        <v>94</v>
      </c>
      <c r="B25" t="s">
        <v>95</v>
      </c>
      <c r="C25" t="s">
        <v>24</v>
      </c>
      <c r="D25" t="s">
        <v>53</v>
      </c>
      <c r="E25" t="s">
        <v>17</v>
      </c>
      <c r="F25" t="s">
        <v>37</v>
      </c>
      <c r="G25" t="s">
        <v>96</v>
      </c>
      <c r="H25">
        <v>5</v>
      </c>
      <c r="I25">
        <v>590.83000000000004</v>
      </c>
      <c r="J25">
        <v>2954.15</v>
      </c>
      <c r="K25" t="s">
        <v>82</v>
      </c>
      <c r="L25" t="s">
        <v>50</v>
      </c>
      <c r="M25">
        <v>1018.59</v>
      </c>
      <c r="N25" s="3">
        <f t="shared" si="0"/>
        <v>45931</v>
      </c>
    </row>
    <row r="26" spans="1:14" x14ac:dyDescent="0.35">
      <c r="A26" t="s">
        <v>97</v>
      </c>
      <c r="B26" t="s">
        <v>98</v>
      </c>
      <c r="C26" t="s">
        <v>47</v>
      </c>
      <c r="D26" t="s">
        <v>69</v>
      </c>
      <c r="E26" t="s">
        <v>17</v>
      </c>
      <c r="F26" t="s">
        <v>18</v>
      </c>
      <c r="G26" t="s">
        <v>96</v>
      </c>
      <c r="H26">
        <v>17</v>
      </c>
      <c r="I26">
        <v>769.46</v>
      </c>
      <c r="J26">
        <v>13080.82</v>
      </c>
      <c r="K26" t="s">
        <v>29</v>
      </c>
      <c r="L26" t="s">
        <v>77</v>
      </c>
      <c r="M26">
        <v>3577.15</v>
      </c>
      <c r="N26" s="3">
        <f t="shared" si="0"/>
        <v>45778</v>
      </c>
    </row>
    <row r="27" spans="1:14" x14ac:dyDescent="0.35">
      <c r="A27" t="s">
        <v>99</v>
      </c>
      <c r="B27" t="s">
        <v>100</v>
      </c>
      <c r="C27" t="s">
        <v>47</v>
      </c>
      <c r="D27" t="s">
        <v>74</v>
      </c>
      <c r="E27" t="s">
        <v>17</v>
      </c>
      <c r="F27" t="s">
        <v>37</v>
      </c>
      <c r="G27" t="s">
        <v>38</v>
      </c>
      <c r="H27">
        <v>14</v>
      </c>
      <c r="I27">
        <v>925.09</v>
      </c>
      <c r="J27">
        <v>12951.26</v>
      </c>
      <c r="K27" t="s">
        <v>29</v>
      </c>
      <c r="L27" t="s">
        <v>34</v>
      </c>
      <c r="M27">
        <v>1706.44</v>
      </c>
      <c r="N27" s="3">
        <f t="shared" si="0"/>
        <v>45962</v>
      </c>
    </row>
    <row r="28" spans="1:14" x14ac:dyDescent="0.35">
      <c r="A28" t="s">
        <v>101</v>
      </c>
      <c r="B28" t="s">
        <v>102</v>
      </c>
      <c r="C28" t="s">
        <v>47</v>
      </c>
      <c r="D28" t="s">
        <v>42</v>
      </c>
      <c r="E28" t="s">
        <v>43</v>
      </c>
      <c r="F28" t="s">
        <v>37</v>
      </c>
      <c r="G28" t="s">
        <v>56</v>
      </c>
      <c r="H28">
        <v>15</v>
      </c>
      <c r="I28">
        <v>465.99</v>
      </c>
      <c r="J28">
        <v>6989.85</v>
      </c>
      <c r="K28" t="s">
        <v>20</v>
      </c>
      <c r="L28" t="s">
        <v>39</v>
      </c>
      <c r="M28">
        <v>1616.31</v>
      </c>
      <c r="N28" s="3">
        <f t="shared" si="0"/>
        <v>45931</v>
      </c>
    </row>
    <row r="29" spans="1:14" x14ac:dyDescent="0.35">
      <c r="A29" t="s">
        <v>103</v>
      </c>
      <c r="B29" t="s">
        <v>104</v>
      </c>
      <c r="C29" t="s">
        <v>32</v>
      </c>
      <c r="D29" t="s">
        <v>74</v>
      </c>
      <c r="E29" t="s">
        <v>48</v>
      </c>
      <c r="F29" t="s">
        <v>27</v>
      </c>
      <c r="G29" t="s">
        <v>105</v>
      </c>
      <c r="H29">
        <v>12</v>
      </c>
      <c r="I29">
        <v>901.7</v>
      </c>
      <c r="J29">
        <v>10820.4</v>
      </c>
      <c r="K29" t="s">
        <v>63</v>
      </c>
      <c r="L29" t="s">
        <v>34</v>
      </c>
      <c r="M29">
        <v>3277.81</v>
      </c>
      <c r="N29" s="3">
        <f t="shared" si="0"/>
        <v>45931</v>
      </c>
    </row>
    <row r="30" spans="1:14" x14ac:dyDescent="0.35">
      <c r="A30" t="s">
        <v>106</v>
      </c>
      <c r="B30" t="s">
        <v>107</v>
      </c>
      <c r="C30" t="s">
        <v>32</v>
      </c>
      <c r="D30" t="s">
        <v>33</v>
      </c>
      <c r="E30" t="s">
        <v>26</v>
      </c>
      <c r="F30" t="s">
        <v>18</v>
      </c>
      <c r="G30" t="s">
        <v>85</v>
      </c>
      <c r="H30">
        <v>11</v>
      </c>
      <c r="I30">
        <v>843.63</v>
      </c>
      <c r="J30">
        <v>9279.93</v>
      </c>
      <c r="K30" t="s">
        <v>20</v>
      </c>
      <c r="L30" t="s">
        <v>21</v>
      </c>
      <c r="M30">
        <v>2927.9</v>
      </c>
      <c r="N30" s="3">
        <f t="shared" si="0"/>
        <v>45778</v>
      </c>
    </row>
    <row r="31" spans="1:14" x14ac:dyDescent="0.35">
      <c r="A31" t="s">
        <v>108</v>
      </c>
      <c r="B31" t="s">
        <v>109</v>
      </c>
      <c r="C31" t="s">
        <v>47</v>
      </c>
      <c r="D31" t="s">
        <v>69</v>
      </c>
      <c r="E31" t="s">
        <v>43</v>
      </c>
      <c r="F31" t="s">
        <v>18</v>
      </c>
      <c r="G31" t="s">
        <v>105</v>
      </c>
      <c r="H31">
        <v>2</v>
      </c>
      <c r="I31">
        <v>73.22</v>
      </c>
      <c r="J31">
        <v>146.44</v>
      </c>
      <c r="K31" t="s">
        <v>29</v>
      </c>
      <c r="L31" t="s">
        <v>77</v>
      </c>
      <c r="M31">
        <v>45.1</v>
      </c>
      <c r="N31" s="3">
        <f t="shared" si="0"/>
        <v>45992</v>
      </c>
    </row>
    <row r="32" spans="1:14" x14ac:dyDescent="0.35">
      <c r="A32" t="s">
        <v>110</v>
      </c>
      <c r="B32" t="s">
        <v>111</v>
      </c>
      <c r="C32" t="s">
        <v>24</v>
      </c>
      <c r="D32" t="s">
        <v>42</v>
      </c>
      <c r="E32" t="s">
        <v>43</v>
      </c>
      <c r="F32" t="s">
        <v>44</v>
      </c>
      <c r="G32" t="s">
        <v>105</v>
      </c>
      <c r="H32">
        <v>16</v>
      </c>
      <c r="I32">
        <v>486.43</v>
      </c>
      <c r="J32">
        <v>7782.88</v>
      </c>
      <c r="K32" t="s">
        <v>82</v>
      </c>
      <c r="L32" t="s">
        <v>21</v>
      </c>
      <c r="M32">
        <v>1317.27</v>
      </c>
      <c r="N32" s="3">
        <f t="shared" si="0"/>
        <v>45901</v>
      </c>
    </row>
    <row r="33" spans="1:14" x14ac:dyDescent="0.35">
      <c r="A33" t="s">
        <v>112</v>
      </c>
      <c r="B33" t="s">
        <v>113</v>
      </c>
      <c r="C33" t="s">
        <v>32</v>
      </c>
      <c r="D33" t="s">
        <v>42</v>
      </c>
      <c r="E33" t="s">
        <v>48</v>
      </c>
      <c r="F33" t="s">
        <v>27</v>
      </c>
      <c r="G33" t="s">
        <v>28</v>
      </c>
      <c r="H33">
        <v>4</v>
      </c>
      <c r="I33">
        <v>105.38</v>
      </c>
      <c r="J33">
        <v>421.52</v>
      </c>
      <c r="K33" t="s">
        <v>66</v>
      </c>
      <c r="L33" t="s">
        <v>39</v>
      </c>
      <c r="M33">
        <v>108.37</v>
      </c>
      <c r="N33" s="3">
        <f t="shared" si="0"/>
        <v>45870</v>
      </c>
    </row>
    <row r="34" spans="1:14" x14ac:dyDescent="0.35">
      <c r="A34" t="s">
        <v>114</v>
      </c>
      <c r="B34" t="s">
        <v>115</v>
      </c>
      <c r="C34" t="s">
        <v>24</v>
      </c>
      <c r="D34" t="s">
        <v>116</v>
      </c>
      <c r="E34" t="s">
        <v>48</v>
      </c>
      <c r="F34" t="s">
        <v>37</v>
      </c>
      <c r="G34" t="s">
        <v>45</v>
      </c>
      <c r="H34">
        <v>3</v>
      </c>
      <c r="I34">
        <v>902.86</v>
      </c>
      <c r="J34">
        <v>2708.58</v>
      </c>
      <c r="K34" t="s">
        <v>63</v>
      </c>
      <c r="L34" t="s">
        <v>50</v>
      </c>
      <c r="M34">
        <v>339.42</v>
      </c>
      <c r="N34" s="3">
        <f t="shared" si="0"/>
        <v>45931</v>
      </c>
    </row>
    <row r="35" spans="1:14" x14ac:dyDescent="0.35">
      <c r="A35" t="s">
        <v>117</v>
      </c>
      <c r="B35" t="s">
        <v>73</v>
      </c>
      <c r="C35" t="s">
        <v>24</v>
      </c>
      <c r="D35" t="s">
        <v>116</v>
      </c>
      <c r="E35" t="s">
        <v>17</v>
      </c>
      <c r="F35" t="s">
        <v>44</v>
      </c>
      <c r="G35" t="s">
        <v>45</v>
      </c>
      <c r="H35">
        <v>12</v>
      </c>
      <c r="I35">
        <v>959.53</v>
      </c>
      <c r="J35">
        <v>11514.36</v>
      </c>
      <c r="K35" t="s">
        <v>82</v>
      </c>
      <c r="L35" t="s">
        <v>50</v>
      </c>
      <c r="M35">
        <v>1465.63</v>
      </c>
      <c r="N35" s="3">
        <f t="shared" si="0"/>
        <v>45717</v>
      </c>
    </row>
    <row r="36" spans="1:14" x14ac:dyDescent="0.35">
      <c r="A36" t="s">
        <v>118</v>
      </c>
      <c r="B36" t="s">
        <v>119</v>
      </c>
      <c r="C36" t="s">
        <v>32</v>
      </c>
      <c r="D36" t="s">
        <v>53</v>
      </c>
      <c r="E36" t="s">
        <v>43</v>
      </c>
      <c r="F36" t="s">
        <v>27</v>
      </c>
      <c r="G36" t="s">
        <v>85</v>
      </c>
      <c r="H36">
        <v>14</v>
      </c>
      <c r="I36">
        <v>157.18</v>
      </c>
      <c r="J36">
        <v>2200.52</v>
      </c>
      <c r="K36" t="s">
        <v>20</v>
      </c>
      <c r="L36" t="s">
        <v>77</v>
      </c>
      <c r="M36">
        <v>752.56</v>
      </c>
      <c r="N36" s="3">
        <f t="shared" si="0"/>
        <v>45717</v>
      </c>
    </row>
    <row r="37" spans="1:14" x14ac:dyDescent="0.35">
      <c r="A37" t="s">
        <v>120</v>
      </c>
      <c r="B37" t="s">
        <v>121</v>
      </c>
      <c r="C37" t="s">
        <v>24</v>
      </c>
      <c r="D37" t="s">
        <v>53</v>
      </c>
      <c r="E37" t="s">
        <v>43</v>
      </c>
      <c r="F37" t="s">
        <v>27</v>
      </c>
      <c r="G37" t="s">
        <v>56</v>
      </c>
      <c r="H37">
        <v>1</v>
      </c>
      <c r="I37">
        <v>313.33999999999997</v>
      </c>
      <c r="J37">
        <v>313.33999999999997</v>
      </c>
      <c r="K37" t="s">
        <v>63</v>
      </c>
      <c r="L37" t="s">
        <v>50</v>
      </c>
      <c r="M37">
        <v>80.39</v>
      </c>
      <c r="N37" s="3">
        <f t="shared" si="0"/>
        <v>45839</v>
      </c>
    </row>
    <row r="38" spans="1:14" x14ac:dyDescent="0.35">
      <c r="A38" t="s">
        <v>122</v>
      </c>
      <c r="B38" t="s">
        <v>123</v>
      </c>
      <c r="C38" t="s">
        <v>47</v>
      </c>
      <c r="D38" t="s">
        <v>53</v>
      </c>
      <c r="E38" t="s">
        <v>48</v>
      </c>
      <c r="F38" t="s">
        <v>18</v>
      </c>
      <c r="G38" t="s">
        <v>96</v>
      </c>
      <c r="H38">
        <v>19</v>
      </c>
      <c r="I38">
        <v>126.77</v>
      </c>
      <c r="J38">
        <v>2408.63</v>
      </c>
      <c r="K38" t="s">
        <v>29</v>
      </c>
      <c r="L38" t="s">
        <v>50</v>
      </c>
      <c r="M38">
        <v>693.85</v>
      </c>
      <c r="N38" s="3">
        <f t="shared" si="0"/>
        <v>45901</v>
      </c>
    </row>
    <row r="39" spans="1:14" x14ac:dyDescent="0.35">
      <c r="A39" t="s">
        <v>124</v>
      </c>
      <c r="B39" t="s">
        <v>125</v>
      </c>
      <c r="C39" t="s">
        <v>47</v>
      </c>
      <c r="D39" t="s">
        <v>116</v>
      </c>
      <c r="E39" t="s">
        <v>43</v>
      </c>
      <c r="F39" t="s">
        <v>37</v>
      </c>
      <c r="G39" t="s">
        <v>38</v>
      </c>
      <c r="H39">
        <v>6</v>
      </c>
      <c r="I39">
        <v>356.45</v>
      </c>
      <c r="J39">
        <v>2138.6999999999998</v>
      </c>
      <c r="K39" t="s">
        <v>63</v>
      </c>
      <c r="L39" t="s">
        <v>21</v>
      </c>
      <c r="M39">
        <v>455.22</v>
      </c>
      <c r="N39" s="3">
        <f t="shared" si="0"/>
        <v>45778</v>
      </c>
    </row>
    <row r="40" spans="1:14" x14ac:dyDescent="0.35">
      <c r="A40" t="s">
        <v>126</v>
      </c>
      <c r="B40" t="s">
        <v>127</v>
      </c>
      <c r="C40" t="s">
        <v>32</v>
      </c>
      <c r="D40" t="s">
        <v>69</v>
      </c>
      <c r="E40" t="s">
        <v>48</v>
      </c>
      <c r="F40" t="s">
        <v>44</v>
      </c>
      <c r="G40" t="s">
        <v>105</v>
      </c>
      <c r="H40">
        <v>14</v>
      </c>
      <c r="I40">
        <v>333.05</v>
      </c>
      <c r="J40">
        <v>4662.7</v>
      </c>
      <c r="K40" t="s">
        <v>66</v>
      </c>
      <c r="L40" t="s">
        <v>77</v>
      </c>
      <c r="M40">
        <v>1176.83</v>
      </c>
      <c r="N40" s="3">
        <f t="shared" si="0"/>
        <v>45901</v>
      </c>
    </row>
    <row r="41" spans="1:14" x14ac:dyDescent="0.35">
      <c r="A41" t="s">
        <v>128</v>
      </c>
      <c r="B41" t="s">
        <v>129</v>
      </c>
      <c r="C41" t="s">
        <v>24</v>
      </c>
      <c r="D41" t="s">
        <v>116</v>
      </c>
      <c r="E41" t="s">
        <v>48</v>
      </c>
      <c r="F41" t="s">
        <v>27</v>
      </c>
      <c r="G41" t="s">
        <v>19</v>
      </c>
      <c r="H41">
        <v>17</v>
      </c>
      <c r="I41">
        <v>837.9</v>
      </c>
      <c r="J41">
        <v>14244.3</v>
      </c>
      <c r="K41" t="s">
        <v>29</v>
      </c>
      <c r="L41" t="s">
        <v>50</v>
      </c>
      <c r="M41">
        <v>2029.53</v>
      </c>
      <c r="N41" s="3">
        <f t="shared" si="0"/>
        <v>45962</v>
      </c>
    </row>
    <row r="42" spans="1:14" x14ac:dyDescent="0.35">
      <c r="A42" t="s">
        <v>130</v>
      </c>
      <c r="B42" t="s">
        <v>131</v>
      </c>
      <c r="C42" t="s">
        <v>24</v>
      </c>
      <c r="D42" t="s">
        <v>74</v>
      </c>
      <c r="E42" t="s">
        <v>26</v>
      </c>
      <c r="F42" t="s">
        <v>44</v>
      </c>
      <c r="G42" t="s">
        <v>19</v>
      </c>
      <c r="H42">
        <v>2</v>
      </c>
      <c r="I42">
        <v>841.5</v>
      </c>
      <c r="J42">
        <v>1683</v>
      </c>
      <c r="K42" t="s">
        <v>49</v>
      </c>
      <c r="L42" t="s">
        <v>50</v>
      </c>
      <c r="M42">
        <v>184.76</v>
      </c>
      <c r="N42" s="3">
        <f t="shared" si="0"/>
        <v>45962</v>
      </c>
    </row>
    <row r="43" spans="1:14" x14ac:dyDescent="0.35">
      <c r="A43" t="s">
        <v>132</v>
      </c>
      <c r="B43" t="s">
        <v>133</v>
      </c>
      <c r="C43" t="s">
        <v>24</v>
      </c>
      <c r="D43" t="s">
        <v>69</v>
      </c>
      <c r="E43" t="s">
        <v>43</v>
      </c>
      <c r="F43" t="s">
        <v>44</v>
      </c>
      <c r="G43" t="s">
        <v>105</v>
      </c>
      <c r="H43">
        <v>10</v>
      </c>
      <c r="I43">
        <v>499.27</v>
      </c>
      <c r="J43">
        <v>4992.7</v>
      </c>
      <c r="K43" t="s">
        <v>66</v>
      </c>
      <c r="L43" t="s">
        <v>34</v>
      </c>
      <c r="M43">
        <v>1553.06</v>
      </c>
      <c r="N43" s="3">
        <f t="shared" si="0"/>
        <v>45931</v>
      </c>
    </row>
    <row r="44" spans="1:14" x14ac:dyDescent="0.35">
      <c r="A44" t="s">
        <v>134</v>
      </c>
      <c r="B44" t="s">
        <v>127</v>
      </c>
      <c r="C44" t="s">
        <v>32</v>
      </c>
      <c r="D44" t="s">
        <v>42</v>
      </c>
      <c r="E44" t="s">
        <v>43</v>
      </c>
      <c r="F44" t="s">
        <v>44</v>
      </c>
      <c r="G44" t="s">
        <v>19</v>
      </c>
      <c r="H44">
        <v>11</v>
      </c>
      <c r="I44">
        <v>348.26</v>
      </c>
      <c r="J44">
        <v>3830.86</v>
      </c>
      <c r="K44" t="s">
        <v>49</v>
      </c>
      <c r="L44" t="s">
        <v>34</v>
      </c>
      <c r="M44">
        <v>736.31</v>
      </c>
      <c r="N44" s="3">
        <f t="shared" si="0"/>
        <v>45901</v>
      </c>
    </row>
    <row r="45" spans="1:14" x14ac:dyDescent="0.35">
      <c r="A45" t="s">
        <v>135</v>
      </c>
      <c r="B45" t="s">
        <v>136</v>
      </c>
      <c r="C45" t="s">
        <v>47</v>
      </c>
      <c r="D45" t="s">
        <v>42</v>
      </c>
      <c r="E45" t="s">
        <v>26</v>
      </c>
      <c r="F45" t="s">
        <v>37</v>
      </c>
      <c r="G45" t="s">
        <v>19</v>
      </c>
      <c r="H45">
        <v>18</v>
      </c>
      <c r="I45">
        <v>97.1</v>
      </c>
      <c r="J45">
        <v>1747.8</v>
      </c>
      <c r="K45" t="s">
        <v>63</v>
      </c>
      <c r="L45" t="s">
        <v>21</v>
      </c>
      <c r="M45">
        <v>537.46</v>
      </c>
      <c r="N45" s="3">
        <f t="shared" si="0"/>
        <v>45870</v>
      </c>
    </row>
    <row r="46" spans="1:14" x14ac:dyDescent="0.35">
      <c r="A46" t="s">
        <v>137</v>
      </c>
      <c r="B46" t="s">
        <v>138</v>
      </c>
      <c r="C46" t="s">
        <v>24</v>
      </c>
      <c r="D46" t="s">
        <v>42</v>
      </c>
      <c r="E46" t="s">
        <v>26</v>
      </c>
      <c r="F46" t="s">
        <v>18</v>
      </c>
      <c r="G46" t="s">
        <v>105</v>
      </c>
      <c r="H46">
        <v>17</v>
      </c>
      <c r="I46">
        <v>636.16999999999996</v>
      </c>
      <c r="J46">
        <v>10814.89</v>
      </c>
      <c r="K46" t="s">
        <v>20</v>
      </c>
      <c r="L46" t="s">
        <v>77</v>
      </c>
      <c r="M46">
        <v>3086.67</v>
      </c>
      <c r="N46" s="3">
        <f t="shared" si="0"/>
        <v>45778</v>
      </c>
    </row>
    <row r="47" spans="1:14" x14ac:dyDescent="0.35">
      <c r="A47" t="s">
        <v>139</v>
      </c>
      <c r="B47" t="s">
        <v>140</v>
      </c>
      <c r="C47" t="s">
        <v>24</v>
      </c>
      <c r="D47" t="s">
        <v>42</v>
      </c>
      <c r="E47" t="s">
        <v>17</v>
      </c>
      <c r="F47" t="s">
        <v>44</v>
      </c>
      <c r="G47" t="s">
        <v>38</v>
      </c>
      <c r="H47">
        <v>18</v>
      </c>
      <c r="I47">
        <v>345.17</v>
      </c>
      <c r="J47">
        <v>6213.06</v>
      </c>
      <c r="K47" t="s">
        <v>29</v>
      </c>
      <c r="L47" t="s">
        <v>77</v>
      </c>
      <c r="M47">
        <v>1780.24</v>
      </c>
      <c r="N47" s="3">
        <f t="shared" si="0"/>
        <v>45748</v>
      </c>
    </row>
    <row r="48" spans="1:14" x14ac:dyDescent="0.35">
      <c r="A48" t="s">
        <v>141</v>
      </c>
      <c r="B48" t="s">
        <v>142</v>
      </c>
      <c r="C48" t="s">
        <v>15</v>
      </c>
      <c r="D48" t="s">
        <v>33</v>
      </c>
      <c r="E48" t="s">
        <v>26</v>
      </c>
      <c r="F48" t="s">
        <v>37</v>
      </c>
      <c r="G48" t="s">
        <v>105</v>
      </c>
      <c r="H48">
        <v>20</v>
      </c>
      <c r="I48">
        <v>367.32</v>
      </c>
      <c r="J48">
        <v>7346.4</v>
      </c>
      <c r="K48" t="s">
        <v>29</v>
      </c>
      <c r="L48" t="s">
        <v>77</v>
      </c>
      <c r="M48">
        <v>1709.39</v>
      </c>
      <c r="N48" s="3">
        <f t="shared" si="0"/>
        <v>45658</v>
      </c>
    </row>
    <row r="49" spans="1:14" x14ac:dyDescent="0.35">
      <c r="A49" t="s">
        <v>143</v>
      </c>
      <c r="B49" t="s">
        <v>144</v>
      </c>
      <c r="C49" t="s">
        <v>15</v>
      </c>
      <c r="D49" t="s">
        <v>33</v>
      </c>
      <c r="E49" t="s">
        <v>26</v>
      </c>
      <c r="F49" t="s">
        <v>27</v>
      </c>
      <c r="G49" t="s">
        <v>45</v>
      </c>
      <c r="H49">
        <v>12</v>
      </c>
      <c r="I49">
        <v>138.16999999999999</v>
      </c>
      <c r="J49">
        <v>1658.04</v>
      </c>
      <c r="K49" t="s">
        <v>20</v>
      </c>
      <c r="L49" t="s">
        <v>50</v>
      </c>
      <c r="M49">
        <v>531.63</v>
      </c>
      <c r="N49" s="3">
        <f t="shared" si="0"/>
        <v>45992</v>
      </c>
    </row>
    <row r="50" spans="1:14" x14ac:dyDescent="0.35">
      <c r="A50" t="s">
        <v>145</v>
      </c>
      <c r="B50" t="s">
        <v>146</v>
      </c>
      <c r="C50" t="s">
        <v>47</v>
      </c>
      <c r="D50" t="s">
        <v>33</v>
      </c>
      <c r="E50" t="s">
        <v>17</v>
      </c>
      <c r="F50" t="s">
        <v>37</v>
      </c>
      <c r="G50" t="s">
        <v>85</v>
      </c>
      <c r="H50">
        <v>18</v>
      </c>
      <c r="I50">
        <v>170</v>
      </c>
      <c r="J50">
        <v>3060</v>
      </c>
      <c r="K50" t="s">
        <v>29</v>
      </c>
      <c r="L50" t="s">
        <v>39</v>
      </c>
      <c r="M50">
        <v>441.02</v>
      </c>
      <c r="N50" s="3">
        <f t="shared" si="0"/>
        <v>45962</v>
      </c>
    </row>
    <row r="51" spans="1:14" x14ac:dyDescent="0.35">
      <c r="A51" t="s">
        <v>147</v>
      </c>
      <c r="B51" t="s">
        <v>148</v>
      </c>
      <c r="C51" t="s">
        <v>24</v>
      </c>
      <c r="D51" t="s">
        <v>42</v>
      </c>
      <c r="E51" t="s">
        <v>48</v>
      </c>
      <c r="F51" t="s">
        <v>27</v>
      </c>
      <c r="G51" t="s">
        <v>56</v>
      </c>
      <c r="H51">
        <v>13</v>
      </c>
      <c r="I51">
        <v>62.07</v>
      </c>
      <c r="J51">
        <v>806.91</v>
      </c>
      <c r="K51" t="s">
        <v>20</v>
      </c>
      <c r="L51" t="s">
        <v>50</v>
      </c>
      <c r="M51">
        <v>208.87</v>
      </c>
      <c r="N51" s="3">
        <f t="shared" si="0"/>
        <v>45778</v>
      </c>
    </row>
    <row r="52" spans="1:14" x14ac:dyDescent="0.35">
      <c r="A52" t="s">
        <v>149</v>
      </c>
      <c r="B52" t="s">
        <v>150</v>
      </c>
      <c r="C52" t="s">
        <v>32</v>
      </c>
      <c r="D52" t="s">
        <v>33</v>
      </c>
      <c r="E52" t="s">
        <v>26</v>
      </c>
      <c r="F52" t="s">
        <v>37</v>
      </c>
      <c r="G52" t="s">
        <v>96</v>
      </c>
      <c r="H52">
        <v>2</v>
      </c>
      <c r="I52">
        <v>95.51</v>
      </c>
      <c r="J52">
        <v>191.02</v>
      </c>
      <c r="K52" t="s">
        <v>29</v>
      </c>
      <c r="L52" t="s">
        <v>21</v>
      </c>
      <c r="M52">
        <v>65.819999999999993</v>
      </c>
      <c r="N52" s="3">
        <f t="shared" si="0"/>
        <v>45778</v>
      </c>
    </row>
    <row r="53" spans="1:14" x14ac:dyDescent="0.35">
      <c r="A53" t="s">
        <v>151</v>
      </c>
      <c r="B53" t="s">
        <v>152</v>
      </c>
      <c r="C53" t="s">
        <v>24</v>
      </c>
      <c r="D53" t="s">
        <v>116</v>
      </c>
      <c r="E53" t="s">
        <v>17</v>
      </c>
      <c r="F53" t="s">
        <v>37</v>
      </c>
      <c r="G53" t="s">
        <v>28</v>
      </c>
      <c r="H53">
        <v>20</v>
      </c>
      <c r="I53">
        <v>156.83000000000001</v>
      </c>
      <c r="J53">
        <v>3136.6</v>
      </c>
      <c r="K53" t="s">
        <v>29</v>
      </c>
      <c r="L53" t="s">
        <v>39</v>
      </c>
      <c r="M53">
        <v>1012.57</v>
      </c>
      <c r="N53" s="3">
        <f t="shared" si="0"/>
        <v>45992</v>
      </c>
    </row>
    <row r="54" spans="1:14" x14ac:dyDescent="0.35">
      <c r="A54" t="s">
        <v>153</v>
      </c>
      <c r="B54" t="s">
        <v>154</v>
      </c>
      <c r="C54" t="s">
        <v>24</v>
      </c>
      <c r="D54" t="s">
        <v>25</v>
      </c>
      <c r="E54" t="s">
        <v>17</v>
      </c>
      <c r="F54" t="s">
        <v>27</v>
      </c>
      <c r="G54" t="s">
        <v>19</v>
      </c>
      <c r="H54">
        <v>2</v>
      </c>
      <c r="I54">
        <v>979.72</v>
      </c>
      <c r="J54">
        <v>1959.44</v>
      </c>
      <c r="K54" t="s">
        <v>20</v>
      </c>
      <c r="L54" t="s">
        <v>34</v>
      </c>
      <c r="M54">
        <v>278.13</v>
      </c>
      <c r="N54" s="3">
        <f t="shared" si="0"/>
        <v>45717</v>
      </c>
    </row>
    <row r="55" spans="1:14" x14ac:dyDescent="0.35">
      <c r="A55" t="s">
        <v>155</v>
      </c>
      <c r="B55" t="s">
        <v>156</v>
      </c>
      <c r="C55" t="s">
        <v>47</v>
      </c>
      <c r="D55" t="s">
        <v>33</v>
      </c>
      <c r="E55" t="s">
        <v>43</v>
      </c>
      <c r="F55" t="s">
        <v>37</v>
      </c>
      <c r="G55" t="s">
        <v>28</v>
      </c>
      <c r="H55">
        <v>19</v>
      </c>
      <c r="I55">
        <v>820.65</v>
      </c>
      <c r="J55">
        <v>15592.35</v>
      </c>
      <c r="K55" t="s">
        <v>63</v>
      </c>
      <c r="L55" t="s">
        <v>21</v>
      </c>
      <c r="M55">
        <v>2501.44</v>
      </c>
      <c r="N55" s="3">
        <f t="shared" si="0"/>
        <v>45717</v>
      </c>
    </row>
    <row r="56" spans="1:14" x14ac:dyDescent="0.35">
      <c r="A56" t="s">
        <v>157</v>
      </c>
      <c r="B56" t="s">
        <v>158</v>
      </c>
      <c r="C56" t="s">
        <v>32</v>
      </c>
      <c r="D56" t="s">
        <v>42</v>
      </c>
      <c r="E56" t="s">
        <v>48</v>
      </c>
      <c r="F56" t="s">
        <v>27</v>
      </c>
      <c r="G56" t="s">
        <v>85</v>
      </c>
      <c r="H56">
        <v>8</v>
      </c>
      <c r="I56">
        <v>876.82</v>
      </c>
      <c r="J56">
        <v>7014.56</v>
      </c>
      <c r="K56" t="s">
        <v>82</v>
      </c>
      <c r="L56" t="s">
        <v>21</v>
      </c>
      <c r="M56">
        <v>1494.38</v>
      </c>
      <c r="N56" s="3">
        <f t="shared" si="0"/>
        <v>45778</v>
      </c>
    </row>
    <row r="57" spans="1:14" x14ac:dyDescent="0.35">
      <c r="A57" t="s">
        <v>159</v>
      </c>
      <c r="B57" t="s">
        <v>160</v>
      </c>
      <c r="C57" t="s">
        <v>32</v>
      </c>
      <c r="D57" t="s">
        <v>42</v>
      </c>
      <c r="E57" t="s">
        <v>48</v>
      </c>
      <c r="F57" t="s">
        <v>44</v>
      </c>
      <c r="G57" t="s">
        <v>28</v>
      </c>
      <c r="H57">
        <v>1</v>
      </c>
      <c r="I57">
        <v>565.1</v>
      </c>
      <c r="J57">
        <v>565.1</v>
      </c>
      <c r="K57" t="s">
        <v>66</v>
      </c>
      <c r="L57" t="s">
        <v>34</v>
      </c>
      <c r="M57">
        <v>74.959999999999994</v>
      </c>
      <c r="N57" s="3">
        <f t="shared" si="0"/>
        <v>45931</v>
      </c>
    </row>
    <row r="58" spans="1:14" x14ac:dyDescent="0.35">
      <c r="A58" t="s">
        <v>161</v>
      </c>
      <c r="B58" t="s">
        <v>162</v>
      </c>
      <c r="C58" t="s">
        <v>32</v>
      </c>
      <c r="D58" t="s">
        <v>42</v>
      </c>
      <c r="E58" t="s">
        <v>26</v>
      </c>
      <c r="F58" t="s">
        <v>37</v>
      </c>
      <c r="G58" t="s">
        <v>85</v>
      </c>
      <c r="H58">
        <v>16</v>
      </c>
      <c r="I58">
        <v>277.27999999999997</v>
      </c>
      <c r="J58">
        <v>4436.4799999999996</v>
      </c>
      <c r="K58" t="s">
        <v>82</v>
      </c>
      <c r="L58" t="s">
        <v>34</v>
      </c>
      <c r="M58">
        <v>653.57000000000005</v>
      </c>
      <c r="N58" s="3">
        <f t="shared" si="0"/>
        <v>45992</v>
      </c>
    </row>
    <row r="59" spans="1:14" x14ac:dyDescent="0.35">
      <c r="A59" t="s">
        <v>163</v>
      </c>
      <c r="B59" t="s">
        <v>164</v>
      </c>
      <c r="C59" t="s">
        <v>15</v>
      </c>
      <c r="D59" t="s">
        <v>74</v>
      </c>
      <c r="E59" t="s">
        <v>43</v>
      </c>
      <c r="F59" t="s">
        <v>27</v>
      </c>
      <c r="G59" t="s">
        <v>19</v>
      </c>
      <c r="H59">
        <v>5</v>
      </c>
      <c r="I59">
        <v>945.9</v>
      </c>
      <c r="J59">
        <v>4729.5</v>
      </c>
      <c r="K59" t="s">
        <v>20</v>
      </c>
      <c r="L59" t="s">
        <v>50</v>
      </c>
      <c r="M59">
        <v>1090.17</v>
      </c>
      <c r="N59" s="3">
        <f t="shared" si="0"/>
        <v>45658</v>
      </c>
    </row>
    <row r="60" spans="1:14" x14ac:dyDescent="0.35">
      <c r="A60" t="s">
        <v>165</v>
      </c>
      <c r="B60" t="s">
        <v>166</v>
      </c>
      <c r="C60" t="s">
        <v>47</v>
      </c>
      <c r="D60" t="s">
        <v>116</v>
      </c>
      <c r="E60" t="s">
        <v>17</v>
      </c>
      <c r="F60" t="s">
        <v>27</v>
      </c>
      <c r="G60" t="s">
        <v>96</v>
      </c>
      <c r="H60">
        <v>5</v>
      </c>
      <c r="I60">
        <v>556.79</v>
      </c>
      <c r="J60">
        <v>2783.95</v>
      </c>
      <c r="K60" t="s">
        <v>66</v>
      </c>
      <c r="L60" t="s">
        <v>39</v>
      </c>
      <c r="M60">
        <v>312.61</v>
      </c>
      <c r="N60" s="3">
        <f t="shared" si="0"/>
        <v>45748</v>
      </c>
    </row>
    <row r="61" spans="1:14" x14ac:dyDescent="0.35">
      <c r="A61" t="s">
        <v>167</v>
      </c>
      <c r="B61" t="s">
        <v>168</v>
      </c>
      <c r="C61" t="s">
        <v>47</v>
      </c>
      <c r="D61" t="s">
        <v>74</v>
      </c>
      <c r="E61" t="s">
        <v>43</v>
      </c>
      <c r="F61" t="s">
        <v>27</v>
      </c>
      <c r="G61" t="s">
        <v>96</v>
      </c>
      <c r="H61">
        <v>5</v>
      </c>
      <c r="I61">
        <v>11.23</v>
      </c>
      <c r="J61">
        <v>56.15</v>
      </c>
      <c r="K61" t="s">
        <v>63</v>
      </c>
      <c r="L61" t="s">
        <v>21</v>
      </c>
      <c r="M61">
        <v>5.81</v>
      </c>
      <c r="N61" s="3">
        <f t="shared" si="0"/>
        <v>45992</v>
      </c>
    </row>
    <row r="62" spans="1:14" x14ac:dyDescent="0.35">
      <c r="A62" t="s">
        <v>169</v>
      </c>
      <c r="B62" t="s">
        <v>170</v>
      </c>
      <c r="C62" t="s">
        <v>47</v>
      </c>
      <c r="D62" t="s">
        <v>33</v>
      </c>
      <c r="E62" t="s">
        <v>43</v>
      </c>
      <c r="F62" t="s">
        <v>27</v>
      </c>
      <c r="G62" t="s">
        <v>45</v>
      </c>
      <c r="H62">
        <v>17</v>
      </c>
      <c r="I62">
        <v>166.45</v>
      </c>
      <c r="J62">
        <v>2829.65</v>
      </c>
      <c r="K62" t="s">
        <v>82</v>
      </c>
      <c r="L62" t="s">
        <v>34</v>
      </c>
      <c r="M62">
        <v>486.47</v>
      </c>
      <c r="N62" s="3">
        <f t="shared" si="0"/>
        <v>45839</v>
      </c>
    </row>
    <row r="63" spans="1:14" x14ac:dyDescent="0.35">
      <c r="A63" t="s">
        <v>171</v>
      </c>
      <c r="B63" t="s">
        <v>172</v>
      </c>
      <c r="C63" t="s">
        <v>32</v>
      </c>
      <c r="D63" t="s">
        <v>74</v>
      </c>
      <c r="E63" t="s">
        <v>17</v>
      </c>
      <c r="F63" t="s">
        <v>18</v>
      </c>
      <c r="G63" t="s">
        <v>28</v>
      </c>
      <c r="H63">
        <v>1</v>
      </c>
      <c r="I63">
        <v>268.43</v>
      </c>
      <c r="J63">
        <v>268.43</v>
      </c>
      <c r="K63" t="s">
        <v>20</v>
      </c>
      <c r="L63" t="s">
        <v>21</v>
      </c>
      <c r="M63">
        <v>74.41</v>
      </c>
      <c r="N63" s="3">
        <f t="shared" si="0"/>
        <v>45748</v>
      </c>
    </row>
    <row r="64" spans="1:14" x14ac:dyDescent="0.35">
      <c r="A64" t="s">
        <v>173</v>
      </c>
      <c r="B64" t="s">
        <v>174</v>
      </c>
      <c r="C64" t="s">
        <v>32</v>
      </c>
      <c r="D64" t="s">
        <v>16</v>
      </c>
      <c r="E64" t="s">
        <v>26</v>
      </c>
      <c r="F64" t="s">
        <v>27</v>
      </c>
      <c r="G64" t="s">
        <v>56</v>
      </c>
      <c r="H64">
        <v>3</v>
      </c>
      <c r="I64">
        <v>510.38</v>
      </c>
      <c r="J64">
        <v>1531.14</v>
      </c>
      <c r="K64" t="s">
        <v>49</v>
      </c>
      <c r="L64" t="s">
        <v>39</v>
      </c>
      <c r="M64">
        <v>180.25</v>
      </c>
      <c r="N64" s="3">
        <f t="shared" si="0"/>
        <v>45992</v>
      </c>
    </row>
    <row r="65" spans="1:14" x14ac:dyDescent="0.35">
      <c r="A65" t="s">
        <v>175</v>
      </c>
      <c r="B65" t="s">
        <v>176</v>
      </c>
      <c r="C65" t="s">
        <v>15</v>
      </c>
      <c r="D65" t="s">
        <v>69</v>
      </c>
      <c r="E65" t="s">
        <v>48</v>
      </c>
      <c r="F65" t="s">
        <v>44</v>
      </c>
      <c r="G65" t="s">
        <v>56</v>
      </c>
      <c r="H65">
        <v>11</v>
      </c>
      <c r="I65">
        <v>182.03</v>
      </c>
      <c r="J65">
        <v>2002.33</v>
      </c>
      <c r="K65" t="s">
        <v>29</v>
      </c>
      <c r="L65" t="s">
        <v>77</v>
      </c>
      <c r="M65">
        <v>628.1</v>
      </c>
      <c r="N65" s="3">
        <f t="shared" si="0"/>
        <v>45778</v>
      </c>
    </row>
    <row r="66" spans="1:14" x14ac:dyDescent="0.35">
      <c r="A66" t="s">
        <v>177</v>
      </c>
      <c r="B66" t="s">
        <v>178</v>
      </c>
      <c r="C66" t="s">
        <v>32</v>
      </c>
      <c r="D66" t="s">
        <v>53</v>
      </c>
      <c r="E66" t="s">
        <v>17</v>
      </c>
      <c r="F66" t="s">
        <v>37</v>
      </c>
      <c r="G66" t="s">
        <v>56</v>
      </c>
      <c r="H66">
        <v>13</v>
      </c>
      <c r="I66">
        <v>384.41</v>
      </c>
      <c r="J66">
        <v>4997.33</v>
      </c>
      <c r="K66" t="s">
        <v>82</v>
      </c>
      <c r="L66" t="s">
        <v>21</v>
      </c>
      <c r="M66">
        <v>722.71</v>
      </c>
      <c r="N66" s="3">
        <f t="shared" si="0"/>
        <v>45901</v>
      </c>
    </row>
    <row r="67" spans="1:14" x14ac:dyDescent="0.35">
      <c r="A67" t="s">
        <v>179</v>
      </c>
      <c r="B67" t="s">
        <v>180</v>
      </c>
      <c r="C67" t="s">
        <v>32</v>
      </c>
      <c r="D67" t="s">
        <v>74</v>
      </c>
      <c r="E67" t="s">
        <v>26</v>
      </c>
      <c r="F67" t="s">
        <v>18</v>
      </c>
      <c r="G67" t="s">
        <v>85</v>
      </c>
      <c r="H67">
        <v>17</v>
      </c>
      <c r="I67">
        <v>188.05</v>
      </c>
      <c r="J67">
        <v>3196.85</v>
      </c>
      <c r="K67" t="s">
        <v>66</v>
      </c>
      <c r="L67" t="s">
        <v>21</v>
      </c>
      <c r="M67">
        <v>509.77</v>
      </c>
      <c r="N67" s="3">
        <f t="shared" ref="N67:N130" si="1">DATE(YEAR(B67),MONTH(B67),1)</f>
        <v>45870</v>
      </c>
    </row>
    <row r="68" spans="1:14" x14ac:dyDescent="0.35">
      <c r="A68" t="s">
        <v>181</v>
      </c>
      <c r="B68" t="s">
        <v>182</v>
      </c>
      <c r="C68" t="s">
        <v>47</v>
      </c>
      <c r="D68" t="s">
        <v>53</v>
      </c>
      <c r="E68" t="s">
        <v>17</v>
      </c>
      <c r="F68" t="s">
        <v>44</v>
      </c>
      <c r="G68" t="s">
        <v>28</v>
      </c>
      <c r="H68">
        <v>17</v>
      </c>
      <c r="I68">
        <v>809.7</v>
      </c>
      <c r="J68">
        <v>13764.9</v>
      </c>
      <c r="K68" t="s">
        <v>66</v>
      </c>
      <c r="L68" t="s">
        <v>50</v>
      </c>
      <c r="M68">
        <v>1600.02</v>
      </c>
      <c r="N68" s="3">
        <f t="shared" si="1"/>
        <v>45870</v>
      </c>
    </row>
    <row r="69" spans="1:14" x14ac:dyDescent="0.35">
      <c r="A69" t="s">
        <v>183</v>
      </c>
      <c r="B69" t="s">
        <v>184</v>
      </c>
      <c r="C69" t="s">
        <v>47</v>
      </c>
      <c r="D69" t="s">
        <v>116</v>
      </c>
      <c r="E69" t="s">
        <v>26</v>
      </c>
      <c r="F69" t="s">
        <v>18</v>
      </c>
      <c r="G69" t="s">
        <v>19</v>
      </c>
      <c r="H69">
        <v>18</v>
      </c>
      <c r="I69">
        <v>116.8</v>
      </c>
      <c r="J69">
        <v>2102.4</v>
      </c>
      <c r="K69" t="s">
        <v>20</v>
      </c>
      <c r="L69" t="s">
        <v>34</v>
      </c>
      <c r="M69">
        <v>670.97</v>
      </c>
      <c r="N69" s="3">
        <f t="shared" si="1"/>
        <v>45689</v>
      </c>
    </row>
    <row r="70" spans="1:14" x14ac:dyDescent="0.35">
      <c r="A70" t="s">
        <v>185</v>
      </c>
      <c r="B70" t="s">
        <v>186</v>
      </c>
      <c r="C70" t="s">
        <v>32</v>
      </c>
      <c r="D70" t="s">
        <v>25</v>
      </c>
      <c r="E70" t="s">
        <v>48</v>
      </c>
      <c r="F70" t="s">
        <v>44</v>
      </c>
      <c r="G70" t="s">
        <v>96</v>
      </c>
      <c r="H70">
        <v>2</v>
      </c>
      <c r="I70">
        <v>861.18</v>
      </c>
      <c r="J70">
        <v>1722.36</v>
      </c>
      <c r="K70" t="s">
        <v>63</v>
      </c>
      <c r="L70" t="s">
        <v>34</v>
      </c>
      <c r="M70">
        <v>556.44000000000005</v>
      </c>
      <c r="N70" s="3">
        <f t="shared" si="1"/>
        <v>45839</v>
      </c>
    </row>
    <row r="71" spans="1:14" x14ac:dyDescent="0.35">
      <c r="A71" t="s">
        <v>187</v>
      </c>
      <c r="B71" t="s">
        <v>144</v>
      </c>
      <c r="C71" t="s">
        <v>32</v>
      </c>
      <c r="D71" t="s">
        <v>74</v>
      </c>
      <c r="E71" t="s">
        <v>17</v>
      </c>
      <c r="F71" t="s">
        <v>37</v>
      </c>
      <c r="G71" t="s">
        <v>45</v>
      </c>
      <c r="H71">
        <v>2</v>
      </c>
      <c r="I71">
        <v>517.28</v>
      </c>
      <c r="J71">
        <v>1034.56</v>
      </c>
      <c r="K71" t="s">
        <v>63</v>
      </c>
      <c r="L71" t="s">
        <v>77</v>
      </c>
      <c r="M71">
        <v>254.04</v>
      </c>
      <c r="N71" s="3">
        <f t="shared" si="1"/>
        <v>45992</v>
      </c>
    </row>
    <row r="72" spans="1:14" x14ac:dyDescent="0.35">
      <c r="A72" t="s">
        <v>188</v>
      </c>
      <c r="B72" t="s">
        <v>189</v>
      </c>
      <c r="C72" t="s">
        <v>32</v>
      </c>
      <c r="D72" t="s">
        <v>16</v>
      </c>
      <c r="E72" t="s">
        <v>48</v>
      </c>
      <c r="F72" t="s">
        <v>18</v>
      </c>
      <c r="G72" t="s">
        <v>56</v>
      </c>
      <c r="H72">
        <v>20</v>
      </c>
      <c r="I72">
        <v>752.15</v>
      </c>
      <c r="J72">
        <v>15043</v>
      </c>
      <c r="K72" t="s">
        <v>82</v>
      </c>
      <c r="L72" t="s">
        <v>39</v>
      </c>
      <c r="M72">
        <v>2274.88</v>
      </c>
      <c r="N72" s="3">
        <f t="shared" si="1"/>
        <v>45901</v>
      </c>
    </row>
    <row r="73" spans="1:14" x14ac:dyDescent="0.35">
      <c r="A73" t="s">
        <v>190</v>
      </c>
      <c r="B73" t="s">
        <v>191</v>
      </c>
      <c r="C73" t="s">
        <v>32</v>
      </c>
      <c r="D73" t="s">
        <v>116</v>
      </c>
      <c r="E73" t="s">
        <v>48</v>
      </c>
      <c r="F73" t="s">
        <v>18</v>
      </c>
      <c r="G73" t="s">
        <v>85</v>
      </c>
      <c r="H73">
        <v>14</v>
      </c>
      <c r="I73">
        <v>96.94</v>
      </c>
      <c r="J73">
        <v>1357.16</v>
      </c>
      <c r="K73" t="s">
        <v>66</v>
      </c>
      <c r="L73" t="s">
        <v>34</v>
      </c>
      <c r="M73">
        <v>212.32</v>
      </c>
      <c r="N73" s="3">
        <f t="shared" si="1"/>
        <v>45839</v>
      </c>
    </row>
    <row r="74" spans="1:14" x14ac:dyDescent="0.35">
      <c r="A74" t="s">
        <v>192</v>
      </c>
      <c r="B74" t="s">
        <v>193</v>
      </c>
      <c r="C74" t="s">
        <v>24</v>
      </c>
      <c r="D74" t="s">
        <v>116</v>
      </c>
      <c r="E74" t="s">
        <v>26</v>
      </c>
      <c r="F74" t="s">
        <v>44</v>
      </c>
      <c r="G74" t="s">
        <v>105</v>
      </c>
      <c r="H74">
        <v>4</v>
      </c>
      <c r="I74">
        <v>698.95</v>
      </c>
      <c r="J74">
        <v>2795.8</v>
      </c>
      <c r="K74" t="s">
        <v>29</v>
      </c>
      <c r="L74" t="s">
        <v>39</v>
      </c>
      <c r="M74">
        <v>382.68</v>
      </c>
      <c r="N74" s="3">
        <f t="shared" si="1"/>
        <v>45748</v>
      </c>
    </row>
    <row r="75" spans="1:14" x14ac:dyDescent="0.35">
      <c r="A75" t="s">
        <v>194</v>
      </c>
      <c r="B75" t="s">
        <v>195</v>
      </c>
      <c r="C75" t="s">
        <v>32</v>
      </c>
      <c r="D75" t="s">
        <v>33</v>
      </c>
      <c r="E75" t="s">
        <v>43</v>
      </c>
      <c r="F75" t="s">
        <v>44</v>
      </c>
      <c r="G75" t="s">
        <v>28</v>
      </c>
      <c r="H75">
        <v>5</v>
      </c>
      <c r="I75">
        <v>757.39</v>
      </c>
      <c r="J75">
        <v>3786.95</v>
      </c>
      <c r="K75" t="s">
        <v>20</v>
      </c>
      <c r="L75" t="s">
        <v>77</v>
      </c>
      <c r="M75">
        <v>962.69</v>
      </c>
      <c r="N75" s="3">
        <f t="shared" si="1"/>
        <v>45689</v>
      </c>
    </row>
    <row r="76" spans="1:14" x14ac:dyDescent="0.35">
      <c r="A76" t="s">
        <v>196</v>
      </c>
      <c r="B76" t="s">
        <v>197</v>
      </c>
      <c r="C76" t="s">
        <v>24</v>
      </c>
      <c r="D76" t="s">
        <v>53</v>
      </c>
      <c r="E76" t="s">
        <v>48</v>
      </c>
      <c r="F76" t="s">
        <v>44</v>
      </c>
      <c r="G76" t="s">
        <v>85</v>
      </c>
      <c r="H76">
        <v>7</v>
      </c>
      <c r="I76">
        <v>300.47000000000003</v>
      </c>
      <c r="J76">
        <v>2103.29</v>
      </c>
      <c r="K76" t="s">
        <v>66</v>
      </c>
      <c r="L76" t="s">
        <v>21</v>
      </c>
      <c r="M76">
        <v>494.81</v>
      </c>
      <c r="N76" s="3">
        <f t="shared" si="1"/>
        <v>45870</v>
      </c>
    </row>
    <row r="77" spans="1:14" x14ac:dyDescent="0.35">
      <c r="A77" t="s">
        <v>198</v>
      </c>
      <c r="B77" t="s">
        <v>199</v>
      </c>
      <c r="C77" t="s">
        <v>24</v>
      </c>
      <c r="D77" t="s">
        <v>74</v>
      </c>
      <c r="E77" t="s">
        <v>43</v>
      </c>
      <c r="F77" t="s">
        <v>27</v>
      </c>
      <c r="G77" t="s">
        <v>85</v>
      </c>
      <c r="H77">
        <v>4</v>
      </c>
      <c r="I77">
        <v>706.79</v>
      </c>
      <c r="J77">
        <v>2827.16</v>
      </c>
      <c r="K77" t="s">
        <v>82</v>
      </c>
      <c r="L77" t="s">
        <v>39</v>
      </c>
      <c r="M77">
        <v>897.66</v>
      </c>
      <c r="N77" s="3">
        <f t="shared" si="1"/>
        <v>45870</v>
      </c>
    </row>
    <row r="78" spans="1:14" x14ac:dyDescent="0.35">
      <c r="A78" t="s">
        <v>200</v>
      </c>
      <c r="B78" t="s">
        <v>201</v>
      </c>
      <c r="C78" t="s">
        <v>15</v>
      </c>
      <c r="D78" t="s">
        <v>69</v>
      </c>
      <c r="E78" t="s">
        <v>48</v>
      </c>
      <c r="F78" t="s">
        <v>37</v>
      </c>
      <c r="G78" t="s">
        <v>19</v>
      </c>
      <c r="H78">
        <v>6</v>
      </c>
      <c r="I78">
        <v>869.16</v>
      </c>
      <c r="J78">
        <v>5214.96</v>
      </c>
      <c r="K78" t="s">
        <v>49</v>
      </c>
      <c r="L78" t="s">
        <v>77</v>
      </c>
      <c r="M78">
        <v>937.94</v>
      </c>
      <c r="N78" s="3">
        <f t="shared" si="1"/>
        <v>45992</v>
      </c>
    </row>
    <row r="79" spans="1:14" x14ac:dyDescent="0.35">
      <c r="A79" t="s">
        <v>202</v>
      </c>
      <c r="B79" t="s">
        <v>203</v>
      </c>
      <c r="C79" t="s">
        <v>24</v>
      </c>
      <c r="D79" t="s">
        <v>33</v>
      </c>
      <c r="E79" t="s">
        <v>48</v>
      </c>
      <c r="F79" t="s">
        <v>44</v>
      </c>
      <c r="G79" t="s">
        <v>96</v>
      </c>
      <c r="H79">
        <v>12</v>
      </c>
      <c r="I79">
        <v>878.87</v>
      </c>
      <c r="J79">
        <v>10546.44</v>
      </c>
      <c r="K79" t="s">
        <v>66</v>
      </c>
      <c r="L79" t="s">
        <v>21</v>
      </c>
      <c r="M79">
        <v>2969.82</v>
      </c>
      <c r="N79" s="3">
        <f t="shared" si="1"/>
        <v>45689</v>
      </c>
    </row>
    <row r="80" spans="1:14" x14ac:dyDescent="0.35">
      <c r="A80" t="s">
        <v>204</v>
      </c>
      <c r="B80" t="s">
        <v>205</v>
      </c>
      <c r="C80" t="s">
        <v>47</v>
      </c>
      <c r="D80" t="s">
        <v>74</v>
      </c>
      <c r="E80" t="s">
        <v>43</v>
      </c>
      <c r="F80" t="s">
        <v>37</v>
      </c>
      <c r="G80" t="s">
        <v>96</v>
      </c>
      <c r="H80">
        <v>6</v>
      </c>
      <c r="I80">
        <v>544.59</v>
      </c>
      <c r="J80">
        <v>3267.54</v>
      </c>
      <c r="K80" t="s">
        <v>20</v>
      </c>
      <c r="L80" t="s">
        <v>21</v>
      </c>
      <c r="M80">
        <v>858.9</v>
      </c>
      <c r="N80" s="3">
        <f t="shared" si="1"/>
        <v>45658</v>
      </c>
    </row>
    <row r="81" spans="1:14" x14ac:dyDescent="0.35">
      <c r="A81" t="s">
        <v>206</v>
      </c>
      <c r="B81" t="s">
        <v>207</v>
      </c>
      <c r="C81" t="s">
        <v>24</v>
      </c>
      <c r="D81" t="s">
        <v>25</v>
      </c>
      <c r="E81" t="s">
        <v>17</v>
      </c>
      <c r="F81" t="s">
        <v>27</v>
      </c>
      <c r="G81" t="s">
        <v>28</v>
      </c>
      <c r="H81">
        <v>12</v>
      </c>
      <c r="I81">
        <v>960.21</v>
      </c>
      <c r="J81">
        <v>11522.52</v>
      </c>
      <c r="K81" t="s">
        <v>49</v>
      </c>
      <c r="L81" t="s">
        <v>50</v>
      </c>
      <c r="M81">
        <v>1789.05</v>
      </c>
      <c r="N81" s="3">
        <f t="shared" si="1"/>
        <v>45992</v>
      </c>
    </row>
    <row r="82" spans="1:14" x14ac:dyDescent="0.35">
      <c r="A82" t="s">
        <v>208</v>
      </c>
      <c r="B82" t="s">
        <v>209</v>
      </c>
      <c r="C82" t="s">
        <v>15</v>
      </c>
      <c r="D82" t="s">
        <v>116</v>
      </c>
      <c r="E82" t="s">
        <v>43</v>
      </c>
      <c r="F82" t="s">
        <v>18</v>
      </c>
      <c r="G82" t="s">
        <v>85</v>
      </c>
      <c r="H82">
        <v>19</v>
      </c>
      <c r="I82">
        <v>700.55</v>
      </c>
      <c r="J82">
        <v>13310.45</v>
      </c>
      <c r="K82" t="s">
        <v>66</v>
      </c>
      <c r="L82" t="s">
        <v>39</v>
      </c>
      <c r="M82">
        <v>2041.45</v>
      </c>
      <c r="N82" s="3">
        <f t="shared" si="1"/>
        <v>45778</v>
      </c>
    </row>
    <row r="83" spans="1:14" x14ac:dyDescent="0.35">
      <c r="A83" t="s">
        <v>210</v>
      </c>
      <c r="B83" t="s">
        <v>211</v>
      </c>
      <c r="C83" t="s">
        <v>47</v>
      </c>
      <c r="D83" t="s">
        <v>53</v>
      </c>
      <c r="E83" t="s">
        <v>48</v>
      </c>
      <c r="F83" t="s">
        <v>37</v>
      </c>
      <c r="G83" t="s">
        <v>105</v>
      </c>
      <c r="H83">
        <v>16</v>
      </c>
      <c r="I83">
        <v>900.75</v>
      </c>
      <c r="J83">
        <v>14412</v>
      </c>
      <c r="K83" t="s">
        <v>66</v>
      </c>
      <c r="L83" t="s">
        <v>34</v>
      </c>
      <c r="M83">
        <v>4954.96</v>
      </c>
      <c r="N83" s="3">
        <f t="shared" si="1"/>
        <v>45839</v>
      </c>
    </row>
    <row r="84" spans="1:14" x14ac:dyDescent="0.35">
      <c r="A84" t="s">
        <v>212</v>
      </c>
      <c r="B84" t="s">
        <v>213</v>
      </c>
      <c r="C84" t="s">
        <v>24</v>
      </c>
      <c r="D84" t="s">
        <v>25</v>
      </c>
      <c r="E84" t="s">
        <v>43</v>
      </c>
      <c r="F84" t="s">
        <v>37</v>
      </c>
      <c r="G84" t="s">
        <v>96</v>
      </c>
      <c r="H84">
        <v>2</v>
      </c>
      <c r="I84">
        <v>19.88</v>
      </c>
      <c r="J84">
        <v>39.76</v>
      </c>
      <c r="K84" t="s">
        <v>66</v>
      </c>
      <c r="L84" t="s">
        <v>34</v>
      </c>
      <c r="M84">
        <v>10.69</v>
      </c>
      <c r="N84" s="3">
        <f t="shared" si="1"/>
        <v>45962</v>
      </c>
    </row>
    <row r="85" spans="1:14" x14ac:dyDescent="0.35">
      <c r="A85" t="s">
        <v>214</v>
      </c>
      <c r="B85" t="s">
        <v>215</v>
      </c>
      <c r="C85" t="s">
        <v>24</v>
      </c>
      <c r="D85" t="s">
        <v>116</v>
      </c>
      <c r="E85" t="s">
        <v>48</v>
      </c>
      <c r="F85" t="s">
        <v>27</v>
      </c>
      <c r="G85" t="s">
        <v>45</v>
      </c>
      <c r="H85">
        <v>4</v>
      </c>
      <c r="I85">
        <v>496.75</v>
      </c>
      <c r="J85">
        <v>1987</v>
      </c>
      <c r="K85" t="s">
        <v>66</v>
      </c>
      <c r="L85" t="s">
        <v>21</v>
      </c>
      <c r="M85">
        <v>694.83</v>
      </c>
      <c r="N85" s="3">
        <f t="shared" si="1"/>
        <v>45658</v>
      </c>
    </row>
    <row r="86" spans="1:14" x14ac:dyDescent="0.35">
      <c r="A86" t="s">
        <v>216</v>
      </c>
      <c r="B86" t="s">
        <v>100</v>
      </c>
      <c r="C86" t="s">
        <v>24</v>
      </c>
      <c r="D86" t="s">
        <v>42</v>
      </c>
      <c r="E86" t="s">
        <v>48</v>
      </c>
      <c r="F86" t="s">
        <v>37</v>
      </c>
      <c r="G86" t="s">
        <v>38</v>
      </c>
      <c r="H86">
        <v>3</v>
      </c>
      <c r="I86">
        <v>946.42</v>
      </c>
      <c r="J86">
        <v>2839.26</v>
      </c>
      <c r="K86" t="s">
        <v>63</v>
      </c>
      <c r="L86" t="s">
        <v>50</v>
      </c>
      <c r="M86">
        <v>563.54999999999995</v>
      </c>
      <c r="N86" s="3">
        <f t="shared" si="1"/>
        <v>45962</v>
      </c>
    </row>
    <row r="87" spans="1:14" x14ac:dyDescent="0.35">
      <c r="A87" t="s">
        <v>217</v>
      </c>
      <c r="B87" t="s">
        <v>218</v>
      </c>
      <c r="C87" t="s">
        <v>47</v>
      </c>
      <c r="D87" t="s">
        <v>116</v>
      </c>
      <c r="E87" t="s">
        <v>48</v>
      </c>
      <c r="F87" t="s">
        <v>18</v>
      </c>
      <c r="G87" t="s">
        <v>105</v>
      </c>
      <c r="H87">
        <v>6</v>
      </c>
      <c r="I87">
        <v>961.19</v>
      </c>
      <c r="J87">
        <v>5767.14</v>
      </c>
      <c r="K87" t="s">
        <v>82</v>
      </c>
      <c r="L87" t="s">
        <v>50</v>
      </c>
      <c r="M87">
        <v>760.62</v>
      </c>
      <c r="N87" s="3">
        <f t="shared" si="1"/>
        <v>45839</v>
      </c>
    </row>
    <row r="88" spans="1:14" x14ac:dyDescent="0.35">
      <c r="A88" t="s">
        <v>219</v>
      </c>
      <c r="B88" t="s">
        <v>220</v>
      </c>
      <c r="C88" t="s">
        <v>47</v>
      </c>
      <c r="D88" t="s">
        <v>33</v>
      </c>
      <c r="E88" t="s">
        <v>17</v>
      </c>
      <c r="F88" t="s">
        <v>18</v>
      </c>
      <c r="G88" t="s">
        <v>38</v>
      </c>
      <c r="H88">
        <v>11</v>
      </c>
      <c r="I88">
        <v>814.68</v>
      </c>
      <c r="J88">
        <v>8961.48</v>
      </c>
      <c r="K88" t="s">
        <v>66</v>
      </c>
      <c r="L88" t="s">
        <v>39</v>
      </c>
      <c r="M88">
        <v>1806.81</v>
      </c>
      <c r="N88" s="3">
        <f t="shared" si="1"/>
        <v>45809</v>
      </c>
    </row>
    <row r="89" spans="1:14" x14ac:dyDescent="0.35">
      <c r="A89" t="s">
        <v>221</v>
      </c>
      <c r="B89" t="s">
        <v>123</v>
      </c>
      <c r="C89" t="s">
        <v>32</v>
      </c>
      <c r="D89" t="s">
        <v>33</v>
      </c>
      <c r="E89" t="s">
        <v>17</v>
      </c>
      <c r="F89" t="s">
        <v>27</v>
      </c>
      <c r="G89" t="s">
        <v>96</v>
      </c>
      <c r="H89">
        <v>17</v>
      </c>
      <c r="I89">
        <v>568.75</v>
      </c>
      <c r="J89">
        <v>9668.75</v>
      </c>
      <c r="K89" t="s">
        <v>29</v>
      </c>
      <c r="L89" t="s">
        <v>21</v>
      </c>
      <c r="M89">
        <v>1599.56</v>
      </c>
      <c r="N89" s="3">
        <f t="shared" si="1"/>
        <v>45901</v>
      </c>
    </row>
    <row r="90" spans="1:14" x14ac:dyDescent="0.35">
      <c r="A90" t="s">
        <v>222</v>
      </c>
      <c r="B90" t="s">
        <v>223</v>
      </c>
      <c r="C90" t="s">
        <v>15</v>
      </c>
      <c r="D90" t="s">
        <v>33</v>
      </c>
      <c r="E90" t="s">
        <v>17</v>
      </c>
      <c r="F90" t="s">
        <v>27</v>
      </c>
      <c r="G90" t="s">
        <v>45</v>
      </c>
      <c r="H90">
        <v>12</v>
      </c>
      <c r="I90">
        <v>96.71</v>
      </c>
      <c r="J90">
        <v>1160.52</v>
      </c>
      <c r="K90" t="s">
        <v>29</v>
      </c>
      <c r="L90" t="s">
        <v>77</v>
      </c>
      <c r="M90">
        <v>329.74</v>
      </c>
      <c r="N90" s="3">
        <f t="shared" si="1"/>
        <v>45658</v>
      </c>
    </row>
    <row r="91" spans="1:14" x14ac:dyDescent="0.35">
      <c r="A91" t="s">
        <v>224</v>
      </c>
      <c r="B91" t="s">
        <v>225</v>
      </c>
      <c r="C91" t="s">
        <v>24</v>
      </c>
      <c r="D91" t="s">
        <v>74</v>
      </c>
      <c r="E91" t="s">
        <v>43</v>
      </c>
      <c r="F91" t="s">
        <v>18</v>
      </c>
      <c r="G91" t="s">
        <v>105</v>
      </c>
      <c r="H91">
        <v>9</v>
      </c>
      <c r="I91">
        <v>783.55</v>
      </c>
      <c r="J91">
        <v>7051.95</v>
      </c>
      <c r="K91" t="s">
        <v>29</v>
      </c>
      <c r="L91" t="s">
        <v>77</v>
      </c>
      <c r="M91">
        <v>1748.69</v>
      </c>
      <c r="N91" s="3">
        <f t="shared" si="1"/>
        <v>45870</v>
      </c>
    </row>
    <row r="92" spans="1:14" x14ac:dyDescent="0.35">
      <c r="A92" t="s">
        <v>226</v>
      </c>
      <c r="B92" t="s">
        <v>227</v>
      </c>
      <c r="C92" t="s">
        <v>47</v>
      </c>
      <c r="D92" t="s">
        <v>53</v>
      </c>
      <c r="E92" t="s">
        <v>48</v>
      </c>
      <c r="F92" t="s">
        <v>27</v>
      </c>
      <c r="G92" t="s">
        <v>56</v>
      </c>
      <c r="H92">
        <v>20</v>
      </c>
      <c r="I92">
        <v>468.64</v>
      </c>
      <c r="J92">
        <v>9372.7999999999993</v>
      </c>
      <c r="K92" t="s">
        <v>20</v>
      </c>
      <c r="L92" t="s">
        <v>39</v>
      </c>
      <c r="M92">
        <v>2981.3</v>
      </c>
      <c r="N92" s="3">
        <f t="shared" si="1"/>
        <v>45870</v>
      </c>
    </row>
    <row r="93" spans="1:14" x14ac:dyDescent="0.35">
      <c r="A93" t="s">
        <v>228</v>
      </c>
      <c r="B93" t="s">
        <v>229</v>
      </c>
      <c r="C93" t="s">
        <v>47</v>
      </c>
      <c r="D93" t="s">
        <v>42</v>
      </c>
      <c r="E93" t="s">
        <v>48</v>
      </c>
      <c r="F93" t="s">
        <v>37</v>
      </c>
      <c r="G93" t="s">
        <v>85</v>
      </c>
      <c r="H93">
        <v>5</v>
      </c>
      <c r="I93">
        <v>702.22</v>
      </c>
      <c r="J93">
        <v>3511.1</v>
      </c>
      <c r="K93" t="s">
        <v>49</v>
      </c>
      <c r="L93" t="s">
        <v>77</v>
      </c>
      <c r="M93">
        <v>957.43</v>
      </c>
      <c r="N93" s="3">
        <f t="shared" si="1"/>
        <v>45809</v>
      </c>
    </row>
    <row r="94" spans="1:14" x14ac:dyDescent="0.35">
      <c r="A94" t="s">
        <v>230</v>
      </c>
      <c r="B94" t="s">
        <v>231</v>
      </c>
      <c r="C94" t="s">
        <v>24</v>
      </c>
      <c r="D94" t="s">
        <v>74</v>
      </c>
      <c r="E94" t="s">
        <v>17</v>
      </c>
      <c r="F94" t="s">
        <v>18</v>
      </c>
      <c r="G94" t="s">
        <v>85</v>
      </c>
      <c r="H94">
        <v>2</v>
      </c>
      <c r="I94">
        <v>951.71</v>
      </c>
      <c r="J94">
        <v>1903.42</v>
      </c>
      <c r="K94" t="s">
        <v>66</v>
      </c>
      <c r="L94" t="s">
        <v>39</v>
      </c>
      <c r="M94">
        <v>537.85</v>
      </c>
      <c r="N94" s="3">
        <f t="shared" si="1"/>
        <v>45809</v>
      </c>
    </row>
    <row r="95" spans="1:14" x14ac:dyDescent="0.35">
      <c r="A95" t="s">
        <v>232</v>
      </c>
      <c r="B95" t="s">
        <v>233</v>
      </c>
      <c r="C95" t="s">
        <v>24</v>
      </c>
      <c r="D95" t="s">
        <v>53</v>
      </c>
      <c r="E95" t="s">
        <v>43</v>
      </c>
      <c r="F95" t="s">
        <v>27</v>
      </c>
      <c r="G95" t="s">
        <v>45</v>
      </c>
      <c r="H95">
        <v>20</v>
      </c>
      <c r="I95">
        <v>472.84</v>
      </c>
      <c r="J95">
        <v>9456.7999999999993</v>
      </c>
      <c r="K95" t="s">
        <v>20</v>
      </c>
      <c r="L95" t="s">
        <v>21</v>
      </c>
      <c r="M95">
        <v>2641.43</v>
      </c>
      <c r="N95" s="3">
        <f t="shared" si="1"/>
        <v>45748</v>
      </c>
    </row>
    <row r="96" spans="1:14" x14ac:dyDescent="0.35">
      <c r="A96" t="s">
        <v>234</v>
      </c>
      <c r="B96" t="s">
        <v>235</v>
      </c>
      <c r="C96" t="s">
        <v>32</v>
      </c>
      <c r="D96" t="s">
        <v>33</v>
      </c>
      <c r="E96" t="s">
        <v>17</v>
      </c>
      <c r="F96" t="s">
        <v>27</v>
      </c>
      <c r="G96" t="s">
        <v>96</v>
      </c>
      <c r="H96">
        <v>3</v>
      </c>
      <c r="I96">
        <v>393.31</v>
      </c>
      <c r="J96">
        <v>1179.93</v>
      </c>
      <c r="K96" t="s">
        <v>82</v>
      </c>
      <c r="L96" t="s">
        <v>39</v>
      </c>
      <c r="M96">
        <v>145.08000000000001</v>
      </c>
      <c r="N96" s="3">
        <f t="shared" si="1"/>
        <v>45809</v>
      </c>
    </row>
    <row r="97" spans="1:14" x14ac:dyDescent="0.35">
      <c r="A97" t="s">
        <v>236</v>
      </c>
      <c r="B97" t="s">
        <v>237</v>
      </c>
      <c r="C97" t="s">
        <v>47</v>
      </c>
      <c r="D97" t="s">
        <v>16</v>
      </c>
      <c r="E97" t="s">
        <v>43</v>
      </c>
      <c r="F97" t="s">
        <v>44</v>
      </c>
      <c r="G97" t="s">
        <v>45</v>
      </c>
      <c r="H97">
        <v>15</v>
      </c>
      <c r="I97">
        <v>493.38</v>
      </c>
      <c r="J97">
        <v>7400.7</v>
      </c>
      <c r="K97" t="s">
        <v>29</v>
      </c>
      <c r="L97" t="s">
        <v>50</v>
      </c>
      <c r="M97">
        <v>1537.99</v>
      </c>
      <c r="N97" s="3">
        <f t="shared" si="1"/>
        <v>45962</v>
      </c>
    </row>
    <row r="98" spans="1:14" x14ac:dyDescent="0.35">
      <c r="A98" t="s">
        <v>238</v>
      </c>
      <c r="B98" t="s">
        <v>154</v>
      </c>
      <c r="C98" t="s">
        <v>32</v>
      </c>
      <c r="D98" t="s">
        <v>53</v>
      </c>
      <c r="E98" t="s">
        <v>43</v>
      </c>
      <c r="F98" t="s">
        <v>37</v>
      </c>
      <c r="G98" t="s">
        <v>85</v>
      </c>
      <c r="H98">
        <v>6</v>
      </c>
      <c r="I98">
        <v>387.41</v>
      </c>
      <c r="J98">
        <v>2324.46</v>
      </c>
      <c r="K98" t="s">
        <v>63</v>
      </c>
      <c r="L98" t="s">
        <v>50</v>
      </c>
      <c r="M98">
        <v>393.15</v>
      </c>
      <c r="N98" s="3">
        <f t="shared" si="1"/>
        <v>45717</v>
      </c>
    </row>
    <row r="99" spans="1:14" x14ac:dyDescent="0.35">
      <c r="A99" t="s">
        <v>239</v>
      </c>
      <c r="B99" t="s">
        <v>240</v>
      </c>
      <c r="C99" t="s">
        <v>15</v>
      </c>
      <c r="D99" t="s">
        <v>42</v>
      </c>
      <c r="E99" t="s">
        <v>26</v>
      </c>
      <c r="F99" t="s">
        <v>18</v>
      </c>
      <c r="G99" t="s">
        <v>38</v>
      </c>
      <c r="H99">
        <v>8</v>
      </c>
      <c r="I99">
        <v>944.49</v>
      </c>
      <c r="J99">
        <v>7555.92</v>
      </c>
      <c r="K99" t="s">
        <v>49</v>
      </c>
      <c r="L99" t="s">
        <v>34</v>
      </c>
      <c r="M99">
        <v>1302.81</v>
      </c>
      <c r="N99" s="3">
        <f t="shared" si="1"/>
        <v>45717</v>
      </c>
    </row>
    <row r="100" spans="1:14" x14ac:dyDescent="0.35">
      <c r="A100" t="s">
        <v>241</v>
      </c>
      <c r="B100" t="s">
        <v>242</v>
      </c>
      <c r="C100" t="s">
        <v>32</v>
      </c>
      <c r="D100" t="s">
        <v>33</v>
      </c>
      <c r="E100" t="s">
        <v>26</v>
      </c>
      <c r="F100" t="s">
        <v>37</v>
      </c>
      <c r="G100" t="s">
        <v>105</v>
      </c>
      <c r="H100">
        <v>9</v>
      </c>
      <c r="I100">
        <v>717.69</v>
      </c>
      <c r="J100">
        <v>6459.21</v>
      </c>
      <c r="K100" t="s">
        <v>82</v>
      </c>
      <c r="L100" t="s">
        <v>77</v>
      </c>
      <c r="M100">
        <v>1568.57</v>
      </c>
      <c r="N100" s="3">
        <f t="shared" si="1"/>
        <v>45839</v>
      </c>
    </row>
    <row r="101" spans="1:14" x14ac:dyDescent="0.35">
      <c r="A101" t="s">
        <v>243</v>
      </c>
      <c r="B101" t="s">
        <v>244</v>
      </c>
      <c r="C101" t="s">
        <v>47</v>
      </c>
      <c r="D101" t="s">
        <v>16</v>
      </c>
      <c r="E101" t="s">
        <v>43</v>
      </c>
      <c r="F101" t="s">
        <v>37</v>
      </c>
      <c r="G101" t="s">
        <v>38</v>
      </c>
      <c r="H101">
        <v>8</v>
      </c>
      <c r="I101">
        <v>507.97</v>
      </c>
      <c r="J101">
        <v>4063.76</v>
      </c>
      <c r="K101" t="s">
        <v>20</v>
      </c>
      <c r="L101" t="s">
        <v>77</v>
      </c>
      <c r="M101">
        <v>443.68</v>
      </c>
      <c r="N101" s="3">
        <f t="shared" si="1"/>
        <v>45839</v>
      </c>
    </row>
    <row r="102" spans="1:14" x14ac:dyDescent="0.35">
      <c r="A102" t="s">
        <v>245</v>
      </c>
      <c r="B102" t="s">
        <v>119</v>
      </c>
      <c r="C102" t="s">
        <v>32</v>
      </c>
      <c r="D102" t="s">
        <v>116</v>
      </c>
      <c r="E102" t="s">
        <v>43</v>
      </c>
      <c r="F102" t="s">
        <v>37</v>
      </c>
      <c r="G102" t="s">
        <v>38</v>
      </c>
      <c r="H102">
        <v>7</v>
      </c>
      <c r="I102">
        <v>835.05</v>
      </c>
      <c r="J102">
        <v>5845.35</v>
      </c>
      <c r="K102" t="s">
        <v>63</v>
      </c>
      <c r="L102" t="s">
        <v>39</v>
      </c>
      <c r="M102">
        <v>622.22</v>
      </c>
      <c r="N102" s="3">
        <f t="shared" si="1"/>
        <v>45717</v>
      </c>
    </row>
    <row r="103" spans="1:14" x14ac:dyDescent="0.35">
      <c r="A103" t="s">
        <v>246</v>
      </c>
      <c r="B103" t="s">
        <v>189</v>
      </c>
      <c r="C103" t="s">
        <v>32</v>
      </c>
      <c r="D103" t="s">
        <v>25</v>
      </c>
      <c r="E103" t="s">
        <v>17</v>
      </c>
      <c r="F103" t="s">
        <v>27</v>
      </c>
      <c r="G103" t="s">
        <v>96</v>
      </c>
      <c r="H103">
        <v>19</v>
      </c>
      <c r="I103">
        <v>411.21</v>
      </c>
      <c r="J103">
        <v>7812.99</v>
      </c>
      <c r="K103" t="s">
        <v>82</v>
      </c>
      <c r="L103" t="s">
        <v>21</v>
      </c>
      <c r="M103">
        <v>1075.8</v>
      </c>
      <c r="N103" s="3">
        <f t="shared" si="1"/>
        <v>45901</v>
      </c>
    </row>
    <row r="104" spans="1:14" x14ac:dyDescent="0.35">
      <c r="A104" t="s">
        <v>247</v>
      </c>
      <c r="B104" t="s">
        <v>248</v>
      </c>
      <c r="C104" t="s">
        <v>15</v>
      </c>
      <c r="D104" t="s">
        <v>53</v>
      </c>
      <c r="E104" t="s">
        <v>48</v>
      </c>
      <c r="F104" t="s">
        <v>37</v>
      </c>
      <c r="G104" t="s">
        <v>38</v>
      </c>
      <c r="H104">
        <v>8</v>
      </c>
      <c r="I104">
        <v>844.04</v>
      </c>
      <c r="J104">
        <v>6752.32</v>
      </c>
      <c r="K104" t="s">
        <v>63</v>
      </c>
      <c r="L104" t="s">
        <v>34</v>
      </c>
      <c r="M104">
        <v>1024.1099999999999</v>
      </c>
      <c r="N104" s="3">
        <f t="shared" si="1"/>
        <v>45962</v>
      </c>
    </row>
    <row r="105" spans="1:14" x14ac:dyDescent="0.35">
      <c r="A105" t="s">
        <v>249</v>
      </c>
      <c r="B105" t="s">
        <v>100</v>
      </c>
      <c r="C105" t="s">
        <v>47</v>
      </c>
      <c r="D105" t="s">
        <v>33</v>
      </c>
      <c r="E105" t="s">
        <v>43</v>
      </c>
      <c r="F105" t="s">
        <v>44</v>
      </c>
      <c r="G105" t="s">
        <v>38</v>
      </c>
      <c r="H105">
        <v>18</v>
      </c>
      <c r="I105">
        <v>654.08000000000004</v>
      </c>
      <c r="J105">
        <v>11773.44</v>
      </c>
      <c r="K105" t="s">
        <v>20</v>
      </c>
      <c r="L105" t="s">
        <v>39</v>
      </c>
      <c r="M105">
        <v>3790.71</v>
      </c>
      <c r="N105" s="3">
        <f t="shared" si="1"/>
        <v>45962</v>
      </c>
    </row>
    <row r="106" spans="1:14" x14ac:dyDescent="0.35">
      <c r="A106" t="s">
        <v>250</v>
      </c>
      <c r="B106" t="s">
        <v>36</v>
      </c>
      <c r="C106" t="s">
        <v>32</v>
      </c>
      <c r="D106" t="s">
        <v>25</v>
      </c>
      <c r="E106" t="s">
        <v>26</v>
      </c>
      <c r="F106" t="s">
        <v>44</v>
      </c>
      <c r="G106" t="s">
        <v>45</v>
      </c>
      <c r="H106">
        <v>2</v>
      </c>
      <c r="I106">
        <v>344.18</v>
      </c>
      <c r="J106">
        <v>688.36</v>
      </c>
      <c r="K106" t="s">
        <v>49</v>
      </c>
      <c r="L106" t="s">
        <v>34</v>
      </c>
      <c r="M106">
        <v>72.760000000000005</v>
      </c>
      <c r="N106" s="3">
        <f t="shared" si="1"/>
        <v>46023</v>
      </c>
    </row>
    <row r="107" spans="1:14" x14ac:dyDescent="0.35">
      <c r="A107" t="s">
        <v>251</v>
      </c>
      <c r="B107" t="s">
        <v>252</v>
      </c>
      <c r="C107" t="s">
        <v>47</v>
      </c>
      <c r="D107" t="s">
        <v>69</v>
      </c>
      <c r="E107" t="s">
        <v>48</v>
      </c>
      <c r="F107" t="s">
        <v>27</v>
      </c>
      <c r="G107" t="s">
        <v>105</v>
      </c>
      <c r="H107">
        <v>18</v>
      </c>
      <c r="I107">
        <v>672.22</v>
      </c>
      <c r="J107">
        <v>12099.96</v>
      </c>
      <c r="K107" t="s">
        <v>20</v>
      </c>
      <c r="L107" t="s">
        <v>34</v>
      </c>
      <c r="M107">
        <v>2625.57</v>
      </c>
      <c r="N107" s="3">
        <f t="shared" si="1"/>
        <v>45717</v>
      </c>
    </row>
    <row r="108" spans="1:14" x14ac:dyDescent="0.35">
      <c r="A108" t="s">
        <v>253</v>
      </c>
      <c r="B108" t="s">
        <v>174</v>
      </c>
      <c r="C108" t="s">
        <v>15</v>
      </c>
      <c r="D108" t="s">
        <v>16</v>
      </c>
      <c r="E108" t="s">
        <v>17</v>
      </c>
      <c r="F108" t="s">
        <v>18</v>
      </c>
      <c r="G108" t="s">
        <v>56</v>
      </c>
      <c r="H108">
        <v>17</v>
      </c>
      <c r="I108">
        <v>573.07000000000005</v>
      </c>
      <c r="J108">
        <v>9742.19</v>
      </c>
      <c r="K108" t="s">
        <v>66</v>
      </c>
      <c r="L108" t="s">
        <v>21</v>
      </c>
      <c r="M108">
        <v>1794.99</v>
      </c>
      <c r="N108" s="3">
        <f t="shared" si="1"/>
        <v>45992</v>
      </c>
    </row>
    <row r="109" spans="1:14" x14ac:dyDescent="0.35">
      <c r="A109" t="s">
        <v>254</v>
      </c>
      <c r="B109" t="s">
        <v>62</v>
      </c>
      <c r="C109" t="s">
        <v>32</v>
      </c>
      <c r="D109" t="s">
        <v>16</v>
      </c>
      <c r="E109" t="s">
        <v>48</v>
      </c>
      <c r="F109" t="s">
        <v>37</v>
      </c>
      <c r="G109" t="s">
        <v>28</v>
      </c>
      <c r="H109">
        <v>17</v>
      </c>
      <c r="I109">
        <v>600.66999999999996</v>
      </c>
      <c r="J109">
        <v>10211.39</v>
      </c>
      <c r="K109" t="s">
        <v>82</v>
      </c>
      <c r="L109" t="s">
        <v>39</v>
      </c>
      <c r="M109">
        <v>2833.97</v>
      </c>
      <c r="N109" s="3">
        <f t="shared" si="1"/>
        <v>45748</v>
      </c>
    </row>
    <row r="110" spans="1:14" x14ac:dyDescent="0.35">
      <c r="A110" t="s">
        <v>255</v>
      </c>
      <c r="B110" t="s">
        <v>176</v>
      </c>
      <c r="C110" t="s">
        <v>15</v>
      </c>
      <c r="D110" t="s">
        <v>53</v>
      </c>
      <c r="E110" t="s">
        <v>48</v>
      </c>
      <c r="F110" t="s">
        <v>27</v>
      </c>
      <c r="G110" t="s">
        <v>85</v>
      </c>
      <c r="H110">
        <v>16</v>
      </c>
      <c r="I110">
        <v>993.04</v>
      </c>
      <c r="J110">
        <v>15888.64</v>
      </c>
      <c r="K110" t="s">
        <v>66</v>
      </c>
      <c r="L110" t="s">
        <v>50</v>
      </c>
      <c r="M110">
        <v>4225.91</v>
      </c>
      <c r="N110" s="3">
        <f t="shared" si="1"/>
        <v>45778</v>
      </c>
    </row>
    <row r="111" spans="1:14" x14ac:dyDescent="0.35">
      <c r="A111" t="s">
        <v>256</v>
      </c>
      <c r="B111" t="s">
        <v>257</v>
      </c>
      <c r="C111" t="s">
        <v>32</v>
      </c>
      <c r="D111" t="s">
        <v>33</v>
      </c>
      <c r="E111" t="s">
        <v>26</v>
      </c>
      <c r="F111" t="s">
        <v>18</v>
      </c>
      <c r="G111" t="s">
        <v>96</v>
      </c>
      <c r="H111">
        <v>16</v>
      </c>
      <c r="I111">
        <v>492.17</v>
      </c>
      <c r="J111">
        <v>7874.72</v>
      </c>
      <c r="K111" t="s">
        <v>82</v>
      </c>
      <c r="L111" t="s">
        <v>50</v>
      </c>
      <c r="M111">
        <v>895.01</v>
      </c>
      <c r="N111" s="3">
        <f t="shared" si="1"/>
        <v>45839</v>
      </c>
    </row>
    <row r="112" spans="1:14" x14ac:dyDescent="0.35">
      <c r="A112" t="s">
        <v>258</v>
      </c>
      <c r="B112" t="s">
        <v>259</v>
      </c>
      <c r="C112" t="s">
        <v>24</v>
      </c>
      <c r="D112" t="s">
        <v>69</v>
      </c>
      <c r="E112" t="s">
        <v>48</v>
      </c>
      <c r="F112" t="s">
        <v>18</v>
      </c>
      <c r="G112" t="s">
        <v>96</v>
      </c>
      <c r="H112">
        <v>13</v>
      </c>
      <c r="I112">
        <v>835.86</v>
      </c>
      <c r="J112">
        <v>10866.18</v>
      </c>
      <c r="K112" t="s">
        <v>63</v>
      </c>
      <c r="L112" t="s">
        <v>21</v>
      </c>
      <c r="M112">
        <v>2842.64</v>
      </c>
      <c r="N112" s="3">
        <f t="shared" si="1"/>
        <v>45778</v>
      </c>
    </row>
    <row r="113" spans="1:14" x14ac:dyDescent="0.35">
      <c r="A113" t="s">
        <v>260</v>
      </c>
      <c r="B113" t="s">
        <v>261</v>
      </c>
      <c r="C113" t="s">
        <v>15</v>
      </c>
      <c r="D113" t="s">
        <v>116</v>
      </c>
      <c r="E113" t="s">
        <v>17</v>
      </c>
      <c r="F113" t="s">
        <v>37</v>
      </c>
      <c r="G113" t="s">
        <v>38</v>
      </c>
      <c r="H113">
        <v>10</v>
      </c>
      <c r="I113">
        <v>420.26</v>
      </c>
      <c r="J113">
        <v>4202.6000000000004</v>
      </c>
      <c r="K113" t="s">
        <v>49</v>
      </c>
      <c r="L113" t="s">
        <v>77</v>
      </c>
      <c r="M113">
        <v>1181.8499999999999</v>
      </c>
      <c r="N113" s="3">
        <f t="shared" si="1"/>
        <v>45992</v>
      </c>
    </row>
    <row r="114" spans="1:14" x14ac:dyDescent="0.35">
      <c r="A114" t="s">
        <v>262</v>
      </c>
      <c r="B114" t="s">
        <v>263</v>
      </c>
      <c r="C114" t="s">
        <v>47</v>
      </c>
      <c r="D114" t="s">
        <v>42</v>
      </c>
      <c r="E114" t="s">
        <v>43</v>
      </c>
      <c r="F114" t="s">
        <v>27</v>
      </c>
      <c r="G114" t="s">
        <v>19</v>
      </c>
      <c r="H114">
        <v>19</v>
      </c>
      <c r="I114">
        <v>780.39</v>
      </c>
      <c r="J114">
        <v>14827.41</v>
      </c>
      <c r="K114" t="s">
        <v>29</v>
      </c>
      <c r="L114" t="s">
        <v>21</v>
      </c>
      <c r="M114">
        <v>2750.18</v>
      </c>
      <c r="N114" s="3">
        <f t="shared" si="1"/>
        <v>45992</v>
      </c>
    </row>
    <row r="115" spans="1:14" x14ac:dyDescent="0.35">
      <c r="A115" t="s">
        <v>264</v>
      </c>
      <c r="B115" t="s">
        <v>265</v>
      </c>
      <c r="C115" t="s">
        <v>32</v>
      </c>
      <c r="D115" t="s">
        <v>53</v>
      </c>
      <c r="E115" t="s">
        <v>43</v>
      </c>
      <c r="F115" t="s">
        <v>18</v>
      </c>
      <c r="G115" t="s">
        <v>38</v>
      </c>
      <c r="H115">
        <v>2</v>
      </c>
      <c r="I115">
        <v>436.61</v>
      </c>
      <c r="J115">
        <v>873.22</v>
      </c>
      <c r="K115" t="s">
        <v>20</v>
      </c>
      <c r="L115" t="s">
        <v>39</v>
      </c>
      <c r="M115">
        <v>120.4</v>
      </c>
      <c r="N115" s="3">
        <f t="shared" si="1"/>
        <v>45870</v>
      </c>
    </row>
    <row r="116" spans="1:14" x14ac:dyDescent="0.35">
      <c r="A116" t="s">
        <v>266</v>
      </c>
      <c r="B116" t="s">
        <v>267</v>
      </c>
      <c r="C116" t="s">
        <v>15</v>
      </c>
      <c r="D116" t="s">
        <v>74</v>
      </c>
      <c r="E116" t="s">
        <v>17</v>
      </c>
      <c r="F116" t="s">
        <v>27</v>
      </c>
      <c r="G116" t="s">
        <v>105</v>
      </c>
      <c r="H116">
        <v>18</v>
      </c>
      <c r="I116">
        <v>22.62</v>
      </c>
      <c r="J116">
        <v>407.16</v>
      </c>
      <c r="K116" t="s">
        <v>63</v>
      </c>
      <c r="L116" t="s">
        <v>34</v>
      </c>
      <c r="M116">
        <v>67.8</v>
      </c>
      <c r="N116" s="3">
        <f t="shared" si="1"/>
        <v>45809</v>
      </c>
    </row>
    <row r="117" spans="1:14" x14ac:dyDescent="0.35">
      <c r="A117" t="s">
        <v>268</v>
      </c>
      <c r="B117" t="s">
        <v>252</v>
      </c>
      <c r="C117" t="s">
        <v>47</v>
      </c>
      <c r="D117" t="s">
        <v>69</v>
      </c>
      <c r="E117" t="s">
        <v>17</v>
      </c>
      <c r="F117" t="s">
        <v>27</v>
      </c>
      <c r="G117" t="s">
        <v>85</v>
      </c>
      <c r="H117">
        <v>13</v>
      </c>
      <c r="I117">
        <v>873.17</v>
      </c>
      <c r="J117">
        <v>11351.21</v>
      </c>
      <c r="K117" t="s">
        <v>20</v>
      </c>
      <c r="L117" t="s">
        <v>50</v>
      </c>
      <c r="M117">
        <v>3711.16</v>
      </c>
      <c r="N117" s="3">
        <f t="shared" si="1"/>
        <v>45717</v>
      </c>
    </row>
    <row r="118" spans="1:14" x14ac:dyDescent="0.35">
      <c r="A118" t="s">
        <v>269</v>
      </c>
      <c r="B118" t="s">
        <v>270</v>
      </c>
      <c r="C118" t="s">
        <v>32</v>
      </c>
      <c r="D118" t="s">
        <v>74</v>
      </c>
      <c r="E118" t="s">
        <v>48</v>
      </c>
      <c r="F118" t="s">
        <v>18</v>
      </c>
      <c r="G118" t="s">
        <v>19</v>
      </c>
      <c r="H118">
        <v>17</v>
      </c>
      <c r="I118">
        <v>556.63</v>
      </c>
      <c r="J118">
        <v>9462.7099999999991</v>
      </c>
      <c r="K118" t="s">
        <v>82</v>
      </c>
      <c r="L118" t="s">
        <v>77</v>
      </c>
      <c r="M118">
        <v>2251.88</v>
      </c>
      <c r="N118" s="3">
        <f t="shared" si="1"/>
        <v>45717</v>
      </c>
    </row>
    <row r="119" spans="1:14" x14ac:dyDescent="0.35">
      <c r="A119" t="s">
        <v>271</v>
      </c>
      <c r="B119" t="s">
        <v>272</v>
      </c>
      <c r="C119" t="s">
        <v>15</v>
      </c>
      <c r="D119" t="s">
        <v>33</v>
      </c>
      <c r="E119" t="s">
        <v>17</v>
      </c>
      <c r="F119" t="s">
        <v>44</v>
      </c>
      <c r="G119" t="s">
        <v>105</v>
      </c>
      <c r="H119">
        <v>19</v>
      </c>
      <c r="I119">
        <v>944.87</v>
      </c>
      <c r="J119">
        <v>17952.53</v>
      </c>
      <c r="K119" t="s">
        <v>29</v>
      </c>
      <c r="L119" t="s">
        <v>21</v>
      </c>
      <c r="M119">
        <v>4772.76</v>
      </c>
      <c r="N119" s="3">
        <f t="shared" si="1"/>
        <v>45931</v>
      </c>
    </row>
    <row r="120" spans="1:14" x14ac:dyDescent="0.35">
      <c r="A120" t="s">
        <v>273</v>
      </c>
      <c r="B120" t="s">
        <v>274</v>
      </c>
      <c r="C120" t="s">
        <v>15</v>
      </c>
      <c r="D120" t="s">
        <v>42</v>
      </c>
      <c r="E120" t="s">
        <v>17</v>
      </c>
      <c r="F120" t="s">
        <v>27</v>
      </c>
      <c r="G120" t="s">
        <v>19</v>
      </c>
      <c r="H120">
        <v>4</v>
      </c>
      <c r="I120">
        <v>212.07</v>
      </c>
      <c r="J120">
        <v>848.28</v>
      </c>
      <c r="K120" t="s">
        <v>20</v>
      </c>
      <c r="L120" t="s">
        <v>21</v>
      </c>
      <c r="M120">
        <v>192.06</v>
      </c>
      <c r="N120" s="3">
        <f t="shared" si="1"/>
        <v>45717</v>
      </c>
    </row>
    <row r="121" spans="1:14" x14ac:dyDescent="0.35">
      <c r="A121" t="s">
        <v>275</v>
      </c>
      <c r="B121" t="s">
        <v>265</v>
      </c>
      <c r="C121" t="s">
        <v>47</v>
      </c>
      <c r="D121" t="s">
        <v>74</v>
      </c>
      <c r="E121" t="s">
        <v>48</v>
      </c>
      <c r="F121" t="s">
        <v>37</v>
      </c>
      <c r="G121" t="s">
        <v>96</v>
      </c>
      <c r="H121">
        <v>9</v>
      </c>
      <c r="I121">
        <v>721.19</v>
      </c>
      <c r="J121">
        <v>6490.71</v>
      </c>
      <c r="K121" t="s">
        <v>20</v>
      </c>
      <c r="L121" t="s">
        <v>50</v>
      </c>
      <c r="M121">
        <v>809.23</v>
      </c>
      <c r="N121" s="3">
        <f t="shared" si="1"/>
        <v>45870</v>
      </c>
    </row>
    <row r="122" spans="1:14" x14ac:dyDescent="0.35">
      <c r="A122" t="s">
        <v>276</v>
      </c>
      <c r="B122" t="s">
        <v>277</v>
      </c>
      <c r="C122" t="s">
        <v>47</v>
      </c>
      <c r="D122" t="s">
        <v>116</v>
      </c>
      <c r="E122" t="s">
        <v>17</v>
      </c>
      <c r="F122" t="s">
        <v>37</v>
      </c>
      <c r="G122" t="s">
        <v>28</v>
      </c>
      <c r="H122">
        <v>7</v>
      </c>
      <c r="I122">
        <v>67.790000000000006</v>
      </c>
      <c r="J122">
        <v>474.53</v>
      </c>
      <c r="K122" t="s">
        <v>29</v>
      </c>
      <c r="L122" t="s">
        <v>21</v>
      </c>
      <c r="M122">
        <v>91.54</v>
      </c>
      <c r="N122" s="3">
        <f t="shared" si="1"/>
        <v>45748</v>
      </c>
    </row>
    <row r="123" spans="1:14" x14ac:dyDescent="0.35">
      <c r="A123" t="s">
        <v>278</v>
      </c>
      <c r="B123" t="s">
        <v>79</v>
      </c>
      <c r="C123" t="s">
        <v>32</v>
      </c>
      <c r="D123" t="s">
        <v>33</v>
      </c>
      <c r="E123" t="s">
        <v>48</v>
      </c>
      <c r="F123" t="s">
        <v>27</v>
      </c>
      <c r="G123" t="s">
        <v>45</v>
      </c>
      <c r="H123">
        <v>8</v>
      </c>
      <c r="I123">
        <v>404.09</v>
      </c>
      <c r="J123">
        <v>3232.72</v>
      </c>
      <c r="K123" t="s">
        <v>20</v>
      </c>
      <c r="L123" t="s">
        <v>39</v>
      </c>
      <c r="M123">
        <v>758.83</v>
      </c>
      <c r="N123" s="3">
        <f t="shared" si="1"/>
        <v>45901</v>
      </c>
    </row>
    <row r="124" spans="1:14" x14ac:dyDescent="0.35">
      <c r="A124" t="s">
        <v>279</v>
      </c>
      <c r="B124" t="s">
        <v>280</v>
      </c>
      <c r="C124" t="s">
        <v>15</v>
      </c>
      <c r="D124" t="s">
        <v>53</v>
      </c>
      <c r="E124" t="s">
        <v>48</v>
      </c>
      <c r="F124" t="s">
        <v>27</v>
      </c>
      <c r="G124" t="s">
        <v>45</v>
      </c>
      <c r="H124">
        <v>13</v>
      </c>
      <c r="I124">
        <v>596.61</v>
      </c>
      <c r="J124">
        <v>7755.93</v>
      </c>
      <c r="K124" t="s">
        <v>20</v>
      </c>
      <c r="L124" t="s">
        <v>34</v>
      </c>
      <c r="M124">
        <v>2693.01</v>
      </c>
      <c r="N124" s="3">
        <f t="shared" si="1"/>
        <v>45962</v>
      </c>
    </row>
    <row r="125" spans="1:14" x14ac:dyDescent="0.35">
      <c r="A125" t="s">
        <v>281</v>
      </c>
      <c r="B125" t="s">
        <v>282</v>
      </c>
      <c r="C125" t="s">
        <v>32</v>
      </c>
      <c r="D125" t="s">
        <v>16</v>
      </c>
      <c r="E125" t="s">
        <v>17</v>
      </c>
      <c r="F125" t="s">
        <v>37</v>
      </c>
      <c r="G125" t="s">
        <v>85</v>
      </c>
      <c r="H125">
        <v>5</v>
      </c>
      <c r="I125">
        <v>796.27</v>
      </c>
      <c r="J125">
        <v>3981.35</v>
      </c>
      <c r="K125" t="s">
        <v>29</v>
      </c>
      <c r="L125" t="s">
        <v>50</v>
      </c>
      <c r="M125">
        <v>921.24</v>
      </c>
      <c r="N125" s="3">
        <f t="shared" si="1"/>
        <v>45658</v>
      </c>
    </row>
    <row r="126" spans="1:14" x14ac:dyDescent="0.35">
      <c r="A126" t="s">
        <v>283</v>
      </c>
      <c r="B126" t="s">
        <v>284</v>
      </c>
      <c r="C126" t="s">
        <v>15</v>
      </c>
      <c r="D126" t="s">
        <v>74</v>
      </c>
      <c r="E126" t="s">
        <v>43</v>
      </c>
      <c r="F126" t="s">
        <v>44</v>
      </c>
      <c r="G126" t="s">
        <v>105</v>
      </c>
      <c r="H126">
        <v>14</v>
      </c>
      <c r="I126">
        <v>745.65</v>
      </c>
      <c r="J126">
        <v>10439.1</v>
      </c>
      <c r="K126" t="s">
        <v>29</v>
      </c>
      <c r="L126" t="s">
        <v>39</v>
      </c>
      <c r="M126">
        <v>3366.78</v>
      </c>
      <c r="N126" s="3">
        <f t="shared" si="1"/>
        <v>45658</v>
      </c>
    </row>
    <row r="127" spans="1:14" x14ac:dyDescent="0.35">
      <c r="A127" t="s">
        <v>285</v>
      </c>
      <c r="B127" t="s">
        <v>229</v>
      </c>
      <c r="C127" t="s">
        <v>24</v>
      </c>
      <c r="D127" t="s">
        <v>116</v>
      </c>
      <c r="E127" t="s">
        <v>48</v>
      </c>
      <c r="F127" t="s">
        <v>37</v>
      </c>
      <c r="G127" t="s">
        <v>19</v>
      </c>
      <c r="H127">
        <v>14</v>
      </c>
      <c r="I127">
        <v>183.53</v>
      </c>
      <c r="J127">
        <v>2569.42</v>
      </c>
      <c r="K127" t="s">
        <v>66</v>
      </c>
      <c r="L127" t="s">
        <v>34</v>
      </c>
      <c r="M127">
        <v>360.23</v>
      </c>
      <c r="N127" s="3">
        <f t="shared" si="1"/>
        <v>45809</v>
      </c>
    </row>
    <row r="128" spans="1:14" x14ac:dyDescent="0.35">
      <c r="A128" t="s">
        <v>286</v>
      </c>
      <c r="B128" t="s">
        <v>287</v>
      </c>
      <c r="C128" t="s">
        <v>47</v>
      </c>
      <c r="D128" t="s">
        <v>25</v>
      </c>
      <c r="E128" t="s">
        <v>48</v>
      </c>
      <c r="F128" t="s">
        <v>37</v>
      </c>
      <c r="G128" t="s">
        <v>45</v>
      </c>
      <c r="H128">
        <v>8</v>
      </c>
      <c r="I128">
        <v>187.3</v>
      </c>
      <c r="J128">
        <v>1498.4</v>
      </c>
      <c r="K128" t="s">
        <v>29</v>
      </c>
      <c r="L128" t="s">
        <v>77</v>
      </c>
      <c r="M128">
        <v>406.6</v>
      </c>
      <c r="N128" s="3">
        <f t="shared" si="1"/>
        <v>45809</v>
      </c>
    </row>
    <row r="129" spans="1:14" x14ac:dyDescent="0.35">
      <c r="A129" t="s">
        <v>288</v>
      </c>
      <c r="B129" t="s">
        <v>289</v>
      </c>
      <c r="C129" t="s">
        <v>15</v>
      </c>
      <c r="D129" t="s">
        <v>33</v>
      </c>
      <c r="E129" t="s">
        <v>48</v>
      </c>
      <c r="F129" t="s">
        <v>37</v>
      </c>
      <c r="G129" t="s">
        <v>85</v>
      </c>
      <c r="H129">
        <v>13</v>
      </c>
      <c r="I129">
        <v>721.35</v>
      </c>
      <c r="J129">
        <v>9377.5499999999993</v>
      </c>
      <c r="K129" t="s">
        <v>63</v>
      </c>
      <c r="L129" t="s">
        <v>77</v>
      </c>
      <c r="M129">
        <v>1008.04</v>
      </c>
      <c r="N129" s="3">
        <f t="shared" si="1"/>
        <v>45931</v>
      </c>
    </row>
    <row r="130" spans="1:14" x14ac:dyDescent="0.35">
      <c r="A130" t="s">
        <v>290</v>
      </c>
      <c r="B130" t="s">
        <v>291</v>
      </c>
      <c r="C130" t="s">
        <v>32</v>
      </c>
      <c r="D130" t="s">
        <v>53</v>
      </c>
      <c r="E130" t="s">
        <v>26</v>
      </c>
      <c r="F130" t="s">
        <v>27</v>
      </c>
      <c r="G130" t="s">
        <v>105</v>
      </c>
      <c r="H130">
        <v>8</v>
      </c>
      <c r="I130">
        <v>842.82</v>
      </c>
      <c r="J130">
        <v>6742.56</v>
      </c>
      <c r="K130" t="s">
        <v>20</v>
      </c>
      <c r="L130" t="s">
        <v>21</v>
      </c>
      <c r="M130">
        <v>1316.91</v>
      </c>
      <c r="N130" s="3">
        <f t="shared" si="1"/>
        <v>45931</v>
      </c>
    </row>
    <row r="131" spans="1:14" x14ac:dyDescent="0.35">
      <c r="A131" t="s">
        <v>292</v>
      </c>
      <c r="B131" t="s">
        <v>293</v>
      </c>
      <c r="C131" t="s">
        <v>47</v>
      </c>
      <c r="D131" t="s">
        <v>25</v>
      </c>
      <c r="E131" t="s">
        <v>43</v>
      </c>
      <c r="F131" t="s">
        <v>44</v>
      </c>
      <c r="G131" t="s">
        <v>56</v>
      </c>
      <c r="H131">
        <v>15</v>
      </c>
      <c r="I131">
        <v>837.58</v>
      </c>
      <c r="J131">
        <v>12563.7</v>
      </c>
      <c r="K131" t="s">
        <v>66</v>
      </c>
      <c r="L131" t="s">
        <v>77</v>
      </c>
      <c r="M131">
        <v>1394.03</v>
      </c>
      <c r="N131" s="3">
        <f t="shared" ref="N131:N194" si="2">DATE(YEAR(B131),MONTH(B131),1)</f>
        <v>45931</v>
      </c>
    </row>
    <row r="132" spans="1:14" x14ac:dyDescent="0.35">
      <c r="A132" t="s">
        <v>294</v>
      </c>
      <c r="B132" t="s">
        <v>295</v>
      </c>
      <c r="C132" t="s">
        <v>15</v>
      </c>
      <c r="D132" t="s">
        <v>33</v>
      </c>
      <c r="E132" t="s">
        <v>48</v>
      </c>
      <c r="F132" t="s">
        <v>18</v>
      </c>
      <c r="G132" t="s">
        <v>38</v>
      </c>
      <c r="H132">
        <v>11</v>
      </c>
      <c r="I132">
        <v>629.65</v>
      </c>
      <c r="J132">
        <v>6926.15</v>
      </c>
      <c r="K132" t="s">
        <v>49</v>
      </c>
      <c r="L132" t="s">
        <v>77</v>
      </c>
      <c r="M132">
        <v>777.67</v>
      </c>
      <c r="N132" s="3">
        <f t="shared" si="2"/>
        <v>45658</v>
      </c>
    </row>
    <row r="133" spans="1:14" x14ac:dyDescent="0.35">
      <c r="A133" t="s">
        <v>296</v>
      </c>
      <c r="B133" t="s">
        <v>297</v>
      </c>
      <c r="C133" t="s">
        <v>15</v>
      </c>
      <c r="D133" t="s">
        <v>53</v>
      </c>
      <c r="E133" t="s">
        <v>48</v>
      </c>
      <c r="F133" t="s">
        <v>37</v>
      </c>
      <c r="G133" t="s">
        <v>105</v>
      </c>
      <c r="H133">
        <v>15</v>
      </c>
      <c r="I133">
        <v>180.03</v>
      </c>
      <c r="J133">
        <v>2700.45</v>
      </c>
      <c r="K133" t="s">
        <v>20</v>
      </c>
      <c r="L133" t="s">
        <v>77</v>
      </c>
      <c r="M133">
        <v>548.91999999999996</v>
      </c>
      <c r="N133" s="3">
        <f t="shared" si="2"/>
        <v>45962</v>
      </c>
    </row>
    <row r="134" spans="1:14" x14ac:dyDescent="0.35">
      <c r="A134" t="s">
        <v>298</v>
      </c>
      <c r="B134" t="s">
        <v>299</v>
      </c>
      <c r="C134" t="s">
        <v>47</v>
      </c>
      <c r="D134" t="s">
        <v>69</v>
      </c>
      <c r="E134" t="s">
        <v>17</v>
      </c>
      <c r="F134" t="s">
        <v>37</v>
      </c>
      <c r="G134" t="s">
        <v>85</v>
      </c>
      <c r="H134">
        <v>15</v>
      </c>
      <c r="I134">
        <v>62.8</v>
      </c>
      <c r="J134">
        <v>942</v>
      </c>
      <c r="K134" t="s">
        <v>66</v>
      </c>
      <c r="L134" t="s">
        <v>34</v>
      </c>
      <c r="M134">
        <v>148.16999999999999</v>
      </c>
      <c r="N134" s="3">
        <f t="shared" si="2"/>
        <v>45689</v>
      </c>
    </row>
    <row r="135" spans="1:14" x14ac:dyDescent="0.35">
      <c r="A135" t="s">
        <v>300</v>
      </c>
      <c r="B135" t="s">
        <v>301</v>
      </c>
      <c r="C135" t="s">
        <v>47</v>
      </c>
      <c r="D135" t="s">
        <v>69</v>
      </c>
      <c r="E135" t="s">
        <v>43</v>
      </c>
      <c r="F135" t="s">
        <v>37</v>
      </c>
      <c r="G135" t="s">
        <v>96</v>
      </c>
      <c r="H135">
        <v>2</v>
      </c>
      <c r="I135">
        <v>982.61</v>
      </c>
      <c r="J135">
        <v>1965.22</v>
      </c>
      <c r="K135" t="s">
        <v>66</v>
      </c>
      <c r="L135" t="s">
        <v>34</v>
      </c>
      <c r="M135">
        <v>654.91999999999996</v>
      </c>
      <c r="N135" s="3">
        <f t="shared" si="2"/>
        <v>45962</v>
      </c>
    </row>
    <row r="136" spans="1:14" x14ac:dyDescent="0.35">
      <c r="A136" t="s">
        <v>302</v>
      </c>
      <c r="B136" t="s">
        <v>303</v>
      </c>
      <c r="C136" t="s">
        <v>15</v>
      </c>
      <c r="D136" t="s">
        <v>16</v>
      </c>
      <c r="E136" t="s">
        <v>17</v>
      </c>
      <c r="F136" t="s">
        <v>44</v>
      </c>
      <c r="G136" t="s">
        <v>56</v>
      </c>
      <c r="H136">
        <v>15</v>
      </c>
      <c r="I136">
        <v>401.27</v>
      </c>
      <c r="J136">
        <v>6019.05</v>
      </c>
      <c r="K136" t="s">
        <v>82</v>
      </c>
      <c r="L136" t="s">
        <v>77</v>
      </c>
      <c r="M136">
        <v>1675.45</v>
      </c>
      <c r="N136" s="3">
        <f t="shared" si="2"/>
        <v>45748</v>
      </c>
    </row>
    <row r="137" spans="1:14" x14ac:dyDescent="0.35">
      <c r="A137" t="s">
        <v>304</v>
      </c>
      <c r="B137" t="s">
        <v>199</v>
      </c>
      <c r="C137" t="s">
        <v>15</v>
      </c>
      <c r="D137" t="s">
        <v>116</v>
      </c>
      <c r="E137" t="s">
        <v>26</v>
      </c>
      <c r="F137" t="s">
        <v>27</v>
      </c>
      <c r="G137" t="s">
        <v>28</v>
      </c>
      <c r="H137">
        <v>12</v>
      </c>
      <c r="I137">
        <v>476.89</v>
      </c>
      <c r="J137">
        <v>5722.68</v>
      </c>
      <c r="K137" t="s">
        <v>66</v>
      </c>
      <c r="L137" t="s">
        <v>34</v>
      </c>
      <c r="M137">
        <v>1661.46</v>
      </c>
      <c r="N137" s="3">
        <f t="shared" si="2"/>
        <v>45870</v>
      </c>
    </row>
    <row r="138" spans="1:14" x14ac:dyDescent="0.35">
      <c r="A138" t="s">
        <v>305</v>
      </c>
      <c r="B138" t="s">
        <v>306</v>
      </c>
      <c r="C138" t="s">
        <v>47</v>
      </c>
      <c r="D138" t="s">
        <v>116</v>
      </c>
      <c r="E138" t="s">
        <v>43</v>
      </c>
      <c r="F138" t="s">
        <v>18</v>
      </c>
      <c r="G138" t="s">
        <v>45</v>
      </c>
      <c r="H138">
        <v>4</v>
      </c>
      <c r="I138">
        <v>311.98</v>
      </c>
      <c r="J138">
        <v>1247.92</v>
      </c>
      <c r="K138" t="s">
        <v>66</v>
      </c>
      <c r="L138" t="s">
        <v>50</v>
      </c>
      <c r="M138">
        <v>296.02999999999997</v>
      </c>
      <c r="N138" s="3">
        <f t="shared" si="2"/>
        <v>45658</v>
      </c>
    </row>
    <row r="139" spans="1:14" x14ac:dyDescent="0.35">
      <c r="A139" t="s">
        <v>307</v>
      </c>
      <c r="B139" t="s">
        <v>308</v>
      </c>
      <c r="C139" t="s">
        <v>24</v>
      </c>
      <c r="D139" t="s">
        <v>33</v>
      </c>
      <c r="E139" t="s">
        <v>43</v>
      </c>
      <c r="F139" t="s">
        <v>44</v>
      </c>
      <c r="G139" t="s">
        <v>96</v>
      </c>
      <c r="H139">
        <v>4</v>
      </c>
      <c r="I139">
        <v>40.51</v>
      </c>
      <c r="J139">
        <v>162.04</v>
      </c>
      <c r="K139" t="s">
        <v>63</v>
      </c>
      <c r="L139" t="s">
        <v>21</v>
      </c>
      <c r="M139">
        <v>30.18</v>
      </c>
      <c r="N139" s="3">
        <f t="shared" si="2"/>
        <v>45901</v>
      </c>
    </row>
    <row r="140" spans="1:14" x14ac:dyDescent="0.35">
      <c r="A140" t="s">
        <v>309</v>
      </c>
      <c r="B140" t="s">
        <v>248</v>
      </c>
      <c r="C140" t="s">
        <v>15</v>
      </c>
      <c r="D140" t="s">
        <v>42</v>
      </c>
      <c r="E140" t="s">
        <v>17</v>
      </c>
      <c r="F140" t="s">
        <v>44</v>
      </c>
      <c r="G140" t="s">
        <v>85</v>
      </c>
      <c r="H140">
        <v>20</v>
      </c>
      <c r="I140">
        <v>257.26</v>
      </c>
      <c r="J140">
        <v>5145.2</v>
      </c>
      <c r="K140" t="s">
        <v>49</v>
      </c>
      <c r="L140" t="s">
        <v>77</v>
      </c>
      <c r="M140">
        <v>567.16999999999996</v>
      </c>
      <c r="N140" s="3">
        <f t="shared" si="2"/>
        <v>45962</v>
      </c>
    </row>
    <row r="141" spans="1:14" x14ac:dyDescent="0.35">
      <c r="A141" t="s">
        <v>310</v>
      </c>
      <c r="B141" t="s">
        <v>311</v>
      </c>
      <c r="C141" t="s">
        <v>15</v>
      </c>
      <c r="D141" t="s">
        <v>53</v>
      </c>
      <c r="E141" t="s">
        <v>43</v>
      </c>
      <c r="F141" t="s">
        <v>18</v>
      </c>
      <c r="G141" t="s">
        <v>105</v>
      </c>
      <c r="H141">
        <v>10</v>
      </c>
      <c r="I141">
        <v>484.17</v>
      </c>
      <c r="J141">
        <v>4841.7</v>
      </c>
      <c r="K141" t="s">
        <v>49</v>
      </c>
      <c r="L141" t="s">
        <v>34</v>
      </c>
      <c r="M141">
        <v>1053.8900000000001</v>
      </c>
      <c r="N141" s="3">
        <f t="shared" si="2"/>
        <v>45717</v>
      </c>
    </row>
    <row r="142" spans="1:14" x14ac:dyDescent="0.35">
      <c r="A142" t="s">
        <v>312</v>
      </c>
      <c r="B142" t="s">
        <v>313</v>
      </c>
      <c r="C142" t="s">
        <v>47</v>
      </c>
      <c r="D142" t="s">
        <v>74</v>
      </c>
      <c r="E142" t="s">
        <v>43</v>
      </c>
      <c r="F142" t="s">
        <v>18</v>
      </c>
      <c r="G142" t="s">
        <v>28</v>
      </c>
      <c r="H142">
        <v>18</v>
      </c>
      <c r="I142">
        <v>859.29</v>
      </c>
      <c r="J142">
        <v>15467.22</v>
      </c>
      <c r="K142" t="s">
        <v>63</v>
      </c>
      <c r="L142" t="s">
        <v>50</v>
      </c>
      <c r="M142">
        <v>2410.23</v>
      </c>
      <c r="N142" s="3">
        <f t="shared" si="2"/>
        <v>45658</v>
      </c>
    </row>
    <row r="143" spans="1:14" x14ac:dyDescent="0.35">
      <c r="A143" t="s">
        <v>314</v>
      </c>
      <c r="B143" t="s">
        <v>315</v>
      </c>
      <c r="C143" t="s">
        <v>47</v>
      </c>
      <c r="D143" t="s">
        <v>74</v>
      </c>
      <c r="E143" t="s">
        <v>26</v>
      </c>
      <c r="F143" t="s">
        <v>44</v>
      </c>
      <c r="G143" t="s">
        <v>85</v>
      </c>
      <c r="H143">
        <v>19</v>
      </c>
      <c r="I143">
        <v>753.47</v>
      </c>
      <c r="J143">
        <v>14315.93</v>
      </c>
      <c r="K143" t="s">
        <v>49</v>
      </c>
      <c r="L143" t="s">
        <v>50</v>
      </c>
      <c r="M143">
        <v>3690.75</v>
      </c>
      <c r="N143" s="3">
        <f t="shared" si="2"/>
        <v>45962</v>
      </c>
    </row>
    <row r="144" spans="1:14" x14ac:dyDescent="0.35">
      <c r="A144" t="s">
        <v>316</v>
      </c>
      <c r="B144" t="s">
        <v>174</v>
      </c>
      <c r="C144" t="s">
        <v>15</v>
      </c>
      <c r="D144" t="s">
        <v>69</v>
      </c>
      <c r="E144" t="s">
        <v>48</v>
      </c>
      <c r="F144" t="s">
        <v>27</v>
      </c>
      <c r="G144" t="s">
        <v>85</v>
      </c>
      <c r="H144">
        <v>16</v>
      </c>
      <c r="I144">
        <v>406.82</v>
      </c>
      <c r="J144">
        <v>6509.12</v>
      </c>
      <c r="K144" t="s">
        <v>20</v>
      </c>
      <c r="L144" t="s">
        <v>21</v>
      </c>
      <c r="M144">
        <v>1369.04</v>
      </c>
      <c r="N144" s="3">
        <f t="shared" si="2"/>
        <v>45992</v>
      </c>
    </row>
    <row r="145" spans="1:14" x14ac:dyDescent="0.35">
      <c r="A145" t="s">
        <v>317</v>
      </c>
      <c r="B145" t="s">
        <v>318</v>
      </c>
      <c r="C145" t="s">
        <v>32</v>
      </c>
      <c r="D145" t="s">
        <v>53</v>
      </c>
      <c r="E145" t="s">
        <v>43</v>
      </c>
      <c r="F145" t="s">
        <v>37</v>
      </c>
      <c r="G145" t="s">
        <v>28</v>
      </c>
      <c r="H145">
        <v>7</v>
      </c>
      <c r="I145">
        <v>210.31</v>
      </c>
      <c r="J145">
        <v>1472.17</v>
      </c>
      <c r="K145" t="s">
        <v>82</v>
      </c>
      <c r="L145" t="s">
        <v>77</v>
      </c>
      <c r="M145">
        <v>290.39999999999998</v>
      </c>
      <c r="N145" s="3">
        <f t="shared" si="2"/>
        <v>45992</v>
      </c>
    </row>
    <row r="146" spans="1:14" x14ac:dyDescent="0.35">
      <c r="A146" t="s">
        <v>319</v>
      </c>
      <c r="B146" t="s">
        <v>320</v>
      </c>
      <c r="C146" t="s">
        <v>47</v>
      </c>
      <c r="D146" t="s">
        <v>53</v>
      </c>
      <c r="E146" t="s">
        <v>48</v>
      </c>
      <c r="F146" t="s">
        <v>44</v>
      </c>
      <c r="G146" t="s">
        <v>85</v>
      </c>
      <c r="H146">
        <v>9</v>
      </c>
      <c r="I146">
        <v>341.21</v>
      </c>
      <c r="J146">
        <v>3070.89</v>
      </c>
      <c r="K146" t="s">
        <v>66</v>
      </c>
      <c r="L146" t="s">
        <v>21</v>
      </c>
      <c r="M146">
        <v>568.74</v>
      </c>
      <c r="N146" s="3">
        <f t="shared" si="2"/>
        <v>45809</v>
      </c>
    </row>
    <row r="147" spans="1:14" x14ac:dyDescent="0.35">
      <c r="A147" t="s">
        <v>321</v>
      </c>
      <c r="B147" t="s">
        <v>199</v>
      </c>
      <c r="C147" t="s">
        <v>24</v>
      </c>
      <c r="D147" t="s">
        <v>16</v>
      </c>
      <c r="E147" t="s">
        <v>17</v>
      </c>
      <c r="F147" t="s">
        <v>37</v>
      </c>
      <c r="G147" t="s">
        <v>105</v>
      </c>
      <c r="H147">
        <v>5</v>
      </c>
      <c r="I147">
        <v>520.16</v>
      </c>
      <c r="J147">
        <v>2600.8000000000002</v>
      </c>
      <c r="K147" t="s">
        <v>66</v>
      </c>
      <c r="L147" t="s">
        <v>50</v>
      </c>
      <c r="M147">
        <v>344.08</v>
      </c>
      <c r="N147" s="3">
        <f t="shared" si="2"/>
        <v>45870</v>
      </c>
    </row>
    <row r="148" spans="1:14" x14ac:dyDescent="0.35">
      <c r="A148" t="s">
        <v>322</v>
      </c>
      <c r="B148" t="s">
        <v>231</v>
      </c>
      <c r="C148" t="s">
        <v>15</v>
      </c>
      <c r="D148" t="s">
        <v>42</v>
      </c>
      <c r="E148" t="s">
        <v>26</v>
      </c>
      <c r="F148" t="s">
        <v>18</v>
      </c>
      <c r="G148" t="s">
        <v>45</v>
      </c>
      <c r="H148">
        <v>2</v>
      </c>
      <c r="I148">
        <v>491.76</v>
      </c>
      <c r="J148">
        <v>983.52</v>
      </c>
      <c r="K148" t="s">
        <v>49</v>
      </c>
      <c r="L148" t="s">
        <v>34</v>
      </c>
      <c r="M148">
        <v>218.67</v>
      </c>
      <c r="N148" s="3">
        <f t="shared" si="2"/>
        <v>45809</v>
      </c>
    </row>
    <row r="149" spans="1:14" x14ac:dyDescent="0.35">
      <c r="A149" t="s">
        <v>323</v>
      </c>
      <c r="B149" t="s">
        <v>324</v>
      </c>
      <c r="C149" t="s">
        <v>32</v>
      </c>
      <c r="D149" t="s">
        <v>53</v>
      </c>
      <c r="E149" t="s">
        <v>26</v>
      </c>
      <c r="F149" t="s">
        <v>37</v>
      </c>
      <c r="G149" t="s">
        <v>45</v>
      </c>
      <c r="H149">
        <v>7</v>
      </c>
      <c r="I149">
        <v>31.2</v>
      </c>
      <c r="J149">
        <v>218.4</v>
      </c>
      <c r="K149" t="s">
        <v>29</v>
      </c>
      <c r="L149" t="s">
        <v>39</v>
      </c>
      <c r="M149">
        <v>39.61</v>
      </c>
      <c r="N149" s="3">
        <f t="shared" si="2"/>
        <v>45717</v>
      </c>
    </row>
    <row r="150" spans="1:14" x14ac:dyDescent="0.35">
      <c r="A150" t="s">
        <v>325</v>
      </c>
      <c r="B150" t="s">
        <v>326</v>
      </c>
      <c r="C150" t="s">
        <v>15</v>
      </c>
      <c r="D150" t="s">
        <v>16</v>
      </c>
      <c r="E150" t="s">
        <v>26</v>
      </c>
      <c r="F150" t="s">
        <v>18</v>
      </c>
      <c r="G150" t="s">
        <v>96</v>
      </c>
      <c r="H150">
        <v>11</v>
      </c>
      <c r="I150">
        <v>43.06</v>
      </c>
      <c r="J150">
        <v>473.66</v>
      </c>
      <c r="K150" t="s">
        <v>49</v>
      </c>
      <c r="L150" t="s">
        <v>77</v>
      </c>
      <c r="M150">
        <v>60.68</v>
      </c>
      <c r="N150" s="3">
        <f t="shared" si="2"/>
        <v>45658</v>
      </c>
    </row>
    <row r="151" spans="1:14" x14ac:dyDescent="0.35">
      <c r="A151" t="s">
        <v>327</v>
      </c>
      <c r="B151" t="s">
        <v>328</v>
      </c>
      <c r="C151" t="s">
        <v>15</v>
      </c>
      <c r="D151" t="s">
        <v>33</v>
      </c>
      <c r="E151" t="s">
        <v>48</v>
      </c>
      <c r="F151" t="s">
        <v>18</v>
      </c>
      <c r="G151" t="s">
        <v>45</v>
      </c>
      <c r="H151">
        <v>6</v>
      </c>
      <c r="I151">
        <v>234.98</v>
      </c>
      <c r="J151">
        <v>1409.88</v>
      </c>
      <c r="K151" t="s">
        <v>49</v>
      </c>
      <c r="L151" t="s">
        <v>39</v>
      </c>
      <c r="M151">
        <v>434.8</v>
      </c>
      <c r="N151" s="3">
        <f t="shared" si="2"/>
        <v>45748</v>
      </c>
    </row>
    <row r="152" spans="1:14" x14ac:dyDescent="0.35">
      <c r="A152" t="s">
        <v>329</v>
      </c>
      <c r="B152" t="s">
        <v>330</v>
      </c>
      <c r="C152" t="s">
        <v>47</v>
      </c>
      <c r="D152" t="s">
        <v>53</v>
      </c>
      <c r="E152" t="s">
        <v>43</v>
      </c>
      <c r="F152" t="s">
        <v>18</v>
      </c>
      <c r="G152" t="s">
        <v>56</v>
      </c>
      <c r="H152">
        <v>14</v>
      </c>
      <c r="I152">
        <v>513.23</v>
      </c>
      <c r="J152">
        <v>7185.22</v>
      </c>
      <c r="K152" t="s">
        <v>66</v>
      </c>
      <c r="L152" t="s">
        <v>34</v>
      </c>
      <c r="M152">
        <v>1616.67</v>
      </c>
      <c r="N152" s="3">
        <f t="shared" si="2"/>
        <v>45778</v>
      </c>
    </row>
    <row r="153" spans="1:14" x14ac:dyDescent="0.35">
      <c r="A153" t="s">
        <v>331</v>
      </c>
      <c r="B153" t="s">
        <v>113</v>
      </c>
      <c r="C153" t="s">
        <v>32</v>
      </c>
      <c r="D153" t="s">
        <v>116</v>
      </c>
      <c r="E153" t="s">
        <v>17</v>
      </c>
      <c r="F153" t="s">
        <v>44</v>
      </c>
      <c r="G153" t="s">
        <v>56</v>
      </c>
      <c r="H153">
        <v>2</v>
      </c>
      <c r="I153">
        <v>831.35</v>
      </c>
      <c r="J153">
        <v>1662.7</v>
      </c>
      <c r="K153" t="s">
        <v>63</v>
      </c>
      <c r="L153" t="s">
        <v>50</v>
      </c>
      <c r="M153">
        <v>517.62</v>
      </c>
      <c r="N153" s="3">
        <f t="shared" si="2"/>
        <v>45870</v>
      </c>
    </row>
    <row r="154" spans="1:14" x14ac:dyDescent="0.35">
      <c r="A154" t="s">
        <v>332</v>
      </c>
      <c r="B154" t="s">
        <v>199</v>
      </c>
      <c r="C154" t="s">
        <v>32</v>
      </c>
      <c r="D154" t="s">
        <v>116</v>
      </c>
      <c r="E154" t="s">
        <v>17</v>
      </c>
      <c r="F154" t="s">
        <v>37</v>
      </c>
      <c r="G154" t="s">
        <v>45</v>
      </c>
      <c r="H154">
        <v>5</v>
      </c>
      <c r="I154">
        <v>324.61</v>
      </c>
      <c r="J154">
        <v>1623.05</v>
      </c>
      <c r="K154" t="s">
        <v>49</v>
      </c>
      <c r="L154" t="s">
        <v>21</v>
      </c>
      <c r="M154">
        <v>466.56</v>
      </c>
      <c r="N154" s="3">
        <f t="shared" si="2"/>
        <v>45870</v>
      </c>
    </row>
    <row r="155" spans="1:14" x14ac:dyDescent="0.35">
      <c r="A155" t="s">
        <v>333</v>
      </c>
      <c r="B155" t="s">
        <v>315</v>
      </c>
      <c r="C155" t="s">
        <v>24</v>
      </c>
      <c r="D155" t="s">
        <v>74</v>
      </c>
      <c r="E155" t="s">
        <v>17</v>
      </c>
      <c r="F155" t="s">
        <v>37</v>
      </c>
      <c r="G155" t="s">
        <v>28</v>
      </c>
      <c r="H155">
        <v>6</v>
      </c>
      <c r="I155">
        <v>439.55</v>
      </c>
      <c r="J155">
        <v>2637.3</v>
      </c>
      <c r="K155" t="s">
        <v>29</v>
      </c>
      <c r="L155" t="s">
        <v>50</v>
      </c>
      <c r="M155">
        <v>529.72</v>
      </c>
      <c r="N155" s="3">
        <f t="shared" si="2"/>
        <v>45962</v>
      </c>
    </row>
    <row r="156" spans="1:14" x14ac:dyDescent="0.35">
      <c r="A156" t="s">
        <v>334</v>
      </c>
      <c r="B156" t="s">
        <v>335</v>
      </c>
      <c r="C156" t="s">
        <v>32</v>
      </c>
      <c r="D156" t="s">
        <v>69</v>
      </c>
      <c r="E156" t="s">
        <v>17</v>
      </c>
      <c r="F156" t="s">
        <v>18</v>
      </c>
      <c r="G156" t="s">
        <v>45</v>
      </c>
      <c r="H156">
        <v>18</v>
      </c>
      <c r="I156">
        <v>104.17</v>
      </c>
      <c r="J156">
        <v>1875.06</v>
      </c>
      <c r="K156" t="s">
        <v>63</v>
      </c>
      <c r="L156" t="s">
        <v>77</v>
      </c>
      <c r="M156">
        <v>335.78</v>
      </c>
      <c r="N156" s="3">
        <f t="shared" si="2"/>
        <v>45839</v>
      </c>
    </row>
    <row r="157" spans="1:14" x14ac:dyDescent="0.35">
      <c r="A157" t="s">
        <v>336</v>
      </c>
      <c r="B157" t="s">
        <v>337</v>
      </c>
      <c r="C157" t="s">
        <v>15</v>
      </c>
      <c r="D157" t="s">
        <v>69</v>
      </c>
      <c r="E157" t="s">
        <v>26</v>
      </c>
      <c r="F157" t="s">
        <v>27</v>
      </c>
      <c r="G157" t="s">
        <v>28</v>
      </c>
      <c r="H157">
        <v>11</v>
      </c>
      <c r="I157">
        <v>465.3</v>
      </c>
      <c r="J157">
        <v>5118.3</v>
      </c>
      <c r="K157" t="s">
        <v>82</v>
      </c>
      <c r="L157" t="s">
        <v>34</v>
      </c>
      <c r="M157">
        <v>1254.92</v>
      </c>
      <c r="N157" s="3">
        <f t="shared" si="2"/>
        <v>45689</v>
      </c>
    </row>
    <row r="158" spans="1:14" x14ac:dyDescent="0.35">
      <c r="A158" t="s">
        <v>338</v>
      </c>
      <c r="B158" t="s">
        <v>339</v>
      </c>
      <c r="C158" t="s">
        <v>15</v>
      </c>
      <c r="D158" t="s">
        <v>74</v>
      </c>
      <c r="E158" t="s">
        <v>48</v>
      </c>
      <c r="F158" t="s">
        <v>18</v>
      </c>
      <c r="G158" t="s">
        <v>56</v>
      </c>
      <c r="H158">
        <v>11</v>
      </c>
      <c r="I158">
        <v>566.85</v>
      </c>
      <c r="J158">
        <v>6235.35</v>
      </c>
      <c r="K158" t="s">
        <v>20</v>
      </c>
      <c r="L158" t="s">
        <v>21</v>
      </c>
      <c r="M158">
        <v>818.01</v>
      </c>
      <c r="N158" s="3">
        <f t="shared" si="2"/>
        <v>45658</v>
      </c>
    </row>
    <row r="159" spans="1:14" x14ac:dyDescent="0.35">
      <c r="A159" t="s">
        <v>340</v>
      </c>
      <c r="B159" t="s">
        <v>201</v>
      </c>
      <c r="C159" t="s">
        <v>32</v>
      </c>
      <c r="D159" t="s">
        <v>33</v>
      </c>
      <c r="E159" t="s">
        <v>48</v>
      </c>
      <c r="F159" t="s">
        <v>18</v>
      </c>
      <c r="G159" t="s">
        <v>19</v>
      </c>
      <c r="H159">
        <v>13</v>
      </c>
      <c r="I159">
        <v>934.92</v>
      </c>
      <c r="J159">
        <v>12153.96</v>
      </c>
      <c r="K159" t="s">
        <v>49</v>
      </c>
      <c r="L159" t="s">
        <v>50</v>
      </c>
      <c r="M159">
        <v>3119.98</v>
      </c>
      <c r="N159" s="3">
        <f t="shared" si="2"/>
        <v>45992</v>
      </c>
    </row>
    <row r="160" spans="1:14" x14ac:dyDescent="0.35">
      <c r="A160" t="s">
        <v>341</v>
      </c>
      <c r="B160" t="s">
        <v>144</v>
      </c>
      <c r="C160" t="s">
        <v>32</v>
      </c>
      <c r="D160" t="s">
        <v>116</v>
      </c>
      <c r="E160" t="s">
        <v>43</v>
      </c>
      <c r="F160" t="s">
        <v>18</v>
      </c>
      <c r="G160" t="s">
        <v>56</v>
      </c>
      <c r="H160">
        <v>5</v>
      </c>
      <c r="I160">
        <v>85.21</v>
      </c>
      <c r="J160">
        <v>426.05</v>
      </c>
      <c r="K160" t="s">
        <v>49</v>
      </c>
      <c r="L160" t="s">
        <v>77</v>
      </c>
      <c r="M160">
        <v>107.38</v>
      </c>
      <c r="N160" s="3">
        <f t="shared" si="2"/>
        <v>45992</v>
      </c>
    </row>
    <row r="161" spans="1:14" x14ac:dyDescent="0.35">
      <c r="A161" t="s">
        <v>342</v>
      </c>
      <c r="B161" t="s">
        <v>68</v>
      </c>
      <c r="C161" t="s">
        <v>24</v>
      </c>
      <c r="D161" t="s">
        <v>53</v>
      </c>
      <c r="E161" t="s">
        <v>43</v>
      </c>
      <c r="F161" t="s">
        <v>37</v>
      </c>
      <c r="G161" t="s">
        <v>96</v>
      </c>
      <c r="H161">
        <v>8</v>
      </c>
      <c r="I161">
        <v>863.01</v>
      </c>
      <c r="J161">
        <v>6904.08</v>
      </c>
      <c r="K161" t="s">
        <v>66</v>
      </c>
      <c r="L161" t="s">
        <v>77</v>
      </c>
      <c r="M161">
        <v>1128.6300000000001</v>
      </c>
      <c r="N161" s="3">
        <f t="shared" si="2"/>
        <v>45809</v>
      </c>
    </row>
    <row r="162" spans="1:14" x14ac:dyDescent="0.35">
      <c r="A162" t="s">
        <v>343</v>
      </c>
      <c r="B162" t="s">
        <v>344</v>
      </c>
      <c r="C162" t="s">
        <v>32</v>
      </c>
      <c r="D162" t="s">
        <v>69</v>
      </c>
      <c r="E162" t="s">
        <v>48</v>
      </c>
      <c r="F162" t="s">
        <v>18</v>
      </c>
      <c r="G162" t="s">
        <v>45</v>
      </c>
      <c r="H162">
        <v>15</v>
      </c>
      <c r="I162">
        <v>985.72</v>
      </c>
      <c r="J162">
        <v>14785.8</v>
      </c>
      <c r="K162" t="s">
        <v>63</v>
      </c>
      <c r="L162" t="s">
        <v>50</v>
      </c>
      <c r="M162">
        <v>1642.74</v>
      </c>
      <c r="N162" s="3">
        <f t="shared" si="2"/>
        <v>45931</v>
      </c>
    </row>
    <row r="163" spans="1:14" x14ac:dyDescent="0.35">
      <c r="A163" t="s">
        <v>345</v>
      </c>
      <c r="B163" t="s">
        <v>346</v>
      </c>
      <c r="C163" t="s">
        <v>24</v>
      </c>
      <c r="D163" t="s">
        <v>53</v>
      </c>
      <c r="E163" t="s">
        <v>48</v>
      </c>
      <c r="F163" t="s">
        <v>44</v>
      </c>
      <c r="G163" t="s">
        <v>56</v>
      </c>
      <c r="H163">
        <v>12</v>
      </c>
      <c r="I163">
        <v>715.92</v>
      </c>
      <c r="J163">
        <v>8591.0400000000009</v>
      </c>
      <c r="K163" t="s">
        <v>29</v>
      </c>
      <c r="L163" t="s">
        <v>34</v>
      </c>
      <c r="M163">
        <v>1424.73</v>
      </c>
      <c r="N163" s="3">
        <f t="shared" si="2"/>
        <v>45778</v>
      </c>
    </row>
    <row r="164" spans="1:14" x14ac:dyDescent="0.35">
      <c r="A164" t="s">
        <v>347</v>
      </c>
      <c r="B164" t="s">
        <v>348</v>
      </c>
      <c r="C164" t="s">
        <v>15</v>
      </c>
      <c r="D164" t="s">
        <v>74</v>
      </c>
      <c r="E164" t="s">
        <v>48</v>
      </c>
      <c r="F164" t="s">
        <v>37</v>
      </c>
      <c r="G164" t="s">
        <v>19</v>
      </c>
      <c r="H164">
        <v>13</v>
      </c>
      <c r="I164">
        <v>89.51</v>
      </c>
      <c r="J164">
        <v>1163.6300000000001</v>
      </c>
      <c r="K164" t="s">
        <v>49</v>
      </c>
      <c r="L164" t="s">
        <v>39</v>
      </c>
      <c r="M164">
        <v>130.84</v>
      </c>
      <c r="N164" s="3">
        <f t="shared" si="2"/>
        <v>45717</v>
      </c>
    </row>
    <row r="165" spans="1:14" x14ac:dyDescent="0.35">
      <c r="A165" t="s">
        <v>349</v>
      </c>
      <c r="B165" t="s">
        <v>350</v>
      </c>
      <c r="C165" t="s">
        <v>47</v>
      </c>
      <c r="D165" t="s">
        <v>69</v>
      </c>
      <c r="E165" t="s">
        <v>17</v>
      </c>
      <c r="F165" t="s">
        <v>37</v>
      </c>
      <c r="G165" t="s">
        <v>85</v>
      </c>
      <c r="H165">
        <v>18</v>
      </c>
      <c r="I165">
        <v>180.94</v>
      </c>
      <c r="J165">
        <v>3256.92</v>
      </c>
      <c r="K165" t="s">
        <v>82</v>
      </c>
      <c r="L165" t="s">
        <v>77</v>
      </c>
      <c r="M165">
        <v>770.35</v>
      </c>
      <c r="N165" s="3">
        <f t="shared" si="2"/>
        <v>45839</v>
      </c>
    </row>
    <row r="166" spans="1:14" x14ac:dyDescent="0.35">
      <c r="A166" t="s">
        <v>351</v>
      </c>
      <c r="B166" t="s">
        <v>201</v>
      </c>
      <c r="C166" t="s">
        <v>24</v>
      </c>
      <c r="D166" t="s">
        <v>116</v>
      </c>
      <c r="E166" t="s">
        <v>43</v>
      </c>
      <c r="F166" t="s">
        <v>44</v>
      </c>
      <c r="G166" t="s">
        <v>56</v>
      </c>
      <c r="H166">
        <v>8</v>
      </c>
      <c r="I166">
        <v>753.67</v>
      </c>
      <c r="J166">
        <v>6029.36</v>
      </c>
      <c r="K166" t="s">
        <v>63</v>
      </c>
      <c r="L166" t="s">
        <v>50</v>
      </c>
      <c r="M166">
        <v>1197.58</v>
      </c>
      <c r="N166" s="3">
        <f t="shared" si="2"/>
        <v>45992</v>
      </c>
    </row>
    <row r="167" spans="1:14" x14ac:dyDescent="0.35">
      <c r="A167" t="s">
        <v>352</v>
      </c>
      <c r="B167" t="s">
        <v>168</v>
      </c>
      <c r="C167" t="s">
        <v>15</v>
      </c>
      <c r="D167" t="s">
        <v>25</v>
      </c>
      <c r="E167" t="s">
        <v>48</v>
      </c>
      <c r="F167" t="s">
        <v>27</v>
      </c>
      <c r="G167" t="s">
        <v>56</v>
      </c>
      <c r="H167">
        <v>15</v>
      </c>
      <c r="I167">
        <v>260.63</v>
      </c>
      <c r="J167">
        <v>3909.45</v>
      </c>
      <c r="K167" t="s">
        <v>20</v>
      </c>
      <c r="L167" t="s">
        <v>77</v>
      </c>
      <c r="M167">
        <v>924.92</v>
      </c>
      <c r="N167" s="3">
        <f t="shared" si="2"/>
        <v>45992</v>
      </c>
    </row>
    <row r="168" spans="1:14" x14ac:dyDescent="0.35">
      <c r="A168" t="s">
        <v>353</v>
      </c>
      <c r="B168" t="s">
        <v>354</v>
      </c>
      <c r="C168" t="s">
        <v>47</v>
      </c>
      <c r="D168" t="s">
        <v>116</v>
      </c>
      <c r="E168" t="s">
        <v>17</v>
      </c>
      <c r="F168" t="s">
        <v>37</v>
      </c>
      <c r="G168" t="s">
        <v>19</v>
      </c>
      <c r="H168">
        <v>2</v>
      </c>
      <c r="I168">
        <v>603.53</v>
      </c>
      <c r="J168">
        <v>1207.06</v>
      </c>
      <c r="K168" t="s">
        <v>20</v>
      </c>
      <c r="L168" t="s">
        <v>21</v>
      </c>
      <c r="M168">
        <v>275.33999999999997</v>
      </c>
      <c r="N168" s="3">
        <f t="shared" si="2"/>
        <v>45717</v>
      </c>
    </row>
    <row r="169" spans="1:14" x14ac:dyDescent="0.35">
      <c r="A169" t="s">
        <v>355</v>
      </c>
      <c r="B169" t="s">
        <v>356</v>
      </c>
      <c r="C169" t="s">
        <v>15</v>
      </c>
      <c r="D169" t="s">
        <v>25</v>
      </c>
      <c r="E169" t="s">
        <v>26</v>
      </c>
      <c r="F169" t="s">
        <v>44</v>
      </c>
      <c r="G169" t="s">
        <v>28</v>
      </c>
      <c r="H169">
        <v>12</v>
      </c>
      <c r="I169">
        <v>699.83</v>
      </c>
      <c r="J169">
        <v>8397.9599999999991</v>
      </c>
      <c r="K169" t="s">
        <v>49</v>
      </c>
      <c r="L169" t="s">
        <v>21</v>
      </c>
      <c r="M169">
        <v>2698.22</v>
      </c>
      <c r="N169" s="3">
        <f t="shared" si="2"/>
        <v>45870</v>
      </c>
    </row>
    <row r="170" spans="1:14" x14ac:dyDescent="0.35">
      <c r="A170" t="s">
        <v>357</v>
      </c>
      <c r="B170" t="s">
        <v>358</v>
      </c>
      <c r="C170" t="s">
        <v>47</v>
      </c>
      <c r="D170" t="s">
        <v>116</v>
      </c>
      <c r="E170" t="s">
        <v>17</v>
      </c>
      <c r="F170" t="s">
        <v>18</v>
      </c>
      <c r="G170" t="s">
        <v>96</v>
      </c>
      <c r="H170">
        <v>14</v>
      </c>
      <c r="I170">
        <v>674.59</v>
      </c>
      <c r="J170">
        <v>9444.26</v>
      </c>
      <c r="K170" t="s">
        <v>49</v>
      </c>
      <c r="L170" t="s">
        <v>21</v>
      </c>
      <c r="M170">
        <v>3079.28</v>
      </c>
      <c r="N170" s="3">
        <f t="shared" si="2"/>
        <v>45870</v>
      </c>
    </row>
    <row r="171" spans="1:14" x14ac:dyDescent="0.35">
      <c r="A171" t="s">
        <v>359</v>
      </c>
      <c r="B171" t="s">
        <v>354</v>
      </c>
      <c r="C171" t="s">
        <v>15</v>
      </c>
      <c r="D171" t="s">
        <v>116</v>
      </c>
      <c r="E171" t="s">
        <v>17</v>
      </c>
      <c r="F171" t="s">
        <v>44</v>
      </c>
      <c r="G171" t="s">
        <v>19</v>
      </c>
      <c r="H171">
        <v>10</v>
      </c>
      <c r="I171">
        <v>353.85</v>
      </c>
      <c r="J171">
        <v>3538.5</v>
      </c>
      <c r="K171" t="s">
        <v>82</v>
      </c>
      <c r="L171" t="s">
        <v>21</v>
      </c>
      <c r="M171">
        <v>1038.81</v>
      </c>
      <c r="N171" s="3">
        <f t="shared" si="2"/>
        <v>45717</v>
      </c>
    </row>
    <row r="172" spans="1:14" x14ac:dyDescent="0.35">
      <c r="A172" t="s">
        <v>360</v>
      </c>
      <c r="B172" t="s">
        <v>144</v>
      </c>
      <c r="C172" t="s">
        <v>24</v>
      </c>
      <c r="D172" t="s">
        <v>53</v>
      </c>
      <c r="E172" t="s">
        <v>43</v>
      </c>
      <c r="F172" t="s">
        <v>18</v>
      </c>
      <c r="G172" t="s">
        <v>56</v>
      </c>
      <c r="H172">
        <v>12</v>
      </c>
      <c r="I172">
        <v>405.12</v>
      </c>
      <c r="J172">
        <v>4861.4399999999996</v>
      </c>
      <c r="K172" t="s">
        <v>49</v>
      </c>
      <c r="L172" t="s">
        <v>39</v>
      </c>
      <c r="M172">
        <v>506.34</v>
      </c>
      <c r="N172" s="3">
        <f t="shared" si="2"/>
        <v>45992</v>
      </c>
    </row>
    <row r="173" spans="1:14" x14ac:dyDescent="0.35">
      <c r="A173" t="s">
        <v>361</v>
      </c>
      <c r="B173" t="s">
        <v>362</v>
      </c>
      <c r="C173" t="s">
        <v>24</v>
      </c>
      <c r="D173" t="s">
        <v>69</v>
      </c>
      <c r="E173" t="s">
        <v>26</v>
      </c>
      <c r="F173" t="s">
        <v>37</v>
      </c>
      <c r="G173" t="s">
        <v>19</v>
      </c>
      <c r="H173">
        <v>11</v>
      </c>
      <c r="I173">
        <v>336.05</v>
      </c>
      <c r="J173">
        <v>3696.55</v>
      </c>
      <c r="K173" t="s">
        <v>20</v>
      </c>
      <c r="L173" t="s">
        <v>34</v>
      </c>
      <c r="M173">
        <v>397.18</v>
      </c>
      <c r="N173" s="3">
        <f t="shared" si="2"/>
        <v>45992</v>
      </c>
    </row>
    <row r="174" spans="1:14" x14ac:dyDescent="0.35">
      <c r="A174" t="s">
        <v>363</v>
      </c>
      <c r="B174" t="s">
        <v>364</v>
      </c>
      <c r="C174" t="s">
        <v>32</v>
      </c>
      <c r="D174" t="s">
        <v>116</v>
      </c>
      <c r="E174" t="s">
        <v>26</v>
      </c>
      <c r="F174" t="s">
        <v>44</v>
      </c>
      <c r="G174" t="s">
        <v>19</v>
      </c>
      <c r="H174">
        <v>14</v>
      </c>
      <c r="I174">
        <v>838.71</v>
      </c>
      <c r="J174">
        <v>11741.94</v>
      </c>
      <c r="K174" t="s">
        <v>20</v>
      </c>
      <c r="L174" t="s">
        <v>21</v>
      </c>
      <c r="M174">
        <v>2407.73</v>
      </c>
      <c r="N174" s="3">
        <f t="shared" si="2"/>
        <v>45839</v>
      </c>
    </row>
    <row r="175" spans="1:14" x14ac:dyDescent="0.35">
      <c r="A175" t="s">
        <v>365</v>
      </c>
      <c r="B175" t="s">
        <v>366</v>
      </c>
      <c r="C175" t="s">
        <v>15</v>
      </c>
      <c r="D175" t="s">
        <v>74</v>
      </c>
      <c r="E175" t="s">
        <v>26</v>
      </c>
      <c r="F175" t="s">
        <v>27</v>
      </c>
      <c r="G175" t="s">
        <v>38</v>
      </c>
      <c r="H175">
        <v>10</v>
      </c>
      <c r="I175">
        <v>624.35</v>
      </c>
      <c r="J175">
        <v>6243.5</v>
      </c>
      <c r="K175" t="s">
        <v>49</v>
      </c>
      <c r="L175" t="s">
        <v>21</v>
      </c>
      <c r="M175">
        <v>654.33000000000004</v>
      </c>
      <c r="N175" s="3">
        <f t="shared" si="2"/>
        <v>45839</v>
      </c>
    </row>
    <row r="176" spans="1:14" x14ac:dyDescent="0.35">
      <c r="A176" t="s">
        <v>367</v>
      </c>
      <c r="B176" t="s">
        <v>368</v>
      </c>
      <c r="C176" t="s">
        <v>47</v>
      </c>
      <c r="D176" t="s">
        <v>16</v>
      </c>
      <c r="E176" t="s">
        <v>43</v>
      </c>
      <c r="F176" t="s">
        <v>37</v>
      </c>
      <c r="G176" t="s">
        <v>56</v>
      </c>
      <c r="H176">
        <v>6</v>
      </c>
      <c r="I176">
        <v>345.43</v>
      </c>
      <c r="J176">
        <v>2072.58</v>
      </c>
      <c r="K176" t="s">
        <v>20</v>
      </c>
      <c r="L176" t="s">
        <v>50</v>
      </c>
      <c r="M176">
        <v>595.38</v>
      </c>
      <c r="N176" s="3">
        <f t="shared" si="2"/>
        <v>45839</v>
      </c>
    </row>
    <row r="177" spans="1:14" x14ac:dyDescent="0.35">
      <c r="A177" t="s">
        <v>369</v>
      </c>
      <c r="B177" t="s">
        <v>58</v>
      </c>
      <c r="C177" t="s">
        <v>24</v>
      </c>
      <c r="D177" t="s">
        <v>53</v>
      </c>
      <c r="E177" t="s">
        <v>43</v>
      </c>
      <c r="F177" t="s">
        <v>27</v>
      </c>
      <c r="G177" t="s">
        <v>85</v>
      </c>
      <c r="H177">
        <v>17</v>
      </c>
      <c r="I177">
        <v>941.28</v>
      </c>
      <c r="J177">
        <v>16001.76</v>
      </c>
      <c r="K177" t="s">
        <v>63</v>
      </c>
      <c r="L177" t="s">
        <v>34</v>
      </c>
      <c r="M177">
        <v>2858.02</v>
      </c>
      <c r="N177" s="3">
        <f t="shared" si="2"/>
        <v>45717</v>
      </c>
    </row>
    <row r="178" spans="1:14" x14ac:dyDescent="0.35">
      <c r="A178" t="s">
        <v>370</v>
      </c>
      <c r="B178" t="s">
        <v>95</v>
      </c>
      <c r="C178" t="s">
        <v>24</v>
      </c>
      <c r="D178" t="s">
        <v>69</v>
      </c>
      <c r="E178" t="s">
        <v>48</v>
      </c>
      <c r="F178" t="s">
        <v>27</v>
      </c>
      <c r="G178" t="s">
        <v>19</v>
      </c>
      <c r="H178">
        <v>17</v>
      </c>
      <c r="I178">
        <v>912.27</v>
      </c>
      <c r="J178">
        <v>15508.59</v>
      </c>
      <c r="K178" t="s">
        <v>49</v>
      </c>
      <c r="L178" t="s">
        <v>34</v>
      </c>
      <c r="M178">
        <v>4838.22</v>
      </c>
      <c r="N178" s="3">
        <f t="shared" si="2"/>
        <v>45931</v>
      </c>
    </row>
    <row r="179" spans="1:14" x14ac:dyDescent="0.35">
      <c r="A179" t="s">
        <v>371</v>
      </c>
      <c r="B179" t="s">
        <v>277</v>
      </c>
      <c r="C179" t="s">
        <v>24</v>
      </c>
      <c r="D179" t="s">
        <v>69</v>
      </c>
      <c r="E179" t="s">
        <v>17</v>
      </c>
      <c r="F179" t="s">
        <v>27</v>
      </c>
      <c r="G179" t="s">
        <v>85</v>
      </c>
      <c r="H179">
        <v>15</v>
      </c>
      <c r="I179">
        <v>105.71</v>
      </c>
      <c r="J179">
        <v>1585.65</v>
      </c>
      <c r="K179" t="s">
        <v>49</v>
      </c>
      <c r="L179" t="s">
        <v>34</v>
      </c>
      <c r="M179">
        <v>328.98</v>
      </c>
      <c r="N179" s="3">
        <f t="shared" si="2"/>
        <v>45748</v>
      </c>
    </row>
    <row r="180" spans="1:14" x14ac:dyDescent="0.35">
      <c r="A180" t="s">
        <v>372</v>
      </c>
      <c r="B180" t="s">
        <v>373</v>
      </c>
      <c r="C180" t="s">
        <v>15</v>
      </c>
      <c r="D180" t="s">
        <v>25</v>
      </c>
      <c r="E180" t="s">
        <v>43</v>
      </c>
      <c r="F180" t="s">
        <v>18</v>
      </c>
      <c r="G180" t="s">
        <v>45</v>
      </c>
      <c r="H180">
        <v>8</v>
      </c>
      <c r="I180">
        <v>649.91999999999996</v>
      </c>
      <c r="J180">
        <v>5199.3599999999997</v>
      </c>
      <c r="K180" t="s">
        <v>49</v>
      </c>
      <c r="L180" t="s">
        <v>50</v>
      </c>
      <c r="M180">
        <v>1510.5</v>
      </c>
      <c r="N180" s="3">
        <f t="shared" si="2"/>
        <v>45839</v>
      </c>
    </row>
    <row r="181" spans="1:14" x14ac:dyDescent="0.35">
      <c r="A181" t="s">
        <v>374</v>
      </c>
      <c r="B181" t="s">
        <v>189</v>
      </c>
      <c r="C181" t="s">
        <v>32</v>
      </c>
      <c r="D181" t="s">
        <v>53</v>
      </c>
      <c r="E181" t="s">
        <v>48</v>
      </c>
      <c r="F181" t="s">
        <v>37</v>
      </c>
      <c r="G181" t="s">
        <v>96</v>
      </c>
      <c r="H181">
        <v>5</v>
      </c>
      <c r="I181">
        <v>652.48</v>
      </c>
      <c r="J181">
        <v>3262.4</v>
      </c>
      <c r="K181" t="s">
        <v>66</v>
      </c>
      <c r="L181" t="s">
        <v>39</v>
      </c>
      <c r="M181">
        <v>880.23</v>
      </c>
      <c r="N181" s="3">
        <f t="shared" si="2"/>
        <v>45901</v>
      </c>
    </row>
    <row r="182" spans="1:14" x14ac:dyDescent="0.35">
      <c r="A182" t="s">
        <v>375</v>
      </c>
      <c r="B182" t="s">
        <v>320</v>
      </c>
      <c r="C182" t="s">
        <v>47</v>
      </c>
      <c r="D182" t="s">
        <v>25</v>
      </c>
      <c r="E182" t="s">
        <v>26</v>
      </c>
      <c r="F182" t="s">
        <v>18</v>
      </c>
      <c r="G182" t="s">
        <v>96</v>
      </c>
      <c r="H182">
        <v>15</v>
      </c>
      <c r="I182">
        <v>941.92</v>
      </c>
      <c r="J182">
        <v>14128.8</v>
      </c>
      <c r="K182" t="s">
        <v>66</v>
      </c>
      <c r="L182" t="s">
        <v>39</v>
      </c>
      <c r="M182">
        <v>1755.77</v>
      </c>
      <c r="N182" s="3">
        <f t="shared" si="2"/>
        <v>45809</v>
      </c>
    </row>
    <row r="183" spans="1:14" x14ac:dyDescent="0.35">
      <c r="A183" t="s">
        <v>376</v>
      </c>
      <c r="B183" t="s">
        <v>123</v>
      </c>
      <c r="C183" t="s">
        <v>24</v>
      </c>
      <c r="D183" t="s">
        <v>16</v>
      </c>
      <c r="E183" t="s">
        <v>48</v>
      </c>
      <c r="F183" t="s">
        <v>44</v>
      </c>
      <c r="G183" t="s">
        <v>45</v>
      </c>
      <c r="H183">
        <v>10</v>
      </c>
      <c r="I183">
        <v>45.36</v>
      </c>
      <c r="J183">
        <v>453.6</v>
      </c>
      <c r="K183" t="s">
        <v>66</v>
      </c>
      <c r="L183" t="s">
        <v>34</v>
      </c>
      <c r="M183">
        <v>154.97999999999999</v>
      </c>
      <c r="N183" s="3">
        <f t="shared" si="2"/>
        <v>45901</v>
      </c>
    </row>
    <row r="184" spans="1:14" x14ac:dyDescent="0.35">
      <c r="A184" t="s">
        <v>377</v>
      </c>
      <c r="B184" t="s">
        <v>378</v>
      </c>
      <c r="C184" t="s">
        <v>32</v>
      </c>
      <c r="D184" t="s">
        <v>74</v>
      </c>
      <c r="E184" t="s">
        <v>26</v>
      </c>
      <c r="F184" t="s">
        <v>27</v>
      </c>
      <c r="G184" t="s">
        <v>28</v>
      </c>
      <c r="H184">
        <v>17</v>
      </c>
      <c r="I184">
        <v>239.83</v>
      </c>
      <c r="J184">
        <v>4077.11</v>
      </c>
      <c r="K184" t="s">
        <v>82</v>
      </c>
      <c r="L184" t="s">
        <v>34</v>
      </c>
      <c r="M184">
        <v>1272.45</v>
      </c>
      <c r="N184" s="3">
        <f t="shared" si="2"/>
        <v>45717</v>
      </c>
    </row>
    <row r="185" spans="1:14" x14ac:dyDescent="0.35">
      <c r="A185" t="s">
        <v>379</v>
      </c>
      <c r="B185" t="s">
        <v>380</v>
      </c>
      <c r="C185" t="s">
        <v>24</v>
      </c>
      <c r="D185" t="s">
        <v>33</v>
      </c>
      <c r="E185" t="s">
        <v>48</v>
      </c>
      <c r="F185" t="s">
        <v>18</v>
      </c>
      <c r="G185" t="s">
        <v>28</v>
      </c>
      <c r="H185">
        <v>6</v>
      </c>
      <c r="I185">
        <v>426.86</v>
      </c>
      <c r="J185">
        <v>2561.16</v>
      </c>
      <c r="K185" t="s">
        <v>82</v>
      </c>
      <c r="L185" t="s">
        <v>50</v>
      </c>
      <c r="M185">
        <v>453.82</v>
      </c>
      <c r="N185" s="3">
        <f t="shared" si="2"/>
        <v>45778</v>
      </c>
    </row>
    <row r="186" spans="1:14" x14ac:dyDescent="0.35">
      <c r="A186" t="s">
        <v>381</v>
      </c>
      <c r="B186" t="s">
        <v>382</v>
      </c>
      <c r="C186" t="s">
        <v>15</v>
      </c>
      <c r="D186" t="s">
        <v>33</v>
      </c>
      <c r="E186" t="s">
        <v>17</v>
      </c>
      <c r="F186" t="s">
        <v>18</v>
      </c>
      <c r="G186" t="s">
        <v>96</v>
      </c>
      <c r="H186">
        <v>16</v>
      </c>
      <c r="I186">
        <v>801.96</v>
      </c>
      <c r="J186">
        <v>12831.36</v>
      </c>
      <c r="K186" t="s">
        <v>63</v>
      </c>
      <c r="L186" t="s">
        <v>34</v>
      </c>
      <c r="M186">
        <v>2825.44</v>
      </c>
      <c r="N186" s="3">
        <f t="shared" si="2"/>
        <v>45689</v>
      </c>
    </row>
    <row r="187" spans="1:14" x14ac:dyDescent="0.35">
      <c r="A187" t="s">
        <v>383</v>
      </c>
      <c r="B187" t="s">
        <v>384</v>
      </c>
      <c r="C187" t="s">
        <v>47</v>
      </c>
      <c r="D187" t="s">
        <v>42</v>
      </c>
      <c r="E187" t="s">
        <v>48</v>
      </c>
      <c r="F187" t="s">
        <v>27</v>
      </c>
      <c r="G187" t="s">
        <v>28</v>
      </c>
      <c r="H187">
        <v>5</v>
      </c>
      <c r="I187">
        <v>118.68</v>
      </c>
      <c r="J187">
        <v>593.4</v>
      </c>
      <c r="K187" t="s">
        <v>49</v>
      </c>
      <c r="L187" t="s">
        <v>34</v>
      </c>
      <c r="M187">
        <v>169.36</v>
      </c>
      <c r="N187" s="3">
        <f t="shared" si="2"/>
        <v>45931</v>
      </c>
    </row>
    <row r="188" spans="1:14" x14ac:dyDescent="0.35">
      <c r="A188" t="s">
        <v>385</v>
      </c>
      <c r="B188" t="s">
        <v>386</v>
      </c>
      <c r="C188" t="s">
        <v>24</v>
      </c>
      <c r="D188" t="s">
        <v>25</v>
      </c>
      <c r="E188" t="s">
        <v>48</v>
      </c>
      <c r="F188" t="s">
        <v>44</v>
      </c>
      <c r="G188" t="s">
        <v>19</v>
      </c>
      <c r="H188">
        <v>20</v>
      </c>
      <c r="I188">
        <v>687.55</v>
      </c>
      <c r="J188">
        <v>13751</v>
      </c>
      <c r="K188" t="s">
        <v>20</v>
      </c>
      <c r="L188" t="s">
        <v>34</v>
      </c>
      <c r="M188">
        <v>2987.04</v>
      </c>
      <c r="N188" s="3">
        <f t="shared" si="2"/>
        <v>45778</v>
      </c>
    </row>
    <row r="189" spans="1:14" x14ac:dyDescent="0.35">
      <c r="A189" t="s">
        <v>387</v>
      </c>
      <c r="B189" t="s">
        <v>388</v>
      </c>
      <c r="C189" t="s">
        <v>32</v>
      </c>
      <c r="D189" t="s">
        <v>69</v>
      </c>
      <c r="E189" t="s">
        <v>17</v>
      </c>
      <c r="F189" t="s">
        <v>18</v>
      </c>
      <c r="G189" t="s">
        <v>105</v>
      </c>
      <c r="H189">
        <v>18</v>
      </c>
      <c r="I189">
        <v>509.01</v>
      </c>
      <c r="J189">
        <v>9162.18</v>
      </c>
      <c r="K189" t="s">
        <v>49</v>
      </c>
      <c r="L189" t="s">
        <v>77</v>
      </c>
      <c r="M189">
        <v>1840.74</v>
      </c>
      <c r="N189" s="3">
        <f t="shared" si="2"/>
        <v>45658</v>
      </c>
    </row>
    <row r="190" spans="1:14" x14ac:dyDescent="0.35">
      <c r="A190" t="s">
        <v>389</v>
      </c>
      <c r="B190" t="s">
        <v>23</v>
      </c>
      <c r="C190" t="s">
        <v>47</v>
      </c>
      <c r="D190" t="s">
        <v>69</v>
      </c>
      <c r="E190" t="s">
        <v>48</v>
      </c>
      <c r="F190" t="s">
        <v>27</v>
      </c>
      <c r="G190" t="s">
        <v>105</v>
      </c>
      <c r="H190">
        <v>7</v>
      </c>
      <c r="I190">
        <v>542.76</v>
      </c>
      <c r="J190">
        <v>3799.32</v>
      </c>
      <c r="K190" t="s">
        <v>63</v>
      </c>
      <c r="L190" t="s">
        <v>21</v>
      </c>
      <c r="M190">
        <v>953.54</v>
      </c>
      <c r="N190" s="3">
        <f t="shared" si="2"/>
        <v>45717</v>
      </c>
    </row>
    <row r="191" spans="1:14" x14ac:dyDescent="0.35">
      <c r="A191" t="s">
        <v>390</v>
      </c>
      <c r="B191" t="s">
        <v>233</v>
      </c>
      <c r="C191" t="s">
        <v>24</v>
      </c>
      <c r="D191" t="s">
        <v>53</v>
      </c>
      <c r="E191" t="s">
        <v>43</v>
      </c>
      <c r="F191" t="s">
        <v>37</v>
      </c>
      <c r="G191" t="s">
        <v>19</v>
      </c>
      <c r="H191">
        <v>14</v>
      </c>
      <c r="I191">
        <v>752.4</v>
      </c>
      <c r="J191">
        <v>10533.6</v>
      </c>
      <c r="K191" t="s">
        <v>49</v>
      </c>
      <c r="L191" t="s">
        <v>34</v>
      </c>
      <c r="M191">
        <v>1212.8800000000001</v>
      </c>
      <c r="N191" s="3">
        <f t="shared" si="2"/>
        <v>45748</v>
      </c>
    </row>
    <row r="192" spans="1:14" x14ac:dyDescent="0.35">
      <c r="A192" t="s">
        <v>391</v>
      </c>
      <c r="B192" t="s">
        <v>356</v>
      </c>
      <c r="C192" t="s">
        <v>24</v>
      </c>
      <c r="D192" t="s">
        <v>42</v>
      </c>
      <c r="E192" t="s">
        <v>48</v>
      </c>
      <c r="F192" t="s">
        <v>27</v>
      </c>
      <c r="G192" t="s">
        <v>85</v>
      </c>
      <c r="H192">
        <v>20</v>
      </c>
      <c r="I192">
        <v>403.28</v>
      </c>
      <c r="J192">
        <v>8065.6</v>
      </c>
      <c r="K192" t="s">
        <v>66</v>
      </c>
      <c r="L192" t="s">
        <v>39</v>
      </c>
      <c r="M192">
        <v>2602.71</v>
      </c>
      <c r="N192" s="3">
        <f t="shared" si="2"/>
        <v>45870</v>
      </c>
    </row>
    <row r="193" spans="1:14" x14ac:dyDescent="0.35">
      <c r="A193" t="s">
        <v>392</v>
      </c>
      <c r="B193" t="s">
        <v>393</v>
      </c>
      <c r="C193" t="s">
        <v>32</v>
      </c>
      <c r="D193" t="s">
        <v>116</v>
      </c>
      <c r="E193" t="s">
        <v>48</v>
      </c>
      <c r="F193" t="s">
        <v>37</v>
      </c>
      <c r="G193" t="s">
        <v>85</v>
      </c>
      <c r="H193">
        <v>1</v>
      </c>
      <c r="I193">
        <v>95.45</v>
      </c>
      <c r="J193">
        <v>95.45</v>
      </c>
      <c r="K193" t="s">
        <v>49</v>
      </c>
      <c r="L193" t="s">
        <v>39</v>
      </c>
      <c r="M193">
        <v>20.66</v>
      </c>
      <c r="N193" s="3">
        <f t="shared" si="2"/>
        <v>45717</v>
      </c>
    </row>
    <row r="194" spans="1:14" x14ac:dyDescent="0.35">
      <c r="A194" t="s">
        <v>394</v>
      </c>
      <c r="B194" t="s">
        <v>272</v>
      </c>
      <c r="C194" t="s">
        <v>15</v>
      </c>
      <c r="D194" t="s">
        <v>116</v>
      </c>
      <c r="E194" t="s">
        <v>48</v>
      </c>
      <c r="F194" t="s">
        <v>44</v>
      </c>
      <c r="G194" t="s">
        <v>105</v>
      </c>
      <c r="H194">
        <v>14</v>
      </c>
      <c r="I194">
        <v>849.99</v>
      </c>
      <c r="J194">
        <v>11899.86</v>
      </c>
      <c r="K194" t="s">
        <v>82</v>
      </c>
      <c r="L194" t="s">
        <v>34</v>
      </c>
      <c r="M194">
        <v>2984.87</v>
      </c>
      <c r="N194" s="3">
        <f t="shared" si="2"/>
        <v>45931</v>
      </c>
    </row>
    <row r="195" spans="1:14" x14ac:dyDescent="0.35">
      <c r="A195" t="s">
        <v>395</v>
      </c>
      <c r="B195" t="s">
        <v>396</v>
      </c>
      <c r="C195" t="s">
        <v>47</v>
      </c>
      <c r="D195" t="s">
        <v>33</v>
      </c>
      <c r="E195" t="s">
        <v>48</v>
      </c>
      <c r="F195" t="s">
        <v>18</v>
      </c>
      <c r="G195" t="s">
        <v>105</v>
      </c>
      <c r="H195">
        <v>1</v>
      </c>
      <c r="I195">
        <v>765.84</v>
      </c>
      <c r="J195">
        <v>765.84</v>
      </c>
      <c r="K195" t="s">
        <v>66</v>
      </c>
      <c r="L195" t="s">
        <v>50</v>
      </c>
      <c r="M195">
        <v>102.39</v>
      </c>
      <c r="N195" s="3">
        <f t="shared" ref="N195:N258" si="3">DATE(YEAR(B195),MONTH(B195),1)</f>
        <v>45748</v>
      </c>
    </row>
    <row r="196" spans="1:14" x14ac:dyDescent="0.35">
      <c r="A196" t="s">
        <v>397</v>
      </c>
      <c r="B196" t="s">
        <v>398</v>
      </c>
      <c r="C196" t="s">
        <v>32</v>
      </c>
      <c r="D196" t="s">
        <v>69</v>
      </c>
      <c r="E196" t="s">
        <v>26</v>
      </c>
      <c r="F196" t="s">
        <v>44</v>
      </c>
      <c r="G196" t="s">
        <v>28</v>
      </c>
      <c r="H196">
        <v>7</v>
      </c>
      <c r="I196">
        <v>173.88</v>
      </c>
      <c r="J196">
        <v>1217.1600000000001</v>
      </c>
      <c r="K196" t="s">
        <v>20</v>
      </c>
      <c r="L196" t="s">
        <v>21</v>
      </c>
      <c r="M196">
        <v>298.41000000000003</v>
      </c>
      <c r="N196" s="3">
        <f t="shared" si="3"/>
        <v>45658</v>
      </c>
    </row>
    <row r="197" spans="1:14" x14ac:dyDescent="0.35">
      <c r="A197" t="s">
        <v>399</v>
      </c>
      <c r="B197" t="s">
        <v>350</v>
      </c>
      <c r="C197" t="s">
        <v>15</v>
      </c>
      <c r="D197" t="s">
        <v>74</v>
      </c>
      <c r="E197" t="s">
        <v>43</v>
      </c>
      <c r="F197" t="s">
        <v>27</v>
      </c>
      <c r="G197" t="s">
        <v>19</v>
      </c>
      <c r="H197">
        <v>13</v>
      </c>
      <c r="I197">
        <v>146.44999999999999</v>
      </c>
      <c r="J197">
        <v>1903.85</v>
      </c>
      <c r="K197" t="s">
        <v>82</v>
      </c>
      <c r="L197" t="s">
        <v>39</v>
      </c>
      <c r="M197">
        <v>641.4</v>
      </c>
      <c r="N197" s="3">
        <f t="shared" si="3"/>
        <v>45839</v>
      </c>
    </row>
    <row r="198" spans="1:14" x14ac:dyDescent="0.35">
      <c r="A198" t="s">
        <v>400</v>
      </c>
      <c r="B198" t="s">
        <v>401</v>
      </c>
      <c r="C198" t="s">
        <v>15</v>
      </c>
      <c r="D198" t="s">
        <v>42</v>
      </c>
      <c r="E198" t="s">
        <v>17</v>
      </c>
      <c r="F198" t="s">
        <v>37</v>
      </c>
      <c r="G198" t="s">
        <v>105</v>
      </c>
      <c r="H198">
        <v>9</v>
      </c>
      <c r="I198">
        <v>716.1</v>
      </c>
      <c r="J198">
        <v>6444.9</v>
      </c>
      <c r="K198" t="s">
        <v>66</v>
      </c>
      <c r="L198" t="s">
        <v>50</v>
      </c>
      <c r="M198">
        <v>1115</v>
      </c>
      <c r="N198" s="3">
        <f t="shared" si="3"/>
        <v>45839</v>
      </c>
    </row>
    <row r="199" spans="1:14" x14ac:dyDescent="0.35">
      <c r="A199" t="s">
        <v>402</v>
      </c>
      <c r="B199" t="s">
        <v>403</v>
      </c>
      <c r="C199" t="s">
        <v>15</v>
      </c>
      <c r="D199" t="s">
        <v>53</v>
      </c>
      <c r="E199" t="s">
        <v>48</v>
      </c>
      <c r="F199" t="s">
        <v>44</v>
      </c>
      <c r="G199" t="s">
        <v>38</v>
      </c>
      <c r="H199">
        <v>17</v>
      </c>
      <c r="I199">
        <v>117.74</v>
      </c>
      <c r="J199">
        <v>2001.58</v>
      </c>
      <c r="K199" t="s">
        <v>82</v>
      </c>
      <c r="L199" t="s">
        <v>34</v>
      </c>
      <c r="M199">
        <v>373.37</v>
      </c>
      <c r="N199" s="3">
        <f t="shared" si="3"/>
        <v>45992</v>
      </c>
    </row>
    <row r="200" spans="1:14" x14ac:dyDescent="0.35">
      <c r="A200" t="s">
        <v>404</v>
      </c>
      <c r="B200" t="s">
        <v>356</v>
      </c>
      <c r="C200" t="s">
        <v>32</v>
      </c>
      <c r="D200" t="s">
        <v>16</v>
      </c>
      <c r="E200" t="s">
        <v>17</v>
      </c>
      <c r="F200" t="s">
        <v>37</v>
      </c>
      <c r="G200" t="s">
        <v>96</v>
      </c>
      <c r="H200">
        <v>5</v>
      </c>
      <c r="I200">
        <v>281.62</v>
      </c>
      <c r="J200">
        <v>1408.1</v>
      </c>
      <c r="K200" t="s">
        <v>82</v>
      </c>
      <c r="L200" t="s">
        <v>77</v>
      </c>
      <c r="M200">
        <v>169.27</v>
      </c>
      <c r="N200" s="3">
        <f t="shared" si="3"/>
        <v>45870</v>
      </c>
    </row>
    <row r="201" spans="1:14" x14ac:dyDescent="0.35">
      <c r="A201" t="s">
        <v>405</v>
      </c>
      <c r="B201" t="s">
        <v>406</v>
      </c>
      <c r="C201" t="s">
        <v>24</v>
      </c>
      <c r="D201" t="s">
        <v>16</v>
      </c>
      <c r="E201" t="s">
        <v>17</v>
      </c>
      <c r="F201" t="s">
        <v>37</v>
      </c>
      <c r="G201" t="s">
        <v>38</v>
      </c>
      <c r="H201">
        <v>10</v>
      </c>
      <c r="I201">
        <v>718.54</v>
      </c>
      <c r="J201">
        <v>7185.4</v>
      </c>
      <c r="K201" t="s">
        <v>49</v>
      </c>
      <c r="L201" t="s">
        <v>50</v>
      </c>
      <c r="M201">
        <v>802.05</v>
      </c>
      <c r="N201" s="3">
        <f t="shared" si="3"/>
        <v>45748</v>
      </c>
    </row>
    <row r="202" spans="1:14" x14ac:dyDescent="0.35">
      <c r="A202" t="s">
        <v>407</v>
      </c>
      <c r="B202" t="s">
        <v>396</v>
      </c>
      <c r="C202" t="s">
        <v>15</v>
      </c>
      <c r="D202" t="s">
        <v>74</v>
      </c>
      <c r="E202" t="s">
        <v>48</v>
      </c>
      <c r="F202" t="s">
        <v>27</v>
      </c>
      <c r="G202" t="s">
        <v>56</v>
      </c>
      <c r="H202">
        <v>3</v>
      </c>
      <c r="I202">
        <v>133.75</v>
      </c>
      <c r="J202">
        <v>401.25</v>
      </c>
      <c r="K202" t="s">
        <v>20</v>
      </c>
      <c r="L202" t="s">
        <v>34</v>
      </c>
      <c r="M202">
        <v>94.71</v>
      </c>
      <c r="N202" s="3">
        <f t="shared" si="3"/>
        <v>45748</v>
      </c>
    </row>
    <row r="203" spans="1:14" x14ac:dyDescent="0.35">
      <c r="A203" t="s">
        <v>408</v>
      </c>
      <c r="B203" t="s">
        <v>409</v>
      </c>
      <c r="C203" t="s">
        <v>15</v>
      </c>
      <c r="D203" t="s">
        <v>33</v>
      </c>
      <c r="E203" t="s">
        <v>48</v>
      </c>
      <c r="F203" t="s">
        <v>37</v>
      </c>
      <c r="G203" t="s">
        <v>19</v>
      </c>
      <c r="H203">
        <v>2</v>
      </c>
      <c r="I203">
        <v>240.29</v>
      </c>
      <c r="J203">
        <v>480.58</v>
      </c>
      <c r="K203" t="s">
        <v>63</v>
      </c>
      <c r="L203" t="s">
        <v>77</v>
      </c>
      <c r="M203">
        <v>146.44999999999999</v>
      </c>
      <c r="N203" s="3">
        <f t="shared" si="3"/>
        <v>45901</v>
      </c>
    </row>
    <row r="204" spans="1:14" x14ac:dyDescent="0.35">
      <c r="A204" t="s">
        <v>410</v>
      </c>
      <c r="B204" t="s">
        <v>411</v>
      </c>
      <c r="C204" t="s">
        <v>24</v>
      </c>
      <c r="D204" t="s">
        <v>42</v>
      </c>
      <c r="E204" t="s">
        <v>48</v>
      </c>
      <c r="F204" t="s">
        <v>44</v>
      </c>
      <c r="G204" t="s">
        <v>56</v>
      </c>
      <c r="H204">
        <v>7</v>
      </c>
      <c r="I204">
        <v>759.14</v>
      </c>
      <c r="J204">
        <v>5313.98</v>
      </c>
      <c r="K204" t="s">
        <v>63</v>
      </c>
      <c r="L204" t="s">
        <v>77</v>
      </c>
      <c r="M204">
        <v>1462.37</v>
      </c>
      <c r="N204" s="3">
        <f t="shared" si="3"/>
        <v>45658</v>
      </c>
    </row>
    <row r="205" spans="1:14" x14ac:dyDescent="0.35">
      <c r="A205" t="s">
        <v>412</v>
      </c>
      <c r="B205" t="s">
        <v>413</v>
      </c>
      <c r="C205" t="s">
        <v>32</v>
      </c>
      <c r="D205" t="s">
        <v>69</v>
      </c>
      <c r="E205" t="s">
        <v>26</v>
      </c>
      <c r="F205" t="s">
        <v>18</v>
      </c>
      <c r="G205" t="s">
        <v>96</v>
      </c>
      <c r="H205">
        <v>14</v>
      </c>
      <c r="I205">
        <v>527.96</v>
      </c>
      <c r="J205">
        <v>7391.44</v>
      </c>
      <c r="K205" t="s">
        <v>63</v>
      </c>
      <c r="L205" t="s">
        <v>34</v>
      </c>
      <c r="M205">
        <v>1159.3699999999999</v>
      </c>
      <c r="N205" s="3">
        <f t="shared" si="3"/>
        <v>45931</v>
      </c>
    </row>
    <row r="206" spans="1:14" x14ac:dyDescent="0.35">
      <c r="A206" t="s">
        <v>414</v>
      </c>
      <c r="B206" t="s">
        <v>291</v>
      </c>
      <c r="C206" t="s">
        <v>47</v>
      </c>
      <c r="D206" t="s">
        <v>16</v>
      </c>
      <c r="E206" t="s">
        <v>17</v>
      </c>
      <c r="F206" t="s">
        <v>27</v>
      </c>
      <c r="G206" t="s">
        <v>38</v>
      </c>
      <c r="H206">
        <v>5</v>
      </c>
      <c r="I206">
        <v>111.41</v>
      </c>
      <c r="J206">
        <v>557.04999999999995</v>
      </c>
      <c r="K206" t="s">
        <v>82</v>
      </c>
      <c r="L206" t="s">
        <v>50</v>
      </c>
      <c r="M206">
        <v>104.59</v>
      </c>
      <c r="N206" s="3">
        <f t="shared" si="3"/>
        <v>45931</v>
      </c>
    </row>
    <row r="207" spans="1:14" x14ac:dyDescent="0.35">
      <c r="A207" t="s">
        <v>415</v>
      </c>
      <c r="B207" t="s">
        <v>416</v>
      </c>
      <c r="C207" t="s">
        <v>47</v>
      </c>
      <c r="D207" t="s">
        <v>42</v>
      </c>
      <c r="E207" t="s">
        <v>17</v>
      </c>
      <c r="F207" t="s">
        <v>18</v>
      </c>
      <c r="G207" t="s">
        <v>45</v>
      </c>
      <c r="H207">
        <v>19</v>
      </c>
      <c r="I207">
        <v>73.290000000000006</v>
      </c>
      <c r="J207">
        <v>1392.51</v>
      </c>
      <c r="K207" t="s">
        <v>63</v>
      </c>
      <c r="L207" t="s">
        <v>34</v>
      </c>
      <c r="M207">
        <v>238.23</v>
      </c>
      <c r="N207" s="3">
        <f t="shared" si="3"/>
        <v>45778</v>
      </c>
    </row>
    <row r="208" spans="1:14" x14ac:dyDescent="0.35">
      <c r="A208" t="s">
        <v>417</v>
      </c>
      <c r="B208" t="s">
        <v>418</v>
      </c>
      <c r="C208" t="s">
        <v>32</v>
      </c>
      <c r="D208" t="s">
        <v>42</v>
      </c>
      <c r="E208" t="s">
        <v>26</v>
      </c>
      <c r="F208" t="s">
        <v>27</v>
      </c>
      <c r="G208" t="s">
        <v>105</v>
      </c>
      <c r="H208">
        <v>4</v>
      </c>
      <c r="I208">
        <v>591.9</v>
      </c>
      <c r="J208">
        <v>2367.6</v>
      </c>
      <c r="K208" t="s">
        <v>66</v>
      </c>
      <c r="L208" t="s">
        <v>34</v>
      </c>
      <c r="M208">
        <v>381.84</v>
      </c>
      <c r="N208" s="3">
        <f t="shared" si="3"/>
        <v>45931</v>
      </c>
    </row>
    <row r="209" spans="1:14" x14ac:dyDescent="0.35">
      <c r="A209" t="s">
        <v>419</v>
      </c>
      <c r="B209" t="s">
        <v>91</v>
      </c>
      <c r="C209" t="s">
        <v>47</v>
      </c>
      <c r="D209" t="s">
        <v>69</v>
      </c>
      <c r="E209" t="s">
        <v>43</v>
      </c>
      <c r="F209" t="s">
        <v>44</v>
      </c>
      <c r="G209" t="s">
        <v>96</v>
      </c>
      <c r="H209">
        <v>5</v>
      </c>
      <c r="I209">
        <v>680.64</v>
      </c>
      <c r="J209">
        <v>3403.2</v>
      </c>
      <c r="K209" t="s">
        <v>29</v>
      </c>
      <c r="L209" t="s">
        <v>50</v>
      </c>
      <c r="M209">
        <v>397.85</v>
      </c>
      <c r="N209" s="3">
        <f t="shared" si="3"/>
        <v>45809</v>
      </c>
    </row>
    <row r="210" spans="1:14" x14ac:dyDescent="0.35">
      <c r="A210" t="s">
        <v>420</v>
      </c>
      <c r="B210" t="s">
        <v>421</v>
      </c>
      <c r="C210" t="s">
        <v>47</v>
      </c>
      <c r="D210" t="s">
        <v>33</v>
      </c>
      <c r="E210" t="s">
        <v>43</v>
      </c>
      <c r="F210" t="s">
        <v>27</v>
      </c>
      <c r="G210" t="s">
        <v>28</v>
      </c>
      <c r="H210">
        <v>3</v>
      </c>
      <c r="I210">
        <v>293.69</v>
      </c>
      <c r="J210">
        <v>881.07</v>
      </c>
      <c r="K210" t="s">
        <v>66</v>
      </c>
      <c r="L210" t="s">
        <v>77</v>
      </c>
      <c r="M210">
        <v>166.31</v>
      </c>
      <c r="N210" s="3">
        <f t="shared" si="3"/>
        <v>45870</v>
      </c>
    </row>
    <row r="211" spans="1:14" x14ac:dyDescent="0.35">
      <c r="A211" t="s">
        <v>422</v>
      </c>
      <c r="B211" t="s">
        <v>125</v>
      </c>
      <c r="C211" t="s">
        <v>47</v>
      </c>
      <c r="D211" t="s">
        <v>16</v>
      </c>
      <c r="E211" t="s">
        <v>43</v>
      </c>
      <c r="F211" t="s">
        <v>27</v>
      </c>
      <c r="G211" t="s">
        <v>96</v>
      </c>
      <c r="H211">
        <v>12</v>
      </c>
      <c r="I211">
        <v>618.46</v>
      </c>
      <c r="J211">
        <v>7421.52</v>
      </c>
      <c r="K211" t="s">
        <v>49</v>
      </c>
      <c r="L211" t="s">
        <v>21</v>
      </c>
      <c r="M211">
        <v>2294.73</v>
      </c>
      <c r="N211" s="3">
        <f t="shared" si="3"/>
        <v>45778</v>
      </c>
    </row>
    <row r="212" spans="1:14" x14ac:dyDescent="0.35">
      <c r="A212" t="s">
        <v>423</v>
      </c>
      <c r="B212" t="s">
        <v>184</v>
      </c>
      <c r="C212" t="s">
        <v>32</v>
      </c>
      <c r="D212" t="s">
        <v>53</v>
      </c>
      <c r="E212" t="s">
        <v>26</v>
      </c>
      <c r="F212" t="s">
        <v>44</v>
      </c>
      <c r="G212" t="s">
        <v>105</v>
      </c>
      <c r="H212">
        <v>20</v>
      </c>
      <c r="I212">
        <v>862.45</v>
      </c>
      <c r="J212">
        <v>17249</v>
      </c>
      <c r="K212" t="s">
        <v>66</v>
      </c>
      <c r="L212" t="s">
        <v>34</v>
      </c>
      <c r="M212">
        <v>4781.51</v>
      </c>
      <c r="N212" s="3">
        <f t="shared" si="3"/>
        <v>45689</v>
      </c>
    </row>
    <row r="213" spans="1:14" x14ac:dyDescent="0.35">
      <c r="A213" t="s">
        <v>424</v>
      </c>
      <c r="B213" t="s">
        <v>193</v>
      </c>
      <c r="C213" t="s">
        <v>47</v>
      </c>
      <c r="D213" t="s">
        <v>33</v>
      </c>
      <c r="E213" t="s">
        <v>48</v>
      </c>
      <c r="F213" t="s">
        <v>18</v>
      </c>
      <c r="G213" t="s">
        <v>28</v>
      </c>
      <c r="H213">
        <v>13</v>
      </c>
      <c r="I213">
        <v>975.23</v>
      </c>
      <c r="J213">
        <v>12677.99</v>
      </c>
      <c r="K213" t="s">
        <v>29</v>
      </c>
      <c r="L213" t="s">
        <v>39</v>
      </c>
      <c r="M213">
        <v>4199.1899999999996</v>
      </c>
      <c r="N213" s="3">
        <f t="shared" si="3"/>
        <v>45748</v>
      </c>
    </row>
    <row r="214" spans="1:14" x14ac:dyDescent="0.35">
      <c r="A214" t="s">
        <v>425</v>
      </c>
      <c r="B214" t="s">
        <v>426</v>
      </c>
      <c r="C214" t="s">
        <v>32</v>
      </c>
      <c r="D214" t="s">
        <v>116</v>
      </c>
      <c r="E214" t="s">
        <v>48</v>
      </c>
      <c r="F214" t="s">
        <v>44</v>
      </c>
      <c r="G214" t="s">
        <v>96</v>
      </c>
      <c r="H214">
        <v>4</v>
      </c>
      <c r="I214">
        <v>488.69</v>
      </c>
      <c r="J214">
        <v>1954.76</v>
      </c>
      <c r="K214" t="s">
        <v>29</v>
      </c>
      <c r="L214" t="s">
        <v>50</v>
      </c>
      <c r="M214">
        <v>624.08000000000004</v>
      </c>
      <c r="N214" s="3">
        <f t="shared" si="3"/>
        <v>45689</v>
      </c>
    </row>
    <row r="215" spans="1:14" x14ac:dyDescent="0.35">
      <c r="A215" t="s">
        <v>427</v>
      </c>
      <c r="B215" t="s">
        <v>428</v>
      </c>
      <c r="C215" t="s">
        <v>24</v>
      </c>
      <c r="D215" t="s">
        <v>69</v>
      </c>
      <c r="E215" t="s">
        <v>17</v>
      </c>
      <c r="F215" t="s">
        <v>18</v>
      </c>
      <c r="G215" t="s">
        <v>28</v>
      </c>
      <c r="H215">
        <v>10</v>
      </c>
      <c r="I215">
        <v>568.20000000000005</v>
      </c>
      <c r="J215">
        <v>5682</v>
      </c>
      <c r="K215" t="s">
        <v>29</v>
      </c>
      <c r="L215" t="s">
        <v>39</v>
      </c>
      <c r="M215">
        <v>1028.8599999999999</v>
      </c>
      <c r="N215" s="3">
        <f t="shared" si="3"/>
        <v>45901</v>
      </c>
    </row>
    <row r="216" spans="1:14" x14ac:dyDescent="0.35">
      <c r="A216" t="s">
        <v>429</v>
      </c>
      <c r="B216" t="s">
        <v>430</v>
      </c>
      <c r="C216" t="s">
        <v>15</v>
      </c>
      <c r="D216" t="s">
        <v>53</v>
      </c>
      <c r="E216" t="s">
        <v>17</v>
      </c>
      <c r="F216" t="s">
        <v>18</v>
      </c>
      <c r="G216" t="s">
        <v>28</v>
      </c>
      <c r="H216">
        <v>7</v>
      </c>
      <c r="I216">
        <v>750.17</v>
      </c>
      <c r="J216">
        <v>5251.19</v>
      </c>
      <c r="K216" t="s">
        <v>66</v>
      </c>
      <c r="L216" t="s">
        <v>21</v>
      </c>
      <c r="M216">
        <v>1330.03</v>
      </c>
      <c r="N216" s="3">
        <f t="shared" si="3"/>
        <v>45992</v>
      </c>
    </row>
    <row r="217" spans="1:14" x14ac:dyDescent="0.35">
      <c r="A217" t="s">
        <v>431</v>
      </c>
      <c r="B217" t="s">
        <v>432</v>
      </c>
      <c r="C217" t="s">
        <v>24</v>
      </c>
      <c r="D217" t="s">
        <v>42</v>
      </c>
      <c r="E217" t="s">
        <v>26</v>
      </c>
      <c r="F217" t="s">
        <v>18</v>
      </c>
      <c r="G217" t="s">
        <v>96</v>
      </c>
      <c r="H217">
        <v>11</v>
      </c>
      <c r="I217">
        <v>193.48</v>
      </c>
      <c r="J217">
        <v>2128.2800000000002</v>
      </c>
      <c r="K217" t="s">
        <v>49</v>
      </c>
      <c r="L217" t="s">
        <v>50</v>
      </c>
      <c r="M217">
        <v>374.99</v>
      </c>
      <c r="N217" s="3">
        <f t="shared" si="3"/>
        <v>45901</v>
      </c>
    </row>
    <row r="218" spans="1:14" x14ac:dyDescent="0.35">
      <c r="A218" t="s">
        <v>433</v>
      </c>
      <c r="B218" t="s">
        <v>168</v>
      </c>
      <c r="C218" t="s">
        <v>15</v>
      </c>
      <c r="D218" t="s">
        <v>16</v>
      </c>
      <c r="E218" t="s">
        <v>26</v>
      </c>
      <c r="F218" t="s">
        <v>37</v>
      </c>
      <c r="G218" t="s">
        <v>38</v>
      </c>
      <c r="H218">
        <v>3</v>
      </c>
      <c r="I218">
        <v>42.82</v>
      </c>
      <c r="J218">
        <v>128.46</v>
      </c>
      <c r="K218" t="s">
        <v>82</v>
      </c>
      <c r="L218" t="s">
        <v>21</v>
      </c>
      <c r="M218">
        <v>32.119999999999997</v>
      </c>
      <c r="N218" s="3">
        <f t="shared" si="3"/>
        <v>45992</v>
      </c>
    </row>
    <row r="219" spans="1:14" x14ac:dyDescent="0.35">
      <c r="A219" t="s">
        <v>434</v>
      </c>
      <c r="B219" t="s">
        <v>435</v>
      </c>
      <c r="C219" t="s">
        <v>24</v>
      </c>
      <c r="D219" t="s">
        <v>16</v>
      </c>
      <c r="E219" t="s">
        <v>17</v>
      </c>
      <c r="F219" t="s">
        <v>27</v>
      </c>
      <c r="G219" t="s">
        <v>45</v>
      </c>
      <c r="H219">
        <v>17</v>
      </c>
      <c r="I219">
        <v>339.82</v>
      </c>
      <c r="J219">
        <v>5776.94</v>
      </c>
      <c r="K219" t="s">
        <v>66</v>
      </c>
      <c r="L219" t="s">
        <v>34</v>
      </c>
      <c r="M219">
        <v>1146.6099999999999</v>
      </c>
      <c r="N219" s="3">
        <f t="shared" si="3"/>
        <v>45778</v>
      </c>
    </row>
    <row r="220" spans="1:14" x14ac:dyDescent="0.35">
      <c r="A220" t="s">
        <v>436</v>
      </c>
      <c r="B220" t="s">
        <v>437</v>
      </c>
      <c r="C220" t="s">
        <v>47</v>
      </c>
      <c r="D220" t="s">
        <v>16</v>
      </c>
      <c r="E220" t="s">
        <v>26</v>
      </c>
      <c r="F220" t="s">
        <v>27</v>
      </c>
      <c r="G220" t="s">
        <v>45</v>
      </c>
      <c r="H220">
        <v>8</v>
      </c>
      <c r="I220">
        <v>558.09</v>
      </c>
      <c r="J220">
        <v>4464.72</v>
      </c>
      <c r="K220" t="s">
        <v>82</v>
      </c>
      <c r="L220" t="s">
        <v>50</v>
      </c>
      <c r="M220">
        <v>966.66</v>
      </c>
      <c r="N220" s="3">
        <f t="shared" si="3"/>
        <v>45962</v>
      </c>
    </row>
    <row r="221" spans="1:14" x14ac:dyDescent="0.35">
      <c r="A221" t="s">
        <v>438</v>
      </c>
      <c r="B221" t="s">
        <v>411</v>
      </c>
      <c r="C221" t="s">
        <v>32</v>
      </c>
      <c r="D221" t="s">
        <v>25</v>
      </c>
      <c r="E221" t="s">
        <v>17</v>
      </c>
      <c r="F221" t="s">
        <v>27</v>
      </c>
      <c r="G221" t="s">
        <v>28</v>
      </c>
      <c r="H221">
        <v>15</v>
      </c>
      <c r="I221">
        <v>498.33</v>
      </c>
      <c r="J221">
        <v>7474.95</v>
      </c>
      <c r="K221" t="s">
        <v>63</v>
      </c>
      <c r="L221" t="s">
        <v>34</v>
      </c>
      <c r="M221">
        <v>1572.84</v>
      </c>
      <c r="N221" s="3">
        <f t="shared" si="3"/>
        <v>45658</v>
      </c>
    </row>
    <row r="222" spans="1:14" x14ac:dyDescent="0.35">
      <c r="A222" t="s">
        <v>439</v>
      </c>
      <c r="B222" t="s">
        <v>382</v>
      </c>
      <c r="C222" t="s">
        <v>47</v>
      </c>
      <c r="D222" t="s">
        <v>42</v>
      </c>
      <c r="E222" t="s">
        <v>26</v>
      </c>
      <c r="F222" t="s">
        <v>37</v>
      </c>
      <c r="G222" t="s">
        <v>19</v>
      </c>
      <c r="H222">
        <v>3</v>
      </c>
      <c r="I222">
        <v>121.4</v>
      </c>
      <c r="J222">
        <v>364.2</v>
      </c>
      <c r="K222" t="s">
        <v>82</v>
      </c>
      <c r="L222" t="s">
        <v>50</v>
      </c>
      <c r="M222">
        <v>108.8</v>
      </c>
      <c r="N222" s="3">
        <f t="shared" si="3"/>
        <v>45689</v>
      </c>
    </row>
    <row r="223" spans="1:14" x14ac:dyDescent="0.35">
      <c r="A223" t="s">
        <v>440</v>
      </c>
      <c r="B223" t="s">
        <v>441</v>
      </c>
      <c r="C223" t="s">
        <v>24</v>
      </c>
      <c r="D223" t="s">
        <v>53</v>
      </c>
      <c r="E223" t="s">
        <v>17</v>
      </c>
      <c r="F223" t="s">
        <v>27</v>
      </c>
      <c r="G223" t="s">
        <v>105</v>
      </c>
      <c r="H223">
        <v>14</v>
      </c>
      <c r="I223">
        <v>623.85</v>
      </c>
      <c r="J223">
        <v>8733.9</v>
      </c>
      <c r="K223" t="s">
        <v>20</v>
      </c>
      <c r="L223" t="s">
        <v>21</v>
      </c>
      <c r="M223">
        <v>1172.07</v>
      </c>
      <c r="N223" s="3">
        <f t="shared" si="3"/>
        <v>45962</v>
      </c>
    </row>
    <row r="224" spans="1:14" x14ac:dyDescent="0.35">
      <c r="A224" t="s">
        <v>442</v>
      </c>
      <c r="B224" t="s">
        <v>443</v>
      </c>
      <c r="C224" t="s">
        <v>32</v>
      </c>
      <c r="D224" t="s">
        <v>74</v>
      </c>
      <c r="E224" t="s">
        <v>17</v>
      </c>
      <c r="F224" t="s">
        <v>37</v>
      </c>
      <c r="G224" t="s">
        <v>96</v>
      </c>
      <c r="H224">
        <v>6</v>
      </c>
      <c r="I224">
        <v>320.18</v>
      </c>
      <c r="J224">
        <v>1921.08</v>
      </c>
      <c r="K224" t="s">
        <v>20</v>
      </c>
      <c r="L224" t="s">
        <v>50</v>
      </c>
      <c r="M224">
        <v>415.76</v>
      </c>
      <c r="N224" s="3">
        <f t="shared" si="3"/>
        <v>45748</v>
      </c>
    </row>
    <row r="225" spans="1:14" x14ac:dyDescent="0.35">
      <c r="A225" t="s">
        <v>444</v>
      </c>
      <c r="B225" t="s">
        <v>445</v>
      </c>
      <c r="C225" t="s">
        <v>32</v>
      </c>
      <c r="D225" t="s">
        <v>69</v>
      </c>
      <c r="E225" t="s">
        <v>17</v>
      </c>
      <c r="F225" t="s">
        <v>18</v>
      </c>
      <c r="G225" t="s">
        <v>28</v>
      </c>
      <c r="H225">
        <v>7</v>
      </c>
      <c r="I225">
        <v>117.93</v>
      </c>
      <c r="J225">
        <v>825.51</v>
      </c>
      <c r="K225" t="s">
        <v>49</v>
      </c>
      <c r="L225" t="s">
        <v>34</v>
      </c>
      <c r="M225">
        <v>113.67</v>
      </c>
      <c r="N225" s="3">
        <f t="shared" si="3"/>
        <v>45748</v>
      </c>
    </row>
    <row r="226" spans="1:14" x14ac:dyDescent="0.35">
      <c r="A226" t="s">
        <v>446</v>
      </c>
      <c r="B226" t="s">
        <v>447</v>
      </c>
      <c r="C226" t="s">
        <v>15</v>
      </c>
      <c r="D226" t="s">
        <v>53</v>
      </c>
      <c r="E226" t="s">
        <v>17</v>
      </c>
      <c r="F226" t="s">
        <v>44</v>
      </c>
      <c r="G226" t="s">
        <v>96</v>
      </c>
      <c r="H226">
        <v>5</v>
      </c>
      <c r="I226">
        <v>312.83999999999997</v>
      </c>
      <c r="J226">
        <v>1564.2</v>
      </c>
      <c r="K226" t="s">
        <v>82</v>
      </c>
      <c r="L226" t="s">
        <v>77</v>
      </c>
      <c r="M226">
        <v>203.44</v>
      </c>
      <c r="N226" s="3">
        <f t="shared" si="3"/>
        <v>45992</v>
      </c>
    </row>
    <row r="227" spans="1:14" x14ac:dyDescent="0.35">
      <c r="A227" t="s">
        <v>448</v>
      </c>
      <c r="B227" t="s">
        <v>449</v>
      </c>
      <c r="C227" t="s">
        <v>32</v>
      </c>
      <c r="D227" t="s">
        <v>33</v>
      </c>
      <c r="E227" t="s">
        <v>26</v>
      </c>
      <c r="F227" t="s">
        <v>18</v>
      </c>
      <c r="G227" t="s">
        <v>96</v>
      </c>
      <c r="H227">
        <v>1</v>
      </c>
      <c r="I227">
        <v>202</v>
      </c>
      <c r="J227">
        <v>202</v>
      </c>
      <c r="K227" t="s">
        <v>63</v>
      </c>
      <c r="L227" t="s">
        <v>77</v>
      </c>
      <c r="M227">
        <v>49.18</v>
      </c>
      <c r="N227" s="3">
        <f t="shared" si="3"/>
        <v>45992</v>
      </c>
    </row>
    <row r="228" spans="1:14" x14ac:dyDescent="0.35">
      <c r="A228" t="s">
        <v>450</v>
      </c>
      <c r="B228" t="s">
        <v>451</v>
      </c>
      <c r="C228" t="s">
        <v>15</v>
      </c>
      <c r="D228" t="s">
        <v>16</v>
      </c>
      <c r="E228" t="s">
        <v>48</v>
      </c>
      <c r="F228" t="s">
        <v>44</v>
      </c>
      <c r="G228" t="s">
        <v>28</v>
      </c>
      <c r="H228">
        <v>11</v>
      </c>
      <c r="I228">
        <v>369.73</v>
      </c>
      <c r="J228">
        <v>4067.03</v>
      </c>
      <c r="K228" t="s">
        <v>66</v>
      </c>
      <c r="L228" t="s">
        <v>50</v>
      </c>
      <c r="M228">
        <v>697.36</v>
      </c>
      <c r="N228" s="3">
        <f t="shared" si="3"/>
        <v>45901</v>
      </c>
    </row>
    <row r="229" spans="1:14" x14ac:dyDescent="0.35">
      <c r="A229" t="s">
        <v>452</v>
      </c>
      <c r="B229" t="s">
        <v>270</v>
      </c>
      <c r="C229" t="s">
        <v>47</v>
      </c>
      <c r="D229" t="s">
        <v>25</v>
      </c>
      <c r="E229" t="s">
        <v>48</v>
      </c>
      <c r="F229" t="s">
        <v>18</v>
      </c>
      <c r="G229" t="s">
        <v>56</v>
      </c>
      <c r="H229">
        <v>8</v>
      </c>
      <c r="I229">
        <v>278.55</v>
      </c>
      <c r="J229">
        <v>2228.4</v>
      </c>
      <c r="K229" t="s">
        <v>66</v>
      </c>
      <c r="L229" t="s">
        <v>77</v>
      </c>
      <c r="M229">
        <v>279.55</v>
      </c>
      <c r="N229" s="3">
        <f t="shared" si="3"/>
        <v>45717</v>
      </c>
    </row>
    <row r="230" spans="1:14" x14ac:dyDescent="0.35">
      <c r="A230" t="s">
        <v>453</v>
      </c>
      <c r="B230" t="s">
        <v>330</v>
      </c>
      <c r="C230" t="s">
        <v>47</v>
      </c>
      <c r="D230" t="s">
        <v>33</v>
      </c>
      <c r="E230" t="s">
        <v>48</v>
      </c>
      <c r="F230" t="s">
        <v>18</v>
      </c>
      <c r="G230" t="s">
        <v>56</v>
      </c>
      <c r="H230">
        <v>6</v>
      </c>
      <c r="I230">
        <v>132.76</v>
      </c>
      <c r="J230">
        <v>796.56</v>
      </c>
      <c r="K230" t="s">
        <v>82</v>
      </c>
      <c r="L230" t="s">
        <v>39</v>
      </c>
      <c r="M230">
        <v>196.36</v>
      </c>
      <c r="N230" s="3">
        <f t="shared" si="3"/>
        <v>45778</v>
      </c>
    </row>
    <row r="231" spans="1:14" x14ac:dyDescent="0.35">
      <c r="A231" t="s">
        <v>454</v>
      </c>
      <c r="B231" t="s">
        <v>455</v>
      </c>
      <c r="C231" t="s">
        <v>32</v>
      </c>
      <c r="D231" t="s">
        <v>16</v>
      </c>
      <c r="E231" t="s">
        <v>48</v>
      </c>
      <c r="F231" t="s">
        <v>18</v>
      </c>
      <c r="G231" t="s">
        <v>85</v>
      </c>
      <c r="H231">
        <v>8</v>
      </c>
      <c r="I231">
        <v>688.09</v>
      </c>
      <c r="J231">
        <v>5504.72</v>
      </c>
      <c r="K231" t="s">
        <v>29</v>
      </c>
      <c r="L231" t="s">
        <v>21</v>
      </c>
      <c r="M231">
        <v>1199.94</v>
      </c>
      <c r="N231" s="3">
        <f t="shared" si="3"/>
        <v>45962</v>
      </c>
    </row>
    <row r="232" spans="1:14" x14ac:dyDescent="0.35">
      <c r="A232" t="s">
        <v>456</v>
      </c>
      <c r="B232" t="s">
        <v>457</v>
      </c>
      <c r="C232" t="s">
        <v>32</v>
      </c>
      <c r="D232" t="s">
        <v>74</v>
      </c>
      <c r="E232" t="s">
        <v>26</v>
      </c>
      <c r="F232" t="s">
        <v>27</v>
      </c>
      <c r="G232" t="s">
        <v>96</v>
      </c>
      <c r="H232">
        <v>19</v>
      </c>
      <c r="I232">
        <v>742.68</v>
      </c>
      <c r="J232">
        <v>14110.92</v>
      </c>
      <c r="K232" t="s">
        <v>66</v>
      </c>
      <c r="L232" t="s">
        <v>21</v>
      </c>
      <c r="M232">
        <v>1475.21</v>
      </c>
      <c r="N232" s="3">
        <f t="shared" si="3"/>
        <v>45658</v>
      </c>
    </row>
    <row r="233" spans="1:14" x14ac:dyDescent="0.35">
      <c r="A233" t="s">
        <v>458</v>
      </c>
      <c r="B233" t="s">
        <v>318</v>
      </c>
      <c r="C233" t="s">
        <v>24</v>
      </c>
      <c r="D233" t="s">
        <v>69</v>
      </c>
      <c r="E233" t="s">
        <v>17</v>
      </c>
      <c r="F233" t="s">
        <v>27</v>
      </c>
      <c r="G233" t="s">
        <v>38</v>
      </c>
      <c r="H233">
        <v>17</v>
      </c>
      <c r="I233">
        <v>415.5</v>
      </c>
      <c r="J233">
        <v>7063.5</v>
      </c>
      <c r="K233" t="s">
        <v>82</v>
      </c>
      <c r="L233" t="s">
        <v>77</v>
      </c>
      <c r="M233">
        <v>1108.05</v>
      </c>
      <c r="N233" s="3">
        <f t="shared" si="3"/>
        <v>45992</v>
      </c>
    </row>
    <row r="234" spans="1:14" x14ac:dyDescent="0.35">
      <c r="A234" t="s">
        <v>459</v>
      </c>
      <c r="B234" t="s">
        <v>115</v>
      </c>
      <c r="C234" t="s">
        <v>47</v>
      </c>
      <c r="D234" t="s">
        <v>74</v>
      </c>
      <c r="E234" t="s">
        <v>17</v>
      </c>
      <c r="F234" t="s">
        <v>37</v>
      </c>
      <c r="G234" t="s">
        <v>45</v>
      </c>
      <c r="H234">
        <v>16</v>
      </c>
      <c r="I234">
        <v>94.45</v>
      </c>
      <c r="J234">
        <v>1511.2</v>
      </c>
      <c r="K234" t="s">
        <v>63</v>
      </c>
      <c r="L234" t="s">
        <v>34</v>
      </c>
      <c r="M234">
        <v>317.77</v>
      </c>
      <c r="N234" s="3">
        <f t="shared" si="3"/>
        <v>45931</v>
      </c>
    </row>
    <row r="235" spans="1:14" x14ac:dyDescent="0.35">
      <c r="A235" t="s">
        <v>460</v>
      </c>
      <c r="B235" t="s">
        <v>461</v>
      </c>
      <c r="C235" t="s">
        <v>47</v>
      </c>
      <c r="D235" t="s">
        <v>116</v>
      </c>
      <c r="E235" t="s">
        <v>26</v>
      </c>
      <c r="F235" t="s">
        <v>27</v>
      </c>
      <c r="G235" t="s">
        <v>19</v>
      </c>
      <c r="H235">
        <v>10</v>
      </c>
      <c r="I235">
        <v>424.56</v>
      </c>
      <c r="J235">
        <v>4245.6000000000004</v>
      </c>
      <c r="K235" t="s">
        <v>20</v>
      </c>
      <c r="L235" t="s">
        <v>21</v>
      </c>
      <c r="M235">
        <v>827.88</v>
      </c>
      <c r="N235" s="3">
        <f t="shared" si="3"/>
        <v>45962</v>
      </c>
    </row>
    <row r="236" spans="1:14" x14ac:dyDescent="0.35">
      <c r="A236" t="s">
        <v>462</v>
      </c>
      <c r="B236" t="s">
        <v>463</v>
      </c>
      <c r="C236" t="s">
        <v>47</v>
      </c>
      <c r="D236" t="s">
        <v>33</v>
      </c>
      <c r="E236" t="s">
        <v>48</v>
      </c>
      <c r="F236" t="s">
        <v>18</v>
      </c>
      <c r="G236" t="s">
        <v>105</v>
      </c>
      <c r="H236">
        <v>5</v>
      </c>
      <c r="I236">
        <v>882.88</v>
      </c>
      <c r="J236">
        <v>4414.3999999999996</v>
      </c>
      <c r="K236" t="s">
        <v>82</v>
      </c>
      <c r="L236" t="s">
        <v>21</v>
      </c>
      <c r="M236">
        <v>878.53</v>
      </c>
      <c r="N236" s="3">
        <f t="shared" si="3"/>
        <v>45809</v>
      </c>
    </row>
    <row r="237" spans="1:14" x14ac:dyDescent="0.35">
      <c r="A237" t="s">
        <v>464</v>
      </c>
      <c r="B237" t="s">
        <v>350</v>
      </c>
      <c r="C237" t="s">
        <v>24</v>
      </c>
      <c r="D237" t="s">
        <v>42</v>
      </c>
      <c r="E237" t="s">
        <v>26</v>
      </c>
      <c r="F237" t="s">
        <v>44</v>
      </c>
      <c r="G237" t="s">
        <v>85</v>
      </c>
      <c r="H237">
        <v>15</v>
      </c>
      <c r="I237">
        <v>761.02</v>
      </c>
      <c r="J237">
        <v>11415.3</v>
      </c>
      <c r="K237" t="s">
        <v>49</v>
      </c>
      <c r="L237" t="s">
        <v>77</v>
      </c>
      <c r="M237">
        <v>3121.82</v>
      </c>
      <c r="N237" s="3">
        <f t="shared" si="3"/>
        <v>45839</v>
      </c>
    </row>
    <row r="238" spans="1:14" x14ac:dyDescent="0.35">
      <c r="A238" t="s">
        <v>465</v>
      </c>
      <c r="B238" t="s">
        <v>466</v>
      </c>
      <c r="C238" t="s">
        <v>32</v>
      </c>
      <c r="D238" t="s">
        <v>53</v>
      </c>
      <c r="E238" t="s">
        <v>48</v>
      </c>
      <c r="F238" t="s">
        <v>44</v>
      </c>
      <c r="G238" t="s">
        <v>85</v>
      </c>
      <c r="H238">
        <v>1</v>
      </c>
      <c r="I238">
        <v>415.84</v>
      </c>
      <c r="J238">
        <v>415.84</v>
      </c>
      <c r="K238" t="s">
        <v>29</v>
      </c>
      <c r="L238" t="s">
        <v>34</v>
      </c>
      <c r="M238">
        <v>93.6</v>
      </c>
      <c r="N238" s="3">
        <f t="shared" si="3"/>
        <v>45748</v>
      </c>
    </row>
    <row r="239" spans="1:14" x14ac:dyDescent="0.35">
      <c r="A239" t="s">
        <v>467</v>
      </c>
      <c r="B239" t="s">
        <v>468</v>
      </c>
      <c r="C239" t="s">
        <v>47</v>
      </c>
      <c r="D239" t="s">
        <v>33</v>
      </c>
      <c r="E239" t="s">
        <v>26</v>
      </c>
      <c r="F239" t="s">
        <v>37</v>
      </c>
      <c r="G239" t="s">
        <v>96</v>
      </c>
      <c r="H239">
        <v>15</v>
      </c>
      <c r="I239">
        <v>572.67999999999995</v>
      </c>
      <c r="J239">
        <v>8590.2000000000007</v>
      </c>
      <c r="K239" t="s">
        <v>20</v>
      </c>
      <c r="L239" t="s">
        <v>50</v>
      </c>
      <c r="M239">
        <v>1387.65</v>
      </c>
      <c r="N239" s="3">
        <f t="shared" si="3"/>
        <v>45778</v>
      </c>
    </row>
    <row r="240" spans="1:14" x14ac:dyDescent="0.35">
      <c r="A240" t="s">
        <v>469</v>
      </c>
      <c r="B240" t="s">
        <v>148</v>
      </c>
      <c r="C240" t="s">
        <v>32</v>
      </c>
      <c r="D240" t="s">
        <v>33</v>
      </c>
      <c r="E240" t="s">
        <v>43</v>
      </c>
      <c r="F240" t="s">
        <v>27</v>
      </c>
      <c r="G240" t="s">
        <v>105</v>
      </c>
      <c r="H240">
        <v>7</v>
      </c>
      <c r="I240">
        <v>946.22</v>
      </c>
      <c r="J240">
        <v>6623.54</v>
      </c>
      <c r="K240" t="s">
        <v>29</v>
      </c>
      <c r="L240" t="s">
        <v>34</v>
      </c>
      <c r="M240">
        <v>1343.37</v>
      </c>
      <c r="N240" s="3">
        <f t="shared" si="3"/>
        <v>45778</v>
      </c>
    </row>
    <row r="241" spans="1:14" x14ac:dyDescent="0.35">
      <c r="A241" t="s">
        <v>470</v>
      </c>
      <c r="B241" t="s">
        <v>471</v>
      </c>
      <c r="C241" t="s">
        <v>15</v>
      </c>
      <c r="D241" t="s">
        <v>116</v>
      </c>
      <c r="E241" t="s">
        <v>48</v>
      </c>
      <c r="F241" t="s">
        <v>44</v>
      </c>
      <c r="G241" t="s">
        <v>56</v>
      </c>
      <c r="H241">
        <v>8</v>
      </c>
      <c r="I241">
        <v>462.64</v>
      </c>
      <c r="J241">
        <v>3701.12</v>
      </c>
      <c r="K241" t="s">
        <v>63</v>
      </c>
      <c r="L241" t="s">
        <v>34</v>
      </c>
      <c r="M241">
        <v>840.92</v>
      </c>
      <c r="N241" s="3">
        <f t="shared" si="3"/>
        <v>45962</v>
      </c>
    </row>
    <row r="242" spans="1:14" x14ac:dyDescent="0.35">
      <c r="A242" t="s">
        <v>472</v>
      </c>
      <c r="B242" t="s">
        <v>430</v>
      </c>
      <c r="C242" t="s">
        <v>15</v>
      </c>
      <c r="D242" t="s">
        <v>16</v>
      </c>
      <c r="E242" t="s">
        <v>48</v>
      </c>
      <c r="F242" t="s">
        <v>27</v>
      </c>
      <c r="G242" t="s">
        <v>28</v>
      </c>
      <c r="H242">
        <v>11</v>
      </c>
      <c r="I242">
        <v>81.5</v>
      </c>
      <c r="J242">
        <v>896.5</v>
      </c>
      <c r="K242" t="s">
        <v>63</v>
      </c>
      <c r="L242" t="s">
        <v>77</v>
      </c>
      <c r="M242">
        <v>217.72</v>
      </c>
      <c r="N242" s="3">
        <f t="shared" si="3"/>
        <v>45992</v>
      </c>
    </row>
    <row r="243" spans="1:14" x14ac:dyDescent="0.35">
      <c r="A243" t="s">
        <v>473</v>
      </c>
      <c r="B243" t="s">
        <v>474</v>
      </c>
      <c r="C243" t="s">
        <v>24</v>
      </c>
      <c r="D243" t="s">
        <v>74</v>
      </c>
      <c r="E243" t="s">
        <v>17</v>
      </c>
      <c r="F243" t="s">
        <v>18</v>
      </c>
      <c r="G243" t="s">
        <v>85</v>
      </c>
      <c r="H243">
        <v>14</v>
      </c>
      <c r="I243">
        <v>322.56</v>
      </c>
      <c r="J243">
        <v>4515.84</v>
      </c>
      <c r="K243" t="s">
        <v>49</v>
      </c>
      <c r="L243" t="s">
        <v>77</v>
      </c>
      <c r="M243">
        <v>985.43</v>
      </c>
      <c r="N243" s="3">
        <f t="shared" si="3"/>
        <v>45717</v>
      </c>
    </row>
    <row r="244" spans="1:14" x14ac:dyDescent="0.35">
      <c r="A244" t="s">
        <v>475</v>
      </c>
      <c r="B244" t="s">
        <v>476</v>
      </c>
      <c r="C244" t="s">
        <v>24</v>
      </c>
      <c r="D244" t="s">
        <v>116</v>
      </c>
      <c r="E244" t="s">
        <v>26</v>
      </c>
      <c r="F244" t="s">
        <v>18</v>
      </c>
      <c r="G244" t="s">
        <v>105</v>
      </c>
      <c r="H244">
        <v>7</v>
      </c>
      <c r="I244">
        <v>483.65</v>
      </c>
      <c r="J244">
        <v>3385.55</v>
      </c>
      <c r="K244" t="s">
        <v>63</v>
      </c>
      <c r="L244" t="s">
        <v>21</v>
      </c>
      <c r="M244">
        <v>772.61</v>
      </c>
      <c r="N244" s="3">
        <f t="shared" si="3"/>
        <v>45658</v>
      </c>
    </row>
    <row r="245" spans="1:14" x14ac:dyDescent="0.35">
      <c r="A245" t="s">
        <v>477</v>
      </c>
      <c r="B245" t="s">
        <v>478</v>
      </c>
      <c r="C245" t="s">
        <v>47</v>
      </c>
      <c r="D245" t="s">
        <v>116</v>
      </c>
      <c r="E245" t="s">
        <v>26</v>
      </c>
      <c r="F245" t="s">
        <v>18</v>
      </c>
      <c r="G245" t="s">
        <v>45</v>
      </c>
      <c r="H245">
        <v>3</v>
      </c>
      <c r="I245">
        <v>57.69</v>
      </c>
      <c r="J245">
        <v>173.07</v>
      </c>
      <c r="K245" t="s">
        <v>82</v>
      </c>
      <c r="L245" t="s">
        <v>34</v>
      </c>
      <c r="M245">
        <v>24.35</v>
      </c>
      <c r="N245" s="3">
        <f t="shared" si="3"/>
        <v>45748</v>
      </c>
    </row>
    <row r="246" spans="1:14" x14ac:dyDescent="0.35">
      <c r="A246" t="s">
        <v>479</v>
      </c>
      <c r="B246" t="s">
        <v>480</v>
      </c>
      <c r="C246" t="s">
        <v>15</v>
      </c>
      <c r="D246" t="s">
        <v>16</v>
      </c>
      <c r="E246" t="s">
        <v>43</v>
      </c>
      <c r="F246" t="s">
        <v>27</v>
      </c>
      <c r="G246" t="s">
        <v>96</v>
      </c>
      <c r="H246">
        <v>18</v>
      </c>
      <c r="I246">
        <v>410.35</v>
      </c>
      <c r="J246">
        <v>7386.3</v>
      </c>
      <c r="K246" t="s">
        <v>66</v>
      </c>
      <c r="L246" t="s">
        <v>21</v>
      </c>
      <c r="M246">
        <v>914.57</v>
      </c>
      <c r="N246" s="3">
        <f t="shared" si="3"/>
        <v>45809</v>
      </c>
    </row>
    <row r="247" spans="1:14" x14ac:dyDescent="0.35">
      <c r="A247" t="s">
        <v>481</v>
      </c>
      <c r="B247" t="s">
        <v>421</v>
      </c>
      <c r="C247" t="s">
        <v>47</v>
      </c>
      <c r="D247" t="s">
        <v>25</v>
      </c>
      <c r="E247" t="s">
        <v>26</v>
      </c>
      <c r="F247" t="s">
        <v>18</v>
      </c>
      <c r="G247" t="s">
        <v>96</v>
      </c>
      <c r="H247">
        <v>9</v>
      </c>
      <c r="I247">
        <v>115.21</v>
      </c>
      <c r="J247">
        <v>1036.8900000000001</v>
      </c>
      <c r="K247" t="s">
        <v>49</v>
      </c>
      <c r="L247" t="s">
        <v>50</v>
      </c>
      <c r="M247">
        <v>344.59</v>
      </c>
      <c r="N247" s="3">
        <f t="shared" si="3"/>
        <v>45870</v>
      </c>
    </row>
    <row r="248" spans="1:14" x14ac:dyDescent="0.35">
      <c r="A248" t="s">
        <v>482</v>
      </c>
      <c r="B248" t="s">
        <v>483</v>
      </c>
      <c r="C248" t="s">
        <v>15</v>
      </c>
      <c r="D248" t="s">
        <v>33</v>
      </c>
      <c r="E248" t="s">
        <v>48</v>
      </c>
      <c r="F248" t="s">
        <v>37</v>
      </c>
      <c r="G248" t="s">
        <v>28</v>
      </c>
      <c r="H248">
        <v>20</v>
      </c>
      <c r="I248">
        <v>371.69</v>
      </c>
      <c r="J248">
        <v>7433.8</v>
      </c>
      <c r="K248" t="s">
        <v>66</v>
      </c>
      <c r="L248" t="s">
        <v>39</v>
      </c>
      <c r="M248">
        <v>2532.9299999999998</v>
      </c>
      <c r="N248" s="3">
        <f t="shared" si="3"/>
        <v>45992</v>
      </c>
    </row>
    <row r="249" spans="1:14" x14ac:dyDescent="0.35">
      <c r="A249" t="s">
        <v>484</v>
      </c>
      <c r="B249" t="s">
        <v>237</v>
      </c>
      <c r="C249" t="s">
        <v>15</v>
      </c>
      <c r="D249" t="s">
        <v>16</v>
      </c>
      <c r="E249" t="s">
        <v>17</v>
      </c>
      <c r="F249" t="s">
        <v>18</v>
      </c>
      <c r="G249" t="s">
        <v>96</v>
      </c>
      <c r="H249">
        <v>16</v>
      </c>
      <c r="I249">
        <v>178.33</v>
      </c>
      <c r="J249">
        <v>2853.28</v>
      </c>
      <c r="K249" t="s">
        <v>20</v>
      </c>
      <c r="L249" t="s">
        <v>21</v>
      </c>
      <c r="M249">
        <v>367.73</v>
      </c>
      <c r="N249" s="3">
        <f t="shared" si="3"/>
        <v>45962</v>
      </c>
    </row>
    <row r="250" spans="1:14" x14ac:dyDescent="0.35">
      <c r="A250" t="s">
        <v>485</v>
      </c>
      <c r="B250" t="s">
        <v>486</v>
      </c>
      <c r="C250" t="s">
        <v>47</v>
      </c>
      <c r="D250" t="s">
        <v>33</v>
      </c>
      <c r="E250" t="s">
        <v>17</v>
      </c>
      <c r="F250" t="s">
        <v>37</v>
      </c>
      <c r="G250" t="s">
        <v>38</v>
      </c>
      <c r="H250">
        <v>12</v>
      </c>
      <c r="I250">
        <v>404.32</v>
      </c>
      <c r="J250">
        <v>4851.84</v>
      </c>
      <c r="K250" t="s">
        <v>49</v>
      </c>
      <c r="L250" t="s">
        <v>34</v>
      </c>
      <c r="M250">
        <v>1269.0899999999999</v>
      </c>
      <c r="N250" s="3">
        <f t="shared" si="3"/>
        <v>45870</v>
      </c>
    </row>
    <row r="251" spans="1:14" x14ac:dyDescent="0.35">
      <c r="A251" t="s">
        <v>487</v>
      </c>
      <c r="B251" t="s">
        <v>373</v>
      </c>
      <c r="C251" t="s">
        <v>24</v>
      </c>
      <c r="D251" t="s">
        <v>16</v>
      </c>
      <c r="E251" t="s">
        <v>17</v>
      </c>
      <c r="F251" t="s">
        <v>27</v>
      </c>
      <c r="G251" t="s">
        <v>19</v>
      </c>
      <c r="H251">
        <v>11</v>
      </c>
      <c r="I251">
        <v>591.03</v>
      </c>
      <c r="J251">
        <v>6501.33</v>
      </c>
      <c r="K251" t="s">
        <v>66</v>
      </c>
      <c r="L251" t="s">
        <v>77</v>
      </c>
      <c r="M251">
        <v>1784.81</v>
      </c>
      <c r="N251" s="3">
        <f t="shared" si="3"/>
        <v>45839</v>
      </c>
    </row>
    <row r="252" spans="1:14" x14ac:dyDescent="0.35">
      <c r="A252" t="s">
        <v>488</v>
      </c>
      <c r="B252" t="s">
        <v>489</v>
      </c>
      <c r="C252" t="s">
        <v>15</v>
      </c>
      <c r="D252" t="s">
        <v>116</v>
      </c>
      <c r="E252" t="s">
        <v>26</v>
      </c>
      <c r="F252" t="s">
        <v>27</v>
      </c>
      <c r="G252" t="s">
        <v>85</v>
      </c>
      <c r="H252">
        <v>17</v>
      </c>
      <c r="I252">
        <v>381.18</v>
      </c>
      <c r="J252">
        <v>6480.06</v>
      </c>
      <c r="K252" t="s">
        <v>66</v>
      </c>
      <c r="L252" t="s">
        <v>39</v>
      </c>
      <c r="M252">
        <v>1190.52</v>
      </c>
      <c r="N252" s="3">
        <f t="shared" si="3"/>
        <v>45658</v>
      </c>
    </row>
    <row r="253" spans="1:14" x14ac:dyDescent="0.35">
      <c r="A253" t="s">
        <v>490</v>
      </c>
      <c r="B253" t="s">
        <v>41</v>
      </c>
      <c r="C253" t="s">
        <v>24</v>
      </c>
      <c r="D253" t="s">
        <v>33</v>
      </c>
      <c r="E253" t="s">
        <v>17</v>
      </c>
      <c r="F253" t="s">
        <v>37</v>
      </c>
      <c r="G253" t="s">
        <v>19</v>
      </c>
      <c r="H253">
        <v>16</v>
      </c>
      <c r="I253">
        <v>917.43</v>
      </c>
      <c r="J253">
        <v>14678.88</v>
      </c>
      <c r="K253" t="s">
        <v>20</v>
      </c>
      <c r="L253" t="s">
        <v>39</v>
      </c>
      <c r="M253">
        <v>3177.13</v>
      </c>
      <c r="N253" s="3">
        <f t="shared" si="3"/>
        <v>45778</v>
      </c>
    </row>
    <row r="254" spans="1:14" x14ac:dyDescent="0.35">
      <c r="A254" t="s">
        <v>491</v>
      </c>
      <c r="B254" t="s">
        <v>492</v>
      </c>
      <c r="C254" t="s">
        <v>15</v>
      </c>
      <c r="D254" t="s">
        <v>33</v>
      </c>
      <c r="E254" t="s">
        <v>17</v>
      </c>
      <c r="F254" t="s">
        <v>18</v>
      </c>
      <c r="G254" t="s">
        <v>105</v>
      </c>
      <c r="H254">
        <v>12</v>
      </c>
      <c r="I254">
        <v>806.49</v>
      </c>
      <c r="J254">
        <v>9677.8799999999992</v>
      </c>
      <c r="K254" t="s">
        <v>63</v>
      </c>
      <c r="L254" t="s">
        <v>21</v>
      </c>
      <c r="M254">
        <v>1870.59</v>
      </c>
      <c r="N254" s="3">
        <f t="shared" si="3"/>
        <v>45689</v>
      </c>
    </row>
    <row r="255" spans="1:14" x14ac:dyDescent="0.35">
      <c r="A255" t="s">
        <v>493</v>
      </c>
      <c r="B255" t="s">
        <v>62</v>
      </c>
      <c r="C255" t="s">
        <v>15</v>
      </c>
      <c r="D255" t="s">
        <v>42</v>
      </c>
      <c r="E255" t="s">
        <v>17</v>
      </c>
      <c r="F255" t="s">
        <v>18</v>
      </c>
      <c r="G255" t="s">
        <v>19</v>
      </c>
      <c r="H255">
        <v>20</v>
      </c>
      <c r="I255">
        <v>543.28</v>
      </c>
      <c r="J255">
        <v>10865.6</v>
      </c>
      <c r="K255" t="s">
        <v>82</v>
      </c>
      <c r="L255" t="s">
        <v>50</v>
      </c>
      <c r="M255">
        <v>3626.43</v>
      </c>
      <c r="N255" s="3">
        <f t="shared" si="3"/>
        <v>45748</v>
      </c>
    </row>
    <row r="256" spans="1:14" x14ac:dyDescent="0.35">
      <c r="A256" t="s">
        <v>494</v>
      </c>
      <c r="B256" t="s">
        <v>98</v>
      </c>
      <c r="C256" t="s">
        <v>47</v>
      </c>
      <c r="D256" t="s">
        <v>116</v>
      </c>
      <c r="E256" t="s">
        <v>26</v>
      </c>
      <c r="F256" t="s">
        <v>27</v>
      </c>
      <c r="G256" t="s">
        <v>28</v>
      </c>
      <c r="H256">
        <v>13</v>
      </c>
      <c r="I256">
        <v>151.41999999999999</v>
      </c>
      <c r="J256">
        <v>1968.46</v>
      </c>
      <c r="K256" t="s">
        <v>29</v>
      </c>
      <c r="L256" t="s">
        <v>21</v>
      </c>
      <c r="M256">
        <v>226.31</v>
      </c>
      <c r="N256" s="3">
        <f t="shared" si="3"/>
        <v>45778</v>
      </c>
    </row>
    <row r="257" spans="1:14" x14ac:dyDescent="0.35">
      <c r="A257" t="s">
        <v>495</v>
      </c>
      <c r="B257" t="s">
        <v>437</v>
      </c>
      <c r="C257" t="s">
        <v>32</v>
      </c>
      <c r="D257" t="s">
        <v>69</v>
      </c>
      <c r="E257" t="s">
        <v>48</v>
      </c>
      <c r="F257" t="s">
        <v>37</v>
      </c>
      <c r="G257" t="s">
        <v>45</v>
      </c>
      <c r="H257">
        <v>4</v>
      </c>
      <c r="I257">
        <v>816.17</v>
      </c>
      <c r="J257">
        <v>3264.68</v>
      </c>
      <c r="K257" t="s">
        <v>29</v>
      </c>
      <c r="L257" t="s">
        <v>39</v>
      </c>
      <c r="M257">
        <v>1071.96</v>
      </c>
      <c r="N257" s="3">
        <f t="shared" si="3"/>
        <v>45962</v>
      </c>
    </row>
    <row r="258" spans="1:14" x14ac:dyDescent="0.35">
      <c r="A258" t="s">
        <v>496</v>
      </c>
      <c r="B258" t="s">
        <v>102</v>
      </c>
      <c r="C258" t="s">
        <v>15</v>
      </c>
      <c r="D258" t="s">
        <v>16</v>
      </c>
      <c r="E258" t="s">
        <v>26</v>
      </c>
      <c r="F258" t="s">
        <v>44</v>
      </c>
      <c r="G258" t="s">
        <v>105</v>
      </c>
      <c r="H258">
        <v>2</v>
      </c>
      <c r="I258">
        <v>257.04000000000002</v>
      </c>
      <c r="J258">
        <v>514.08000000000004</v>
      </c>
      <c r="K258" t="s">
        <v>20</v>
      </c>
      <c r="L258" t="s">
        <v>39</v>
      </c>
      <c r="M258">
        <v>170.65</v>
      </c>
      <c r="N258" s="3">
        <f t="shared" si="3"/>
        <v>45931</v>
      </c>
    </row>
    <row r="259" spans="1:14" x14ac:dyDescent="0.35">
      <c r="A259" t="s">
        <v>497</v>
      </c>
      <c r="B259" t="s">
        <v>380</v>
      </c>
      <c r="C259" t="s">
        <v>15</v>
      </c>
      <c r="D259" t="s">
        <v>33</v>
      </c>
      <c r="E259" t="s">
        <v>26</v>
      </c>
      <c r="F259" t="s">
        <v>44</v>
      </c>
      <c r="G259" t="s">
        <v>105</v>
      </c>
      <c r="H259">
        <v>1</v>
      </c>
      <c r="I259">
        <v>971.62</v>
      </c>
      <c r="J259">
        <v>971.62</v>
      </c>
      <c r="K259" t="s">
        <v>29</v>
      </c>
      <c r="L259" t="s">
        <v>21</v>
      </c>
      <c r="M259">
        <v>241.17</v>
      </c>
      <c r="N259" s="3">
        <f t="shared" ref="N259:N322" si="4">DATE(YEAR(B259),MONTH(B259),1)</f>
        <v>45778</v>
      </c>
    </row>
    <row r="260" spans="1:14" x14ac:dyDescent="0.35">
      <c r="A260" t="s">
        <v>498</v>
      </c>
      <c r="B260" t="s">
        <v>220</v>
      </c>
      <c r="C260" t="s">
        <v>24</v>
      </c>
      <c r="D260" t="s">
        <v>42</v>
      </c>
      <c r="E260" t="s">
        <v>17</v>
      </c>
      <c r="F260" t="s">
        <v>27</v>
      </c>
      <c r="G260" t="s">
        <v>28</v>
      </c>
      <c r="H260">
        <v>13</v>
      </c>
      <c r="I260">
        <v>638.41</v>
      </c>
      <c r="J260">
        <v>8299.33</v>
      </c>
      <c r="K260" t="s">
        <v>20</v>
      </c>
      <c r="L260" t="s">
        <v>50</v>
      </c>
      <c r="M260">
        <v>2369.21</v>
      </c>
      <c r="N260" s="3">
        <f t="shared" si="4"/>
        <v>45809</v>
      </c>
    </row>
    <row r="261" spans="1:14" x14ac:dyDescent="0.35">
      <c r="A261" t="s">
        <v>499</v>
      </c>
      <c r="B261" t="s">
        <v>500</v>
      </c>
      <c r="C261" t="s">
        <v>24</v>
      </c>
      <c r="D261" t="s">
        <v>74</v>
      </c>
      <c r="E261" t="s">
        <v>26</v>
      </c>
      <c r="F261" t="s">
        <v>27</v>
      </c>
      <c r="G261" t="s">
        <v>38</v>
      </c>
      <c r="H261">
        <v>2</v>
      </c>
      <c r="I261">
        <v>223.31</v>
      </c>
      <c r="J261">
        <v>446.62</v>
      </c>
      <c r="K261" t="s">
        <v>20</v>
      </c>
      <c r="L261" t="s">
        <v>50</v>
      </c>
      <c r="M261">
        <v>111.2</v>
      </c>
      <c r="N261" s="3">
        <f t="shared" si="4"/>
        <v>45809</v>
      </c>
    </row>
    <row r="262" spans="1:14" x14ac:dyDescent="0.35">
      <c r="A262" t="s">
        <v>501</v>
      </c>
      <c r="B262" t="s">
        <v>502</v>
      </c>
      <c r="C262" t="s">
        <v>15</v>
      </c>
      <c r="D262" t="s">
        <v>25</v>
      </c>
      <c r="E262" t="s">
        <v>17</v>
      </c>
      <c r="F262" t="s">
        <v>37</v>
      </c>
      <c r="G262" t="s">
        <v>38</v>
      </c>
      <c r="H262">
        <v>6</v>
      </c>
      <c r="I262">
        <v>330.95</v>
      </c>
      <c r="J262">
        <v>1985.7</v>
      </c>
      <c r="K262" t="s">
        <v>82</v>
      </c>
      <c r="L262" t="s">
        <v>77</v>
      </c>
      <c r="M262">
        <v>320.87</v>
      </c>
      <c r="N262" s="3">
        <f t="shared" si="4"/>
        <v>45839</v>
      </c>
    </row>
    <row r="263" spans="1:14" x14ac:dyDescent="0.35">
      <c r="A263" t="s">
        <v>503</v>
      </c>
      <c r="B263" t="s">
        <v>504</v>
      </c>
      <c r="C263" t="s">
        <v>24</v>
      </c>
      <c r="D263" t="s">
        <v>74</v>
      </c>
      <c r="E263" t="s">
        <v>17</v>
      </c>
      <c r="F263" t="s">
        <v>18</v>
      </c>
      <c r="G263" t="s">
        <v>96</v>
      </c>
      <c r="H263">
        <v>19</v>
      </c>
      <c r="I263">
        <v>846.42</v>
      </c>
      <c r="J263">
        <v>16081.98</v>
      </c>
      <c r="K263" t="s">
        <v>82</v>
      </c>
      <c r="L263" t="s">
        <v>50</v>
      </c>
      <c r="M263">
        <v>3119.49</v>
      </c>
      <c r="N263" s="3">
        <f t="shared" si="4"/>
        <v>45658</v>
      </c>
    </row>
    <row r="264" spans="1:14" x14ac:dyDescent="0.35">
      <c r="A264" t="s">
        <v>505</v>
      </c>
      <c r="B264" t="s">
        <v>506</v>
      </c>
      <c r="C264" t="s">
        <v>15</v>
      </c>
      <c r="D264" t="s">
        <v>116</v>
      </c>
      <c r="E264" t="s">
        <v>43</v>
      </c>
      <c r="F264" t="s">
        <v>27</v>
      </c>
      <c r="G264" t="s">
        <v>96</v>
      </c>
      <c r="H264">
        <v>18</v>
      </c>
      <c r="I264">
        <v>80.09</v>
      </c>
      <c r="J264">
        <v>1441.62</v>
      </c>
      <c r="K264" t="s">
        <v>49</v>
      </c>
      <c r="L264" t="s">
        <v>77</v>
      </c>
      <c r="M264">
        <v>200.35</v>
      </c>
      <c r="N264" s="3">
        <f t="shared" si="4"/>
        <v>45901</v>
      </c>
    </row>
    <row r="265" spans="1:14" x14ac:dyDescent="0.35">
      <c r="A265" t="s">
        <v>507</v>
      </c>
      <c r="B265" t="s">
        <v>432</v>
      </c>
      <c r="C265" t="s">
        <v>32</v>
      </c>
      <c r="D265" t="s">
        <v>53</v>
      </c>
      <c r="E265" t="s">
        <v>17</v>
      </c>
      <c r="F265" t="s">
        <v>18</v>
      </c>
      <c r="G265" t="s">
        <v>28</v>
      </c>
      <c r="H265">
        <v>6</v>
      </c>
      <c r="I265">
        <v>132.4</v>
      </c>
      <c r="J265">
        <v>794.4</v>
      </c>
      <c r="K265" t="s">
        <v>66</v>
      </c>
      <c r="L265" t="s">
        <v>21</v>
      </c>
      <c r="M265">
        <v>195.5</v>
      </c>
      <c r="N265" s="3">
        <f t="shared" si="4"/>
        <v>45901</v>
      </c>
    </row>
    <row r="266" spans="1:14" x14ac:dyDescent="0.35">
      <c r="A266" t="s">
        <v>508</v>
      </c>
      <c r="B266" t="s">
        <v>201</v>
      </c>
      <c r="C266" t="s">
        <v>32</v>
      </c>
      <c r="D266" t="s">
        <v>116</v>
      </c>
      <c r="E266" t="s">
        <v>43</v>
      </c>
      <c r="F266" t="s">
        <v>44</v>
      </c>
      <c r="G266" t="s">
        <v>85</v>
      </c>
      <c r="H266">
        <v>18</v>
      </c>
      <c r="I266">
        <v>404.53</v>
      </c>
      <c r="J266">
        <v>7281.54</v>
      </c>
      <c r="K266" t="s">
        <v>82</v>
      </c>
      <c r="L266" t="s">
        <v>39</v>
      </c>
      <c r="M266">
        <v>1480.32</v>
      </c>
      <c r="N266" s="3">
        <f t="shared" si="4"/>
        <v>45992</v>
      </c>
    </row>
    <row r="267" spans="1:14" x14ac:dyDescent="0.35">
      <c r="A267" t="s">
        <v>509</v>
      </c>
      <c r="B267" t="s">
        <v>447</v>
      </c>
      <c r="C267" t="s">
        <v>15</v>
      </c>
      <c r="D267" t="s">
        <v>33</v>
      </c>
      <c r="E267" t="s">
        <v>26</v>
      </c>
      <c r="F267" t="s">
        <v>44</v>
      </c>
      <c r="G267" t="s">
        <v>105</v>
      </c>
      <c r="H267">
        <v>19</v>
      </c>
      <c r="I267">
        <v>332.49</v>
      </c>
      <c r="J267">
        <v>6317.31</v>
      </c>
      <c r="K267" t="s">
        <v>63</v>
      </c>
      <c r="L267" t="s">
        <v>50</v>
      </c>
      <c r="M267">
        <v>2039.39</v>
      </c>
      <c r="N267" s="3">
        <f t="shared" si="4"/>
        <v>45992</v>
      </c>
    </row>
    <row r="268" spans="1:14" x14ac:dyDescent="0.35">
      <c r="A268" t="s">
        <v>510</v>
      </c>
      <c r="B268" t="s">
        <v>125</v>
      </c>
      <c r="C268" t="s">
        <v>32</v>
      </c>
      <c r="D268" t="s">
        <v>116</v>
      </c>
      <c r="E268" t="s">
        <v>43</v>
      </c>
      <c r="F268" t="s">
        <v>44</v>
      </c>
      <c r="G268" t="s">
        <v>96</v>
      </c>
      <c r="H268">
        <v>18</v>
      </c>
      <c r="I268">
        <v>634.17999999999995</v>
      </c>
      <c r="J268">
        <v>11415.24</v>
      </c>
      <c r="K268" t="s">
        <v>20</v>
      </c>
      <c r="L268" t="s">
        <v>77</v>
      </c>
      <c r="M268">
        <v>1849.79</v>
      </c>
      <c r="N268" s="3">
        <f t="shared" si="4"/>
        <v>45778</v>
      </c>
    </row>
    <row r="269" spans="1:14" x14ac:dyDescent="0.35">
      <c r="A269" t="s">
        <v>511</v>
      </c>
      <c r="B269" t="s">
        <v>223</v>
      </c>
      <c r="C269" t="s">
        <v>32</v>
      </c>
      <c r="D269" t="s">
        <v>53</v>
      </c>
      <c r="E269" t="s">
        <v>48</v>
      </c>
      <c r="F269" t="s">
        <v>27</v>
      </c>
      <c r="G269" t="s">
        <v>105</v>
      </c>
      <c r="H269">
        <v>1</v>
      </c>
      <c r="I269">
        <v>567.76</v>
      </c>
      <c r="J269">
        <v>567.76</v>
      </c>
      <c r="K269" t="s">
        <v>66</v>
      </c>
      <c r="L269" t="s">
        <v>77</v>
      </c>
      <c r="M269">
        <v>164.03</v>
      </c>
      <c r="N269" s="3">
        <f t="shared" si="4"/>
        <v>45658</v>
      </c>
    </row>
    <row r="270" spans="1:14" x14ac:dyDescent="0.35">
      <c r="A270" t="s">
        <v>512</v>
      </c>
      <c r="B270" t="s">
        <v>437</v>
      </c>
      <c r="C270" t="s">
        <v>47</v>
      </c>
      <c r="D270" t="s">
        <v>74</v>
      </c>
      <c r="E270" t="s">
        <v>43</v>
      </c>
      <c r="F270" t="s">
        <v>37</v>
      </c>
      <c r="G270" t="s">
        <v>56</v>
      </c>
      <c r="H270">
        <v>17</v>
      </c>
      <c r="I270">
        <v>796.91</v>
      </c>
      <c r="J270">
        <v>13547.47</v>
      </c>
      <c r="K270" t="s">
        <v>29</v>
      </c>
      <c r="L270" t="s">
        <v>77</v>
      </c>
      <c r="M270">
        <v>2413.08</v>
      </c>
      <c r="N270" s="3">
        <f t="shared" si="4"/>
        <v>45962</v>
      </c>
    </row>
    <row r="271" spans="1:14" x14ac:dyDescent="0.35">
      <c r="A271" t="s">
        <v>513</v>
      </c>
      <c r="B271" t="s">
        <v>186</v>
      </c>
      <c r="C271" t="s">
        <v>24</v>
      </c>
      <c r="D271" t="s">
        <v>53</v>
      </c>
      <c r="E271" t="s">
        <v>48</v>
      </c>
      <c r="F271" t="s">
        <v>44</v>
      </c>
      <c r="G271" t="s">
        <v>85</v>
      </c>
      <c r="H271">
        <v>5</v>
      </c>
      <c r="I271">
        <v>798.54</v>
      </c>
      <c r="J271">
        <v>3992.7</v>
      </c>
      <c r="K271" t="s">
        <v>66</v>
      </c>
      <c r="L271" t="s">
        <v>50</v>
      </c>
      <c r="M271">
        <v>1206.6500000000001</v>
      </c>
      <c r="N271" s="3">
        <f t="shared" si="4"/>
        <v>45839</v>
      </c>
    </row>
    <row r="272" spans="1:14" x14ac:dyDescent="0.35">
      <c r="A272" t="s">
        <v>514</v>
      </c>
      <c r="B272" t="s">
        <v>162</v>
      </c>
      <c r="C272" t="s">
        <v>15</v>
      </c>
      <c r="D272" t="s">
        <v>42</v>
      </c>
      <c r="E272" t="s">
        <v>48</v>
      </c>
      <c r="F272" t="s">
        <v>44</v>
      </c>
      <c r="G272" t="s">
        <v>105</v>
      </c>
      <c r="H272">
        <v>12</v>
      </c>
      <c r="I272">
        <v>724.81</v>
      </c>
      <c r="J272">
        <v>8697.7199999999993</v>
      </c>
      <c r="K272" t="s">
        <v>49</v>
      </c>
      <c r="L272" t="s">
        <v>34</v>
      </c>
      <c r="M272">
        <v>2841.03</v>
      </c>
      <c r="N272" s="3">
        <f t="shared" si="4"/>
        <v>45992</v>
      </c>
    </row>
    <row r="273" spans="1:14" x14ac:dyDescent="0.35">
      <c r="A273" t="s">
        <v>515</v>
      </c>
      <c r="B273" t="s">
        <v>471</v>
      </c>
      <c r="C273" t="s">
        <v>32</v>
      </c>
      <c r="D273" t="s">
        <v>25</v>
      </c>
      <c r="E273" t="s">
        <v>17</v>
      </c>
      <c r="F273" t="s">
        <v>37</v>
      </c>
      <c r="G273" t="s">
        <v>45</v>
      </c>
      <c r="H273">
        <v>19</v>
      </c>
      <c r="I273">
        <v>584.99</v>
      </c>
      <c r="J273">
        <v>11114.81</v>
      </c>
      <c r="K273" t="s">
        <v>63</v>
      </c>
      <c r="L273" t="s">
        <v>21</v>
      </c>
      <c r="M273">
        <v>1410.55</v>
      </c>
      <c r="N273" s="3">
        <f t="shared" si="4"/>
        <v>45962</v>
      </c>
    </row>
    <row r="274" spans="1:14" x14ac:dyDescent="0.35">
      <c r="A274" t="s">
        <v>516</v>
      </c>
      <c r="B274" t="s">
        <v>191</v>
      </c>
      <c r="C274" t="s">
        <v>24</v>
      </c>
      <c r="D274" t="s">
        <v>42</v>
      </c>
      <c r="E274" t="s">
        <v>43</v>
      </c>
      <c r="F274" t="s">
        <v>37</v>
      </c>
      <c r="G274" t="s">
        <v>19</v>
      </c>
      <c r="H274">
        <v>12</v>
      </c>
      <c r="I274">
        <v>674.14</v>
      </c>
      <c r="J274">
        <v>8089.68</v>
      </c>
      <c r="K274" t="s">
        <v>66</v>
      </c>
      <c r="L274" t="s">
        <v>21</v>
      </c>
      <c r="M274">
        <v>1618.99</v>
      </c>
      <c r="N274" s="3">
        <f t="shared" si="4"/>
        <v>45839</v>
      </c>
    </row>
    <row r="275" spans="1:14" x14ac:dyDescent="0.35">
      <c r="A275" t="s">
        <v>517</v>
      </c>
      <c r="B275" t="s">
        <v>518</v>
      </c>
      <c r="C275" t="s">
        <v>24</v>
      </c>
      <c r="D275" t="s">
        <v>25</v>
      </c>
      <c r="E275" t="s">
        <v>43</v>
      </c>
      <c r="F275" t="s">
        <v>18</v>
      </c>
      <c r="G275" t="s">
        <v>28</v>
      </c>
      <c r="H275">
        <v>12</v>
      </c>
      <c r="I275">
        <v>214.37</v>
      </c>
      <c r="J275">
        <v>2572.44</v>
      </c>
      <c r="K275" t="s">
        <v>29</v>
      </c>
      <c r="L275" t="s">
        <v>77</v>
      </c>
      <c r="M275">
        <v>565.44000000000005</v>
      </c>
      <c r="N275" s="3">
        <f t="shared" si="4"/>
        <v>45962</v>
      </c>
    </row>
    <row r="276" spans="1:14" x14ac:dyDescent="0.35">
      <c r="A276" t="s">
        <v>519</v>
      </c>
      <c r="B276" t="s">
        <v>520</v>
      </c>
      <c r="C276" t="s">
        <v>24</v>
      </c>
      <c r="D276" t="s">
        <v>74</v>
      </c>
      <c r="E276" t="s">
        <v>17</v>
      </c>
      <c r="F276" t="s">
        <v>27</v>
      </c>
      <c r="G276" t="s">
        <v>85</v>
      </c>
      <c r="H276">
        <v>14</v>
      </c>
      <c r="I276">
        <v>99.04</v>
      </c>
      <c r="J276">
        <v>1386.56</v>
      </c>
      <c r="K276" t="s">
        <v>82</v>
      </c>
      <c r="L276" t="s">
        <v>77</v>
      </c>
      <c r="M276">
        <v>349.28</v>
      </c>
      <c r="N276" s="3">
        <f t="shared" si="4"/>
        <v>45658</v>
      </c>
    </row>
    <row r="277" spans="1:14" x14ac:dyDescent="0.35">
      <c r="A277" t="s">
        <v>521</v>
      </c>
      <c r="B277" t="s">
        <v>401</v>
      </c>
      <c r="C277" t="s">
        <v>15</v>
      </c>
      <c r="D277" t="s">
        <v>53</v>
      </c>
      <c r="E277" t="s">
        <v>26</v>
      </c>
      <c r="F277" t="s">
        <v>18</v>
      </c>
      <c r="G277" t="s">
        <v>105</v>
      </c>
      <c r="H277">
        <v>8</v>
      </c>
      <c r="I277">
        <v>331.43</v>
      </c>
      <c r="J277">
        <v>2651.44</v>
      </c>
      <c r="K277" t="s">
        <v>82</v>
      </c>
      <c r="L277" t="s">
        <v>50</v>
      </c>
      <c r="M277">
        <v>772.64</v>
      </c>
      <c r="N277" s="3">
        <f t="shared" si="4"/>
        <v>45839</v>
      </c>
    </row>
    <row r="278" spans="1:14" x14ac:dyDescent="0.35">
      <c r="A278" t="s">
        <v>522</v>
      </c>
      <c r="B278" t="s">
        <v>523</v>
      </c>
      <c r="C278" t="s">
        <v>15</v>
      </c>
      <c r="D278" t="s">
        <v>33</v>
      </c>
      <c r="E278" t="s">
        <v>48</v>
      </c>
      <c r="F278" t="s">
        <v>18</v>
      </c>
      <c r="G278" t="s">
        <v>38</v>
      </c>
      <c r="H278">
        <v>5</v>
      </c>
      <c r="I278">
        <v>451.09</v>
      </c>
      <c r="J278">
        <v>2255.4499999999998</v>
      </c>
      <c r="K278" t="s">
        <v>29</v>
      </c>
      <c r="L278" t="s">
        <v>77</v>
      </c>
      <c r="M278">
        <v>269.08999999999997</v>
      </c>
      <c r="N278" s="3">
        <f t="shared" si="4"/>
        <v>45778</v>
      </c>
    </row>
    <row r="279" spans="1:14" x14ac:dyDescent="0.35">
      <c r="A279" t="s">
        <v>524</v>
      </c>
      <c r="B279" t="s">
        <v>100</v>
      </c>
      <c r="C279" t="s">
        <v>15</v>
      </c>
      <c r="D279" t="s">
        <v>16</v>
      </c>
      <c r="E279" t="s">
        <v>17</v>
      </c>
      <c r="F279" t="s">
        <v>44</v>
      </c>
      <c r="G279" t="s">
        <v>38</v>
      </c>
      <c r="H279">
        <v>6</v>
      </c>
      <c r="I279">
        <v>275.69</v>
      </c>
      <c r="J279">
        <v>1654.14</v>
      </c>
      <c r="K279" t="s">
        <v>20</v>
      </c>
      <c r="L279" t="s">
        <v>77</v>
      </c>
      <c r="M279">
        <v>572.36</v>
      </c>
      <c r="N279" s="3">
        <f t="shared" si="4"/>
        <v>45962</v>
      </c>
    </row>
    <row r="280" spans="1:14" x14ac:dyDescent="0.35">
      <c r="A280" t="s">
        <v>525</v>
      </c>
      <c r="B280" t="s">
        <v>526</v>
      </c>
      <c r="C280" t="s">
        <v>47</v>
      </c>
      <c r="D280" t="s">
        <v>74</v>
      </c>
      <c r="E280" t="s">
        <v>17</v>
      </c>
      <c r="F280" t="s">
        <v>27</v>
      </c>
      <c r="G280" t="s">
        <v>45</v>
      </c>
      <c r="H280">
        <v>16</v>
      </c>
      <c r="I280">
        <v>432.03</v>
      </c>
      <c r="J280">
        <v>6912.48</v>
      </c>
      <c r="K280" t="s">
        <v>29</v>
      </c>
      <c r="L280" t="s">
        <v>50</v>
      </c>
      <c r="M280">
        <v>841.34</v>
      </c>
      <c r="N280" s="3">
        <f t="shared" si="4"/>
        <v>45992</v>
      </c>
    </row>
    <row r="281" spans="1:14" x14ac:dyDescent="0.35">
      <c r="A281" t="s">
        <v>527</v>
      </c>
      <c r="B281" t="s">
        <v>528</v>
      </c>
      <c r="C281" t="s">
        <v>15</v>
      </c>
      <c r="D281" t="s">
        <v>33</v>
      </c>
      <c r="E281" t="s">
        <v>17</v>
      </c>
      <c r="F281" t="s">
        <v>37</v>
      </c>
      <c r="G281" t="s">
        <v>38</v>
      </c>
      <c r="H281">
        <v>4</v>
      </c>
      <c r="I281">
        <v>988.38</v>
      </c>
      <c r="J281">
        <v>3953.52</v>
      </c>
      <c r="K281" t="s">
        <v>29</v>
      </c>
      <c r="L281" t="s">
        <v>77</v>
      </c>
      <c r="M281">
        <v>491.32</v>
      </c>
      <c r="N281" s="3">
        <f t="shared" si="4"/>
        <v>45931</v>
      </c>
    </row>
    <row r="282" spans="1:14" x14ac:dyDescent="0.35">
      <c r="A282" t="s">
        <v>529</v>
      </c>
      <c r="B282" t="s">
        <v>109</v>
      </c>
      <c r="C282" t="s">
        <v>24</v>
      </c>
      <c r="D282" t="s">
        <v>33</v>
      </c>
      <c r="E282" t="s">
        <v>43</v>
      </c>
      <c r="F282" t="s">
        <v>18</v>
      </c>
      <c r="G282" t="s">
        <v>45</v>
      </c>
      <c r="H282">
        <v>11</v>
      </c>
      <c r="I282">
        <v>71.709999999999994</v>
      </c>
      <c r="J282">
        <v>788.81</v>
      </c>
      <c r="K282" t="s">
        <v>66</v>
      </c>
      <c r="L282" t="s">
        <v>34</v>
      </c>
      <c r="M282">
        <v>83.17</v>
      </c>
      <c r="N282" s="3">
        <f t="shared" si="4"/>
        <v>45992</v>
      </c>
    </row>
    <row r="283" spans="1:14" x14ac:dyDescent="0.35">
      <c r="A283" t="s">
        <v>530</v>
      </c>
      <c r="B283" t="s">
        <v>193</v>
      </c>
      <c r="C283" t="s">
        <v>32</v>
      </c>
      <c r="D283" t="s">
        <v>116</v>
      </c>
      <c r="E283" t="s">
        <v>17</v>
      </c>
      <c r="F283" t="s">
        <v>37</v>
      </c>
      <c r="G283" t="s">
        <v>28</v>
      </c>
      <c r="H283">
        <v>13</v>
      </c>
      <c r="I283">
        <v>291.82</v>
      </c>
      <c r="J283">
        <v>3793.66</v>
      </c>
      <c r="K283" t="s">
        <v>66</v>
      </c>
      <c r="L283" t="s">
        <v>39</v>
      </c>
      <c r="M283">
        <v>777.81</v>
      </c>
      <c r="N283" s="3">
        <f t="shared" si="4"/>
        <v>45748</v>
      </c>
    </row>
    <row r="284" spans="1:14" x14ac:dyDescent="0.35">
      <c r="A284" t="s">
        <v>531</v>
      </c>
      <c r="B284" t="s">
        <v>532</v>
      </c>
      <c r="C284" t="s">
        <v>47</v>
      </c>
      <c r="D284" t="s">
        <v>116</v>
      </c>
      <c r="E284" t="s">
        <v>26</v>
      </c>
      <c r="F284" t="s">
        <v>44</v>
      </c>
      <c r="G284" t="s">
        <v>28</v>
      </c>
      <c r="H284">
        <v>17</v>
      </c>
      <c r="I284">
        <v>642.07000000000005</v>
      </c>
      <c r="J284">
        <v>10915.19</v>
      </c>
      <c r="K284" t="s">
        <v>20</v>
      </c>
      <c r="L284" t="s">
        <v>34</v>
      </c>
      <c r="M284">
        <v>2230.16</v>
      </c>
      <c r="N284" s="3">
        <f t="shared" si="4"/>
        <v>45931</v>
      </c>
    </row>
    <row r="285" spans="1:14" x14ac:dyDescent="0.35">
      <c r="A285" t="s">
        <v>533</v>
      </c>
      <c r="B285" t="s">
        <v>368</v>
      </c>
      <c r="C285" t="s">
        <v>47</v>
      </c>
      <c r="D285" t="s">
        <v>53</v>
      </c>
      <c r="E285" t="s">
        <v>43</v>
      </c>
      <c r="F285" t="s">
        <v>44</v>
      </c>
      <c r="G285" t="s">
        <v>85</v>
      </c>
      <c r="H285">
        <v>16</v>
      </c>
      <c r="I285">
        <v>424.62</v>
      </c>
      <c r="J285">
        <v>6793.92</v>
      </c>
      <c r="K285" t="s">
        <v>20</v>
      </c>
      <c r="L285" t="s">
        <v>34</v>
      </c>
      <c r="M285">
        <v>2171.4499999999998</v>
      </c>
      <c r="N285" s="3">
        <f t="shared" si="4"/>
        <v>45839</v>
      </c>
    </row>
    <row r="286" spans="1:14" x14ac:dyDescent="0.35">
      <c r="A286" t="s">
        <v>534</v>
      </c>
      <c r="B286" t="s">
        <v>58</v>
      </c>
      <c r="C286" t="s">
        <v>32</v>
      </c>
      <c r="D286" t="s">
        <v>69</v>
      </c>
      <c r="E286" t="s">
        <v>26</v>
      </c>
      <c r="F286" t="s">
        <v>37</v>
      </c>
      <c r="G286" t="s">
        <v>96</v>
      </c>
      <c r="H286">
        <v>7</v>
      </c>
      <c r="I286">
        <v>159.97</v>
      </c>
      <c r="J286">
        <v>1119.79</v>
      </c>
      <c r="K286" t="s">
        <v>49</v>
      </c>
      <c r="L286" t="s">
        <v>77</v>
      </c>
      <c r="M286">
        <v>195.07</v>
      </c>
      <c r="N286" s="3">
        <f t="shared" si="4"/>
        <v>45717</v>
      </c>
    </row>
    <row r="287" spans="1:14" x14ac:dyDescent="0.35">
      <c r="A287" t="s">
        <v>535</v>
      </c>
      <c r="B287" t="s">
        <v>193</v>
      </c>
      <c r="C287" t="s">
        <v>24</v>
      </c>
      <c r="D287" t="s">
        <v>42</v>
      </c>
      <c r="E287" t="s">
        <v>48</v>
      </c>
      <c r="F287" t="s">
        <v>27</v>
      </c>
      <c r="G287" t="s">
        <v>45</v>
      </c>
      <c r="H287">
        <v>7</v>
      </c>
      <c r="I287">
        <v>379.68</v>
      </c>
      <c r="J287">
        <v>2657.76</v>
      </c>
      <c r="K287" t="s">
        <v>63</v>
      </c>
      <c r="L287" t="s">
        <v>34</v>
      </c>
      <c r="M287">
        <v>408.19</v>
      </c>
      <c r="N287" s="3">
        <f t="shared" si="4"/>
        <v>45748</v>
      </c>
    </row>
    <row r="288" spans="1:14" x14ac:dyDescent="0.35">
      <c r="A288" t="s">
        <v>536</v>
      </c>
      <c r="B288" t="s">
        <v>209</v>
      </c>
      <c r="C288" t="s">
        <v>32</v>
      </c>
      <c r="D288" t="s">
        <v>74</v>
      </c>
      <c r="E288" t="s">
        <v>48</v>
      </c>
      <c r="F288" t="s">
        <v>18</v>
      </c>
      <c r="G288" t="s">
        <v>45</v>
      </c>
      <c r="H288">
        <v>17</v>
      </c>
      <c r="I288">
        <v>959.11</v>
      </c>
      <c r="J288">
        <v>16304.87</v>
      </c>
      <c r="K288" t="s">
        <v>66</v>
      </c>
      <c r="L288" t="s">
        <v>21</v>
      </c>
      <c r="M288">
        <v>2193.04</v>
      </c>
      <c r="N288" s="3">
        <f t="shared" si="4"/>
        <v>45778</v>
      </c>
    </row>
    <row r="289" spans="1:14" x14ac:dyDescent="0.35">
      <c r="A289" t="s">
        <v>537</v>
      </c>
      <c r="B289" t="s">
        <v>538</v>
      </c>
      <c r="C289" t="s">
        <v>47</v>
      </c>
      <c r="D289" t="s">
        <v>33</v>
      </c>
      <c r="E289" t="s">
        <v>48</v>
      </c>
      <c r="F289" t="s">
        <v>37</v>
      </c>
      <c r="G289" t="s">
        <v>38</v>
      </c>
      <c r="H289">
        <v>20</v>
      </c>
      <c r="I289">
        <v>648.69000000000005</v>
      </c>
      <c r="J289">
        <v>12973.8</v>
      </c>
      <c r="K289" t="s">
        <v>63</v>
      </c>
      <c r="L289" t="s">
        <v>34</v>
      </c>
      <c r="M289">
        <v>4473.09</v>
      </c>
      <c r="N289" s="3">
        <f t="shared" si="4"/>
        <v>45689</v>
      </c>
    </row>
    <row r="290" spans="1:14" x14ac:dyDescent="0.35">
      <c r="A290" t="s">
        <v>539</v>
      </c>
      <c r="B290" t="s">
        <v>358</v>
      </c>
      <c r="C290" t="s">
        <v>15</v>
      </c>
      <c r="D290" t="s">
        <v>116</v>
      </c>
      <c r="E290" t="s">
        <v>17</v>
      </c>
      <c r="F290" t="s">
        <v>18</v>
      </c>
      <c r="G290" t="s">
        <v>19</v>
      </c>
      <c r="H290">
        <v>20</v>
      </c>
      <c r="I290">
        <v>551.76</v>
      </c>
      <c r="J290">
        <v>11035.2</v>
      </c>
      <c r="K290" t="s">
        <v>66</v>
      </c>
      <c r="L290" t="s">
        <v>50</v>
      </c>
      <c r="M290">
        <v>1390.31</v>
      </c>
      <c r="N290" s="3">
        <f t="shared" si="4"/>
        <v>45870</v>
      </c>
    </row>
    <row r="291" spans="1:14" x14ac:dyDescent="0.35">
      <c r="A291" t="s">
        <v>540</v>
      </c>
      <c r="B291" t="s">
        <v>541</v>
      </c>
      <c r="C291" t="s">
        <v>47</v>
      </c>
      <c r="D291" t="s">
        <v>42</v>
      </c>
      <c r="E291" t="s">
        <v>26</v>
      </c>
      <c r="F291" t="s">
        <v>37</v>
      </c>
      <c r="G291" t="s">
        <v>28</v>
      </c>
      <c r="H291">
        <v>5</v>
      </c>
      <c r="I291">
        <v>164.25</v>
      </c>
      <c r="J291">
        <v>821.25</v>
      </c>
      <c r="K291" t="s">
        <v>49</v>
      </c>
      <c r="L291" t="s">
        <v>50</v>
      </c>
      <c r="M291">
        <v>250.26</v>
      </c>
      <c r="N291" s="3">
        <f t="shared" si="4"/>
        <v>45717</v>
      </c>
    </row>
    <row r="292" spans="1:14" x14ac:dyDescent="0.35">
      <c r="A292" t="s">
        <v>542</v>
      </c>
      <c r="B292" t="s">
        <v>84</v>
      </c>
      <c r="C292" t="s">
        <v>15</v>
      </c>
      <c r="D292" t="s">
        <v>25</v>
      </c>
      <c r="E292" t="s">
        <v>17</v>
      </c>
      <c r="F292" t="s">
        <v>27</v>
      </c>
      <c r="G292" t="s">
        <v>85</v>
      </c>
      <c r="H292">
        <v>9</v>
      </c>
      <c r="I292">
        <v>229.45</v>
      </c>
      <c r="J292">
        <v>2065.0500000000002</v>
      </c>
      <c r="K292" t="s">
        <v>82</v>
      </c>
      <c r="L292" t="s">
        <v>77</v>
      </c>
      <c r="M292">
        <v>267.93</v>
      </c>
      <c r="N292" s="3">
        <f t="shared" si="4"/>
        <v>45748</v>
      </c>
    </row>
    <row r="293" spans="1:14" x14ac:dyDescent="0.35">
      <c r="A293" t="s">
        <v>543</v>
      </c>
      <c r="B293" t="s">
        <v>544</v>
      </c>
      <c r="C293" t="s">
        <v>47</v>
      </c>
      <c r="D293" t="s">
        <v>116</v>
      </c>
      <c r="E293" t="s">
        <v>17</v>
      </c>
      <c r="F293" t="s">
        <v>18</v>
      </c>
      <c r="G293" t="s">
        <v>56</v>
      </c>
      <c r="H293">
        <v>20</v>
      </c>
      <c r="I293">
        <v>283.19</v>
      </c>
      <c r="J293">
        <v>5663.8</v>
      </c>
      <c r="K293" t="s">
        <v>63</v>
      </c>
      <c r="L293" t="s">
        <v>21</v>
      </c>
      <c r="M293">
        <v>1226.58</v>
      </c>
      <c r="N293" s="3">
        <f t="shared" si="4"/>
        <v>45931</v>
      </c>
    </row>
    <row r="294" spans="1:14" x14ac:dyDescent="0.35">
      <c r="A294" t="s">
        <v>545</v>
      </c>
      <c r="B294" t="s">
        <v>287</v>
      </c>
      <c r="C294" t="s">
        <v>47</v>
      </c>
      <c r="D294" t="s">
        <v>42</v>
      </c>
      <c r="E294" t="s">
        <v>48</v>
      </c>
      <c r="F294" t="s">
        <v>44</v>
      </c>
      <c r="G294" t="s">
        <v>38</v>
      </c>
      <c r="H294">
        <v>3</v>
      </c>
      <c r="I294">
        <v>832.03</v>
      </c>
      <c r="J294">
        <v>2496.09</v>
      </c>
      <c r="K294" t="s">
        <v>66</v>
      </c>
      <c r="L294" t="s">
        <v>21</v>
      </c>
      <c r="M294">
        <v>530.33000000000004</v>
      </c>
      <c r="N294" s="3">
        <f t="shared" si="4"/>
        <v>45809</v>
      </c>
    </row>
    <row r="295" spans="1:14" x14ac:dyDescent="0.35">
      <c r="A295" t="s">
        <v>546</v>
      </c>
      <c r="B295" t="s">
        <v>100</v>
      </c>
      <c r="C295" t="s">
        <v>32</v>
      </c>
      <c r="D295" t="s">
        <v>69</v>
      </c>
      <c r="E295" t="s">
        <v>43</v>
      </c>
      <c r="F295" t="s">
        <v>18</v>
      </c>
      <c r="G295" t="s">
        <v>38</v>
      </c>
      <c r="H295">
        <v>20</v>
      </c>
      <c r="I295">
        <v>585.78</v>
      </c>
      <c r="J295">
        <v>11715.6</v>
      </c>
      <c r="K295" t="s">
        <v>66</v>
      </c>
      <c r="L295" t="s">
        <v>34</v>
      </c>
      <c r="M295">
        <v>2437.27</v>
      </c>
      <c r="N295" s="3">
        <f t="shared" si="4"/>
        <v>45962</v>
      </c>
    </row>
    <row r="296" spans="1:14" x14ac:dyDescent="0.35">
      <c r="A296" t="s">
        <v>547</v>
      </c>
      <c r="B296" t="s">
        <v>548</v>
      </c>
      <c r="C296" t="s">
        <v>32</v>
      </c>
      <c r="D296" t="s">
        <v>53</v>
      </c>
      <c r="E296" t="s">
        <v>26</v>
      </c>
      <c r="F296" t="s">
        <v>27</v>
      </c>
      <c r="G296" t="s">
        <v>56</v>
      </c>
      <c r="H296">
        <v>20</v>
      </c>
      <c r="I296">
        <v>221.03</v>
      </c>
      <c r="J296">
        <v>4420.6000000000004</v>
      </c>
      <c r="K296" t="s">
        <v>66</v>
      </c>
      <c r="L296" t="s">
        <v>50</v>
      </c>
      <c r="M296">
        <v>919.36</v>
      </c>
      <c r="N296" s="3">
        <f t="shared" si="4"/>
        <v>45931</v>
      </c>
    </row>
    <row r="297" spans="1:14" x14ac:dyDescent="0.35">
      <c r="A297" t="s">
        <v>549</v>
      </c>
      <c r="B297" t="s">
        <v>403</v>
      </c>
      <c r="C297" t="s">
        <v>24</v>
      </c>
      <c r="D297" t="s">
        <v>16</v>
      </c>
      <c r="E297" t="s">
        <v>43</v>
      </c>
      <c r="F297" t="s">
        <v>44</v>
      </c>
      <c r="G297" t="s">
        <v>28</v>
      </c>
      <c r="H297">
        <v>16</v>
      </c>
      <c r="I297">
        <v>608.54</v>
      </c>
      <c r="J297">
        <v>9736.64</v>
      </c>
      <c r="K297" t="s">
        <v>82</v>
      </c>
      <c r="L297" t="s">
        <v>77</v>
      </c>
      <c r="M297">
        <v>3179.22</v>
      </c>
      <c r="N297" s="3">
        <f t="shared" si="4"/>
        <v>45992</v>
      </c>
    </row>
    <row r="298" spans="1:14" x14ac:dyDescent="0.35">
      <c r="A298" t="s">
        <v>550</v>
      </c>
      <c r="B298" t="s">
        <v>209</v>
      </c>
      <c r="C298" t="s">
        <v>47</v>
      </c>
      <c r="D298" t="s">
        <v>25</v>
      </c>
      <c r="E298" t="s">
        <v>17</v>
      </c>
      <c r="F298" t="s">
        <v>27</v>
      </c>
      <c r="G298" t="s">
        <v>45</v>
      </c>
      <c r="H298">
        <v>19</v>
      </c>
      <c r="I298">
        <v>621.87</v>
      </c>
      <c r="J298">
        <v>11815.53</v>
      </c>
      <c r="K298" t="s">
        <v>82</v>
      </c>
      <c r="L298" t="s">
        <v>21</v>
      </c>
      <c r="M298">
        <v>3250.38</v>
      </c>
      <c r="N298" s="3">
        <f t="shared" si="4"/>
        <v>45778</v>
      </c>
    </row>
    <row r="299" spans="1:14" x14ac:dyDescent="0.35">
      <c r="A299" t="s">
        <v>551</v>
      </c>
      <c r="B299" t="s">
        <v>552</v>
      </c>
      <c r="C299" t="s">
        <v>32</v>
      </c>
      <c r="D299" t="s">
        <v>69</v>
      </c>
      <c r="E299" t="s">
        <v>48</v>
      </c>
      <c r="F299" t="s">
        <v>37</v>
      </c>
      <c r="G299" t="s">
        <v>105</v>
      </c>
      <c r="H299">
        <v>14</v>
      </c>
      <c r="I299">
        <v>748.73</v>
      </c>
      <c r="J299">
        <v>10482.219999999999</v>
      </c>
      <c r="K299" t="s">
        <v>20</v>
      </c>
      <c r="L299" t="s">
        <v>77</v>
      </c>
      <c r="M299">
        <v>3453.78</v>
      </c>
      <c r="N299" s="3">
        <f t="shared" si="4"/>
        <v>45748</v>
      </c>
    </row>
    <row r="300" spans="1:14" x14ac:dyDescent="0.35">
      <c r="A300" t="s">
        <v>553</v>
      </c>
      <c r="B300" t="s">
        <v>554</v>
      </c>
      <c r="C300" t="s">
        <v>15</v>
      </c>
      <c r="D300" t="s">
        <v>42</v>
      </c>
      <c r="E300" t="s">
        <v>26</v>
      </c>
      <c r="F300" t="s">
        <v>18</v>
      </c>
      <c r="G300" t="s">
        <v>45</v>
      </c>
      <c r="H300">
        <v>16</v>
      </c>
      <c r="I300">
        <v>315.64</v>
      </c>
      <c r="J300">
        <v>5050.24</v>
      </c>
      <c r="K300" t="s">
        <v>20</v>
      </c>
      <c r="L300" t="s">
        <v>39</v>
      </c>
      <c r="M300">
        <v>1756.18</v>
      </c>
      <c r="N300" s="3">
        <f t="shared" si="4"/>
        <v>45689</v>
      </c>
    </row>
    <row r="301" spans="1:14" x14ac:dyDescent="0.35">
      <c r="A301" t="s">
        <v>555</v>
      </c>
      <c r="B301" t="s">
        <v>556</v>
      </c>
      <c r="C301" t="s">
        <v>32</v>
      </c>
      <c r="D301" t="s">
        <v>33</v>
      </c>
      <c r="E301" t="s">
        <v>26</v>
      </c>
      <c r="F301" t="s">
        <v>18</v>
      </c>
      <c r="G301" t="s">
        <v>56</v>
      </c>
      <c r="H301">
        <v>9</v>
      </c>
      <c r="I301">
        <v>428.44</v>
      </c>
      <c r="J301">
        <v>3855.96</v>
      </c>
      <c r="K301" t="s">
        <v>29</v>
      </c>
      <c r="L301" t="s">
        <v>21</v>
      </c>
      <c r="M301">
        <v>1146.5</v>
      </c>
      <c r="N301" s="3">
        <f t="shared" si="4"/>
        <v>45870</v>
      </c>
    </row>
    <row r="302" spans="1:14" x14ac:dyDescent="0.35">
      <c r="A302" t="s">
        <v>557</v>
      </c>
      <c r="B302" t="s">
        <v>104</v>
      </c>
      <c r="C302" t="s">
        <v>15</v>
      </c>
      <c r="D302" t="s">
        <v>42</v>
      </c>
      <c r="E302" t="s">
        <v>17</v>
      </c>
      <c r="F302" t="s">
        <v>44</v>
      </c>
      <c r="G302" t="s">
        <v>56</v>
      </c>
      <c r="H302">
        <v>4</v>
      </c>
      <c r="I302">
        <v>681.45</v>
      </c>
      <c r="J302">
        <v>2725.8</v>
      </c>
      <c r="K302" t="s">
        <v>49</v>
      </c>
      <c r="L302" t="s">
        <v>77</v>
      </c>
      <c r="M302">
        <v>801.15</v>
      </c>
      <c r="N302" s="3">
        <f t="shared" si="4"/>
        <v>45931</v>
      </c>
    </row>
    <row r="303" spans="1:14" x14ac:dyDescent="0.35">
      <c r="A303" t="s">
        <v>558</v>
      </c>
      <c r="B303" t="s">
        <v>140</v>
      </c>
      <c r="C303" t="s">
        <v>24</v>
      </c>
      <c r="D303" t="s">
        <v>69</v>
      </c>
      <c r="E303" t="s">
        <v>48</v>
      </c>
      <c r="F303" t="s">
        <v>18</v>
      </c>
      <c r="G303" t="s">
        <v>56</v>
      </c>
      <c r="H303">
        <v>1</v>
      </c>
      <c r="I303">
        <v>926.64</v>
      </c>
      <c r="J303">
        <v>926.64</v>
      </c>
      <c r="K303" t="s">
        <v>49</v>
      </c>
      <c r="L303" t="s">
        <v>39</v>
      </c>
      <c r="M303">
        <v>129.96</v>
      </c>
      <c r="N303" s="3">
        <f t="shared" si="4"/>
        <v>45748</v>
      </c>
    </row>
    <row r="304" spans="1:14" x14ac:dyDescent="0.35">
      <c r="A304" t="s">
        <v>559</v>
      </c>
      <c r="B304" t="s">
        <v>474</v>
      </c>
      <c r="C304" t="s">
        <v>32</v>
      </c>
      <c r="D304" t="s">
        <v>25</v>
      </c>
      <c r="E304" t="s">
        <v>43</v>
      </c>
      <c r="F304" t="s">
        <v>27</v>
      </c>
      <c r="G304" t="s">
        <v>56</v>
      </c>
      <c r="H304">
        <v>2</v>
      </c>
      <c r="I304">
        <v>506.07</v>
      </c>
      <c r="J304">
        <v>1012.14</v>
      </c>
      <c r="K304" t="s">
        <v>63</v>
      </c>
      <c r="L304" t="s">
        <v>21</v>
      </c>
      <c r="M304">
        <v>286.14999999999998</v>
      </c>
      <c r="N304" s="3">
        <f t="shared" si="4"/>
        <v>45717</v>
      </c>
    </row>
    <row r="305" spans="1:14" x14ac:dyDescent="0.35">
      <c r="A305" t="s">
        <v>560</v>
      </c>
      <c r="B305" t="s">
        <v>561</v>
      </c>
      <c r="C305" t="s">
        <v>32</v>
      </c>
      <c r="D305" t="s">
        <v>69</v>
      </c>
      <c r="E305" t="s">
        <v>48</v>
      </c>
      <c r="F305" t="s">
        <v>27</v>
      </c>
      <c r="G305" t="s">
        <v>85</v>
      </c>
      <c r="H305">
        <v>14</v>
      </c>
      <c r="I305">
        <v>765.69</v>
      </c>
      <c r="J305">
        <v>10719.66</v>
      </c>
      <c r="K305" t="s">
        <v>49</v>
      </c>
      <c r="L305" t="s">
        <v>39</v>
      </c>
      <c r="M305">
        <v>2761.11</v>
      </c>
      <c r="N305" s="3">
        <f t="shared" si="4"/>
        <v>45689</v>
      </c>
    </row>
    <row r="306" spans="1:14" x14ac:dyDescent="0.35">
      <c r="A306" t="s">
        <v>562</v>
      </c>
      <c r="B306" t="s">
        <v>563</v>
      </c>
      <c r="C306" t="s">
        <v>47</v>
      </c>
      <c r="D306" t="s">
        <v>116</v>
      </c>
      <c r="E306" t="s">
        <v>48</v>
      </c>
      <c r="F306" t="s">
        <v>37</v>
      </c>
      <c r="G306" t="s">
        <v>28</v>
      </c>
      <c r="H306">
        <v>2</v>
      </c>
      <c r="I306">
        <v>791.86</v>
      </c>
      <c r="J306">
        <v>1583.72</v>
      </c>
      <c r="K306" t="s">
        <v>82</v>
      </c>
      <c r="L306" t="s">
        <v>50</v>
      </c>
      <c r="M306">
        <v>308.57</v>
      </c>
      <c r="N306" s="3">
        <f t="shared" si="4"/>
        <v>45992</v>
      </c>
    </row>
    <row r="307" spans="1:14" x14ac:dyDescent="0.35">
      <c r="A307" t="s">
        <v>564</v>
      </c>
      <c r="B307" t="s">
        <v>282</v>
      </c>
      <c r="C307" t="s">
        <v>15</v>
      </c>
      <c r="D307" t="s">
        <v>74</v>
      </c>
      <c r="E307" t="s">
        <v>17</v>
      </c>
      <c r="F307" t="s">
        <v>37</v>
      </c>
      <c r="G307" t="s">
        <v>85</v>
      </c>
      <c r="H307">
        <v>7</v>
      </c>
      <c r="I307">
        <v>371.18</v>
      </c>
      <c r="J307">
        <v>2598.2600000000002</v>
      </c>
      <c r="K307" t="s">
        <v>63</v>
      </c>
      <c r="L307" t="s">
        <v>21</v>
      </c>
      <c r="M307">
        <v>697.82</v>
      </c>
      <c r="N307" s="3">
        <f t="shared" si="4"/>
        <v>45658</v>
      </c>
    </row>
    <row r="308" spans="1:14" x14ac:dyDescent="0.35">
      <c r="A308" t="s">
        <v>565</v>
      </c>
      <c r="B308" t="s">
        <v>518</v>
      </c>
      <c r="C308" t="s">
        <v>47</v>
      </c>
      <c r="D308" t="s">
        <v>42</v>
      </c>
      <c r="E308" t="s">
        <v>43</v>
      </c>
      <c r="F308" t="s">
        <v>37</v>
      </c>
      <c r="G308" t="s">
        <v>85</v>
      </c>
      <c r="H308">
        <v>8</v>
      </c>
      <c r="I308">
        <v>986.81</v>
      </c>
      <c r="J308">
        <v>7894.48</v>
      </c>
      <c r="K308" t="s">
        <v>66</v>
      </c>
      <c r="L308" t="s">
        <v>34</v>
      </c>
      <c r="M308">
        <v>1798.76</v>
      </c>
      <c r="N308" s="3">
        <f t="shared" si="4"/>
        <v>45962</v>
      </c>
    </row>
    <row r="309" spans="1:14" x14ac:dyDescent="0.35">
      <c r="A309" t="s">
        <v>566</v>
      </c>
      <c r="B309" t="s">
        <v>205</v>
      </c>
      <c r="C309" t="s">
        <v>47</v>
      </c>
      <c r="D309" t="s">
        <v>42</v>
      </c>
      <c r="E309" t="s">
        <v>48</v>
      </c>
      <c r="F309" t="s">
        <v>44</v>
      </c>
      <c r="G309" t="s">
        <v>19</v>
      </c>
      <c r="H309">
        <v>19</v>
      </c>
      <c r="I309">
        <v>678.64</v>
      </c>
      <c r="J309">
        <v>12894.16</v>
      </c>
      <c r="K309" t="s">
        <v>29</v>
      </c>
      <c r="L309" t="s">
        <v>50</v>
      </c>
      <c r="M309">
        <v>4015.95</v>
      </c>
      <c r="N309" s="3">
        <f t="shared" si="4"/>
        <v>45658</v>
      </c>
    </row>
    <row r="310" spans="1:14" x14ac:dyDescent="0.35">
      <c r="A310" t="s">
        <v>567</v>
      </c>
      <c r="B310" t="s">
        <v>568</v>
      </c>
      <c r="C310" t="s">
        <v>47</v>
      </c>
      <c r="D310" t="s">
        <v>74</v>
      </c>
      <c r="E310" t="s">
        <v>17</v>
      </c>
      <c r="F310" t="s">
        <v>18</v>
      </c>
      <c r="G310" t="s">
        <v>38</v>
      </c>
      <c r="H310">
        <v>3</v>
      </c>
      <c r="I310">
        <v>127.87</v>
      </c>
      <c r="J310">
        <v>383.61</v>
      </c>
      <c r="K310" t="s">
        <v>63</v>
      </c>
      <c r="L310" t="s">
        <v>39</v>
      </c>
      <c r="M310">
        <v>64.010000000000005</v>
      </c>
      <c r="N310" s="3">
        <f t="shared" si="4"/>
        <v>45778</v>
      </c>
    </row>
    <row r="311" spans="1:14" x14ac:dyDescent="0.35">
      <c r="A311" t="s">
        <v>569</v>
      </c>
      <c r="B311" t="s">
        <v>570</v>
      </c>
      <c r="C311" t="s">
        <v>15</v>
      </c>
      <c r="D311" t="s">
        <v>25</v>
      </c>
      <c r="E311" t="s">
        <v>17</v>
      </c>
      <c r="F311" t="s">
        <v>44</v>
      </c>
      <c r="G311" t="s">
        <v>45</v>
      </c>
      <c r="H311">
        <v>19</v>
      </c>
      <c r="I311">
        <v>246.63</v>
      </c>
      <c r="J311">
        <v>4685.97</v>
      </c>
      <c r="K311" t="s">
        <v>63</v>
      </c>
      <c r="L311" t="s">
        <v>21</v>
      </c>
      <c r="M311">
        <v>1551.26</v>
      </c>
      <c r="N311" s="3">
        <f t="shared" si="4"/>
        <v>45809</v>
      </c>
    </row>
    <row r="312" spans="1:14" x14ac:dyDescent="0.35">
      <c r="A312" t="s">
        <v>571</v>
      </c>
      <c r="B312" t="s">
        <v>572</v>
      </c>
      <c r="C312" t="s">
        <v>47</v>
      </c>
      <c r="D312" t="s">
        <v>33</v>
      </c>
      <c r="E312" t="s">
        <v>48</v>
      </c>
      <c r="F312" t="s">
        <v>18</v>
      </c>
      <c r="G312" t="s">
        <v>19</v>
      </c>
      <c r="H312">
        <v>18</v>
      </c>
      <c r="I312">
        <v>210.21</v>
      </c>
      <c r="J312">
        <v>3783.78</v>
      </c>
      <c r="K312" t="s">
        <v>20</v>
      </c>
      <c r="L312" t="s">
        <v>39</v>
      </c>
      <c r="M312">
        <v>893.23</v>
      </c>
      <c r="N312" s="3">
        <f t="shared" si="4"/>
        <v>45931</v>
      </c>
    </row>
    <row r="313" spans="1:14" x14ac:dyDescent="0.35">
      <c r="A313" t="s">
        <v>573</v>
      </c>
      <c r="B313" t="s">
        <v>344</v>
      </c>
      <c r="C313" t="s">
        <v>32</v>
      </c>
      <c r="D313" t="s">
        <v>74</v>
      </c>
      <c r="E313" t="s">
        <v>26</v>
      </c>
      <c r="F313" t="s">
        <v>18</v>
      </c>
      <c r="G313" t="s">
        <v>45</v>
      </c>
      <c r="H313">
        <v>3</v>
      </c>
      <c r="I313">
        <v>332.71</v>
      </c>
      <c r="J313">
        <v>998.13</v>
      </c>
      <c r="K313" t="s">
        <v>82</v>
      </c>
      <c r="L313" t="s">
        <v>34</v>
      </c>
      <c r="M313">
        <v>311.31</v>
      </c>
      <c r="N313" s="3">
        <f t="shared" si="4"/>
        <v>45931</v>
      </c>
    </row>
    <row r="314" spans="1:14" x14ac:dyDescent="0.35">
      <c r="A314" t="s">
        <v>574</v>
      </c>
      <c r="B314" t="s">
        <v>144</v>
      </c>
      <c r="C314" t="s">
        <v>47</v>
      </c>
      <c r="D314" t="s">
        <v>25</v>
      </c>
      <c r="E314" t="s">
        <v>43</v>
      </c>
      <c r="F314" t="s">
        <v>44</v>
      </c>
      <c r="G314" t="s">
        <v>105</v>
      </c>
      <c r="H314">
        <v>9</v>
      </c>
      <c r="I314">
        <v>419.79</v>
      </c>
      <c r="J314">
        <v>3778.11</v>
      </c>
      <c r="K314" t="s">
        <v>82</v>
      </c>
      <c r="L314" t="s">
        <v>39</v>
      </c>
      <c r="M314">
        <v>1070.55</v>
      </c>
      <c r="N314" s="3">
        <f t="shared" si="4"/>
        <v>45992</v>
      </c>
    </row>
    <row r="315" spans="1:14" x14ac:dyDescent="0.35">
      <c r="A315" t="s">
        <v>575</v>
      </c>
      <c r="B315" t="s">
        <v>449</v>
      </c>
      <c r="C315" t="s">
        <v>32</v>
      </c>
      <c r="D315" t="s">
        <v>33</v>
      </c>
      <c r="E315" t="s">
        <v>43</v>
      </c>
      <c r="F315" t="s">
        <v>37</v>
      </c>
      <c r="G315" t="s">
        <v>105</v>
      </c>
      <c r="H315">
        <v>16</v>
      </c>
      <c r="I315">
        <v>678.66</v>
      </c>
      <c r="J315">
        <v>10858.56</v>
      </c>
      <c r="K315" t="s">
        <v>82</v>
      </c>
      <c r="L315" t="s">
        <v>39</v>
      </c>
      <c r="M315">
        <v>2963.29</v>
      </c>
      <c r="N315" s="3">
        <f t="shared" si="4"/>
        <v>45992</v>
      </c>
    </row>
    <row r="316" spans="1:14" x14ac:dyDescent="0.35">
      <c r="A316" t="s">
        <v>576</v>
      </c>
      <c r="B316" t="s">
        <v>125</v>
      </c>
      <c r="C316" t="s">
        <v>24</v>
      </c>
      <c r="D316" t="s">
        <v>69</v>
      </c>
      <c r="E316" t="s">
        <v>26</v>
      </c>
      <c r="F316" t="s">
        <v>37</v>
      </c>
      <c r="G316" t="s">
        <v>96</v>
      </c>
      <c r="H316">
        <v>18</v>
      </c>
      <c r="I316">
        <v>624.25</v>
      </c>
      <c r="J316">
        <v>11236.5</v>
      </c>
      <c r="K316" t="s">
        <v>29</v>
      </c>
      <c r="L316" t="s">
        <v>34</v>
      </c>
      <c r="M316">
        <v>1729.22</v>
      </c>
      <c r="N316" s="3">
        <f t="shared" si="4"/>
        <v>45778</v>
      </c>
    </row>
    <row r="317" spans="1:14" x14ac:dyDescent="0.35">
      <c r="A317" t="s">
        <v>577</v>
      </c>
      <c r="B317" t="s">
        <v>578</v>
      </c>
      <c r="C317" t="s">
        <v>47</v>
      </c>
      <c r="D317" t="s">
        <v>116</v>
      </c>
      <c r="E317" t="s">
        <v>43</v>
      </c>
      <c r="F317" t="s">
        <v>18</v>
      </c>
      <c r="G317" t="s">
        <v>19</v>
      </c>
      <c r="H317">
        <v>19</v>
      </c>
      <c r="I317">
        <v>785.34</v>
      </c>
      <c r="J317">
        <v>14921.46</v>
      </c>
      <c r="K317" t="s">
        <v>29</v>
      </c>
      <c r="L317" t="s">
        <v>34</v>
      </c>
      <c r="M317">
        <v>2645.34</v>
      </c>
      <c r="N317" s="3">
        <f t="shared" si="4"/>
        <v>45717</v>
      </c>
    </row>
    <row r="318" spans="1:14" x14ac:dyDescent="0.35">
      <c r="A318" t="s">
        <v>579</v>
      </c>
      <c r="B318" t="s">
        <v>127</v>
      </c>
      <c r="C318" t="s">
        <v>15</v>
      </c>
      <c r="D318" t="s">
        <v>42</v>
      </c>
      <c r="E318" t="s">
        <v>26</v>
      </c>
      <c r="F318" t="s">
        <v>18</v>
      </c>
      <c r="G318" t="s">
        <v>85</v>
      </c>
      <c r="H318">
        <v>12</v>
      </c>
      <c r="I318">
        <v>410.88</v>
      </c>
      <c r="J318">
        <v>4930.5600000000004</v>
      </c>
      <c r="K318" t="s">
        <v>20</v>
      </c>
      <c r="L318" t="s">
        <v>50</v>
      </c>
      <c r="M318">
        <v>1299.72</v>
      </c>
      <c r="N318" s="3">
        <f t="shared" si="4"/>
        <v>45901</v>
      </c>
    </row>
    <row r="319" spans="1:14" x14ac:dyDescent="0.35">
      <c r="A319" t="s">
        <v>580</v>
      </c>
      <c r="B319" t="s">
        <v>581</v>
      </c>
      <c r="C319" t="s">
        <v>24</v>
      </c>
      <c r="D319" t="s">
        <v>74</v>
      </c>
      <c r="E319" t="s">
        <v>17</v>
      </c>
      <c r="F319" t="s">
        <v>44</v>
      </c>
      <c r="G319" t="s">
        <v>19</v>
      </c>
      <c r="H319">
        <v>14</v>
      </c>
      <c r="I319">
        <v>496.36</v>
      </c>
      <c r="J319">
        <v>6949.04</v>
      </c>
      <c r="K319" t="s">
        <v>20</v>
      </c>
      <c r="L319" t="s">
        <v>77</v>
      </c>
      <c r="M319">
        <v>1002.51</v>
      </c>
      <c r="N319" s="3">
        <f t="shared" si="4"/>
        <v>45870</v>
      </c>
    </row>
    <row r="320" spans="1:14" x14ac:dyDescent="0.35">
      <c r="A320" t="s">
        <v>582</v>
      </c>
      <c r="B320" t="s">
        <v>583</v>
      </c>
      <c r="C320" t="s">
        <v>32</v>
      </c>
      <c r="D320" t="s">
        <v>33</v>
      </c>
      <c r="E320" t="s">
        <v>48</v>
      </c>
      <c r="F320" t="s">
        <v>18</v>
      </c>
      <c r="G320" t="s">
        <v>85</v>
      </c>
      <c r="H320">
        <v>9</v>
      </c>
      <c r="I320">
        <v>781.52</v>
      </c>
      <c r="J320">
        <v>7033.68</v>
      </c>
      <c r="K320" t="s">
        <v>49</v>
      </c>
      <c r="L320" t="s">
        <v>50</v>
      </c>
      <c r="M320">
        <v>935.19</v>
      </c>
      <c r="N320" s="3">
        <f t="shared" si="4"/>
        <v>45658</v>
      </c>
    </row>
    <row r="321" spans="1:14" x14ac:dyDescent="0.35">
      <c r="A321" t="s">
        <v>584</v>
      </c>
      <c r="B321" t="s">
        <v>366</v>
      </c>
      <c r="C321" t="s">
        <v>15</v>
      </c>
      <c r="D321" t="s">
        <v>53</v>
      </c>
      <c r="E321" t="s">
        <v>48</v>
      </c>
      <c r="F321" t="s">
        <v>18</v>
      </c>
      <c r="G321" t="s">
        <v>45</v>
      </c>
      <c r="H321">
        <v>12</v>
      </c>
      <c r="I321">
        <v>705.6</v>
      </c>
      <c r="J321">
        <v>8467.2000000000007</v>
      </c>
      <c r="K321" t="s">
        <v>63</v>
      </c>
      <c r="L321" t="s">
        <v>77</v>
      </c>
      <c r="M321">
        <v>2069.04</v>
      </c>
      <c r="N321" s="3">
        <f t="shared" si="4"/>
        <v>45839</v>
      </c>
    </row>
    <row r="322" spans="1:14" x14ac:dyDescent="0.35">
      <c r="A322" t="s">
        <v>585</v>
      </c>
      <c r="B322" t="s">
        <v>291</v>
      </c>
      <c r="C322" t="s">
        <v>47</v>
      </c>
      <c r="D322" t="s">
        <v>33</v>
      </c>
      <c r="E322" t="s">
        <v>48</v>
      </c>
      <c r="F322" t="s">
        <v>37</v>
      </c>
      <c r="G322" t="s">
        <v>38</v>
      </c>
      <c r="H322">
        <v>9</v>
      </c>
      <c r="I322">
        <v>749.92</v>
      </c>
      <c r="J322">
        <v>6749.28</v>
      </c>
      <c r="K322" t="s">
        <v>63</v>
      </c>
      <c r="L322" t="s">
        <v>39</v>
      </c>
      <c r="M322">
        <v>885.41</v>
      </c>
      <c r="N322" s="3">
        <f t="shared" si="4"/>
        <v>45931</v>
      </c>
    </row>
    <row r="323" spans="1:14" x14ac:dyDescent="0.35">
      <c r="A323" t="s">
        <v>586</v>
      </c>
      <c r="B323" t="s">
        <v>587</v>
      </c>
      <c r="C323" t="s">
        <v>24</v>
      </c>
      <c r="D323" t="s">
        <v>16</v>
      </c>
      <c r="E323" t="s">
        <v>48</v>
      </c>
      <c r="F323" t="s">
        <v>37</v>
      </c>
      <c r="G323" t="s">
        <v>19</v>
      </c>
      <c r="H323">
        <v>20</v>
      </c>
      <c r="I323">
        <v>119.4</v>
      </c>
      <c r="J323">
        <v>2388</v>
      </c>
      <c r="K323" t="s">
        <v>63</v>
      </c>
      <c r="L323" t="s">
        <v>21</v>
      </c>
      <c r="M323">
        <v>544.9</v>
      </c>
      <c r="N323" s="3">
        <f t="shared" ref="N323:N386" si="5">DATE(YEAR(B323),MONTH(B323),1)</f>
        <v>45717</v>
      </c>
    </row>
    <row r="324" spans="1:14" x14ac:dyDescent="0.35">
      <c r="A324" t="s">
        <v>588</v>
      </c>
      <c r="B324" t="s">
        <v>589</v>
      </c>
      <c r="C324" t="s">
        <v>15</v>
      </c>
      <c r="D324" t="s">
        <v>53</v>
      </c>
      <c r="E324" t="s">
        <v>26</v>
      </c>
      <c r="F324" t="s">
        <v>18</v>
      </c>
      <c r="G324" t="s">
        <v>96</v>
      </c>
      <c r="H324">
        <v>15</v>
      </c>
      <c r="I324">
        <v>182.37</v>
      </c>
      <c r="J324">
        <v>2735.55</v>
      </c>
      <c r="K324" t="s">
        <v>66</v>
      </c>
      <c r="L324" t="s">
        <v>39</v>
      </c>
      <c r="M324">
        <v>471.3</v>
      </c>
      <c r="N324" s="3">
        <f t="shared" si="5"/>
        <v>45689</v>
      </c>
    </row>
    <row r="325" spans="1:14" x14ac:dyDescent="0.35">
      <c r="A325" t="s">
        <v>590</v>
      </c>
      <c r="B325" t="s">
        <v>591</v>
      </c>
      <c r="C325" t="s">
        <v>47</v>
      </c>
      <c r="D325" t="s">
        <v>116</v>
      </c>
      <c r="E325" t="s">
        <v>48</v>
      </c>
      <c r="F325" t="s">
        <v>18</v>
      </c>
      <c r="G325" t="s">
        <v>38</v>
      </c>
      <c r="H325">
        <v>15</v>
      </c>
      <c r="I325">
        <v>797.93</v>
      </c>
      <c r="J325">
        <v>11968.95</v>
      </c>
      <c r="K325" t="s">
        <v>63</v>
      </c>
      <c r="L325" t="s">
        <v>21</v>
      </c>
      <c r="M325">
        <v>4163.76</v>
      </c>
      <c r="N325" s="3">
        <f t="shared" si="5"/>
        <v>45962</v>
      </c>
    </row>
    <row r="326" spans="1:14" x14ac:dyDescent="0.35">
      <c r="A326" t="s">
        <v>592</v>
      </c>
      <c r="B326" t="s">
        <v>107</v>
      </c>
      <c r="C326" t="s">
        <v>32</v>
      </c>
      <c r="D326" t="s">
        <v>69</v>
      </c>
      <c r="E326" t="s">
        <v>48</v>
      </c>
      <c r="F326" t="s">
        <v>27</v>
      </c>
      <c r="G326" t="s">
        <v>45</v>
      </c>
      <c r="H326">
        <v>4</v>
      </c>
      <c r="I326">
        <v>560.74</v>
      </c>
      <c r="J326">
        <v>2242.96</v>
      </c>
      <c r="K326" t="s">
        <v>63</v>
      </c>
      <c r="L326" t="s">
        <v>50</v>
      </c>
      <c r="M326">
        <v>535.32000000000005</v>
      </c>
      <c r="N326" s="3">
        <f t="shared" si="5"/>
        <v>45778</v>
      </c>
    </row>
    <row r="327" spans="1:14" x14ac:dyDescent="0.35">
      <c r="A327" t="s">
        <v>593</v>
      </c>
      <c r="B327" t="s">
        <v>556</v>
      </c>
      <c r="C327" t="s">
        <v>15</v>
      </c>
      <c r="D327" t="s">
        <v>16</v>
      </c>
      <c r="E327" t="s">
        <v>17</v>
      </c>
      <c r="F327" t="s">
        <v>18</v>
      </c>
      <c r="G327" t="s">
        <v>105</v>
      </c>
      <c r="H327">
        <v>14</v>
      </c>
      <c r="I327">
        <v>247.63</v>
      </c>
      <c r="J327">
        <v>3466.82</v>
      </c>
      <c r="K327" t="s">
        <v>29</v>
      </c>
      <c r="L327" t="s">
        <v>21</v>
      </c>
      <c r="M327">
        <v>371.33</v>
      </c>
      <c r="N327" s="3">
        <f t="shared" si="5"/>
        <v>45870</v>
      </c>
    </row>
    <row r="328" spans="1:14" x14ac:dyDescent="0.35">
      <c r="A328" t="s">
        <v>594</v>
      </c>
      <c r="B328" t="s">
        <v>213</v>
      </c>
      <c r="C328" t="s">
        <v>47</v>
      </c>
      <c r="D328" t="s">
        <v>74</v>
      </c>
      <c r="E328" t="s">
        <v>43</v>
      </c>
      <c r="F328" t="s">
        <v>18</v>
      </c>
      <c r="G328" t="s">
        <v>28</v>
      </c>
      <c r="H328">
        <v>12</v>
      </c>
      <c r="I328">
        <v>883.27</v>
      </c>
      <c r="J328">
        <v>10599.24</v>
      </c>
      <c r="K328" t="s">
        <v>20</v>
      </c>
      <c r="L328" t="s">
        <v>34</v>
      </c>
      <c r="M328">
        <v>1710.49</v>
      </c>
      <c r="N328" s="3">
        <f t="shared" si="5"/>
        <v>45962</v>
      </c>
    </row>
    <row r="329" spans="1:14" x14ac:dyDescent="0.35">
      <c r="A329" t="s">
        <v>595</v>
      </c>
      <c r="B329" t="s">
        <v>233</v>
      </c>
      <c r="C329" t="s">
        <v>15</v>
      </c>
      <c r="D329" t="s">
        <v>42</v>
      </c>
      <c r="E329" t="s">
        <v>48</v>
      </c>
      <c r="F329" t="s">
        <v>27</v>
      </c>
      <c r="G329" t="s">
        <v>105</v>
      </c>
      <c r="H329">
        <v>18</v>
      </c>
      <c r="I329">
        <v>801.86</v>
      </c>
      <c r="J329">
        <v>14433.48</v>
      </c>
      <c r="K329" t="s">
        <v>29</v>
      </c>
      <c r="L329" t="s">
        <v>77</v>
      </c>
      <c r="M329">
        <v>3212.53</v>
      </c>
      <c r="N329" s="3">
        <f t="shared" si="5"/>
        <v>45748</v>
      </c>
    </row>
    <row r="330" spans="1:14" x14ac:dyDescent="0.35">
      <c r="A330" t="s">
        <v>596</v>
      </c>
      <c r="B330" t="s">
        <v>597</v>
      </c>
      <c r="C330" t="s">
        <v>47</v>
      </c>
      <c r="D330" t="s">
        <v>25</v>
      </c>
      <c r="E330" t="s">
        <v>43</v>
      </c>
      <c r="F330" t="s">
        <v>18</v>
      </c>
      <c r="G330" t="s">
        <v>45</v>
      </c>
      <c r="H330">
        <v>7</v>
      </c>
      <c r="I330">
        <v>814.52</v>
      </c>
      <c r="J330">
        <v>5701.64</v>
      </c>
      <c r="K330" t="s">
        <v>20</v>
      </c>
      <c r="L330" t="s">
        <v>50</v>
      </c>
      <c r="M330">
        <v>1940.06</v>
      </c>
      <c r="N330" s="3">
        <f t="shared" si="5"/>
        <v>45931</v>
      </c>
    </row>
    <row r="331" spans="1:14" x14ac:dyDescent="0.35">
      <c r="A331" t="s">
        <v>598</v>
      </c>
      <c r="B331" t="s">
        <v>599</v>
      </c>
      <c r="C331" t="s">
        <v>15</v>
      </c>
      <c r="D331" t="s">
        <v>16</v>
      </c>
      <c r="E331" t="s">
        <v>17</v>
      </c>
      <c r="F331" t="s">
        <v>37</v>
      </c>
      <c r="G331" t="s">
        <v>96</v>
      </c>
      <c r="H331">
        <v>6</v>
      </c>
      <c r="I331">
        <v>920.7</v>
      </c>
      <c r="J331">
        <v>5524.2</v>
      </c>
      <c r="K331" t="s">
        <v>63</v>
      </c>
      <c r="L331" t="s">
        <v>21</v>
      </c>
      <c r="M331">
        <v>854.5</v>
      </c>
      <c r="N331" s="3">
        <f t="shared" si="5"/>
        <v>45778</v>
      </c>
    </row>
    <row r="332" spans="1:14" x14ac:dyDescent="0.35">
      <c r="A332" t="s">
        <v>600</v>
      </c>
      <c r="B332" t="s">
        <v>552</v>
      </c>
      <c r="C332" t="s">
        <v>24</v>
      </c>
      <c r="D332" t="s">
        <v>33</v>
      </c>
      <c r="E332" t="s">
        <v>17</v>
      </c>
      <c r="F332" t="s">
        <v>44</v>
      </c>
      <c r="G332" t="s">
        <v>105</v>
      </c>
      <c r="H332">
        <v>13</v>
      </c>
      <c r="I332">
        <v>998.53</v>
      </c>
      <c r="J332">
        <v>12980.89</v>
      </c>
      <c r="K332" t="s">
        <v>66</v>
      </c>
      <c r="L332" t="s">
        <v>21</v>
      </c>
      <c r="M332">
        <v>3666.12</v>
      </c>
      <c r="N332" s="3">
        <f t="shared" si="5"/>
        <v>45748</v>
      </c>
    </row>
    <row r="333" spans="1:14" x14ac:dyDescent="0.35">
      <c r="A333" t="s">
        <v>601</v>
      </c>
      <c r="B333" t="s">
        <v>602</v>
      </c>
      <c r="C333" t="s">
        <v>15</v>
      </c>
      <c r="D333" t="s">
        <v>33</v>
      </c>
      <c r="E333" t="s">
        <v>43</v>
      </c>
      <c r="F333" t="s">
        <v>44</v>
      </c>
      <c r="G333" t="s">
        <v>45</v>
      </c>
      <c r="H333">
        <v>8</v>
      </c>
      <c r="I333">
        <v>657.15</v>
      </c>
      <c r="J333">
        <v>5257.2</v>
      </c>
      <c r="K333" t="s">
        <v>20</v>
      </c>
      <c r="L333" t="s">
        <v>21</v>
      </c>
      <c r="M333">
        <v>703.38</v>
      </c>
      <c r="N333" s="3">
        <f t="shared" si="5"/>
        <v>45809</v>
      </c>
    </row>
    <row r="334" spans="1:14" x14ac:dyDescent="0.35">
      <c r="A334" t="s">
        <v>603</v>
      </c>
      <c r="B334" t="s">
        <v>150</v>
      </c>
      <c r="C334" t="s">
        <v>32</v>
      </c>
      <c r="D334" t="s">
        <v>74</v>
      </c>
      <c r="E334" t="s">
        <v>17</v>
      </c>
      <c r="F334" t="s">
        <v>37</v>
      </c>
      <c r="G334" t="s">
        <v>45</v>
      </c>
      <c r="H334">
        <v>4</v>
      </c>
      <c r="I334">
        <v>800.38</v>
      </c>
      <c r="J334">
        <v>3201.52</v>
      </c>
      <c r="K334" t="s">
        <v>82</v>
      </c>
      <c r="L334" t="s">
        <v>77</v>
      </c>
      <c r="M334">
        <v>506.03</v>
      </c>
      <c r="N334" s="3">
        <f t="shared" si="5"/>
        <v>45778</v>
      </c>
    </row>
    <row r="335" spans="1:14" x14ac:dyDescent="0.35">
      <c r="A335" t="s">
        <v>604</v>
      </c>
      <c r="B335" t="s">
        <v>605</v>
      </c>
      <c r="C335" t="s">
        <v>24</v>
      </c>
      <c r="D335" t="s">
        <v>69</v>
      </c>
      <c r="E335" t="s">
        <v>17</v>
      </c>
      <c r="F335" t="s">
        <v>37</v>
      </c>
      <c r="G335" t="s">
        <v>19</v>
      </c>
      <c r="H335">
        <v>1</v>
      </c>
      <c r="I335">
        <v>272.77</v>
      </c>
      <c r="J335">
        <v>272.77</v>
      </c>
      <c r="K335" t="s">
        <v>63</v>
      </c>
      <c r="L335" t="s">
        <v>50</v>
      </c>
      <c r="M335">
        <v>67.959999999999994</v>
      </c>
      <c r="N335" s="3">
        <f t="shared" si="5"/>
        <v>45809</v>
      </c>
    </row>
    <row r="336" spans="1:14" x14ac:dyDescent="0.35">
      <c r="A336" t="s">
        <v>606</v>
      </c>
      <c r="B336" t="s">
        <v>607</v>
      </c>
      <c r="C336" t="s">
        <v>32</v>
      </c>
      <c r="D336" t="s">
        <v>16</v>
      </c>
      <c r="E336" t="s">
        <v>17</v>
      </c>
      <c r="F336" t="s">
        <v>18</v>
      </c>
      <c r="G336" t="s">
        <v>105</v>
      </c>
      <c r="H336">
        <v>16</v>
      </c>
      <c r="I336">
        <v>964.21</v>
      </c>
      <c r="J336">
        <v>15427.36</v>
      </c>
      <c r="K336" t="s">
        <v>29</v>
      </c>
      <c r="L336" t="s">
        <v>34</v>
      </c>
      <c r="M336">
        <v>5078.4399999999996</v>
      </c>
      <c r="N336" s="3">
        <f t="shared" si="5"/>
        <v>45778</v>
      </c>
    </row>
    <row r="337" spans="1:14" x14ac:dyDescent="0.35">
      <c r="A337" t="s">
        <v>608</v>
      </c>
      <c r="B337" t="s">
        <v>215</v>
      </c>
      <c r="C337" t="s">
        <v>24</v>
      </c>
      <c r="D337" t="s">
        <v>25</v>
      </c>
      <c r="E337" t="s">
        <v>43</v>
      </c>
      <c r="F337" t="s">
        <v>44</v>
      </c>
      <c r="G337" t="s">
        <v>28</v>
      </c>
      <c r="H337">
        <v>12</v>
      </c>
      <c r="I337">
        <v>969.27</v>
      </c>
      <c r="J337">
        <v>11631.24</v>
      </c>
      <c r="K337" t="s">
        <v>66</v>
      </c>
      <c r="L337" t="s">
        <v>34</v>
      </c>
      <c r="M337">
        <v>3056.28</v>
      </c>
      <c r="N337" s="3">
        <f t="shared" si="5"/>
        <v>45658</v>
      </c>
    </row>
    <row r="338" spans="1:14" x14ac:dyDescent="0.35">
      <c r="A338" t="s">
        <v>609</v>
      </c>
      <c r="B338" t="s">
        <v>610</v>
      </c>
      <c r="C338" t="s">
        <v>24</v>
      </c>
      <c r="D338" t="s">
        <v>53</v>
      </c>
      <c r="E338" t="s">
        <v>43</v>
      </c>
      <c r="F338" t="s">
        <v>27</v>
      </c>
      <c r="G338" t="s">
        <v>56</v>
      </c>
      <c r="H338">
        <v>13</v>
      </c>
      <c r="I338">
        <v>480.39</v>
      </c>
      <c r="J338">
        <v>6245.07</v>
      </c>
      <c r="K338" t="s">
        <v>20</v>
      </c>
      <c r="L338" t="s">
        <v>34</v>
      </c>
      <c r="M338">
        <v>1287.6600000000001</v>
      </c>
      <c r="N338" s="3">
        <f t="shared" si="5"/>
        <v>45658</v>
      </c>
    </row>
    <row r="339" spans="1:14" x14ac:dyDescent="0.35">
      <c r="A339" t="s">
        <v>611</v>
      </c>
      <c r="B339" t="s">
        <v>73</v>
      </c>
      <c r="C339" t="s">
        <v>47</v>
      </c>
      <c r="D339" t="s">
        <v>16</v>
      </c>
      <c r="E339" t="s">
        <v>17</v>
      </c>
      <c r="F339" t="s">
        <v>18</v>
      </c>
      <c r="G339" t="s">
        <v>45</v>
      </c>
      <c r="H339">
        <v>14</v>
      </c>
      <c r="I339">
        <v>531.37</v>
      </c>
      <c r="J339">
        <v>7439.18</v>
      </c>
      <c r="K339" t="s">
        <v>29</v>
      </c>
      <c r="L339" t="s">
        <v>21</v>
      </c>
      <c r="M339">
        <v>1257.05</v>
      </c>
      <c r="N339" s="3">
        <f t="shared" si="5"/>
        <v>45717</v>
      </c>
    </row>
    <row r="340" spans="1:14" x14ac:dyDescent="0.35">
      <c r="A340" t="s">
        <v>612</v>
      </c>
      <c r="B340" t="s">
        <v>380</v>
      </c>
      <c r="C340" t="s">
        <v>24</v>
      </c>
      <c r="D340" t="s">
        <v>16</v>
      </c>
      <c r="E340" t="s">
        <v>43</v>
      </c>
      <c r="F340" t="s">
        <v>37</v>
      </c>
      <c r="G340" t="s">
        <v>19</v>
      </c>
      <c r="H340">
        <v>4</v>
      </c>
      <c r="I340">
        <v>593.88</v>
      </c>
      <c r="J340">
        <v>2375.52</v>
      </c>
      <c r="K340" t="s">
        <v>49</v>
      </c>
      <c r="L340" t="s">
        <v>34</v>
      </c>
      <c r="M340">
        <v>404.69</v>
      </c>
      <c r="N340" s="3">
        <f t="shared" si="5"/>
        <v>45778</v>
      </c>
    </row>
    <row r="341" spans="1:14" x14ac:dyDescent="0.35">
      <c r="A341" t="s">
        <v>613</v>
      </c>
      <c r="B341" t="s">
        <v>354</v>
      </c>
      <c r="C341" t="s">
        <v>32</v>
      </c>
      <c r="D341" t="s">
        <v>53</v>
      </c>
      <c r="E341" t="s">
        <v>17</v>
      </c>
      <c r="F341" t="s">
        <v>37</v>
      </c>
      <c r="G341" t="s">
        <v>105</v>
      </c>
      <c r="H341">
        <v>14</v>
      </c>
      <c r="I341">
        <v>260.73</v>
      </c>
      <c r="J341">
        <v>3650.22</v>
      </c>
      <c r="K341" t="s">
        <v>66</v>
      </c>
      <c r="L341" t="s">
        <v>50</v>
      </c>
      <c r="M341">
        <v>987.1</v>
      </c>
      <c r="N341" s="3">
        <f t="shared" si="5"/>
        <v>45717</v>
      </c>
    </row>
    <row r="342" spans="1:14" x14ac:dyDescent="0.35">
      <c r="A342" t="s">
        <v>614</v>
      </c>
      <c r="B342" t="s">
        <v>301</v>
      </c>
      <c r="C342" t="s">
        <v>32</v>
      </c>
      <c r="D342" t="s">
        <v>16</v>
      </c>
      <c r="E342" t="s">
        <v>26</v>
      </c>
      <c r="F342" t="s">
        <v>44</v>
      </c>
      <c r="G342" t="s">
        <v>85</v>
      </c>
      <c r="H342">
        <v>2</v>
      </c>
      <c r="I342">
        <v>975.64</v>
      </c>
      <c r="J342">
        <v>1951.28</v>
      </c>
      <c r="K342" t="s">
        <v>20</v>
      </c>
      <c r="L342" t="s">
        <v>50</v>
      </c>
      <c r="M342">
        <v>626.98</v>
      </c>
      <c r="N342" s="3">
        <f t="shared" si="5"/>
        <v>45962</v>
      </c>
    </row>
    <row r="343" spans="1:14" x14ac:dyDescent="0.35">
      <c r="A343" t="s">
        <v>615</v>
      </c>
      <c r="B343" t="s">
        <v>616</v>
      </c>
      <c r="C343" t="s">
        <v>47</v>
      </c>
      <c r="D343" t="s">
        <v>25</v>
      </c>
      <c r="E343" t="s">
        <v>17</v>
      </c>
      <c r="F343" t="s">
        <v>18</v>
      </c>
      <c r="G343" t="s">
        <v>105</v>
      </c>
      <c r="H343">
        <v>4</v>
      </c>
      <c r="I343">
        <v>368.73</v>
      </c>
      <c r="J343">
        <v>1474.92</v>
      </c>
      <c r="K343" t="s">
        <v>49</v>
      </c>
      <c r="L343" t="s">
        <v>34</v>
      </c>
      <c r="M343">
        <v>276.56</v>
      </c>
      <c r="N343" s="3">
        <f t="shared" si="5"/>
        <v>45931</v>
      </c>
    </row>
    <row r="344" spans="1:14" x14ac:dyDescent="0.35">
      <c r="A344" t="s">
        <v>617</v>
      </c>
      <c r="B344" t="s">
        <v>618</v>
      </c>
      <c r="C344" t="s">
        <v>47</v>
      </c>
      <c r="D344" t="s">
        <v>16</v>
      </c>
      <c r="E344" t="s">
        <v>48</v>
      </c>
      <c r="F344" t="s">
        <v>27</v>
      </c>
      <c r="G344" t="s">
        <v>38</v>
      </c>
      <c r="H344">
        <v>5</v>
      </c>
      <c r="I344">
        <v>601.20000000000005</v>
      </c>
      <c r="J344">
        <v>3006</v>
      </c>
      <c r="K344" t="s">
        <v>20</v>
      </c>
      <c r="L344" t="s">
        <v>50</v>
      </c>
      <c r="M344">
        <v>1037.8</v>
      </c>
      <c r="N344" s="3">
        <f t="shared" si="5"/>
        <v>45658</v>
      </c>
    </row>
    <row r="345" spans="1:14" x14ac:dyDescent="0.35">
      <c r="A345" t="s">
        <v>619</v>
      </c>
      <c r="B345" t="s">
        <v>620</v>
      </c>
      <c r="C345" t="s">
        <v>47</v>
      </c>
      <c r="D345" t="s">
        <v>25</v>
      </c>
      <c r="E345" t="s">
        <v>26</v>
      </c>
      <c r="F345" t="s">
        <v>37</v>
      </c>
      <c r="G345" t="s">
        <v>56</v>
      </c>
      <c r="H345">
        <v>8</v>
      </c>
      <c r="I345">
        <v>329.3</v>
      </c>
      <c r="J345">
        <v>2634.4</v>
      </c>
      <c r="K345" t="s">
        <v>66</v>
      </c>
      <c r="L345" t="s">
        <v>34</v>
      </c>
      <c r="M345">
        <v>544.12</v>
      </c>
      <c r="N345" s="3">
        <f t="shared" si="5"/>
        <v>45748</v>
      </c>
    </row>
    <row r="346" spans="1:14" x14ac:dyDescent="0.35">
      <c r="A346" t="s">
        <v>621</v>
      </c>
      <c r="B346" t="s">
        <v>195</v>
      </c>
      <c r="C346" t="s">
        <v>15</v>
      </c>
      <c r="D346" t="s">
        <v>53</v>
      </c>
      <c r="E346" t="s">
        <v>48</v>
      </c>
      <c r="F346" t="s">
        <v>37</v>
      </c>
      <c r="G346" t="s">
        <v>19</v>
      </c>
      <c r="H346">
        <v>16</v>
      </c>
      <c r="I346">
        <v>623.80999999999995</v>
      </c>
      <c r="J346">
        <v>9980.9599999999991</v>
      </c>
      <c r="K346" t="s">
        <v>66</v>
      </c>
      <c r="L346" t="s">
        <v>39</v>
      </c>
      <c r="M346">
        <v>2963.06</v>
      </c>
      <c r="N346" s="3">
        <f t="shared" si="5"/>
        <v>45689</v>
      </c>
    </row>
    <row r="347" spans="1:14" x14ac:dyDescent="0.35">
      <c r="A347" t="s">
        <v>622</v>
      </c>
      <c r="B347" t="s">
        <v>172</v>
      </c>
      <c r="C347" t="s">
        <v>24</v>
      </c>
      <c r="D347" t="s">
        <v>25</v>
      </c>
      <c r="E347" t="s">
        <v>17</v>
      </c>
      <c r="F347" t="s">
        <v>37</v>
      </c>
      <c r="G347" t="s">
        <v>96</v>
      </c>
      <c r="H347">
        <v>12</v>
      </c>
      <c r="I347">
        <v>161.03</v>
      </c>
      <c r="J347">
        <v>1932.36</v>
      </c>
      <c r="K347" t="s">
        <v>20</v>
      </c>
      <c r="L347" t="s">
        <v>39</v>
      </c>
      <c r="M347">
        <v>497.21</v>
      </c>
      <c r="N347" s="3">
        <f t="shared" si="5"/>
        <v>45748</v>
      </c>
    </row>
    <row r="348" spans="1:14" x14ac:dyDescent="0.35">
      <c r="A348" t="s">
        <v>623</v>
      </c>
      <c r="B348" t="s">
        <v>144</v>
      </c>
      <c r="C348" t="s">
        <v>47</v>
      </c>
      <c r="D348" t="s">
        <v>16</v>
      </c>
      <c r="E348" t="s">
        <v>43</v>
      </c>
      <c r="F348" t="s">
        <v>18</v>
      </c>
      <c r="G348" t="s">
        <v>85</v>
      </c>
      <c r="H348">
        <v>16</v>
      </c>
      <c r="I348">
        <v>586.36</v>
      </c>
      <c r="J348">
        <v>9381.76</v>
      </c>
      <c r="K348" t="s">
        <v>82</v>
      </c>
      <c r="L348" t="s">
        <v>21</v>
      </c>
      <c r="M348">
        <v>3089.27</v>
      </c>
      <c r="N348" s="3">
        <f t="shared" si="5"/>
        <v>45992</v>
      </c>
    </row>
    <row r="349" spans="1:14" x14ac:dyDescent="0.35">
      <c r="A349" t="s">
        <v>624</v>
      </c>
      <c r="B349" t="s">
        <v>261</v>
      </c>
      <c r="C349" t="s">
        <v>32</v>
      </c>
      <c r="D349" t="s">
        <v>116</v>
      </c>
      <c r="E349" t="s">
        <v>43</v>
      </c>
      <c r="F349" t="s">
        <v>44</v>
      </c>
      <c r="G349" t="s">
        <v>38</v>
      </c>
      <c r="H349">
        <v>12</v>
      </c>
      <c r="I349">
        <v>399.66</v>
      </c>
      <c r="J349">
        <v>4795.92</v>
      </c>
      <c r="K349" t="s">
        <v>29</v>
      </c>
      <c r="L349" t="s">
        <v>21</v>
      </c>
      <c r="M349">
        <v>807.69</v>
      </c>
      <c r="N349" s="3">
        <f t="shared" si="5"/>
        <v>45992</v>
      </c>
    </row>
    <row r="350" spans="1:14" x14ac:dyDescent="0.35">
      <c r="A350" t="s">
        <v>625</v>
      </c>
      <c r="B350" t="s">
        <v>626</v>
      </c>
      <c r="C350" t="s">
        <v>24</v>
      </c>
      <c r="D350" t="s">
        <v>53</v>
      </c>
      <c r="E350" t="s">
        <v>26</v>
      </c>
      <c r="F350" t="s">
        <v>37</v>
      </c>
      <c r="G350" t="s">
        <v>28</v>
      </c>
      <c r="H350">
        <v>19</v>
      </c>
      <c r="I350">
        <v>678.04</v>
      </c>
      <c r="J350">
        <v>12882.76</v>
      </c>
      <c r="K350" t="s">
        <v>82</v>
      </c>
      <c r="L350" t="s">
        <v>34</v>
      </c>
      <c r="M350">
        <v>3630.69</v>
      </c>
      <c r="N350" s="3">
        <f t="shared" si="5"/>
        <v>45962</v>
      </c>
    </row>
    <row r="351" spans="1:14" x14ac:dyDescent="0.35">
      <c r="A351" t="s">
        <v>627</v>
      </c>
      <c r="B351" t="s">
        <v>315</v>
      </c>
      <c r="C351" t="s">
        <v>15</v>
      </c>
      <c r="D351" t="s">
        <v>25</v>
      </c>
      <c r="E351" t="s">
        <v>48</v>
      </c>
      <c r="F351" t="s">
        <v>18</v>
      </c>
      <c r="G351" t="s">
        <v>45</v>
      </c>
      <c r="H351">
        <v>19</v>
      </c>
      <c r="I351">
        <v>82.78</v>
      </c>
      <c r="J351">
        <v>1572.82</v>
      </c>
      <c r="K351" t="s">
        <v>63</v>
      </c>
      <c r="L351" t="s">
        <v>77</v>
      </c>
      <c r="M351">
        <v>418.03</v>
      </c>
      <c r="N351" s="3">
        <f t="shared" si="5"/>
        <v>45962</v>
      </c>
    </row>
    <row r="352" spans="1:14" x14ac:dyDescent="0.35">
      <c r="A352" t="s">
        <v>628</v>
      </c>
      <c r="B352" t="s">
        <v>240</v>
      </c>
      <c r="C352" t="s">
        <v>47</v>
      </c>
      <c r="D352" t="s">
        <v>16</v>
      </c>
      <c r="E352" t="s">
        <v>43</v>
      </c>
      <c r="F352" t="s">
        <v>37</v>
      </c>
      <c r="G352" t="s">
        <v>19</v>
      </c>
      <c r="H352">
        <v>3</v>
      </c>
      <c r="I352">
        <v>866.43</v>
      </c>
      <c r="J352">
        <v>2599.29</v>
      </c>
      <c r="K352" t="s">
        <v>20</v>
      </c>
      <c r="L352" t="s">
        <v>21</v>
      </c>
      <c r="M352">
        <v>435.25</v>
      </c>
      <c r="N352" s="3">
        <f t="shared" si="5"/>
        <v>45717</v>
      </c>
    </row>
    <row r="353" spans="1:14" x14ac:dyDescent="0.35">
      <c r="A353" t="s">
        <v>629</v>
      </c>
      <c r="B353" t="s">
        <v>291</v>
      </c>
      <c r="C353" t="s">
        <v>15</v>
      </c>
      <c r="D353" t="s">
        <v>69</v>
      </c>
      <c r="E353" t="s">
        <v>48</v>
      </c>
      <c r="F353" t="s">
        <v>18</v>
      </c>
      <c r="G353" t="s">
        <v>19</v>
      </c>
      <c r="H353">
        <v>16</v>
      </c>
      <c r="I353">
        <v>943.48</v>
      </c>
      <c r="J353">
        <v>15095.68</v>
      </c>
      <c r="K353" t="s">
        <v>29</v>
      </c>
      <c r="L353" t="s">
        <v>21</v>
      </c>
      <c r="M353">
        <v>2759.1</v>
      </c>
      <c r="N353" s="3">
        <f t="shared" si="5"/>
        <v>45931</v>
      </c>
    </row>
    <row r="354" spans="1:14" x14ac:dyDescent="0.35">
      <c r="A354" t="s">
        <v>630</v>
      </c>
      <c r="B354" t="s">
        <v>631</v>
      </c>
      <c r="C354" t="s">
        <v>15</v>
      </c>
      <c r="D354" t="s">
        <v>16</v>
      </c>
      <c r="E354" t="s">
        <v>48</v>
      </c>
      <c r="F354" t="s">
        <v>27</v>
      </c>
      <c r="G354" t="s">
        <v>19</v>
      </c>
      <c r="H354">
        <v>11</v>
      </c>
      <c r="I354">
        <v>587.51</v>
      </c>
      <c r="J354">
        <v>6462.61</v>
      </c>
      <c r="K354" t="s">
        <v>66</v>
      </c>
      <c r="L354" t="s">
        <v>34</v>
      </c>
      <c r="M354">
        <v>1560.12</v>
      </c>
      <c r="N354" s="3">
        <f t="shared" si="5"/>
        <v>45962</v>
      </c>
    </row>
    <row r="355" spans="1:14" x14ac:dyDescent="0.35">
      <c r="A355" t="s">
        <v>632</v>
      </c>
      <c r="B355" t="s">
        <v>306</v>
      </c>
      <c r="C355" t="s">
        <v>32</v>
      </c>
      <c r="D355" t="s">
        <v>69</v>
      </c>
      <c r="E355" t="s">
        <v>26</v>
      </c>
      <c r="F355" t="s">
        <v>44</v>
      </c>
      <c r="G355" t="s">
        <v>45</v>
      </c>
      <c r="H355">
        <v>17</v>
      </c>
      <c r="I355">
        <v>308.52</v>
      </c>
      <c r="J355">
        <v>5244.84</v>
      </c>
      <c r="K355" t="s">
        <v>63</v>
      </c>
      <c r="L355" t="s">
        <v>50</v>
      </c>
      <c r="M355">
        <v>992.86</v>
      </c>
      <c r="N355" s="3">
        <f t="shared" si="5"/>
        <v>45658</v>
      </c>
    </row>
    <row r="356" spans="1:14" x14ac:dyDescent="0.35">
      <c r="A356" t="s">
        <v>633</v>
      </c>
      <c r="B356" t="s">
        <v>89</v>
      </c>
      <c r="C356" t="s">
        <v>24</v>
      </c>
      <c r="D356" t="s">
        <v>16</v>
      </c>
      <c r="E356" t="s">
        <v>26</v>
      </c>
      <c r="F356" t="s">
        <v>37</v>
      </c>
      <c r="G356" t="s">
        <v>45</v>
      </c>
      <c r="H356">
        <v>12</v>
      </c>
      <c r="I356">
        <v>723.03</v>
      </c>
      <c r="J356">
        <v>8676.36</v>
      </c>
      <c r="K356" t="s">
        <v>29</v>
      </c>
      <c r="L356" t="s">
        <v>21</v>
      </c>
      <c r="M356">
        <v>2684.39</v>
      </c>
      <c r="N356" s="3">
        <f t="shared" si="5"/>
        <v>45689</v>
      </c>
    </row>
    <row r="357" spans="1:14" x14ac:dyDescent="0.35">
      <c r="A357" t="s">
        <v>634</v>
      </c>
      <c r="B357" t="s">
        <v>337</v>
      </c>
      <c r="C357" t="s">
        <v>47</v>
      </c>
      <c r="D357" t="s">
        <v>42</v>
      </c>
      <c r="E357" t="s">
        <v>26</v>
      </c>
      <c r="F357" t="s">
        <v>37</v>
      </c>
      <c r="G357" t="s">
        <v>45</v>
      </c>
      <c r="H357">
        <v>12</v>
      </c>
      <c r="I357">
        <v>116.12</v>
      </c>
      <c r="J357">
        <v>1393.44</v>
      </c>
      <c r="K357" t="s">
        <v>20</v>
      </c>
      <c r="L357" t="s">
        <v>34</v>
      </c>
      <c r="M357">
        <v>227.6</v>
      </c>
      <c r="N357" s="3">
        <f t="shared" si="5"/>
        <v>45689</v>
      </c>
    </row>
    <row r="358" spans="1:14" x14ac:dyDescent="0.35">
      <c r="A358" t="s">
        <v>635</v>
      </c>
      <c r="B358" t="s">
        <v>636</v>
      </c>
      <c r="C358" t="s">
        <v>24</v>
      </c>
      <c r="D358" t="s">
        <v>16</v>
      </c>
      <c r="E358" t="s">
        <v>17</v>
      </c>
      <c r="F358" t="s">
        <v>27</v>
      </c>
      <c r="G358" t="s">
        <v>105</v>
      </c>
      <c r="H358">
        <v>6</v>
      </c>
      <c r="I358">
        <v>769.84</v>
      </c>
      <c r="J358">
        <v>4619.04</v>
      </c>
      <c r="K358" t="s">
        <v>82</v>
      </c>
      <c r="L358" t="s">
        <v>50</v>
      </c>
      <c r="M358">
        <v>1480.43</v>
      </c>
      <c r="N358" s="3">
        <f t="shared" si="5"/>
        <v>45839</v>
      </c>
    </row>
    <row r="359" spans="1:14" x14ac:dyDescent="0.35">
      <c r="A359" t="s">
        <v>637</v>
      </c>
      <c r="B359" t="s">
        <v>638</v>
      </c>
      <c r="C359" t="s">
        <v>47</v>
      </c>
      <c r="D359" t="s">
        <v>16</v>
      </c>
      <c r="E359" t="s">
        <v>26</v>
      </c>
      <c r="F359" t="s">
        <v>37</v>
      </c>
      <c r="G359" t="s">
        <v>38</v>
      </c>
      <c r="H359">
        <v>17</v>
      </c>
      <c r="I359">
        <v>591.9</v>
      </c>
      <c r="J359">
        <v>10062.299999999999</v>
      </c>
      <c r="K359" t="s">
        <v>66</v>
      </c>
      <c r="L359" t="s">
        <v>34</v>
      </c>
      <c r="M359">
        <v>2929.96</v>
      </c>
      <c r="N359" s="3">
        <f t="shared" si="5"/>
        <v>45992</v>
      </c>
    </row>
    <row r="360" spans="1:14" x14ac:dyDescent="0.35">
      <c r="A360" t="s">
        <v>639</v>
      </c>
      <c r="B360" t="s">
        <v>411</v>
      </c>
      <c r="C360" t="s">
        <v>47</v>
      </c>
      <c r="D360" t="s">
        <v>33</v>
      </c>
      <c r="E360" t="s">
        <v>48</v>
      </c>
      <c r="F360" t="s">
        <v>44</v>
      </c>
      <c r="G360" t="s">
        <v>96</v>
      </c>
      <c r="H360">
        <v>4</v>
      </c>
      <c r="I360">
        <v>696.85</v>
      </c>
      <c r="J360">
        <v>2787.4</v>
      </c>
      <c r="K360" t="s">
        <v>82</v>
      </c>
      <c r="L360" t="s">
        <v>77</v>
      </c>
      <c r="M360">
        <v>584.27</v>
      </c>
      <c r="N360" s="3">
        <f t="shared" si="5"/>
        <v>45658</v>
      </c>
    </row>
    <row r="361" spans="1:14" x14ac:dyDescent="0.35">
      <c r="A361" t="s">
        <v>640</v>
      </c>
      <c r="B361" t="s">
        <v>641</v>
      </c>
      <c r="C361" t="s">
        <v>15</v>
      </c>
      <c r="D361" t="s">
        <v>33</v>
      </c>
      <c r="E361" t="s">
        <v>17</v>
      </c>
      <c r="F361" t="s">
        <v>27</v>
      </c>
      <c r="G361" t="s">
        <v>56</v>
      </c>
      <c r="H361">
        <v>18</v>
      </c>
      <c r="I361">
        <v>977.1</v>
      </c>
      <c r="J361">
        <v>17587.8</v>
      </c>
      <c r="K361" t="s">
        <v>29</v>
      </c>
      <c r="L361" t="s">
        <v>50</v>
      </c>
      <c r="M361">
        <v>2982.5</v>
      </c>
      <c r="N361" s="3">
        <f t="shared" si="5"/>
        <v>45839</v>
      </c>
    </row>
    <row r="362" spans="1:14" x14ac:dyDescent="0.35">
      <c r="A362" t="s">
        <v>642</v>
      </c>
      <c r="B362" t="s">
        <v>401</v>
      </c>
      <c r="C362" t="s">
        <v>47</v>
      </c>
      <c r="D362" t="s">
        <v>69</v>
      </c>
      <c r="E362" t="s">
        <v>48</v>
      </c>
      <c r="F362" t="s">
        <v>37</v>
      </c>
      <c r="G362" t="s">
        <v>105</v>
      </c>
      <c r="H362">
        <v>14</v>
      </c>
      <c r="I362">
        <v>234.45</v>
      </c>
      <c r="J362">
        <v>3282.3</v>
      </c>
      <c r="K362" t="s">
        <v>29</v>
      </c>
      <c r="L362" t="s">
        <v>34</v>
      </c>
      <c r="M362">
        <v>529.26</v>
      </c>
      <c r="N362" s="3">
        <f t="shared" si="5"/>
        <v>45839</v>
      </c>
    </row>
    <row r="363" spans="1:14" x14ac:dyDescent="0.35">
      <c r="A363" t="s">
        <v>643</v>
      </c>
      <c r="B363" t="s">
        <v>644</v>
      </c>
      <c r="C363" t="s">
        <v>47</v>
      </c>
      <c r="D363" t="s">
        <v>74</v>
      </c>
      <c r="E363" t="s">
        <v>48</v>
      </c>
      <c r="F363" t="s">
        <v>37</v>
      </c>
      <c r="G363" t="s">
        <v>96</v>
      </c>
      <c r="H363">
        <v>13</v>
      </c>
      <c r="I363">
        <v>48.72</v>
      </c>
      <c r="J363">
        <v>633.36</v>
      </c>
      <c r="K363" t="s">
        <v>63</v>
      </c>
      <c r="L363" t="s">
        <v>50</v>
      </c>
      <c r="M363">
        <v>115.26</v>
      </c>
      <c r="N363" s="3">
        <f t="shared" si="5"/>
        <v>45962</v>
      </c>
    </row>
    <row r="364" spans="1:14" x14ac:dyDescent="0.35">
      <c r="A364" t="s">
        <v>645</v>
      </c>
      <c r="B364" t="s">
        <v>646</v>
      </c>
      <c r="C364" t="s">
        <v>47</v>
      </c>
      <c r="D364" t="s">
        <v>42</v>
      </c>
      <c r="E364" t="s">
        <v>48</v>
      </c>
      <c r="F364" t="s">
        <v>27</v>
      </c>
      <c r="G364" t="s">
        <v>38</v>
      </c>
      <c r="H364">
        <v>10</v>
      </c>
      <c r="I364">
        <v>675.39</v>
      </c>
      <c r="J364">
        <v>6753.9</v>
      </c>
      <c r="K364" t="s">
        <v>63</v>
      </c>
      <c r="L364" t="s">
        <v>39</v>
      </c>
      <c r="M364">
        <v>2196.41</v>
      </c>
      <c r="N364" s="3">
        <f t="shared" si="5"/>
        <v>45717</v>
      </c>
    </row>
    <row r="365" spans="1:14" x14ac:dyDescent="0.35">
      <c r="A365" t="s">
        <v>647</v>
      </c>
      <c r="B365" t="s">
        <v>648</v>
      </c>
      <c r="C365" t="s">
        <v>32</v>
      </c>
      <c r="D365" t="s">
        <v>69</v>
      </c>
      <c r="E365" t="s">
        <v>48</v>
      </c>
      <c r="F365" t="s">
        <v>37</v>
      </c>
      <c r="G365" t="s">
        <v>19</v>
      </c>
      <c r="H365">
        <v>19</v>
      </c>
      <c r="I365">
        <v>991.67</v>
      </c>
      <c r="J365">
        <v>18841.73</v>
      </c>
      <c r="K365" t="s">
        <v>66</v>
      </c>
      <c r="L365" t="s">
        <v>21</v>
      </c>
      <c r="M365">
        <v>6109.3</v>
      </c>
      <c r="N365" s="3">
        <f t="shared" si="5"/>
        <v>45992</v>
      </c>
    </row>
    <row r="366" spans="1:14" x14ac:dyDescent="0.35">
      <c r="A366" t="s">
        <v>649</v>
      </c>
      <c r="B366" t="s">
        <v>650</v>
      </c>
      <c r="C366" t="s">
        <v>24</v>
      </c>
      <c r="D366" t="s">
        <v>116</v>
      </c>
      <c r="E366" t="s">
        <v>26</v>
      </c>
      <c r="F366" t="s">
        <v>27</v>
      </c>
      <c r="G366" t="s">
        <v>19</v>
      </c>
      <c r="H366">
        <v>13</v>
      </c>
      <c r="I366">
        <v>406.01</v>
      </c>
      <c r="J366">
        <v>5278.13</v>
      </c>
      <c r="K366" t="s">
        <v>20</v>
      </c>
      <c r="L366" t="s">
        <v>39</v>
      </c>
      <c r="M366">
        <v>941.04</v>
      </c>
      <c r="N366" s="3">
        <f t="shared" si="5"/>
        <v>45839</v>
      </c>
    </row>
    <row r="367" spans="1:14" x14ac:dyDescent="0.35">
      <c r="A367" t="s">
        <v>651</v>
      </c>
      <c r="B367" t="s">
        <v>267</v>
      </c>
      <c r="C367" t="s">
        <v>47</v>
      </c>
      <c r="D367" t="s">
        <v>69</v>
      </c>
      <c r="E367" t="s">
        <v>26</v>
      </c>
      <c r="F367" t="s">
        <v>27</v>
      </c>
      <c r="G367" t="s">
        <v>45</v>
      </c>
      <c r="H367">
        <v>3</v>
      </c>
      <c r="I367">
        <v>632.15</v>
      </c>
      <c r="J367">
        <v>1896.45</v>
      </c>
      <c r="K367" t="s">
        <v>82</v>
      </c>
      <c r="L367" t="s">
        <v>50</v>
      </c>
      <c r="M367">
        <v>231.65</v>
      </c>
      <c r="N367" s="3">
        <f t="shared" si="5"/>
        <v>45809</v>
      </c>
    </row>
    <row r="368" spans="1:14" x14ac:dyDescent="0.35">
      <c r="A368" t="s">
        <v>652</v>
      </c>
      <c r="B368" t="s">
        <v>653</v>
      </c>
      <c r="C368" t="s">
        <v>24</v>
      </c>
      <c r="D368" t="s">
        <v>69</v>
      </c>
      <c r="E368" t="s">
        <v>26</v>
      </c>
      <c r="F368" t="s">
        <v>27</v>
      </c>
      <c r="G368" t="s">
        <v>38</v>
      </c>
      <c r="H368">
        <v>17</v>
      </c>
      <c r="I368">
        <v>645.61</v>
      </c>
      <c r="J368">
        <v>10975.37</v>
      </c>
      <c r="K368" t="s">
        <v>82</v>
      </c>
      <c r="L368" t="s">
        <v>39</v>
      </c>
      <c r="M368">
        <v>1286.6300000000001</v>
      </c>
      <c r="N368" s="3">
        <f t="shared" si="5"/>
        <v>45748</v>
      </c>
    </row>
    <row r="369" spans="1:14" x14ac:dyDescent="0.35">
      <c r="A369" t="s">
        <v>654</v>
      </c>
      <c r="B369" t="s">
        <v>318</v>
      </c>
      <c r="C369" t="s">
        <v>32</v>
      </c>
      <c r="D369" t="s">
        <v>53</v>
      </c>
      <c r="E369" t="s">
        <v>48</v>
      </c>
      <c r="F369" t="s">
        <v>44</v>
      </c>
      <c r="G369" t="s">
        <v>85</v>
      </c>
      <c r="H369">
        <v>16</v>
      </c>
      <c r="I369">
        <v>467.87</v>
      </c>
      <c r="J369">
        <v>7485.92</v>
      </c>
      <c r="K369" t="s">
        <v>49</v>
      </c>
      <c r="L369" t="s">
        <v>77</v>
      </c>
      <c r="M369">
        <v>2416.98</v>
      </c>
      <c r="N369" s="3">
        <f t="shared" si="5"/>
        <v>45992</v>
      </c>
    </row>
    <row r="370" spans="1:14" x14ac:dyDescent="0.35">
      <c r="A370" t="s">
        <v>655</v>
      </c>
      <c r="B370" t="s">
        <v>356</v>
      </c>
      <c r="C370" t="s">
        <v>47</v>
      </c>
      <c r="D370" t="s">
        <v>116</v>
      </c>
      <c r="E370" t="s">
        <v>48</v>
      </c>
      <c r="F370" t="s">
        <v>44</v>
      </c>
      <c r="G370" t="s">
        <v>85</v>
      </c>
      <c r="H370">
        <v>18</v>
      </c>
      <c r="I370">
        <v>387</v>
      </c>
      <c r="J370">
        <v>6966</v>
      </c>
      <c r="K370" t="s">
        <v>20</v>
      </c>
      <c r="L370" t="s">
        <v>21</v>
      </c>
      <c r="M370">
        <v>1170.0899999999999</v>
      </c>
      <c r="N370" s="3">
        <f t="shared" si="5"/>
        <v>45870</v>
      </c>
    </row>
    <row r="371" spans="1:14" x14ac:dyDescent="0.35">
      <c r="A371" t="s">
        <v>656</v>
      </c>
      <c r="B371" t="s">
        <v>95</v>
      </c>
      <c r="C371" t="s">
        <v>15</v>
      </c>
      <c r="D371" t="s">
        <v>69</v>
      </c>
      <c r="E371" t="s">
        <v>48</v>
      </c>
      <c r="F371" t="s">
        <v>37</v>
      </c>
      <c r="G371" t="s">
        <v>96</v>
      </c>
      <c r="H371">
        <v>4</v>
      </c>
      <c r="I371">
        <v>300.33</v>
      </c>
      <c r="J371">
        <v>1201.32</v>
      </c>
      <c r="K371" t="s">
        <v>49</v>
      </c>
      <c r="L371" t="s">
        <v>34</v>
      </c>
      <c r="M371">
        <v>342.48</v>
      </c>
      <c r="N371" s="3">
        <f t="shared" si="5"/>
        <v>45931</v>
      </c>
    </row>
    <row r="372" spans="1:14" x14ac:dyDescent="0.35">
      <c r="A372" t="s">
        <v>657</v>
      </c>
      <c r="B372" t="s">
        <v>265</v>
      </c>
      <c r="C372" t="s">
        <v>47</v>
      </c>
      <c r="D372" t="s">
        <v>33</v>
      </c>
      <c r="E372" t="s">
        <v>43</v>
      </c>
      <c r="F372" t="s">
        <v>27</v>
      </c>
      <c r="G372" t="s">
        <v>28</v>
      </c>
      <c r="H372">
        <v>10</v>
      </c>
      <c r="I372">
        <v>555.78</v>
      </c>
      <c r="J372">
        <v>5557.8</v>
      </c>
      <c r="K372" t="s">
        <v>82</v>
      </c>
      <c r="L372" t="s">
        <v>50</v>
      </c>
      <c r="M372">
        <v>1762.63</v>
      </c>
      <c r="N372" s="3">
        <f t="shared" si="5"/>
        <v>45870</v>
      </c>
    </row>
    <row r="373" spans="1:14" x14ac:dyDescent="0.35">
      <c r="A373" t="s">
        <v>658</v>
      </c>
      <c r="B373" t="s">
        <v>659</v>
      </c>
      <c r="C373" t="s">
        <v>32</v>
      </c>
      <c r="D373" t="s">
        <v>33</v>
      </c>
      <c r="E373" t="s">
        <v>43</v>
      </c>
      <c r="F373" t="s">
        <v>37</v>
      </c>
      <c r="G373" t="s">
        <v>85</v>
      </c>
      <c r="H373">
        <v>12</v>
      </c>
      <c r="I373">
        <v>100.82</v>
      </c>
      <c r="J373">
        <v>1209.8399999999999</v>
      </c>
      <c r="K373" t="s">
        <v>20</v>
      </c>
      <c r="L373" t="s">
        <v>21</v>
      </c>
      <c r="M373">
        <v>329.38</v>
      </c>
      <c r="N373" s="3">
        <f t="shared" si="5"/>
        <v>45717</v>
      </c>
    </row>
    <row r="374" spans="1:14" x14ac:dyDescent="0.35">
      <c r="A374" t="s">
        <v>660</v>
      </c>
      <c r="B374" t="s">
        <v>661</v>
      </c>
      <c r="C374" t="s">
        <v>32</v>
      </c>
      <c r="D374" t="s">
        <v>33</v>
      </c>
      <c r="E374" t="s">
        <v>43</v>
      </c>
      <c r="F374" t="s">
        <v>18</v>
      </c>
      <c r="G374" t="s">
        <v>85</v>
      </c>
      <c r="H374">
        <v>8</v>
      </c>
      <c r="I374">
        <v>600.75</v>
      </c>
      <c r="J374">
        <v>4806</v>
      </c>
      <c r="K374" t="s">
        <v>82</v>
      </c>
      <c r="L374" t="s">
        <v>21</v>
      </c>
      <c r="M374">
        <v>1297.75</v>
      </c>
      <c r="N374" s="3">
        <f t="shared" si="5"/>
        <v>45689</v>
      </c>
    </row>
    <row r="375" spans="1:14" x14ac:dyDescent="0.35">
      <c r="A375" t="s">
        <v>662</v>
      </c>
      <c r="B375" t="s">
        <v>318</v>
      </c>
      <c r="C375" t="s">
        <v>47</v>
      </c>
      <c r="D375" t="s">
        <v>116</v>
      </c>
      <c r="E375" t="s">
        <v>17</v>
      </c>
      <c r="F375" t="s">
        <v>44</v>
      </c>
      <c r="G375" t="s">
        <v>38</v>
      </c>
      <c r="H375">
        <v>10</v>
      </c>
      <c r="I375">
        <v>862.34</v>
      </c>
      <c r="J375">
        <v>8623.4</v>
      </c>
      <c r="K375" t="s">
        <v>63</v>
      </c>
      <c r="L375" t="s">
        <v>34</v>
      </c>
      <c r="M375">
        <v>2890.06</v>
      </c>
      <c r="N375" s="3">
        <f t="shared" si="5"/>
        <v>45992</v>
      </c>
    </row>
    <row r="376" spans="1:14" x14ac:dyDescent="0.35">
      <c r="A376" t="s">
        <v>663</v>
      </c>
      <c r="B376" t="s">
        <v>664</v>
      </c>
      <c r="C376" t="s">
        <v>32</v>
      </c>
      <c r="D376" t="s">
        <v>53</v>
      </c>
      <c r="E376" t="s">
        <v>48</v>
      </c>
      <c r="F376" t="s">
        <v>44</v>
      </c>
      <c r="G376" t="s">
        <v>105</v>
      </c>
      <c r="H376">
        <v>15</v>
      </c>
      <c r="I376">
        <v>214.34</v>
      </c>
      <c r="J376">
        <v>3215.1</v>
      </c>
      <c r="K376" t="s">
        <v>29</v>
      </c>
      <c r="L376" t="s">
        <v>39</v>
      </c>
      <c r="M376">
        <v>554.33000000000004</v>
      </c>
      <c r="N376" s="3">
        <f t="shared" si="5"/>
        <v>45901</v>
      </c>
    </row>
    <row r="377" spans="1:14" x14ac:dyDescent="0.35">
      <c r="A377" t="s">
        <v>665</v>
      </c>
      <c r="B377" t="s">
        <v>270</v>
      </c>
      <c r="C377" t="s">
        <v>15</v>
      </c>
      <c r="D377" t="s">
        <v>69</v>
      </c>
      <c r="E377" t="s">
        <v>26</v>
      </c>
      <c r="F377" t="s">
        <v>37</v>
      </c>
      <c r="G377" t="s">
        <v>96</v>
      </c>
      <c r="H377">
        <v>12</v>
      </c>
      <c r="I377">
        <v>186.33</v>
      </c>
      <c r="J377">
        <v>2235.96</v>
      </c>
      <c r="K377" t="s">
        <v>29</v>
      </c>
      <c r="L377" t="s">
        <v>21</v>
      </c>
      <c r="M377">
        <v>224.04</v>
      </c>
      <c r="N377" s="3">
        <f t="shared" si="5"/>
        <v>45717</v>
      </c>
    </row>
    <row r="378" spans="1:14" x14ac:dyDescent="0.35">
      <c r="A378" t="s">
        <v>666</v>
      </c>
      <c r="B378" t="s">
        <v>441</v>
      </c>
      <c r="C378" t="s">
        <v>47</v>
      </c>
      <c r="D378" t="s">
        <v>25</v>
      </c>
      <c r="E378" t="s">
        <v>26</v>
      </c>
      <c r="F378" t="s">
        <v>27</v>
      </c>
      <c r="G378" t="s">
        <v>56</v>
      </c>
      <c r="H378">
        <v>16</v>
      </c>
      <c r="I378">
        <v>195.12</v>
      </c>
      <c r="J378">
        <v>3121.92</v>
      </c>
      <c r="K378" t="s">
        <v>82</v>
      </c>
      <c r="L378" t="s">
        <v>34</v>
      </c>
      <c r="M378">
        <v>547.39</v>
      </c>
      <c r="N378" s="3">
        <f t="shared" si="5"/>
        <v>45962</v>
      </c>
    </row>
    <row r="379" spans="1:14" x14ac:dyDescent="0.35">
      <c r="A379" t="s">
        <v>667</v>
      </c>
      <c r="B379" t="s">
        <v>150</v>
      </c>
      <c r="C379" t="s">
        <v>47</v>
      </c>
      <c r="D379" t="s">
        <v>74</v>
      </c>
      <c r="E379" t="s">
        <v>26</v>
      </c>
      <c r="F379" t="s">
        <v>44</v>
      </c>
      <c r="G379" t="s">
        <v>38</v>
      </c>
      <c r="H379">
        <v>9</v>
      </c>
      <c r="I379">
        <v>713.89</v>
      </c>
      <c r="J379">
        <v>6425.01</v>
      </c>
      <c r="K379" t="s">
        <v>82</v>
      </c>
      <c r="L379" t="s">
        <v>50</v>
      </c>
      <c r="M379">
        <v>1320.05</v>
      </c>
      <c r="N379" s="3">
        <f t="shared" si="5"/>
        <v>45778</v>
      </c>
    </row>
    <row r="380" spans="1:14" x14ac:dyDescent="0.35">
      <c r="A380" t="s">
        <v>668</v>
      </c>
      <c r="B380" t="s">
        <v>669</v>
      </c>
      <c r="C380" t="s">
        <v>47</v>
      </c>
      <c r="D380" t="s">
        <v>16</v>
      </c>
      <c r="E380" t="s">
        <v>48</v>
      </c>
      <c r="F380" t="s">
        <v>27</v>
      </c>
      <c r="G380" t="s">
        <v>38</v>
      </c>
      <c r="H380">
        <v>17</v>
      </c>
      <c r="I380">
        <v>72.06</v>
      </c>
      <c r="J380">
        <v>1225.02</v>
      </c>
      <c r="K380" t="s">
        <v>66</v>
      </c>
      <c r="L380" t="s">
        <v>34</v>
      </c>
      <c r="M380">
        <v>362.22</v>
      </c>
      <c r="N380" s="3">
        <f t="shared" si="5"/>
        <v>45748</v>
      </c>
    </row>
    <row r="381" spans="1:14" x14ac:dyDescent="0.35">
      <c r="A381" t="s">
        <v>670</v>
      </c>
      <c r="B381" t="s">
        <v>671</v>
      </c>
      <c r="C381" t="s">
        <v>32</v>
      </c>
      <c r="D381" t="s">
        <v>33</v>
      </c>
      <c r="E381" t="s">
        <v>17</v>
      </c>
      <c r="F381" t="s">
        <v>27</v>
      </c>
      <c r="G381" t="s">
        <v>28</v>
      </c>
      <c r="H381">
        <v>15</v>
      </c>
      <c r="I381">
        <v>89.89</v>
      </c>
      <c r="J381">
        <v>1348.35</v>
      </c>
      <c r="K381" t="s">
        <v>63</v>
      </c>
      <c r="L381" t="s">
        <v>77</v>
      </c>
      <c r="M381">
        <v>234.49</v>
      </c>
      <c r="N381" s="3">
        <f t="shared" si="5"/>
        <v>45901</v>
      </c>
    </row>
    <row r="382" spans="1:14" x14ac:dyDescent="0.35">
      <c r="A382" t="s">
        <v>672</v>
      </c>
      <c r="B382" t="s">
        <v>641</v>
      </c>
      <c r="C382" t="s">
        <v>32</v>
      </c>
      <c r="D382" t="s">
        <v>25</v>
      </c>
      <c r="E382" t="s">
        <v>26</v>
      </c>
      <c r="F382" t="s">
        <v>37</v>
      </c>
      <c r="G382" t="s">
        <v>19</v>
      </c>
      <c r="H382">
        <v>18</v>
      </c>
      <c r="I382">
        <v>365.42</v>
      </c>
      <c r="J382">
        <v>6577.56</v>
      </c>
      <c r="K382" t="s">
        <v>29</v>
      </c>
      <c r="L382" t="s">
        <v>50</v>
      </c>
      <c r="M382">
        <v>2136.0100000000002</v>
      </c>
      <c r="N382" s="3">
        <f t="shared" si="5"/>
        <v>45839</v>
      </c>
    </row>
    <row r="383" spans="1:14" x14ac:dyDescent="0.35">
      <c r="A383" t="s">
        <v>673</v>
      </c>
      <c r="B383" t="s">
        <v>366</v>
      </c>
      <c r="C383" t="s">
        <v>32</v>
      </c>
      <c r="D383" t="s">
        <v>74</v>
      </c>
      <c r="E383" t="s">
        <v>43</v>
      </c>
      <c r="F383" t="s">
        <v>44</v>
      </c>
      <c r="G383" t="s">
        <v>28</v>
      </c>
      <c r="H383">
        <v>15</v>
      </c>
      <c r="I383">
        <v>978.26</v>
      </c>
      <c r="J383">
        <v>14673.9</v>
      </c>
      <c r="K383" t="s">
        <v>63</v>
      </c>
      <c r="L383" t="s">
        <v>77</v>
      </c>
      <c r="M383">
        <v>3108.1</v>
      </c>
      <c r="N383" s="3">
        <f t="shared" si="5"/>
        <v>45839</v>
      </c>
    </row>
    <row r="384" spans="1:14" x14ac:dyDescent="0.35">
      <c r="A384" t="s">
        <v>674</v>
      </c>
      <c r="B384" t="s">
        <v>259</v>
      </c>
      <c r="C384" t="s">
        <v>15</v>
      </c>
      <c r="D384" t="s">
        <v>116</v>
      </c>
      <c r="E384" t="s">
        <v>43</v>
      </c>
      <c r="F384" t="s">
        <v>44</v>
      </c>
      <c r="G384" t="s">
        <v>19</v>
      </c>
      <c r="H384">
        <v>5</v>
      </c>
      <c r="I384">
        <v>631.84</v>
      </c>
      <c r="J384">
        <v>3159.2</v>
      </c>
      <c r="K384" t="s">
        <v>63</v>
      </c>
      <c r="L384" t="s">
        <v>21</v>
      </c>
      <c r="M384">
        <v>783.46</v>
      </c>
      <c r="N384" s="3">
        <f t="shared" si="5"/>
        <v>45778</v>
      </c>
    </row>
    <row r="385" spans="1:14" x14ac:dyDescent="0.35">
      <c r="A385" t="s">
        <v>675</v>
      </c>
      <c r="B385" t="s">
        <v>676</v>
      </c>
      <c r="C385" t="s">
        <v>15</v>
      </c>
      <c r="D385" t="s">
        <v>53</v>
      </c>
      <c r="E385" t="s">
        <v>26</v>
      </c>
      <c r="F385" t="s">
        <v>44</v>
      </c>
      <c r="G385" t="s">
        <v>38</v>
      </c>
      <c r="H385">
        <v>2</v>
      </c>
      <c r="I385">
        <v>556.58000000000004</v>
      </c>
      <c r="J385">
        <v>1113.1600000000001</v>
      </c>
      <c r="K385" t="s">
        <v>49</v>
      </c>
      <c r="L385" t="s">
        <v>77</v>
      </c>
      <c r="M385">
        <v>342.34</v>
      </c>
      <c r="N385" s="3">
        <f t="shared" si="5"/>
        <v>45809</v>
      </c>
    </row>
    <row r="386" spans="1:14" x14ac:dyDescent="0.35">
      <c r="A386" t="s">
        <v>677</v>
      </c>
      <c r="B386" t="s">
        <v>678</v>
      </c>
      <c r="C386" t="s">
        <v>15</v>
      </c>
      <c r="D386" t="s">
        <v>33</v>
      </c>
      <c r="E386" t="s">
        <v>48</v>
      </c>
      <c r="F386" t="s">
        <v>37</v>
      </c>
      <c r="G386" t="s">
        <v>19</v>
      </c>
      <c r="H386">
        <v>9</v>
      </c>
      <c r="I386">
        <v>686.3</v>
      </c>
      <c r="J386">
        <v>6176.7</v>
      </c>
      <c r="K386" t="s">
        <v>20</v>
      </c>
      <c r="L386" t="s">
        <v>21</v>
      </c>
      <c r="M386">
        <v>1387.9</v>
      </c>
      <c r="N386" s="3">
        <f t="shared" si="5"/>
        <v>45962</v>
      </c>
    </row>
    <row r="387" spans="1:14" x14ac:dyDescent="0.35">
      <c r="A387" t="s">
        <v>679</v>
      </c>
      <c r="B387" t="s">
        <v>659</v>
      </c>
      <c r="C387" t="s">
        <v>32</v>
      </c>
      <c r="D387" t="s">
        <v>74</v>
      </c>
      <c r="E387" t="s">
        <v>26</v>
      </c>
      <c r="F387" t="s">
        <v>18</v>
      </c>
      <c r="G387" t="s">
        <v>45</v>
      </c>
      <c r="H387">
        <v>18</v>
      </c>
      <c r="I387">
        <v>402.99</v>
      </c>
      <c r="J387">
        <v>7253.82</v>
      </c>
      <c r="K387" t="s">
        <v>82</v>
      </c>
      <c r="L387" t="s">
        <v>50</v>
      </c>
      <c r="M387">
        <v>1093.6600000000001</v>
      </c>
      <c r="N387" s="3">
        <f t="shared" ref="N387:N450" si="6">DATE(YEAR(B387),MONTH(B387),1)</f>
        <v>45717</v>
      </c>
    </row>
    <row r="388" spans="1:14" x14ac:dyDescent="0.35">
      <c r="A388" t="s">
        <v>680</v>
      </c>
      <c r="B388" t="s">
        <v>170</v>
      </c>
      <c r="C388" t="s">
        <v>32</v>
      </c>
      <c r="D388" t="s">
        <v>33</v>
      </c>
      <c r="E388" t="s">
        <v>26</v>
      </c>
      <c r="F388" t="s">
        <v>44</v>
      </c>
      <c r="G388" t="s">
        <v>56</v>
      </c>
      <c r="H388">
        <v>1</v>
      </c>
      <c r="I388">
        <v>589.67999999999995</v>
      </c>
      <c r="J388">
        <v>589.67999999999995</v>
      </c>
      <c r="K388" t="s">
        <v>66</v>
      </c>
      <c r="L388" t="s">
        <v>21</v>
      </c>
      <c r="M388">
        <v>143</v>
      </c>
      <c r="N388" s="3">
        <f t="shared" si="6"/>
        <v>45839</v>
      </c>
    </row>
    <row r="389" spans="1:14" x14ac:dyDescent="0.35">
      <c r="A389" t="s">
        <v>681</v>
      </c>
      <c r="B389" t="s">
        <v>31</v>
      </c>
      <c r="C389" t="s">
        <v>32</v>
      </c>
      <c r="D389" t="s">
        <v>116</v>
      </c>
      <c r="E389" t="s">
        <v>26</v>
      </c>
      <c r="F389" t="s">
        <v>44</v>
      </c>
      <c r="G389" t="s">
        <v>28</v>
      </c>
      <c r="H389">
        <v>12</v>
      </c>
      <c r="I389">
        <v>842.16</v>
      </c>
      <c r="J389">
        <v>10105.92</v>
      </c>
      <c r="K389" t="s">
        <v>29</v>
      </c>
      <c r="L389" t="s">
        <v>21</v>
      </c>
      <c r="M389">
        <v>2810.62</v>
      </c>
      <c r="N389" s="3">
        <f t="shared" si="6"/>
        <v>45778</v>
      </c>
    </row>
    <row r="390" spans="1:14" x14ac:dyDescent="0.35">
      <c r="A390" t="s">
        <v>682</v>
      </c>
      <c r="B390" t="s">
        <v>683</v>
      </c>
      <c r="C390" t="s">
        <v>24</v>
      </c>
      <c r="D390" t="s">
        <v>116</v>
      </c>
      <c r="E390" t="s">
        <v>43</v>
      </c>
      <c r="F390" t="s">
        <v>18</v>
      </c>
      <c r="G390" t="s">
        <v>28</v>
      </c>
      <c r="H390">
        <v>7</v>
      </c>
      <c r="I390">
        <v>93.88</v>
      </c>
      <c r="J390">
        <v>657.16</v>
      </c>
      <c r="K390" t="s">
        <v>63</v>
      </c>
      <c r="L390" t="s">
        <v>77</v>
      </c>
      <c r="M390">
        <v>75.900000000000006</v>
      </c>
      <c r="N390" s="3">
        <f t="shared" si="6"/>
        <v>45689</v>
      </c>
    </row>
    <row r="391" spans="1:14" x14ac:dyDescent="0.35">
      <c r="A391" t="s">
        <v>684</v>
      </c>
      <c r="B391" t="s">
        <v>350</v>
      </c>
      <c r="C391" t="s">
        <v>15</v>
      </c>
      <c r="D391" t="s">
        <v>42</v>
      </c>
      <c r="E391" t="s">
        <v>26</v>
      </c>
      <c r="F391" t="s">
        <v>27</v>
      </c>
      <c r="G391" t="s">
        <v>19</v>
      </c>
      <c r="H391">
        <v>19</v>
      </c>
      <c r="I391">
        <v>740.63</v>
      </c>
      <c r="J391">
        <v>14071.97</v>
      </c>
      <c r="K391" t="s">
        <v>49</v>
      </c>
      <c r="L391" t="s">
        <v>77</v>
      </c>
      <c r="M391">
        <v>4627.6400000000003</v>
      </c>
      <c r="N391" s="3">
        <f t="shared" si="6"/>
        <v>45839</v>
      </c>
    </row>
    <row r="392" spans="1:14" x14ac:dyDescent="0.35">
      <c r="A392" t="s">
        <v>685</v>
      </c>
      <c r="B392" t="s">
        <v>686</v>
      </c>
      <c r="C392" t="s">
        <v>32</v>
      </c>
      <c r="D392" t="s">
        <v>25</v>
      </c>
      <c r="E392" t="s">
        <v>26</v>
      </c>
      <c r="F392" t="s">
        <v>27</v>
      </c>
      <c r="G392" t="s">
        <v>38</v>
      </c>
      <c r="H392">
        <v>13</v>
      </c>
      <c r="I392">
        <v>759.95</v>
      </c>
      <c r="J392">
        <v>9879.35</v>
      </c>
      <c r="K392" t="s">
        <v>66</v>
      </c>
      <c r="L392" t="s">
        <v>21</v>
      </c>
      <c r="M392">
        <v>2953.02</v>
      </c>
      <c r="N392" s="3">
        <f t="shared" si="6"/>
        <v>45809</v>
      </c>
    </row>
    <row r="393" spans="1:14" x14ac:dyDescent="0.35">
      <c r="A393" t="s">
        <v>687</v>
      </c>
      <c r="B393" t="s">
        <v>100</v>
      </c>
      <c r="C393" t="s">
        <v>47</v>
      </c>
      <c r="D393" t="s">
        <v>116</v>
      </c>
      <c r="E393" t="s">
        <v>43</v>
      </c>
      <c r="F393" t="s">
        <v>27</v>
      </c>
      <c r="G393" t="s">
        <v>38</v>
      </c>
      <c r="H393">
        <v>18</v>
      </c>
      <c r="I393">
        <v>839.54</v>
      </c>
      <c r="J393">
        <v>15111.72</v>
      </c>
      <c r="K393" t="s">
        <v>49</v>
      </c>
      <c r="L393" t="s">
        <v>21</v>
      </c>
      <c r="M393">
        <v>2159</v>
      </c>
      <c r="N393" s="3">
        <f t="shared" si="6"/>
        <v>45962</v>
      </c>
    </row>
    <row r="394" spans="1:14" x14ac:dyDescent="0.35">
      <c r="A394" t="s">
        <v>688</v>
      </c>
      <c r="B394" t="s">
        <v>689</v>
      </c>
      <c r="C394" t="s">
        <v>24</v>
      </c>
      <c r="D394" t="s">
        <v>53</v>
      </c>
      <c r="E394" t="s">
        <v>48</v>
      </c>
      <c r="F394" t="s">
        <v>18</v>
      </c>
      <c r="G394" t="s">
        <v>19</v>
      </c>
      <c r="H394">
        <v>2</v>
      </c>
      <c r="I394">
        <v>948.34</v>
      </c>
      <c r="J394">
        <v>1896.68</v>
      </c>
      <c r="K394" t="s">
        <v>49</v>
      </c>
      <c r="L394" t="s">
        <v>21</v>
      </c>
      <c r="M394">
        <v>495.4</v>
      </c>
      <c r="N394" s="3">
        <f t="shared" si="6"/>
        <v>45748</v>
      </c>
    </row>
    <row r="395" spans="1:14" x14ac:dyDescent="0.35">
      <c r="A395" t="s">
        <v>690</v>
      </c>
      <c r="B395" t="s">
        <v>109</v>
      </c>
      <c r="C395" t="s">
        <v>24</v>
      </c>
      <c r="D395" t="s">
        <v>53</v>
      </c>
      <c r="E395" t="s">
        <v>17</v>
      </c>
      <c r="F395" t="s">
        <v>18</v>
      </c>
      <c r="G395" t="s">
        <v>19</v>
      </c>
      <c r="H395">
        <v>2</v>
      </c>
      <c r="I395">
        <v>935.21</v>
      </c>
      <c r="J395">
        <v>1870.42</v>
      </c>
      <c r="K395" t="s">
        <v>66</v>
      </c>
      <c r="L395" t="s">
        <v>34</v>
      </c>
      <c r="M395">
        <v>197.62</v>
      </c>
      <c r="N395" s="3">
        <f t="shared" si="6"/>
        <v>45992</v>
      </c>
    </row>
    <row r="396" spans="1:14" x14ac:dyDescent="0.35">
      <c r="A396" t="s">
        <v>691</v>
      </c>
      <c r="B396" t="s">
        <v>692</v>
      </c>
      <c r="C396" t="s">
        <v>32</v>
      </c>
      <c r="D396" t="s">
        <v>33</v>
      </c>
      <c r="E396" t="s">
        <v>26</v>
      </c>
      <c r="F396" t="s">
        <v>37</v>
      </c>
      <c r="G396" t="s">
        <v>56</v>
      </c>
      <c r="H396">
        <v>11</v>
      </c>
      <c r="I396">
        <v>786.3</v>
      </c>
      <c r="J396">
        <v>8649.2999999999993</v>
      </c>
      <c r="K396" t="s">
        <v>49</v>
      </c>
      <c r="L396" t="s">
        <v>21</v>
      </c>
      <c r="M396">
        <v>955.4</v>
      </c>
      <c r="N396" s="3">
        <f t="shared" si="6"/>
        <v>45689</v>
      </c>
    </row>
    <row r="397" spans="1:14" x14ac:dyDescent="0.35">
      <c r="A397" t="s">
        <v>693</v>
      </c>
      <c r="B397" t="s">
        <v>541</v>
      </c>
      <c r="C397" t="s">
        <v>47</v>
      </c>
      <c r="D397" t="s">
        <v>16</v>
      </c>
      <c r="E397" t="s">
        <v>26</v>
      </c>
      <c r="F397" t="s">
        <v>37</v>
      </c>
      <c r="G397" t="s">
        <v>96</v>
      </c>
      <c r="H397">
        <v>9</v>
      </c>
      <c r="I397">
        <v>324</v>
      </c>
      <c r="J397">
        <v>2916</v>
      </c>
      <c r="K397" t="s">
        <v>49</v>
      </c>
      <c r="L397" t="s">
        <v>77</v>
      </c>
      <c r="M397">
        <v>402.9</v>
      </c>
      <c r="N397" s="3">
        <f t="shared" si="6"/>
        <v>45717</v>
      </c>
    </row>
    <row r="398" spans="1:14" x14ac:dyDescent="0.35">
      <c r="A398" t="s">
        <v>694</v>
      </c>
      <c r="B398" t="s">
        <v>270</v>
      </c>
      <c r="C398" t="s">
        <v>32</v>
      </c>
      <c r="D398" t="s">
        <v>53</v>
      </c>
      <c r="E398" t="s">
        <v>26</v>
      </c>
      <c r="F398" t="s">
        <v>44</v>
      </c>
      <c r="G398" t="s">
        <v>105</v>
      </c>
      <c r="H398">
        <v>10</v>
      </c>
      <c r="I398">
        <v>486.79</v>
      </c>
      <c r="J398">
        <v>4867.8999999999996</v>
      </c>
      <c r="K398" t="s">
        <v>20</v>
      </c>
      <c r="L398" t="s">
        <v>34</v>
      </c>
      <c r="M398">
        <v>709.72</v>
      </c>
      <c r="N398" s="3">
        <f t="shared" si="6"/>
        <v>45717</v>
      </c>
    </row>
    <row r="399" spans="1:14" x14ac:dyDescent="0.35">
      <c r="A399" t="s">
        <v>695</v>
      </c>
      <c r="B399" t="s">
        <v>696</v>
      </c>
      <c r="C399" t="s">
        <v>47</v>
      </c>
      <c r="D399" t="s">
        <v>25</v>
      </c>
      <c r="E399" t="s">
        <v>26</v>
      </c>
      <c r="F399" t="s">
        <v>18</v>
      </c>
      <c r="G399" t="s">
        <v>56</v>
      </c>
      <c r="H399">
        <v>5</v>
      </c>
      <c r="I399">
        <v>542.58000000000004</v>
      </c>
      <c r="J399">
        <v>2712.9</v>
      </c>
      <c r="K399" t="s">
        <v>20</v>
      </c>
      <c r="L399" t="s">
        <v>77</v>
      </c>
      <c r="M399">
        <v>855.09</v>
      </c>
      <c r="N399" s="3">
        <f t="shared" si="6"/>
        <v>45992</v>
      </c>
    </row>
    <row r="400" spans="1:14" x14ac:dyDescent="0.35">
      <c r="A400" t="s">
        <v>697</v>
      </c>
      <c r="B400" t="s">
        <v>698</v>
      </c>
      <c r="C400" t="s">
        <v>24</v>
      </c>
      <c r="D400" t="s">
        <v>25</v>
      </c>
      <c r="E400" t="s">
        <v>17</v>
      </c>
      <c r="F400" t="s">
        <v>37</v>
      </c>
      <c r="G400" t="s">
        <v>38</v>
      </c>
      <c r="H400">
        <v>17</v>
      </c>
      <c r="I400">
        <v>701.25</v>
      </c>
      <c r="J400">
        <v>11921.25</v>
      </c>
      <c r="K400" t="s">
        <v>63</v>
      </c>
      <c r="L400" t="s">
        <v>50</v>
      </c>
      <c r="M400">
        <v>3810.08</v>
      </c>
      <c r="N400" s="3">
        <f t="shared" si="6"/>
        <v>45901</v>
      </c>
    </row>
    <row r="401" spans="1:14" x14ac:dyDescent="0.35">
      <c r="A401" t="s">
        <v>699</v>
      </c>
      <c r="B401" t="s">
        <v>700</v>
      </c>
      <c r="C401" t="s">
        <v>24</v>
      </c>
      <c r="D401" t="s">
        <v>53</v>
      </c>
      <c r="E401" t="s">
        <v>17</v>
      </c>
      <c r="F401" t="s">
        <v>37</v>
      </c>
      <c r="G401" t="s">
        <v>19</v>
      </c>
      <c r="H401">
        <v>8</v>
      </c>
      <c r="I401">
        <v>421.97</v>
      </c>
      <c r="J401">
        <v>3375.76</v>
      </c>
      <c r="K401" t="s">
        <v>29</v>
      </c>
      <c r="L401" t="s">
        <v>39</v>
      </c>
      <c r="M401">
        <v>427.46</v>
      </c>
      <c r="N401" s="3">
        <f t="shared" si="6"/>
        <v>45870</v>
      </c>
    </row>
    <row r="402" spans="1:14" x14ac:dyDescent="0.35">
      <c r="A402" t="s">
        <v>701</v>
      </c>
      <c r="B402" t="s">
        <v>328</v>
      </c>
      <c r="C402" t="s">
        <v>15</v>
      </c>
      <c r="D402" t="s">
        <v>116</v>
      </c>
      <c r="E402" t="s">
        <v>17</v>
      </c>
      <c r="F402" t="s">
        <v>27</v>
      </c>
      <c r="G402" t="s">
        <v>56</v>
      </c>
      <c r="H402">
        <v>20</v>
      </c>
      <c r="I402">
        <v>744.94</v>
      </c>
      <c r="J402">
        <v>14898.8</v>
      </c>
      <c r="K402" t="s">
        <v>63</v>
      </c>
      <c r="L402" t="s">
        <v>39</v>
      </c>
      <c r="M402">
        <v>1815.58</v>
      </c>
      <c r="N402" s="3">
        <f t="shared" si="6"/>
        <v>45748</v>
      </c>
    </row>
    <row r="403" spans="1:14" x14ac:dyDescent="0.35">
      <c r="A403" t="s">
        <v>702</v>
      </c>
      <c r="B403" t="s">
        <v>193</v>
      </c>
      <c r="C403" t="s">
        <v>32</v>
      </c>
      <c r="D403" t="s">
        <v>53</v>
      </c>
      <c r="E403" t="s">
        <v>26</v>
      </c>
      <c r="F403" t="s">
        <v>27</v>
      </c>
      <c r="G403" t="s">
        <v>38</v>
      </c>
      <c r="H403">
        <v>15</v>
      </c>
      <c r="I403">
        <v>977.79</v>
      </c>
      <c r="J403">
        <v>14666.85</v>
      </c>
      <c r="K403" t="s">
        <v>66</v>
      </c>
      <c r="L403" t="s">
        <v>77</v>
      </c>
      <c r="M403">
        <v>3802.31</v>
      </c>
      <c r="N403" s="3">
        <f t="shared" si="6"/>
        <v>45748</v>
      </c>
    </row>
    <row r="404" spans="1:14" x14ac:dyDescent="0.35">
      <c r="A404" t="s">
        <v>703</v>
      </c>
      <c r="B404" t="s">
        <v>648</v>
      </c>
      <c r="C404" t="s">
        <v>47</v>
      </c>
      <c r="D404" t="s">
        <v>74</v>
      </c>
      <c r="E404" t="s">
        <v>43</v>
      </c>
      <c r="F404" t="s">
        <v>27</v>
      </c>
      <c r="G404" t="s">
        <v>45</v>
      </c>
      <c r="H404">
        <v>10</v>
      </c>
      <c r="I404">
        <v>59.66</v>
      </c>
      <c r="J404">
        <v>596.6</v>
      </c>
      <c r="K404" t="s">
        <v>49</v>
      </c>
      <c r="L404" t="s">
        <v>77</v>
      </c>
      <c r="M404">
        <v>81.66</v>
      </c>
      <c r="N404" s="3">
        <f t="shared" si="6"/>
        <v>45992</v>
      </c>
    </row>
    <row r="405" spans="1:14" x14ac:dyDescent="0.35">
      <c r="A405" t="s">
        <v>704</v>
      </c>
      <c r="B405" t="s">
        <v>705</v>
      </c>
      <c r="C405" t="s">
        <v>24</v>
      </c>
      <c r="D405" t="s">
        <v>25</v>
      </c>
      <c r="E405" t="s">
        <v>43</v>
      </c>
      <c r="F405" t="s">
        <v>37</v>
      </c>
      <c r="G405" t="s">
        <v>45</v>
      </c>
      <c r="H405">
        <v>18</v>
      </c>
      <c r="I405">
        <v>63.03</v>
      </c>
      <c r="J405">
        <v>1134.54</v>
      </c>
      <c r="K405" t="s">
        <v>63</v>
      </c>
      <c r="L405" t="s">
        <v>50</v>
      </c>
      <c r="M405">
        <v>314.76</v>
      </c>
      <c r="N405" s="3">
        <f t="shared" si="6"/>
        <v>45901</v>
      </c>
    </row>
    <row r="406" spans="1:14" x14ac:dyDescent="0.35">
      <c r="A406" t="s">
        <v>706</v>
      </c>
      <c r="B406" t="s">
        <v>707</v>
      </c>
      <c r="C406" t="s">
        <v>32</v>
      </c>
      <c r="D406" t="s">
        <v>16</v>
      </c>
      <c r="E406" t="s">
        <v>48</v>
      </c>
      <c r="F406" t="s">
        <v>27</v>
      </c>
      <c r="G406" t="s">
        <v>38</v>
      </c>
      <c r="H406">
        <v>20</v>
      </c>
      <c r="I406">
        <v>53.59</v>
      </c>
      <c r="J406">
        <v>1071.8</v>
      </c>
      <c r="K406" t="s">
        <v>29</v>
      </c>
      <c r="L406" t="s">
        <v>21</v>
      </c>
      <c r="M406">
        <v>246.76</v>
      </c>
      <c r="N406" s="3">
        <f t="shared" si="6"/>
        <v>45748</v>
      </c>
    </row>
    <row r="407" spans="1:14" x14ac:dyDescent="0.35">
      <c r="A407" t="s">
        <v>708</v>
      </c>
      <c r="B407" t="s">
        <v>709</v>
      </c>
      <c r="C407" t="s">
        <v>47</v>
      </c>
      <c r="D407" t="s">
        <v>53</v>
      </c>
      <c r="E407" t="s">
        <v>43</v>
      </c>
      <c r="F407" t="s">
        <v>18</v>
      </c>
      <c r="G407" t="s">
        <v>105</v>
      </c>
      <c r="H407">
        <v>13</v>
      </c>
      <c r="I407">
        <v>155.27000000000001</v>
      </c>
      <c r="J407">
        <v>2018.51</v>
      </c>
      <c r="K407" t="s">
        <v>49</v>
      </c>
      <c r="L407" t="s">
        <v>39</v>
      </c>
      <c r="M407">
        <v>621.84</v>
      </c>
      <c r="N407" s="3">
        <f t="shared" si="6"/>
        <v>45931</v>
      </c>
    </row>
    <row r="408" spans="1:14" x14ac:dyDescent="0.35">
      <c r="A408" t="s">
        <v>710</v>
      </c>
      <c r="B408" t="s">
        <v>418</v>
      </c>
      <c r="C408" t="s">
        <v>24</v>
      </c>
      <c r="D408" t="s">
        <v>33</v>
      </c>
      <c r="E408" t="s">
        <v>48</v>
      </c>
      <c r="F408" t="s">
        <v>44</v>
      </c>
      <c r="G408" t="s">
        <v>45</v>
      </c>
      <c r="H408">
        <v>16</v>
      </c>
      <c r="I408">
        <v>158.69</v>
      </c>
      <c r="J408">
        <v>2539.04</v>
      </c>
      <c r="K408" t="s">
        <v>63</v>
      </c>
      <c r="L408" t="s">
        <v>77</v>
      </c>
      <c r="M408">
        <v>408.66</v>
      </c>
      <c r="N408" s="3">
        <f t="shared" si="6"/>
        <v>45931</v>
      </c>
    </row>
    <row r="409" spans="1:14" x14ac:dyDescent="0.35">
      <c r="A409" t="s">
        <v>711</v>
      </c>
      <c r="B409" t="s">
        <v>100</v>
      </c>
      <c r="C409" t="s">
        <v>47</v>
      </c>
      <c r="D409" t="s">
        <v>16</v>
      </c>
      <c r="E409" t="s">
        <v>17</v>
      </c>
      <c r="F409" t="s">
        <v>44</v>
      </c>
      <c r="G409" t="s">
        <v>85</v>
      </c>
      <c r="H409">
        <v>5</v>
      </c>
      <c r="I409">
        <v>156.65</v>
      </c>
      <c r="J409">
        <v>783.25</v>
      </c>
      <c r="K409" t="s">
        <v>63</v>
      </c>
      <c r="L409" t="s">
        <v>21</v>
      </c>
      <c r="M409">
        <v>217.55</v>
      </c>
      <c r="N409" s="3">
        <f t="shared" si="6"/>
        <v>45962</v>
      </c>
    </row>
    <row r="410" spans="1:14" x14ac:dyDescent="0.35">
      <c r="A410" t="s">
        <v>712</v>
      </c>
      <c r="B410" t="s">
        <v>713</v>
      </c>
      <c r="C410" t="s">
        <v>32</v>
      </c>
      <c r="D410" t="s">
        <v>16</v>
      </c>
      <c r="E410" t="s">
        <v>26</v>
      </c>
      <c r="F410" t="s">
        <v>37</v>
      </c>
      <c r="G410" t="s">
        <v>105</v>
      </c>
      <c r="H410">
        <v>5</v>
      </c>
      <c r="I410">
        <v>849.38</v>
      </c>
      <c r="J410">
        <v>4246.8999999999996</v>
      </c>
      <c r="K410" t="s">
        <v>29</v>
      </c>
      <c r="L410" t="s">
        <v>21</v>
      </c>
      <c r="M410">
        <v>668.45</v>
      </c>
      <c r="N410" s="3">
        <f t="shared" si="6"/>
        <v>45748</v>
      </c>
    </row>
    <row r="411" spans="1:14" x14ac:dyDescent="0.35">
      <c r="A411" t="s">
        <v>714</v>
      </c>
      <c r="B411" t="s">
        <v>346</v>
      </c>
      <c r="C411" t="s">
        <v>15</v>
      </c>
      <c r="D411" t="s">
        <v>53</v>
      </c>
      <c r="E411" t="s">
        <v>48</v>
      </c>
      <c r="F411" t="s">
        <v>37</v>
      </c>
      <c r="G411" t="s">
        <v>45</v>
      </c>
      <c r="H411">
        <v>7</v>
      </c>
      <c r="I411">
        <v>455.67</v>
      </c>
      <c r="J411">
        <v>3189.69</v>
      </c>
      <c r="K411" t="s">
        <v>29</v>
      </c>
      <c r="L411" t="s">
        <v>34</v>
      </c>
      <c r="M411">
        <v>656.76</v>
      </c>
      <c r="N411" s="3">
        <f t="shared" si="6"/>
        <v>45778</v>
      </c>
    </row>
    <row r="412" spans="1:14" x14ac:dyDescent="0.35">
      <c r="A412" t="s">
        <v>715</v>
      </c>
      <c r="B412" t="s">
        <v>443</v>
      </c>
      <c r="C412" t="s">
        <v>24</v>
      </c>
      <c r="D412" t="s">
        <v>116</v>
      </c>
      <c r="E412" t="s">
        <v>48</v>
      </c>
      <c r="F412" t="s">
        <v>18</v>
      </c>
      <c r="G412" t="s">
        <v>38</v>
      </c>
      <c r="H412">
        <v>20</v>
      </c>
      <c r="I412">
        <v>502.26</v>
      </c>
      <c r="J412">
        <v>10045.200000000001</v>
      </c>
      <c r="K412" t="s">
        <v>49</v>
      </c>
      <c r="L412" t="s">
        <v>34</v>
      </c>
      <c r="M412">
        <v>1366.74</v>
      </c>
      <c r="N412" s="3">
        <f t="shared" si="6"/>
        <v>45748</v>
      </c>
    </row>
    <row r="413" spans="1:14" x14ac:dyDescent="0.35">
      <c r="A413" t="s">
        <v>716</v>
      </c>
      <c r="B413" t="s">
        <v>717</v>
      </c>
      <c r="C413" t="s">
        <v>15</v>
      </c>
      <c r="D413" t="s">
        <v>74</v>
      </c>
      <c r="E413" t="s">
        <v>43</v>
      </c>
      <c r="F413" t="s">
        <v>44</v>
      </c>
      <c r="G413" t="s">
        <v>45</v>
      </c>
      <c r="H413">
        <v>20</v>
      </c>
      <c r="I413">
        <v>656.76</v>
      </c>
      <c r="J413">
        <v>13135.2</v>
      </c>
      <c r="K413" t="s">
        <v>20</v>
      </c>
      <c r="L413" t="s">
        <v>34</v>
      </c>
      <c r="M413">
        <v>2778.46</v>
      </c>
      <c r="N413" s="3">
        <f t="shared" si="6"/>
        <v>45809</v>
      </c>
    </row>
    <row r="414" spans="1:14" x14ac:dyDescent="0.35">
      <c r="A414" t="s">
        <v>718</v>
      </c>
      <c r="B414" t="s">
        <v>346</v>
      </c>
      <c r="C414" t="s">
        <v>24</v>
      </c>
      <c r="D414" t="s">
        <v>116</v>
      </c>
      <c r="E414" t="s">
        <v>43</v>
      </c>
      <c r="F414" t="s">
        <v>37</v>
      </c>
      <c r="G414" t="s">
        <v>19</v>
      </c>
      <c r="H414">
        <v>9</v>
      </c>
      <c r="I414">
        <v>50.91</v>
      </c>
      <c r="J414">
        <v>458.19</v>
      </c>
      <c r="K414" t="s">
        <v>49</v>
      </c>
      <c r="L414" t="s">
        <v>77</v>
      </c>
      <c r="M414">
        <v>81.12</v>
      </c>
      <c r="N414" s="3">
        <f t="shared" si="6"/>
        <v>45778</v>
      </c>
    </row>
    <row r="415" spans="1:14" x14ac:dyDescent="0.35">
      <c r="A415" t="s">
        <v>719</v>
      </c>
      <c r="B415" t="s">
        <v>248</v>
      </c>
      <c r="C415" t="s">
        <v>47</v>
      </c>
      <c r="D415" t="s">
        <v>116</v>
      </c>
      <c r="E415" t="s">
        <v>26</v>
      </c>
      <c r="F415" t="s">
        <v>18</v>
      </c>
      <c r="G415" t="s">
        <v>45</v>
      </c>
      <c r="H415">
        <v>1</v>
      </c>
      <c r="I415">
        <v>940.6</v>
      </c>
      <c r="J415">
        <v>940.6</v>
      </c>
      <c r="K415" t="s">
        <v>20</v>
      </c>
      <c r="L415" t="s">
        <v>77</v>
      </c>
      <c r="M415">
        <v>310.01</v>
      </c>
      <c r="N415" s="3">
        <f t="shared" si="6"/>
        <v>45962</v>
      </c>
    </row>
    <row r="416" spans="1:14" x14ac:dyDescent="0.35">
      <c r="A416" t="s">
        <v>720</v>
      </c>
      <c r="B416" t="s">
        <v>113</v>
      </c>
      <c r="C416" t="s">
        <v>24</v>
      </c>
      <c r="D416" t="s">
        <v>25</v>
      </c>
      <c r="E416" t="s">
        <v>43</v>
      </c>
      <c r="F416" t="s">
        <v>37</v>
      </c>
      <c r="G416" t="s">
        <v>38</v>
      </c>
      <c r="H416">
        <v>6</v>
      </c>
      <c r="I416">
        <v>882.59</v>
      </c>
      <c r="J416">
        <v>5295.54</v>
      </c>
      <c r="K416" t="s">
        <v>82</v>
      </c>
      <c r="L416" t="s">
        <v>50</v>
      </c>
      <c r="M416">
        <v>994.29</v>
      </c>
      <c r="N416" s="3">
        <f t="shared" si="6"/>
        <v>45870</v>
      </c>
    </row>
    <row r="417" spans="1:14" x14ac:dyDescent="0.35">
      <c r="A417" t="s">
        <v>721</v>
      </c>
      <c r="B417" t="s">
        <v>121</v>
      </c>
      <c r="C417" t="s">
        <v>47</v>
      </c>
      <c r="D417" t="s">
        <v>74</v>
      </c>
      <c r="E417" t="s">
        <v>26</v>
      </c>
      <c r="F417" t="s">
        <v>27</v>
      </c>
      <c r="G417" t="s">
        <v>28</v>
      </c>
      <c r="H417">
        <v>4</v>
      </c>
      <c r="I417">
        <v>53.33</v>
      </c>
      <c r="J417">
        <v>213.32</v>
      </c>
      <c r="K417" t="s">
        <v>66</v>
      </c>
      <c r="L417" t="s">
        <v>77</v>
      </c>
      <c r="M417">
        <v>52.41</v>
      </c>
      <c r="N417" s="3">
        <f t="shared" si="6"/>
        <v>45839</v>
      </c>
    </row>
    <row r="418" spans="1:14" x14ac:dyDescent="0.35">
      <c r="A418" t="s">
        <v>722</v>
      </c>
      <c r="B418" t="s">
        <v>631</v>
      </c>
      <c r="C418" t="s">
        <v>47</v>
      </c>
      <c r="D418" t="s">
        <v>116</v>
      </c>
      <c r="E418" t="s">
        <v>26</v>
      </c>
      <c r="F418" t="s">
        <v>37</v>
      </c>
      <c r="G418" t="s">
        <v>96</v>
      </c>
      <c r="H418">
        <v>19</v>
      </c>
      <c r="I418">
        <v>617.74</v>
      </c>
      <c r="J418">
        <v>11737.06</v>
      </c>
      <c r="K418" t="s">
        <v>20</v>
      </c>
      <c r="L418" t="s">
        <v>77</v>
      </c>
      <c r="M418">
        <v>2039.2</v>
      </c>
      <c r="N418" s="3">
        <f t="shared" si="6"/>
        <v>45962</v>
      </c>
    </row>
    <row r="419" spans="1:14" x14ac:dyDescent="0.35">
      <c r="A419" t="s">
        <v>723</v>
      </c>
      <c r="B419" t="s">
        <v>724</v>
      </c>
      <c r="C419" t="s">
        <v>32</v>
      </c>
      <c r="D419" t="s">
        <v>69</v>
      </c>
      <c r="E419" t="s">
        <v>26</v>
      </c>
      <c r="F419" t="s">
        <v>44</v>
      </c>
      <c r="G419" t="s">
        <v>56</v>
      </c>
      <c r="H419">
        <v>20</v>
      </c>
      <c r="I419">
        <v>37.22</v>
      </c>
      <c r="J419">
        <v>744.4</v>
      </c>
      <c r="K419" t="s">
        <v>49</v>
      </c>
      <c r="L419" t="s">
        <v>21</v>
      </c>
      <c r="M419">
        <v>124.22</v>
      </c>
      <c r="N419" s="3">
        <f t="shared" si="6"/>
        <v>45931</v>
      </c>
    </row>
    <row r="420" spans="1:14" x14ac:dyDescent="0.35">
      <c r="A420" t="s">
        <v>725</v>
      </c>
      <c r="B420" t="s">
        <v>182</v>
      </c>
      <c r="C420" t="s">
        <v>32</v>
      </c>
      <c r="D420" t="s">
        <v>74</v>
      </c>
      <c r="E420" t="s">
        <v>17</v>
      </c>
      <c r="F420" t="s">
        <v>18</v>
      </c>
      <c r="G420" t="s">
        <v>38</v>
      </c>
      <c r="H420">
        <v>13</v>
      </c>
      <c r="I420">
        <v>496.16</v>
      </c>
      <c r="J420">
        <v>6450.08</v>
      </c>
      <c r="K420" t="s">
        <v>63</v>
      </c>
      <c r="L420" t="s">
        <v>34</v>
      </c>
      <c r="M420">
        <v>1962.7</v>
      </c>
      <c r="N420" s="3">
        <f t="shared" si="6"/>
        <v>45870</v>
      </c>
    </row>
    <row r="421" spans="1:14" x14ac:dyDescent="0.35">
      <c r="A421" t="s">
        <v>726</v>
      </c>
      <c r="B421" t="s">
        <v>111</v>
      </c>
      <c r="C421" t="s">
        <v>15</v>
      </c>
      <c r="D421" t="s">
        <v>16</v>
      </c>
      <c r="E421" t="s">
        <v>26</v>
      </c>
      <c r="F421" t="s">
        <v>37</v>
      </c>
      <c r="G421" t="s">
        <v>85</v>
      </c>
      <c r="H421">
        <v>14</v>
      </c>
      <c r="I421">
        <v>426.94</v>
      </c>
      <c r="J421">
        <v>5977.16</v>
      </c>
      <c r="K421" t="s">
        <v>66</v>
      </c>
      <c r="L421" t="s">
        <v>34</v>
      </c>
      <c r="M421">
        <v>1060.47</v>
      </c>
      <c r="N421" s="3">
        <f t="shared" si="6"/>
        <v>45901</v>
      </c>
    </row>
    <row r="422" spans="1:14" x14ac:dyDescent="0.35">
      <c r="A422" t="s">
        <v>727</v>
      </c>
      <c r="B422" t="s">
        <v>413</v>
      </c>
      <c r="C422" t="s">
        <v>32</v>
      </c>
      <c r="D422" t="s">
        <v>69</v>
      </c>
      <c r="E422" t="s">
        <v>43</v>
      </c>
      <c r="F422" t="s">
        <v>44</v>
      </c>
      <c r="G422" t="s">
        <v>85</v>
      </c>
      <c r="H422">
        <v>7</v>
      </c>
      <c r="I422">
        <v>779.43</v>
      </c>
      <c r="J422">
        <v>5456.01</v>
      </c>
      <c r="K422" t="s">
        <v>66</v>
      </c>
      <c r="L422" t="s">
        <v>50</v>
      </c>
      <c r="M422">
        <v>1058.8900000000001</v>
      </c>
      <c r="N422" s="3">
        <f t="shared" si="6"/>
        <v>45931</v>
      </c>
    </row>
    <row r="423" spans="1:14" x14ac:dyDescent="0.35">
      <c r="A423" t="s">
        <v>728</v>
      </c>
      <c r="B423" t="s">
        <v>729</v>
      </c>
      <c r="C423" t="s">
        <v>32</v>
      </c>
      <c r="D423" t="s">
        <v>69</v>
      </c>
      <c r="E423" t="s">
        <v>43</v>
      </c>
      <c r="F423" t="s">
        <v>18</v>
      </c>
      <c r="G423" t="s">
        <v>56</v>
      </c>
      <c r="H423">
        <v>15</v>
      </c>
      <c r="I423">
        <v>258.27999999999997</v>
      </c>
      <c r="J423">
        <v>3874.2</v>
      </c>
      <c r="K423" t="s">
        <v>82</v>
      </c>
      <c r="L423" t="s">
        <v>77</v>
      </c>
      <c r="M423">
        <v>743.76</v>
      </c>
      <c r="N423" s="3">
        <f t="shared" si="6"/>
        <v>45901</v>
      </c>
    </row>
    <row r="424" spans="1:14" x14ac:dyDescent="0.35">
      <c r="A424" t="s">
        <v>730</v>
      </c>
      <c r="B424" t="s">
        <v>252</v>
      </c>
      <c r="C424" t="s">
        <v>15</v>
      </c>
      <c r="D424" t="s">
        <v>74</v>
      </c>
      <c r="E424" t="s">
        <v>17</v>
      </c>
      <c r="F424" t="s">
        <v>27</v>
      </c>
      <c r="G424" t="s">
        <v>19</v>
      </c>
      <c r="H424">
        <v>16</v>
      </c>
      <c r="I424">
        <v>30.74</v>
      </c>
      <c r="J424">
        <v>491.84</v>
      </c>
      <c r="K424" t="s">
        <v>63</v>
      </c>
      <c r="L424" t="s">
        <v>50</v>
      </c>
      <c r="M424">
        <v>104.72</v>
      </c>
      <c r="N424" s="3">
        <f t="shared" si="6"/>
        <v>45717</v>
      </c>
    </row>
    <row r="425" spans="1:14" x14ac:dyDescent="0.35">
      <c r="A425" t="s">
        <v>731</v>
      </c>
      <c r="B425" t="s">
        <v>732</v>
      </c>
      <c r="C425" t="s">
        <v>24</v>
      </c>
      <c r="D425" t="s">
        <v>53</v>
      </c>
      <c r="E425" t="s">
        <v>17</v>
      </c>
      <c r="F425" t="s">
        <v>18</v>
      </c>
      <c r="G425" t="s">
        <v>38</v>
      </c>
      <c r="H425">
        <v>8</v>
      </c>
      <c r="I425">
        <v>18.45</v>
      </c>
      <c r="J425">
        <v>147.6</v>
      </c>
      <c r="K425" t="s">
        <v>66</v>
      </c>
      <c r="L425" t="s">
        <v>21</v>
      </c>
      <c r="M425">
        <v>49.09</v>
      </c>
      <c r="N425" s="3">
        <f t="shared" si="6"/>
        <v>45748</v>
      </c>
    </row>
    <row r="426" spans="1:14" x14ac:dyDescent="0.35">
      <c r="A426" t="s">
        <v>733</v>
      </c>
      <c r="B426" t="s">
        <v>320</v>
      </c>
      <c r="C426" t="s">
        <v>47</v>
      </c>
      <c r="D426" t="s">
        <v>69</v>
      </c>
      <c r="E426" t="s">
        <v>43</v>
      </c>
      <c r="F426" t="s">
        <v>18</v>
      </c>
      <c r="G426" t="s">
        <v>96</v>
      </c>
      <c r="H426">
        <v>18</v>
      </c>
      <c r="I426">
        <v>349.81</v>
      </c>
      <c r="J426">
        <v>6296.58</v>
      </c>
      <c r="K426" t="s">
        <v>82</v>
      </c>
      <c r="L426" t="s">
        <v>21</v>
      </c>
      <c r="M426">
        <v>1770.3</v>
      </c>
      <c r="N426" s="3">
        <f t="shared" si="6"/>
        <v>45809</v>
      </c>
    </row>
    <row r="427" spans="1:14" x14ac:dyDescent="0.35">
      <c r="A427" t="s">
        <v>734</v>
      </c>
      <c r="B427" t="s">
        <v>225</v>
      </c>
      <c r="C427" t="s">
        <v>15</v>
      </c>
      <c r="D427" t="s">
        <v>116</v>
      </c>
      <c r="E427" t="s">
        <v>17</v>
      </c>
      <c r="F427" t="s">
        <v>44</v>
      </c>
      <c r="G427" t="s">
        <v>85</v>
      </c>
      <c r="H427">
        <v>18</v>
      </c>
      <c r="I427">
        <v>445.93</v>
      </c>
      <c r="J427">
        <v>8026.74</v>
      </c>
      <c r="K427" t="s">
        <v>20</v>
      </c>
      <c r="L427" t="s">
        <v>50</v>
      </c>
      <c r="M427">
        <v>2290.73</v>
      </c>
      <c r="N427" s="3">
        <f t="shared" si="6"/>
        <v>45870</v>
      </c>
    </row>
    <row r="428" spans="1:14" x14ac:dyDescent="0.35">
      <c r="A428" t="s">
        <v>735</v>
      </c>
      <c r="B428" t="s">
        <v>736</v>
      </c>
      <c r="C428" t="s">
        <v>15</v>
      </c>
      <c r="D428" t="s">
        <v>33</v>
      </c>
      <c r="E428" t="s">
        <v>43</v>
      </c>
      <c r="F428" t="s">
        <v>37</v>
      </c>
      <c r="G428" t="s">
        <v>96</v>
      </c>
      <c r="H428">
        <v>10</v>
      </c>
      <c r="I428">
        <v>460.82</v>
      </c>
      <c r="J428">
        <v>4608.2</v>
      </c>
      <c r="K428" t="s">
        <v>49</v>
      </c>
      <c r="L428" t="s">
        <v>50</v>
      </c>
      <c r="M428">
        <v>1123.22</v>
      </c>
      <c r="N428" s="3">
        <f t="shared" si="6"/>
        <v>45778</v>
      </c>
    </row>
    <row r="429" spans="1:14" x14ac:dyDescent="0.35">
      <c r="A429" t="s">
        <v>737</v>
      </c>
      <c r="B429" t="s">
        <v>738</v>
      </c>
      <c r="C429" t="s">
        <v>24</v>
      </c>
      <c r="D429" t="s">
        <v>33</v>
      </c>
      <c r="E429" t="s">
        <v>43</v>
      </c>
      <c r="F429" t="s">
        <v>27</v>
      </c>
      <c r="G429" t="s">
        <v>96</v>
      </c>
      <c r="H429">
        <v>5</v>
      </c>
      <c r="I429">
        <v>138.97</v>
      </c>
      <c r="J429">
        <v>694.85</v>
      </c>
      <c r="K429" t="s">
        <v>29</v>
      </c>
      <c r="L429" t="s">
        <v>34</v>
      </c>
      <c r="M429">
        <v>77.180000000000007</v>
      </c>
      <c r="N429" s="3">
        <f t="shared" si="6"/>
        <v>45717</v>
      </c>
    </row>
    <row r="430" spans="1:14" x14ac:dyDescent="0.35">
      <c r="A430" t="s">
        <v>739</v>
      </c>
      <c r="B430" t="s">
        <v>740</v>
      </c>
      <c r="C430" t="s">
        <v>32</v>
      </c>
      <c r="D430" t="s">
        <v>16</v>
      </c>
      <c r="E430" t="s">
        <v>26</v>
      </c>
      <c r="F430" t="s">
        <v>37</v>
      </c>
      <c r="G430" t="s">
        <v>28</v>
      </c>
      <c r="H430">
        <v>15</v>
      </c>
      <c r="I430">
        <v>87.97</v>
      </c>
      <c r="J430">
        <v>1319.55</v>
      </c>
      <c r="K430" t="s">
        <v>49</v>
      </c>
      <c r="L430" t="s">
        <v>77</v>
      </c>
      <c r="M430">
        <v>256.02999999999997</v>
      </c>
      <c r="N430" s="3">
        <f t="shared" si="6"/>
        <v>45689</v>
      </c>
    </row>
    <row r="431" spans="1:14" x14ac:dyDescent="0.35">
      <c r="A431" t="s">
        <v>741</v>
      </c>
      <c r="B431" t="s">
        <v>742</v>
      </c>
      <c r="C431" t="s">
        <v>32</v>
      </c>
      <c r="D431" t="s">
        <v>53</v>
      </c>
      <c r="E431" t="s">
        <v>48</v>
      </c>
      <c r="F431" t="s">
        <v>44</v>
      </c>
      <c r="G431" t="s">
        <v>85</v>
      </c>
      <c r="H431">
        <v>12</v>
      </c>
      <c r="I431">
        <v>790.95</v>
      </c>
      <c r="J431">
        <v>9491.4</v>
      </c>
      <c r="K431" t="s">
        <v>82</v>
      </c>
      <c r="L431" t="s">
        <v>21</v>
      </c>
      <c r="M431">
        <v>3054.33</v>
      </c>
      <c r="N431" s="3">
        <f t="shared" si="6"/>
        <v>45689</v>
      </c>
    </row>
    <row r="432" spans="1:14" x14ac:dyDescent="0.35">
      <c r="A432" t="s">
        <v>743</v>
      </c>
      <c r="B432" t="s">
        <v>744</v>
      </c>
      <c r="C432" t="s">
        <v>47</v>
      </c>
      <c r="D432" t="s">
        <v>53</v>
      </c>
      <c r="E432" t="s">
        <v>17</v>
      </c>
      <c r="F432" t="s">
        <v>27</v>
      </c>
      <c r="G432" t="s">
        <v>19</v>
      </c>
      <c r="H432">
        <v>5</v>
      </c>
      <c r="I432">
        <v>41.22</v>
      </c>
      <c r="J432">
        <v>206.1</v>
      </c>
      <c r="K432" t="s">
        <v>20</v>
      </c>
      <c r="L432" t="s">
        <v>34</v>
      </c>
      <c r="M432">
        <v>63.52</v>
      </c>
      <c r="N432" s="3">
        <f t="shared" si="6"/>
        <v>45870</v>
      </c>
    </row>
    <row r="433" spans="1:14" x14ac:dyDescent="0.35">
      <c r="A433" t="s">
        <v>745</v>
      </c>
      <c r="B433" t="s">
        <v>244</v>
      </c>
      <c r="C433" t="s">
        <v>15</v>
      </c>
      <c r="D433" t="s">
        <v>42</v>
      </c>
      <c r="E433" t="s">
        <v>43</v>
      </c>
      <c r="F433" t="s">
        <v>37</v>
      </c>
      <c r="G433" t="s">
        <v>28</v>
      </c>
      <c r="H433">
        <v>6</v>
      </c>
      <c r="I433">
        <v>92.67</v>
      </c>
      <c r="J433">
        <v>556.02</v>
      </c>
      <c r="K433" t="s">
        <v>66</v>
      </c>
      <c r="L433" t="s">
        <v>77</v>
      </c>
      <c r="M433">
        <v>59.43</v>
      </c>
      <c r="N433" s="3">
        <f t="shared" si="6"/>
        <v>45839</v>
      </c>
    </row>
    <row r="434" spans="1:14" x14ac:dyDescent="0.35">
      <c r="A434" t="s">
        <v>746</v>
      </c>
      <c r="B434" t="s">
        <v>747</v>
      </c>
      <c r="C434" t="s">
        <v>32</v>
      </c>
      <c r="D434" t="s">
        <v>69</v>
      </c>
      <c r="E434" t="s">
        <v>17</v>
      </c>
      <c r="F434" t="s">
        <v>44</v>
      </c>
      <c r="G434" t="s">
        <v>105</v>
      </c>
      <c r="H434">
        <v>5</v>
      </c>
      <c r="I434">
        <v>923.67</v>
      </c>
      <c r="J434">
        <v>4618.3500000000004</v>
      </c>
      <c r="K434" t="s">
        <v>49</v>
      </c>
      <c r="L434" t="s">
        <v>39</v>
      </c>
      <c r="M434">
        <v>1335.52</v>
      </c>
      <c r="N434" s="3">
        <f t="shared" si="6"/>
        <v>45839</v>
      </c>
    </row>
    <row r="435" spans="1:14" x14ac:dyDescent="0.35">
      <c r="A435" t="s">
        <v>748</v>
      </c>
      <c r="B435" t="s">
        <v>89</v>
      </c>
      <c r="C435" t="s">
        <v>15</v>
      </c>
      <c r="D435" t="s">
        <v>33</v>
      </c>
      <c r="E435" t="s">
        <v>26</v>
      </c>
      <c r="F435" t="s">
        <v>18</v>
      </c>
      <c r="G435" t="s">
        <v>96</v>
      </c>
      <c r="H435">
        <v>12</v>
      </c>
      <c r="I435">
        <v>186.18</v>
      </c>
      <c r="J435">
        <v>2234.16</v>
      </c>
      <c r="K435" t="s">
        <v>63</v>
      </c>
      <c r="L435" t="s">
        <v>77</v>
      </c>
      <c r="M435">
        <v>702.3</v>
      </c>
      <c r="N435" s="3">
        <f t="shared" si="6"/>
        <v>45689</v>
      </c>
    </row>
    <row r="436" spans="1:14" x14ac:dyDescent="0.35">
      <c r="A436" t="s">
        <v>749</v>
      </c>
      <c r="B436" t="s">
        <v>142</v>
      </c>
      <c r="C436" t="s">
        <v>15</v>
      </c>
      <c r="D436" t="s">
        <v>53</v>
      </c>
      <c r="E436" t="s">
        <v>43</v>
      </c>
      <c r="F436" t="s">
        <v>44</v>
      </c>
      <c r="G436" t="s">
        <v>28</v>
      </c>
      <c r="H436">
        <v>6</v>
      </c>
      <c r="I436">
        <v>698.71</v>
      </c>
      <c r="J436">
        <v>4192.26</v>
      </c>
      <c r="K436" t="s">
        <v>82</v>
      </c>
      <c r="L436" t="s">
        <v>50</v>
      </c>
      <c r="M436">
        <v>706.03</v>
      </c>
      <c r="N436" s="3">
        <f t="shared" si="6"/>
        <v>45658</v>
      </c>
    </row>
    <row r="437" spans="1:14" x14ac:dyDescent="0.35">
      <c r="A437" t="s">
        <v>750</v>
      </c>
      <c r="B437" t="s">
        <v>252</v>
      </c>
      <c r="C437" t="s">
        <v>32</v>
      </c>
      <c r="D437" t="s">
        <v>69</v>
      </c>
      <c r="E437" t="s">
        <v>26</v>
      </c>
      <c r="F437" t="s">
        <v>44</v>
      </c>
      <c r="G437" t="s">
        <v>96</v>
      </c>
      <c r="H437">
        <v>20</v>
      </c>
      <c r="I437">
        <v>845.59</v>
      </c>
      <c r="J437">
        <v>16911.8</v>
      </c>
      <c r="K437" t="s">
        <v>63</v>
      </c>
      <c r="L437" t="s">
        <v>21</v>
      </c>
      <c r="M437">
        <v>1841.25</v>
      </c>
      <c r="N437" s="3">
        <f t="shared" si="6"/>
        <v>45717</v>
      </c>
    </row>
    <row r="438" spans="1:14" x14ac:dyDescent="0.35">
      <c r="A438" t="s">
        <v>751</v>
      </c>
      <c r="B438" t="s">
        <v>382</v>
      </c>
      <c r="C438" t="s">
        <v>15</v>
      </c>
      <c r="D438" t="s">
        <v>116</v>
      </c>
      <c r="E438" t="s">
        <v>26</v>
      </c>
      <c r="F438" t="s">
        <v>44</v>
      </c>
      <c r="G438" t="s">
        <v>38</v>
      </c>
      <c r="H438">
        <v>18</v>
      </c>
      <c r="I438">
        <v>354.17</v>
      </c>
      <c r="J438">
        <v>6375.06</v>
      </c>
      <c r="K438" t="s">
        <v>29</v>
      </c>
      <c r="L438" t="s">
        <v>77</v>
      </c>
      <c r="M438">
        <v>716.81</v>
      </c>
      <c r="N438" s="3">
        <f t="shared" si="6"/>
        <v>45689</v>
      </c>
    </row>
    <row r="439" spans="1:14" x14ac:dyDescent="0.35">
      <c r="A439" t="s">
        <v>752</v>
      </c>
      <c r="B439" t="s">
        <v>172</v>
      </c>
      <c r="C439" t="s">
        <v>24</v>
      </c>
      <c r="D439" t="s">
        <v>42</v>
      </c>
      <c r="E439" t="s">
        <v>48</v>
      </c>
      <c r="F439" t="s">
        <v>44</v>
      </c>
      <c r="G439" t="s">
        <v>105</v>
      </c>
      <c r="H439">
        <v>12</v>
      </c>
      <c r="I439">
        <v>275.61</v>
      </c>
      <c r="J439">
        <v>3307.32</v>
      </c>
      <c r="K439" t="s">
        <v>29</v>
      </c>
      <c r="L439" t="s">
        <v>21</v>
      </c>
      <c r="M439">
        <v>588.41</v>
      </c>
      <c r="N439" s="3">
        <f t="shared" si="6"/>
        <v>45748</v>
      </c>
    </row>
    <row r="440" spans="1:14" x14ac:dyDescent="0.35">
      <c r="A440" t="s">
        <v>753</v>
      </c>
      <c r="B440" t="s">
        <v>93</v>
      </c>
      <c r="C440" t="s">
        <v>32</v>
      </c>
      <c r="D440" t="s">
        <v>69</v>
      </c>
      <c r="E440" t="s">
        <v>17</v>
      </c>
      <c r="F440" t="s">
        <v>37</v>
      </c>
      <c r="G440" t="s">
        <v>105</v>
      </c>
      <c r="H440">
        <v>7</v>
      </c>
      <c r="I440">
        <v>620.91</v>
      </c>
      <c r="J440">
        <v>4346.37</v>
      </c>
      <c r="K440" t="s">
        <v>20</v>
      </c>
      <c r="L440" t="s">
        <v>50</v>
      </c>
      <c r="M440">
        <v>915.08</v>
      </c>
      <c r="N440" s="3">
        <f t="shared" si="6"/>
        <v>45992</v>
      </c>
    </row>
    <row r="441" spans="1:14" x14ac:dyDescent="0.35">
      <c r="A441" t="s">
        <v>754</v>
      </c>
      <c r="B441" t="s">
        <v>638</v>
      </c>
      <c r="C441" t="s">
        <v>47</v>
      </c>
      <c r="D441" t="s">
        <v>53</v>
      </c>
      <c r="E441" t="s">
        <v>26</v>
      </c>
      <c r="F441" t="s">
        <v>44</v>
      </c>
      <c r="G441" t="s">
        <v>96</v>
      </c>
      <c r="H441">
        <v>19</v>
      </c>
      <c r="I441">
        <v>381.78</v>
      </c>
      <c r="J441">
        <v>7253.82</v>
      </c>
      <c r="K441" t="s">
        <v>66</v>
      </c>
      <c r="L441" t="s">
        <v>77</v>
      </c>
      <c r="M441">
        <v>1238.71</v>
      </c>
      <c r="N441" s="3">
        <f t="shared" si="6"/>
        <v>45992</v>
      </c>
    </row>
    <row r="442" spans="1:14" x14ac:dyDescent="0.35">
      <c r="A442" t="s">
        <v>755</v>
      </c>
      <c r="B442" t="s">
        <v>476</v>
      </c>
      <c r="C442" t="s">
        <v>24</v>
      </c>
      <c r="D442" t="s">
        <v>25</v>
      </c>
      <c r="E442" t="s">
        <v>43</v>
      </c>
      <c r="F442" t="s">
        <v>44</v>
      </c>
      <c r="G442" t="s">
        <v>19</v>
      </c>
      <c r="H442">
        <v>10</v>
      </c>
      <c r="I442">
        <v>200.82</v>
      </c>
      <c r="J442">
        <v>2008.2</v>
      </c>
      <c r="K442" t="s">
        <v>63</v>
      </c>
      <c r="L442" t="s">
        <v>50</v>
      </c>
      <c r="M442">
        <v>552.37</v>
      </c>
      <c r="N442" s="3">
        <f t="shared" si="6"/>
        <v>45658</v>
      </c>
    </row>
    <row r="443" spans="1:14" x14ac:dyDescent="0.35">
      <c r="A443" t="s">
        <v>756</v>
      </c>
      <c r="B443" t="s">
        <v>757</v>
      </c>
      <c r="C443" t="s">
        <v>15</v>
      </c>
      <c r="D443" t="s">
        <v>42</v>
      </c>
      <c r="E443" t="s">
        <v>43</v>
      </c>
      <c r="F443" t="s">
        <v>44</v>
      </c>
      <c r="G443" t="s">
        <v>45</v>
      </c>
      <c r="H443">
        <v>5</v>
      </c>
      <c r="I443">
        <v>569.83000000000004</v>
      </c>
      <c r="J443">
        <v>2849.15</v>
      </c>
      <c r="K443" t="s">
        <v>49</v>
      </c>
      <c r="L443" t="s">
        <v>77</v>
      </c>
      <c r="M443">
        <v>672.34</v>
      </c>
      <c r="N443" s="3">
        <f t="shared" si="6"/>
        <v>45778</v>
      </c>
    </row>
    <row r="444" spans="1:14" x14ac:dyDescent="0.35">
      <c r="A444" t="s">
        <v>758</v>
      </c>
      <c r="B444" t="s">
        <v>261</v>
      </c>
      <c r="C444" t="s">
        <v>24</v>
      </c>
      <c r="D444" t="s">
        <v>25</v>
      </c>
      <c r="E444" t="s">
        <v>26</v>
      </c>
      <c r="F444" t="s">
        <v>44</v>
      </c>
      <c r="G444" t="s">
        <v>19</v>
      </c>
      <c r="H444">
        <v>16</v>
      </c>
      <c r="I444">
        <v>725.77</v>
      </c>
      <c r="J444">
        <v>11612.32</v>
      </c>
      <c r="K444" t="s">
        <v>63</v>
      </c>
      <c r="L444" t="s">
        <v>77</v>
      </c>
      <c r="M444">
        <v>1296.3699999999999</v>
      </c>
      <c r="N444" s="3">
        <f t="shared" si="6"/>
        <v>45992</v>
      </c>
    </row>
    <row r="445" spans="1:14" x14ac:dyDescent="0.35">
      <c r="A445" t="s">
        <v>759</v>
      </c>
      <c r="B445" t="s">
        <v>65</v>
      </c>
      <c r="C445" t="s">
        <v>24</v>
      </c>
      <c r="D445" t="s">
        <v>33</v>
      </c>
      <c r="E445" t="s">
        <v>17</v>
      </c>
      <c r="F445" t="s">
        <v>27</v>
      </c>
      <c r="G445" t="s">
        <v>19</v>
      </c>
      <c r="H445">
        <v>13</v>
      </c>
      <c r="I445">
        <v>775.4</v>
      </c>
      <c r="J445">
        <v>10080.200000000001</v>
      </c>
      <c r="K445" t="s">
        <v>66</v>
      </c>
      <c r="L445" t="s">
        <v>39</v>
      </c>
      <c r="M445">
        <v>2165.31</v>
      </c>
      <c r="N445" s="3">
        <f t="shared" si="6"/>
        <v>45689</v>
      </c>
    </row>
    <row r="446" spans="1:14" x14ac:dyDescent="0.35">
      <c r="A446" t="s">
        <v>760</v>
      </c>
      <c r="B446" t="s">
        <v>761</v>
      </c>
      <c r="C446" t="s">
        <v>32</v>
      </c>
      <c r="D446" t="s">
        <v>42</v>
      </c>
      <c r="E446" t="s">
        <v>48</v>
      </c>
      <c r="F446" t="s">
        <v>44</v>
      </c>
      <c r="G446" t="s">
        <v>28</v>
      </c>
      <c r="H446">
        <v>9</v>
      </c>
      <c r="I446">
        <v>828.76</v>
      </c>
      <c r="J446">
        <v>7458.84</v>
      </c>
      <c r="K446" t="s">
        <v>20</v>
      </c>
      <c r="L446" t="s">
        <v>77</v>
      </c>
      <c r="M446">
        <v>2198.98</v>
      </c>
      <c r="N446" s="3">
        <f t="shared" si="6"/>
        <v>45901</v>
      </c>
    </row>
    <row r="447" spans="1:14" x14ac:dyDescent="0.35">
      <c r="A447" t="s">
        <v>762</v>
      </c>
      <c r="B447" t="s">
        <v>111</v>
      </c>
      <c r="C447" t="s">
        <v>47</v>
      </c>
      <c r="D447" t="s">
        <v>53</v>
      </c>
      <c r="E447" t="s">
        <v>48</v>
      </c>
      <c r="F447" t="s">
        <v>37</v>
      </c>
      <c r="G447" t="s">
        <v>96</v>
      </c>
      <c r="H447">
        <v>4</v>
      </c>
      <c r="I447">
        <v>799.93</v>
      </c>
      <c r="J447">
        <v>3199.72</v>
      </c>
      <c r="K447" t="s">
        <v>29</v>
      </c>
      <c r="L447" t="s">
        <v>21</v>
      </c>
      <c r="M447">
        <v>333.15</v>
      </c>
      <c r="N447" s="3">
        <f t="shared" si="6"/>
        <v>45901</v>
      </c>
    </row>
    <row r="448" spans="1:14" x14ac:dyDescent="0.35">
      <c r="A448" t="s">
        <v>763</v>
      </c>
      <c r="B448" t="s">
        <v>261</v>
      </c>
      <c r="C448" t="s">
        <v>32</v>
      </c>
      <c r="D448" t="s">
        <v>69</v>
      </c>
      <c r="E448" t="s">
        <v>26</v>
      </c>
      <c r="F448" t="s">
        <v>44</v>
      </c>
      <c r="G448" t="s">
        <v>85</v>
      </c>
      <c r="H448">
        <v>17</v>
      </c>
      <c r="I448">
        <v>209.62</v>
      </c>
      <c r="J448">
        <v>3563.54</v>
      </c>
      <c r="K448" t="s">
        <v>66</v>
      </c>
      <c r="L448" t="s">
        <v>34</v>
      </c>
      <c r="M448">
        <v>360.37</v>
      </c>
      <c r="N448" s="3">
        <f t="shared" si="6"/>
        <v>45992</v>
      </c>
    </row>
    <row r="449" spans="1:14" x14ac:dyDescent="0.35">
      <c r="A449" t="s">
        <v>764</v>
      </c>
      <c r="B449" t="s">
        <v>548</v>
      </c>
      <c r="C449" t="s">
        <v>15</v>
      </c>
      <c r="D449" t="s">
        <v>74</v>
      </c>
      <c r="E449" t="s">
        <v>26</v>
      </c>
      <c r="F449" t="s">
        <v>44</v>
      </c>
      <c r="G449" t="s">
        <v>96</v>
      </c>
      <c r="H449">
        <v>11</v>
      </c>
      <c r="I449">
        <v>722.04</v>
      </c>
      <c r="J449">
        <v>7942.44</v>
      </c>
      <c r="K449" t="s">
        <v>20</v>
      </c>
      <c r="L449" t="s">
        <v>34</v>
      </c>
      <c r="M449">
        <v>2338.0700000000002</v>
      </c>
      <c r="N449" s="3">
        <f t="shared" si="6"/>
        <v>45931</v>
      </c>
    </row>
    <row r="450" spans="1:14" x14ac:dyDescent="0.35">
      <c r="A450" t="s">
        <v>765</v>
      </c>
      <c r="B450" t="s">
        <v>447</v>
      </c>
      <c r="C450" t="s">
        <v>47</v>
      </c>
      <c r="D450" t="s">
        <v>33</v>
      </c>
      <c r="E450" t="s">
        <v>17</v>
      </c>
      <c r="F450" t="s">
        <v>18</v>
      </c>
      <c r="G450" t="s">
        <v>105</v>
      </c>
      <c r="H450">
        <v>4</v>
      </c>
      <c r="I450">
        <v>632.48</v>
      </c>
      <c r="J450">
        <v>2529.92</v>
      </c>
      <c r="K450" t="s">
        <v>20</v>
      </c>
      <c r="L450" t="s">
        <v>77</v>
      </c>
      <c r="M450">
        <v>350.39</v>
      </c>
      <c r="N450" s="3">
        <f t="shared" si="6"/>
        <v>45992</v>
      </c>
    </row>
    <row r="451" spans="1:14" x14ac:dyDescent="0.35">
      <c r="A451" t="s">
        <v>766</v>
      </c>
      <c r="B451" t="s">
        <v>767</v>
      </c>
      <c r="C451" t="s">
        <v>15</v>
      </c>
      <c r="D451" t="s">
        <v>53</v>
      </c>
      <c r="E451" t="s">
        <v>26</v>
      </c>
      <c r="F451" t="s">
        <v>37</v>
      </c>
      <c r="G451" t="s">
        <v>38</v>
      </c>
      <c r="H451">
        <v>3</v>
      </c>
      <c r="I451">
        <v>815.13</v>
      </c>
      <c r="J451">
        <v>2445.39</v>
      </c>
      <c r="K451" t="s">
        <v>49</v>
      </c>
      <c r="L451" t="s">
        <v>34</v>
      </c>
      <c r="M451">
        <v>602.77</v>
      </c>
      <c r="N451" s="3">
        <f t="shared" ref="N451:N514" si="7">DATE(YEAR(B451),MONTH(B451),1)</f>
        <v>45901</v>
      </c>
    </row>
    <row r="452" spans="1:14" x14ac:dyDescent="0.35">
      <c r="A452" t="s">
        <v>768</v>
      </c>
      <c r="B452" t="s">
        <v>769</v>
      </c>
      <c r="C452" t="s">
        <v>24</v>
      </c>
      <c r="D452" t="s">
        <v>74</v>
      </c>
      <c r="E452" t="s">
        <v>17</v>
      </c>
      <c r="F452" t="s">
        <v>44</v>
      </c>
      <c r="G452" t="s">
        <v>105</v>
      </c>
      <c r="H452">
        <v>9</v>
      </c>
      <c r="I452">
        <v>672.7</v>
      </c>
      <c r="J452">
        <v>6054.3</v>
      </c>
      <c r="K452" t="s">
        <v>66</v>
      </c>
      <c r="L452" t="s">
        <v>50</v>
      </c>
      <c r="M452">
        <v>1264.23</v>
      </c>
      <c r="N452" s="3">
        <f t="shared" si="7"/>
        <v>45658</v>
      </c>
    </row>
    <row r="453" spans="1:14" x14ac:dyDescent="0.35">
      <c r="A453" t="s">
        <v>770</v>
      </c>
      <c r="B453" t="s">
        <v>771</v>
      </c>
      <c r="C453" t="s">
        <v>24</v>
      </c>
      <c r="D453" t="s">
        <v>74</v>
      </c>
      <c r="E453" t="s">
        <v>43</v>
      </c>
      <c r="F453" t="s">
        <v>27</v>
      </c>
      <c r="G453" t="s">
        <v>38</v>
      </c>
      <c r="H453">
        <v>15</v>
      </c>
      <c r="I453">
        <v>587.71</v>
      </c>
      <c r="J453">
        <v>8815.65</v>
      </c>
      <c r="K453" t="s">
        <v>63</v>
      </c>
      <c r="L453" t="s">
        <v>77</v>
      </c>
      <c r="M453">
        <v>1539.61</v>
      </c>
      <c r="N453" s="3">
        <f t="shared" si="7"/>
        <v>45689</v>
      </c>
    </row>
    <row r="454" spans="1:14" x14ac:dyDescent="0.35">
      <c r="A454" t="s">
        <v>772</v>
      </c>
      <c r="B454" t="s">
        <v>93</v>
      </c>
      <c r="C454" t="s">
        <v>15</v>
      </c>
      <c r="D454" t="s">
        <v>74</v>
      </c>
      <c r="E454" t="s">
        <v>48</v>
      </c>
      <c r="F454" t="s">
        <v>27</v>
      </c>
      <c r="G454" t="s">
        <v>56</v>
      </c>
      <c r="H454">
        <v>11</v>
      </c>
      <c r="I454">
        <v>741.86</v>
      </c>
      <c r="J454">
        <v>8160.46</v>
      </c>
      <c r="K454" t="s">
        <v>29</v>
      </c>
      <c r="L454" t="s">
        <v>34</v>
      </c>
      <c r="M454">
        <v>2460.4699999999998</v>
      </c>
      <c r="N454" s="3">
        <f t="shared" si="7"/>
        <v>45992</v>
      </c>
    </row>
    <row r="455" spans="1:14" x14ac:dyDescent="0.35">
      <c r="A455" t="s">
        <v>773</v>
      </c>
      <c r="B455" t="s">
        <v>430</v>
      </c>
      <c r="C455" t="s">
        <v>24</v>
      </c>
      <c r="D455" t="s">
        <v>42</v>
      </c>
      <c r="E455" t="s">
        <v>17</v>
      </c>
      <c r="F455" t="s">
        <v>27</v>
      </c>
      <c r="G455" t="s">
        <v>105</v>
      </c>
      <c r="H455">
        <v>2</v>
      </c>
      <c r="I455">
        <v>344.3</v>
      </c>
      <c r="J455">
        <v>688.6</v>
      </c>
      <c r="K455" t="s">
        <v>29</v>
      </c>
      <c r="L455" t="s">
        <v>34</v>
      </c>
      <c r="M455">
        <v>90</v>
      </c>
      <c r="N455" s="3">
        <f t="shared" si="7"/>
        <v>45992</v>
      </c>
    </row>
    <row r="456" spans="1:14" x14ac:dyDescent="0.35">
      <c r="A456" t="s">
        <v>774</v>
      </c>
      <c r="B456" t="s">
        <v>471</v>
      </c>
      <c r="C456" t="s">
        <v>24</v>
      </c>
      <c r="D456" t="s">
        <v>69</v>
      </c>
      <c r="E456" t="s">
        <v>43</v>
      </c>
      <c r="F456" t="s">
        <v>18</v>
      </c>
      <c r="G456" t="s">
        <v>96</v>
      </c>
      <c r="H456">
        <v>8</v>
      </c>
      <c r="I456">
        <v>747.2</v>
      </c>
      <c r="J456">
        <v>5977.6</v>
      </c>
      <c r="K456" t="s">
        <v>49</v>
      </c>
      <c r="L456" t="s">
        <v>34</v>
      </c>
      <c r="M456">
        <v>1069.06</v>
      </c>
      <c r="N456" s="3">
        <f t="shared" si="7"/>
        <v>45962</v>
      </c>
    </row>
    <row r="457" spans="1:14" x14ac:dyDescent="0.35">
      <c r="A457" t="s">
        <v>775</v>
      </c>
      <c r="B457" t="s">
        <v>337</v>
      </c>
      <c r="C457" t="s">
        <v>15</v>
      </c>
      <c r="D457" t="s">
        <v>25</v>
      </c>
      <c r="E457" t="s">
        <v>26</v>
      </c>
      <c r="F457" t="s">
        <v>18</v>
      </c>
      <c r="G457" t="s">
        <v>19</v>
      </c>
      <c r="H457">
        <v>9</v>
      </c>
      <c r="I457">
        <v>798.13</v>
      </c>
      <c r="J457">
        <v>7183.17</v>
      </c>
      <c r="K457" t="s">
        <v>63</v>
      </c>
      <c r="L457" t="s">
        <v>39</v>
      </c>
      <c r="M457">
        <v>1637.93</v>
      </c>
      <c r="N457" s="3">
        <f t="shared" si="7"/>
        <v>45689</v>
      </c>
    </row>
    <row r="458" spans="1:14" x14ac:dyDescent="0.35">
      <c r="A458" t="s">
        <v>776</v>
      </c>
      <c r="B458" t="s">
        <v>193</v>
      </c>
      <c r="C458" t="s">
        <v>32</v>
      </c>
      <c r="D458" t="s">
        <v>33</v>
      </c>
      <c r="E458" t="s">
        <v>43</v>
      </c>
      <c r="F458" t="s">
        <v>27</v>
      </c>
      <c r="G458" t="s">
        <v>56</v>
      </c>
      <c r="H458">
        <v>4</v>
      </c>
      <c r="I458">
        <v>746.77</v>
      </c>
      <c r="J458">
        <v>2987.08</v>
      </c>
      <c r="K458" t="s">
        <v>20</v>
      </c>
      <c r="L458" t="s">
        <v>21</v>
      </c>
      <c r="M458">
        <v>642.87</v>
      </c>
      <c r="N458" s="3">
        <f t="shared" si="7"/>
        <v>45748</v>
      </c>
    </row>
    <row r="459" spans="1:14" x14ac:dyDescent="0.35">
      <c r="A459" t="s">
        <v>777</v>
      </c>
      <c r="B459" t="s">
        <v>133</v>
      </c>
      <c r="C459" t="s">
        <v>47</v>
      </c>
      <c r="D459" t="s">
        <v>42</v>
      </c>
      <c r="E459" t="s">
        <v>43</v>
      </c>
      <c r="F459" t="s">
        <v>37</v>
      </c>
      <c r="G459" t="s">
        <v>38</v>
      </c>
      <c r="H459">
        <v>13</v>
      </c>
      <c r="I459">
        <v>76.239999999999995</v>
      </c>
      <c r="J459">
        <v>991.12</v>
      </c>
      <c r="K459" t="s">
        <v>20</v>
      </c>
      <c r="L459" t="s">
        <v>77</v>
      </c>
      <c r="M459">
        <v>275.52</v>
      </c>
      <c r="N459" s="3">
        <f t="shared" si="7"/>
        <v>45931</v>
      </c>
    </row>
    <row r="460" spans="1:14" x14ac:dyDescent="0.35">
      <c r="A460" t="s">
        <v>778</v>
      </c>
      <c r="B460" t="s">
        <v>41</v>
      </c>
      <c r="C460" t="s">
        <v>32</v>
      </c>
      <c r="D460" t="s">
        <v>116</v>
      </c>
      <c r="E460" t="s">
        <v>17</v>
      </c>
      <c r="F460" t="s">
        <v>37</v>
      </c>
      <c r="G460" t="s">
        <v>38</v>
      </c>
      <c r="H460">
        <v>7</v>
      </c>
      <c r="I460">
        <v>763.78</v>
      </c>
      <c r="J460">
        <v>5346.46</v>
      </c>
      <c r="K460" t="s">
        <v>82</v>
      </c>
      <c r="L460" t="s">
        <v>21</v>
      </c>
      <c r="M460">
        <v>1545.6</v>
      </c>
      <c r="N460" s="3">
        <f t="shared" si="7"/>
        <v>45778</v>
      </c>
    </row>
    <row r="461" spans="1:14" x14ac:dyDescent="0.35">
      <c r="A461" t="s">
        <v>779</v>
      </c>
      <c r="B461" t="s">
        <v>747</v>
      </c>
      <c r="C461" t="s">
        <v>47</v>
      </c>
      <c r="D461" t="s">
        <v>116</v>
      </c>
      <c r="E461" t="s">
        <v>48</v>
      </c>
      <c r="F461" t="s">
        <v>37</v>
      </c>
      <c r="G461" t="s">
        <v>28</v>
      </c>
      <c r="H461">
        <v>18</v>
      </c>
      <c r="I461">
        <v>287.60000000000002</v>
      </c>
      <c r="J461">
        <v>5176.8</v>
      </c>
      <c r="K461" t="s">
        <v>49</v>
      </c>
      <c r="L461" t="s">
        <v>50</v>
      </c>
      <c r="M461">
        <v>549.71</v>
      </c>
      <c r="N461" s="3">
        <f t="shared" si="7"/>
        <v>45839</v>
      </c>
    </row>
    <row r="462" spans="1:14" x14ac:dyDescent="0.35">
      <c r="A462" t="s">
        <v>780</v>
      </c>
      <c r="B462" t="s">
        <v>781</v>
      </c>
      <c r="C462" t="s">
        <v>47</v>
      </c>
      <c r="D462" t="s">
        <v>69</v>
      </c>
      <c r="E462" t="s">
        <v>17</v>
      </c>
      <c r="F462" t="s">
        <v>44</v>
      </c>
      <c r="G462" t="s">
        <v>96</v>
      </c>
      <c r="H462">
        <v>10</v>
      </c>
      <c r="I462">
        <v>921.41</v>
      </c>
      <c r="J462">
        <v>9214.1</v>
      </c>
      <c r="K462" t="s">
        <v>82</v>
      </c>
      <c r="L462" t="s">
        <v>21</v>
      </c>
      <c r="M462">
        <v>1658.34</v>
      </c>
      <c r="N462" s="3">
        <f t="shared" si="7"/>
        <v>45992</v>
      </c>
    </row>
    <row r="463" spans="1:14" x14ac:dyDescent="0.35">
      <c r="A463" t="s">
        <v>782</v>
      </c>
      <c r="B463" t="s">
        <v>140</v>
      </c>
      <c r="C463" t="s">
        <v>47</v>
      </c>
      <c r="D463" t="s">
        <v>16</v>
      </c>
      <c r="E463" t="s">
        <v>48</v>
      </c>
      <c r="F463" t="s">
        <v>27</v>
      </c>
      <c r="G463" t="s">
        <v>85</v>
      </c>
      <c r="H463">
        <v>1</v>
      </c>
      <c r="I463">
        <v>401.68</v>
      </c>
      <c r="J463">
        <v>401.68</v>
      </c>
      <c r="K463" t="s">
        <v>82</v>
      </c>
      <c r="L463" t="s">
        <v>50</v>
      </c>
      <c r="M463">
        <v>139.22</v>
      </c>
      <c r="N463" s="3">
        <f t="shared" si="7"/>
        <v>45748</v>
      </c>
    </row>
    <row r="464" spans="1:14" x14ac:dyDescent="0.35">
      <c r="A464" t="s">
        <v>783</v>
      </c>
      <c r="B464" t="s">
        <v>209</v>
      </c>
      <c r="C464" t="s">
        <v>24</v>
      </c>
      <c r="D464" t="s">
        <v>25</v>
      </c>
      <c r="E464" t="s">
        <v>26</v>
      </c>
      <c r="F464" t="s">
        <v>44</v>
      </c>
      <c r="G464" t="s">
        <v>45</v>
      </c>
      <c r="H464">
        <v>11</v>
      </c>
      <c r="I464">
        <v>282.13</v>
      </c>
      <c r="J464">
        <v>3103.43</v>
      </c>
      <c r="K464" t="s">
        <v>20</v>
      </c>
      <c r="L464" t="s">
        <v>21</v>
      </c>
      <c r="M464">
        <v>708.34</v>
      </c>
      <c r="N464" s="3">
        <f t="shared" si="7"/>
        <v>45778</v>
      </c>
    </row>
    <row r="465" spans="1:14" x14ac:dyDescent="0.35">
      <c r="A465" t="s">
        <v>784</v>
      </c>
      <c r="B465" t="s">
        <v>478</v>
      </c>
      <c r="C465" t="s">
        <v>24</v>
      </c>
      <c r="D465" t="s">
        <v>53</v>
      </c>
      <c r="E465" t="s">
        <v>17</v>
      </c>
      <c r="F465" t="s">
        <v>27</v>
      </c>
      <c r="G465" t="s">
        <v>105</v>
      </c>
      <c r="H465">
        <v>19</v>
      </c>
      <c r="I465">
        <v>639.89</v>
      </c>
      <c r="J465">
        <v>12157.91</v>
      </c>
      <c r="K465" t="s">
        <v>29</v>
      </c>
      <c r="L465" t="s">
        <v>50</v>
      </c>
      <c r="M465">
        <v>2073.08</v>
      </c>
      <c r="N465" s="3">
        <f t="shared" si="7"/>
        <v>45748</v>
      </c>
    </row>
    <row r="466" spans="1:14" x14ac:dyDescent="0.35">
      <c r="A466" t="s">
        <v>785</v>
      </c>
      <c r="B466" t="s">
        <v>480</v>
      </c>
      <c r="C466" t="s">
        <v>47</v>
      </c>
      <c r="D466" t="s">
        <v>25</v>
      </c>
      <c r="E466" t="s">
        <v>48</v>
      </c>
      <c r="F466" t="s">
        <v>37</v>
      </c>
      <c r="G466" t="s">
        <v>96</v>
      </c>
      <c r="H466">
        <v>12</v>
      </c>
      <c r="I466">
        <v>225.92</v>
      </c>
      <c r="J466">
        <v>2711.04</v>
      </c>
      <c r="K466" t="s">
        <v>29</v>
      </c>
      <c r="L466" t="s">
        <v>77</v>
      </c>
      <c r="M466">
        <v>370.5</v>
      </c>
      <c r="N466" s="3">
        <f t="shared" si="7"/>
        <v>45809</v>
      </c>
    </row>
    <row r="467" spans="1:14" x14ac:dyDescent="0.35">
      <c r="A467" t="s">
        <v>786</v>
      </c>
      <c r="B467" t="s">
        <v>787</v>
      </c>
      <c r="C467" t="s">
        <v>32</v>
      </c>
      <c r="D467" t="s">
        <v>25</v>
      </c>
      <c r="E467" t="s">
        <v>17</v>
      </c>
      <c r="F467" t="s">
        <v>18</v>
      </c>
      <c r="G467" t="s">
        <v>45</v>
      </c>
      <c r="H467">
        <v>12</v>
      </c>
      <c r="I467">
        <v>147.69999999999999</v>
      </c>
      <c r="J467">
        <v>1772.4</v>
      </c>
      <c r="K467" t="s">
        <v>66</v>
      </c>
      <c r="L467" t="s">
        <v>34</v>
      </c>
      <c r="M467">
        <v>443.72</v>
      </c>
      <c r="N467" s="3">
        <f t="shared" si="7"/>
        <v>45901</v>
      </c>
    </row>
    <row r="468" spans="1:14" x14ac:dyDescent="0.35">
      <c r="A468" t="s">
        <v>788</v>
      </c>
      <c r="B468" t="s">
        <v>358</v>
      </c>
      <c r="C468" t="s">
        <v>32</v>
      </c>
      <c r="D468" t="s">
        <v>42</v>
      </c>
      <c r="E468" t="s">
        <v>26</v>
      </c>
      <c r="F468" t="s">
        <v>27</v>
      </c>
      <c r="G468" t="s">
        <v>85</v>
      </c>
      <c r="H468">
        <v>7</v>
      </c>
      <c r="I468">
        <v>245.61</v>
      </c>
      <c r="J468">
        <v>1719.27</v>
      </c>
      <c r="K468" t="s">
        <v>63</v>
      </c>
      <c r="L468" t="s">
        <v>39</v>
      </c>
      <c r="M468">
        <v>396.69</v>
      </c>
      <c r="N468" s="3">
        <f t="shared" si="7"/>
        <v>45870</v>
      </c>
    </row>
    <row r="469" spans="1:14" x14ac:dyDescent="0.35">
      <c r="A469" t="s">
        <v>789</v>
      </c>
      <c r="B469" t="s">
        <v>790</v>
      </c>
      <c r="C469" t="s">
        <v>15</v>
      </c>
      <c r="D469" t="s">
        <v>16</v>
      </c>
      <c r="E469" t="s">
        <v>48</v>
      </c>
      <c r="F469" t="s">
        <v>37</v>
      </c>
      <c r="G469" t="s">
        <v>85</v>
      </c>
      <c r="H469">
        <v>2</v>
      </c>
      <c r="I469">
        <v>245.59</v>
      </c>
      <c r="J469">
        <v>491.18</v>
      </c>
      <c r="K469" t="s">
        <v>20</v>
      </c>
      <c r="L469" t="s">
        <v>77</v>
      </c>
      <c r="M469">
        <v>88.56</v>
      </c>
      <c r="N469" s="3">
        <f t="shared" si="7"/>
        <v>45689</v>
      </c>
    </row>
    <row r="470" spans="1:14" x14ac:dyDescent="0.35">
      <c r="A470" t="s">
        <v>791</v>
      </c>
      <c r="B470" t="s">
        <v>280</v>
      </c>
      <c r="C470" t="s">
        <v>32</v>
      </c>
      <c r="D470" t="s">
        <v>16</v>
      </c>
      <c r="E470" t="s">
        <v>17</v>
      </c>
      <c r="F470" t="s">
        <v>37</v>
      </c>
      <c r="G470" t="s">
        <v>38</v>
      </c>
      <c r="H470">
        <v>18</v>
      </c>
      <c r="I470">
        <v>888.83</v>
      </c>
      <c r="J470">
        <v>15998.94</v>
      </c>
      <c r="K470" t="s">
        <v>63</v>
      </c>
      <c r="L470" t="s">
        <v>39</v>
      </c>
      <c r="M470">
        <v>4901.4799999999996</v>
      </c>
      <c r="N470" s="3">
        <f t="shared" si="7"/>
        <v>45962</v>
      </c>
    </row>
    <row r="471" spans="1:14" x14ac:dyDescent="0.35">
      <c r="A471" t="s">
        <v>792</v>
      </c>
      <c r="B471" t="s">
        <v>115</v>
      </c>
      <c r="C471" t="s">
        <v>24</v>
      </c>
      <c r="D471" t="s">
        <v>16</v>
      </c>
      <c r="E471" t="s">
        <v>43</v>
      </c>
      <c r="F471" t="s">
        <v>44</v>
      </c>
      <c r="G471" t="s">
        <v>85</v>
      </c>
      <c r="H471">
        <v>12</v>
      </c>
      <c r="I471">
        <v>562.46</v>
      </c>
      <c r="J471">
        <v>6749.52</v>
      </c>
      <c r="K471" t="s">
        <v>29</v>
      </c>
      <c r="L471" t="s">
        <v>34</v>
      </c>
      <c r="M471">
        <v>1029.28</v>
      </c>
      <c r="N471" s="3">
        <f t="shared" si="7"/>
        <v>45931</v>
      </c>
    </row>
    <row r="472" spans="1:14" x14ac:dyDescent="0.35">
      <c r="A472" t="s">
        <v>793</v>
      </c>
      <c r="B472" t="s">
        <v>794</v>
      </c>
      <c r="C472" t="s">
        <v>47</v>
      </c>
      <c r="D472" t="s">
        <v>25</v>
      </c>
      <c r="E472" t="s">
        <v>26</v>
      </c>
      <c r="F472" t="s">
        <v>44</v>
      </c>
      <c r="G472" t="s">
        <v>96</v>
      </c>
      <c r="H472">
        <v>13</v>
      </c>
      <c r="I472">
        <v>167.31</v>
      </c>
      <c r="J472">
        <v>2175.0300000000002</v>
      </c>
      <c r="K472" t="s">
        <v>66</v>
      </c>
      <c r="L472" t="s">
        <v>21</v>
      </c>
      <c r="M472">
        <v>283.56</v>
      </c>
      <c r="N472" s="3">
        <f t="shared" si="7"/>
        <v>45931</v>
      </c>
    </row>
    <row r="473" spans="1:14" x14ac:dyDescent="0.35">
      <c r="A473" t="s">
        <v>795</v>
      </c>
      <c r="B473" t="s">
        <v>93</v>
      </c>
      <c r="C473" t="s">
        <v>47</v>
      </c>
      <c r="D473" t="s">
        <v>42</v>
      </c>
      <c r="E473" t="s">
        <v>43</v>
      </c>
      <c r="F473" t="s">
        <v>44</v>
      </c>
      <c r="G473" t="s">
        <v>96</v>
      </c>
      <c r="H473">
        <v>19</v>
      </c>
      <c r="I473">
        <v>510.97</v>
      </c>
      <c r="J473">
        <v>9708.43</v>
      </c>
      <c r="K473" t="s">
        <v>20</v>
      </c>
      <c r="L473" t="s">
        <v>50</v>
      </c>
      <c r="M473">
        <v>980.86</v>
      </c>
      <c r="N473" s="3">
        <f t="shared" si="7"/>
        <v>45992</v>
      </c>
    </row>
    <row r="474" spans="1:14" x14ac:dyDescent="0.35">
      <c r="A474" t="s">
        <v>796</v>
      </c>
      <c r="B474" t="s">
        <v>797</v>
      </c>
      <c r="C474" t="s">
        <v>15</v>
      </c>
      <c r="D474" t="s">
        <v>69</v>
      </c>
      <c r="E474" t="s">
        <v>48</v>
      </c>
      <c r="F474" t="s">
        <v>37</v>
      </c>
      <c r="G474" t="s">
        <v>105</v>
      </c>
      <c r="H474">
        <v>15</v>
      </c>
      <c r="I474">
        <v>287.27999999999997</v>
      </c>
      <c r="J474">
        <v>4309.2</v>
      </c>
      <c r="K474" t="s">
        <v>66</v>
      </c>
      <c r="L474" t="s">
        <v>21</v>
      </c>
      <c r="M474">
        <v>1039.67</v>
      </c>
      <c r="N474" s="3">
        <f t="shared" si="7"/>
        <v>45778</v>
      </c>
    </row>
    <row r="475" spans="1:14" x14ac:dyDescent="0.35">
      <c r="A475" t="s">
        <v>798</v>
      </c>
      <c r="B475" t="s">
        <v>136</v>
      </c>
      <c r="C475" t="s">
        <v>15</v>
      </c>
      <c r="D475" t="s">
        <v>33</v>
      </c>
      <c r="E475" t="s">
        <v>26</v>
      </c>
      <c r="F475" t="s">
        <v>44</v>
      </c>
      <c r="G475" t="s">
        <v>85</v>
      </c>
      <c r="H475">
        <v>12</v>
      </c>
      <c r="I475">
        <v>263.79000000000002</v>
      </c>
      <c r="J475">
        <v>3165.48</v>
      </c>
      <c r="K475" t="s">
        <v>29</v>
      </c>
      <c r="L475" t="s">
        <v>39</v>
      </c>
      <c r="M475">
        <v>783.96</v>
      </c>
      <c r="N475" s="3">
        <f t="shared" si="7"/>
        <v>45870</v>
      </c>
    </row>
    <row r="476" spans="1:14" x14ac:dyDescent="0.35">
      <c r="A476" t="s">
        <v>799</v>
      </c>
      <c r="B476" t="s">
        <v>205</v>
      </c>
      <c r="C476" t="s">
        <v>47</v>
      </c>
      <c r="D476" t="s">
        <v>53</v>
      </c>
      <c r="E476" t="s">
        <v>43</v>
      </c>
      <c r="F476" t="s">
        <v>27</v>
      </c>
      <c r="G476" t="s">
        <v>105</v>
      </c>
      <c r="H476">
        <v>20</v>
      </c>
      <c r="I476">
        <v>184.44</v>
      </c>
      <c r="J476">
        <v>3688.8</v>
      </c>
      <c r="K476" t="s">
        <v>63</v>
      </c>
      <c r="L476" t="s">
        <v>34</v>
      </c>
      <c r="M476">
        <v>1234.68</v>
      </c>
      <c r="N476" s="3">
        <f t="shared" si="7"/>
        <v>45658</v>
      </c>
    </row>
    <row r="477" spans="1:14" x14ac:dyDescent="0.35">
      <c r="A477" t="s">
        <v>800</v>
      </c>
      <c r="B477" t="s">
        <v>541</v>
      </c>
      <c r="C477" t="s">
        <v>47</v>
      </c>
      <c r="D477" t="s">
        <v>16</v>
      </c>
      <c r="E477" t="s">
        <v>48</v>
      </c>
      <c r="F477" t="s">
        <v>44</v>
      </c>
      <c r="G477" t="s">
        <v>56</v>
      </c>
      <c r="H477">
        <v>13</v>
      </c>
      <c r="I477">
        <v>409.57</v>
      </c>
      <c r="J477">
        <v>5324.41</v>
      </c>
      <c r="K477" t="s">
        <v>49</v>
      </c>
      <c r="L477" t="s">
        <v>50</v>
      </c>
      <c r="M477">
        <v>1118.22</v>
      </c>
      <c r="N477" s="3">
        <f t="shared" si="7"/>
        <v>45717</v>
      </c>
    </row>
    <row r="478" spans="1:14" x14ac:dyDescent="0.35">
      <c r="A478" t="s">
        <v>801</v>
      </c>
      <c r="B478" t="s">
        <v>421</v>
      </c>
      <c r="C478" t="s">
        <v>32</v>
      </c>
      <c r="D478" t="s">
        <v>33</v>
      </c>
      <c r="E478" t="s">
        <v>48</v>
      </c>
      <c r="F478" t="s">
        <v>18</v>
      </c>
      <c r="G478" t="s">
        <v>96</v>
      </c>
      <c r="H478">
        <v>4</v>
      </c>
      <c r="I478">
        <v>745.21</v>
      </c>
      <c r="J478">
        <v>2980.84</v>
      </c>
      <c r="K478" t="s">
        <v>29</v>
      </c>
      <c r="L478" t="s">
        <v>39</v>
      </c>
      <c r="M478">
        <v>398.86</v>
      </c>
      <c r="N478" s="3">
        <f t="shared" si="7"/>
        <v>45870</v>
      </c>
    </row>
    <row r="479" spans="1:14" x14ac:dyDescent="0.35">
      <c r="A479" t="s">
        <v>802</v>
      </c>
      <c r="B479" t="s">
        <v>650</v>
      </c>
      <c r="C479" t="s">
        <v>15</v>
      </c>
      <c r="D479" t="s">
        <v>25</v>
      </c>
      <c r="E479" t="s">
        <v>17</v>
      </c>
      <c r="F479" t="s">
        <v>27</v>
      </c>
      <c r="G479" t="s">
        <v>28</v>
      </c>
      <c r="H479">
        <v>5</v>
      </c>
      <c r="I479">
        <v>46.19</v>
      </c>
      <c r="J479">
        <v>230.95</v>
      </c>
      <c r="K479" t="s">
        <v>29</v>
      </c>
      <c r="L479" t="s">
        <v>77</v>
      </c>
      <c r="M479">
        <v>52.1</v>
      </c>
      <c r="N479" s="3">
        <f t="shared" si="7"/>
        <v>45839</v>
      </c>
    </row>
    <row r="480" spans="1:14" x14ac:dyDescent="0.35">
      <c r="A480" t="s">
        <v>803</v>
      </c>
      <c r="B480" t="s">
        <v>91</v>
      </c>
      <c r="C480" t="s">
        <v>47</v>
      </c>
      <c r="D480" t="s">
        <v>42</v>
      </c>
      <c r="E480" t="s">
        <v>26</v>
      </c>
      <c r="F480" t="s">
        <v>18</v>
      </c>
      <c r="G480" t="s">
        <v>28</v>
      </c>
      <c r="H480">
        <v>9</v>
      </c>
      <c r="I480">
        <v>465.34</v>
      </c>
      <c r="J480">
        <v>4188.0600000000004</v>
      </c>
      <c r="K480" t="s">
        <v>66</v>
      </c>
      <c r="L480" t="s">
        <v>77</v>
      </c>
      <c r="M480">
        <v>980.31</v>
      </c>
      <c r="N480" s="3">
        <f t="shared" si="7"/>
        <v>45809</v>
      </c>
    </row>
    <row r="481" spans="1:14" x14ac:dyDescent="0.35">
      <c r="A481" t="s">
        <v>804</v>
      </c>
      <c r="B481" t="s">
        <v>744</v>
      </c>
      <c r="C481" t="s">
        <v>32</v>
      </c>
      <c r="D481" t="s">
        <v>53</v>
      </c>
      <c r="E481" t="s">
        <v>26</v>
      </c>
      <c r="F481" t="s">
        <v>27</v>
      </c>
      <c r="G481" t="s">
        <v>38</v>
      </c>
      <c r="H481">
        <v>7</v>
      </c>
      <c r="I481">
        <v>836.51</v>
      </c>
      <c r="J481">
        <v>5855.57</v>
      </c>
      <c r="K481" t="s">
        <v>29</v>
      </c>
      <c r="L481" t="s">
        <v>77</v>
      </c>
      <c r="M481">
        <v>1213.6600000000001</v>
      </c>
      <c r="N481" s="3">
        <f t="shared" si="7"/>
        <v>45870</v>
      </c>
    </row>
    <row r="482" spans="1:14" x14ac:dyDescent="0.35">
      <c r="A482" t="s">
        <v>805</v>
      </c>
      <c r="B482" t="s">
        <v>806</v>
      </c>
      <c r="C482" t="s">
        <v>47</v>
      </c>
      <c r="D482" t="s">
        <v>42</v>
      </c>
      <c r="E482" t="s">
        <v>43</v>
      </c>
      <c r="F482" t="s">
        <v>44</v>
      </c>
      <c r="G482" t="s">
        <v>19</v>
      </c>
      <c r="H482">
        <v>15</v>
      </c>
      <c r="I482">
        <v>767.74</v>
      </c>
      <c r="J482">
        <v>11516.1</v>
      </c>
      <c r="K482" t="s">
        <v>63</v>
      </c>
      <c r="L482" t="s">
        <v>39</v>
      </c>
      <c r="M482">
        <v>1459.15</v>
      </c>
      <c r="N482" s="3">
        <f t="shared" si="7"/>
        <v>45748</v>
      </c>
    </row>
    <row r="483" spans="1:14" x14ac:dyDescent="0.35">
      <c r="A483" t="s">
        <v>807</v>
      </c>
      <c r="B483" t="s">
        <v>330</v>
      </c>
      <c r="C483" t="s">
        <v>24</v>
      </c>
      <c r="D483" t="s">
        <v>33</v>
      </c>
      <c r="E483" t="s">
        <v>26</v>
      </c>
      <c r="F483" t="s">
        <v>27</v>
      </c>
      <c r="G483" t="s">
        <v>85</v>
      </c>
      <c r="H483">
        <v>15</v>
      </c>
      <c r="I483">
        <v>704.51</v>
      </c>
      <c r="J483">
        <v>10567.65</v>
      </c>
      <c r="K483" t="s">
        <v>66</v>
      </c>
      <c r="L483" t="s">
        <v>34</v>
      </c>
      <c r="M483">
        <v>3585.86</v>
      </c>
      <c r="N483" s="3">
        <f t="shared" si="7"/>
        <v>45778</v>
      </c>
    </row>
    <row r="484" spans="1:14" x14ac:dyDescent="0.35">
      <c r="A484" t="s">
        <v>808</v>
      </c>
      <c r="B484" t="s">
        <v>242</v>
      </c>
      <c r="C484" t="s">
        <v>15</v>
      </c>
      <c r="D484" t="s">
        <v>74</v>
      </c>
      <c r="E484" t="s">
        <v>43</v>
      </c>
      <c r="F484" t="s">
        <v>27</v>
      </c>
      <c r="G484" t="s">
        <v>85</v>
      </c>
      <c r="H484">
        <v>11</v>
      </c>
      <c r="I484">
        <v>763.92</v>
      </c>
      <c r="J484">
        <v>8403.1200000000008</v>
      </c>
      <c r="K484" t="s">
        <v>82</v>
      </c>
      <c r="L484" t="s">
        <v>34</v>
      </c>
      <c r="M484">
        <v>1988.37</v>
      </c>
      <c r="N484" s="3">
        <f t="shared" si="7"/>
        <v>45839</v>
      </c>
    </row>
    <row r="485" spans="1:14" x14ac:dyDescent="0.35">
      <c r="A485" t="s">
        <v>809</v>
      </c>
      <c r="B485" t="s">
        <v>366</v>
      </c>
      <c r="C485" t="s">
        <v>47</v>
      </c>
      <c r="D485" t="s">
        <v>33</v>
      </c>
      <c r="E485" t="s">
        <v>43</v>
      </c>
      <c r="F485" t="s">
        <v>27</v>
      </c>
      <c r="G485" t="s">
        <v>96</v>
      </c>
      <c r="H485">
        <v>4</v>
      </c>
      <c r="I485">
        <v>719.95</v>
      </c>
      <c r="J485">
        <v>2879.8</v>
      </c>
      <c r="K485" t="s">
        <v>20</v>
      </c>
      <c r="L485" t="s">
        <v>21</v>
      </c>
      <c r="M485">
        <v>856.51</v>
      </c>
      <c r="N485" s="3">
        <f t="shared" si="7"/>
        <v>45839</v>
      </c>
    </row>
    <row r="486" spans="1:14" x14ac:dyDescent="0.35">
      <c r="A486" t="s">
        <v>810</v>
      </c>
      <c r="B486" t="s">
        <v>811</v>
      </c>
      <c r="C486" t="s">
        <v>32</v>
      </c>
      <c r="D486" t="s">
        <v>25</v>
      </c>
      <c r="E486" t="s">
        <v>26</v>
      </c>
      <c r="F486" t="s">
        <v>37</v>
      </c>
      <c r="G486" t="s">
        <v>19</v>
      </c>
      <c r="H486">
        <v>2</v>
      </c>
      <c r="I486">
        <v>476.9</v>
      </c>
      <c r="J486">
        <v>953.8</v>
      </c>
      <c r="K486" t="s">
        <v>20</v>
      </c>
      <c r="L486" t="s">
        <v>50</v>
      </c>
      <c r="M486">
        <v>117.36</v>
      </c>
      <c r="N486" s="3">
        <f t="shared" si="7"/>
        <v>45901</v>
      </c>
    </row>
    <row r="487" spans="1:14" x14ac:dyDescent="0.35">
      <c r="A487" t="s">
        <v>812</v>
      </c>
      <c r="B487" t="s">
        <v>60</v>
      </c>
      <c r="C487" t="s">
        <v>47</v>
      </c>
      <c r="D487" t="s">
        <v>33</v>
      </c>
      <c r="E487" t="s">
        <v>17</v>
      </c>
      <c r="F487" t="s">
        <v>18</v>
      </c>
      <c r="G487" t="s">
        <v>19</v>
      </c>
      <c r="H487">
        <v>20</v>
      </c>
      <c r="I487">
        <v>481.26</v>
      </c>
      <c r="J487">
        <v>9625.2000000000007</v>
      </c>
      <c r="K487" t="s">
        <v>63</v>
      </c>
      <c r="L487" t="s">
        <v>21</v>
      </c>
      <c r="M487">
        <v>3330.33</v>
      </c>
      <c r="N487" s="3">
        <f t="shared" si="7"/>
        <v>45901</v>
      </c>
    </row>
    <row r="488" spans="1:14" x14ac:dyDescent="0.35">
      <c r="A488" t="s">
        <v>813</v>
      </c>
      <c r="B488" t="s">
        <v>814</v>
      </c>
      <c r="C488" t="s">
        <v>15</v>
      </c>
      <c r="D488" t="s">
        <v>116</v>
      </c>
      <c r="E488" t="s">
        <v>43</v>
      </c>
      <c r="F488" t="s">
        <v>44</v>
      </c>
      <c r="G488" t="s">
        <v>45</v>
      </c>
      <c r="H488">
        <v>13</v>
      </c>
      <c r="I488">
        <v>79.42</v>
      </c>
      <c r="J488">
        <v>1032.46</v>
      </c>
      <c r="K488" t="s">
        <v>29</v>
      </c>
      <c r="L488" t="s">
        <v>77</v>
      </c>
      <c r="M488">
        <v>297.36</v>
      </c>
      <c r="N488" s="3">
        <f t="shared" si="7"/>
        <v>45809</v>
      </c>
    </row>
    <row r="489" spans="1:14" x14ac:dyDescent="0.35">
      <c r="A489" t="s">
        <v>815</v>
      </c>
      <c r="B489" t="s">
        <v>225</v>
      </c>
      <c r="C489" t="s">
        <v>24</v>
      </c>
      <c r="D489" t="s">
        <v>33</v>
      </c>
      <c r="E489" t="s">
        <v>17</v>
      </c>
      <c r="F489" t="s">
        <v>18</v>
      </c>
      <c r="G489" t="s">
        <v>45</v>
      </c>
      <c r="H489">
        <v>4</v>
      </c>
      <c r="I489">
        <v>398.11</v>
      </c>
      <c r="J489">
        <v>1592.44</v>
      </c>
      <c r="K489" t="s">
        <v>49</v>
      </c>
      <c r="L489" t="s">
        <v>50</v>
      </c>
      <c r="M489">
        <v>466.83</v>
      </c>
      <c r="N489" s="3">
        <f t="shared" si="7"/>
        <v>45870</v>
      </c>
    </row>
    <row r="490" spans="1:14" x14ac:dyDescent="0.35">
      <c r="A490" t="s">
        <v>816</v>
      </c>
      <c r="B490" t="s">
        <v>552</v>
      </c>
      <c r="C490" t="s">
        <v>24</v>
      </c>
      <c r="D490" t="s">
        <v>74</v>
      </c>
      <c r="E490" t="s">
        <v>48</v>
      </c>
      <c r="F490" t="s">
        <v>18</v>
      </c>
      <c r="G490" t="s">
        <v>56</v>
      </c>
      <c r="H490">
        <v>20</v>
      </c>
      <c r="I490">
        <v>540.73</v>
      </c>
      <c r="J490">
        <v>10814.6</v>
      </c>
      <c r="K490" t="s">
        <v>29</v>
      </c>
      <c r="L490" t="s">
        <v>50</v>
      </c>
      <c r="M490">
        <v>2843.58</v>
      </c>
      <c r="N490" s="3">
        <f t="shared" si="7"/>
        <v>45748</v>
      </c>
    </row>
    <row r="491" spans="1:14" x14ac:dyDescent="0.35">
      <c r="A491" t="s">
        <v>817</v>
      </c>
      <c r="B491" t="s">
        <v>257</v>
      </c>
      <c r="C491" t="s">
        <v>47</v>
      </c>
      <c r="D491" t="s">
        <v>116</v>
      </c>
      <c r="E491" t="s">
        <v>17</v>
      </c>
      <c r="F491" t="s">
        <v>18</v>
      </c>
      <c r="G491" t="s">
        <v>45</v>
      </c>
      <c r="H491">
        <v>17</v>
      </c>
      <c r="I491">
        <v>411.21</v>
      </c>
      <c r="J491">
        <v>6990.57</v>
      </c>
      <c r="K491" t="s">
        <v>29</v>
      </c>
      <c r="L491" t="s">
        <v>34</v>
      </c>
      <c r="M491">
        <v>1254.82</v>
      </c>
      <c r="N491" s="3">
        <f t="shared" si="7"/>
        <v>45839</v>
      </c>
    </row>
    <row r="492" spans="1:14" x14ac:dyDescent="0.35">
      <c r="A492" t="s">
        <v>818</v>
      </c>
      <c r="B492" t="s">
        <v>790</v>
      </c>
      <c r="C492" t="s">
        <v>32</v>
      </c>
      <c r="D492" t="s">
        <v>42</v>
      </c>
      <c r="E492" t="s">
        <v>43</v>
      </c>
      <c r="F492" t="s">
        <v>27</v>
      </c>
      <c r="G492" t="s">
        <v>96</v>
      </c>
      <c r="H492">
        <v>5</v>
      </c>
      <c r="I492">
        <v>43.71</v>
      </c>
      <c r="J492">
        <v>218.55</v>
      </c>
      <c r="K492" t="s">
        <v>29</v>
      </c>
      <c r="L492" t="s">
        <v>77</v>
      </c>
      <c r="M492">
        <v>27.38</v>
      </c>
      <c r="N492" s="3">
        <f t="shared" si="7"/>
        <v>45689</v>
      </c>
    </row>
    <row r="493" spans="1:14" x14ac:dyDescent="0.35">
      <c r="A493" t="s">
        <v>819</v>
      </c>
      <c r="B493" t="s">
        <v>806</v>
      </c>
      <c r="C493" t="s">
        <v>32</v>
      </c>
      <c r="D493" t="s">
        <v>74</v>
      </c>
      <c r="E493" t="s">
        <v>43</v>
      </c>
      <c r="F493" t="s">
        <v>44</v>
      </c>
      <c r="G493" t="s">
        <v>38</v>
      </c>
      <c r="H493">
        <v>2</v>
      </c>
      <c r="I493">
        <v>523.51</v>
      </c>
      <c r="J493">
        <v>1047.02</v>
      </c>
      <c r="K493" t="s">
        <v>20</v>
      </c>
      <c r="L493" t="s">
        <v>50</v>
      </c>
      <c r="M493">
        <v>210.97</v>
      </c>
      <c r="N493" s="3">
        <f t="shared" si="7"/>
        <v>45748</v>
      </c>
    </row>
    <row r="494" spans="1:14" x14ac:dyDescent="0.35">
      <c r="A494" t="s">
        <v>820</v>
      </c>
      <c r="B494" t="s">
        <v>437</v>
      </c>
      <c r="C494" t="s">
        <v>32</v>
      </c>
      <c r="D494" t="s">
        <v>69</v>
      </c>
      <c r="E494" t="s">
        <v>48</v>
      </c>
      <c r="F494" t="s">
        <v>37</v>
      </c>
      <c r="G494" t="s">
        <v>45</v>
      </c>
      <c r="H494">
        <v>12</v>
      </c>
      <c r="I494">
        <v>342.56</v>
      </c>
      <c r="J494">
        <v>4110.72</v>
      </c>
      <c r="K494" t="s">
        <v>63</v>
      </c>
      <c r="L494" t="s">
        <v>39</v>
      </c>
      <c r="M494">
        <v>1367.12</v>
      </c>
      <c r="N494" s="3">
        <f t="shared" si="7"/>
        <v>45962</v>
      </c>
    </row>
    <row r="495" spans="1:14" x14ac:dyDescent="0.35">
      <c r="A495" t="s">
        <v>821</v>
      </c>
      <c r="B495" t="s">
        <v>435</v>
      </c>
      <c r="C495" t="s">
        <v>32</v>
      </c>
      <c r="D495" t="s">
        <v>25</v>
      </c>
      <c r="E495" t="s">
        <v>17</v>
      </c>
      <c r="F495" t="s">
        <v>44</v>
      </c>
      <c r="G495" t="s">
        <v>45</v>
      </c>
      <c r="H495">
        <v>14</v>
      </c>
      <c r="I495">
        <v>135.35</v>
      </c>
      <c r="J495">
        <v>1894.9</v>
      </c>
      <c r="K495" t="s">
        <v>20</v>
      </c>
      <c r="L495" t="s">
        <v>34</v>
      </c>
      <c r="M495">
        <v>319.02999999999997</v>
      </c>
      <c r="N495" s="3">
        <f t="shared" si="7"/>
        <v>45778</v>
      </c>
    </row>
    <row r="496" spans="1:14" x14ac:dyDescent="0.35">
      <c r="A496" t="s">
        <v>822</v>
      </c>
      <c r="B496" t="s">
        <v>356</v>
      </c>
      <c r="C496" t="s">
        <v>47</v>
      </c>
      <c r="D496" t="s">
        <v>16</v>
      </c>
      <c r="E496" t="s">
        <v>26</v>
      </c>
      <c r="F496" t="s">
        <v>37</v>
      </c>
      <c r="G496" t="s">
        <v>38</v>
      </c>
      <c r="H496">
        <v>20</v>
      </c>
      <c r="I496">
        <v>158.49</v>
      </c>
      <c r="J496">
        <v>3169.8</v>
      </c>
      <c r="K496" t="s">
        <v>20</v>
      </c>
      <c r="L496" t="s">
        <v>21</v>
      </c>
      <c r="M496">
        <v>890.01</v>
      </c>
      <c r="N496" s="3">
        <f t="shared" si="7"/>
        <v>45870</v>
      </c>
    </row>
    <row r="497" spans="1:14" x14ac:dyDescent="0.35">
      <c r="A497" t="s">
        <v>823</v>
      </c>
      <c r="B497" t="s">
        <v>591</v>
      </c>
      <c r="C497" t="s">
        <v>24</v>
      </c>
      <c r="D497" t="s">
        <v>33</v>
      </c>
      <c r="E497" t="s">
        <v>43</v>
      </c>
      <c r="F497" t="s">
        <v>37</v>
      </c>
      <c r="G497" t="s">
        <v>28</v>
      </c>
      <c r="H497">
        <v>10</v>
      </c>
      <c r="I497">
        <v>175.55</v>
      </c>
      <c r="J497">
        <v>1755.5</v>
      </c>
      <c r="K497" t="s">
        <v>63</v>
      </c>
      <c r="L497" t="s">
        <v>39</v>
      </c>
      <c r="M497">
        <v>315.87</v>
      </c>
      <c r="N497" s="3">
        <f t="shared" si="7"/>
        <v>45962</v>
      </c>
    </row>
    <row r="498" spans="1:14" x14ac:dyDescent="0.35">
      <c r="A498" t="s">
        <v>824</v>
      </c>
      <c r="B498" t="s">
        <v>455</v>
      </c>
      <c r="C498" t="s">
        <v>15</v>
      </c>
      <c r="D498" t="s">
        <v>69</v>
      </c>
      <c r="E498" t="s">
        <v>26</v>
      </c>
      <c r="F498" t="s">
        <v>27</v>
      </c>
      <c r="G498" t="s">
        <v>19</v>
      </c>
      <c r="H498">
        <v>18</v>
      </c>
      <c r="I498">
        <v>202.37</v>
      </c>
      <c r="J498">
        <v>3642.66</v>
      </c>
      <c r="K498" t="s">
        <v>63</v>
      </c>
      <c r="L498" t="s">
        <v>39</v>
      </c>
      <c r="M498">
        <v>1088.79</v>
      </c>
      <c r="N498" s="3">
        <f t="shared" si="7"/>
        <v>45962</v>
      </c>
    </row>
    <row r="499" spans="1:14" x14ac:dyDescent="0.35">
      <c r="A499" t="s">
        <v>825</v>
      </c>
      <c r="B499" t="s">
        <v>826</v>
      </c>
      <c r="C499" t="s">
        <v>32</v>
      </c>
      <c r="D499" t="s">
        <v>69</v>
      </c>
      <c r="E499" t="s">
        <v>17</v>
      </c>
      <c r="F499" t="s">
        <v>27</v>
      </c>
      <c r="G499" t="s">
        <v>56</v>
      </c>
      <c r="H499">
        <v>11</v>
      </c>
      <c r="I499">
        <v>602.27</v>
      </c>
      <c r="J499">
        <v>6624.97</v>
      </c>
      <c r="K499" t="s">
        <v>63</v>
      </c>
      <c r="L499" t="s">
        <v>77</v>
      </c>
      <c r="M499">
        <v>1976.57</v>
      </c>
      <c r="N499" s="3">
        <f t="shared" si="7"/>
        <v>45839</v>
      </c>
    </row>
    <row r="500" spans="1:14" x14ac:dyDescent="0.35">
      <c r="A500" t="s">
        <v>827</v>
      </c>
      <c r="B500" t="s">
        <v>344</v>
      </c>
      <c r="C500" t="s">
        <v>47</v>
      </c>
      <c r="D500" t="s">
        <v>42</v>
      </c>
      <c r="E500" t="s">
        <v>17</v>
      </c>
      <c r="F500" t="s">
        <v>27</v>
      </c>
      <c r="G500" t="s">
        <v>105</v>
      </c>
      <c r="H500">
        <v>1</v>
      </c>
      <c r="I500">
        <v>467.55</v>
      </c>
      <c r="J500">
        <v>467.55</v>
      </c>
      <c r="K500" t="s">
        <v>49</v>
      </c>
      <c r="L500" t="s">
        <v>34</v>
      </c>
      <c r="M500">
        <v>83.32</v>
      </c>
      <c r="N500" s="3">
        <f t="shared" si="7"/>
        <v>45931</v>
      </c>
    </row>
    <row r="501" spans="1:14" x14ac:dyDescent="0.35">
      <c r="A501" t="s">
        <v>828</v>
      </c>
      <c r="B501" t="s">
        <v>102</v>
      </c>
      <c r="C501" t="s">
        <v>47</v>
      </c>
      <c r="D501" t="s">
        <v>74</v>
      </c>
      <c r="E501" t="s">
        <v>17</v>
      </c>
      <c r="F501" t="s">
        <v>18</v>
      </c>
      <c r="G501" t="s">
        <v>28</v>
      </c>
      <c r="H501">
        <v>18</v>
      </c>
      <c r="I501">
        <v>224.16</v>
      </c>
      <c r="J501">
        <v>4034.88</v>
      </c>
      <c r="K501" t="s">
        <v>63</v>
      </c>
      <c r="L501" t="s">
        <v>34</v>
      </c>
      <c r="M501">
        <v>571.91</v>
      </c>
      <c r="N501" s="3">
        <f t="shared" si="7"/>
        <v>45931</v>
      </c>
    </row>
    <row r="502" spans="1:14" x14ac:dyDescent="0.35">
      <c r="A502" t="s">
        <v>829</v>
      </c>
      <c r="B502" t="s">
        <v>489</v>
      </c>
      <c r="C502" t="s">
        <v>32</v>
      </c>
      <c r="D502" t="s">
        <v>33</v>
      </c>
      <c r="E502" t="s">
        <v>17</v>
      </c>
      <c r="F502" t="s">
        <v>18</v>
      </c>
      <c r="G502" t="s">
        <v>105</v>
      </c>
      <c r="H502">
        <v>20</v>
      </c>
      <c r="I502">
        <v>764.51</v>
      </c>
      <c r="J502">
        <v>15290.2</v>
      </c>
      <c r="K502" t="s">
        <v>66</v>
      </c>
      <c r="L502" t="s">
        <v>39</v>
      </c>
      <c r="M502">
        <v>4904.18</v>
      </c>
      <c r="N502" s="3">
        <f t="shared" si="7"/>
        <v>45658</v>
      </c>
    </row>
    <row r="503" spans="1:14" x14ac:dyDescent="0.35">
      <c r="A503" t="s">
        <v>830</v>
      </c>
      <c r="B503" t="s">
        <v>664</v>
      </c>
      <c r="C503" t="s">
        <v>32</v>
      </c>
      <c r="D503" t="s">
        <v>74</v>
      </c>
      <c r="E503" t="s">
        <v>48</v>
      </c>
      <c r="F503" t="s">
        <v>37</v>
      </c>
      <c r="G503" t="s">
        <v>105</v>
      </c>
      <c r="H503">
        <v>4</v>
      </c>
      <c r="I503">
        <v>706.91</v>
      </c>
      <c r="J503">
        <v>2827.64</v>
      </c>
      <c r="K503" t="s">
        <v>66</v>
      </c>
      <c r="L503" t="s">
        <v>77</v>
      </c>
      <c r="M503">
        <v>444.65</v>
      </c>
      <c r="N503" s="3">
        <f t="shared" si="7"/>
        <v>45901</v>
      </c>
    </row>
    <row r="504" spans="1:14" x14ac:dyDescent="0.35">
      <c r="A504" t="s">
        <v>831</v>
      </c>
      <c r="B504" t="s">
        <v>610</v>
      </c>
      <c r="C504" t="s">
        <v>47</v>
      </c>
      <c r="D504" t="s">
        <v>16</v>
      </c>
      <c r="E504" t="s">
        <v>26</v>
      </c>
      <c r="F504" t="s">
        <v>44</v>
      </c>
      <c r="G504" t="s">
        <v>105</v>
      </c>
      <c r="H504">
        <v>10</v>
      </c>
      <c r="I504">
        <v>598.78</v>
      </c>
      <c r="J504">
        <v>5987.8</v>
      </c>
      <c r="K504" t="s">
        <v>63</v>
      </c>
      <c r="L504" t="s">
        <v>21</v>
      </c>
      <c r="M504">
        <v>1392.07</v>
      </c>
      <c r="N504" s="3">
        <f t="shared" si="7"/>
        <v>45658</v>
      </c>
    </row>
    <row r="505" spans="1:14" x14ac:dyDescent="0.35">
      <c r="A505" t="s">
        <v>832</v>
      </c>
      <c r="B505" t="s">
        <v>833</v>
      </c>
      <c r="C505" t="s">
        <v>24</v>
      </c>
      <c r="D505" t="s">
        <v>116</v>
      </c>
      <c r="E505" t="s">
        <v>26</v>
      </c>
      <c r="F505" t="s">
        <v>18</v>
      </c>
      <c r="G505" t="s">
        <v>45</v>
      </c>
      <c r="H505">
        <v>15</v>
      </c>
      <c r="I505">
        <v>333.22</v>
      </c>
      <c r="J505">
        <v>4998.3</v>
      </c>
      <c r="K505" t="s">
        <v>29</v>
      </c>
      <c r="L505" t="s">
        <v>39</v>
      </c>
      <c r="M505">
        <v>759.41</v>
      </c>
      <c r="N505" s="3">
        <f t="shared" si="7"/>
        <v>45870</v>
      </c>
    </row>
    <row r="506" spans="1:14" x14ac:dyDescent="0.35">
      <c r="A506" t="s">
        <v>834</v>
      </c>
      <c r="B506" t="s">
        <v>835</v>
      </c>
      <c r="C506" t="s">
        <v>15</v>
      </c>
      <c r="D506" t="s">
        <v>53</v>
      </c>
      <c r="E506" t="s">
        <v>43</v>
      </c>
      <c r="F506" t="s">
        <v>27</v>
      </c>
      <c r="G506" t="s">
        <v>38</v>
      </c>
      <c r="H506">
        <v>7</v>
      </c>
      <c r="I506">
        <v>202.03</v>
      </c>
      <c r="J506">
        <v>1414.21</v>
      </c>
      <c r="K506" t="s">
        <v>63</v>
      </c>
      <c r="L506" t="s">
        <v>21</v>
      </c>
      <c r="M506">
        <v>188.49</v>
      </c>
      <c r="N506" s="3">
        <f t="shared" si="7"/>
        <v>45809</v>
      </c>
    </row>
    <row r="507" spans="1:14" x14ac:dyDescent="0.35">
      <c r="A507" t="s">
        <v>836</v>
      </c>
      <c r="B507" t="s">
        <v>111</v>
      </c>
      <c r="C507" t="s">
        <v>24</v>
      </c>
      <c r="D507" t="s">
        <v>116</v>
      </c>
      <c r="E507" t="s">
        <v>48</v>
      </c>
      <c r="F507" t="s">
        <v>37</v>
      </c>
      <c r="G507" t="s">
        <v>85</v>
      </c>
      <c r="H507">
        <v>8</v>
      </c>
      <c r="I507">
        <v>346.71</v>
      </c>
      <c r="J507">
        <v>2773.68</v>
      </c>
      <c r="K507" t="s">
        <v>82</v>
      </c>
      <c r="L507" t="s">
        <v>77</v>
      </c>
      <c r="M507">
        <v>314.12</v>
      </c>
      <c r="N507" s="3">
        <f t="shared" si="7"/>
        <v>45901</v>
      </c>
    </row>
    <row r="508" spans="1:14" x14ac:dyDescent="0.35">
      <c r="A508" t="s">
        <v>837</v>
      </c>
      <c r="B508" t="s">
        <v>599</v>
      </c>
      <c r="C508" t="s">
        <v>24</v>
      </c>
      <c r="D508" t="s">
        <v>25</v>
      </c>
      <c r="E508" t="s">
        <v>26</v>
      </c>
      <c r="F508" t="s">
        <v>44</v>
      </c>
      <c r="G508" t="s">
        <v>28</v>
      </c>
      <c r="H508">
        <v>1</v>
      </c>
      <c r="I508">
        <v>972.39</v>
      </c>
      <c r="J508">
        <v>972.39</v>
      </c>
      <c r="K508" t="s">
        <v>66</v>
      </c>
      <c r="L508" t="s">
        <v>34</v>
      </c>
      <c r="M508">
        <v>334.05</v>
      </c>
      <c r="N508" s="3">
        <f t="shared" si="7"/>
        <v>45778</v>
      </c>
    </row>
    <row r="509" spans="1:14" x14ac:dyDescent="0.35">
      <c r="A509" t="s">
        <v>838</v>
      </c>
      <c r="B509" t="s">
        <v>111</v>
      </c>
      <c r="C509" t="s">
        <v>47</v>
      </c>
      <c r="D509" t="s">
        <v>69</v>
      </c>
      <c r="E509" t="s">
        <v>26</v>
      </c>
      <c r="F509" t="s">
        <v>18</v>
      </c>
      <c r="G509" t="s">
        <v>45</v>
      </c>
      <c r="H509">
        <v>3</v>
      </c>
      <c r="I509">
        <v>879.1</v>
      </c>
      <c r="J509">
        <v>2637.3</v>
      </c>
      <c r="K509" t="s">
        <v>29</v>
      </c>
      <c r="L509" t="s">
        <v>21</v>
      </c>
      <c r="M509">
        <v>888.52</v>
      </c>
      <c r="N509" s="3">
        <f t="shared" si="7"/>
        <v>45901</v>
      </c>
    </row>
    <row r="510" spans="1:14" x14ac:dyDescent="0.35">
      <c r="A510" t="s">
        <v>839</v>
      </c>
      <c r="B510" t="s">
        <v>561</v>
      </c>
      <c r="C510" t="s">
        <v>32</v>
      </c>
      <c r="D510" t="s">
        <v>25</v>
      </c>
      <c r="E510" t="s">
        <v>17</v>
      </c>
      <c r="F510" t="s">
        <v>37</v>
      </c>
      <c r="G510" t="s">
        <v>56</v>
      </c>
      <c r="H510">
        <v>12</v>
      </c>
      <c r="I510">
        <v>688.2</v>
      </c>
      <c r="J510">
        <v>8258.4</v>
      </c>
      <c r="K510" t="s">
        <v>66</v>
      </c>
      <c r="L510" t="s">
        <v>39</v>
      </c>
      <c r="M510">
        <v>2536.44</v>
      </c>
      <c r="N510" s="3">
        <f t="shared" si="7"/>
        <v>45689</v>
      </c>
    </row>
    <row r="511" spans="1:14" x14ac:dyDescent="0.35">
      <c r="A511" t="s">
        <v>840</v>
      </c>
      <c r="B511" t="s">
        <v>835</v>
      </c>
      <c r="C511" t="s">
        <v>15</v>
      </c>
      <c r="D511" t="s">
        <v>53</v>
      </c>
      <c r="E511" t="s">
        <v>17</v>
      </c>
      <c r="F511" t="s">
        <v>37</v>
      </c>
      <c r="G511" t="s">
        <v>96</v>
      </c>
      <c r="H511">
        <v>7</v>
      </c>
      <c r="I511">
        <v>879.88</v>
      </c>
      <c r="J511">
        <v>6159.16</v>
      </c>
      <c r="K511" t="s">
        <v>29</v>
      </c>
      <c r="L511" t="s">
        <v>39</v>
      </c>
      <c r="M511">
        <v>2106.1799999999998</v>
      </c>
      <c r="N511" s="3">
        <f t="shared" si="7"/>
        <v>45809</v>
      </c>
    </row>
    <row r="512" spans="1:14" x14ac:dyDescent="0.35">
      <c r="A512" t="s">
        <v>841</v>
      </c>
      <c r="B512" t="s">
        <v>671</v>
      </c>
      <c r="C512" t="s">
        <v>47</v>
      </c>
      <c r="D512" t="s">
        <v>116</v>
      </c>
      <c r="E512" t="s">
        <v>17</v>
      </c>
      <c r="F512" t="s">
        <v>27</v>
      </c>
      <c r="G512" t="s">
        <v>56</v>
      </c>
      <c r="H512">
        <v>13</v>
      </c>
      <c r="I512">
        <v>419.12</v>
      </c>
      <c r="J512">
        <v>5448.56</v>
      </c>
      <c r="K512" t="s">
        <v>82</v>
      </c>
      <c r="L512" t="s">
        <v>34</v>
      </c>
      <c r="M512">
        <v>1687.28</v>
      </c>
      <c r="N512" s="3">
        <f t="shared" si="7"/>
        <v>45901</v>
      </c>
    </row>
    <row r="513" spans="1:14" x14ac:dyDescent="0.35">
      <c r="A513" t="s">
        <v>842</v>
      </c>
      <c r="B513" t="s">
        <v>36</v>
      </c>
      <c r="C513" t="s">
        <v>32</v>
      </c>
      <c r="D513" t="s">
        <v>53</v>
      </c>
      <c r="E513" t="s">
        <v>48</v>
      </c>
      <c r="F513" t="s">
        <v>44</v>
      </c>
      <c r="G513" t="s">
        <v>96</v>
      </c>
      <c r="H513">
        <v>3</v>
      </c>
      <c r="I513">
        <v>239.87</v>
      </c>
      <c r="J513">
        <v>719.61</v>
      </c>
      <c r="K513" t="s">
        <v>66</v>
      </c>
      <c r="L513" t="s">
        <v>34</v>
      </c>
      <c r="M513">
        <v>242.31</v>
      </c>
      <c r="N513" s="3">
        <f t="shared" si="7"/>
        <v>46023</v>
      </c>
    </row>
    <row r="514" spans="1:14" x14ac:dyDescent="0.35">
      <c r="A514" t="s">
        <v>843</v>
      </c>
      <c r="B514" t="s">
        <v>552</v>
      </c>
      <c r="C514" t="s">
        <v>47</v>
      </c>
      <c r="D514" t="s">
        <v>53</v>
      </c>
      <c r="E514" t="s">
        <v>43</v>
      </c>
      <c r="F514" t="s">
        <v>37</v>
      </c>
      <c r="G514" t="s">
        <v>105</v>
      </c>
      <c r="H514">
        <v>3</v>
      </c>
      <c r="I514">
        <v>499.99</v>
      </c>
      <c r="J514">
        <v>1499.97</v>
      </c>
      <c r="K514" t="s">
        <v>82</v>
      </c>
      <c r="L514" t="s">
        <v>21</v>
      </c>
      <c r="M514">
        <v>174.64</v>
      </c>
      <c r="N514" s="3">
        <f t="shared" si="7"/>
        <v>45748</v>
      </c>
    </row>
    <row r="515" spans="1:14" x14ac:dyDescent="0.35">
      <c r="A515" t="s">
        <v>844</v>
      </c>
      <c r="B515" t="s">
        <v>218</v>
      </c>
      <c r="C515" t="s">
        <v>24</v>
      </c>
      <c r="D515" t="s">
        <v>69</v>
      </c>
      <c r="E515" t="s">
        <v>43</v>
      </c>
      <c r="F515" t="s">
        <v>37</v>
      </c>
      <c r="G515" t="s">
        <v>96</v>
      </c>
      <c r="H515">
        <v>3</v>
      </c>
      <c r="I515">
        <v>561.11</v>
      </c>
      <c r="J515">
        <v>1683.33</v>
      </c>
      <c r="K515" t="s">
        <v>49</v>
      </c>
      <c r="L515" t="s">
        <v>50</v>
      </c>
      <c r="M515">
        <v>526.78</v>
      </c>
      <c r="N515" s="3">
        <f t="shared" ref="N515:N578" si="8">DATE(YEAR(B515),MONTH(B515),1)</f>
        <v>45839</v>
      </c>
    </row>
    <row r="516" spans="1:14" x14ac:dyDescent="0.35">
      <c r="A516" t="s">
        <v>845</v>
      </c>
      <c r="B516" t="s">
        <v>125</v>
      </c>
      <c r="C516" t="s">
        <v>24</v>
      </c>
      <c r="D516" t="s">
        <v>53</v>
      </c>
      <c r="E516" t="s">
        <v>43</v>
      </c>
      <c r="F516" t="s">
        <v>44</v>
      </c>
      <c r="G516" t="s">
        <v>45</v>
      </c>
      <c r="H516">
        <v>5</v>
      </c>
      <c r="I516">
        <v>12.68</v>
      </c>
      <c r="J516">
        <v>63.4</v>
      </c>
      <c r="K516" t="s">
        <v>20</v>
      </c>
      <c r="L516" t="s">
        <v>50</v>
      </c>
      <c r="M516">
        <v>7.25</v>
      </c>
      <c r="N516" s="3">
        <f t="shared" si="8"/>
        <v>45778</v>
      </c>
    </row>
    <row r="517" spans="1:14" x14ac:dyDescent="0.35">
      <c r="A517" t="s">
        <v>846</v>
      </c>
      <c r="B517" t="s">
        <v>180</v>
      </c>
      <c r="C517" t="s">
        <v>24</v>
      </c>
      <c r="D517" t="s">
        <v>74</v>
      </c>
      <c r="E517" t="s">
        <v>43</v>
      </c>
      <c r="F517" t="s">
        <v>18</v>
      </c>
      <c r="G517" t="s">
        <v>38</v>
      </c>
      <c r="H517">
        <v>17</v>
      </c>
      <c r="I517">
        <v>942.39</v>
      </c>
      <c r="J517">
        <v>16020.63</v>
      </c>
      <c r="K517" t="s">
        <v>66</v>
      </c>
      <c r="L517" t="s">
        <v>77</v>
      </c>
      <c r="M517">
        <v>2552.67</v>
      </c>
      <c r="N517" s="3">
        <f t="shared" si="8"/>
        <v>45870</v>
      </c>
    </row>
    <row r="518" spans="1:14" x14ac:dyDescent="0.35">
      <c r="A518" t="s">
        <v>847</v>
      </c>
      <c r="B518" t="s">
        <v>848</v>
      </c>
      <c r="C518" t="s">
        <v>24</v>
      </c>
      <c r="D518" t="s">
        <v>16</v>
      </c>
      <c r="E518" t="s">
        <v>48</v>
      </c>
      <c r="F518" t="s">
        <v>37</v>
      </c>
      <c r="G518" t="s">
        <v>96</v>
      </c>
      <c r="H518">
        <v>16</v>
      </c>
      <c r="I518">
        <v>753.7</v>
      </c>
      <c r="J518">
        <v>12059.2</v>
      </c>
      <c r="K518" t="s">
        <v>66</v>
      </c>
      <c r="L518" t="s">
        <v>39</v>
      </c>
      <c r="M518">
        <v>3603.74</v>
      </c>
      <c r="N518" s="3">
        <f t="shared" si="8"/>
        <v>45658</v>
      </c>
    </row>
    <row r="519" spans="1:14" x14ac:dyDescent="0.35">
      <c r="A519" t="s">
        <v>849</v>
      </c>
      <c r="B519" t="s">
        <v>850</v>
      </c>
      <c r="C519" t="s">
        <v>15</v>
      </c>
      <c r="D519" t="s">
        <v>53</v>
      </c>
      <c r="E519" t="s">
        <v>43</v>
      </c>
      <c r="F519" t="s">
        <v>44</v>
      </c>
      <c r="G519" t="s">
        <v>45</v>
      </c>
      <c r="H519">
        <v>6</v>
      </c>
      <c r="I519">
        <v>215.32</v>
      </c>
      <c r="J519">
        <v>1291.92</v>
      </c>
      <c r="K519" t="s">
        <v>49</v>
      </c>
      <c r="L519" t="s">
        <v>39</v>
      </c>
      <c r="M519">
        <v>406.91</v>
      </c>
      <c r="N519" s="3">
        <f t="shared" si="8"/>
        <v>45870</v>
      </c>
    </row>
    <row r="520" spans="1:14" x14ac:dyDescent="0.35">
      <c r="A520" t="s">
        <v>851</v>
      </c>
      <c r="B520" t="s">
        <v>616</v>
      </c>
      <c r="C520" t="s">
        <v>24</v>
      </c>
      <c r="D520" t="s">
        <v>25</v>
      </c>
      <c r="E520" t="s">
        <v>17</v>
      </c>
      <c r="F520" t="s">
        <v>37</v>
      </c>
      <c r="G520" t="s">
        <v>45</v>
      </c>
      <c r="H520">
        <v>9</v>
      </c>
      <c r="I520">
        <v>747.78</v>
      </c>
      <c r="J520">
        <v>6730.02</v>
      </c>
      <c r="K520" t="s">
        <v>82</v>
      </c>
      <c r="L520" t="s">
        <v>34</v>
      </c>
      <c r="M520">
        <v>1046.6099999999999</v>
      </c>
      <c r="N520" s="3">
        <f t="shared" si="8"/>
        <v>45931</v>
      </c>
    </row>
    <row r="521" spans="1:14" x14ac:dyDescent="0.35">
      <c r="A521" t="s">
        <v>852</v>
      </c>
      <c r="B521" t="s">
        <v>607</v>
      </c>
      <c r="C521" t="s">
        <v>32</v>
      </c>
      <c r="D521" t="s">
        <v>116</v>
      </c>
      <c r="E521" t="s">
        <v>26</v>
      </c>
      <c r="F521" t="s">
        <v>44</v>
      </c>
      <c r="G521" t="s">
        <v>38</v>
      </c>
      <c r="H521">
        <v>16</v>
      </c>
      <c r="I521">
        <v>550.28</v>
      </c>
      <c r="J521">
        <v>8804.48</v>
      </c>
      <c r="K521" t="s">
        <v>82</v>
      </c>
      <c r="L521" t="s">
        <v>34</v>
      </c>
      <c r="M521">
        <v>2707.39</v>
      </c>
      <c r="N521" s="3">
        <f t="shared" si="8"/>
        <v>45778</v>
      </c>
    </row>
    <row r="522" spans="1:14" x14ac:dyDescent="0.35">
      <c r="A522" t="s">
        <v>853</v>
      </c>
      <c r="B522" t="s">
        <v>84</v>
      </c>
      <c r="C522" t="s">
        <v>32</v>
      </c>
      <c r="D522" t="s">
        <v>42</v>
      </c>
      <c r="E522" t="s">
        <v>43</v>
      </c>
      <c r="F522" t="s">
        <v>18</v>
      </c>
      <c r="G522" t="s">
        <v>28</v>
      </c>
      <c r="H522">
        <v>17</v>
      </c>
      <c r="I522">
        <v>962.94</v>
      </c>
      <c r="J522">
        <v>16369.98</v>
      </c>
      <c r="K522" t="s">
        <v>63</v>
      </c>
      <c r="L522" t="s">
        <v>50</v>
      </c>
      <c r="M522">
        <v>3116.98</v>
      </c>
      <c r="N522" s="3">
        <f t="shared" si="8"/>
        <v>45748</v>
      </c>
    </row>
    <row r="523" spans="1:14" x14ac:dyDescent="0.35">
      <c r="A523" t="s">
        <v>854</v>
      </c>
      <c r="B523" t="s">
        <v>432</v>
      </c>
      <c r="C523" t="s">
        <v>47</v>
      </c>
      <c r="D523" t="s">
        <v>16</v>
      </c>
      <c r="E523" t="s">
        <v>48</v>
      </c>
      <c r="F523" t="s">
        <v>27</v>
      </c>
      <c r="G523" t="s">
        <v>19</v>
      </c>
      <c r="H523">
        <v>4</v>
      </c>
      <c r="I523">
        <v>294.2</v>
      </c>
      <c r="J523">
        <v>1176.8</v>
      </c>
      <c r="K523" t="s">
        <v>20</v>
      </c>
      <c r="L523" t="s">
        <v>50</v>
      </c>
      <c r="M523">
        <v>125.87</v>
      </c>
      <c r="N523" s="3">
        <f t="shared" si="8"/>
        <v>45901</v>
      </c>
    </row>
    <row r="524" spans="1:14" x14ac:dyDescent="0.35">
      <c r="A524" t="s">
        <v>855</v>
      </c>
      <c r="B524" t="s">
        <v>771</v>
      </c>
      <c r="C524" t="s">
        <v>47</v>
      </c>
      <c r="D524" t="s">
        <v>42</v>
      </c>
      <c r="E524" t="s">
        <v>48</v>
      </c>
      <c r="F524" t="s">
        <v>18</v>
      </c>
      <c r="G524" t="s">
        <v>19</v>
      </c>
      <c r="H524">
        <v>16</v>
      </c>
      <c r="I524">
        <v>956.54</v>
      </c>
      <c r="J524">
        <v>15304.64</v>
      </c>
      <c r="K524" t="s">
        <v>29</v>
      </c>
      <c r="L524" t="s">
        <v>50</v>
      </c>
      <c r="M524">
        <v>2466.4</v>
      </c>
      <c r="N524" s="3">
        <f t="shared" si="8"/>
        <v>45689</v>
      </c>
    </row>
    <row r="525" spans="1:14" x14ac:dyDescent="0.35">
      <c r="A525" t="s">
        <v>856</v>
      </c>
      <c r="B525" t="s">
        <v>857</v>
      </c>
      <c r="C525" t="s">
        <v>32</v>
      </c>
      <c r="D525" t="s">
        <v>16</v>
      </c>
      <c r="E525" t="s">
        <v>43</v>
      </c>
      <c r="F525" t="s">
        <v>37</v>
      </c>
      <c r="G525" t="s">
        <v>38</v>
      </c>
      <c r="H525">
        <v>9</v>
      </c>
      <c r="I525">
        <v>238.82</v>
      </c>
      <c r="J525">
        <v>2149.38</v>
      </c>
      <c r="K525" t="s">
        <v>66</v>
      </c>
      <c r="L525" t="s">
        <v>39</v>
      </c>
      <c r="M525">
        <v>739.21</v>
      </c>
      <c r="N525" s="3">
        <f t="shared" si="8"/>
        <v>45748</v>
      </c>
    </row>
    <row r="526" spans="1:14" x14ac:dyDescent="0.35">
      <c r="A526" t="s">
        <v>858</v>
      </c>
      <c r="B526" t="s">
        <v>52</v>
      </c>
      <c r="C526" t="s">
        <v>15</v>
      </c>
      <c r="D526" t="s">
        <v>53</v>
      </c>
      <c r="E526" t="s">
        <v>43</v>
      </c>
      <c r="F526" t="s">
        <v>18</v>
      </c>
      <c r="G526" t="s">
        <v>56</v>
      </c>
      <c r="H526">
        <v>20</v>
      </c>
      <c r="I526">
        <v>690.7</v>
      </c>
      <c r="J526">
        <v>13814</v>
      </c>
      <c r="K526" t="s">
        <v>29</v>
      </c>
      <c r="L526" t="s">
        <v>21</v>
      </c>
      <c r="M526">
        <v>4312.88</v>
      </c>
      <c r="N526" s="3">
        <f t="shared" si="8"/>
        <v>45717</v>
      </c>
    </row>
    <row r="527" spans="1:14" x14ac:dyDescent="0.35">
      <c r="A527" t="s">
        <v>859</v>
      </c>
      <c r="B527" t="s">
        <v>860</v>
      </c>
      <c r="C527" t="s">
        <v>32</v>
      </c>
      <c r="D527" t="s">
        <v>33</v>
      </c>
      <c r="E527" t="s">
        <v>17</v>
      </c>
      <c r="F527" t="s">
        <v>27</v>
      </c>
      <c r="G527" t="s">
        <v>96</v>
      </c>
      <c r="H527">
        <v>3</v>
      </c>
      <c r="I527">
        <v>708.44</v>
      </c>
      <c r="J527">
        <v>2125.3200000000002</v>
      </c>
      <c r="K527" t="s">
        <v>29</v>
      </c>
      <c r="L527" t="s">
        <v>39</v>
      </c>
      <c r="M527">
        <v>690.8</v>
      </c>
      <c r="N527" s="3">
        <f t="shared" si="8"/>
        <v>45962</v>
      </c>
    </row>
    <row r="528" spans="1:14" x14ac:dyDescent="0.35">
      <c r="A528" t="s">
        <v>861</v>
      </c>
      <c r="B528" t="s">
        <v>757</v>
      </c>
      <c r="C528" t="s">
        <v>24</v>
      </c>
      <c r="D528" t="s">
        <v>25</v>
      </c>
      <c r="E528" t="s">
        <v>26</v>
      </c>
      <c r="F528" t="s">
        <v>18</v>
      </c>
      <c r="G528" t="s">
        <v>38</v>
      </c>
      <c r="H528">
        <v>6</v>
      </c>
      <c r="I528">
        <v>822.66</v>
      </c>
      <c r="J528">
        <v>4935.96</v>
      </c>
      <c r="K528" t="s">
        <v>82</v>
      </c>
      <c r="L528" t="s">
        <v>77</v>
      </c>
      <c r="M528">
        <v>695.1</v>
      </c>
      <c r="N528" s="3">
        <f t="shared" si="8"/>
        <v>45778</v>
      </c>
    </row>
    <row r="529" spans="1:14" x14ac:dyDescent="0.35">
      <c r="A529" t="s">
        <v>862</v>
      </c>
      <c r="B529" t="s">
        <v>461</v>
      </c>
      <c r="C529" t="s">
        <v>24</v>
      </c>
      <c r="D529" t="s">
        <v>74</v>
      </c>
      <c r="E529" t="s">
        <v>48</v>
      </c>
      <c r="F529" t="s">
        <v>27</v>
      </c>
      <c r="G529" t="s">
        <v>85</v>
      </c>
      <c r="H529">
        <v>18</v>
      </c>
      <c r="I529">
        <v>649.24</v>
      </c>
      <c r="J529">
        <v>11686.32</v>
      </c>
      <c r="K529" t="s">
        <v>49</v>
      </c>
      <c r="L529" t="s">
        <v>21</v>
      </c>
      <c r="M529">
        <v>1702.93</v>
      </c>
      <c r="N529" s="3">
        <f t="shared" si="8"/>
        <v>45962</v>
      </c>
    </row>
    <row r="530" spans="1:14" x14ac:dyDescent="0.35">
      <c r="A530" t="s">
        <v>863</v>
      </c>
      <c r="B530" t="s">
        <v>678</v>
      </c>
      <c r="C530" t="s">
        <v>24</v>
      </c>
      <c r="D530" t="s">
        <v>69</v>
      </c>
      <c r="E530" t="s">
        <v>17</v>
      </c>
      <c r="F530" t="s">
        <v>27</v>
      </c>
      <c r="G530" t="s">
        <v>56</v>
      </c>
      <c r="H530">
        <v>3</v>
      </c>
      <c r="I530">
        <v>932.41</v>
      </c>
      <c r="J530">
        <v>2797.23</v>
      </c>
      <c r="K530" t="s">
        <v>49</v>
      </c>
      <c r="L530" t="s">
        <v>21</v>
      </c>
      <c r="M530">
        <v>744.02</v>
      </c>
      <c r="N530" s="3">
        <f t="shared" si="8"/>
        <v>45962</v>
      </c>
    </row>
    <row r="531" spans="1:14" x14ac:dyDescent="0.35">
      <c r="A531" t="s">
        <v>864</v>
      </c>
      <c r="B531" t="s">
        <v>700</v>
      </c>
      <c r="C531" t="s">
        <v>24</v>
      </c>
      <c r="D531" t="s">
        <v>69</v>
      </c>
      <c r="E531" t="s">
        <v>43</v>
      </c>
      <c r="F531" t="s">
        <v>18</v>
      </c>
      <c r="G531" t="s">
        <v>96</v>
      </c>
      <c r="H531">
        <v>4</v>
      </c>
      <c r="I531">
        <v>968.15</v>
      </c>
      <c r="J531">
        <v>3872.6</v>
      </c>
      <c r="K531" t="s">
        <v>63</v>
      </c>
      <c r="L531" t="s">
        <v>34</v>
      </c>
      <c r="M531">
        <v>405.78</v>
      </c>
      <c r="N531" s="3">
        <f t="shared" si="8"/>
        <v>45870</v>
      </c>
    </row>
    <row r="532" spans="1:14" x14ac:dyDescent="0.35">
      <c r="A532" t="s">
        <v>865</v>
      </c>
      <c r="B532" t="s">
        <v>68</v>
      </c>
      <c r="C532" t="s">
        <v>24</v>
      </c>
      <c r="D532" t="s">
        <v>69</v>
      </c>
      <c r="E532" t="s">
        <v>26</v>
      </c>
      <c r="F532" t="s">
        <v>37</v>
      </c>
      <c r="G532" t="s">
        <v>96</v>
      </c>
      <c r="H532">
        <v>7</v>
      </c>
      <c r="I532">
        <v>650.79999999999995</v>
      </c>
      <c r="J532">
        <v>4555.6000000000004</v>
      </c>
      <c r="K532" t="s">
        <v>29</v>
      </c>
      <c r="L532" t="s">
        <v>50</v>
      </c>
      <c r="M532">
        <v>591.83000000000004</v>
      </c>
      <c r="N532" s="3">
        <f t="shared" si="8"/>
        <v>45809</v>
      </c>
    </row>
    <row r="533" spans="1:14" x14ac:dyDescent="0.35">
      <c r="A533" t="s">
        <v>866</v>
      </c>
      <c r="B533" t="s">
        <v>406</v>
      </c>
      <c r="C533" t="s">
        <v>15</v>
      </c>
      <c r="D533" t="s">
        <v>116</v>
      </c>
      <c r="E533" t="s">
        <v>48</v>
      </c>
      <c r="F533" t="s">
        <v>18</v>
      </c>
      <c r="G533" t="s">
        <v>38</v>
      </c>
      <c r="H533">
        <v>14</v>
      </c>
      <c r="I533">
        <v>328.25</v>
      </c>
      <c r="J533">
        <v>4595.5</v>
      </c>
      <c r="K533" t="s">
        <v>66</v>
      </c>
      <c r="L533" t="s">
        <v>21</v>
      </c>
      <c r="M533">
        <v>1300.75</v>
      </c>
      <c r="N533" s="3">
        <f t="shared" si="8"/>
        <v>45748</v>
      </c>
    </row>
    <row r="534" spans="1:14" x14ac:dyDescent="0.35">
      <c r="A534" t="s">
        <v>867</v>
      </c>
      <c r="B534" t="s">
        <v>738</v>
      </c>
      <c r="C534" t="s">
        <v>24</v>
      </c>
      <c r="D534" t="s">
        <v>53</v>
      </c>
      <c r="E534" t="s">
        <v>26</v>
      </c>
      <c r="F534" t="s">
        <v>27</v>
      </c>
      <c r="G534" t="s">
        <v>45</v>
      </c>
      <c r="H534">
        <v>4</v>
      </c>
      <c r="I534">
        <v>302.02</v>
      </c>
      <c r="J534">
        <v>1208.08</v>
      </c>
      <c r="K534" t="s">
        <v>82</v>
      </c>
      <c r="L534" t="s">
        <v>77</v>
      </c>
      <c r="M534">
        <v>229.03</v>
      </c>
      <c r="N534" s="3">
        <f t="shared" si="8"/>
        <v>45717</v>
      </c>
    </row>
    <row r="535" spans="1:14" x14ac:dyDescent="0.35">
      <c r="A535" t="s">
        <v>868</v>
      </c>
      <c r="B535" t="s">
        <v>172</v>
      </c>
      <c r="C535" t="s">
        <v>32</v>
      </c>
      <c r="D535" t="s">
        <v>74</v>
      </c>
      <c r="E535" t="s">
        <v>48</v>
      </c>
      <c r="F535" t="s">
        <v>18</v>
      </c>
      <c r="G535" t="s">
        <v>85</v>
      </c>
      <c r="H535">
        <v>9</v>
      </c>
      <c r="I535">
        <v>589.79999999999995</v>
      </c>
      <c r="J535">
        <v>5308.2</v>
      </c>
      <c r="K535" t="s">
        <v>66</v>
      </c>
      <c r="L535" t="s">
        <v>50</v>
      </c>
      <c r="M535">
        <v>1394.85</v>
      </c>
      <c r="N535" s="3">
        <f t="shared" si="8"/>
        <v>45748</v>
      </c>
    </row>
    <row r="536" spans="1:14" x14ac:dyDescent="0.35">
      <c r="A536" t="s">
        <v>869</v>
      </c>
      <c r="B536" t="s">
        <v>426</v>
      </c>
      <c r="C536" t="s">
        <v>24</v>
      </c>
      <c r="D536" t="s">
        <v>42</v>
      </c>
      <c r="E536" t="s">
        <v>48</v>
      </c>
      <c r="F536" t="s">
        <v>44</v>
      </c>
      <c r="G536" t="s">
        <v>96</v>
      </c>
      <c r="H536">
        <v>17</v>
      </c>
      <c r="I536">
        <v>608.4</v>
      </c>
      <c r="J536">
        <v>10342.799999999999</v>
      </c>
      <c r="K536" t="s">
        <v>49</v>
      </c>
      <c r="L536" t="s">
        <v>77</v>
      </c>
      <c r="M536">
        <v>3537.4</v>
      </c>
      <c r="N536" s="3">
        <f t="shared" si="8"/>
        <v>45689</v>
      </c>
    </row>
    <row r="537" spans="1:14" x14ac:dyDescent="0.35">
      <c r="A537" t="s">
        <v>870</v>
      </c>
      <c r="B537" t="s">
        <v>146</v>
      </c>
      <c r="C537" t="s">
        <v>15</v>
      </c>
      <c r="D537" t="s">
        <v>42</v>
      </c>
      <c r="E537" t="s">
        <v>17</v>
      </c>
      <c r="F537" t="s">
        <v>27</v>
      </c>
      <c r="G537" t="s">
        <v>19</v>
      </c>
      <c r="H537">
        <v>4</v>
      </c>
      <c r="I537">
        <v>138.53</v>
      </c>
      <c r="J537">
        <v>554.12</v>
      </c>
      <c r="K537" t="s">
        <v>63</v>
      </c>
      <c r="L537" t="s">
        <v>77</v>
      </c>
      <c r="M537">
        <v>123.75</v>
      </c>
      <c r="N537" s="3">
        <f t="shared" si="8"/>
        <v>45962</v>
      </c>
    </row>
    <row r="538" spans="1:14" x14ac:dyDescent="0.35">
      <c r="A538" t="s">
        <v>871</v>
      </c>
      <c r="B538" t="s">
        <v>104</v>
      </c>
      <c r="C538" t="s">
        <v>15</v>
      </c>
      <c r="D538" t="s">
        <v>116</v>
      </c>
      <c r="E538" t="s">
        <v>26</v>
      </c>
      <c r="F538" t="s">
        <v>18</v>
      </c>
      <c r="G538" t="s">
        <v>56</v>
      </c>
      <c r="H538">
        <v>19</v>
      </c>
      <c r="I538">
        <v>881.08</v>
      </c>
      <c r="J538">
        <v>16740.52</v>
      </c>
      <c r="K538" t="s">
        <v>29</v>
      </c>
      <c r="L538" t="s">
        <v>77</v>
      </c>
      <c r="M538">
        <v>4023.24</v>
      </c>
      <c r="N538" s="3">
        <f t="shared" si="8"/>
        <v>45931</v>
      </c>
    </row>
    <row r="539" spans="1:14" x14ac:dyDescent="0.35">
      <c r="A539" t="s">
        <v>872</v>
      </c>
      <c r="B539" t="s">
        <v>337</v>
      </c>
      <c r="C539" t="s">
        <v>24</v>
      </c>
      <c r="D539" t="s">
        <v>69</v>
      </c>
      <c r="E539" t="s">
        <v>43</v>
      </c>
      <c r="F539" t="s">
        <v>27</v>
      </c>
      <c r="G539" t="s">
        <v>38</v>
      </c>
      <c r="H539">
        <v>13</v>
      </c>
      <c r="I539">
        <v>355.64</v>
      </c>
      <c r="J539">
        <v>4623.32</v>
      </c>
      <c r="K539" t="s">
        <v>29</v>
      </c>
      <c r="L539" t="s">
        <v>21</v>
      </c>
      <c r="M539">
        <v>558.54</v>
      </c>
      <c r="N539" s="3">
        <f t="shared" si="8"/>
        <v>45689</v>
      </c>
    </row>
    <row r="540" spans="1:14" x14ac:dyDescent="0.35">
      <c r="A540" t="s">
        <v>873</v>
      </c>
      <c r="B540" t="s">
        <v>769</v>
      </c>
      <c r="C540" t="s">
        <v>15</v>
      </c>
      <c r="D540" t="s">
        <v>69</v>
      </c>
      <c r="E540" t="s">
        <v>43</v>
      </c>
      <c r="F540" t="s">
        <v>44</v>
      </c>
      <c r="G540" t="s">
        <v>28</v>
      </c>
      <c r="H540">
        <v>11</v>
      </c>
      <c r="I540">
        <v>244.6</v>
      </c>
      <c r="J540">
        <v>2690.6</v>
      </c>
      <c r="K540" t="s">
        <v>29</v>
      </c>
      <c r="L540" t="s">
        <v>34</v>
      </c>
      <c r="M540">
        <v>878.13</v>
      </c>
      <c r="N540" s="3">
        <f t="shared" si="8"/>
        <v>45658</v>
      </c>
    </row>
    <row r="541" spans="1:14" x14ac:dyDescent="0.35">
      <c r="A541" t="s">
        <v>874</v>
      </c>
      <c r="B541" t="s">
        <v>875</v>
      </c>
      <c r="C541" t="s">
        <v>24</v>
      </c>
      <c r="D541" t="s">
        <v>74</v>
      </c>
      <c r="E541" t="s">
        <v>26</v>
      </c>
      <c r="F541" t="s">
        <v>37</v>
      </c>
      <c r="G541" t="s">
        <v>96</v>
      </c>
      <c r="H541">
        <v>11</v>
      </c>
      <c r="I541">
        <v>501.04</v>
      </c>
      <c r="J541">
        <v>5511.44</v>
      </c>
      <c r="K541" t="s">
        <v>66</v>
      </c>
      <c r="L541" t="s">
        <v>21</v>
      </c>
      <c r="M541">
        <v>1084.3699999999999</v>
      </c>
      <c r="N541" s="3">
        <f t="shared" si="8"/>
        <v>45717</v>
      </c>
    </row>
    <row r="542" spans="1:14" x14ac:dyDescent="0.35">
      <c r="A542" t="s">
        <v>876</v>
      </c>
      <c r="B542" t="s">
        <v>678</v>
      </c>
      <c r="C542" t="s">
        <v>24</v>
      </c>
      <c r="D542" t="s">
        <v>69</v>
      </c>
      <c r="E542" t="s">
        <v>43</v>
      </c>
      <c r="F542" t="s">
        <v>18</v>
      </c>
      <c r="G542" t="s">
        <v>96</v>
      </c>
      <c r="H542">
        <v>9</v>
      </c>
      <c r="I542">
        <v>997.3</v>
      </c>
      <c r="J542">
        <v>8975.7000000000007</v>
      </c>
      <c r="K542" t="s">
        <v>29</v>
      </c>
      <c r="L542" t="s">
        <v>21</v>
      </c>
      <c r="M542">
        <v>1284.07</v>
      </c>
      <c r="N542" s="3">
        <f t="shared" si="8"/>
        <v>45962</v>
      </c>
    </row>
    <row r="543" spans="1:14" x14ac:dyDescent="0.35">
      <c r="A543" t="s">
        <v>877</v>
      </c>
      <c r="B543" t="s">
        <v>878</v>
      </c>
      <c r="C543" t="s">
        <v>15</v>
      </c>
      <c r="D543" t="s">
        <v>25</v>
      </c>
      <c r="E543" t="s">
        <v>43</v>
      </c>
      <c r="F543" t="s">
        <v>37</v>
      </c>
      <c r="G543" t="s">
        <v>28</v>
      </c>
      <c r="H543">
        <v>14</v>
      </c>
      <c r="I543">
        <v>518.28</v>
      </c>
      <c r="J543">
        <v>7255.92</v>
      </c>
      <c r="K543" t="s">
        <v>63</v>
      </c>
      <c r="L543" t="s">
        <v>21</v>
      </c>
      <c r="M543">
        <v>2369.42</v>
      </c>
      <c r="N543" s="3">
        <f t="shared" si="8"/>
        <v>45901</v>
      </c>
    </row>
    <row r="544" spans="1:14" x14ac:dyDescent="0.35">
      <c r="A544" t="s">
        <v>879</v>
      </c>
      <c r="B544" t="s">
        <v>91</v>
      </c>
      <c r="C544" t="s">
        <v>15</v>
      </c>
      <c r="D544" t="s">
        <v>74</v>
      </c>
      <c r="E544" t="s">
        <v>26</v>
      </c>
      <c r="F544" t="s">
        <v>27</v>
      </c>
      <c r="G544" t="s">
        <v>19</v>
      </c>
      <c r="H544">
        <v>15</v>
      </c>
      <c r="I544">
        <v>584.9</v>
      </c>
      <c r="J544">
        <v>8773.5</v>
      </c>
      <c r="K544" t="s">
        <v>63</v>
      </c>
      <c r="L544" t="s">
        <v>21</v>
      </c>
      <c r="M544">
        <v>2947.58</v>
      </c>
      <c r="N544" s="3">
        <f t="shared" si="8"/>
        <v>45809</v>
      </c>
    </row>
    <row r="545" spans="1:14" x14ac:dyDescent="0.35">
      <c r="A545" t="s">
        <v>880</v>
      </c>
      <c r="B545" t="s">
        <v>413</v>
      </c>
      <c r="C545" t="s">
        <v>32</v>
      </c>
      <c r="D545" t="s">
        <v>16</v>
      </c>
      <c r="E545" t="s">
        <v>17</v>
      </c>
      <c r="F545" t="s">
        <v>44</v>
      </c>
      <c r="G545" t="s">
        <v>45</v>
      </c>
      <c r="H545">
        <v>17</v>
      </c>
      <c r="I545">
        <v>401.09</v>
      </c>
      <c r="J545">
        <v>6818.53</v>
      </c>
      <c r="K545" t="s">
        <v>63</v>
      </c>
      <c r="L545" t="s">
        <v>21</v>
      </c>
      <c r="M545">
        <v>1439.11</v>
      </c>
      <c r="N545" s="3">
        <f t="shared" si="8"/>
        <v>45931</v>
      </c>
    </row>
    <row r="546" spans="1:14" x14ac:dyDescent="0.35">
      <c r="A546" t="s">
        <v>881</v>
      </c>
      <c r="B546" t="s">
        <v>174</v>
      </c>
      <c r="C546" t="s">
        <v>47</v>
      </c>
      <c r="D546" t="s">
        <v>53</v>
      </c>
      <c r="E546" t="s">
        <v>48</v>
      </c>
      <c r="F546" t="s">
        <v>44</v>
      </c>
      <c r="G546" t="s">
        <v>96</v>
      </c>
      <c r="H546">
        <v>16</v>
      </c>
      <c r="I546">
        <v>696.95</v>
      </c>
      <c r="J546">
        <v>11151.2</v>
      </c>
      <c r="K546" t="s">
        <v>63</v>
      </c>
      <c r="L546" t="s">
        <v>77</v>
      </c>
      <c r="M546">
        <v>1685.92</v>
      </c>
      <c r="N546" s="3">
        <f t="shared" si="8"/>
        <v>45992</v>
      </c>
    </row>
    <row r="547" spans="1:14" x14ac:dyDescent="0.35">
      <c r="A547" t="s">
        <v>882</v>
      </c>
      <c r="B547" t="s">
        <v>572</v>
      </c>
      <c r="C547" t="s">
        <v>24</v>
      </c>
      <c r="D547" t="s">
        <v>69</v>
      </c>
      <c r="E547" t="s">
        <v>17</v>
      </c>
      <c r="F547" t="s">
        <v>37</v>
      </c>
      <c r="G547" t="s">
        <v>96</v>
      </c>
      <c r="H547">
        <v>19</v>
      </c>
      <c r="I547">
        <v>967.29</v>
      </c>
      <c r="J547">
        <v>18378.509999999998</v>
      </c>
      <c r="K547" t="s">
        <v>49</v>
      </c>
      <c r="L547" t="s">
        <v>50</v>
      </c>
      <c r="M547">
        <v>5850.89</v>
      </c>
      <c r="N547" s="3">
        <f t="shared" si="8"/>
        <v>45931</v>
      </c>
    </row>
    <row r="548" spans="1:14" x14ac:dyDescent="0.35">
      <c r="A548" t="s">
        <v>883</v>
      </c>
      <c r="B548" t="s">
        <v>272</v>
      </c>
      <c r="C548" t="s">
        <v>32</v>
      </c>
      <c r="D548" t="s">
        <v>16</v>
      </c>
      <c r="E548" t="s">
        <v>48</v>
      </c>
      <c r="F548" t="s">
        <v>18</v>
      </c>
      <c r="G548" t="s">
        <v>85</v>
      </c>
      <c r="H548">
        <v>20</v>
      </c>
      <c r="I548">
        <v>869.58</v>
      </c>
      <c r="J548">
        <v>17391.599999999999</v>
      </c>
      <c r="K548" t="s">
        <v>63</v>
      </c>
      <c r="L548" t="s">
        <v>34</v>
      </c>
      <c r="M548">
        <v>2794.57</v>
      </c>
      <c r="N548" s="3">
        <f t="shared" si="8"/>
        <v>45931</v>
      </c>
    </row>
    <row r="549" spans="1:14" x14ac:dyDescent="0.35">
      <c r="A549" t="s">
        <v>884</v>
      </c>
      <c r="B549" t="s">
        <v>299</v>
      </c>
      <c r="C549" t="s">
        <v>15</v>
      </c>
      <c r="D549" t="s">
        <v>69</v>
      </c>
      <c r="E549" t="s">
        <v>17</v>
      </c>
      <c r="F549" t="s">
        <v>18</v>
      </c>
      <c r="G549" t="s">
        <v>56</v>
      </c>
      <c r="H549">
        <v>8</v>
      </c>
      <c r="I549">
        <v>851.25</v>
      </c>
      <c r="J549">
        <v>6810</v>
      </c>
      <c r="K549" t="s">
        <v>66</v>
      </c>
      <c r="L549" t="s">
        <v>39</v>
      </c>
      <c r="M549">
        <v>1070.23</v>
      </c>
      <c r="N549" s="3">
        <f t="shared" si="8"/>
        <v>45689</v>
      </c>
    </row>
    <row r="550" spans="1:14" x14ac:dyDescent="0.35">
      <c r="A550" t="s">
        <v>885</v>
      </c>
      <c r="B550" t="s">
        <v>886</v>
      </c>
      <c r="C550" t="s">
        <v>32</v>
      </c>
      <c r="D550" t="s">
        <v>74</v>
      </c>
      <c r="E550" t="s">
        <v>26</v>
      </c>
      <c r="F550" t="s">
        <v>27</v>
      </c>
      <c r="G550" t="s">
        <v>45</v>
      </c>
      <c r="H550">
        <v>13</v>
      </c>
      <c r="I550">
        <v>247.51</v>
      </c>
      <c r="J550">
        <v>3217.63</v>
      </c>
      <c r="K550" t="s">
        <v>29</v>
      </c>
      <c r="L550" t="s">
        <v>34</v>
      </c>
      <c r="M550">
        <v>345.59</v>
      </c>
      <c r="N550" s="3">
        <f t="shared" si="8"/>
        <v>45962</v>
      </c>
    </row>
    <row r="551" spans="1:14" x14ac:dyDescent="0.35">
      <c r="A551" t="s">
        <v>887</v>
      </c>
      <c r="B551" t="s">
        <v>888</v>
      </c>
      <c r="C551" t="s">
        <v>15</v>
      </c>
      <c r="D551" t="s">
        <v>42</v>
      </c>
      <c r="E551" t="s">
        <v>26</v>
      </c>
      <c r="F551" t="s">
        <v>18</v>
      </c>
      <c r="G551" t="s">
        <v>105</v>
      </c>
      <c r="H551">
        <v>16</v>
      </c>
      <c r="I551">
        <v>569.41</v>
      </c>
      <c r="J551">
        <v>9110.56</v>
      </c>
      <c r="K551" t="s">
        <v>63</v>
      </c>
      <c r="L551" t="s">
        <v>50</v>
      </c>
      <c r="M551">
        <v>1082.68</v>
      </c>
      <c r="N551" s="3">
        <f t="shared" si="8"/>
        <v>45658</v>
      </c>
    </row>
    <row r="552" spans="1:14" x14ac:dyDescent="0.35">
      <c r="A552" t="s">
        <v>889</v>
      </c>
      <c r="B552" t="s">
        <v>890</v>
      </c>
      <c r="C552" t="s">
        <v>15</v>
      </c>
      <c r="D552" t="s">
        <v>33</v>
      </c>
      <c r="E552" t="s">
        <v>26</v>
      </c>
      <c r="F552" t="s">
        <v>44</v>
      </c>
      <c r="G552" t="s">
        <v>56</v>
      </c>
      <c r="H552">
        <v>8</v>
      </c>
      <c r="I552">
        <v>964.63</v>
      </c>
      <c r="J552">
        <v>7717.04</v>
      </c>
      <c r="K552" t="s">
        <v>82</v>
      </c>
      <c r="L552" t="s">
        <v>39</v>
      </c>
      <c r="M552">
        <v>1327.9</v>
      </c>
      <c r="N552" s="3">
        <f t="shared" si="8"/>
        <v>45778</v>
      </c>
    </row>
    <row r="553" spans="1:14" x14ac:dyDescent="0.35">
      <c r="A553" t="s">
        <v>891</v>
      </c>
      <c r="B553" t="s">
        <v>892</v>
      </c>
      <c r="C553" t="s">
        <v>47</v>
      </c>
      <c r="D553" t="s">
        <v>42</v>
      </c>
      <c r="E553" t="s">
        <v>26</v>
      </c>
      <c r="F553" t="s">
        <v>37</v>
      </c>
      <c r="G553" t="s">
        <v>96</v>
      </c>
      <c r="H553">
        <v>2</v>
      </c>
      <c r="I553">
        <v>985.07</v>
      </c>
      <c r="J553">
        <v>1970.14</v>
      </c>
      <c r="K553" t="s">
        <v>82</v>
      </c>
      <c r="L553" t="s">
        <v>21</v>
      </c>
      <c r="M553">
        <v>441.77</v>
      </c>
      <c r="N553" s="3">
        <f t="shared" si="8"/>
        <v>45992</v>
      </c>
    </row>
    <row r="554" spans="1:14" x14ac:dyDescent="0.35">
      <c r="A554" t="s">
        <v>893</v>
      </c>
      <c r="B554" t="s">
        <v>451</v>
      </c>
      <c r="C554" t="s">
        <v>32</v>
      </c>
      <c r="D554" t="s">
        <v>16</v>
      </c>
      <c r="E554" t="s">
        <v>43</v>
      </c>
      <c r="F554" t="s">
        <v>44</v>
      </c>
      <c r="G554" t="s">
        <v>38</v>
      </c>
      <c r="H554">
        <v>20</v>
      </c>
      <c r="I554">
        <v>260.31</v>
      </c>
      <c r="J554">
        <v>5206.2</v>
      </c>
      <c r="K554" t="s">
        <v>29</v>
      </c>
      <c r="L554" t="s">
        <v>50</v>
      </c>
      <c r="M554">
        <v>984.52</v>
      </c>
      <c r="N554" s="3">
        <f t="shared" si="8"/>
        <v>45901</v>
      </c>
    </row>
    <row r="555" spans="1:14" x14ac:dyDescent="0.35">
      <c r="A555" t="s">
        <v>894</v>
      </c>
      <c r="B555" t="s">
        <v>895</v>
      </c>
      <c r="C555" t="s">
        <v>32</v>
      </c>
      <c r="D555" t="s">
        <v>116</v>
      </c>
      <c r="E555" t="s">
        <v>26</v>
      </c>
      <c r="F555" t="s">
        <v>44</v>
      </c>
      <c r="G555" t="s">
        <v>105</v>
      </c>
      <c r="H555">
        <v>12</v>
      </c>
      <c r="I555">
        <v>894.55</v>
      </c>
      <c r="J555">
        <v>10734.6</v>
      </c>
      <c r="K555" t="s">
        <v>20</v>
      </c>
      <c r="L555" t="s">
        <v>50</v>
      </c>
      <c r="M555">
        <v>1815.1</v>
      </c>
      <c r="N555" s="3">
        <f t="shared" si="8"/>
        <v>45658</v>
      </c>
    </row>
    <row r="556" spans="1:14" x14ac:dyDescent="0.35">
      <c r="A556" t="s">
        <v>896</v>
      </c>
      <c r="B556" t="s">
        <v>476</v>
      </c>
      <c r="C556" t="s">
        <v>32</v>
      </c>
      <c r="D556" t="s">
        <v>53</v>
      </c>
      <c r="E556" t="s">
        <v>26</v>
      </c>
      <c r="F556" t="s">
        <v>27</v>
      </c>
      <c r="G556" t="s">
        <v>56</v>
      </c>
      <c r="H556">
        <v>9</v>
      </c>
      <c r="I556">
        <v>527.99</v>
      </c>
      <c r="J556">
        <v>4751.91</v>
      </c>
      <c r="K556" t="s">
        <v>29</v>
      </c>
      <c r="L556" t="s">
        <v>39</v>
      </c>
      <c r="M556">
        <v>1517.38</v>
      </c>
      <c r="N556" s="3">
        <f t="shared" si="8"/>
        <v>45658</v>
      </c>
    </row>
    <row r="557" spans="1:14" x14ac:dyDescent="0.35">
      <c r="A557" t="s">
        <v>897</v>
      </c>
      <c r="B557" t="s">
        <v>898</v>
      </c>
      <c r="C557" t="s">
        <v>15</v>
      </c>
      <c r="D557" t="s">
        <v>42</v>
      </c>
      <c r="E557" t="s">
        <v>17</v>
      </c>
      <c r="F557" t="s">
        <v>27</v>
      </c>
      <c r="G557" t="s">
        <v>19</v>
      </c>
      <c r="H557">
        <v>4</v>
      </c>
      <c r="I557">
        <v>882.89</v>
      </c>
      <c r="J557">
        <v>3531.56</v>
      </c>
      <c r="K557" t="s">
        <v>29</v>
      </c>
      <c r="L557" t="s">
        <v>77</v>
      </c>
      <c r="M557">
        <v>890.38</v>
      </c>
      <c r="N557" s="3">
        <f t="shared" si="8"/>
        <v>45962</v>
      </c>
    </row>
    <row r="558" spans="1:14" x14ac:dyDescent="0.35">
      <c r="A558" t="s">
        <v>899</v>
      </c>
      <c r="B558" t="s">
        <v>146</v>
      </c>
      <c r="C558" t="s">
        <v>15</v>
      </c>
      <c r="D558" t="s">
        <v>16</v>
      </c>
      <c r="E558" t="s">
        <v>48</v>
      </c>
      <c r="F558" t="s">
        <v>37</v>
      </c>
      <c r="G558" t="s">
        <v>85</v>
      </c>
      <c r="H558">
        <v>20</v>
      </c>
      <c r="I558">
        <v>930.56</v>
      </c>
      <c r="J558">
        <v>18611.2</v>
      </c>
      <c r="K558" t="s">
        <v>82</v>
      </c>
      <c r="L558" t="s">
        <v>77</v>
      </c>
      <c r="M558">
        <v>4706.84</v>
      </c>
      <c r="N558" s="3">
        <f t="shared" si="8"/>
        <v>45962</v>
      </c>
    </row>
    <row r="559" spans="1:14" x14ac:dyDescent="0.35">
      <c r="A559" t="s">
        <v>900</v>
      </c>
      <c r="B559" t="s">
        <v>561</v>
      </c>
      <c r="C559" t="s">
        <v>32</v>
      </c>
      <c r="D559" t="s">
        <v>33</v>
      </c>
      <c r="E559" t="s">
        <v>43</v>
      </c>
      <c r="F559" t="s">
        <v>44</v>
      </c>
      <c r="G559" t="s">
        <v>19</v>
      </c>
      <c r="H559">
        <v>20</v>
      </c>
      <c r="I559">
        <v>425.82</v>
      </c>
      <c r="J559">
        <v>8516.4</v>
      </c>
      <c r="K559" t="s">
        <v>82</v>
      </c>
      <c r="L559" t="s">
        <v>50</v>
      </c>
      <c r="M559">
        <v>2647.74</v>
      </c>
      <c r="N559" s="3">
        <f t="shared" si="8"/>
        <v>45689</v>
      </c>
    </row>
    <row r="560" spans="1:14" x14ac:dyDescent="0.35">
      <c r="A560" t="s">
        <v>901</v>
      </c>
      <c r="B560" t="s">
        <v>102</v>
      </c>
      <c r="C560" t="s">
        <v>47</v>
      </c>
      <c r="D560" t="s">
        <v>33</v>
      </c>
      <c r="E560" t="s">
        <v>26</v>
      </c>
      <c r="F560" t="s">
        <v>18</v>
      </c>
      <c r="G560" t="s">
        <v>56</v>
      </c>
      <c r="H560">
        <v>10</v>
      </c>
      <c r="I560">
        <v>254.61</v>
      </c>
      <c r="J560">
        <v>2546.1</v>
      </c>
      <c r="K560" t="s">
        <v>66</v>
      </c>
      <c r="L560" t="s">
        <v>50</v>
      </c>
      <c r="M560">
        <v>579.29999999999995</v>
      </c>
      <c r="N560" s="3">
        <f t="shared" si="8"/>
        <v>45931</v>
      </c>
    </row>
    <row r="561" spans="1:14" x14ac:dyDescent="0.35">
      <c r="A561" t="s">
        <v>902</v>
      </c>
      <c r="B561" t="s">
        <v>903</v>
      </c>
      <c r="C561" t="s">
        <v>24</v>
      </c>
      <c r="D561" t="s">
        <v>69</v>
      </c>
      <c r="E561" t="s">
        <v>48</v>
      </c>
      <c r="F561" t="s">
        <v>37</v>
      </c>
      <c r="G561" t="s">
        <v>19</v>
      </c>
      <c r="H561">
        <v>7</v>
      </c>
      <c r="I561">
        <v>289.8</v>
      </c>
      <c r="J561">
        <v>2028.6</v>
      </c>
      <c r="K561" t="s">
        <v>20</v>
      </c>
      <c r="L561" t="s">
        <v>50</v>
      </c>
      <c r="M561">
        <v>515.79999999999995</v>
      </c>
      <c r="N561" s="3">
        <f t="shared" si="8"/>
        <v>45689</v>
      </c>
    </row>
    <row r="562" spans="1:14" x14ac:dyDescent="0.35">
      <c r="A562" t="s">
        <v>904</v>
      </c>
      <c r="B562" t="s">
        <v>905</v>
      </c>
      <c r="C562" t="s">
        <v>32</v>
      </c>
      <c r="D562" t="s">
        <v>116</v>
      </c>
      <c r="E562" t="s">
        <v>17</v>
      </c>
      <c r="F562" t="s">
        <v>44</v>
      </c>
      <c r="G562" t="s">
        <v>56</v>
      </c>
      <c r="H562">
        <v>4</v>
      </c>
      <c r="I562">
        <v>69.16</v>
      </c>
      <c r="J562">
        <v>276.64</v>
      </c>
      <c r="K562" t="s">
        <v>20</v>
      </c>
      <c r="L562" t="s">
        <v>21</v>
      </c>
      <c r="M562">
        <v>43.19</v>
      </c>
      <c r="N562" s="3">
        <f t="shared" si="8"/>
        <v>45809</v>
      </c>
    </row>
    <row r="563" spans="1:14" x14ac:dyDescent="0.35">
      <c r="A563" t="s">
        <v>906</v>
      </c>
      <c r="B563" t="s">
        <v>686</v>
      </c>
      <c r="C563" t="s">
        <v>47</v>
      </c>
      <c r="D563" t="s">
        <v>25</v>
      </c>
      <c r="E563" t="s">
        <v>26</v>
      </c>
      <c r="F563" t="s">
        <v>27</v>
      </c>
      <c r="G563" t="s">
        <v>38</v>
      </c>
      <c r="H563">
        <v>14</v>
      </c>
      <c r="I563">
        <v>491.42</v>
      </c>
      <c r="J563">
        <v>6879.88</v>
      </c>
      <c r="K563" t="s">
        <v>29</v>
      </c>
      <c r="L563" t="s">
        <v>39</v>
      </c>
      <c r="M563">
        <v>824.88</v>
      </c>
      <c r="N563" s="3">
        <f t="shared" si="8"/>
        <v>45809</v>
      </c>
    </row>
    <row r="564" spans="1:14" x14ac:dyDescent="0.35">
      <c r="A564" t="s">
        <v>907</v>
      </c>
      <c r="B564" t="s">
        <v>526</v>
      </c>
      <c r="C564" t="s">
        <v>24</v>
      </c>
      <c r="D564" t="s">
        <v>53</v>
      </c>
      <c r="E564" t="s">
        <v>48</v>
      </c>
      <c r="F564" t="s">
        <v>18</v>
      </c>
      <c r="G564" t="s">
        <v>96</v>
      </c>
      <c r="H564">
        <v>19</v>
      </c>
      <c r="I564">
        <v>124.49</v>
      </c>
      <c r="J564">
        <v>2365.31</v>
      </c>
      <c r="K564" t="s">
        <v>49</v>
      </c>
      <c r="L564" t="s">
        <v>50</v>
      </c>
      <c r="M564">
        <v>323.92</v>
      </c>
      <c r="N564" s="3">
        <f t="shared" si="8"/>
        <v>45992</v>
      </c>
    </row>
    <row r="565" spans="1:14" x14ac:dyDescent="0.35">
      <c r="A565" t="s">
        <v>908</v>
      </c>
      <c r="B565" t="s">
        <v>826</v>
      </c>
      <c r="C565" t="s">
        <v>47</v>
      </c>
      <c r="D565" t="s">
        <v>53</v>
      </c>
      <c r="E565" t="s">
        <v>26</v>
      </c>
      <c r="F565" t="s">
        <v>27</v>
      </c>
      <c r="G565" t="s">
        <v>85</v>
      </c>
      <c r="H565">
        <v>11</v>
      </c>
      <c r="I565">
        <v>990.96</v>
      </c>
      <c r="J565">
        <v>10900.56</v>
      </c>
      <c r="K565" t="s">
        <v>29</v>
      </c>
      <c r="L565" t="s">
        <v>77</v>
      </c>
      <c r="M565">
        <v>2244.75</v>
      </c>
      <c r="N565" s="3">
        <f t="shared" si="8"/>
        <v>45839</v>
      </c>
    </row>
    <row r="566" spans="1:14" x14ac:dyDescent="0.35">
      <c r="A566" t="s">
        <v>909</v>
      </c>
      <c r="B566" t="s">
        <v>364</v>
      </c>
      <c r="C566" t="s">
        <v>24</v>
      </c>
      <c r="D566" t="s">
        <v>42</v>
      </c>
      <c r="E566" t="s">
        <v>48</v>
      </c>
      <c r="F566" t="s">
        <v>37</v>
      </c>
      <c r="G566" t="s">
        <v>38</v>
      </c>
      <c r="H566">
        <v>19</v>
      </c>
      <c r="I566">
        <v>457.82</v>
      </c>
      <c r="J566">
        <v>8698.58</v>
      </c>
      <c r="K566" t="s">
        <v>82</v>
      </c>
      <c r="L566" t="s">
        <v>50</v>
      </c>
      <c r="M566">
        <v>2896.08</v>
      </c>
      <c r="N566" s="3">
        <f t="shared" si="8"/>
        <v>45839</v>
      </c>
    </row>
    <row r="567" spans="1:14" x14ac:dyDescent="0.35">
      <c r="A567" t="s">
        <v>910</v>
      </c>
      <c r="B567" t="s">
        <v>31</v>
      </c>
      <c r="C567" t="s">
        <v>15</v>
      </c>
      <c r="D567" t="s">
        <v>69</v>
      </c>
      <c r="E567" t="s">
        <v>17</v>
      </c>
      <c r="F567" t="s">
        <v>18</v>
      </c>
      <c r="G567" t="s">
        <v>28</v>
      </c>
      <c r="H567">
        <v>3</v>
      </c>
      <c r="I567">
        <v>236.33</v>
      </c>
      <c r="J567">
        <v>708.99</v>
      </c>
      <c r="K567" t="s">
        <v>82</v>
      </c>
      <c r="L567" t="s">
        <v>77</v>
      </c>
      <c r="M567">
        <v>154.94999999999999</v>
      </c>
      <c r="N567" s="3">
        <f t="shared" si="8"/>
        <v>45778</v>
      </c>
    </row>
    <row r="568" spans="1:14" x14ac:dyDescent="0.35">
      <c r="A568" t="s">
        <v>911</v>
      </c>
      <c r="B568" t="s">
        <v>201</v>
      </c>
      <c r="C568" t="s">
        <v>47</v>
      </c>
      <c r="D568" t="s">
        <v>16</v>
      </c>
      <c r="E568" t="s">
        <v>26</v>
      </c>
      <c r="F568" t="s">
        <v>37</v>
      </c>
      <c r="G568" t="s">
        <v>38</v>
      </c>
      <c r="H568">
        <v>14</v>
      </c>
      <c r="I568">
        <v>230.34</v>
      </c>
      <c r="J568">
        <v>3224.76</v>
      </c>
      <c r="K568" t="s">
        <v>29</v>
      </c>
      <c r="L568" t="s">
        <v>77</v>
      </c>
      <c r="M568">
        <v>501.3</v>
      </c>
      <c r="N568" s="3">
        <f t="shared" si="8"/>
        <v>45992</v>
      </c>
    </row>
    <row r="569" spans="1:14" x14ac:dyDescent="0.35">
      <c r="A569" t="s">
        <v>912</v>
      </c>
      <c r="B569" t="s">
        <v>73</v>
      </c>
      <c r="C569" t="s">
        <v>24</v>
      </c>
      <c r="D569" t="s">
        <v>69</v>
      </c>
      <c r="E569" t="s">
        <v>43</v>
      </c>
      <c r="F569" t="s">
        <v>27</v>
      </c>
      <c r="G569" t="s">
        <v>28</v>
      </c>
      <c r="H569">
        <v>7</v>
      </c>
      <c r="I569">
        <v>75.040000000000006</v>
      </c>
      <c r="J569">
        <v>525.28</v>
      </c>
      <c r="K569" t="s">
        <v>20</v>
      </c>
      <c r="L569" t="s">
        <v>39</v>
      </c>
      <c r="M569">
        <v>127.16</v>
      </c>
      <c r="N569" s="3">
        <f t="shared" si="8"/>
        <v>45717</v>
      </c>
    </row>
    <row r="570" spans="1:14" x14ac:dyDescent="0.35">
      <c r="A570" t="s">
        <v>913</v>
      </c>
      <c r="B570" t="s">
        <v>337</v>
      </c>
      <c r="C570" t="s">
        <v>15</v>
      </c>
      <c r="D570" t="s">
        <v>53</v>
      </c>
      <c r="E570" t="s">
        <v>26</v>
      </c>
      <c r="F570" t="s">
        <v>27</v>
      </c>
      <c r="G570" t="s">
        <v>56</v>
      </c>
      <c r="H570">
        <v>9</v>
      </c>
      <c r="I570">
        <v>67.7</v>
      </c>
      <c r="J570">
        <v>609.29999999999995</v>
      </c>
      <c r="K570" t="s">
        <v>66</v>
      </c>
      <c r="L570" t="s">
        <v>50</v>
      </c>
      <c r="M570">
        <v>69.33</v>
      </c>
      <c r="N570" s="3">
        <f t="shared" si="8"/>
        <v>45689</v>
      </c>
    </row>
    <row r="571" spans="1:14" x14ac:dyDescent="0.35">
      <c r="A571" t="s">
        <v>914</v>
      </c>
      <c r="B571" t="s">
        <v>581</v>
      </c>
      <c r="C571" t="s">
        <v>47</v>
      </c>
      <c r="D571" t="s">
        <v>25</v>
      </c>
      <c r="E571" t="s">
        <v>43</v>
      </c>
      <c r="F571" t="s">
        <v>37</v>
      </c>
      <c r="G571" t="s">
        <v>85</v>
      </c>
      <c r="H571">
        <v>18</v>
      </c>
      <c r="I571">
        <v>680.45</v>
      </c>
      <c r="J571">
        <v>12248.1</v>
      </c>
      <c r="K571" t="s">
        <v>20</v>
      </c>
      <c r="L571" t="s">
        <v>39</v>
      </c>
      <c r="M571">
        <v>3025.62</v>
      </c>
      <c r="N571" s="3">
        <f t="shared" si="8"/>
        <v>45870</v>
      </c>
    </row>
    <row r="572" spans="1:14" x14ac:dyDescent="0.35">
      <c r="A572" t="s">
        <v>915</v>
      </c>
      <c r="B572" t="s">
        <v>102</v>
      </c>
      <c r="C572" t="s">
        <v>47</v>
      </c>
      <c r="D572" t="s">
        <v>25</v>
      </c>
      <c r="E572" t="s">
        <v>17</v>
      </c>
      <c r="F572" t="s">
        <v>37</v>
      </c>
      <c r="G572" t="s">
        <v>19</v>
      </c>
      <c r="H572">
        <v>3</v>
      </c>
      <c r="I572">
        <v>237</v>
      </c>
      <c r="J572">
        <v>711</v>
      </c>
      <c r="K572" t="s">
        <v>63</v>
      </c>
      <c r="L572" t="s">
        <v>21</v>
      </c>
      <c r="M572">
        <v>192.94</v>
      </c>
      <c r="N572" s="3">
        <f t="shared" si="8"/>
        <v>45931</v>
      </c>
    </row>
    <row r="573" spans="1:14" x14ac:dyDescent="0.35">
      <c r="A573" t="s">
        <v>916</v>
      </c>
      <c r="B573" t="s">
        <v>661</v>
      </c>
      <c r="C573" t="s">
        <v>24</v>
      </c>
      <c r="D573" t="s">
        <v>69</v>
      </c>
      <c r="E573" t="s">
        <v>43</v>
      </c>
      <c r="F573" t="s">
        <v>44</v>
      </c>
      <c r="G573" t="s">
        <v>85</v>
      </c>
      <c r="H573">
        <v>15</v>
      </c>
      <c r="I573">
        <v>742.23</v>
      </c>
      <c r="J573">
        <v>11133.45</v>
      </c>
      <c r="K573" t="s">
        <v>29</v>
      </c>
      <c r="L573" t="s">
        <v>34</v>
      </c>
      <c r="M573">
        <v>2455.3200000000002</v>
      </c>
      <c r="N573" s="3">
        <f t="shared" si="8"/>
        <v>45689</v>
      </c>
    </row>
    <row r="574" spans="1:14" x14ac:dyDescent="0.35">
      <c r="A574" t="s">
        <v>917</v>
      </c>
      <c r="B574" t="s">
        <v>403</v>
      </c>
      <c r="C574" t="s">
        <v>24</v>
      </c>
      <c r="D574" t="s">
        <v>116</v>
      </c>
      <c r="E574" t="s">
        <v>26</v>
      </c>
      <c r="F574" t="s">
        <v>44</v>
      </c>
      <c r="G574" t="s">
        <v>19</v>
      </c>
      <c r="H574">
        <v>20</v>
      </c>
      <c r="I574">
        <v>662.59</v>
      </c>
      <c r="J574">
        <v>13251.8</v>
      </c>
      <c r="K574" t="s">
        <v>63</v>
      </c>
      <c r="L574" t="s">
        <v>34</v>
      </c>
      <c r="M574">
        <v>2843.39</v>
      </c>
      <c r="N574" s="3">
        <f t="shared" si="8"/>
        <v>45992</v>
      </c>
    </row>
    <row r="575" spans="1:14" x14ac:dyDescent="0.35">
      <c r="A575" t="s">
        <v>918</v>
      </c>
      <c r="B575" t="s">
        <v>578</v>
      </c>
      <c r="C575" t="s">
        <v>24</v>
      </c>
      <c r="D575" t="s">
        <v>116</v>
      </c>
      <c r="E575" t="s">
        <v>26</v>
      </c>
      <c r="F575" t="s">
        <v>37</v>
      </c>
      <c r="G575" t="s">
        <v>19</v>
      </c>
      <c r="H575">
        <v>15</v>
      </c>
      <c r="I575">
        <v>363.7</v>
      </c>
      <c r="J575">
        <v>5455.5</v>
      </c>
      <c r="K575" t="s">
        <v>29</v>
      </c>
      <c r="L575" t="s">
        <v>77</v>
      </c>
      <c r="M575">
        <v>761.43</v>
      </c>
      <c r="N575" s="3">
        <f t="shared" si="8"/>
        <v>45717</v>
      </c>
    </row>
    <row r="576" spans="1:14" x14ac:dyDescent="0.35">
      <c r="A576" t="s">
        <v>919</v>
      </c>
      <c r="B576" t="s">
        <v>492</v>
      </c>
      <c r="C576" t="s">
        <v>24</v>
      </c>
      <c r="D576" t="s">
        <v>116</v>
      </c>
      <c r="E576" t="s">
        <v>43</v>
      </c>
      <c r="F576" t="s">
        <v>27</v>
      </c>
      <c r="G576" t="s">
        <v>85</v>
      </c>
      <c r="H576">
        <v>17</v>
      </c>
      <c r="I576">
        <v>617.78</v>
      </c>
      <c r="J576">
        <v>10502.26</v>
      </c>
      <c r="K576" t="s">
        <v>63</v>
      </c>
      <c r="L576" t="s">
        <v>50</v>
      </c>
      <c r="M576">
        <v>1908.66</v>
      </c>
      <c r="N576" s="3">
        <f t="shared" si="8"/>
        <v>45689</v>
      </c>
    </row>
    <row r="577" spans="1:14" x14ac:dyDescent="0.35">
      <c r="A577" t="s">
        <v>920</v>
      </c>
      <c r="B577" t="s">
        <v>921</v>
      </c>
      <c r="C577" t="s">
        <v>24</v>
      </c>
      <c r="D577" t="s">
        <v>25</v>
      </c>
      <c r="E577" t="s">
        <v>48</v>
      </c>
      <c r="F577" t="s">
        <v>18</v>
      </c>
      <c r="G577" t="s">
        <v>38</v>
      </c>
      <c r="H577">
        <v>10</v>
      </c>
      <c r="I577">
        <v>634.84</v>
      </c>
      <c r="J577">
        <v>6348.4</v>
      </c>
      <c r="K577" t="s">
        <v>63</v>
      </c>
      <c r="L577" t="s">
        <v>50</v>
      </c>
      <c r="M577">
        <v>2023.2</v>
      </c>
      <c r="N577" s="3">
        <f t="shared" si="8"/>
        <v>45809</v>
      </c>
    </row>
    <row r="578" spans="1:14" x14ac:dyDescent="0.35">
      <c r="A578" t="s">
        <v>922</v>
      </c>
      <c r="B578" t="s">
        <v>113</v>
      </c>
      <c r="C578" t="s">
        <v>15</v>
      </c>
      <c r="D578" t="s">
        <v>69</v>
      </c>
      <c r="E578" t="s">
        <v>26</v>
      </c>
      <c r="F578" t="s">
        <v>18</v>
      </c>
      <c r="G578" t="s">
        <v>45</v>
      </c>
      <c r="H578">
        <v>4</v>
      </c>
      <c r="I578">
        <v>818.99</v>
      </c>
      <c r="J578">
        <v>3275.96</v>
      </c>
      <c r="K578" t="s">
        <v>66</v>
      </c>
      <c r="L578" t="s">
        <v>21</v>
      </c>
      <c r="M578">
        <v>397.31</v>
      </c>
      <c r="N578" s="3">
        <f t="shared" si="8"/>
        <v>45870</v>
      </c>
    </row>
    <row r="579" spans="1:14" x14ac:dyDescent="0.35">
      <c r="A579" t="s">
        <v>923</v>
      </c>
      <c r="B579" t="s">
        <v>261</v>
      </c>
      <c r="C579" t="s">
        <v>47</v>
      </c>
      <c r="D579" t="s">
        <v>16</v>
      </c>
      <c r="E579" t="s">
        <v>26</v>
      </c>
      <c r="F579" t="s">
        <v>44</v>
      </c>
      <c r="G579" t="s">
        <v>28</v>
      </c>
      <c r="H579">
        <v>5</v>
      </c>
      <c r="I579">
        <v>858.79</v>
      </c>
      <c r="J579">
        <v>4293.95</v>
      </c>
      <c r="K579" t="s">
        <v>82</v>
      </c>
      <c r="L579" t="s">
        <v>39</v>
      </c>
      <c r="M579">
        <v>1326.66</v>
      </c>
      <c r="N579" s="3">
        <f t="shared" ref="N579:N642" si="9">DATE(YEAR(B579),MONTH(B579),1)</f>
        <v>45992</v>
      </c>
    </row>
    <row r="580" spans="1:14" x14ac:dyDescent="0.35">
      <c r="A580" t="s">
        <v>924</v>
      </c>
      <c r="B580" t="s">
        <v>921</v>
      </c>
      <c r="C580" t="s">
        <v>47</v>
      </c>
      <c r="D580" t="s">
        <v>69</v>
      </c>
      <c r="E580" t="s">
        <v>17</v>
      </c>
      <c r="F580" t="s">
        <v>18</v>
      </c>
      <c r="G580" t="s">
        <v>96</v>
      </c>
      <c r="H580">
        <v>11</v>
      </c>
      <c r="I580">
        <v>657.52</v>
      </c>
      <c r="J580">
        <v>7232.72</v>
      </c>
      <c r="K580" t="s">
        <v>82</v>
      </c>
      <c r="L580" t="s">
        <v>50</v>
      </c>
      <c r="M580">
        <v>1543.17</v>
      </c>
      <c r="N580" s="3">
        <f t="shared" si="9"/>
        <v>45809</v>
      </c>
    </row>
    <row r="581" spans="1:14" x14ac:dyDescent="0.35">
      <c r="A581" t="s">
        <v>925</v>
      </c>
      <c r="B581" t="s">
        <v>926</v>
      </c>
      <c r="C581" t="s">
        <v>47</v>
      </c>
      <c r="D581" t="s">
        <v>16</v>
      </c>
      <c r="E581" t="s">
        <v>48</v>
      </c>
      <c r="F581" t="s">
        <v>27</v>
      </c>
      <c r="G581" t="s">
        <v>28</v>
      </c>
      <c r="H581">
        <v>9</v>
      </c>
      <c r="I581">
        <v>190.33</v>
      </c>
      <c r="J581">
        <v>1712.97</v>
      </c>
      <c r="K581" t="s">
        <v>63</v>
      </c>
      <c r="L581" t="s">
        <v>50</v>
      </c>
      <c r="M581">
        <v>207.71</v>
      </c>
      <c r="N581" s="3">
        <f t="shared" si="9"/>
        <v>45748</v>
      </c>
    </row>
    <row r="582" spans="1:14" x14ac:dyDescent="0.35">
      <c r="A582" t="s">
        <v>927</v>
      </c>
      <c r="B582" t="s">
        <v>928</v>
      </c>
      <c r="C582" t="s">
        <v>32</v>
      </c>
      <c r="D582" t="s">
        <v>33</v>
      </c>
      <c r="E582" t="s">
        <v>48</v>
      </c>
      <c r="F582" t="s">
        <v>44</v>
      </c>
      <c r="G582" t="s">
        <v>19</v>
      </c>
      <c r="H582">
        <v>12</v>
      </c>
      <c r="I582">
        <v>312.2</v>
      </c>
      <c r="J582">
        <v>3746.4</v>
      </c>
      <c r="K582" t="s">
        <v>20</v>
      </c>
      <c r="L582" t="s">
        <v>77</v>
      </c>
      <c r="M582">
        <v>987.35</v>
      </c>
      <c r="N582" s="3">
        <f t="shared" si="9"/>
        <v>45870</v>
      </c>
    </row>
    <row r="583" spans="1:14" x14ac:dyDescent="0.35">
      <c r="A583" t="s">
        <v>929</v>
      </c>
      <c r="B583" t="s">
        <v>794</v>
      </c>
      <c r="C583" t="s">
        <v>47</v>
      </c>
      <c r="D583" t="s">
        <v>42</v>
      </c>
      <c r="E583" t="s">
        <v>48</v>
      </c>
      <c r="F583" t="s">
        <v>44</v>
      </c>
      <c r="G583" t="s">
        <v>56</v>
      </c>
      <c r="H583">
        <v>6</v>
      </c>
      <c r="I583">
        <v>206.85</v>
      </c>
      <c r="J583">
        <v>1241.0999999999999</v>
      </c>
      <c r="K583" t="s">
        <v>49</v>
      </c>
      <c r="L583" t="s">
        <v>39</v>
      </c>
      <c r="M583">
        <v>232.1</v>
      </c>
      <c r="N583" s="3">
        <f t="shared" si="9"/>
        <v>45931</v>
      </c>
    </row>
    <row r="584" spans="1:14" x14ac:dyDescent="0.35">
      <c r="A584" t="s">
        <v>930</v>
      </c>
      <c r="B584" t="s">
        <v>578</v>
      </c>
      <c r="C584" t="s">
        <v>24</v>
      </c>
      <c r="D584" t="s">
        <v>16</v>
      </c>
      <c r="E584" t="s">
        <v>48</v>
      </c>
      <c r="F584" t="s">
        <v>37</v>
      </c>
      <c r="G584" t="s">
        <v>38</v>
      </c>
      <c r="H584">
        <v>6</v>
      </c>
      <c r="I584">
        <v>335.83</v>
      </c>
      <c r="J584">
        <v>2014.98</v>
      </c>
      <c r="K584" t="s">
        <v>29</v>
      </c>
      <c r="L584" t="s">
        <v>34</v>
      </c>
      <c r="M584">
        <v>475.3</v>
      </c>
      <c r="N584" s="3">
        <f t="shared" si="9"/>
        <v>45717</v>
      </c>
    </row>
    <row r="585" spans="1:14" x14ac:dyDescent="0.35">
      <c r="A585" t="s">
        <v>931</v>
      </c>
      <c r="B585" t="s">
        <v>771</v>
      </c>
      <c r="C585" t="s">
        <v>15</v>
      </c>
      <c r="D585" t="s">
        <v>42</v>
      </c>
      <c r="E585" t="s">
        <v>48</v>
      </c>
      <c r="F585" t="s">
        <v>18</v>
      </c>
      <c r="G585" t="s">
        <v>28</v>
      </c>
      <c r="H585">
        <v>18</v>
      </c>
      <c r="I585">
        <v>496.39</v>
      </c>
      <c r="J585">
        <v>8935.02</v>
      </c>
      <c r="K585" t="s">
        <v>63</v>
      </c>
      <c r="L585" t="s">
        <v>77</v>
      </c>
      <c r="M585">
        <v>2139.52</v>
      </c>
      <c r="N585" s="3">
        <f t="shared" si="9"/>
        <v>45689</v>
      </c>
    </row>
    <row r="586" spans="1:14" x14ac:dyDescent="0.35">
      <c r="A586" t="s">
        <v>932</v>
      </c>
      <c r="B586" t="s">
        <v>811</v>
      </c>
      <c r="C586" t="s">
        <v>47</v>
      </c>
      <c r="D586" t="s">
        <v>116</v>
      </c>
      <c r="E586" t="s">
        <v>43</v>
      </c>
      <c r="F586" t="s">
        <v>44</v>
      </c>
      <c r="G586" t="s">
        <v>105</v>
      </c>
      <c r="H586">
        <v>4</v>
      </c>
      <c r="I586">
        <v>930</v>
      </c>
      <c r="J586">
        <v>3720</v>
      </c>
      <c r="K586" t="s">
        <v>49</v>
      </c>
      <c r="L586" t="s">
        <v>50</v>
      </c>
      <c r="M586">
        <v>806.87</v>
      </c>
      <c r="N586" s="3">
        <f t="shared" si="9"/>
        <v>45901</v>
      </c>
    </row>
    <row r="587" spans="1:14" x14ac:dyDescent="0.35">
      <c r="A587" t="s">
        <v>933</v>
      </c>
      <c r="B587" t="s">
        <v>934</v>
      </c>
      <c r="C587" t="s">
        <v>32</v>
      </c>
      <c r="D587" t="s">
        <v>25</v>
      </c>
      <c r="E587" t="s">
        <v>26</v>
      </c>
      <c r="F587" t="s">
        <v>27</v>
      </c>
      <c r="G587" t="s">
        <v>38</v>
      </c>
      <c r="H587">
        <v>14</v>
      </c>
      <c r="I587">
        <v>985.56</v>
      </c>
      <c r="J587">
        <v>13797.84</v>
      </c>
      <c r="K587" t="s">
        <v>66</v>
      </c>
      <c r="L587" t="s">
        <v>50</v>
      </c>
      <c r="M587">
        <v>3061.6</v>
      </c>
      <c r="N587" s="3">
        <f t="shared" si="9"/>
        <v>45931</v>
      </c>
    </row>
    <row r="588" spans="1:14" x14ac:dyDescent="0.35">
      <c r="A588" t="s">
        <v>935</v>
      </c>
      <c r="B588" t="s">
        <v>207</v>
      </c>
      <c r="C588" t="s">
        <v>32</v>
      </c>
      <c r="D588" t="s">
        <v>16</v>
      </c>
      <c r="E588" t="s">
        <v>43</v>
      </c>
      <c r="F588" t="s">
        <v>27</v>
      </c>
      <c r="G588" t="s">
        <v>105</v>
      </c>
      <c r="H588">
        <v>16</v>
      </c>
      <c r="I588">
        <v>301.55</v>
      </c>
      <c r="J588">
        <v>4824.8</v>
      </c>
      <c r="K588" t="s">
        <v>82</v>
      </c>
      <c r="L588" t="s">
        <v>50</v>
      </c>
      <c r="M588">
        <v>1637.62</v>
      </c>
      <c r="N588" s="3">
        <f t="shared" si="9"/>
        <v>45992</v>
      </c>
    </row>
    <row r="589" spans="1:14" x14ac:dyDescent="0.35">
      <c r="A589" t="s">
        <v>936</v>
      </c>
      <c r="B589" t="s">
        <v>781</v>
      </c>
      <c r="C589" t="s">
        <v>24</v>
      </c>
      <c r="D589" t="s">
        <v>16</v>
      </c>
      <c r="E589" t="s">
        <v>48</v>
      </c>
      <c r="F589" t="s">
        <v>37</v>
      </c>
      <c r="G589" t="s">
        <v>45</v>
      </c>
      <c r="H589">
        <v>13</v>
      </c>
      <c r="I589">
        <v>665.07</v>
      </c>
      <c r="J589">
        <v>8645.91</v>
      </c>
      <c r="K589" t="s">
        <v>29</v>
      </c>
      <c r="L589" t="s">
        <v>34</v>
      </c>
      <c r="M589">
        <v>1339.1</v>
      </c>
      <c r="N589" s="3">
        <f t="shared" si="9"/>
        <v>45992</v>
      </c>
    </row>
    <row r="590" spans="1:14" x14ac:dyDescent="0.35">
      <c r="A590" t="s">
        <v>937</v>
      </c>
      <c r="B590" t="s">
        <v>104</v>
      </c>
      <c r="C590" t="s">
        <v>15</v>
      </c>
      <c r="D590" t="s">
        <v>25</v>
      </c>
      <c r="E590" t="s">
        <v>17</v>
      </c>
      <c r="F590" t="s">
        <v>37</v>
      </c>
      <c r="G590" t="s">
        <v>85</v>
      </c>
      <c r="H590">
        <v>11</v>
      </c>
      <c r="I590">
        <v>685.19</v>
      </c>
      <c r="J590">
        <v>7537.09</v>
      </c>
      <c r="K590" t="s">
        <v>66</v>
      </c>
      <c r="L590" t="s">
        <v>34</v>
      </c>
      <c r="M590">
        <v>2481.4899999999998</v>
      </c>
      <c r="N590" s="3">
        <f t="shared" si="9"/>
        <v>45931</v>
      </c>
    </row>
    <row r="591" spans="1:14" x14ac:dyDescent="0.35">
      <c r="A591" t="s">
        <v>938</v>
      </c>
      <c r="B591" t="s">
        <v>55</v>
      </c>
      <c r="C591" t="s">
        <v>24</v>
      </c>
      <c r="D591" t="s">
        <v>69</v>
      </c>
      <c r="E591" t="s">
        <v>17</v>
      </c>
      <c r="F591" t="s">
        <v>27</v>
      </c>
      <c r="G591" t="s">
        <v>38</v>
      </c>
      <c r="H591">
        <v>5</v>
      </c>
      <c r="I591">
        <v>737.41</v>
      </c>
      <c r="J591">
        <v>3687.05</v>
      </c>
      <c r="K591" t="s">
        <v>63</v>
      </c>
      <c r="L591" t="s">
        <v>77</v>
      </c>
      <c r="M591">
        <v>1012.21</v>
      </c>
      <c r="N591" s="3">
        <f t="shared" si="9"/>
        <v>45870</v>
      </c>
    </row>
    <row r="592" spans="1:14" x14ac:dyDescent="0.35">
      <c r="A592" t="s">
        <v>939</v>
      </c>
      <c r="B592" t="s">
        <v>940</v>
      </c>
      <c r="C592" t="s">
        <v>47</v>
      </c>
      <c r="D592" t="s">
        <v>74</v>
      </c>
      <c r="E592" t="s">
        <v>26</v>
      </c>
      <c r="F592" t="s">
        <v>18</v>
      </c>
      <c r="G592" t="s">
        <v>45</v>
      </c>
      <c r="H592">
        <v>11</v>
      </c>
      <c r="I592">
        <v>959.07</v>
      </c>
      <c r="J592">
        <v>10549.77</v>
      </c>
      <c r="K592" t="s">
        <v>82</v>
      </c>
      <c r="L592" t="s">
        <v>50</v>
      </c>
      <c r="M592">
        <v>3323.48</v>
      </c>
      <c r="N592" s="3">
        <f t="shared" si="9"/>
        <v>45870</v>
      </c>
    </row>
    <row r="593" spans="1:14" x14ac:dyDescent="0.35">
      <c r="A593" t="s">
        <v>941</v>
      </c>
      <c r="B593" t="s">
        <v>324</v>
      </c>
      <c r="C593" t="s">
        <v>47</v>
      </c>
      <c r="D593" t="s">
        <v>33</v>
      </c>
      <c r="E593" t="s">
        <v>48</v>
      </c>
      <c r="F593" t="s">
        <v>37</v>
      </c>
      <c r="G593" t="s">
        <v>38</v>
      </c>
      <c r="H593">
        <v>20</v>
      </c>
      <c r="I593">
        <v>971.04</v>
      </c>
      <c r="J593">
        <v>19420.8</v>
      </c>
      <c r="K593" t="s">
        <v>66</v>
      </c>
      <c r="L593" t="s">
        <v>50</v>
      </c>
      <c r="M593">
        <v>2205.13</v>
      </c>
      <c r="N593" s="3">
        <f t="shared" si="9"/>
        <v>45717</v>
      </c>
    </row>
    <row r="594" spans="1:14" x14ac:dyDescent="0.35">
      <c r="A594" t="s">
        <v>942</v>
      </c>
      <c r="B594" t="s">
        <v>943</v>
      </c>
      <c r="C594" t="s">
        <v>24</v>
      </c>
      <c r="D594" t="s">
        <v>116</v>
      </c>
      <c r="E594" t="s">
        <v>17</v>
      </c>
      <c r="F594" t="s">
        <v>18</v>
      </c>
      <c r="G594" t="s">
        <v>105</v>
      </c>
      <c r="H594">
        <v>11</v>
      </c>
      <c r="I594">
        <v>289.44</v>
      </c>
      <c r="J594">
        <v>3183.84</v>
      </c>
      <c r="K594" t="s">
        <v>20</v>
      </c>
      <c r="L594" t="s">
        <v>50</v>
      </c>
      <c r="M594">
        <v>719.72</v>
      </c>
      <c r="N594" s="3">
        <f t="shared" si="9"/>
        <v>45931</v>
      </c>
    </row>
    <row r="595" spans="1:14" x14ac:dyDescent="0.35">
      <c r="A595" t="s">
        <v>944</v>
      </c>
      <c r="B595" t="s">
        <v>538</v>
      </c>
      <c r="C595" t="s">
        <v>47</v>
      </c>
      <c r="D595" t="s">
        <v>42</v>
      </c>
      <c r="E595" t="s">
        <v>43</v>
      </c>
      <c r="F595" t="s">
        <v>44</v>
      </c>
      <c r="G595" t="s">
        <v>105</v>
      </c>
      <c r="H595">
        <v>3</v>
      </c>
      <c r="I595">
        <v>79.92</v>
      </c>
      <c r="J595">
        <v>239.76</v>
      </c>
      <c r="K595" t="s">
        <v>29</v>
      </c>
      <c r="L595" t="s">
        <v>50</v>
      </c>
      <c r="M595">
        <v>56.31</v>
      </c>
      <c r="N595" s="3">
        <f t="shared" si="9"/>
        <v>45689</v>
      </c>
    </row>
    <row r="596" spans="1:14" x14ac:dyDescent="0.35">
      <c r="A596" t="s">
        <v>945</v>
      </c>
      <c r="B596" t="s">
        <v>227</v>
      </c>
      <c r="C596" t="s">
        <v>15</v>
      </c>
      <c r="D596" t="s">
        <v>42</v>
      </c>
      <c r="E596" t="s">
        <v>17</v>
      </c>
      <c r="F596" t="s">
        <v>37</v>
      </c>
      <c r="G596" t="s">
        <v>96</v>
      </c>
      <c r="H596">
        <v>19</v>
      </c>
      <c r="I596">
        <v>723.5</v>
      </c>
      <c r="J596">
        <v>13746.5</v>
      </c>
      <c r="K596" t="s">
        <v>82</v>
      </c>
      <c r="L596" t="s">
        <v>39</v>
      </c>
      <c r="M596">
        <v>2755.57</v>
      </c>
      <c r="N596" s="3">
        <f t="shared" si="9"/>
        <v>45870</v>
      </c>
    </row>
    <row r="597" spans="1:14" x14ac:dyDescent="0.35">
      <c r="A597" t="s">
        <v>946</v>
      </c>
      <c r="B597" t="s">
        <v>544</v>
      </c>
      <c r="C597" t="s">
        <v>24</v>
      </c>
      <c r="D597" t="s">
        <v>33</v>
      </c>
      <c r="E597" t="s">
        <v>17</v>
      </c>
      <c r="F597" t="s">
        <v>37</v>
      </c>
      <c r="G597" t="s">
        <v>45</v>
      </c>
      <c r="H597">
        <v>14</v>
      </c>
      <c r="I597">
        <v>281.58</v>
      </c>
      <c r="J597">
        <v>3942.12</v>
      </c>
      <c r="K597" t="s">
        <v>66</v>
      </c>
      <c r="L597" t="s">
        <v>34</v>
      </c>
      <c r="M597">
        <v>987.58</v>
      </c>
      <c r="N597" s="3">
        <f t="shared" si="9"/>
        <v>45931</v>
      </c>
    </row>
    <row r="598" spans="1:14" x14ac:dyDescent="0.35">
      <c r="A598" t="s">
        <v>947</v>
      </c>
      <c r="B598" t="s">
        <v>833</v>
      </c>
      <c r="C598" t="s">
        <v>24</v>
      </c>
      <c r="D598" t="s">
        <v>42</v>
      </c>
      <c r="E598" t="s">
        <v>43</v>
      </c>
      <c r="F598" t="s">
        <v>27</v>
      </c>
      <c r="G598" t="s">
        <v>28</v>
      </c>
      <c r="H598">
        <v>2</v>
      </c>
      <c r="I598">
        <v>511.95</v>
      </c>
      <c r="J598">
        <v>1023.9</v>
      </c>
      <c r="K598" t="s">
        <v>49</v>
      </c>
      <c r="L598" t="s">
        <v>21</v>
      </c>
      <c r="M598">
        <v>128.57</v>
      </c>
      <c r="N598" s="3">
        <f t="shared" si="9"/>
        <v>45870</v>
      </c>
    </row>
    <row r="599" spans="1:14" x14ac:dyDescent="0.35">
      <c r="A599" t="s">
        <v>948</v>
      </c>
      <c r="B599" t="s">
        <v>949</v>
      </c>
      <c r="C599" t="s">
        <v>32</v>
      </c>
      <c r="D599" t="s">
        <v>116</v>
      </c>
      <c r="E599" t="s">
        <v>43</v>
      </c>
      <c r="F599" t="s">
        <v>27</v>
      </c>
      <c r="G599" t="s">
        <v>56</v>
      </c>
      <c r="H599">
        <v>20</v>
      </c>
      <c r="I599">
        <v>502.78</v>
      </c>
      <c r="J599">
        <v>10055.6</v>
      </c>
      <c r="K599" t="s">
        <v>20</v>
      </c>
      <c r="L599" t="s">
        <v>21</v>
      </c>
      <c r="M599">
        <v>1814.55</v>
      </c>
      <c r="N599" s="3">
        <f t="shared" si="9"/>
        <v>45839</v>
      </c>
    </row>
    <row r="600" spans="1:14" x14ac:dyDescent="0.35">
      <c r="A600" t="s">
        <v>950</v>
      </c>
      <c r="B600" t="s">
        <v>384</v>
      </c>
      <c r="C600" t="s">
        <v>32</v>
      </c>
      <c r="D600" t="s">
        <v>33</v>
      </c>
      <c r="E600" t="s">
        <v>48</v>
      </c>
      <c r="F600" t="s">
        <v>44</v>
      </c>
      <c r="G600" t="s">
        <v>56</v>
      </c>
      <c r="H600">
        <v>11</v>
      </c>
      <c r="I600">
        <v>838.14</v>
      </c>
      <c r="J600">
        <v>9219.5400000000009</v>
      </c>
      <c r="K600" t="s">
        <v>49</v>
      </c>
      <c r="L600" t="s">
        <v>77</v>
      </c>
      <c r="M600">
        <v>2908.69</v>
      </c>
      <c r="N600" s="3">
        <f t="shared" si="9"/>
        <v>45931</v>
      </c>
    </row>
    <row r="601" spans="1:14" x14ac:dyDescent="0.35">
      <c r="A601" t="s">
        <v>951</v>
      </c>
      <c r="B601" t="s">
        <v>107</v>
      </c>
      <c r="C601" t="s">
        <v>24</v>
      </c>
      <c r="D601" t="s">
        <v>74</v>
      </c>
      <c r="E601" t="s">
        <v>43</v>
      </c>
      <c r="F601" t="s">
        <v>37</v>
      </c>
      <c r="G601" t="s">
        <v>85</v>
      </c>
      <c r="H601">
        <v>20</v>
      </c>
      <c r="I601">
        <v>866.9</v>
      </c>
      <c r="J601">
        <v>17338</v>
      </c>
      <c r="K601" t="s">
        <v>29</v>
      </c>
      <c r="L601" t="s">
        <v>50</v>
      </c>
      <c r="M601">
        <v>5719.49</v>
      </c>
      <c r="N601" s="3">
        <f t="shared" si="9"/>
        <v>45778</v>
      </c>
    </row>
    <row r="602" spans="1:14" x14ac:dyDescent="0.35">
      <c r="A602" t="s">
        <v>952</v>
      </c>
      <c r="B602" t="s">
        <v>489</v>
      </c>
      <c r="C602" t="s">
        <v>32</v>
      </c>
      <c r="D602" t="s">
        <v>53</v>
      </c>
      <c r="E602" t="s">
        <v>26</v>
      </c>
      <c r="F602" t="s">
        <v>18</v>
      </c>
      <c r="G602" t="s">
        <v>96</v>
      </c>
      <c r="H602">
        <v>15</v>
      </c>
      <c r="I602">
        <v>833.84</v>
      </c>
      <c r="J602">
        <v>12507.6</v>
      </c>
      <c r="K602" t="s">
        <v>66</v>
      </c>
      <c r="L602" t="s">
        <v>39</v>
      </c>
      <c r="M602">
        <v>2401.84</v>
      </c>
      <c r="N602" s="3">
        <f t="shared" si="9"/>
        <v>45658</v>
      </c>
    </row>
    <row r="603" spans="1:14" x14ac:dyDescent="0.35">
      <c r="A603" t="s">
        <v>953</v>
      </c>
      <c r="B603" t="s">
        <v>356</v>
      </c>
      <c r="C603" t="s">
        <v>47</v>
      </c>
      <c r="D603" t="s">
        <v>69</v>
      </c>
      <c r="E603" t="s">
        <v>17</v>
      </c>
      <c r="F603" t="s">
        <v>44</v>
      </c>
      <c r="G603" t="s">
        <v>38</v>
      </c>
      <c r="H603">
        <v>6</v>
      </c>
      <c r="I603">
        <v>181.77</v>
      </c>
      <c r="J603">
        <v>1090.6199999999999</v>
      </c>
      <c r="K603" t="s">
        <v>20</v>
      </c>
      <c r="L603" t="s">
        <v>39</v>
      </c>
      <c r="M603">
        <v>291.31</v>
      </c>
      <c r="N603" s="3">
        <f t="shared" si="9"/>
        <v>45870</v>
      </c>
    </row>
    <row r="604" spans="1:14" x14ac:dyDescent="0.35">
      <c r="A604" t="s">
        <v>954</v>
      </c>
      <c r="B604" t="s">
        <v>267</v>
      </c>
      <c r="C604" t="s">
        <v>24</v>
      </c>
      <c r="D604" t="s">
        <v>25</v>
      </c>
      <c r="E604" t="s">
        <v>17</v>
      </c>
      <c r="F604" t="s">
        <v>37</v>
      </c>
      <c r="G604" t="s">
        <v>96</v>
      </c>
      <c r="H604">
        <v>9</v>
      </c>
      <c r="I604">
        <v>23.56</v>
      </c>
      <c r="J604">
        <v>212.04</v>
      </c>
      <c r="K604" t="s">
        <v>82</v>
      </c>
      <c r="L604" t="s">
        <v>50</v>
      </c>
      <c r="M604">
        <v>35.520000000000003</v>
      </c>
      <c r="N604" s="3">
        <f t="shared" si="9"/>
        <v>45809</v>
      </c>
    </row>
    <row r="605" spans="1:14" x14ac:dyDescent="0.35">
      <c r="A605" t="s">
        <v>955</v>
      </c>
      <c r="B605" t="s">
        <v>186</v>
      </c>
      <c r="C605" t="s">
        <v>24</v>
      </c>
      <c r="D605" t="s">
        <v>42</v>
      </c>
      <c r="E605" t="s">
        <v>48</v>
      </c>
      <c r="F605" t="s">
        <v>27</v>
      </c>
      <c r="G605" t="s">
        <v>38</v>
      </c>
      <c r="H605">
        <v>20</v>
      </c>
      <c r="I605">
        <v>739.46</v>
      </c>
      <c r="J605">
        <v>14789.2</v>
      </c>
      <c r="K605" t="s">
        <v>20</v>
      </c>
      <c r="L605" t="s">
        <v>21</v>
      </c>
      <c r="M605">
        <v>1601.59</v>
      </c>
      <c r="N605" s="3">
        <f t="shared" si="9"/>
        <v>45839</v>
      </c>
    </row>
    <row r="606" spans="1:14" x14ac:dyDescent="0.35">
      <c r="A606" t="s">
        <v>956</v>
      </c>
      <c r="B606" t="s">
        <v>957</v>
      </c>
      <c r="C606" t="s">
        <v>15</v>
      </c>
      <c r="D606" t="s">
        <v>42</v>
      </c>
      <c r="E606" t="s">
        <v>26</v>
      </c>
      <c r="F606" t="s">
        <v>18</v>
      </c>
      <c r="G606" t="s">
        <v>105</v>
      </c>
      <c r="H606">
        <v>16</v>
      </c>
      <c r="I606">
        <v>567.38</v>
      </c>
      <c r="J606">
        <v>9078.08</v>
      </c>
      <c r="K606" t="s">
        <v>49</v>
      </c>
      <c r="L606" t="s">
        <v>50</v>
      </c>
      <c r="M606">
        <v>2748.83</v>
      </c>
      <c r="N606" s="3">
        <f t="shared" si="9"/>
        <v>45839</v>
      </c>
    </row>
    <row r="607" spans="1:14" x14ac:dyDescent="0.35">
      <c r="A607" t="s">
        <v>958</v>
      </c>
      <c r="B607" t="s">
        <v>102</v>
      </c>
      <c r="C607" t="s">
        <v>24</v>
      </c>
      <c r="D607" t="s">
        <v>74</v>
      </c>
      <c r="E607" t="s">
        <v>48</v>
      </c>
      <c r="F607" t="s">
        <v>37</v>
      </c>
      <c r="G607" t="s">
        <v>56</v>
      </c>
      <c r="H607">
        <v>5</v>
      </c>
      <c r="I607">
        <v>488.5</v>
      </c>
      <c r="J607">
        <v>2442.5</v>
      </c>
      <c r="K607" t="s">
        <v>66</v>
      </c>
      <c r="L607" t="s">
        <v>50</v>
      </c>
      <c r="M607">
        <v>754.04</v>
      </c>
      <c r="N607" s="3">
        <f t="shared" si="9"/>
        <v>45931</v>
      </c>
    </row>
    <row r="608" spans="1:14" x14ac:dyDescent="0.35">
      <c r="A608" t="s">
        <v>959</v>
      </c>
      <c r="B608" t="s">
        <v>646</v>
      </c>
      <c r="C608" t="s">
        <v>24</v>
      </c>
      <c r="D608" t="s">
        <v>25</v>
      </c>
      <c r="E608" t="s">
        <v>48</v>
      </c>
      <c r="F608" t="s">
        <v>27</v>
      </c>
      <c r="G608" t="s">
        <v>85</v>
      </c>
      <c r="H608">
        <v>11</v>
      </c>
      <c r="I608">
        <v>911.74</v>
      </c>
      <c r="J608">
        <v>10029.14</v>
      </c>
      <c r="K608" t="s">
        <v>20</v>
      </c>
      <c r="L608" t="s">
        <v>39</v>
      </c>
      <c r="M608">
        <v>1446.9</v>
      </c>
      <c r="N608" s="3">
        <f t="shared" si="9"/>
        <v>45717</v>
      </c>
    </row>
    <row r="609" spans="1:14" x14ac:dyDescent="0.35">
      <c r="A609" t="s">
        <v>960</v>
      </c>
      <c r="B609" t="s">
        <v>380</v>
      </c>
      <c r="C609" t="s">
        <v>15</v>
      </c>
      <c r="D609" t="s">
        <v>33</v>
      </c>
      <c r="E609" t="s">
        <v>17</v>
      </c>
      <c r="F609" t="s">
        <v>44</v>
      </c>
      <c r="G609" t="s">
        <v>45</v>
      </c>
      <c r="H609">
        <v>15</v>
      </c>
      <c r="I609">
        <v>881.67</v>
      </c>
      <c r="J609">
        <v>13225.05</v>
      </c>
      <c r="K609" t="s">
        <v>29</v>
      </c>
      <c r="L609" t="s">
        <v>77</v>
      </c>
      <c r="M609">
        <v>3009.63</v>
      </c>
      <c r="N609" s="3">
        <f t="shared" si="9"/>
        <v>45778</v>
      </c>
    </row>
    <row r="610" spans="1:14" x14ac:dyDescent="0.35">
      <c r="A610" t="s">
        <v>961</v>
      </c>
      <c r="B610" t="s">
        <v>158</v>
      </c>
      <c r="C610" t="s">
        <v>24</v>
      </c>
      <c r="D610" t="s">
        <v>69</v>
      </c>
      <c r="E610" t="s">
        <v>26</v>
      </c>
      <c r="F610" t="s">
        <v>37</v>
      </c>
      <c r="G610" t="s">
        <v>45</v>
      </c>
      <c r="H610">
        <v>1</v>
      </c>
      <c r="I610">
        <v>759.11</v>
      </c>
      <c r="J610">
        <v>759.11</v>
      </c>
      <c r="K610" t="s">
        <v>63</v>
      </c>
      <c r="L610" t="s">
        <v>77</v>
      </c>
      <c r="M610">
        <v>120.99</v>
      </c>
      <c r="N610" s="3">
        <f t="shared" si="9"/>
        <v>45778</v>
      </c>
    </row>
    <row r="611" spans="1:14" x14ac:dyDescent="0.35">
      <c r="A611" t="s">
        <v>962</v>
      </c>
      <c r="B611" t="s">
        <v>761</v>
      </c>
      <c r="C611" t="s">
        <v>32</v>
      </c>
      <c r="D611" t="s">
        <v>42</v>
      </c>
      <c r="E611" t="s">
        <v>48</v>
      </c>
      <c r="F611" t="s">
        <v>27</v>
      </c>
      <c r="G611" t="s">
        <v>56</v>
      </c>
      <c r="H611">
        <v>17</v>
      </c>
      <c r="I611">
        <v>44</v>
      </c>
      <c r="J611">
        <v>748</v>
      </c>
      <c r="K611" t="s">
        <v>49</v>
      </c>
      <c r="L611" t="s">
        <v>77</v>
      </c>
      <c r="M611">
        <v>109.94</v>
      </c>
      <c r="N611" s="3">
        <f t="shared" si="9"/>
        <v>45901</v>
      </c>
    </row>
    <row r="612" spans="1:14" x14ac:dyDescent="0.35">
      <c r="A612" t="s">
        <v>963</v>
      </c>
      <c r="B612" t="s">
        <v>587</v>
      </c>
      <c r="C612" t="s">
        <v>24</v>
      </c>
      <c r="D612" t="s">
        <v>74</v>
      </c>
      <c r="E612" t="s">
        <v>48</v>
      </c>
      <c r="F612" t="s">
        <v>44</v>
      </c>
      <c r="G612" t="s">
        <v>28</v>
      </c>
      <c r="H612">
        <v>8</v>
      </c>
      <c r="I612">
        <v>921.81</v>
      </c>
      <c r="J612">
        <v>7374.48</v>
      </c>
      <c r="K612" t="s">
        <v>20</v>
      </c>
      <c r="L612" t="s">
        <v>39</v>
      </c>
      <c r="M612">
        <v>2471.7199999999998</v>
      </c>
      <c r="N612" s="3">
        <f t="shared" si="9"/>
        <v>45717</v>
      </c>
    </row>
    <row r="613" spans="1:14" x14ac:dyDescent="0.35">
      <c r="A613" t="s">
        <v>964</v>
      </c>
      <c r="B613" t="s">
        <v>79</v>
      </c>
      <c r="C613" t="s">
        <v>47</v>
      </c>
      <c r="D613" t="s">
        <v>116</v>
      </c>
      <c r="E613" t="s">
        <v>26</v>
      </c>
      <c r="F613" t="s">
        <v>18</v>
      </c>
      <c r="G613" t="s">
        <v>19</v>
      </c>
      <c r="H613">
        <v>17</v>
      </c>
      <c r="I613">
        <v>932.16</v>
      </c>
      <c r="J613">
        <v>15846.72</v>
      </c>
      <c r="K613" t="s">
        <v>63</v>
      </c>
      <c r="L613" t="s">
        <v>39</v>
      </c>
      <c r="M613">
        <v>2501.75</v>
      </c>
      <c r="N613" s="3">
        <f t="shared" si="9"/>
        <v>45901</v>
      </c>
    </row>
    <row r="614" spans="1:14" x14ac:dyDescent="0.35">
      <c r="A614" t="s">
        <v>965</v>
      </c>
      <c r="B614" t="s">
        <v>480</v>
      </c>
      <c r="C614" t="s">
        <v>15</v>
      </c>
      <c r="D614" t="s">
        <v>33</v>
      </c>
      <c r="E614" t="s">
        <v>43</v>
      </c>
      <c r="F614" t="s">
        <v>27</v>
      </c>
      <c r="G614" t="s">
        <v>28</v>
      </c>
      <c r="H614">
        <v>1</v>
      </c>
      <c r="I614">
        <v>594.79</v>
      </c>
      <c r="J614">
        <v>594.79</v>
      </c>
      <c r="K614" t="s">
        <v>20</v>
      </c>
      <c r="L614" t="s">
        <v>50</v>
      </c>
      <c r="M614">
        <v>103.31</v>
      </c>
      <c r="N614" s="3">
        <f t="shared" si="9"/>
        <v>45809</v>
      </c>
    </row>
    <row r="615" spans="1:14" x14ac:dyDescent="0.35">
      <c r="A615" t="s">
        <v>966</v>
      </c>
      <c r="B615" t="s">
        <v>191</v>
      </c>
      <c r="C615" t="s">
        <v>47</v>
      </c>
      <c r="D615" t="s">
        <v>53</v>
      </c>
      <c r="E615" t="s">
        <v>48</v>
      </c>
      <c r="F615" t="s">
        <v>18</v>
      </c>
      <c r="G615" t="s">
        <v>19</v>
      </c>
      <c r="H615">
        <v>3</v>
      </c>
      <c r="I615">
        <v>217.6</v>
      </c>
      <c r="J615">
        <v>652.79999999999995</v>
      </c>
      <c r="K615" t="s">
        <v>49</v>
      </c>
      <c r="L615" t="s">
        <v>77</v>
      </c>
      <c r="M615">
        <v>220.18</v>
      </c>
      <c r="N615" s="3">
        <f t="shared" si="9"/>
        <v>45839</v>
      </c>
    </row>
    <row r="616" spans="1:14" x14ac:dyDescent="0.35">
      <c r="A616" t="s">
        <v>967</v>
      </c>
      <c r="B616" t="s">
        <v>692</v>
      </c>
      <c r="C616" t="s">
        <v>15</v>
      </c>
      <c r="D616" t="s">
        <v>42</v>
      </c>
      <c r="E616" t="s">
        <v>26</v>
      </c>
      <c r="F616" t="s">
        <v>37</v>
      </c>
      <c r="G616" t="s">
        <v>38</v>
      </c>
      <c r="H616">
        <v>5</v>
      </c>
      <c r="I616">
        <v>227.61</v>
      </c>
      <c r="J616">
        <v>1138.05</v>
      </c>
      <c r="K616" t="s">
        <v>66</v>
      </c>
      <c r="L616" t="s">
        <v>34</v>
      </c>
      <c r="M616">
        <v>210.63</v>
      </c>
      <c r="N616" s="3">
        <f t="shared" si="9"/>
        <v>45689</v>
      </c>
    </row>
    <row r="617" spans="1:14" x14ac:dyDescent="0.35">
      <c r="A617" t="s">
        <v>968</v>
      </c>
      <c r="B617" t="s">
        <v>403</v>
      </c>
      <c r="C617" t="s">
        <v>24</v>
      </c>
      <c r="D617" t="s">
        <v>53</v>
      </c>
      <c r="E617" t="s">
        <v>43</v>
      </c>
      <c r="F617" t="s">
        <v>27</v>
      </c>
      <c r="G617" t="s">
        <v>96</v>
      </c>
      <c r="H617">
        <v>19</v>
      </c>
      <c r="I617">
        <v>630.38</v>
      </c>
      <c r="J617">
        <v>11977.22</v>
      </c>
      <c r="K617" t="s">
        <v>20</v>
      </c>
      <c r="L617" t="s">
        <v>21</v>
      </c>
      <c r="M617">
        <v>2944.21</v>
      </c>
      <c r="N617" s="3">
        <f t="shared" si="9"/>
        <v>45992</v>
      </c>
    </row>
    <row r="618" spans="1:14" x14ac:dyDescent="0.35">
      <c r="A618" t="s">
        <v>969</v>
      </c>
      <c r="B618" t="s">
        <v>102</v>
      </c>
      <c r="C618" t="s">
        <v>32</v>
      </c>
      <c r="D618" t="s">
        <v>69</v>
      </c>
      <c r="E618" t="s">
        <v>26</v>
      </c>
      <c r="F618" t="s">
        <v>37</v>
      </c>
      <c r="G618" t="s">
        <v>85</v>
      </c>
      <c r="H618">
        <v>7</v>
      </c>
      <c r="I618">
        <v>582.82000000000005</v>
      </c>
      <c r="J618">
        <v>4079.74</v>
      </c>
      <c r="K618" t="s">
        <v>63</v>
      </c>
      <c r="L618" t="s">
        <v>77</v>
      </c>
      <c r="M618">
        <v>454.01</v>
      </c>
      <c r="N618" s="3">
        <f t="shared" si="9"/>
        <v>45931</v>
      </c>
    </row>
    <row r="619" spans="1:14" x14ac:dyDescent="0.35">
      <c r="A619" t="s">
        <v>970</v>
      </c>
      <c r="B619" t="s">
        <v>416</v>
      </c>
      <c r="C619" t="s">
        <v>32</v>
      </c>
      <c r="D619" t="s">
        <v>69</v>
      </c>
      <c r="E619" t="s">
        <v>17</v>
      </c>
      <c r="F619" t="s">
        <v>27</v>
      </c>
      <c r="G619" t="s">
        <v>105</v>
      </c>
      <c r="H619">
        <v>20</v>
      </c>
      <c r="I619">
        <v>803.96</v>
      </c>
      <c r="J619">
        <v>16079.2</v>
      </c>
      <c r="K619" t="s">
        <v>29</v>
      </c>
      <c r="L619" t="s">
        <v>77</v>
      </c>
      <c r="M619">
        <v>2796.24</v>
      </c>
      <c r="N619" s="3">
        <f t="shared" si="9"/>
        <v>45778</v>
      </c>
    </row>
    <row r="620" spans="1:14" x14ac:dyDescent="0.35">
      <c r="A620" t="s">
        <v>971</v>
      </c>
      <c r="B620" t="s">
        <v>162</v>
      </c>
      <c r="C620" t="s">
        <v>32</v>
      </c>
      <c r="D620" t="s">
        <v>116</v>
      </c>
      <c r="E620" t="s">
        <v>17</v>
      </c>
      <c r="F620" t="s">
        <v>18</v>
      </c>
      <c r="G620" t="s">
        <v>85</v>
      </c>
      <c r="H620">
        <v>12</v>
      </c>
      <c r="I620">
        <v>961.34</v>
      </c>
      <c r="J620">
        <v>11536.08</v>
      </c>
      <c r="K620" t="s">
        <v>49</v>
      </c>
      <c r="L620" t="s">
        <v>50</v>
      </c>
      <c r="M620">
        <v>1920.97</v>
      </c>
      <c r="N620" s="3">
        <f t="shared" si="9"/>
        <v>45992</v>
      </c>
    </row>
    <row r="621" spans="1:14" x14ac:dyDescent="0.35">
      <c r="A621" t="s">
        <v>972</v>
      </c>
      <c r="B621" t="s">
        <v>973</v>
      </c>
      <c r="C621" t="s">
        <v>32</v>
      </c>
      <c r="D621" t="s">
        <v>16</v>
      </c>
      <c r="E621" t="s">
        <v>43</v>
      </c>
      <c r="F621" t="s">
        <v>37</v>
      </c>
      <c r="G621" t="s">
        <v>38</v>
      </c>
      <c r="H621">
        <v>15</v>
      </c>
      <c r="I621">
        <v>651.69000000000005</v>
      </c>
      <c r="J621">
        <v>9775.35</v>
      </c>
      <c r="K621" t="s">
        <v>29</v>
      </c>
      <c r="L621" t="s">
        <v>21</v>
      </c>
      <c r="M621">
        <v>2834.42</v>
      </c>
      <c r="N621" s="3">
        <f t="shared" si="9"/>
        <v>45839</v>
      </c>
    </row>
    <row r="622" spans="1:14" x14ac:dyDescent="0.35">
      <c r="A622" t="s">
        <v>974</v>
      </c>
      <c r="B622" t="s">
        <v>311</v>
      </c>
      <c r="C622" t="s">
        <v>32</v>
      </c>
      <c r="D622" t="s">
        <v>25</v>
      </c>
      <c r="E622" t="s">
        <v>17</v>
      </c>
      <c r="F622" t="s">
        <v>37</v>
      </c>
      <c r="G622" t="s">
        <v>85</v>
      </c>
      <c r="H622">
        <v>17</v>
      </c>
      <c r="I622">
        <v>799.39</v>
      </c>
      <c r="J622">
        <v>13589.63</v>
      </c>
      <c r="K622" t="s">
        <v>82</v>
      </c>
      <c r="L622" t="s">
        <v>77</v>
      </c>
      <c r="M622">
        <v>3015.7</v>
      </c>
      <c r="N622" s="3">
        <f t="shared" si="9"/>
        <v>45717</v>
      </c>
    </row>
    <row r="623" spans="1:14" x14ac:dyDescent="0.35">
      <c r="A623" t="s">
        <v>975</v>
      </c>
      <c r="B623" t="s">
        <v>976</v>
      </c>
      <c r="C623" t="s">
        <v>32</v>
      </c>
      <c r="D623" t="s">
        <v>25</v>
      </c>
      <c r="E623" t="s">
        <v>43</v>
      </c>
      <c r="F623" t="s">
        <v>37</v>
      </c>
      <c r="G623" t="s">
        <v>19</v>
      </c>
      <c r="H623">
        <v>9</v>
      </c>
      <c r="I623">
        <v>183</v>
      </c>
      <c r="J623">
        <v>1647</v>
      </c>
      <c r="K623" t="s">
        <v>63</v>
      </c>
      <c r="L623" t="s">
        <v>50</v>
      </c>
      <c r="M623">
        <v>548.25</v>
      </c>
      <c r="N623" s="3">
        <f t="shared" si="9"/>
        <v>45992</v>
      </c>
    </row>
    <row r="624" spans="1:14" x14ac:dyDescent="0.35">
      <c r="A624" t="s">
        <v>977</v>
      </c>
      <c r="B624" t="s">
        <v>949</v>
      </c>
      <c r="C624" t="s">
        <v>15</v>
      </c>
      <c r="D624" t="s">
        <v>16</v>
      </c>
      <c r="E624" t="s">
        <v>26</v>
      </c>
      <c r="F624" t="s">
        <v>18</v>
      </c>
      <c r="G624" t="s">
        <v>38</v>
      </c>
      <c r="H624">
        <v>6</v>
      </c>
      <c r="I624">
        <v>322.27999999999997</v>
      </c>
      <c r="J624">
        <v>1933.68</v>
      </c>
      <c r="K624" t="s">
        <v>49</v>
      </c>
      <c r="L624" t="s">
        <v>34</v>
      </c>
      <c r="M624">
        <v>413.48</v>
      </c>
      <c r="N624" s="3">
        <f t="shared" si="9"/>
        <v>45839</v>
      </c>
    </row>
    <row r="625" spans="1:14" x14ac:dyDescent="0.35">
      <c r="A625" t="s">
        <v>978</v>
      </c>
      <c r="B625" t="s">
        <v>166</v>
      </c>
      <c r="C625" t="s">
        <v>47</v>
      </c>
      <c r="D625" t="s">
        <v>69</v>
      </c>
      <c r="E625" t="s">
        <v>48</v>
      </c>
      <c r="F625" t="s">
        <v>37</v>
      </c>
      <c r="G625" t="s">
        <v>96</v>
      </c>
      <c r="H625">
        <v>20</v>
      </c>
      <c r="I625">
        <v>697.71</v>
      </c>
      <c r="J625">
        <v>13954.2</v>
      </c>
      <c r="K625" t="s">
        <v>63</v>
      </c>
      <c r="L625" t="s">
        <v>21</v>
      </c>
      <c r="M625">
        <v>2245.79</v>
      </c>
      <c r="N625" s="3">
        <f t="shared" si="9"/>
        <v>45748</v>
      </c>
    </row>
    <row r="626" spans="1:14" x14ac:dyDescent="0.35">
      <c r="A626" t="s">
        <v>979</v>
      </c>
      <c r="B626" t="s">
        <v>895</v>
      </c>
      <c r="C626" t="s">
        <v>47</v>
      </c>
      <c r="D626" t="s">
        <v>74</v>
      </c>
      <c r="E626" t="s">
        <v>48</v>
      </c>
      <c r="F626" t="s">
        <v>37</v>
      </c>
      <c r="G626" t="s">
        <v>19</v>
      </c>
      <c r="H626">
        <v>11</v>
      </c>
      <c r="I626">
        <v>944.08</v>
      </c>
      <c r="J626">
        <v>10384.879999999999</v>
      </c>
      <c r="K626" t="s">
        <v>49</v>
      </c>
      <c r="L626" t="s">
        <v>39</v>
      </c>
      <c r="M626">
        <v>1610.96</v>
      </c>
      <c r="N626" s="3">
        <f t="shared" si="9"/>
        <v>45658</v>
      </c>
    </row>
    <row r="627" spans="1:14" x14ac:dyDescent="0.35">
      <c r="A627" t="s">
        <v>980</v>
      </c>
      <c r="B627" t="s">
        <v>127</v>
      </c>
      <c r="C627" t="s">
        <v>15</v>
      </c>
      <c r="D627" t="s">
        <v>74</v>
      </c>
      <c r="E627" t="s">
        <v>48</v>
      </c>
      <c r="F627" t="s">
        <v>27</v>
      </c>
      <c r="G627" t="s">
        <v>38</v>
      </c>
      <c r="H627">
        <v>18</v>
      </c>
      <c r="I627">
        <v>52.61</v>
      </c>
      <c r="J627">
        <v>946.98</v>
      </c>
      <c r="K627" t="s">
        <v>63</v>
      </c>
      <c r="L627" t="s">
        <v>77</v>
      </c>
      <c r="M627">
        <v>276.33</v>
      </c>
      <c r="N627" s="3">
        <f t="shared" si="9"/>
        <v>45901</v>
      </c>
    </row>
    <row r="628" spans="1:14" x14ac:dyDescent="0.35">
      <c r="A628" t="s">
        <v>981</v>
      </c>
      <c r="B628" t="s">
        <v>223</v>
      </c>
      <c r="C628" t="s">
        <v>47</v>
      </c>
      <c r="D628" t="s">
        <v>116</v>
      </c>
      <c r="E628" t="s">
        <v>48</v>
      </c>
      <c r="F628" t="s">
        <v>37</v>
      </c>
      <c r="G628" t="s">
        <v>28</v>
      </c>
      <c r="H628">
        <v>16</v>
      </c>
      <c r="I628">
        <v>614.49</v>
      </c>
      <c r="J628">
        <v>9831.84</v>
      </c>
      <c r="K628" t="s">
        <v>29</v>
      </c>
      <c r="L628" t="s">
        <v>50</v>
      </c>
      <c r="M628">
        <v>1585.16</v>
      </c>
      <c r="N628" s="3">
        <f t="shared" si="9"/>
        <v>45658</v>
      </c>
    </row>
    <row r="629" spans="1:14" x14ac:dyDescent="0.35">
      <c r="A629" t="s">
        <v>982</v>
      </c>
      <c r="B629" t="s">
        <v>308</v>
      </c>
      <c r="C629" t="s">
        <v>24</v>
      </c>
      <c r="D629" t="s">
        <v>16</v>
      </c>
      <c r="E629" t="s">
        <v>26</v>
      </c>
      <c r="F629" t="s">
        <v>18</v>
      </c>
      <c r="G629" t="s">
        <v>28</v>
      </c>
      <c r="H629">
        <v>10</v>
      </c>
      <c r="I629">
        <v>496.96</v>
      </c>
      <c r="J629">
        <v>4969.6000000000004</v>
      </c>
      <c r="K629" t="s">
        <v>20</v>
      </c>
      <c r="L629" t="s">
        <v>50</v>
      </c>
      <c r="M629">
        <v>1576.15</v>
      </c>
      <c r="N629" s="3">
        <f t="shared" si="9"/>
        <v>45901</v>
      </c>
    </row>
    <row r="630" spans="1:14" x14ac:dyDescent="0.35">
      <c r="A630" t="s">
        <v>983</v>
      </c>
      <c r="B630" t="s">
        <v>119</v>
      </c>
      <c r="C630" t="s">
        <v>47</v>
      </c>
      <c r="D630" t="s">
        <v>53</v>
      </c>
      <c r="E630" t="s">
        <v>17</v>
      </c>
      <c r="F630" t="s">
        <v>37</v>
      </c>
      <c r="G630" t="s">
        <v>85</v>
      </c>
      <c r="H630">
        <v>5</v>
      </c>
      <c r="I630">
        <v>771.19</v>
      </c>
      <c r="J630">
        <v>3855.95</v>
      </c>
      <c r="K630" t="s">
        <v>63</v>
      </c>
      <c r="L630" t="s">
        <v>21</v>
      </c>
      <c r="M630">
        <v>1301.46</v>
      </c>
      <c r="N630" s="3">
        <f t="shared" si="9"/>
        <v>45717</v>
      </c>
    </row>
    <row r="631" spans="1:14" x14ac:dyDescent="0.35">
      <c r="A631" t="s">
        <v>984</v>
      </c>
      <c r="B631" t="s">
        <v>320</v>
      </c>
      <c r="C631" t="s">
        <v>15</v>
      </c>
      <c r="D631" t="s">
        <v>16</v>
      </c>
      <c r="E631" t="s">
        <v>17</v>
      </c>
      <c r="F631" t="s">
        <v>37</v>
      </c>
      <c r="G631" t="s">
        <v>56</v>
      </c>
      <c r="H631">
        <v>8</v>
      </c>
      <c r="I631">
        <v>649.96</v>
      </c>
      <c r="J631">
        <v>5199.68</v>
      </c>
      <c r="K631" t="s">
        <v>49</v>
      </c>
      <c r="L631" t="s">
        <v>21</v>
      </c>
      <c r="M631">
        <v>879.81</v>
      </c>
      <c r="N631" s="3">
        <f t="shared" si="9"/>
        <v>45809</v>
      </c>
    </row>
    <row r="632" spans="1:14" x14ac:dyDescent="0.35">
      <c r="A632" t="s">
        <v>985</v>
      </c>
      <c r="B632" t="s">
        <v>457</v>
      </c>
      <c r="C632" t="s">
        <v>15</v>
      </c>
      <c r="D632" t="s">
        <v>53</v>
      </c>
      <c r="E632" t="s">
        <v>48</v>
      </c>
      <c r="F632" t="s">
        <v>37</v>
      </c>
      <c r="G632" t="s">
        <v>85</v>
      </c>
      <c r="H632">
        <v>13</v>
      </c>
      <c r="I632">
        <v>46.55</v>
      </c>
      <c r="J632">
        <v>605.15</v>
      </c>
      <c r="K632" t="s">
        <v>82</v>
      </c>
      <c r="L632" t="s">
        <v>39</v>
      </c>
      <c r="M632">
        <v>189.19</v>
      </c>
      <c r="N632" s="3">
        <f t="shared" si="9"/>
        <v>45658</v>
      </c>
    </row>
    <row r="633" spans="1:14" x14ac:dyDescent="0.35">
      <c r="A633" t="s">
        <v>986</v>
      </c>
      <c r="B633" t="s">
        <v>348</v>
      </c>
      <c r="C633" t="s">
        <v>24</v>
      </c>
      <c r="D633" t="s">
        <v>16</v>
      </c>
      <c r="E633" t="s">
        <v>43</v>
      </c>
      <c r="F633" t="s">
        <v>44</v>
      </c>
      <c r="G633" t="s">
        <v>38</v>
      </c>
      <c r="H633">
        <v>9</v>
      </c>
      <c r="I633">
        <v>387.54</v>
      </c>
      <c r="J633">
        <v>3487.86</v>
      </c>
      <c r="K633" t="s">
        <v>63</v>
      </c>
      <c r="L633" t="s">
        <v>50</v>
      </c>
      <c r="M633">
        <v>523.88</v>
      </c>
      <c r="N633" s="3">
        <f t="shared" si="9"/>
        <v>45717</v>
      </c>
    </row>
    <row r="634" spans="1:14" x14ac:dyDescent="0.35">
      <c r="A634" t="s">
        <v>987</v>
      </c>
      <c r="B634" t="s">
        <v>669</v>
      </c>
      <c r="C634" t="s">
        <v>32</v>
      </c>
      <c r="D634" t="s">
        <v>33</v>
      </c>
      <c r="E634" t="s">
        <v>26</v>
      </c>
      <c r="F634" t="s">
        <v>18</v>
      </c>
      <c r="G634" t="s">
        <v>105</v>
      </c>
      <c r="H634">
        <v>14</v>
      </c>
      <c r="I634">
        <v>223.17</v>
      </c>
      <c r="J634">
        <v>3124.38</v>
      </c>
      <c r="K634" t="s">
        <v>66</v>
      </c>
      <c r="L634" t="s">
        <v>21</v>
      </c>
      <c r="M634">
        <v>537.5</v>
      </c>
      <c r="N634" s="3">
        <f t="shared" si="9"/>
        <v>45748</v>
      </c>
    </row>
    <row r="635" spans="1:14" x14ac:dyDescent="0.35">
      <c r="A635" t="s">
        <v>988</v>
      </c>
      <c r="B635" t="s">
        <v>976</v>
      </c>
      <c r="C635" t="s">
        <v>24</v>
      </c>
      <c r="D635" t="s">
        <v>42</v>
      </c>
      <c r="E635" t="s">
        <v>43</v>
      </c>
      <c r="F635" t="s">
        <v>18</v>
      </c>
      <c r="G635" t="s">
        <v>56</v>
      </c>
      <c r="H635">
        <v>1</v>
      </c>
      <c r="I635">
        <v>195.85</v>
      </c>
      <c r="J635">
        <v>195.85</v>
      </c>
      <c r="K635" t="s">
        <v>82</v>
      </c>
      <c r="L635" t="s">
        <v>77</v>
      </c>
      <c r="M635">
        <v>60.22</v>
      </c>
      <c r="N635" s="3">
        <f t="shared" si="9"/>
        <v>45992</v>
      </c>
    </row>
    <row r="636" spans="1:14" x14ac:dyDescent="0.35">
      <c r="A636" t="s">
        <v>989</v>
      </c>
      <c r="B636" t="s">
        <v>520</v>
      </c>
      <c r="C636" t="s">
        <v>47</v>
      </c>
      <c r="D636" t="s">
        <v>42</v>
      </c>
      <c r="E636" t="s">
        <v>48</v>
      </c>
      <c r="F636" t="s">
        <v>27</v>
      </c>
      <c r="G636" t="s">
        <v>105</v>
      </c>
      <c r="H636">
        <v>18</v>
      </c>
      <c r="I636">
        <v>461.02</v>
      </c>
      <c r="J636">
        <v>8298.36</v>
      </c>
      <c r="K636" t="s">
        <v>63</v>
      </c>
      <c r="L636" t="s">
        <v>34</v>
      </c>
      <c r="M636">
        <v>1660.48</v>
      </c>
      <c r="N636" s="3">
        <f t="shared" si="9"/>
        <v>45658</v>
      </c>
    </row>
    <row r="637" spans="1:14" x14ac:dyDescent="0.35">
      <c r="A637" t="s">
        <v>990</v>
      </c>
      <c r="B637" t="s">
        <v>943</v>
      </c>
      <c r="C637" t="s">
        <v>47</v>
      </c>
      <c r="D637" t="s">
        <v>74</v>
      </c>
      <c r="E637" t="s">
        <v>43</v>
      </c>
      <c r="F637" t="s">
        <v>37</v>
      </c>
      <c r="G637" t="s">
        <v>96</v>
      </c>
      <c r="H637">
        <v>9</v>
      </c>
      <c r="I637">
        <v>891.16</v>
      </c>
      <c r="J637">
        <v>8020.44</v>
      </c>
      <c r="K637" t="s">
        <v>49</v>
      </c>
      <c r="L637" t="s">
        <v>39</v>
      </c>
      <c r="M637">
        <v>1428.42</v>
      </c>
      <c r="N637" s="3">
        <f t="shared" si="9"/>
        <v>45931</v>
      </c>
    </row>
    <row r="638" spans="1:14" x14ac:dyDescent="0.35">
      <c r="A638" t="s">
        <v>991</v>
      </c>
      <c r="B638" t="s">
        <v>289</v>
      </c>
      <c r="C638" t="s">
        <v>15</v>
      </c>
      <c r="D638" t="s">
        <v>42</v>
      </c>
      <c r="E638" t="s">
        <v>48</v>
      </c>
      <c r="F638" t="s">
        <v>37</v>
      </c>
      <c r="G638" t="s">
        <v>38</v>
      </c>
      <c r="H638">
        <v>16</v>
      </c>
      <c r="I638">
        <v>768.85</v>
      </c>
      <c r="J638">
        <v>12301.6</v>
      </c>
      <c r="K638" t="s">
        <v>82</v>
      </c>
      <c r="L638" t="s">
        <v>34</v>
      </c>
      <c r="M638">
        <v>1458.66</v>
      </c>
      <c r="N638" s="3">
        <f t="shared" si="9"/>
        <v>45931</v>
      </c>
    </row>
    <row r="639" spans="1:14" x14ac:dyDescent="0.35">
      <c r="A639" t="s">
        <v>992</v>
      </c>
      <c r="B639" t="s">
        <v>605</v>
      </c>
      <c r="C639" t="s">
        <v>32</v>
      </c>
      <c r="D639" t="s">
        <v>33</v>
      </c>
      <c r="E639" t="s">
        <v>26</v>
      </c>
      <c r="F639" t="s">
        <v>37</v>
      </c>
      <c r="G639" t="s">
        <v>19</v>
      </c>
      <c r="H639">
        <v>8</v>
      </c>
      <c r="I639">
        <v>504.32</v>
      </c>
      <c r="J639">
        <v>4034.56</v>
      </c>
      <c r="K639" t="s">
        <v>82</v>
      </c>
      <c r="L639" t="s">
        <v>77</v>
      </c>
      <c r="M639">
        <v>568.83000000000004</v>
      </c>
      <c r="N639" s="3">
        <f t="shared" si="9"/>
        <v>45809</v>
      </c>
    </row>
    <row r="640" spans="1:14" x14ac:dyDescent="0.35">
      <c r="A640" t="s">
        <v>993</v>
      </c>
      <c r="B640" t="s">
        <v>378</v>
      </c>
      <c r="C640" t="s">
        <v>24</v>
      </c>
      <c r="D640" t="s">
        <v>25</v>
      </c>
      <c r="E640" t="s">
        <v>26</v>
      </c>
      <c r="F640" t="s">
        <v>37</v>
      </c>
      <c r="G640" t="s">
        <v>45</v>
      </c>
      <c r="H640">
        <v>15</v>
      </c>
      <c r="I640">
        <v>220.44</v>
      </c>
      <c r="J640">
        <v>3306.6</v>
      </c>
      <c r="K640" t="s">
        <v>66</v>
      </c>
      <c r="L640" t="s">
        <v>39</v>
      </c>
      <c r="M640">
        <v>962.96</v>
      </c>
      <c r="N640" s="3">
        <f t="shared" si="9"/>
        <v>45717</v>
      </c>
    </row>
    <row r="641" spans="1:14" x14ac:dyDescent="0.35">
      <c r="A641" t="s">
        <v>994</v>
      </c>
      <c r="B641" t="s">
        <v>261</v>
      </c>
      <c r="C641" t="s">
        <v>47</v>
      </c>
      <c r="D641" t="s">
        <v>16</v>
      </c>
      <c r="E641" t="s">
        <v>26</v>
      </c>
      <c r="F641" t="s">
        <v>44</v>
      </c>
      <c r="G641" t="s">
        <v>28</v>
      </c>
      <c r="H641">
        <v>4</v>
      </c>
      <c r="I641">
        <v>326.94</v>
      </c>
      <c r="J641">
        <v>1307.76</v>
      </c>
      <c r="K641" t="s">
        <v>63</v>
      </c>
      <c r="L641" t="s">
        <v>34</v>
      </c>
      <c r="M641">
        <v>441.01</v>
      </c>
      <c r="N641" s="3">
        <f t="shared" si="9"/>
        <v>45992</v>
      </c>
    </row>
    <row r="642" spans="1:14" x14ac:dyDescent="0.35">
      <c r="A642" t="s">
        <v>995</v>
      </c>
      <c r="B642" t="s">
        <v>794</v>
      </c>
      <c r="C642" t="s">
        <v>32</v>
      </c>
      <c r="D642" t="s">
        <v>42</v>
      </c>
      <c r="E642" t="s">
        <v>48</v>
      </c>
      <c r="F642" t="s">
        <v>44</v>
      </c>
      <c r="G642" t="s">
        <v>56</v>
      </c>
      <c r="H642">
        <v>18</v>
      </c>
      <c r="I642">
        <v>406.46</v>
      </c>
      <c r="J642">
        <v>7316.28</v>
      </c>
      <c r="K642" t="s">
        <v>49</v>
      </c>
      <c r="L642" t="s">
        <v>77</v>
      </c>
      <c r="M642">
        <v>1283.46</v>
      </c>
      <c r="N642" s="3">
        <f t="shared" si="9"/>
        <v>45931</v>
      </c>
    </row>
    <row r="643" spans="1:14" x14ac:dyDescent="0.35">
      <c r="A643" t="s">
        <v>996</v>
      </c>
      <c r="B643" t="s">
        <v>233</v>
      </c>
      <c r="C643" t="s">
        <v>32</v>
      </c>
      <c r="D643" t="s">
        <v>33</v>
      </c>
      <c r="E643" t="s">
        <v>26</v>
      </c>
      <c r="F643" t="s">
        <v>18</v>
      </c>
      <c r="G643" t="s">
        <v>56</v>
      </c>
      <c r="H643">
        <v>14</v>
      </c>
      <c r="I643">
        <v>197.01</v>
      </c>
      <c r="J643">
        <v>2758.14</v>
      </c>
      <c r="K643" t="s">
        <v>82</v>
      </c>
      <c r="L643" t="s">
        <v>34</v>
      </c>
      <c r="M643">
        <v>905.87</v>
      </c>
      <c r="N643" s="3">
        <f t="shared" ref="N643:N706" si="10">DATE(YEAR(B643),MONTH(B643),1)</f>
        <v>45748</v>
      </c>
    </row>
    <row r="644" spans="1:14" x14ac:dyDescent="0.35">
      <c r="A644" t="s">
        <v>997</v>
      </c>
      <c r="B644" t="s">
        <v>259</v>
      </c>
      <c r="C644" t="s">
        <v>15</v>
      </c>
      <c r="D644" t="s">
        <v>69</v>
      </c>
      <c r="E644" t="s">
        <v>48</v>
      </c>
      <c r="F644" t="s">
        <v>37</v>
      </c>
      <c r="G644" t="s">
        <v>105</v>
      </c>
      <c r="H644">
        <v>8</v>
      </c>
      <c r="I644">
        <v>726.1</v>
      </c>
      <c r="J644">
        <v>5808.8</v>
      </c>
      <c r="K644" t="s">
        <v>66</v>
      </c>
      <c r="L644" t="s">
        <v>34</v>
      </c>
      <c r="M644">
        <v>2032.29</v>
      </c>
      <c r="N644" s="3">
        <f t="shared" si="10"/>
        <v>45778</v>
      </c>
    </row>
    <row r="645" spans="1:14" x14ac:dyDescent="0.35">
      <c r="A645" t="s">
        <v>998</v>
      </c>
      <c r="B645" t="s">
        <v>287</v>
      </c>
      <c r="C645" t="s">
        <v>47</v>
      </c>
      <c r="D645" t="s">
        <v>116</v>
      </c>
      <c r="E645" t="s">
        <v>26</v>
      </c>
      <c r="F645" t="s">
        <v>18</v>
      </c>
      <c r="G645" t="s">
        <v>19</v>
      </c>
      <c r="H645">
        <v>11</v>
      </c>
      <c r="I645">
        <v>397.51</v>
      </c>
      <c r="J645">
        <v>4372.6099999999997</v>
      </c>
      <c r="K645" t="s">
        <v>20</v>
      </c>
      <c r="L645" t="s">
        <v>77</v>
      </c>
      <c r="M645">
        <v>1017.98</v>
      </c>
      <c r="N645" s="3">
        <f t="shared" si="10"/>
        <v>45809</v>
      </c>
    </row>
    <row r="646" spans="1:14" x14ac:dyDescent="0.35">
      <c r="A646" t="s">
        <v>999</v>
      </c>
      <c r="B646" t="s">
        <v>648</v>
      </c>
      <c r="C646" t="s">
        <v>47</v>
      </c>
      <c r="D646" t="s">
        <v>33</v>
      </c>
      <c r="E646" t="s">
        <v>48</v>
      </c>
      <c r="F646" t="s">
        <v>18</v>
      </c>
      <c r="G646" t="s">
        <v>85</v>
      </c>
      <c r="H646">
        <v>6</v>
      </c>
      <c r="I646">
        <v>87.45</v>
      </c>
      <c r="J646">
        <v>524.70000000000005</v>
      </c>
      <c r="K646" t="s">
        <v>63</v>
      </c>
      <c r="L646" t="s">
        <v>50</v>
      </c>
      <c r="M646">
        <v>66.61</v>
      </c>
      <c r="N646" s="3">
        <f t="shared" si="10"/>
        <v>45992</v>
      </c>
    </row>
    <row r="647" spans="1:14" x14ac:dyDescent="0.35">
      <c r="A647" t="s">
        <v>1000</v>
      </c>
      <c r="B647" t="s">
        <v>160</v>
      </c>
      <c r="C647" t="s">
        <v>32</v>
      </c>
      <c r="D647" t="s">
        <v>16</v>
      </c>
      <c r="E647" t="s">
        <v>43</v>
      </c>
      <c r="F647" t="s">
        <v>44</v>
      </c>
      <c r="G647" t="s">
        <v>85</v>
      </c>
      <c r="H647">
        <v>17</v>
      </c>
      <c r="I647">
        <v>452.9</v>
      </c>
      <c r="J647">
        <v>7699.3</v>
      </c>
      <c r="K647" t="s">
        <v>82</v>
      </c>
      <c r="L647" t="s">
        <v>21</v>
      </c>
      <c r="M647">
        <v>2556.61</v>
      </c>
      <c r="N647" s="3">
        <f t="shared" si="10"/>
        <v>45931</v>
      </c>
    </row>
    <row r="648" spans="1:14" x14ac:dyDescent="0.35">
      <c r="A648" t="s">
        <v>1001</v>
      </c>
      <c r="B648" t="s">
        <v>826</v>
      </c>
      <c r="C648" t="s">
        <v>15</v>
      </c>
      <c r="D648" t="s">
        <v>16</v>
      </c>
      <c r="E648" t="s">
        <v>26</v>
      </c>
      <c r="F648" t="s">
        <v>37</v>
      </c>
      <c r="G648" t="s">
        <v>38</v>
      </c>
      <c r="H648">
        <v>9</v>
      </c>
      <c r="I648">
        <v>466.68</v>
      </c>
      <c r="J648">
        <v>4200.12</v>
      </c>
      <c r="K648" t="s">
        <v>20</v>
      </c>
      <c r="L648" t="s">
        <v>50</v>
      </c>
      <c r="M648">
        <v>742.13</v>
      </c>
      <c r="N648" s="3">
        <f t="shared" si="10"/>
        <v>45839</v>
      </c>
    </row>
    <row r="649" spans="1:14" x14ac:dyDescent="0.35">
      <c r="A649" t="s">
        <v>1002</v>
      </c>
      <c r="B649" t="s">
        <v>943</v>
      </c>
      <c r="C649" t="s">
        <v>47</v>
      </c>
      <c r="D649" t="s">
        <v>74</v>
      </c>
      <c r="E649" t="s">
        <v>17</v>
      </c>
      <c r="F649" t="s">
        <v>44</v>
      </c>
      <c r="G649" t="s">
        <v>56</v>
      </c>
      <c r="H649">
        <v>2</v>
      </c>
      <c r="I649">
        <v>946.22</v>
      </c>
      <c r="J649">
        <v>1892.44</v>
      </c>
      <c r="K649" t="s">
        <v>20</v>
      </c>
      <c r="L649" t="s">
        <v>39</v>
      </c>
      <c r="M649">
        <v>647.08000000000004</v>
      </c>
      <c r="N649" s="3">
        <f t="shared" si="10"/>
        <v>45931</v>
      </c>
    </row>
    <row r="650" spans="1:14" x14ac:dyDescent="0.35">
      <c r="A650" t="s">
        <v>1003</v>
      </c>
      <c r="B650" t="s">
        <v>671</v>
      </c>
      <c r="C650" t="s">
        <v>32</v>
      </c>
      <c r="D650" t="s">
        <v>33</v>
      </c>
      <c r="E650" t="s">
        <v>26</v>
      </c>
      <c r="F650" t="s">
        <v>18</v>
      </c>
      <c r="G650" t="s">
        <v>56</v>
      </c>
      <c r="H650">
        <v>3</v>
      </c>
      <c r="I650">
        <v>38.950000000000003</v>
      </c>
      <c r="J650">
        <v>116.85</v>
      </c>
      <c r="K650" t="s">
        <v>63</v>
      </c>
      <c r="L650" t="s">
        <v>21</v>
      </c>
      <c r="M650">
        <v>40.11</v>
      </c>
      <c r="N650" s="3">
        <f t="shared" si="10"/>
        <v>45901</v>
      </c>
    </row>
    <row r="651" spans="1:14" x14ac:dyDescent="0.35">
      <c r="A651" t="s">
        <v>1004</v>
      </c>
      <c r="B651" t="s">
        <v>1005</v>
      </c>
      <c r="C651" t="s">
        <v>32</v>
      </c>
      <c r="D651" t="s">
        <v>42</v>
      </c>
      <c r="E651" t="s">
        <v>43</v>
      </c>
      <c r="F651" t="s">
        <v>27</v>
      </c>
      <c r="G651" t="s">
        <v>45</v>
      </c>
      <c r="H651">
        <v>5</v>
      </c>
      <c r="I651">
        <v>866.15</v>
      </c>
      <c r="J651">
        <v>4330.75</v>
      </c>
      <c r="K651" t="s">
        <v>29</v>
      </c>
      <c r="L651" t="s">
        <v>21</v>
      </c>
      <c r="M651">
        <v>1000.29</v>
      </c>
      <c r="N651" s="3">
        <f t="shared" si="10"/>
        <v>45839</v>
      </c>
    </row>
    <row r="652" spans="1:14" x14ac:dyDescent="0.35">
      <c r="A652" t="s">
        <v>1006</v>
      </c>
      <c r="B652" t="s">
        <v>1007</v>
      </c>
      <c r="C652" t="s">
        <v>15</v>
      </c>
      <c r="D652" t="s">
        <v>53</v>
      </c>
      <c r="E652" t="s">
        <v>43</v>
      </c>
      <c r="F652" t="s">
        <v>37</v>
      </c>
      <c r="G652" t="s">
        <v>38</v>
      </c>
      <c r="H652">
        <v>16</v>
      </c>
      <c r="I652">
        <v>581.41999999999996</v>
      </c>
      <c r="J652">
        <v>9302.7199999999993</v>
      </c>
      <c r="K652" t="s">
        <v>29</v>
      </c>
      <c r="L652" t="s">
        <v>34</v>
      </c>
      <c r="M652">
        <v>3100.4</v>
      </c>
      <c r="N652" s="3">
        <f t="shared" si="10"/>
        <v>45870</v>
      </c>
    </row>
    <row r="653" spans="1:14" x14ac:dyDescent="0.35">
      <c r="A653" t="s">
        <v>1008</v>
      </c>
      <c r="B653" t="s">
        <v>554</v>
      </c>
      <c r="C653" t="s">
        <v>32</v>
      </c>
      <c r="D653" t="s">
        <v>16</v>
      </c>
      <c r="E653" t="s">
        <v>26</v>
      </c>
      <c r="F653" t="s">
        <v>18</v>
      </c>
      <c r="G653" t="s">
        <v>85</v>
      </c>
      <c r="H653">
        <v>17</v>
      </c>
      <c r="I653">
        <v>219.14</v>
      </c>
      <c r="J653">
        <v>3725.38</v>
      </c>
      <c r="K653" t="s">
        <v>29</v>
      </c>
      <c r="L653" t="s">
        <v>77</v>
      </c>
      <c r="M653">
        <v>1114.9100000000001</v>
      </c>
      <c r="N653" s="3">
        <f t="shared" si="10"/>
        <v>45689</v>
      </c>
    </row>
    <row r="654" spans="1:14" x14ac:dyDescent="0.35">
      <c r="A654" t="s">
        <v>1009</v>
      </c>
      <c r="B654" t="s">
        <v>1010</v>
      </c>
      <c r="C654" t="s">
        <v>24</v>
      </c>
      <c r="D654" t="s">
        <v>116</v>
      </c>
      <c r="E654" t="s">
        <v>43</v>
      </c>
      <c r="F654" t="s">
        <v>27</v>
      </c>
      <c r="G654" t="s">
        <v>28</v>
      </c>
      <c r="H654">
        <v>13</v>
      </c>
      <c r="I654">
        <v>435.11</v>
      </c>
      <c r="J654">
        <v>5656.43</v>
      </c>
      <c r="K654" t="s">
        <v>49</v>
      </c>
      <c r="L654" t="s">
        <v>77</v>
      </c>
      <c r="M654">
        <v>1222.3900000000001</v>
      </c>
      <c r="N654" s="3">
        <f t="shared" si="10"/>
        <v>45778</v>
      </c>
    </row>
    <row r="655" spans="1:14" x14ac:dyDescent="0.35">
      <c r="A655" t="s">
        <v>1011</v>
      </c>
      <c r="B655" t="s">
        <v>1012</v>
      </c>
      <c r="C655" t="s">
        <v>24</v>
      </c>
      <c r="D655" t="s">
        <v>53</v>
      </c>
      <c r="E655" t="s">
        <v>48</v>
      </c>
      <c r="F655" t="s">
        <v>27</v>
      </c>
      <c r="G655" t="s">
        <v>96</v>
      </c>
      <c r="H655">
        <v>7</v>
      </c>
      <c r="I655">
        <v>552.73</v>
      </c>
      <c r="J655">
        <v>3869.11</v>
      </c>
      <c r="K655" t="s">
        <v>82</v>
      </c>
      <c r="L655" t="s">
        <v>21</v>
      </c>
      <c r="M655">
        <v>890.51</v>
      </c>
      <c r="N655" s="3">
        <f t="shared" si="10"/>
        <v>45870</v>
      </c>
    </row>
    <row r="656" spans="1:14" x14ac:dyDescent="0.35">
      <c r="A656" t="s">
        <v>1013</v>
      </c>
      <c r="B656" t="s">
        <v>692</v>
      </c>
      <c r="C656" t="s">
        <v>32</v>
      </c>
      <c r="D656" t="s">
        <v>116</v>
      </c>
      <c r="E656" t="s">
        <v>26</v>
      </c>
      <c r="F656" t="s">
        <v>18</v>
      </c>
      <c r="G656" t="s">
        <v>105</v>
      </c>
      <c r="H656">
        <v>15</v>
      </c>
      <c r="I656">
        <v>279.52999999999997</v>
      </c>
      <c r="J656">
        <v>4192.95</v>
      </c>
      <c r="K656" t="s">
        <v>20</v>
      </c>
      <c r="L656" t="s">
        <v>21</v>
      </c>
      <c r="M656">
        <v>562.03</v>
      </c>
      <c r="N656" s="3">
        <f t="shared" si="10"/>
        <v>45689</v>
      </c>
    </row>
    <row r="657" spans="1:14" x14ac:dyDescent="0.35">
      <c r="A657" t="s">
        <v>1014</v>
      </c>
      <c r="B657" t="s">
        <v>523</v>
      </c>
      <c r="C657" t="s">
        <v>24</v>
      </c>
      <c r="D657" t="s">
        <v>16</v>
      </c>
      <c r="E657" t="s">
        <v>17</v>
      </c>
      <c r="F657" t="s">
        <v>18</v>
      </c>
      <c r="G657" t="s">
        <v>56</v>
      </c>
      <c r="H657">
        <v>5</v>
      </c>
      <c r="I657">
        <v>143.26</v>
      </c>
      <c r="J657">
        <v>716.3</v>
      </c>
      <c r="K657" t="s">
        <v>82</v>
      </c>
      <c r="L657" t="s">
        <v>34</v>
      </c>
      <c r="M657">
        <v>178.67</v>
      </c>
      <c r="N657" s="3">
        <f t="shared" si="10"/>
        <v>45778</v>
      </c>
    </row>
    <row r="658" spans="1:14" x14ac:dyDescent="0.35">
      <c r="A658" t="s">
        <v>1015</v>
      </c>
      <c r="B658" t="s">
        <v>1016</v>
      </c>
      <c r="C658" t="s">
        <v>47</v>
      </c>
      <c r="D658" t="s">
        <v>25</v>
      </c>
      <c r="E658" t="s">
        <v>26</v>
      </c>
      <c r="F658" t="s">
        <v>37</v>
      </c>
      <c r="G658" t="s">
        <v>28</v>
      </c>
      <c r="H658">
        <v>15</v>
      </c>
      <c r="I658">
        <v>477.27</v>
      </c>
      <c r="J658">
        <v>7159.05</v>
      </c>
      <c r="K658" t="s">
        <v>29</v>
      </c>
      <c r="L658" t="s">
        <v>21</v>
      </c>
      <c r="M658">
        <v>2364.94</v>
      </c>
      <c r="N658" s="3">
        <f t="shared" si="10"/>
        <v>45658</v>
      </c>
    </row>
    <row r="659" spans="1:14" x14ac:dyDescent="0.35">
      <c r="A659" t="s">
        <v>1017</v>
      </c>
      <c r="B659" t="s">
        <v>284</v>
      </c>
      <c r="C659" t="s">
        <v>47</v>
      </c>
      <c r="D659" t="s">
        <v>69</v>
      </c>
      <c r="E659" t="s">
        <v>48</v>
      </c>
      <c r="F659" t="s">
        <v>18</v>
      </c>
      <c r="G659" t="s">
        <v>45</v>
      </c>
      <c r="H659">
        <v>2</v>
      </c>
      <c r="I659">
        <v>568.03</v>
      </c>
      <c r="J659">
        <v>1136.06</v>
      </c>
      <c r="K659" t="s">
        <v>49</v>
      </c>
      <c r="L659" t="s">
        <v>77</v>
      </c>
      <c r="M659">
        <v>154.49</v>
      </c>
      <c r="N659" s="3">
        <f t="shared" si="10"/>
        <v>45658</v>
      </c>
    </row>
    <row r="660" spans="1:14" x14ac:dyDescent="0.35">
      <c r="A660" t="s">
        <v>1018</v>
      </c>
      <c r="B660" t="s">
        <v>532</v>
      </c>
      <c r="C660" t="s">
        <v>24</v>
      </c>
      <c r="D660" t="s">
        <v>16</v>
      </c>
      <c r="E660" t="s">
        <v>26</v>
      </c>
      <c r="F660" t="s">
        <v>44</v>
      </c>
      <c r="G660" t="s">
        <v>96</v>
      </c>
      <c r="H660">
        <v>18</v>
      </c>
      <c r="I660">
        <v>765.12</v>
      </c>
      <c r="J660">
        <v>13772.16</v>
      </c>
      <c r="K660" t="s">
        <v>29</v>
      </c>
      <c r="L660" t="s">
        <v>50</v>
      </c>
      <c r="M660">
        <v>4757.9799999999996</v>
      </c>
      <c r="N660" s="3">
        <f t="shared" si="10"/>
        <v>45931</v>
      </c>
    </row>
    <row r="661" spans="1:14" x14ac:dyDescent="0.35">
      <c r="A661" t="s">
        <v>1019</v>
      </c>
      <c r="B661" t="s">
        <v>89</v>
      </c>
      <c r="C661" t="s">
        <v>47</v>
      </c>
      <c r="D661" t="s">
        <v>25</v>
      </c>
      <c r="E661" t="s">
        <v>17</v>
      </c>
      <c r="F661" t="s">
        <v>18</v>
      </c>
      <c r="G661" t="s">
        <v>96</v>
      </c>
      <c r="H661">
        <v>12</v>
      </c>
      <c r="I661">
        <v>642.83000000000004</v>
      </c>
      <c r="J661">
        <v>7713.96</v>
      </c>
      <c r="K661" t="s">
        <v>82</v>
      </c>
      <c r="L661" t="s">
        <v>21</v>
      </c>
      <c r="M661">
        <v>1176.21</v>
      </c>
      <c r="N661" s="3">
        <f t="shared" si="10"/>
        <v>45689</v>
      </c>
    </row>
    <row r="662" spans="1:14" x14ac:dyDescent="0.35">
      <c r="A662" t="s">
        <v>1020</v>
      </c>
      <c r="B662" t="s">
        <v>207</v>
      </c>
      <c r="C662" t="s">
        <v>15</v>
      </c>
      <c r="D662" t="s">
        <v>69</v>
      </c>
      <c r="E662" t="s">
        <v>26</v>
      </c>
      <c r="F662" t="s">
        <v>37</v>
      </c>
      <c r="G662" t="s">
        <v>56</v>
      </c>
      <c r="H662">
        <v>3</v>
      </c>
      <c r="I662">
        <v>830.9</v>
      </c>
      <c r="J662">
        <v>2492.6999999999998</v>
      </c>
      <c r="K662" t="s">
        <v>66</v>
      </c>
      <c r="L662" t="s">
        <v>21</v>
      </c>
      <c r="M662">
        <v>410.34</v>
      </c>
      <c r="N662" s="3">
        <f t="shared" si="10"/>
        <v>45992</v>
      </c>
    </row>
    <row r="663" spans="1:14" x14ac:dyDescent="0.35">
      <c r="A663" t="s">
        <v>1021</v>
      </c>
      <c r="B663" t="s">
        <v>68</v>
      </c>
      <c r="C663" t="s">
        <v>32</v>
      </c>
      <c r="D663" t="s">
        <v>42</v>
      </c>
      <c r="E663" t="s">
        <v>26</v>
      </c>
      <c r="F663" t="s">
        <v>27</v>
      </c>
      <c r="G663" t="s">
        <v>28</v>
      </c>
      <c r="H663">
        <v>17</v>
      </c>
      <c r="I663">
        <v>292.06</v>
      </c>
      <c r="J663">
        <v>4965.0200000000004</v>
      </c>
      <c r="K663" t="s">
        <v>63</v>
      </c>
      <c r="L663" t="s">
        <v>39</v>
      </c>
      <c r="M663">
        <v>554.41999999999996</v>
      </c>
      <c r="N663" s="3">
        <f t="shared" si="10"/>
        <v>45809</v>
      </c>
    </row>
    <row r="664" spans="1:14" x14ac:dyDescent="0.35">
      <c r="A664" t="s">
        <v>1022</v>
      </c>
      <c r="B664" t="s">
        <v>1012</v>
      </c>
      <c r="C664" t="s">
        <v>47</v>
      </c>
      <c r="D664" t="s">
        <v>42</v>
      </c>
      <c r="E664" t="s">
        <v>26</v>
      </c>
      <c r="F664" t="s">
        <v>27</v>
      </c>
      <c r="G664" t="s">
        <v>28</v>
      </c>
      <c r="H664">
        <v>4</v>
      </c>
      <c r="I664">
        <v>198.33</v>
      </c>
      <c r="J664">
        <v>793.32</v>
      </c>
      <c r="K664" t="s">
        <v>66</v>
      </c>
      <c r="L664" t="s">
        <v>21</v>
      </c>
      <c r="M664">
        <v>228.8</v>
      </c>
      <c r="N664" s="3">
        <f t="shared" si="10"/>
        <v>45870</v>
      </c>
    </row>
    <row r="665" spans="1:14" x14ac:dyDescent="0.35">
      <c r="A665" t="s">
        <v>1023</v>
      </c>
      <c r="B665" t="s">
        <v>826</v>
      </c>
      <c r="C665" t="s">
        <v>24</v>
      </c>
      <c r="D665" t="s">
        <v>25</v>
      </c>
      <c r="E665" t="s">
        <v>26</v>
      </c>
      <c r="F665" t="s">
        <v>27</v>
      </c>
      <c r="G665" t="s">
        <v>105</v>
      </c>
      <c r="H665">
        <v>12</v>
      </c>
      <c r="I665">
        <v>681.48</v>
      </c>
      <c r="J665">
        <v>8177.76</v>
      </c>
      <c r="K665" t="s">
        <v>66</v>
      </c>
      <c r="L665" t="s">
        <v>50</v>
      </c>
      <c r="M665">
        <v>2767.46</v>
      </c>
      <c r="N665" s="3">
        <f t="shared" si="10"/>
        <v>45839</v>
      </c>
    </row>
    <row r="666" spans="1:14" x14ac:dyDescent="0.35">
      <c r="A666" t="s">
        <v>1024</v>
      </c>
      <c r="B666" t="s">
        <v>683</v>
      </c>
      <c r="C666" t="s">
        <v>24</v>
      </c>
      <c r="D666" t="s">
        <v>33</v>
      </c>
      <c r="E666" t="s">
        <v>26</v>
      </c>
      <c r="F666" t="s">
        <v>37</v>
      </c>
      <c r="G666" t="s">
        <v>19</v>
      </c>
      <c r="H666">
        <v>11</v>
      </c>
      <c r="I666">
        <v>847.21</v>
      </c>
      <c r="J666">
        <v>9319.31</v>
      </c>
      <c r="K666" t="s">
        <v>82</v>
      </c>
      <c r="L666" t="s">
        <v>21</v>
      </c>
      <c r="M666">
        <v>2027.37</v>
      </c>
      <c r="N666" s="3">
        <f t="shared" si="10"/>
        <v>45689</v>
      </c>
    </row>
    <row r="667" spans="1:14" x14ac:dyDescent="0.35">
      <c r="A667" t="s">
        <v>1025</v>
      </c>
      <c r="B667" t="s">
        <v>698</v>
      </c>
      <c r="C667" t="s">
        <v>32</v>
      </c>
      <c r="D667" t="s">
        <v>16</v>
      </c>
      <c r="E667" t="s">
        <v>26</v>
      </c>
      <c r="F667" t="s">
        <v>27</v>
      </c>
      <c r="G667" t="s">
        <v>45</v>
      </c>
      <c r="H667">
        <v>14</v>
      </c>
      <c r="I667">
        <v>854.58</v>
      </c>
      <c r="J667">
        <v>11964.12</v>
      </c>
      <c r="K667" t="s">
        <v>63</v>
      </c>
      <c r="L667" t="s">
        <v>21</v>
      </c>
      <c r="M667">
        <v>2037.23</v>
      </c>
      <c r="N667" s="3">
        <f t="shared" si="10"/>
        <v>45901</v>
      </c>
    </row>
    <row r="668" spans="1:14" x14ac:dyDescent="0.35">
      <c r="A668" t="s">
        <v>1026</v>
      </c>
      <c r="B668" t="s">
        <v>84</v>
      </c>
      <c r="C668" t="s">
        <v>15</v>
      </c>
      <c r="D668" t="s">
        <v>74</v>
      </c>
      <c r="E668" t="s">
        <v>26</v>
      </c>
      <c r="F668" t="s">
        <v>27</v>
      </c>
      <c r="G668" t="s">
        <v>19</v>
      </c>
      <c r="H668">
        <v>8</v>
      </c>
      <c r="I668">
        <v>533.77</v>
      </c>
      <c r="J668">
        <v>4270.16</v>
      </c>
      <c r="K668" t="s">
        <v>63</v>
      </c>
      <c r="L668" t="s">
        <v>77</v>
      </c>
      <c r="M668">
        <v>433.25</v>
      </c>
      <c r="N668" s="3">
        <f t="shared" si="10"/>
        <v>45748</v>
      </c>
    </row>
    <row r="669" spans="1:14" x14ac:dyDescent="0.35">
      <c r="A669" t="s">
        <v>1027</v>
      </c>
      <c r="B669" t="s">
        <v>295</v>
      </c>
      <c r="C669" t="s">
        <v>15</v>
      </c>
      <c r="D669" t="s">
        <v>69</v>
      </c>
      <c r="E669" t="s">
        <v>17</v>
      </c>
      <c r="F669" t="s">
        <v>27</v>
      </c>
      <c r="G669" t="s">
        <v>85</v>
      </c>
      <c r="H669">
        <v>16</v>
      </c>
      <c r="I669">
        <v>533.61</v>
      </c>
      <c r="J669">
        <v>8537.76</v>
      </c>
      <c r="K669" t="s">
        <v>20</v>
      </c>
      <c r="L669" t="s">
        <v>77</v>
      </c>
      <c r="M669">
        <v>1231.26</v>
      </c>
      <c r="N669" s="3">
        <f t="shared" si="10"/>
        <v>45658</v>
      </c>
    </row>
    <row r="670" spans="1:14" x14ac:dyDescent="0.35">
      <c r="A670" t="s">
        <v>1028</v>
      </c>
      <c r="B670" t="s">
        <v>717</v>
      </c>
      <c r="C670" t="s">
        <v>32</v>
      </c>
      <c r="D670" t="s">
        <v>33</v>
      </c>
      <c r="E670" t="s">
        <v>48</v>
      </c>
      <c r="F670" t="s">
        <v>44</v>
      </c>
      <c r="G670" t="s">
        <v>56</v>
      </c>
      <c r="H670">
        <v>17</v>
      </c>
      <c r="I670">
        <v>921.56</v>
      </c>
      <c r="J670">
        <v>15666.52</v>
      </c>
      <c r="K670" t="s">
        <v>29</v>
      </c>
      <c r="L670" t="s">
        <v>21</v>
      </c>
      <c r="M670">
        <v>2581.9</v>
      </c>
      <c r="N670" s="3">
        <f t="shared" si="10"/>
        <v>45809</v>
      </c>
    </row>
    <row r="671" spans="1:14" x14ac:dyDescent="0.35">
      <c r="A671" t="s">
        <v>1029</v>
      </c>
      <c r="B671" t="s">
        <v>115</v>
      </c>
      <c r="C671" t="s">
        <v>47</v>
      </c>
      <c r="D671" t="s">
        <v>16</v>
      </c>
      <c r="E671" t="s">
        <v>26</v>
      </c>
      <c r="F671" t="s">
        <v>18</v>
      </c>
      <c r="G671" t="s">
        <v>56</v>
      </c>
      <c r="H671">
        <v>13</v>
      </c>
      <c r="I671">
        <v>647.19000000000005</v>
      </c>
      <c r="J671">
        <v>8413.4699999999993</v>
      </c>
      <c r="K671" t="s">
        <v>63</v>
      </c>
      <c r="L671" t="s">
        <v>77</v>
      </c>
      <c r="M671">
        <v>1412.96</v>
      </c>
      <c r="N671" s="3">
        <f t="shared" si="10"/>
        <v>45931</v>
      </c>
    </row>
    <row r="672" spans="1:14" x14ac:dyDescent="0.35">
      <c r="A672" t="s">
        <v>1030</v>
      </c>
      <c r="B672" t="s">
        <v>1031</v>
      </c>
      <c r="C672" t="s">
        <v>15</v>
      </c>
      <c r="D672" t="s">
        <v>53</v>
      </c>
      <c r="E672" t="s">
        <v>48</v>
      </c>
      <c r="F672" t="s">
        <v>27</v>
      </c>
      <c r="G672" t="s">
        <v>105</v>
      </c>
      <c r="H672">
        <v>11</v>
      </c>
      <c r="I672">
        <v>337.89</v>
      </c>
      <c r="J672">
        <v>3716.79</v>
      </c>
      <c r="K672" t="s">
        <v>29</v>
      </c>
      <c r="L672" t="s">
        <v>21</v>
      </c>
      <c r="M672">
        <v>483.93</v>
      </c>
      <c r="N672" s="3">
        <f t="shared" si="10"/>
        <v>45901</v>
      </c>
    </row>
    <row r="673" spans="1:14" x14ac:dyDescent="0.35">
      <c r="A673" t="s">
        <v>1032</v>
      </c>
      <c r="B673" t="s">
        <v>284</v>
      </c>
      <c r="C673" t="s">
        <v>15</v>
      </c>
      <c r="D673" t="s">
        <v>42</v>
      </c>
      <c r="E673" t="s">
        <v>48</v>
      </c>
      <c r="F673" t="s">
        <v>44</v>
      </c>
      <c r="G673" t="s">
        <v>105</v>
      </c>
      <c r="H673">
        <v>20</v>
      </c>
      <c r="I673">
        <v>627.08000000000004</v>
      </c>
      <c r="J673">
        <v>12541.6</v>
      </c>
      <c r="K673" t="s">
        <v>66</v>
      </c>
      <c r="L673" t="s">
        <v>21</v>
      </c>
      <c r="M673">
        <v>2981.5</v>
      </c>
      <c r="N673" s="3">
        <f t="shared" si="10"/>
        <v>45658</v>
      </c>
    </row>
    <row r="674" spans="1:14" x14ac:dyDescent="0.35">
      <c r="A674" t="s">
        <v>1033</v>
      </c>
      <c r="B674" t="s">
        <v>58</v>
      </c>
      <c r="C674" t="s">
        <v>24</v>
      </c>
      <c r="D674" t="s">
        <v>53</v>
      </c>
      <c r="E674" t="s">
        <v>26</v>
      </c>
      <c r="F674" t="s">
        <v>18</v>
      </c>
      <c r="G674" t="s">
        <v>28</v>
      </c>
      <c r="H674">
        <v>2</v>
      </c>
      <c r="I674">
        <v>660.07</v>
      </c>
      <c r="J674">
        <v>1320.14</v>
      </c>
      <c r="K674" t="s">
        <v>20</v>
      </c>
      <c r="L674" t="s">
        <v>50</v>
      </c>
      <c r="M674">
        <v>316.10000000000002</v>
      </c>
      <c r="N674" s="3">
        <f t="shared" si="10"/>
        <v>45717</v>
      </c>
    </row>
    <row r="675" spans="1:14" x14ac:dyDescent="0.35">
      <c r="A675" t="s">
        <v>1034</v>
      </c>
      <c r="B675" t="s">
        <v>661</v>
      </c>
      <c r="C675" t="s">
        <v>32</v>
      </c>
      <c r="D675" t="s">
        <v>74</v>
      </c>
      <c r="E675" t="s">
        <v>26</v>
      </c>
      <c r="F675" t="s">
        <v>37</v>
      </c>
      <c r="G675" t="s">
        <v>56</v>
      </c>
      <c r="H675">
        <v>2</v>
      </c>
      <c r="I675">
        <v>846.75</v>
      </c>
      <c r="J675">
        <v>1693.5</v>
      </c>
      <c r="K675" t="s">
        <v>20</v>
      </c>
      <c r="L675" t="s">
        <v>21</v>
      </c>
      <c r="M675">
        <v>444.1</v>
      </c>
      <c r="N675" s="3">
        <f t="shared" si="10"/>
        <v>45689</v>
      </c>
    </row>
    <row r="676" spans="1:14" x14ac:dyDescent="0.35">
      <c r="A676" t="s">
        <v>1035</v>
      </c>
      <c r="B676" t="s">
        <v>79</v>
      </c>
      <c r="C676" t="s">
        <v>24</v>
      </c>
      <c r="D676" t="s">
        <v>69</v>
      </c>
      <c r="E676" t="s">
        <v>43</v>
      </c>
      <c r="F676" t="s">
        <v>44</v>
      </c>
      <c r="G676" t="s">
        <v>85</v>
      </c>
      <c r="H676">
        <v>9</v>
      </c>
      <c r="I676">
        <v>844.3</v>
      </c>
      <c r="J676">
        <v>7598.7</v>
      </c>
      <c r="K676" t="s">
        <v>29</v>
      </c>
      <c r="L676" t="s">
        <v>39</v>
      </c>
      <c r="M676">
        <v>904.7</v>
      </c>
      <c r="N676" s="3">
        <f t="shared" si="10"/>
        <v>45901</v>
      </c>
    </row>
    <row r="677" spans="1:14" x14ac:dyDescent="0.35">
      <c r="A677" t="s">
        <v>1036</v>
      </c>
      <c r="B677" t="s">
        <v>857</v>
      </c>
      <c r="C677" t="s">
        <v>15</v>
      </c>
      <c r="D677" t="s">
        <v>42</v>
      </c>
      <c r="E677" t="s">
        <v>17</v>
      </c>
      <c r="F677" t="s">
        <v>27</v>
      </c>
      <c r="G677" t="s">
        <v>96</v>
      </c>
      <c r="H677">
        <v>14</v>
      </c>
      <c r="I677">
        <v>413.7</v>
      </c>
      <c r="J677">
        <v>5791.8</v>
      </c>
      <c r="K677" t="s">
        <v>20</v>
      </c>
      <c r="L677" t="s">
        <v>50</v>
      </c>
      <c r="M677">
        <v>996.51</v>
      </c>
      <c r="N677" s="3">
        <f t="shared" si="10"/>
        <v>45748</v>
      </c>
    </row>
    <row r="678" spans="1:14" x14ac:dyDescent="0.35">
      <c r="A678" t="s">
        <v>1037</v>
      </c>
      <c r="B678" t="s">
        <v>184</v>
      </c>
      <c r="C678" t="s">
        <v>15</v>
      </c>
      <c r="D678" t="s">
        <v>25</v>
      </c>
      <c r="E678" t="s">
        <v>17</v>
      </c>
      <c r="F678" t="s">
        <v>37</v>
      </c>
      <c r="G678" t="s">
        <v>45</v>
      </c>
      <c r="H678">
        <v>6</v>
      </c>
      <c r="I678">
        <v>584.17999999999995</v>
      </c>
      <c r="J678">
        <v>3505.08</v>
      </c>
      <c r="K678" t="s">
        <v>82</v>
      </c>
      <c r="L678" t="s">
        <v>77</v>
      </c>
      <c r="M678">
        <v>1130.49</v>
      </c>
      <c r="N678" s="3">
        <f t="shared" si="10"/>
        <v>45689</v>
      </c>
    </row>
    <row r="679" spans="1:14" x14ac:dyDescent="0.35">
      <c r="A679" t="s">
        <v>1038</v>
      </c>
      <c r="B679" t="s">
        <v>664</v>
      </c>
      <c r="C679" t="s">
        <v>15</v>
      </c>
      <c r="D679" t="s">
        <v>74</v>
      </c>
      <c r="E679" t="s">
        <v>43</v>
      </c>
      <c r="F679" t="s">
        <v>18</v>
      </c>
      <c r="G679" t="s">
        <v>28</v>
      </c>
      <c r="H679">
        <v>15</v>
      </c>
      <c r="I679">
        <v>543.01</v>
      </c>
      <c r="J679">
        <v>8145.15</v>
      </c>
      <c r="K679" t="s">
        <v>66</v>
      </c>
      <c r="L679" t="s">
        <v>50</v>
      </c>
      <c r="M679">
        <v>1252.27</v>
      </c>
      <c r="N679" s="3">
        <f t="shared" si="10"/>
        <v>45901</v>
      </c>
    </row>
    <row r="680" spans="1:14" x14ac:dyDescent="0.35">
      <c r="A680" t="s">
        <v>1039</v>
      </c>
      <c r="B680" t="s">
        <v>1007</v>
      </c>
      <c r="C680" t="s">
        <v>24</v>
      </c>
      <c r="D680" t="s">
        <v>16</v>
      </c>
      <c r="E680" t="s">
        <v>17</v>
      </c>
      <c r="F680" t="s">
        <v>27</v>
      </c>
      <c r="G680" t="s">
        <v>105</v>
      </c>
      <c r="H680">
        <v>16</v>
      </c>
      <c r="I680">
        <v>244.36</v>
      </c>
      <c r="J680">
        <v>3909.76</v>
      </c>
      <c r="K680" t="s">
        <v>63</v>
      </c>
      <c r="L680" t="s">
        <v>34</v>
      </c>
      <c r="M680">
        <v>1091.27</v>
      </c>
      <c r="N680" s="3">
        <f t="shared" si="10"/>
        <v>45870</v>
      </c>
    </row>
    <row r="681" spans="1:14" x14ac:dyDescent="0.35">
      <c r="A681" t="s">
        <v>1040</v>
      </c>
      <c r="B681" t="s">
        <v>445</v>
      </c>
      <c r="C681" t="s">
        <v>24</v>
      </c>
      <c r="D681" t="s">
        <v>53</v>
      </c>
      <c r="E681" t="s">
        <v>17</v>
      </c>
      <c r="F681" t="s">
        <v>27</v>
      </c>
      <c r="G681" t="s">
        <v>38</v>
      </c>
      <c r="H681">
        <v>15</v>
      </c>
      <c r="I681">
        <v>512.23</v>
      </c>
      <c r="J681">
        <v>7683.45</v>
      </c>
      <c r="K681" t="s">
        <v>29</v>
      </c>
      <c r="L681" t="s">
        <v>34</v>
      </c>
      <c r="M681">
        <v>2067.69</v>
      </c>
      <c r="N681" s="3">
        <f t="shared" si="10"/>
        <v>45748</v>
      </c>
    </row>
    <row r="682" spans="1:14" x14ac:dyDescent="0.35">
      <c r="A682" t="s">
        <v>1041</v>
      </c>
      <c r="B682" t="s">
        <v>119</v>
      </c>
      <c r="C682" t="s">
        <v>24</v>
      </c>
      <c r="D682" t="s">
        <v>16</v>
      </c>
      <c r="E682" t="s">
        <v>17</v>
      </c>
      <c r="F682" t="s">
        <v>44</v>
      </c>
      <c r="G682" t="s">
        <v>56</v>
      </c>
      <c r="H682">
        <v>8</v>
      </c>
      <c r="I682">
        <v>51.54</v>
      </c>
      <c r="J682">
        <v>412.32</v>
      </c>
      <c r="K682" t="s">
        <v>20</v>
      </c>
      <c r="L682" t="s">
        <v>77</v>
      </c>
      <c r="M682">
        <v>117.34</v>
      </c>
      <c r="N682" s="3">
        <f t="shared" si="10"/>
        <v>45717</v>
      </c>
    </row>
    <row r="683" spans="1:14" x14ac:dyDescent="0.35">
      <c r="A683" t="s">
        <v>1042</v>
      </c>
      <c r="B683" t="s">
        <v>98</v>
      </c>
      <c r="C683" t="s">
        <v>32</v>
      </c>
      <c r="D683" t="s">
        <v>53</v>
      </c>
      <c r="E683" t="s">
        <v>43</v>
      </c>
      <c r="F683" t="s">
        <v>27</v>
      </c>
      <c r="G683" t="s">
        <v>28</v>
      </c>
      <c r="H683">
        <v>19</v>
      </c>
      <c r="I683">
        <v>199.35</v>
      </c>
      <c r="J683">
        <v>3787.65</v>
      </c>
      <c r="K683" t="s">
        <v>49</v>
      </c>
      <c r="L683" t="s">
        <v>77</v>
      </c>
      <c r="M683">
        <v>1229.23</v>
      </c>
      <c r="N683" s="3">
        <f t="shared" si="10"/>
        <v>45778</v>
      </c>
    </row>
    <row r="684" spans="1:14" x14ac:dyDescent="0.35">
      <c r="A684" t="s">
        <v>1043</v>
      </c>
      <c r="B684" t="s">
        <v>451</v>
      </c>
      <c r="C684" t="s">
        <v>32</v>
      </c>
      <c r="D684" t="s">
        <v>53</v>
      </c>
      <c r="E684" t="s">
        <v>26</v>
      </c>
      <c r="F684" t="s">
        <v>18</v>
      </c>
      <c r="G684" t="s">
        <v>85</v>
      </c>
      <c r="H684">
        <v>6</v>
      </c>
      <c r="I684">
        <v>93.71</v>
      </c>
      <c r="J684">
        <v>562.26</v>
      </c>
      <c r="K684" t="s">
        <v>29</v>
      </c>
      <c r="L684" t="s">
        <v>34</v>
      </c>
      <c r="M684">
        <v>56.23</v>
      </c>
      <c r="N684" s="3">
        <f t="shared" si="10"/>
        <v>45901</v>
      </c>
    </row>
    <row r="685" spans="1:14" x14ac:dyDescent="0.35">
      <c r="A685" t="s">
        <v>1044</v>
      </c>
      <c r="B685" t="s">
        <v>1045</v>
      </c>
      <c r="C685" t="s">
        <v>47</v>
      </c>
      <c r="D685" t="s">
        <v>33</v>
      </c>
      <c r="E685" t="s">
        <v>17</v>
      </c>
      <c r="F685" t="s">
        <v>18</v>
      </c>
      <c r="G685" t="s">
        <v>19</v>
      </c>
      <c r="H685">
        <v>3</v>
      </c>
      <c r="I685">
        <v>861.05</v>
      </c>
      <c r="J685">
        <v>2583.15</v>
      </c>
      <c r="K685" t="s">
        <v>63</v>
      </c>
      <c r="L685" t="s">
        <v>21</v>
      </c>
      <c r="M685">
        <v>608.79</v>
      </c>
      <c r="N685" s="3">
        <f t="shared" si="10"/>
        <v>45870</v>
      </c>
    </row>
    <row r="686" spans="1:14" x14ac:dyDescent="0.35">
      <c r="A686" t="s">
        <v>1046</v>
      </c>
      <c r="B686" t="s">
        <v>1047</v>
      </c>
      <c r="C686" t="s">
        <v>32</v>
      </c>
      <c r="D686" t="s">
        <v>42</v>
      </c>
      <c r="E686" t="s">
        <v>43</v>
      </c>
      <c r="F686" t="s">
        <v>37</v>
      </c>
      <c r="G686" t="s">
        <v>38</v>
      </c>
      <c r="H686">
        <v>18</v>
      </c>
      <c r="I686">
        <v>481.13</v>
      </c>
      <c r="J686">
        <v>8660.34</v>
      </c>
      <c r="K686" t="s">
        <v>29</v>
      </c>
      <c r="L686" t="s">
        <v>21</v>
      </c>
      <c r="M686">
        <v>2582.5</v>
      </c>
      <c r="N686" s="3">
        <f t="shared" si="10"/>
        <v>45901</v>
      </c>
    </row>
    <row r="687" spans="1:14" x14ac:dyDescent="0.35">
      <c r="A687" t="s">
        <v>1048</v>
      </c>
      <c r="B687" t="s">
        <v>661</v>
      </c>
      <c r="C687" t="s">
        <v>47</v>
      </c>
      <c r="D687" t="s">
        <v>69</v>
      </c>
      <c r="E687" t="s">
        <v>43</v>
      </c>
      <c r="F687" t="s">
        <v>44</v>
      </c>
      <c r="G687" t="s">
        <v>38</v>
      </c>
      <c r="H687">
        <v>9</v>
      </c>
      <c r="I687">
        <v>787.71</v>
      </c>
      <c r="J687">
        <v>7089.39</v>
      </c>
      <c r="K687" t="s">
        <v>29</v>
      </c>
      <c r="L687" t="s">
        <v>34</v>
      </c>
      <c r="M687">
        <v>2340.14</v>
      </c>
      <c r="N687" s="3">
        <f t="shared" si="10"/>
        <v>45689</v>
      </c>
    </row>
    <row r="688" spans="1:14" x14ac:dyDescent="0.35">
      <c r="A688" t="s">
        <v>1049</v>
      </c>
      <c r="B688" t="s">
        <v>272</v>
      </c>
      <c r="C688" t="s">
        <v>47</v>
      </c>
      <c r="D688" t="s">
        <v>16</v>
      </c>
      <c r="E688" t="s">
        <v>48</v>
      </c>
      <c r="F688" t="s">
        <v>44</v>
      </c>
      <c r="G688" t="s">
        <v>56</v>
      </c>
      <c r="H688">
        <v>1</v>
      </c>
      <c r="I688">
        <v>561.72</v>
      </c>
      <c r="J688">
        <v>561.72</v>
      </c>
      <c r="K688" t="s">
        <v>20</v>
      </c>
      <c r="L688" t="s">
        <v>50</v>
      </c>
      <c r="M688">
        <v>79.7</v>
      </c>
      <c r="N688" s="3">
        <f t="shared" si="10"/>
        <v>45931</v>
      </c>
    </row>
    <row r="689" spans="1:14" x14ac:dyDescent="0.35">
      <c r="A689" t="s">
        <v>1050</v>
      </c>
      <c r="B689" t="s">
        <v>591</v>
      </c>
      <c r="C689" t="s">
        <v>15</v>
      </c>
      <c r="D689" t="s">
        <v>116</v>
      </c>
      <c r="E689" t="s">
        <v>43</v>
      </c>
      <c r="F689" t="s">
        <v>18</v>
      </c>
      <c r="G689" t="s">
        <v>85</v>
      </c>
      <c r="H689">
        <v>18</v>
      </c>
      <c r="I689">
        <v>15.77</v>
      </c>
      <c r="J689">
        <v>283.86</v>
      </c>
      <c r="K689" t="s">
        <v>49</v>
      </c>
      <c r="L689" t="s">
        <v>34</v>
      </c>
      <c r="M689">
        <v>90.5</v>
      </c>
      <c r="N689" s="3">
        <f t="shared" si="10"/>
        <v>45962</v>
      </c>
    </row>
    <row r="690" spans="1:14" x14ac:dyDescent="0.35">
      <c r="A690" t="s">
        <v>1051</v>
      </c>
      <c r="B690" t="s">
        <v>589</v>
      </c>
      <c r="C690" t="s">
        <v>24</v>
      </c>
      <c r="D690" t="s">
        <v>74</v>
      </c>
      <c r="E690" t="s">
        <v>48</v>
      </c>
      <c r="F690" t="s">
        <v>18</v>
      </c>
      <c r="G690" t="s">
        <v>105</v>
      </c>
      <c r="H690">
        <v>1</v>
      </c>
      <c r="I690">
        <v>133.41999999999999</v>
      </c>
      <c r="J690">
        <v>133.41999999999999</v>
      </c>
      <c r="K690" t="s">
        <v>66</v>
      </c>
      <c r="L690" t="s">
        <v>21</v>
      </c>
      <c r="M690">
        <v>15.37</v>
      </c>
      <c r="N690" s="3">
        <f t="shared" si="10"/>
        <v>45689</v>
      </c>
    </row>
    <row r="691" spans="1:14" x14ac:dyDescent="0.35">
      <c r="A691" t="s">
        <v>1052</v>
      </c>
      <c r="B691" t="s">
        <v>91</v>
      </c>
      <c r="C691" t="s">
        <v>15</v>
      </c>
      <c r="D691" t="s">
        <v>42</v>
      </c>
      <c r="E691" t="s">
        <v>17</v>
      </c>
      <c r="F691" t="s">
        <v>18</v>
      </c>
      <c r="G691" t="s">
        <v>45</v>
      </c>
      <c r="H691">
        <v>8</v>
      </c>
      <c r="I691">
        <v>361.71</v>
      </c>
      <c r="J691">
        <v>2893.68</v>
      </c>
      <c r="K691" t="s">
        <v>20</v>
      </c>
      <c r="L691" t="s">
        <v>34</v>
      </c>
      <c r="M691">
        <v>629.69000000000005</v>
      </c>
      <c r="N691" s="3">
        <f t="shared" si="10"/>
        <v>45809</v>
      </c>
    </row>
    <row r="692" spans="1:14" x14ac:dyDescent="0.35">
      <c r="A692" t="s">
        <v>1053</v>
      </c>
      <c r="B692" t="s">
        <v>709</v>
      </c>
      <c r="C692" t="s">
        <v>15</v>
      </c>
      <c r="D692" t="s">
        <v>53</v>
      </c>
      <c r="E692" t="s">
        <v>17</v>
      </c>
      <c r="F692" t="s">
        <v>37</v>
      </c>
      <c r="G692" t="s">
        <v>45</v>
      </c>
      <c r="H692">
        <v>1</v>
      </c>
      <c r="I692">
        <v>201.48</v>
      </c>
      <c r="J692">
        <v>201.48</v>
      </c>
      <c r="K692" t="s">
        <v>66</v>
      </c>
      <c r="L692" t="s">
        <v>77</v>
      </c>
      <c r="M692">
        <v>57.12</v>
      </c>
      <c r="N692" s="3">
        <f t="shared" si="10"/>
        <v>45931</v>
      </c>
    </row>
    <row r="693" spans="1:14" x14ac:dyDescent="0.35">
      <c r="A693" t="s">
        <v>1054</v>
      </c>
      <c r="B693" t="s">
        <v>696</v>
      </c>
      <c r="C693" t="s">
        <v>32</v>
      </c>
      <c r="D693" t="s">
        <v>33</v>
      </c>
      <c r="E693" t="s">
        <v>43</v>
      </c>
      <c r="F693" t="s">
        <v>37</v>
      </c>
      <c r="G693" t="s">
        <v>85</v>
      </c>
      <c r="H693">
        <v>10</v>
      </c>
      <c r="I693">
        <v>445.27</v>
      </c>
      <c r="J693">
        <v>4452.7</v>
      </c>
      <c r="K693" t="s">
        <v>66</v>
      </c>
      <c r="L693" t="s">
        <v>39</v>
      </c>
      <c r="M693">
        <v>484.61</v>
      </c>
      <c r="N693" s="3">
        <f t="shared" si="10"/>
        <v>45992</v>
      </c>
    </row>
    <row r="694" spans="1:14" x14ac:dyDescent="0.35">
      <c r="A694" t="s">
        <v>1055</v>
      </c>
      <c r="B694" t="s">
        <v>138</v>
      </c>
      <c r="C694" t="s">
        <v>15</v>
      </c>
      <c r="D694" t="s">
        <v>33</v>
      </c>
      <c r="E694" t="s">
        <v>26</v>
      </c>
      <c r="F694" t="s">
        <v>44</v>
      </c>
      <c r="G694" t="s">
        <v>105</v>
      </c>
      <c r="H694">
        <v>20</v>
      </c>
      <c r="I694">
        <v>101.73</v>
      </c>
      <c r="J694">
        <v>2034.6</v>
      </c>
      <c r="K694" t="s">
        <v>66</v>
      </c>
      <c r="L694" t="s">
        <v>21</v>
      </c>
      <c r="M694">
        <v>400.31</v>
      </c>
      <c r="N694" s="3">
        <f t="shared" si="10"/>
        <v>45778</v>
      </c>
    </row>
    <row r="695" spans="1:14" x14ac:dyDescent="0.35">
      <c r="A695" t="s">
        <v>1056</v>
      </c>
      <c r="B695" t="s">
        <v>398</v>
      </c>
      <c r="C695" t="s">
        <v>47</v>
      </c>
      <c r="D695" t="s">
        <v>53</v>
      </c>
      <c r="E695" t="s">
        <v>48</v>
      </c>
      <c r="F695" t="s">
        <v>37</v>
      </c>
      <c r="G695" t="s">
        <v>19</v>
      </c>
      <c r="H695">
        <v>10</v>
      </c>
      <c r="I695">
        <v>876.2</v>
      </c>
      <c r="J695">
        <v>8762</v>
      </c>
      <c r="K695" t="s">
        <v>29</v>
      </c>
      <c r="L695" t="s">
        <v>77</v>
      </c>
      <c r="M695">
        <v>2755.48</v>
      </c>
      <c r="N695" s="3">
        <f t="shared" si="10"/>
        <v>45658</v>
      </c>
    </row>
    <row r="696" spans="1:14" x14ac:dyDescent="0.35">
      <c r="A696" t="s">
        <v>1057</v>
      </c>
      <c r="B696" t="s">
        <v>638</v>
      </c>
      <c r="C696" t="s">
        <v>15</v>
      </c>
      <c r="D696" t="s">
        <v>74</v>
      </c>
      <c r="E696" t="s">
        <v>26</v>
      </c>
      <c r="F696" t="s">
        <v>27</v>
      </c>
      <c r="G696" t="s">
        <v>38</v>
      </c>
      <c r="H696">
        <v>11</v>
      </c>
      <c r="I696">
        <v>279.63</v>
      </c>
      <c r="J696">
        <v>3075.93</v>
      </c>
      <c r="K696" t="s">
        <v>66</v>
      </c>
      <c r="L696" t="s">
        <v>34</v>
      </c>
      <c r="M696">
        <v>980.08</v>
      </c>
      <c r="N696" s="3">
        <f t="shared" si="10"/>
        <v>45992</v>
      </c>
    </row>
    <row r="697" spans="1:14" x14ac:dyDescent="0.35">
      <c r="A697" t="s">
        <v>1058</v>
      </c>
      <c r="B697" t="s">
        <v>133</v>
      </c>
      <c r="C697" t="s">
        <v>47</v>
      </c>
      <c r="D697" t="s">
        <v>33</v>
      </c>
      <c r="E697" t="s">
        <v>26</v>
      </c>
      <c r="F697" t="s">
        <v>27</v>
      </c>
      <c r="G697" t="s">
        <v>96</v>
      </c>
      <c r="H697">
        <v>12</v>
      </c>
      <c r="I697">
        <v>202.94</v>
      </c>
      <c r="J697">
        <v>2435.2800000000002</v>
      </c>
      <c r="K697" t="s">
        <v>82</v>
      </c>
      <c r="L697" t="s">
        <v>50</v>
      </c>
      <c r="M697">
        <v>823.82</v>
      </c>
      <c r="N697" s="3">
        <f t="shared" si="10"/>
        <v>45931</v>
      </c>
    </row>
    <row r="698" spans="1:14" x14ac:dyDescent="0.35">
      <c r="A698" t="s">
        <v>1059</v>
      </c>
      <c r="B698" t="s">
        <v>957</v>
      </c>
      <c r="C698" t="s">
        <v>47</v>
      </c>
      <c r="D698" t="s">
        <v>74</v>
      </c>
      <c r="E698" t="s">
        <v>43</v>
      </c>
      <c r="F698" t="s">
        <v>44</v>
      </c>
      <c r="G698" t="s">
        <v>96</v>
      </c>
      <c r="H698">
        <v>16</v>
      </c>
      <c r="I698">
        <v>521.16999999999996</v>
      </c>
      <c r="J698">
        <v>8338.7199999999993</v>
      </c>
      <c r="K698" t="s">
        <v>29</v>
      </c>
      <c r="L698" t="s">
        <v>34</v>
      </c>
      <c r="M698">
        <v>1618.46</v>
      </c>
      <c r="N698" s="3">
        <f t="shared" si="10"/>
        <v>45839</v>
      </c>
    </row>
    <row r="699" spans="1:14" x14ac:dyDescent="0.35">
      <c r="A699" t="s">
        <v>1060</v>
      </c>
      <c r="B699" t="s">
        <v>146</v>
      </c>
      <c r="C699" t="s">
        <v>47</v>
      </c>
      <c r="D699" t="s">
        <v>116</v>
      </c>
      <c r="E699" t="s">
        <v>17</v>
      </c>
      <c r="F699" t="s">
        <v>27</v>
      </c>
      <c r="G699" t="s">
        <v>38</v>
      </c>
      <c r="H699">
        <v>6</v>
      </c>
      <c r="I699">
        <v>275.83999999999997</v>
      </c>
      <c r="J699">
        <v>1655.04</v>
      </c>
      <c r="K699" t="s">
        <v>63</v>
      </c>
      <c r="L699" t="s">
        <v>39</v>
      </c>
      <c r="M699">
        <v>508.45</v>
      </c>
      <c r="N699" s="3">
        <f t="shared" si="10"/>
        <v>45962</v>
      </c>
    </row>
    <row r="700" spans="1:14" x14ac:dyDescent="0.35">
      <c r="A700" t="s">
        <v>1061</v>
      </c>
      <c r="B700" t="s">
        <v>787</v>
      </c>
      <c r="C700" t="s">
        <v>15</v>
      </c>
      <c r="D700" t="s">
        <v>16</v>
      </c>
      <c r="E700" t="s">
        <v>17</v>
      </c>
      <c r="F700" t="s">
        <v>27</v>
      </c>
      <c r="G700" t="s">
        <v>105</v>
      </c>
      <c r="H700">
        <v>12</v>
      </c>
      <c r="I700">
        <v>312.3</v>
      </c>
      <c r="J700">
        <v>3747.6</v>
      </c>
      <c r="K700" t="s">
        <v>82</v>
      </c>
      <c r="L700" t="s">
        <v>39</v>
      </c>
      <c r="M700">
        <v>512.76</v>
      </c>
      <c r="N700" s="3">
        <f t="shared" si="10"/>
        <v>45901</v>
      </c>
    </row>
    <row r="701" spans="1:14" x14ac:dyDescent="0.35">
      <c r="A701" t="s">
        <v>1062</v>
      </c>
      <c r="B701" t="s">
        <v>641</v>
      </c>
      <c r="C701" t="s">
        <v>47</v>
      </c>
      <c r="D701" t="s">
        <v>25</v>
      </c>
      <c r="E701" t="s">
        <v>48</v>
      </c>
      <c r="F701" t="s">
        <v>37</v>
      </c>
      <c r="G701" t="s">
        <v>56</v>
      </c>
      <c r="H701">
        <v>2</v>
      </c>
      <c r="I701">
        <v>184.25</v>
      </c>
      <c r="J701">
        <v>368.5</v>
      </c>
      <c r="K701" t="s">
        <v>63</v>
      </c>
      <c r="L701" t="s">
        <v>50</v>
      </c>
      <c r="M701">
        <v>116.66</v>
      </c>
      <c r="N701" s="3">
        <f t="shared" si="10"/>
        <v>45839</v>
      </c>
    </row>
    <row r="702" spans="1:14" x14ac:dyDescent="0.35">
      <c r="A702" t="s">
        <v>1063</v>
      </c>
      <c r="B702" t="s">
        <v>506</v>
      </c>
      <c r="C702" t="s">
        <v>15</v>
      </c>
      <c r="D702" t="s">
        <v>53</v>
      </c>
      <c r="E702" t="s">
        <v>26</v>
      </c>
      <c r="F702" t="s">
        <v>37</v>
      </c>
      <c r="G702" t="s">
        <v>85</v>
      </c>
      <c r="H702">
        <v>2</v>
      </c>
      <c r="I702">
        <v>46.08</v>
      </c>
      <c r="J702">
        <v>92.16</v>
      </c>
      <c r="K702" t="s">
        <v>66</v>
      </c>
      <c r="L702" t="s">
        <v>50</v>
      </c>
      <c r="M702">
        <v>21.64</v>
      </c>
      <c r="N702" s="3">
        <f t="shared" si="10"/>
        <v>45901</v>
      </c>
    </row>
    <row r="703" spans="1:14" x14ac:dyDescent="0.35">
      <c r="A703" t="s">
        <v>1064</v>
      </c>
      <c r="B703" t="s">
        <v>835</v>
      </c>
      <c r="C703" t="s">
        <v>15</v>
      </c>
      <c r="D703" t="s">
        <v>74</v>
      </c>
      <c r="E703" t="s">
        <v>17</v>
      </c>
      <c r="F703" t="s">
        <v>37</v>
      </c>
      <c r="G703" t="s">
        <v>85</v>
      </c>
      <c r="H703">
        <v>13</v>
      </c>
      <c r="I703">
        <v>224.69</v>
      </c>
      <c r="J703">
        <v>2920.97</v>
      </c>
      <c r="K703" t="s">
        <v>29</v>
      </c>
      <c r="L703" t="s">
        <v>77</v>
      </c>
      <c r="M703">
        <v>355.29</v>
      </c>
      <c r="N703" s="3">
        <f t="shared" si="10"/>
        <v>45809</v>
      </c>
    </row>
    <row r="704" spans="1:14" x14ac:dyDescent="0.35">
      <c r="A704" t="s">
        <v>1065</v>
      </c>
      <c r="B704" t="s">
        <v>79</v>
      </c>
      <c r="C704" t="s">
        <v>24</v>
      </c>
      <c r="D704" t="s">
        <v>42</v>
      </c>
      <c r="E704" t="s">
        <v>26</v>
      </c>
      <c r="F704" t="s">
        <v>27</v>
      </c>
      <c r="G704" t="s">
        <v>19</v>
      </c>
      <c r="H704">
        <v>20</v>
      </c>
      <c r="I704">
        <v>263.57</v>
      </c>
      <c r="J704">
        <v>5271.4</v>
      </c>
      <c r="K704" t="s">
        <v>63</v>
      </c>
      <c r="L704" t="s">
        <v>34</v>
      </c>
      <c r="M704">
        <v>1299.18</v>
      </c>
      <c r="N704" s="3">
        <f t="shared" si="10"/>
        <v>45901</v>
      </c>
    </row>
    <row r="705" spans="1:14" x14ac:dyDescent="0.35">
      <c r="A705" t="s">
        <v>1066</v>
      </c>
      <c r="B705" t="s">
        <v>1067</v>
      </c>
      <c r="C705" t="s">
        <v>32</v>
      </c>
      <c r="D705" t="s">
        <v>16</v>
      </c>
      <c r="E705" t="s">
        <v>17</v>
      </c>
      <c r="F705" t="s">
        <v>44</v>
      </c>
      <c r="G705" t="s">
        <v>19</v>
      </c>
      <c r="H705">
        <v>15</v>
      </c>
      <c r="I705">
        <v>286.51</v>
      </c>
      <c r="J705">
        <v>4297.6499999999996</v>
      </c>
      <c r="K705" t="s">
        <v>49</v>
      </c>
      <c r="L705" t="s">
        <v>50</v>
      </c>
      <c r="M705">
        <v>1006.87</v>
      </c>
      <c r="N705" s="3">
        <f t="shared" si="10"/>
        <v>45931</v>
      </c>
    </row>
    <row r="706" spans="1:14" x14ac:dyDescent="0.35">
      <c r="A706" t="s">
        <v>1068</v>
      </c>
      <c r="B706" t="s">
        <v>291</v>
      </c>
      <c r="C706" t="s">
        <v>47</v>
      </c>
      <c r="D706" t="s">
        <v>42</v>
      </c>
      <c r="E706" t="s">
        <v>17</v>
      </c>
      <c r="F706" t="s">
        <v>18</v>
      </c>
      <c r="G706" t="s">
        <v>45</v>
      </c>
      <c r="H706">
        <v>1</v>
      </c>
      <c r="I706">
        <v>337.04</v>
      </c>
      <c r="J706">
        <v>337.04</v>
      </c>
      <c r="K706" t="s">
        <v>82</v>
      </c>
      <c r="L706" t="s">
        <v>77</v>
      </c>
      <c r="M706">
        <v>94.04</v>
      </c>
      <c r="N706" s="3">
        <f t="shared" si="10"/>
        <v>45931</v>
      </c>
    </row>
    <row r="707" spans="1:14" x14ac:dyDescent="0.35">
      <c r="A707" t="s">
        <v>1069</v>
      </c>
      <c r="B707" t="s">
        <v>713</v>
      </c>
      <c r="C707" t="s">
        <v>24</v>
      </c>
      <c r="D707" t="s">
        <v>53</v>
      </c>
      <c r="E707" t="s">
        <v>48</v>
      </c>
      <c r="F707" t="s">
        <v>18</v>
      </c>
      <c r="G707" t="s">
        <v>105</v>
      </c>
      <c r="H707">
        <v>3</v>
      </c>
      <c r="I707">
        <v>295.5</v>
      </c>
      <c r="J707">
        <v>886.5</v>
      </c>
      <c r="K707" t="s">
        <v>66</v>
      </c>
      <c r="L707" t="s">
        <v>21</v>
      </c>
      <c r="M707">
        <v>185.49</v>
      </c>
      <c r="N707" s="3">
        <f t="shared" ref="N707:N770" si="11">DATE(YEAR(B707),MONTH(B707),1)</f>
        <v>45748</v>
      </c>
    </row>
    <row r="708" spans="1:14" x14ac:dyDescent="0.35">
      <c r="A708" t="s">
        <v>1070</v>
      </c>
      <c r="B708" t="s">
        <v>1071</v>
      </c>
      <c r="C708" t="s">
        <v>15</v>
      </c>
      <c r="D708" t="s">
        <v>25</v>
      </c>
      <c r="E708" t="s">
        <v>43</v>
      </c>
      <c r="F708" t="s">
        <v>44</v>
      </c>
      <c r="G708" t="s">
        <v>28</v>
      </c>
      <c r="H708">
        <v>19</v>
      </c>
      <c r="I708">
        <v>904.46</v>
      </c>
      <c r="J708">
        <v>17184.740000000002</v>
      </c>
      <c r="K708" t="s">
        <v>82</v>
      </c>
      <c r="L708" t="s">
        <v>21</v>
      </c>
      <c r="M708">
        <v>4097.21</v>
      </c>
      <c r="N708" s="3">
        <f t="shared" si="11"/>
        <v>45839</v>
      </c>
    </row>
    <row r="709" spans="1:14" x14ac:dyDescent="0.35">
      <c r="A709" t="s">
        <v>1072</v>
      </c>
      <c r="B709" t="s">
        <v>671</v>
      </c>
      <c r="C709" t="s">
        <v>24</v>
      </c>
      <c r="D709" t="s">
        <v>16</v>
      </c>
      <c r="E709" t="s">
        <v>26</v>
      </c>
      <c r="F709" t="s">
        <v>44</v>
      </c>
      <c r="G709" t="s">
        <v>45</v>
      </c>
      <c r="H709">
        <v>2</v>
      </c>
      <c r="I709">
        <v>765.44</v>
      </c>
      <c r="J709">
        <v>1530.88</v>
      </c>
      <c r="K709" t="s">
        <v>82</v>
      </c>
      <c r="L709" t="s">
        <v>50</v>
      </c>
      <c r="M709">
        <v>271.02999999999997</v>
      </c>
      <c r="N709" s="3">
        <f t="shared" si="11"/>
        <v>45901</v>
      </c>
    </row>
    <row r="710" spans="1:14" x14ac:dyDescent="0.35">
      <c r="A710" t="s">
        <v>1073</v>
      </c>
      <c r="B710" t="s">
        <v>696</v>
      </c>
      <c r="C710" t="s">
        <v>24</v>
      </c>
      <c r="D710" t="s">
        <v>74</v>
      </c>
      <c r="E710" t="s">
        <v>26</v>
      </c>
      <c r="F710" t="s">
        <v>44</v>
      </c>
      <c r="G710" t="s">
        <v>85</v>
      </c>
      <c r="H710">
        <v>8</v>
      </c>
      <c r="I710">
        <v>307.13</v>
      </c>
      <c r="J710">
        <v>2457.04</v>
      </c>
      <c r="K710" t="s">
        <v>66</v>
      </c>
      <c r="L710" t="s">
        <v>77</v>
      </c>
      <c r="M710">
        <v>590.29</v>
      </c>
      <c r="N710" s="3">
        <f t="shared" si="11"/>
        <v>45992</v>
      </c>
    </row>
    <row r="711" spans="1:14" x14ac:dyDescent="0.35">
      <c r="A711" t="s">
        <v>1074</v>
      </c>
      <c r="B711" t="s">
        <v>1075</v>
      </c>
      <c r="C711" t="s">
        <v>47</v>
      </c>
      <c r="D711" t="s">
        <v>53</v>
      </c>
      <c r="E711" t="s">
        <v>26</v>
      </c>
      <c r="F711" t="s">
        <v>18</v>
      </c>
      <c r="G711" t="s">
        <v>45</v>
      </c>
      <c r="H711">
        <v>20</v>
      </c>
      <c r="I711">
        <v>577.99</v>
      </c>
      <c r="J711">
        <v>11559.8</v>
      </c>
      <c r="K711" t="s">
        <v>20</v>
      </c>
      <c r="L711" t="s">
        <v>34</v>
      </c>
      <c r="M711">
        <v>1641.41</v>
      </c>
      <c r="N711" s="3">
        <f t="shared" si="11"/>
        <v>45992</v>
      </c>
    </row>
    <row r="712" spans="1:14" x14ac:dyDescent="0.35">
      <c r="A712" t="s">
        <v>1076</v>
      </c>
      <c r="B712" t="s">
        <v>215</v>
      </c>
      <c r="C712" t="s">
        <v>47</v>
      </c>
      <c r="D712" t="s">
        <v>74</v>
      </c>
      <c r="E712" t="s">
        <v>26</v>
      </c>
      <c r="F712" t="s">
        <v>27</v>
      </c>
      <c r="G712" t="s">
        <v>56</v>
      </c>
      <c r="H712">
        <v>19</v>
      </c>
      <c r="I712">
        <v>289.60000000000002</v>
      </c>
      <c r="J712">
        <v>5502.4</v>
      </c>
      <c r="K712" t="s">
        <v>82</v>
      </c>
      <c r="L712" t="s">
        <v>34</v>
      </c>
      <c r="M712">
        <v>1241.82</v>
      </c>
      <c r="N712" s="3">
        <f t="shared" si="11"/>
        <v>45658</v>
      </c>
    </row>
    <row r="713" spans="1:14" x14ac:dyDescent="0.35">
      <c r="A713" t="s">
        <v>1077</v>
      </c>
      <c r="B713" t="s">
        <v>591</v>
      </c>
      <c r="C713" t="s">
        <v>24</v>
      </c>
      <c r="D713" t="s">
        <v>74</v>
      </c>
      <c r="E713" t="s">
        <v>26</v>
      </c>
      <c r="F713" t="s">
        <v>44</v>
      </c>
      <c r="G713" t="s">
        <v>56</v>
      </c>
      <c r="H713">
        <v>4</v>
      </c>
      <c r="I713">
        <v>891.07</v>
      </c>
      <c r="J713">
        <v>3564.28</v>
      </c>
      <c r="K713" t="s">
        <v>49</v>
      </c>
      <c r="L713" t="s">
        <v>39</v>
      </c>
      <c r="M713">
        <v>406.27</v>
      </c>
      <c r="N713" s="3">
        <f t="shared" si="11"/>
        <v>45962</v>
      </c>
    </row>
    <row r="714" spans="1:14" x14ac:dyDescent="0.35">
      <c r="A714" t="s">
        <v>1078</v>
      </c>
      <c r="B714" t="s">
        <v>1079</v>
      </c>
      <c r="C714" t="s">
        <v>15</v>
      </c>
      <c r="D714" t="s">
        <v>42</v>
      </c>
      <c r="E714" t="s">
        <v>17</v>
      </c>
      <c r="F714" t="s">
        <v>27</v>
      </c>
      <c r="G714" t="s">
        <v>38</v>
      </c>
      <c r="H714">
        <v>12</v>
      </c>
      <c r="I714">
        <v>561.92999999999995</v>
      </c>
      <c r="J714">
        <v>6743.16</v>
      </c>
      <c r="K714" t="s">
        <v>63</v>
      </c>
      <c r="L714" t="s">
        <v>34</v>
      </c>
      <c r="M714">
        <v>1709.08</v>
      </c>
      <c r="N714" s="3">
        <f t="shared" si="11"/>
        <v>45992</v>
      </c>
    </row>
    <row r="715" spans="1:14" x14ac:dyDescent="0.35">
      <c r="A715" t="s">
        <v>1080</v>
      </c>
      <c r="B715" t="s">
        <v>311</v>
      </c>
      <c r="C715" t="s">
        <v>47</v>
      </c>
      <c r="D715" t="s">
        <v>25</v>
      </c>
      <c r="E715" t="s">
        <v>17</v>
      </c>
      <c r="F715" t="s">
        <v>44</v>
      </c>
      <c r="G715" t="s">
        <v>56</v>
      </c>
      <c r="H715">
        <v>10</v>
      </c>
      <c r="I715">
        <v>203.06</v>
      </c>
      <c r="J715">
        <v>2030.6</v>
      </c>
      <c r="K715" t="s">
        <v>66</v>
      </c>
      <c r="L715" t="s">
        <v>50</v>
      </c>
      <c r="M715">
        <v>220.35</v>
      </c>
      <c r="N715" s="3">
        <f t="shared" si="11"/>
        <v>45717</v>
      </c>
    </row>
    <row r="716" spans="1:14" x14ac:dyDescent="0.35">
      <c r="A716" t="s">
        <v>1081</v>
      </c>
      <c r="B716" t="s">
        <v>486</v>
      </c>
      <c r="C716" t="s">
        <v>15</v>
      </c>
      <c r="D716" t="s">
        <v>42</v>
      </c>
      <c r="E716" t="s">
        <v>17</v>
      </c>
      <c r="F716" t="s">
        <v>44</v>
      </c>
      <c r="G716" t="s">
        <v>19</v>
      </c>
      <c r="H716">
        <v>17</v>
      </c>
      <c r="I716">
        <v>39.53</v>
      </c>
      <c r="J716">
        <v>672.01</v>
      </c>
      <c r="K716" t="s">
        <v>20</v>
      </c>
      <c r="L716" t="s">
        <v>50</v>
      </c>
      <c r="M716">
        <v>234.02</v>
      </c>
      <c r="N716" s="3">
        <f t="shared" si="11"/>
        <v>45870</v>
      </c>
    </row>
    <row r="717" spans="1:14" x14ac:dyDescent="0.35">
      <c r="A717" t="s">
        <v>1082</v>
      </c>
      <c r="B717" t="s">
        <v>538</v>
      </c>
      <c r="C717" t="s">
        <v>24</v>
      </c>
      <c r="D717" t="s">
        <v>16</v>
      </c>
      <c r="E717" t="s">
        <v>43</v>
      </c>
      <c r="F717" t="s">
        <v>27</v>
      </c>
      <c r="G717" t="s">
        <v>38</v>
      </c>
      <c r="H717">
        <v>12</v>
      </c>
      <c r="I717">
        <v>747.96</v>
      </c>
      <c r="J717">
        <v>8975.52</v>
      </c>
      <c r="K717" t="s">
        <v>63</v>
      </c>
      <c r="L717" t="s">
        <v>39</v>
      </c>
      <c r="M717">
        <v>1593.69</v>
      </c>
      <c r="N717" s="3">
        <f t="shared" si="11"/>
        <v>45689</v>
      </c>
    </row>
    <row r="718" spans="1:14" x14ac:dyDescent="0.35">
      <c r="A718" t="s">
        <v>1083</v>
      </c>
      <c r="B718" t="s">
        <v>396</v>
      </c>
      <c r="C718" t="s">
        <v>24</v>
      </c>
      <c r="D718" t="s">
        <v>16</v>
      </c>
      <c r="E718" t="s">
        <v>43</v>
      </c>
      <c r="F718" t="s">
        <v>27</v>
      </c>
      <c r="G718" t="s">
        <v>28</v>
      </c>
      <c r="H718">
        <v>1</v>
      </c>
      <c r="I718">
        <v>186.2</v>
      </c>
      <c r="J718">
        <v>186.2</v>
      </c>
      <c r="K718" t="s">
        <v>63</v>
      </c>
      <c r="L718" t="s">
        <v>34</v>
      </c>
      <c r="M718">
        <v>44.46</v>
      </c>
      <c r="N718" s="3">
        <f t="shared" si="11"/>
        <v>45748</v>
      </c>
    </row>
    <row r="719" spans="1:14" x14ac:dyDescent="0.35">
      <c r="A719" t="s">
        <v>1084</v>
      </c>
      <c r="B719" t="s">
        <v>659</v>
      </c>
      <c r="C719" t="s">
        <v>15</v>
      </c>
      <c r="D719" t="s">
        <v>42</v>
      </c>
      <c r="E719" t="s">
        <v>17</v>
      </c>
      <c r="F719" t="s">
        <v>37</v>
      </c>
      <c r="G719" t="s">
        <v>105</v>
      </c>
      <c r="H719">
        <v>5</v>
      </c>
      <c r="I719">
        <v>399.83</v>
      </c>
      <c r="J719">
        <v>1999.15</v>
      </c>
      <c r="K719" t="s">
        <v>63</v>
      </c>
      <c r="L719" t="s">
        <v>34</v>
      </c>
      <c r="M719">
        <v>336.56</v>
      </c>
      <c r="N719" s="3">
        <f t="shared" si="11"/>
        <v>45717</v>
      </c>
    </row>
    <row r="720" spans="1:14" x14ac:dyDescent="0.35">
      <c r="A720" t="s">
        <v>1085</v>
      </c>
      <c r="B720" t="s">
        <v>295</v>
      </c>
      <c r="C720" t="s">
        <v>15</v>
      </c>
      <c r="D720" t="s">
        <v>16</v>
      </c>
      <c r="E720" t="s">
        <v>48</v>
      </c>
      <c r="F720" t="s">
        <v>44</v>
      </c>
      <c r="G720" t="s">
        <v>19</v>
      </c>
      <c r="H720">
        <v>2</v>
      </c>
      <c r="I720">
        <v>174.5</v>
      </c>
      <c r="J720">
        <v>349</v>
      </c>
      <c r="K720" t="s">
        <v>63</v>
      </c>
      <c r="L720" t="s">
        <v>77</v>
      </c>
      <c r="M720">
        <v>36.17</v>
      </c>
      <c r="N720" s="3">
        <f t="shared" si="11"/>
        <v>45658</v>
      </c>
    </row>
    <row r="721" spans="1:14" x14ac:dyDescent="0.35">
      <c r="A721" t="s">
        <v>1086</v>
      </c>
      <c r="B721" t="s">
        <v>127</v>
      </c>
      <c r="C721" t="s">
        <v>24</v>
      </c>
      <c r="D721" t="s">
        <v>69</v>
      </c>
      <c r="E721" t="s">
        <v>17</v>
      </c>
      <c r="F721" t="s">
        <v>27</v>
      </c>
      <c r="G721" t="s">
        <v>56</v>
      </c>
      <c r="H721">
        <v>4</v>
      </c>
      <c r="I721">
        <v>984.56</v>
      </c>
      <c r="J721">
        <v>3938.24</v>
      </c>
      <c r="K721" t="s">
        <v>82</v>
      </c>
      <c r="L721" t="s">
        <v>34</v>
      </c>
      <c r="M721">
        <v>1178.1199999999999</v>
      </c>
      <c r="N721" s="3">
        <f t="shared" si="11"/>
        <v>45901</v>
      </c>
    </row>
    <row r="722" spans="1:14" x14ac:dyDescent="0.35">
      <c r="A722" t="s">
        <v>1087</v>
      </c>
      <c r="B722" t="s">
        <v>146</v>
      </c>
      <c r="C722" t="s">
        <v>47</v>
      </c>
      <c r="D722" t="s">
        <v>33</v>
      </c>
      <c r="E722" t="s">
        <v>26</v>
      </c>
      <c r="F722" t="s">
        <v>37</v>
      </c>
      <c r="G722" t="s">
        <v>45</v>
      </c>
      <c r="H722">
        <v>19</v>
      </c>
      <c r="I722">
        <v>770.78</v>
      </c>
      <c r="J722">
        <v>14644.82</v>
      </c>
      <c r="K722" t="s">
        <v>29</v>
      </c>
      <c r="L722" t="s">
        <v>39</v>
      </c>
      <c r="M722">
        <v>2994.34</v>
      </c>
      <c r="N722" s="3">
        <f t="shared" si="11"/>
        <v>45962</v>
      </c>
    </row>
    <row r="723" spans="1:14" x14ac:dyDescent="0.35">
      <c r="A723" t="s">
        <v>1088</v>
      </c>
      <c r="B723" t="s">
        <v>1089</v>
      </c>
      <c r="C723" t="s">
        <v>32</v>
      </c>
      <c r="D723" t="s">
        <v>74</v>
      </c>
      <c r="E723" t="s">
        <v>26</v>
      </c>
      <c r="F723" t="s">
        <v>37</v>
      </c>
      <c r="G723" t="s">
        <v>105</v>
      </c>
      <c r="H723">
        <v>15</v>
      </c>
      <c r="I723">
        <v>110.55</v>
      </c>
      <c r="J723">
        <v>1658.25</v>
      </c>
      <c r="K723" t="s">
        <v>66</v>
      </c>
      <c r="L723" t="s">
        <v>77</v>
      </c>
      <c r="M723">
        <v>435.88</v>
      </c>
      <c r="N723" s="3">
        <f t="shared" si="11"/>
        <v>45778</v>
      </c>
    </row>
    <row r="724" spans="1:14" x14ac:dyDescent="0.35">
      <c r="A724" t="s">
        <v>1090</v>
      </c>
      <c r="B724" t="s">
        <v>492</v>
      </c>
      <c r="C724" t="s">
        <v>24</v>
      </c>
      <c r="D724" t="s">
        <v>74</v>
      </c>
      <c r="E724" t="s">
        <v>48</v>
      </c>
      <c r="F724" t="s">
        <v>37</v>
      </c>
      <c r="G724" t="s">
        <v>28</v>
      </c>
      <c r="H724">
        <v>3</v>
      </c>
      <c r="I724">
        <v>247.83</v>
      </c>
      <c r="J724">
        <v>743.49</v>
      </c>
      <c r="K724" t="s">
        <v>82</v>
      </c>
      <c r="L724" t="s">
        <v>34</v>
      </c>
      <c r="M724">
        <v>169.28</v>
      </c>
      <c r="N724" s="3">
        <f t="shared" si="11"/>
        <v>45689</v>
      </c>
    </row>
    <row r="725" spans="1:14" x14ac:dyDescent="0.35">
      <c r="A725" t="s">
        <v>1091</v>
      </c>
      <c r="B725" t="s">
        <v>335</v>
      </c>
      <c r="C725" t="s">
        <v>32</v>
      </c>
      <c r="D725" t="s">
        <v>16</v>
      </c>
      <c r="E725" t="s">
        <v>17</v>
      </c>
      <c r="F725" t="s">
        <v>18</v>
      </c>
      <c r="G725" t="s">
        <v>56</v>
      </c>
      <c r="H725">
        <v>18</v>
      </c>
      <c r="I725">
        <v>55.83</v>
      </c>
      <c r="J725">
        <v>1004.94</v>
      </c>
      <c r="K725" t="s">
        <v>82</v>
      </c>
      <c r="L725" t="s">
        <v>50</v>
      </c>
      <c r="M725">
        <v>106.28</v>
      </c>
      <c r="N725" s="3">
        <f t="shared" si="11"/>
        <v>45839</v>
      </c>
    </row>
    <row r="726" spans="1:14" x14ac:dyDescent="0.35">
      <c r="A726" t="s">
        <v>1092</v>
      </c>
      <c r="B726" t="s">
        <v>1093</v>
      </c>
      <c r="C726" t="s">
        <v>15</v>
      </c>
      <c r="D726" t="s">
        <v>116</v>
      </c>
      <c r="E726" t="s">
        <v>43</v>
      </c>
      <c r="F726" t="s">
        <v>37</v>
      </c>
      <c r="G726" t="s">
        <v>38</v>
      </c>
      <c r="H726">
        <v>11</v>
      </c>
      <c r="I726">
        <v>438.6</v>
      </c>
      <c r="J726">
        <v>4824.6000000000004</v>
      </c>
      <c r="K726" t="s">
        <v>82</v>
      </c>
      <c r="L726" t="s">
        <v>39</v>
      </c>
      <c r="M726">
        <v>1426.86</v>
      </c>
      <c r="N726" s="3">
        <f t="shared" si="11"/>
        <v>45901</v>
      </c>
    </row>
    <row r="727" spans="1:14" x14ac:dyDescent="0.35">
      <c r="A727" t="s">
        <v>1094</v>
      </c>
      <c r="B727" t="s">
        <v>123</v>
      </c>
      <c r="C727" t="s">
        <v>15</v>
      </c>
      <c r="D727" t="s">
        <v>16</v>
      </c>
      <c r="E727" t="s">
        <v>26</v>
      </c>
      <c r="F727" t="s">
        <v>37</v>
      </c>
      <c r="G727" t="s">
        <v>96</v>
      </c>
      <c r="H727">
        <v>3</v>
      </c>
      <c r="I727">
        <v>762.75</v>
      </c>
      <c r="J727">
        <v>2288.25</v>
      </c>
      <c r="K727" t="s">
        <v>29</v>
      </c>
      <c r="L727" t="s">
        <v>39</v>
      </c>
      <c r="M727">
        <v>455.34</v>
      </c>
      <c r="N727" s="3">
        <f t="shared" si="11"/>
        <v>45901</v>
      </c>
    </row>
    <row r="728" spans="1:14" x14ac:dyDescent="0.35">
      <c r="A728" t="s">
        <v>1095</v>
      </c>
      <c r="B728" t="s">
        <v>133</v>
      </c>
      <c r="C728" t="s">
        <v>32</v>
      </c>
      <c r="D728" t="s">
        <v>116</v>
      </c>
      <c r="E728" t="s">
        <v>26</v>
      </c>
      <c r="F728" t="s">
        <v>44</v>
      </c>
      <c r="G728" t="s">
        <v>85</v>
      </c>
      <c r="H728">
        <v>8</v>
      </c>
      <c r="I728">
        <v>965.79</v>
      </c>
      <c r="J728">
        <v>7726.32</v>
      </c>
      <c r="K728" t="s">
        <v>29</v>
      </c>
      <c r="L728" t="s">
        <v>34</v>
      </c>
      <c r="M728">
        <v>2062.19</v>
      </c>
      <c r="N728" s="3">
        <f t="shared" si="11"/>
        <v>45931</v>
      </c>
    </row>
    <row r="729" spans="1:14" x14ac:dyDescent="0.35">
      <c r="A729" t="s">
        <v>1096</v>
      </c>
      <c r="B729" t="s">
        <v>270</v>
      </c>
      <c r="C729" t="s">
        <v>47</v>
      </c>
      <c r="D729" t="s">
        <v>42</v>
      </c>
      <c r="E729" t="s">
        <v>17</v>
      </c>
      <c r="F729" t="s">
        <v>27</v>
      </c>
      <c r="G729" t="s">
        <v>56</v>
      </c>
      <c r="H729">
        <v>7</v>
      </c>
      <c r="I729">
        <v>686.46</v>
      </c>
      <c r="J729">
        <v>4805.22</v>
      </c>
      <c r="K729" t="s">
        <v>20</v>
      </c>
      <c r="L729" t="s">
        <v>21</v>
      </c>
      <c r="M729">
        <v>1576.29</v>
      </c>
      <c r="N729" s="3">
        <f t="shared" si="11"/>
        <v>45717</v>
      </c>
    </row>
    <row r="730" spans="1:14" x14ac:dyDescent="0.35">
      <c r="A730" t="s">
        <v>1097</v>
      </c>
      <c r="B730" t="s">
        <v>344</v>
      </c>
      <c r="C730" t="s">
        <v>32</v>
      </c>
      <c r="D730" t="s">
        <v>33</v>
      </c>
      <c r="E730" t="s">
        <v>17</v>
      </c>
      <c r="F730" t="s">
        <v>37</v>
      </c>
      <c r="G730" t="s">
        <v>105</v>
      </c>
      <c r="H730">
        <v>4</v>
      </c>
      <c r="I730">
        <v>528.97</v>
      </c>
      <c r="J730">
        <v>2115.88</v>
      </c>
      <c r="K730" t="s">
        <v>63</v>
      </c>
      <c r="L730" t="s">
        <v>21</v>
      </c>
      <c r="M730">
        <v>268.81</v>
      </c>
      <c r="N730" s="3">
        <f t="shared" si="11"/>
        <v>45931</v>
      </c>
    </row>
    <row r="731" spans="1:14" x14ac:dyDescent="0.35">
      <c r="A731" t="s">
        <v>1098</v>
      </c>
      <c r="B731" t="s">
        <v>1099</v>
      </c>
      <c r="C731" t="s">
        <v>24</v>
      </c>
      <c r="D731" t="s">
        <v>16</v>
      </c>
      <c r="E731" t="s">
        <v>48</v>
      </c>
      <c r="F731" t="s">
        <v>44</v>
      </c>
      <c r="G731" t="s">
        <v>28</v>
      </c>
      <c r="H731">
        <v>16</v>
      </c>
      <c r="I731">
        <v>32.700000000000003</v>
      </c>
      <c r="J731">
        <v>523.20000000000005</v>
      </c>
      <c r="K731" t="s">
        <v>63</v>
      </c>
      <c r="L731" t="s">
        <v>34</v>
      </c>
      <c r="M731">
        <v>96.6</v>
      </c>
      <c r="N731" s="3">
        <f t="shared" si="11"/>
        <v>45748</v>
      </c>
    </row>
    <row r="732" spans="1:14" x14ac:dyDescent="0.35">
      <c r="A732" t="s">
        <v>1100</v>
      </c>
      <c r="B732" t="s">
        <v>471</v>
      </c>
      <c r="C732" t="s">
        <v>32</v>
      </c>
      <c r="D732" t="s">
        <v>16</v>
      </c>
      <c r="E732" t="s">
        <v>48</v>
      </c>
      <c r="F732" t="s">
        <v>18</v>
      </c>
      <c r="G732" t="s">
        <v>85</v>
      </c>
      <c r="H732">
        <v>18</v>
      </c>
      <c r="I732">
        <v>240.22</v>
      </c>
      <c r="J732">
        <v>4323.96</v>
      </c>
      <c r="K732" t="s">
        <v>82</v>
      </c>
      <c r="L732" t="s">
        <v>34</v>
      </c>
      <c r="M732">
        <v>1388.36</v>
      </c>
      <c r="N732" s="3">
        <f t="shared" si="11"/>
        <v>45962</v>
      </c>
    </row>
    <row r="733" spans="1:14" x14ac:dyDescent="0.35">
      <c r="A733" t="s">
        <v>1101</v>
      </c>
      <c r="B733" t="s">
        <v>84</v>
      </c>
      <c r="C733" t="s">
        <v>32</v>
      </c>
      <c r="D733" t="s">
        <v>42</v>
      </c>
      <c r="E733" t="s">
        <v>26</v>
      </c>
      <c r="F733" t="s">
        <v>27</v>
      </c>
      <c r="G733" t="s">
        <v>38</v>
      </c>
      <c r="H733">
        <v>4</v>
      </c>
      <c r="I733">
        <v>218.18</v>
      </c>
      <c r="J733">
        <v>872.72</v>
      </c>
      <c r="K733" t="s">
        <v>63</v>
      </c>
      <c r="L733" t="s">
        <v>21</v>
      </c>
      <c r="M733">
        <v>192.58</v>
      </c>
      <c r="N733" s="3">
        <f t="shared" si="11"/>
        <v>45748</v>
      </c>
    </row>
    <row r="734" spans="1:14" x14ac:dyDescent="0.35">
      <c r="A734" t="s">
        <v>1102</v>
      </c>
      <c r="B734" t="s">
        <v>146</v>
      </c>
      <c r="C734" t="s">
        <v>32</v>
      </c>
      <c r="D734" t="s">
        <v>74</v>
      </c>
      <c r="E734" t="s">
        <v>26</v>
      </c>
      <c r="F734" t="s">
        <v>37</v>
      </c>
      <c r="G734" t="s">
        <v>96</v>
      </c>
      <c r="H734">
        <v>16</v>
      </c>
      <c r="I734">
        <v>895.63</v>
      </c>
      <c r="J734">
        <v>14330.08</v>
      </c>
      <c r="K734" t="s">
        <v>49</v>
      </c>
      <c r="L734" t="s">
        <v>34</v>
      </c>
      <c r="M734">
        <v>2117.5300000000002</v>
      </c>
      <c r="N734" s="3">
        <f t="shared" si="11"/>
        <v>45962</v>
      </c>
    </row>
    <row r="735" spans="1:14" x14ac:dyDescent="0.35">
      <c r="A735" t="s">
        <v>1103</v>
      </c>
      <c r="B735" t="s">
        <v>1104</v>
      </c>
      <c r="C735" t="s">
        <v>15</v>
      </c>
      <c r="D735" t="s">
        <v>116</v>
      </c>
      <c r="E735" t="s">
        <v>26</v>
      </c>
      <c r="F735" t="s">
        <v>27</v>
      </c>
      <c r="G735" t="s">
        <v>45</v>
      </c>
      <c r="H735">
        <v>6</v>
      </c>
      <c r="I735">
        <v>351.32</v>
      </c>
      <c r="J735">
        <v>2107.92</v>
      </c>
      <c r="K735" t="s">
        <v>29</v>
      </c>
      <c r="L735" t="s">
        <v>50</v>
      </c>
      <c r="M735">
        <v>228.88</v>
      </c>
      <c r="N735" s="3">
        <f t="shared" si="11"/>
        <v>45809</v>
      </c>
    </row>
    <row r="736" spans="1:14" x14ac:dyDescent="0.35">
      <c r="A736" t="s">
        <v>1105</v>
      </c>
      <c r="B736" t="s">
        <v>411</v>
      </c>
      <c r="C736" t="s">
        <v>24</v>
      </c>
      <c r="D736" t="s">
        <v>33</v>
      </c>
      <c r="E736" t="s">
        <v>26</v>
      </c>
      <c r="F736" t="s">
        <v>37</v>
      </c>
      <c r="G736" t="s">
        <v>105</v>
      </c>
      <c r="H736">
        <v>11</v>
      </c>
      <c r="I736">
        <v>727.72</v>
      </c>
      <c r="J736">
        <v>8004.92</v>
      </c>
      <c r="K736" t="s">
        <v>29</v>
      </c>
      <c r="L736" t="s">
        <v>77</v>
      </c>
      <c r="M736">
        <v>1453.59</v>
      </c>
      <c r="N736" s="3">
        <f t="shared" si="11"/>
        <v>45658</v>
      </c>
    </row>
    <row r="737" spans="1:14" x14ac:dyDescent="0.35">
      <c r="A737" t="s">
        <v>1106</v>
      </c>
      <c r="B737" t="s">
        <v>761</v>
      </c>
      <c r="C737" t="s">
        <v>32</v>
      </c>
      <c r="D737" t="s">
        <v>42</v>
      </c>
      <c r="E737" t="s">
        <v>26</v>
      </c>
      <c r="F737" t="s">
        <v>44</v>
      </c>
      <c r="G737" t="s">
        <v>105</v>
      </c>
      <c r="H737">
        <v>1</v>
      </c>
      <c r="I737">
        <v>690.72</v>
      </c>
      <c r="J737">
        <v>690.72</v>
      </c>
      <c r="K737" t="s">
        <v>66</v>
      </c>
      <c r="L737" t="s">
        <v>39</v>
      </c>
      <c r="M737">
        <v>171.77</v>
      </c>
      <c r="N737" s="3">
        <f t="shared" si="11"/>
        <v>45901</v>
      </c>
    </row>
    <row r="738" spans="1:14" x14ac:dyDescent="0.35">
      <c r="A738" t="s">
        <v>1107</v>
      </c>
      <c r="B738" t="s">
        <v>1108</v>
      </c>
      <c r="C738" t="s">
        <v>32</v>
      </c>
      <c r="D738" t="s">
        <v>25</v>
      </c>
      <c r="E738" t="s">
        <v>48</v>
      </c>
      <c r="F738" t="s">
        <v>27</v>
      </c>
      <c r="G738" t="s">
        <v>45</v>
      </c>
      <c r="H738">
        <v>6</v>
      </c>
      <c r="I738">
        <v>846.89</v>
      </c>
      <c r="J738">
        <v>5081.34</v>
      </c>
      <c r="K738" t="s">
        <v>29</v>
      </c>
      <c r="L738" t="s">
        <v>21</v>
      </c>
      <c r="M738">
        <v>1599.76</v>
      </c>
      <c r="N738" s="3">
        <f t="shared" si="11"/>
        <v>45962</v>
      </c>
    </row>
    <row r="739" spans="1:14" x14ac:dyDescent="0.35">
      <c r="A739" t="s">
        <v>1109</v>
      </c>
      <c r="B739" t="s">
        <v>928</v>
      </c>
      <c r="C739" t="s">
        <v>24</v>
      </c>
      <c r="D739" t="s">
        <v>25</v>
      </c>
      <c r="E739" t="s">
        <v>17</v>
      </c>
      <c r="F739" t="s">
        <v>44</v>
      </c>
      <c r="G739" t="s">
        <v>105</v>
      </c>
      <c r="H739">
        <v>12</v>
      </c>
      <c r="I739">
        <v>758.86</v>
      </c>
      <c r="J739">
        <v>9106.32</v>
      </c>
      <c r="K739" t="s">
        <v>20</v>
      </c>
      <c r="L739" t="s">
        <v>50</v>
      </c>
      <c r="M739">
        <v>2761.07</v>
      </c>
      <c r="N739" s="3">
        <f t="shared" si="11"/>
        <v>45870</v>
      </c>
    </row>
    <row r="740" spans="1:14" x14ac:dyDescent="0.35">
      <c r="A740" t="s">
        <v>1110</v>
      </c>
      <c r="B740" t="s">
        <v>738</v>
      </c>
      <c r="C740" t="s">
        <v>24</v>
      </c>
      <c r="D740" t="s">
        <v>53</v>
      </c>
      <c r="E740" t="s">
        <v>43</v>
      </c>
      <c r="F740" t="s">
        <v>27</v>
      </c>
      <c r="G740" t="s">
        <v>56</v>
      </c>
      <c r="H740">
        <v>8</v>
      </c>
      <c r="I740">
        <v>413.02</v>
      </c>
      <c r="J740">
        <v>3304.16</v>
      </c>
      <c r="K740" t="s">
        <v>20</v>
      </c>
      <c r="L740" t="s">
        <v>21</v>
      </c>
      <c r="M740">
        <v>804.85</v>
      </c>
      <c r="N740" s="3">
        <f t="shared" si="11"/>
        <v>45717</v>
      </c>
    </row>
    <row r="741" spans="1:14" x14ac:dyDescent="0.35">
      <c r="A741" t="s">
        <v>1111</v>
      </c>
      <c r="B741" t="s">
        <v>14</v>
      </c>
      <c r="C741" t="s">
        <v>32</v>
      </c>
      <c r="D741" t="s">
        <v>33</v>
      </c>
      <c r="E741" t="s">
        <v>43</v>
      </c>
      <c r="F741" t="s">
        <v>44</v>
      </c>
      <c r="G741" t="s">
        <v>38</v>
      </c>
      <c r="H741">
        <v>2</v>
      </c>
      <c r="I741">
        <v>651.88</v>
      </c>
      <c r="J741">
        <v>1303.76</v>
      </c>
      <c r="K741" t="s">
        <v>29</v>
      </c>
      <c r="L741" t="s">
        <v>21</v>
      </c>
      <c r="M741">
        <v>367.97</v>
      </c>
      <c r="N741" s="3">
        <f t="shared" si="11"/>
        <v>45689</v>
      </c>
    </row>
    <row r="742" spans="1:14" x14ac:dyDescent="0.35">
      <c r="A742" t="s">
        <v>1112</v>
      </c>
      <c r="B742" t="s">
        <v>362</v>
      </c>
      <c r="C742" t="s">
        <v>24</v>
      </c>
      <c r="D742" t="s">
        <v>74</v>
      </c>
      <c r="E742" t="s">
        <v>26</v>
      </c>
      <c r="F742" t="s">
        <v>37</v>
      </c>
      <c r="G742" t="s">
        <v>38</v>
      </c>
      <c r="H742">
        <v>6</v>
      </c>
      <c r="I742">
        <v>341.98</v>
      </c>
      <c r="J742">
        <v>2051.88</v>
      </c>
      <c r="K742" t="s">
        <v>82</v>
      </c>
      <c r="L742" t="s">
        <v>39</v>
      </c>
      <c r="M742">
        <v>351.58</v>
      </c>
      <c r="N742" s="3">
        <f t="shared" si="11"/>
        <v>45992</v>
      </c>
    </row>
    <row r="743" spans="1:14" x14ac:dyDescent="0.35">
      <c r="A743" t="s">
        <v>1113</v>
      </c>
      <c r="B743" t="s">
        <v>148</v>
      </c>
      <c r="C743" t="s">
        <v>32</v>
      </c>
      <c r="D743" t="s">
        <v>74</v>
      </c>
      <c r="E743" t="s">
        <v>17</v>
      </c>
      <c r="F743" t="s">
        <v>27</v>
      </c>
      <c r="G743" t="s">
        <v>38</v>
      </c>
      <c r="H743">
        <v>19</v>
      </c>
      <c r="I743">
        <v>819.39</v>
      </c>
      <c r="J743">
        <v>15568.41</v>
      </c>
      <c r="K743" t="s">
        <v>82</v>
      </c>
      <c r="L743" t="s">
        <v>39</v>
      </c>
      <c r="M743">
        <v>4927.99</v>
      </c>
      <c r="N743" s="3">
        <f t="shared" si="11"/>
        <v>45778</v>
      </c>
    </row>
    <row r="744" spans="1:14" x14ac:dyDescent="0.35">
      <c r="A744" t="s">
        <v>1114</v>
      </c>
      <c r="B744" t="s">
        <v>203</v>
      </c>
      <c r="C744" t="s">
        <v>47</v>
      </c>
      <c r="D744" t="s">
        <v>16</v>
      </c>
      <c r="E744" t="s">
        <v>43</v>
      </c>
      <c r="F744" t="s">
        <v>37</v>
      </c>
      <c r="G744" t="s">
        <v>45</v>
      </c>
      <c r="H744">
        <v>14</v>
      </c>
      <c r="I744">
        <v>940.85</v>
      </c>
      <c r="J744">
        <v>13171.9</v>
      </c>
      <c r="K744" t="s">
        <v>20</v>
      </c>
      <c r="L744" t="s">
        <v>77</v>
      </c>
      <c r="M744">
        <v>2771.11</v>
      </c>
      <c r="N744" s="3">
        <f t="shared" si="11"/>
        <v>45689</v>
      </c>
    </row>
    <row r="745" spans="1:14" x14ac:dyDescent="0.35">
      <c r="A745" t="s">
        <v>1115</v>
      </c>
      <c r="B745" t="s">
        <v>315</v>
      </c>
      <c r="C745" t="s">
        <v>15</v>
      </c>
      <c r="D745" t="s">
        <v>25</v>
      </c>
      <c r="E745" t="s">
        <v>26</v>
      </c>
      <c r="F745" t="s">
        <v>44</v>
      </c>
      <c r="G745" t="s">
        <v>19</v>
      </c>
      <c r="H745">
        <v>14</v>
      </c>
      <c r="I745">
        <v>268.52999999999997</v>
      </c>
      <c r="J745">
        <v>3759.42</v>
      </c>
      <c r="K745" t="s">
        <v>63</v>
      </c>
      <c r="L745" t="s">
        <v>39</v>
      </c>
      <c r="M745">
        <v>594.09</v>
      </c>
      <c r="N745" s="3">
        <f t="shared" si="11"/>
        <v>45962</v>
      </c>
    </row>
    <row r="746" spans="1:14" x14ac:dyDescent="0.35">
      <c r="A746" t="s">
        <v>1116</v>
      </c>
      <c r="B746" t="s">
        <v>248</v>
      </c>
      <c r="C746" t="s">
        <v>32</v>
      </c>
      <c r="D746" t="s">
        <v>116</v>
      </c>
      <c r="E746" t="s">
        <v>17</v>
      </c>
      <c r="F746" t="s">
        <v>44</v>
      </c>
      <c r="G746" t="s">
        <v>56</v>
      </c>
      <c r="H746">
        <v>7</v>
      </c>
      <c r="I746">
        <v>44</v>
      </c>
      <c r="J746">
        <v>308</v>
      </c>
      <c r="K746" t="s">
        <v>63</v>
      </c>
      <c r="L746" t="s">
        <v>34</v>
      </c>
      <c r="M746">
        <v>107.14</v>
      </c>
      <c r="N746" s="3">
        <f t="shared" si="11"/>
        <v>45962</v>
      </c>
    </row>
    <row r="747" spans="1:14" x14ac:dyDescent="0.35">
      <c r="A747" t="s">
        <v>1117</v>
      </c>
      <c r="B747" t="s">
        <v>1031</v>
      </c>
      <c r="C747" t="s">
        <v>24</v>
      </c>
      <c r="D747" t="s">
        <v>69</v>
      </c>
      <c r="E747" t="s">
        <v>17</v>
      </c>
      <c r="F747" t="s">
        <v>44</v>
      </c>
      <c r="G747" t="s">
        <v>56</v>
      </c>
      <c r="H747">
        <v>6</v>
      </c>
      <c r="I747">
        <v>373.98</v>
      </c>
      <c r="J747">
        <v>2243.88</v>
      </c>
      <c r="K747" t="s">
        <v>49</v>
      </c>
      <c r="L747" t="s">
        <v>50</v>
      </c>
      <c r="M747">
        <v>719.49</v>
      </c>
      <c r="N747" s="3">
        <f t="shared" si="11"/>
        <v>45901</v>
      </c>
    </row>
    <row r="748" spans="1:14" x14ac:dyDescent="0.35">
      <c r="A748" t="s">
        <v>1118</v>
      </c>
      <c r="B748" t="s">
        <v>406</v>
      </c>
      <c r="C748" t="s">
        <v>15</v>
      </c>
      <c r="D748" t="s">
        <v>116</v>
      </c>
      <c r="E748" t="s">
        <v>26</v>
      </c>
      <c r="F748" t="s">
        <v>37</v>
      </c>
      <c r="G748" t="s">
        <v>105</v>
      </c>
      <c r="H748">
        <v>16</v>
      </c>
      <c r="I748">
        <v>102.2</v>
      </c>
      <c r="J748">
        <v>1635.2</v>
      </c>
      <c r="K748" t="s">
        <v>29</v>
      </c>
      <c r="L748" t="s">
        <v>34</v>
      </c>
      <c r="M748">
        <v>242.75</v>
      </c>
      <c r="N748" s="3">
        <f t="shared" si="11"/>
        <v>45748</v>
      </c>
    </row>
    <row r="749" spans="1:14" x14ac:dyDescent="0.35">
      <c r="A749" t="s">
        <v>1119</v>
      </c>
      <c r="B749" t="s">
        <v>111</v>
      </c>
      <c r="C749" t="s">
        <v>32</v>
      </c>
      <c r="D749" t="s">
        <v>53</v>
      </c>
      <c r="E749" t="s">
        <v>26</v>
      </c>
      <c r="F749" t="s">
        <v>37</v>
      </c>
      <c r="G749" t="s">
        <v>45</v>
      </c>
      <c r="H749">
        <v>8</v>
      </c>
      <c r="I749">
        <v>158.54</v>
      </c>
      <c r="J749">
        <v>1268.32</v>
      </c>
      <c r="K749" t="s">
        <v>63</v>
      </c>
      <c r="L749" t="s">
        <v>39</v>
      </c>
      <c r="M749">
        <v>362.42</v>
      </c>
      <c r="N749" s="3">
        <f t="shared" si="11"/>
        <v>45901</v>
      </c>
    </row>
    <row r="750" spans="1:14" x14ac:dyDescent="0.35">
      <c r="A750" t="s">
        <v>1120</v>
      </c>
      <c r="B750" t="s">
        <v>409</v>
      </c>
      <c r="C750" t="s">
        <v>32</v>
      </c>
      <c r="D750" t="s">
        <v>33</v>
      </c>
      <c r="E750" t="s">
        <v>48</v>
      </c>
      <c r="F750" t="s">
        <v>37</v>
      </c>
      <c r="G750" t="s">
        <v>28</v>
      </c>
      <c r="H750">
        <v>11</v>
      </c>
      <c r="I750">
        <v>30.43</v>
      </c>
      <c r="J750">
        <v>334.73</v>
      </c>
      <c r="K750" t="s">
        <v>63</v>
      </c>
      <c r="L750" t="s">
        <v>50</v>
      </c>
      <c r="M750">
        <v>116.97</v>
      </c>
      <c r="N750" s="3">
        <f t="shared" si="11"/>
        <v>45901</v>
      </c>
    </row>
    <row r="751" spans="1:14" x14ac:dyDescent="0.35">
      <c r="A751" t="s">
        <v>1121</v>
      </c>
      <c r="B751" t="s">
        <v>698</v>
      </c>
      <c r="C751" t="s">
        <v>24</v>
      </c>
      <c r="D751" t="s">
        <v>33</v>
      </c>
      <c r="E751" t="s">
        <v>26</v>
      </c>
      <c r="F751" t="s">
        <v>18</v>
      </c>
      <c r="G751" t="s">
        <v>85</v>
      </c>
      <c r="H751">
        <v>20</v>
      </c>
      <c r="I751">
        <v>823.78</v>
      </c>
      <c r="J751">
        <v>16475.599999999999</v>
      </c>
      <c r="K751" t="s">
        <v>29</v>
      </c>
      <c r="L751" t="s">
        <v>21</v>
      </c>
      <c r="M751">
        <v>1889.9</v>
      </c>
      <c r="N751" s="3">
        <f t="shared" si="11"/>
        <v>45901</v>
      </c>
    </row>
    <row r="752" spans="1:14" x14ac:dyDescent="0.35">
      <c r="A752" t="s">
        <v>1122</v>
      </c>
      <c r="B752" t="s">
        <v>1123</v>
      </c>
      <c r="C752" t="s">
        <v>15</v>
      </c>
      <c r="D752" t="s">
        <v>116</v>
      </c>
      <c r="E752" t="s">
        <v>17</v>
      </c>
      <c r="F752" t="s">
        <v>18</v>
      </c>
      <c r="G752" t="s">
        <v>56</v>
      </c>
      <c r="H752">
        <v>2</v>
      </c>
      <c r="I752">
        <v>713.7</v>
      </c>
      <c r="J752">
        <v>1427.4</v>
      </c>
      <c r="K752" t="s">
        <v>63</v>
      </c>
      <c r="L752" t="s">
        <v>21</v>
      </c>
      <c r="M752">
        <v>485.97</v>
      </c>
      <c r="N752" s="3">
        <f t="shared" si="11"/>
        <v>45717</v>
      </c>
    </row>
    <row r="753" spans="1:14" x14ac:dyDescent="0.35">
      <c r="A753" t="s">
        <v>1124</v>
      </c>
      <c r="B753" t="s">
        <v>339</v>
      </c>
      <c r="C753" t="s">
        <v>15</v>
      </c>
      <c r="D753" t="s">
        <v>69</v>
      </c>
      <c r="E753" t="s">
        <v>26</v>
      </c>
      <c r="F753" t="s">
        <v>18</v>
      </c>
      <c r="G753" t="s">
        <v>56</v>
      </c>
      <c r="H753">
        <v>3</v>
      </c>
      <c r="I753">
        <v>550.07000000000005</v>
      </c>
      <c r="J753">
        <v>1650.21</v>
      </c>
      <c r="K753" t="s">
        <v>82</v>
      </c>
      <c r="L753" t="s">
        <v>21</v>
      </c>
      <c r="M753">
        <v>332.88</v>
      </c>
      <c r="N753" s="3">
        <f t="shared" si="11"/>
        <v>45658</v>
      </c>
    </row>
    <row r="754" spans="1:14" x14ac:dyDescent="0.35">
      <c r="A754" t="s">
        <v>1125</v>
      </c>
      <c r="B754" t="s">
        <v>223</v>
      </c>
      <c r="C754" t="s">
        <v>15</v>
      </c>
      <c r="D754" t="s">
        <v>53</v>
      </c>
      <c r="E754" t="s">
        <v>43</v>
      </c>
      <c r="F754" t="s">
        <v>18</v>
      </c>
      <c r="G754" t="s">
        <v>105</v>
      </c>
      <c r="H754">
        <v>1</v>
      </c>
      <c r="I754">
        <v>495.39</v>
      </c>
      <c r="J754">
        <v>495.39</v>
      </c>
      <c r="K754" t="s">
        <v>82</v>
      </c>
      <c r="L754" t="s">
        <v>77</v>
      </c>
      <c r="M754">
        <v>66.06</v>
      </c>
      <c r="N754" s="3">
        <f t="shared" si="11"/>
        <v>45658</v>
      </c>
    </row>
    <row r="755" spans="1:14" x14ac:dyDescent="0.35">
      <c r="A755" t="s">
        <v>1126</v>
      </c>
      <c r="B755" t="s">
        <v>176</v>
      </c>
      <c r="C755" t="s">
        <v>32</v>
      </c>
      <c r="D755" t="s">
        <v>74</v>
      </c>
      <c r="E755" t="s">
        <v>17</v>
      </c>
      <c r="F755" t="s">
        <v>27</v>
      </c>
      <c r="G755" t="s">
        <v>45</v>
      </c>
      <c r="H755">
        <v>3</v>
      </c>
      <c r="I755">
        <v>134.66</v>
      </c>
      <c r="J755">
        <v>403.98</v>
      </c>
      <c r="K755" t="s">
        <v>63</v>
      </c>
      <c r="L755" t="s">
        <v>39</v>
      </c>
      <c r="M755">
        <v>116.51</v>
      </c>
      <c r="N755" s="3">
        <f t="shared" si="11"/>
        <v>45778</v>
      </c>
    </row>
    <row r="756" spans="1:14" x14ac:dyDescent="0.35">
      <c r="A756" t="s">
        <v>1127</v>
      </c>
      <c r="B756" t="s">
        <v>1128</v>
      </c>
      <c r="C756" t="s">
        <v>47</v>
      </c>
      <c r="D756" t="s">
        <v>69</v>
      </c>
      <c r="E756" t="s">
        <v>48</v>
      </c>
      <c r="F756" t="s">
        <v>37</v>
      </c>
      <c r="G756" t="s">
        <v>85</v>
      </c>
      <c r="H756">
        <v>1</v>
      </c>
      <c r="I756">
        <v>635.21</v>
      </c>
      <c r="J756">
        <v>635.21</v>
      </c>
      <c r="K756" t="s">
        <v>82</v>
      </c>
      <c r="L756" t="s">
        <v>77</v>
      </c>
      <c r="M756">
        <v>205.08</v>
      </c>
      <c r="N756" s="3">
        <f t="shared" si="11"/>
        <v>45717</v>
      </c>
    </row>
    <row r="757" spans="1:14" x14ac:dyDescent="0.35">
      <c r="A757" t="s">
        <v>1129</v>
      </c>
      <c r="B757" t="s">
        <v>257</v>
      </c>
      <c r="C757" t="s">
        <v>32</v>
      </c>
      <c r="D757" t="s">
        <v>116</v>
      </c>
      <c r="E757" t="s">
        <v>43</v>
      </c>
      <c r="F757" t="s">
        <v>44</v>
      </c>
      <c r="G757" t="s">
        <v>45</v>
      </c>
      <c r="H757">
        <v>1</v>
      </c>
      <c r="I757">
        <v>822.17</v>
      </c>
      <c r="J757">
        <v>822.17</v>
      </c>
      <c r="K757" t="s">
        <v>63</v>
      </c>
      <c r="L757" t="s">
        <v>34</v>
      </c>
      <c r="M757">
        <v>96.13</v>
      </c>
      <c r="N757" s="3">
        <f t="shared" si="11"/>
        <v>45839</v>
      </c>
    </row>
    <row r="758" spans="1:14" x14ac:dyDescent="0.35">
      <c r="A758" t="s">
        <v>1130</v>
      </c>
      <c r="B758" t="s">
        <v>597</v>
      </c>
      <c r="C758" t="s">
        <v>32</v>
      </c>
      <c r="D758" t="s">
        <v>53</v>
      </c>
      <c r="E758" t="s">
        <v>17</v>
      </c>
      <c r="F758" t="s">
        <v>27</v>
      </c>
      <c r="G758" t="s">
        <v>105</v>
      </c>
      <c r="H758">
        <v>9</v>
      </c>
      <c r="I758">
        <v>771.99</v>
      </c>
      <c r="J758">
        <v>6947.91</v>
      </c>
      <c r="K758" t="s">
        <v>63</v>
      </c>
      <c r="L758" t="s">
        <v>34</v>
      </c>
      <c r="M758">
        <v>1678.1</v>
      </c>
      <c r="N758" s="3">
        <f t="shared" si="11"/>
        <v>45931</v>
      </c>
    </row>
    <row r="759" spans="1:14" x14ac:dyDescent="0.35">
      <c r="A759" t="s">
        <v>1131</v>
      </c>
      <c r="B759" t="s">
        <v>1132</v>
      </c>
      <c r="C759" t="s">
        <v>15</v>
      </c>
      <c r="D759" t="s">
        <v>53</v>
      </c>
      <c r="E759" t="s">
        <v>48</v>
      </c>
      <c r="F759" t="s">
        <v>18</v>
      </c>
      <c r="G759" t="s">
        <v>56</v>
      </c>
      <c r="H759">
        <v>14</v>
      </c>
      <c r="I759">
        <v>787.8</v>
      </c>
      <c r="J759">
        <v>11029.2</v>
      </c>
      <c r="K759" t="s">
        <v>49</v>
      </c>
      <c r="L759" t="s">
        <v>21</v>
      </c>
      <c r="M759">
        <v>3469.92</v>
      </c>
      <c r="N759" s="3">
        <f t="shared" si="11"/>
        <v>45870</v>
      </c>
    </row>
    <row r="760" spans="1:14" x14ac:dyDescent="0.35">
      <c r="A760" t="s">
        <v>1133</v>
      </c>
      <c r="B760" t="s">
        <v>203</v>
      </c>
      <c r="C760" t="s">
        <v>24</v>
      </c>
      <c r="D760" t="s">
        <v>42</v>
      </c>
      <c r="E760" t="s">
        <v>48</v>
      </c>
      <c r="F760" t="s">
        <v>37</v>
      </c>
      <c r="G760" t="s">
        <v>45</v>
      </c>
      <c r="H760">
        <v>18</v>
      </c>
      <c r="I760">
        <v>979.78</v>
      </c>
      <c r="J760">
        <v>17636.04</v>
      </c>
      <c r="K760" t="s">
        <v>49</v>
      </c>
      <c r="L760" t="s">
        <v>50</v>
      </c>
      <c r="M760">
        <v>2509.61</v>
      </c>
      <c r="N760" s="3">
        <f t="shared" si="11"/>
        <v>45689</v>
      </c>
    </row>
    <row r="761" spans="1:14" x14ac:dyDescent="0.35">
      <c r="A761" t="s">
        <v>1134</v>
      </c>
      <c r="B761" t="s">
        <v>578</v>
      </c>
      <c r="C761" t="s">
        <v>15</v>
      </c>
      <c r="D761" t="s">
        <v>53</v>
      </c>
      <c r="E761" t="s">
        <v>26</v>
      </c>
      <c r="F761" t="s">
        <v>27</v>
      </c>
      <c r="G761" t="s">
        <v>45</v>
      </c>
      <c r="H761">
        <v>17</v>
      </c>
      <c r="I761">
        <v>327.58999999999997</v>
      </c>
      <c r="J761">
        <v>5569.03</v>
      </c>
      <c r="K761" t="s">
        <v>29</v>
      </c>
      <c r="L761" t="s">
        <v>50</v>
      </c>
      <c r="M761">
        <v>631.94000000000005</v>
      </c>
      <c r="N761" s="3">
        <f t="shared" si="11"/>
        <v>45717</v>
      </c>
    </row>
    <row r="762" spans="1:14" x14ac:dyDescent="0.35">
      <c r="A762" t="s">
        <v>1135</v>
      </c>
      <c r="B762" t="s">
        <v>926</v>
      </c>
      <c r="C762" t="s">
        <v>32</v>
      </c>
      <c r="D762" t="s">
        <v>33</v>
      </c>
      <c r="E762" t="s">
        <v>48</v>
      </c>
      <c r="F762" t="s">
        <v>18</v>
      </c>
      <c r="G762" t="s">
        <v>45</v>
      </c>
      <c r="H762">
        <v>18</v>
      </c>
      <c r="I762">
        <v>586.04</v>
      </c>
      <c r="J762">
        <v>10548.72</v>
      </c>
      <c r="K762" t="s">
        <v>29</v>
      </c>
      <c r="L762" t="s">
        <v>50</v>
      </c>
      <c r="M762">
        <v>3388.13</v>
      </c>
      <c r="N762" s="3">
        <f t="shared" si="11"/>
        <v>45748</v>
      </c>
    </row>
    <row r="763" spans="1:14" x14ac:dyDescent="0.35">
      <c r="A763" t="s">
        <v>1136</v>
      </c>
      <c r="B763" t="s">
        <v>337</v>
      </c>
      <c r="C763" t="s">
        <v>32</v>
      </c>
      <c r="D763" t="s">
        <v>16</v>
      </c>
      <c r="E763" t="s">
        <v>26</v>
      </c>
      <c r="F763" t="s">
        <v>37</v>
      </c>
      <c r="G763" t="s">
        <v>96</v>
      </c>
      <c r="H763">
        <v>19</v>
      </c>
      <c r="I763">
        <v>289.33</v>
      </c>
      <c r="J763">
        <v>5497.27</v>
      </c>
      <c r="K763" t="s">
        <v>29</v>
      </c>
      <c r="L763" t="s">
        <v>39</v>
      </c>
      <c r="M763">
        <v>780.06</v>
      </c>
      <c r="N763" s="3">
        <f t="shared" si="11"/>
        <v>45689</v>
      </c>
    </row>
    <row r="764" spans="1:14" x14ac:dyDescent="0.35">
      <c r="A764" t="s">
        <v>1137</v>
      </c>
      <c r="B764" t="s">
        <v>320</v>
      </c>
      <c r="C764" t="s">
        <v>32</v>
      </c>
      <c r="D764" t="s">
        <v>74</v>
      </c>
      <c r="E764" t="s">
        <v>17</v>
      </c>
      <c r="F764" t="s">
        <v>18</v>
      </c>
      <c r="G764" t="s">
        <v>38</v>
      </c>
      <c r="H764">
        <v>12</v>
      </c>
      <c r="I764">
        <v>823.88</v>
      </c>
      <c r="J764">
        <v>9886.56</v>
      </c>
      <c r="K764" t="s">
        <v>82</v>
      </c>
      <c r="L764" t="s">
        <v>50</v>
      </c>
      <c r="M764">
        <v>3458.47</v>
      </c>
      <c r="N764" s="3">
        <f t="shared" si="11"/>
        <v>45809</v>
      </c>
    </row>
    <row r="765" spans="1:14" x14ac:dyDescent="0.35">
      <c r="A765" t="s">
        <v>1138</v>
      </c>
      <c r="B765" t="s">
        <v>335</v>
      </c>
      <c r="C765" t="s">
        <v>24</v>
      </c>
      <c r="D765" t="s">
        <v>53</v>
      </c>
      <c r="E765" t="s">
        <v>48</v>
      </c>
      <c r="F765" t="s">
        <v>18</v>
      </c>
      <c r="G765" t="s">
        <v>96</v>
      </c>
      <c r="H765">
        <v>16</v>
      </c>
      <c r="I765">
        <v>565.87</v>
      </c>
      <c r="J765">
        <v>9053.92</v>
      </c>
      <c r="K765" t="s">
        <v>29</v>
      </c>
      <c r="L765" t="s">
        <v>39</v>
      </c>
      <c r="M765">
        <v>3077.84</v>
      </c>
      <c r="N765" s="3">
        <f t="shared" si="11"/>
        <v>45839</v>
      </c>
    </row>
    <row r="766" spans="1:14" x14ac:dyDescent="0.35">
      <c r="A766" t="s">
        <v>1139</v>
      </c>
      <c r="B766" t="s">
        <v>267</v>
      </c>
      <c r="C766" t="s">
        <v>24</v>
      </c>
      <c r="D766" t="s">
        <v>69</v>
      </c>
      <c r="E766" t="s">
        <v>48</v>
      </c>
      <c r="F766" t="s">
        <v>37</v>
      </c>
      <c r="G766" t="s">
        <v>28</v>
      </c>
      <c r="H766">
        <v>8</v>
      </c>
      <c r="I766">
        <v>601.63</v>
      </c>
      <c r="J766">
        <v>4813.04</v>
      </c>
      <c r="K766" t="s">
        <v>63</v>
      </c>
      <c r="L766" t="s">
        <v>77</v>
      </c>
      <c r="M766">
        <v>1500.33</v>
      </c>
      <c r="N766" s="3">
        <f t="shared" si="11"/>
        <v>45809</v>
      </c>
    </row>
    <row r="767" spans="1:14" x14ac:dyDescent="0.35">
      <c r="A767" t="s">
        <v>1140</v>
      </c>
      <c r="B767" t="s">
        <v>189</v>
      </c>
      <c r="C767" t="s">
        <v>24</v>
      </c>
      <c r="D767" t="s">
        <v>116</v>
      </c>
      <c r="E767" t="s">
        <v>17</v>
      </c>
      <c r="F767" t="s">
        <v>27</v>
      </c>
      <c r="G767" t="s">
        <v>38</v>
      </c>
      <c r="H767">
        <v>10</v>
      </c>
      <c r="I767">
        <v>675.81</v>
      </c>
      <c r="J767">
        <v>6758.1</v>
      </c>
      <c r="K767" t="s">
        <v>63</v>
      </c>
      <c r="L767" t="s">
        <v>77</v>
      </c>
      <c r="M767">
        <v>1016.11</v>
      </c>
      <c r="N767" s="3">
        <f t="shared" si="11"/>
        <v>45901</v>
      </c>
    </row>
    <row r="768" spans="1:14" x14ac:dyDescent="0.35">
      <c r="A768" t="s">
        <v>1141</v>
      </c>
      <c r="B768" t="s">
        <v>806</v>
      </c>
      <c r="C768" t="s">
        <v>32</v>
      </c>
      <c r="D768" t="s">
        <v>33</v>
      </c>
      <c r="E768" t="s">
        <v>26</v>
      </c>
      <c r="F768" t="s">
        <v>44</v>
      </c>
      <c r="G768" t="s">
        <v>38</v>
      </c>
      <c r="H768">
        <v>10</v>
      </c>
      <c r="I768">
        <v>759.11</v>
      </c>
      <c r="J768">
        <v>7591.1</v>
      </c>
      <c r="K768" t="s">
        <v>66</v>
      </c>
      <c r="L768" t="s">
        <v>34</v>
      </c>
      <c r="M768">
        <v>770.9</v>
      </c>
      <c r="N768" s="3">
        <f t="shared" si="11"/>
        <v>45748</v>
      </c>
    </row>
    <row r="769" spans="1:14" x14ac:dyDescent="0.35">
      <c r="A769" t="s">
        <v>1142</v>
      </c>
      <c r="B769" t="s">
        <v>744</v>
      </c>
      <c r="C769" t="s">
        <v>15</v>
      </c>
      <c r="D769" t="s">
        <v>33</v>
      </c>
      <c r="E769" t="s">
        <v>17</v>
      </c>
      <c r="F769" t="s">
        <v>27</v>
      </c>
      <c r="G769" t="s">
        <v>38</v>
      </c>
      <c r="H769">
        <v>3</v>
      </c>
      <c r="I769">
        <v>598.35</v>
      </c>
      <c r="J769">
        <v>1795.05</v>
      </c>
      <c r="K769" t="s">
        <v>66</v>
      </c>
      <c r="L769" t="s">
        <v>77</v>
      </c>
      <c r="M769">
        <v>258.8</v>
      </c>
      <c r="N769" s="3">
        <f t="shared" si="11"/>
        <v>45870</v>
      </c>
    </row>
    <row r="770" spans="1:14" x14ac:dyDescent="0.35">
      <c r="A770" t="s">
        <v>1143</v>
      </c>
      <c r="B770" t="s">
        <v>618</v>
      </c>
      <c r="C770" t="s">
        <v>32</v>
      </c>
      <c r="D770" t="s">
        <v>25</v>
      </c>
      <c r="E770" t="s">
        <v>48</v>
      </c>
      <c r="F770" t="s">
        <v>44</v>
      </c>
      <c r="G770" t="s">
        <v>96</v>
      </c>
      <c r="H770">
        <v>3</v>
      </c>
      <c r="I770">
        <v>315.2</v>
      </c>
      <c r="J770">
        <v>945.6</v>
      </c>
      <c r="K770" t="s">
        <v>29</v>
      </c>
      <c r="L770" t="s">
        <v>50</v>
      </c>
      <c r="M770">
        <v>241.2</v>
      </c>
      <c r="N770" s="3">
        <f t="shared" si="11"/>
        <v>45658</v>
      </c>
    </row>
    <row r="771" spans="1:14" x14ac:dyDescent="0.35">
      <c r="A771" t="s">
        <v>1144</v>
      </c>
      <c r="B771" t="s">
        <v>326</v>
      </c>
      <c r="C771" t="s">
        <v>47</v>
      </c>
      <c r="D771" t="s">
        <v>116</v>
      </c>
      <c r="E771" t="s">
        <v>43</v>
      </c>
      <c r="F771" t="s">
        <v>44</v>
      </c>
      <c r="G771" t="s">
        <v>85</v>
      </c>
      <c r="H771">
        <v>5</v>
      </c>
      <c r="I771">
        <v>596.91999999999996</v>
      </c>
      <c r="J771">
        <v>2984.6</v>
      </c>
      <c r="K771" t="s">
        <v>66</v>
      </c>
      <c r="L771" t="s">
        <v>39</v>
      </c>
      <c r="M771">
        <v>795.5</v>
      </c>
      <c r="N771" s="3">
        <f t="shared" ref="N771:N834" si="12">DATE(YEAR(B771),MONTH(B771),1)</f>
        <v>45658</v>
      </c>
    </row>
    <row r="772" spans="1:14" x14ac:dyDescent="0.35">
      <c r="A772" t="s">
        <v>1145</v>
      </c>
      <c r="B772" t="s">
        <v>926</v>
      </c>
      <c r="C772" t="s">
        <v>15</v>
      </c>
      <c r="D772" t="s">
        <v>25</v>
      </c>
      <c r="E772" t="s">
        <v>17</v>
      </c>
      <c r="F772" t="s">
        <v>37</v>
      </c>
      <c r="G772" t="s">
        <v>28</v>
      </c>
      <c r="H772">
        <v>11</v>
      </c>
      <c r="I772">
        <v>97.93</v>
      </c>
      <c r="J772">
        <v>1077.23</v>
      </c>
      <c r="K772" t="s">
        <v>20</v>
      </c>
      <c r="L772" t="s">
        <v>34</v>
      </c>
      <c r="M772">
        <v>279.54000000000002</v>
      </c>
      <c r="N772" s="3">
        <f t="shared" si="12"/>
        <v>45748</v>
      </c>
    </row>
    <row r="773" spans="1:14" x14ac:dyDescent="0.35">
      <c r="A773" t="s">
        <v>1146</v>
      </c>
      <c r="B773" t="s">
        <v>73</v>
      </c>
      <c r="C773" t="s">
        <v>24</v>
      </c>
      <c r="D773" t="s">
        <v>116</v>
      </c>
      <c r="E773" t="s">
        <v>43</v>
      </c>
      <c r="F773" t="s">
        <v>18</v>
      </c>
      <c r="G773" t="s">
        <v>19</v>
      </c>
      <c r="H773">
        <v>5</v>
      </c>
      <c r="I773">
        <v>16.809999999999999</v>
      </c>
      <c r="J773">
        <v>84.05</v>
      </c>
      <c r="K773" t="s">
        <v>20</v>
      </c>
      <c r="L773" t="s">
        <v>21</v>
      </c>
      <c r="M773">
        <v>11.27</v>
      </c>
      <c r="N773" s="3">
        <f t="shared" si="12"/>
        <v>45717</v>
      </c>
    </row>
    <row r="774" spans="1:14" x14ac:dyDescent="0.35">
      <c r="A774" t="s">
        <v>1147</v>
      </c>
      <c r="B774" t="s">
        <v>93</v>
      </c>
      <c r="C774" t="s">
        <v>32</v>
      </c>
      <c r="D774" t="s">
        <v>53</v>
      </c>
      <c r="E774" t="s">
        <v>17</v>
      </c>
      <c r="F774" t="s">
        <v>44</v>
      </c>
      <c r="G774" t="s">
        <v>45</v>
      </c>
      <c r="H774">
        <v>6</v>
      </c>
      <c r="I774">
        <v>553.08000000000004</v>
      </c>
      <c r="J774">
        <v>3318.48</v>
      </c>
      <c r="K774" t="s">
        <v>20</v>
      </c>
      <c r="L774" t="s">
        <v>77</v>
      </c>
      <c r="M774">
        <v>583.45000000000005</v>
      </c>
      <c r="N774" s="3">
        <f t="shared" si="12"/>
        <v>45992</v>
      </c>
    </row>
    <row r="775" spans="1:14" x14ac:dyDescent="0.35">
      <c r="A775" t="s">
        <v>1148</v>
      </c>
      <c r="B775" t="s">
        <v>62</v>
      </c>
      <c r="C775" t="s">
        <v>32</v>
      </c>
      <c r="D775" t="s">
        <v>42</v>
      </c>
      <c r="E775" t="s">
        <v>48</v>
      </c>
      <c r="F775" t="s">
        <v>18</v>
      </c>
      <c r="G775" t="s">
        <v>96</v>
      </c>
      <c r="H775">
        <v>17</v>
      </c>
      <c r="I775">
        <v>933.24</v>
      </c>
      <c r="J775">
        <v>15865.08</v>
      </c>
      <c r="K775" t="s">
        <v>63</v>
      </c>
      <c r="L775" t="s">
        <v>50</v>
      </c>
      <c r="M775">
        <v>4204.2299999999996</v>
      </c>
      <c r="N775" s="3">
        <f t="shared" si="12"/>
        <v>45748</v>
      </c>
    </row>
    <row r="776" spans="1:14" x14ac:dyDescent="0.35">
      <c r="A776" t="s">
        <v>1149</v>
      </c>
      <c r="B776" t="s">
        <v>1150</v>
      </c>
      <c r="C776" t="s">
        <v>24</v>
      </c>
      <c r="D776" t="s">
        <v>53</v>
      </c>
      <c r="E776" t="s">
        <v>17</v>
      </c>
      <c r="F776" t="s">
        <v>18</v>
      </c>
      <c r="G776" t="s">
        <v>28</v>
      </c>
      <c r="H776">
        <v>9</v>
      </c>
      <c r="I776">
        <v>996.29</v>
      </c>
      <c r="J776">
        <v>8966.61</v>
      </c>
      <c r="K776" t="s">
        <v>20</v>
      </c>
      <c r="L776" t="s">
        <v>34</v>
      </c>
      <c r="M776">
        <v>1154.07</v>
      </c>
      <c r="N776" s="3">
        <f t="shared" si="12"/>
        <v>45962</v>
      </c>
    </row>
    <row r="777" spans="1:14" x14ac:dyDescent="0.35">
      <c r="A777" t="s">
        <v>1151</v>
      </c>
      <c r="B777" t="s">
        <v>437</v>
      </c>
      <c r="C777" t="s">
        <v>24</v>
      </c>
      <c r="D777" t="s">
        <v>42</v>
      </c>
      <c r="E777" t="s">
        <v>43</v>
      </c>
      <c r="F777" t="s">
        <v>18</v>
      </c>
      <c r="G777" t="s">
        <v>28</v>
      </c>
      <c r="H777">
        <v>16</v>
      </c>
      <c r="I777">
        <v>348.34</v>
      </c>
      <c r="J777">
        <v>5573.44</v>
      </c>
      <c r="K777" t="s">
        <v>82</v>
      </c>
      <c r="L777" t="s">
        <v>77</v>
      </c>
      <c r="M777">
        <v>1815.62</v>
      </c>
      <c r="N777" s="3">
        <f t="shared" si="12"/>
        <v>45962</v>
      </c>
    </row>
    <row r="778" spans="1:14" x14ac:dyDescent="0.35">
      <c r="A778" t="s">
        <v>1152</v>
      </c>
      <c r="B778" t="s">
        <v>237</v>
      </c>
      <c r="C778" t="s">
        <v>24</v>
      </c>
      <c r="D778" t="s">
        <v>16</v>
      </c>
      <c r="E778" t="s">
        <v>26</v>
      </c>
      <c r="F778" t="s">
        <v>44</v>
      </c>
      <c r="G778" t="s">
        <v>45</v>
      </c>
      <c r="H778">
        <v>19</v>
      </c>
      <c r="I778">
        <v>46.32</v>
      </c>
      <c r="J778">
        <v>880.08</v>
      </c>
      <c r="K778" t="s">
        <v>66</v>
      </c>
      <c r="L778" t="s">
        <v>39</v>
      </c>
      <c r="M778">
        <v>212.36</v>
      </c>
      <c r="N778" s="3">
        <f t="shared" si="12"/>
        <v>45962</v>
      </c>
    </row>
    <row r="779" spans="1:14" x14ac:dyDescent="0.35">
      <c r="A779" t="s">
        <v>1153</v>
      </c>
      <c r="B779" t="s">
        <v>356</v>
      </c>
      <c r="C779" t="s">
        <v>24</v>
      </c>
      <c r="D779" t="s">
        <v>74</v>
      </c>
      <c r="E779" t="s">
        <v>26</v>
      </c>
      <c r="F779" t="s">
        <v>44</v>
      </c>
      <c r="G779" t="s">
        <v>85</v>
      </c>
      <c r="H779">
        <v>12</v>
      </c>
      <c r="I779">
        <v>471.19</v>
      </c>
      <c r="J779">
        <v>5654.28</v>
      </c>
      <c r="K779" t="s">
        <v>49</v>
      </c>
      <c r="L779" t="s">
        <v>77</v>
      </c>
      <c r="M779">
        <v>1159.1600000000001</v>
      </c>
      <c r="N779" s="3">
        <f t="shared" si="12"/>
        <v>45870</v>
      </c>
    </row>
    <row r="780" spans="1:14" x14ac:dyDescent="0.35">
      <c r="A780" t="s">
        <v>1154</v>
      </c>
      <c r="B780" t="s">
        <v>358</v>
      </c>
      <c r="C780" t="s">
        <v>47</v>
      </c>
      <c r="D780" t="s">
        <v>69</v>
      </c>
      <c r="E780" t="s">
        <v>26</v>
      </c>
      <c r="F780" t="s">
        <v>27</v>
      </c>
      <c r="G780" t="s">
        <v>85</v>
      </c>
      <c r="H780">
        <v>12</v>
      </c>
      <c r="I780">
        <v>676.63</v>
      </c>
      <c r="J780">
        <v>8119.56</v>
      </c>
      <c r="K780" t="s">
        <v>20</v>
      </c>
      <c r="L780" t="s">
        <v>39</v>
      </c>
      <c r="M780">
        <v>1077.3499999999999</v>
      </c>
      <c r="N780" s="3">
        <f t="shared" si="12"/>
        <v>45870</v>
      </c>
    </row>
    <row r="781" spans="1:14" x14ac:dyDescent="0.35">
      <c r="A781" t="s">
        <v>1155</v>
      </c>
      <c r="B781" t="s">
        <v>252</v>
      </c>
      <c r="C781" t="s">
        <v>24</v>
      </c>
      <c r="D781" t="s">
        <v>116</v>
      </c>
      <c r="E781" t="s">
        <v>17</v>
      </c>
      <c r="F781" t="s">
        <v>27</v>
      </c>
      <c r="G781" t="s">
        <v>105</v>
      </c>
      <c r="H781">
        <v>17</v>
      </c>
      <c r="I781">
        <v>172.22</v>
      </c>
      <c r="J781">
        <v>2927.74</v>
      </c>
      <c r="K781" t="s">
        <v>82</v>
      </c>
      <c r="L781" t="s">
        <v>50</v>
      </c>
      <c r="M781">
        <v>650.11</v>
      </c>
      <c r="N781" s="3">
        <f t="shared" si="12"/>
        <v>45717</v>
      </c>
    </row>
    <row r="782" spans="1:14" x14ac:dyDescent="0.35">
      <c r="A782" t="s">
        <v>1156</v>
      </c>
      <c r="B782" t="s">
        <v>131</v>
      </c>
      <c r="C782" t="s">
        <v>24</v>
      </c>
      <c r="D782" t="s">
        <v>33</v>
      </c>
      <c r="E782" t="s">
        <v>48</v>
      </c>
      <c r="F782" t="s">
        <v>37</v>
      </c>
      <c r="G782" t="s">
        <v>56</v>
      </c>
      <c r="H782">
        <v>9</v>
      </c>
      <c r="I782">
        <v>768.53</v>
      </c>
      <c r="J782">
        <v>6916.77</v>
      </c>
      <c r="K782" t="s">
        <v>66</v>
      </c>
      <c r="L782" t="s">
        <v>50</v>
      </c>
      <c r="M782">
        <v>1630.08</v>
      </c>
      <c r="N782" s="3">
        <f t="shared" si="12"/>
        <v>45962</v>
      </c>
    </row>
    <row r="783" spans="1:14" x14ac:dyDescent="0.35">
      <c r="A783" t="s">
        <v>1157</v>
      </c>
      <c r="B783" t="s">
        <v>172</v>
      </c>
      <c r="C783" t="s">
        <v>15</v>
      </c>
      <c r="D783" t="s">
        <v>25</v>
      </c>
      <c r="E783" t="s">
        <v>48</v>
      </c>
      <c r="F783" t="s">
        <v>18</v>
      </c>
      <c r="G783" t="s">
        <v>105</v>
      </c>
      <c r="H783">
        <v>6</v>
      </c>
      <c r="I783">
        <v>205.46</v>
      </c>
      <c r="J783">
        <v>1232.76</v>
      </c>
      <c r="K783" t="s">
        <v>29</v>
      </c>
      <c r="L783" t="s">
        <v>21</v>
      </c>
      <c r="M783">
        <v>184.34</v>
      </c>
      <c r="N783" s="3">
        <f t="shared" si="12"/>
        <v>45748</v>
      </c>
    </row>
    <row r="784" spans="1:14" x14ac:dyDescent="0.35">
      <c r="A784" t="s">
        <v>1158</v>
      </c>
      <c r="B784" t="s">
        <v>898</v>
      </c>
      <c r="C784" t="s">
        <v>15</v>
      </c>
      <c r="D784" t="s">
        <v>53</v>
      </c>
      <c r="E784" t="s">
        <v>43</v>
      </c>
      <c r="F784" t="s">
        <v>44</v>
      </c>
      <c r="G784" t="s">
        <v>85</v>
      </c>
      <c r="H784">
        <v>15</v>
      </c>
      <c r="I784">
        <v>682.71</v>
      </c>
      <c r="J784">
        <v>10240.65</v>
      </c>
      <c r="K784" t="s">
        <v>20</v>
      </c>
      <c r="L784" t="s">
        <v>34</v>
      </c>
      <c r="M784">
        <v>2587.44</v>
      </c>
      <c r="N784" s="3">
        <f t="shared" si="12"/>
        <v>45962</v>
      </c>
    </row>
    <row r="785" spans="1:14" x14ac:dyDescent="0.35">
      <c r="A785" t="s">
        <v>1159</v>
      </c>
      <c r="B785" t="s">
        <v>483</v>
      </c>
      <c r="C785" t="s">
        <v>47</v>
      </c>
      <c r="D785" t="s">
        <v>53</v>
      </c>
      <c r="E785" t="s">
        <v>26</v>
      </c>
      <c r="F785" t="s">
        <v>37</v>
      </c>
      <c r="G785" t="s">
        <v>28</v>
      </c>
      <c r="H785">
        <v>16</v>
      </c>
      <c r="I785">
        <v>725.06</v>
      </c>
      <c r="J785">
        <v>11600.96</v>
      </c>
      <c r="K785" t="s">
        <v>49</v>
      </c>
      <c r="L785" t="s">
        <v>50</v>
      </c>
      <c r="M785">
        <v>1262.6300000000001</v>
      </c>
      <c r="N785" s="3">
        <f t="shared" si="12"/>
        <v>45992</v>
      </c>
    </row>
    <row r="786" spans="1:14" x14ac:dyDescent="0.35">
      <c r="A786" t="s">
        <v>1160</v>
      </c>
      <c r="B786" t="s">
        <v>480</v>
      </c>
      <c r="C786" t="s">
        <v>32</v>
      </c>
      <c r="D786" t="s">
        <v>53</v>
      </c>
      <c r="E786" t="s">
        <v>48</v>
      </c>
      <c r="F786" t="s">
        <v>37</v>
      </c>
      <c r="G786" t="s">
        <v>38</v>
      </c>
      <c r="H786">
        <v>4</v>
      </c>
      <c r="I786">
        <v>549.75</v>
      </c>
      <c r="J786">
        <v>2199</v>
      </c>
      <c r="K786" t="s">
        <v>49</v>
      </c>
      <c r="L786" t="s">
        <v>34</v>
      </c>
      <c r="M786">
        <v>613.44000000000005</v>
      </c>
      <c r="N786" s="3">
        <f t="shared" si="12"/>
        <v>45809</v>
      </c>
    </row>
    <row r="787" spans="1:14" x14ac:dyDescent="0.35">
      <c r="A787" t="s">
        <v>1161</v>
      </c>
      <c r="B787" t="s">
        <v>150</v>
      </c>
      <c r="C787" t="s">
        <v>32</v>
      </c>
      <c r="D787" t="s">
        <v>74</v>
      </c>
      <c r="E787" t="s">
        <v>17</v>
      </c>
      <c r="F787" t="s">
        <v>27</v>
      </c>
      <c r="G787" t="s">
        <v>56</v>
      </c>
      <c r="H787">
        <v>20</v>
      </c>
      <c r="I787">
        <v>69.319999999999993</v>
      </c>
      <c r="J787">
        <v>1386.4</v>
      </c>
      <c r="K787" t="s">
        <v>63</v>
      </c>
      <c r="L787" t="s">
        <v>39</v>
      </c>
      <c r="M787">
        <v>424.67</v>
      </c>
      <c r="N787" s="3">
        <f t="shared" si="12"/>
        <v>45778</v>
      </c>
    </row>
    <row r="788" spans="1:14" x14ac:dyDescent="0.35">
      <c r="A788" t="s">
        <v>1162</v>
      </c>
      <c r="B788" t="s">
        <v>1163</v>
      </c>
      <c r="C788" t="s">
        <v>47</v>
      </c>
      <c r="D788" t="s">
        <v>42</v>
      </c>
      <c r="E788" t="s">
        <v>43</v>
      </c>
      <c r="F788" t="s">
        <v>18</v>
      </c>
      <c r="G788" t="s">
        <v>38</v>
      </c>
      <c r="H788">
        <v>5</v>
      </c>
      <c r="I788">
        <v>511.31</v>
      </c>
      <c r="J788">
        <v>2556.5500000000002</v>
      </c>
      <c r="K788" t="s">
        <v>82</v>
      </c>
      <c r="L788" t="s">
        <v>50</v>
      </c>
      <c r="M788">
        <v>839.02</v>
      </c>
      <c r="N788" s="3">
        <f t="shared" si="12"/>
        <v>45809</v>
      </c>
    </row>
    <row r="789" spans="1:14" x14ac:dyDescent="0.35">
      <c r="A789" t="s">
        <v>1164</v>
      </c>
      <c r="B789" t="s">
        <v>463</v>
      </c>
      <c r="C789" t="s">
        <v>47</v>
      </c>
      <c r="D789" t="s">
        <v>16</v>
      </c>
      <c r="E789" t="s">
        <v>17</v>
      </c>
      <c r="F789" t="s">
        <v>18</v>
      </c>
      <c r="G789" t="s">
        <v>19</v>
      </c>
      <c r="H789">
        <v>19</v>
      </c>
      <c r="I789">
        <v>115.35</v>
      </c>
      <c r="J789">
        <v>2191.65</v>
      </c>
      <c r="K789" t="s">
        <v>82</v>
      </c>
      <c r="L789" t="s">
        <v>21</v>
      </c>
      <c r="M789">
        <v>623.04</v>
      </c>
      <c r="N789" s="3">
        <f t="shared" si="12"/>
        <v>45809</v>
      </c>
    </row>
    <row r="790" spans="1:14" x14ac:dyDescent="0.35">
      <c r="A790" t="s">
        <v>1165</v>
      </c>
      <c r="B790" t="s">
        <v>58</v>
      </c>
      <c r="C790" t="s">
        <v>24</v>
      </c>
      <c r="D790" t="s">
        <v>42</v>
      </c>
      <c r="E790" t="s">
        <v>26</v>
      </c>
      <c r="F790" t="s">
        <v>44</v>
      </c>
      <c r="G790" t="s">
        <v>28</v>
      </c>
      <c r="H790">
        <v>1</v>
      </c>
      <c r="I790">
        <v>496.26</v>
      </c>
      <c r="J790">
        <v>496.26</v>
      </c>
      <c r="K790" t="s">
        <v>63</v>
      </c>
      <c r="L790" t="s">
        <v>50</v>
      </c>
      <c r="M790">
        <v>74.349999999999994</v>
      </c>
      <c r="N790" s="3">
        <f t="shared" si="12"/>
        <v>45717</v>
      </c>
    </row>
    <row r="791" spans="1:14" x14ac:dyDescent="0.35">
      <c r="A791" t="s">
        <v>1166</v>
      </c>
      <c r="B791" t="s">
        <v>104</v>
      </c>
      <c r="C791" t="s">
        <v>15</v>
      </c>
      <c r="D791" t="s">
        <v>69</v>
      </c>
      <c r="E791" t="s">
        <v>48</v>
      </c>
      <c r="F791" t="s">
        <v>37</v>
      </c>
      <c r="G791" t="s">
        <v>105</v>
      </c>
      <c r="H791">
        <v>4</v>
      </c>
      <c r="I791">
        <v>530.91</v>
      </c>
      <c r="J791">
        <v>2123.64</v>
      </c>
      <c r="K791" t="s">
        <v>49</v>
      </c>
      <c r="L791" t="s">
        <v>34</v>
      </c>
      <c r="M791">
        <v>497.88</v>
      </c>
      <c r="N791" s="3">
        <f t="shared" si="12"/>
        <v>45931</v>
      </c>
    </row>
    <row r="792" spans="1:14" x14ac:dyDescent="0.35">
      <c r="A792" t="s">
        <v>1167</v>
      </c>
      <c r="B792" t="s">
        <v>335</v>
      </c>
      <c r="C792" t="s">
        <v>24</v>
      </c>
      <c r="D792" t="s">
        <v>42</v>
      </c>
      <c r="E792" t="s">
        <v>17</v>
      </c>
      <c r="F792" t="s">
        <v>37</v>
      </c>
      <c r="G792" t="s">
        <v>85</v>
      </c>
      <c r="H792">
        <v>1</v>
      </c>
      <c r="I792">
        <v>157.11000000000001</v>
      </c>
      <c r="J792">
        <v>157.11000000000001</v>
      </c>
      <c r="K792" t="s">
        <v>29</v>
      </c>
      <c r="L792" t="s">
        <v>21</v>
      </c>
      <c r="M792">
        <v>28.66</v>
      </c>
      <c r="N792" s="3">
        <f t="shared" si="12"/>
        <v>45839</v>
      </c>
    </row>
    <row r="793" spans="1:14" x14ac:dyDescent="0.35">
      <c r="A793" t="s">
        <v>1168</v>
      </c>
      <c r="B793" t="s">
        <v>62</v>
      </c>
      <c r="C793" t="s">
        <v>24</v>
      </c>
      <c r="D793" t="s">
        <v>53</v>
      </c>
      <c r="E793" t="s">
        <v>43</v>
      </c>
      <c r="F793" t="s">
        <v>18</v>
      </c>
      <c r="G793" t="s">
        <v>38</v>
      </c>
      <c r="H793">
        <v>13</v>
      </c>
      <c r="I793">
        <v>506.22</v>
      </c>
      <c r="J793">
        <v>6580.86</v>
      </c>
      <c r="K793" t="s">
        <v>49</v>
      </c>
      <c r="L793" t="s">
        <v>77</v>
      </c>
      <c r="M793">
        <v>1694.82</v>
      </c>
      <c r="N793" s="3">
        <f t="shared" si="12"/>
        <v>45748</v>
      </c>
    </row>
    <row r="794" spans="1:14" x14ac:dyDescent="0.35">
      <c r="A794" t="s">
        <v>1169</v>
      </c>
      <c r="B794" t="s">
        <v>445</v>
      </c>
      <c r="C794" t="s">
        <v>32</v>
      </c>
      <c r="D794" t="s">
        <v>53</v>
      </c>
      <c r="E794" t="s">
        <v>43</v>
      </c>
      <c r="F794" t="s">
        <v>27</v>
      </c>
      <c r="G794" t="s">
        <v>45</v>
      </c>
      <c r="H794">
        <v>19</v>
      </c>
      <c r="I794">
        <v>11.6</v>
      </c>
      <c r="J794">
        <v>220.4</v>
      </c>
      <c r="K794" t="s">
        <v>82</v>
      </c>
      <c r="L794" t="s">
        <v>39</v>
      </c>
      <c r="M794">
        <v>50.17</v>
      </c>
      <c r="N794" s="3">
        <f t="shared" si="12"/>
        <v>45748</v>
      </c>
    </row>
    <row r="795" spans="1:14" x14ac:dyDescent="0.35">
      <c r="A795" t="s">
        <v>1170</v>
      </c>
      <c r="B795" t="s">
        <v>203</v>
      </c>
      <c r="C795" t="s">
        <v>15</v>
      </c>
      <c r="D795" t="s">
        <v>25</v>
      </c>
      <c r="E795" t="s">
        <v>26</v>
      </c>
      <c r="F795" t="s">
        <v>37</v>
      </c>
      <c r="G795" t="s">
        <v>105</v>
      </c>
      <c r="H795">
        <v>12</v>
      </c>
      <c r="I795">
        <v>246.89</v>
      </c>
      <c r="J795">
        <v>2962.68</v>
      </c>
      <c r="K795" t="s">
        <v>29</v>
      </c>
      <c r="L795" t="s">
        <v>21</v>
      </c>
      <c r="M795">
        <v>445.83</v>
      </c>
      <c r="N795" s="3">
        <f t="shared" si="12"/>
        <v>45689</v>
      </c>
    </row>
    <row r="796" spans="1:14" x14ac:dyDescent="0.35">
      <c r="A796" t="s">
        <v>1171</v>
      </c>
      <c r="B796" t="s">
        <v>1172</v>
      </c>
      <c r="C796" t="s">
        <v>15</v>
      </c>
      <c r="D796" t="s">
        <v>74</v>
      </c>
      <c r="E796" t="s">
        <v>43</v>
      </c>
      <c r="F796" t="s">
        <v>27</v>
      </c>
      <c r="G796" t="s">
        <v>56</v>
      </c>
      <c r="H796">
        <v>19</v>
      </c>
      <c r="I796">
        <v>234.92</v>
      </c>
      <c r="J796">
        <v>4463.4799999999996</v>
      </c>
      <c r="K796" t="s">
        <v>63</v>
      </c>
      <c r="L796" t="s">
        <v>21</v>
      </c>
      <c r="M796">
        <v>521.64</v>
      </c>
      <c r="N796" s="3">
        <f t="shared" si="12"/>
        <v>45901</v>
      </c>
    </row>
    <row r="797" spans="1:14" x14ac:dyDescent="0.35">
      <c r="A797" t="s">
        <v>1173</v>
      </c>
      <c r="B797" t="s">
        <v>696</v>
      </c>
      <c r="C797" t="s">
        <v>47</v>
      </c>
      <c r="D797" t="s">
        <v>116</v>
      </c>
      <c r="E797" t="s">
        <v>48</v>
      </c>
      <c r="F797" t="s">
        <v>27</v>
      </c>
      <c r="G797" t="s">
        <v>56</v>
      </c>
      <c r="H797">
        <v>5</v>
      </c>
      <c r="I797">
        <v>476.29</v>
      </c>
      <c r="J797">
        <v>2381.4499999999998</v>
      </c>
      <c r="K797" t="s">
        <v>20</v>
      </c>
      <c r="L797" t="s">
        <v>21</v>
      </c>
      <c r="M797">
        <v>456.3</v>
      </c>
      <c r="N797" s="3">
        <f t="shared" si="12"/>
        <v>45992</v>
      </c>
    </row>
    <row r="798" spans="1:14" x14ac:dyDescent="0.35">
      <c r="A798" t="s">
        <v>1174</v>
      </c>
      <c r="B798" t="s">
        <v>303</v>
      </c>
      <c r="C798" t="s">
        <v>15</v>
      </c>
      <c r="D798" t="s">
        <v>16</v>
      </c>
      <c r="E798" t="s">
        <v>17</v>
      </c>
      <c r="F798" t="s">
        <v>37</v>
      </c>
      <c r="G798" t="s">
        <v>56</v>
      </c>
      <c r="H798">
        <v>11</v>
      </c>
      <c r="I798">
        <v>618.84</v>
      </c>
      <c r="J798">
        <v>6807.24</v>
      </c>
      <c r="K798" t="s">
        <v>66</v>
      </c>
      <c r="L798" t="s">
        <v>39</v>
      </c>
      <c r="M798">
        <v>1061.56</v>
      </c>
      <c r="N798" s="3">
        <f t="shared" si="12"/>
        <v>45748</v>
      </c>
    </row>
    <row r="799" spans="1:14" x14ac:dyDescent="0.35">
      <c r="A799" t="s">
        <v>1175</v>
      </c>
      <c r="B799" t="s">
        <v>303</v>
      </c>
      <c r="C799" t="s">
        <v>24</v>
      </c>
      <c r="D799" t="s">
        <v>53</v>
      </c>
      <c r="E799" t="s">
        <v>48</v>
      </c>
      <c r="F799" t="s">
        <v>18</v>
      </c>
      <c r="G799" t="s">
        <v>85</v>
      </c>
      <c r="H799">
        <v>3</v>
      </c>
      <c r="I799">
        <v>468.55</v>
      </c>
      <c r="J799">
        <v>1405.65</v>
      </c>
      <c r="K799" t="s">
        <v>63</v>
      </c>
      <c r="L799" t="s">
        <v>39</v>
      </c>
      <c r="M799">
        <v>468.25</v>
      </c>
      <c r="N799" s="3">
        <f t="shared" si="12"/>
        <v>45748</v>
      </c>
    </row>
    <row r="800" spans="1:14" x14ac:dyDescent="0.35">
      <c r="A800" t="s">
        <v>1176</v>
      </c>
      <c r="B800" t="s">
        <v>123</v>
      </c>
      <c r="C800" t="s">
        <v>24</v>
      </c>
      <c r="D800" t="s">
        <v>69</v>
      </c>
      <c r="E800" t="s">
        <v>48</v>
      </c>
      <c r="F800" t="s">
        <v>37</v>
      </c>
      <c r="G800" t="s">
        <v>19</v>
      </c>
      <c r="H800">
        <v>13</v>
      </c>
      <c r="I800">
        <v>797.69</v>
      </c>
      <c r="J800">
        <v>10369.969999999999</v>
      </c>
      <c r="K800" t="s">
        <v>63</v>
      </c>
      <c r="L800" t="s">
        <v>39</v>
      </c>
      <c r="M800">
        <v>1538.13</v>
      </c>
      <c r="N800" s="3">
        <f t="shared" si="12"/>
        <v>45901</v>
      </c>
    </row>
    <row r="801" spans="1:14" x14ac:dyDescent="0.35">
      <c r="A801" t="s">
        <v>1177</v>
      </c>
      <c r="B801" t="s">
        <v>201</v>
      </c>
      <c r="C801" t="s">
        <v>47</v>
      </c>
      <c r="D801" t="s">
        <v>42</v>
      </c>
      <c r="E801" t="s">
        <v>26</v>
      </c>
      <c r="F801" t="s">
        <v>37</v>
      </c>
      <c r="G801" t="s">
        <v>56</v>
      </c>
      <c r="H801">
        <v>3</v>
      </c>
      <c r="I801">
        <v>121.39</v>
      </c>
      <c r="J801">
        <v>364.17</v>
      </c>
      <c r="K801" t="s">
        <v>63</v>
      </c>
      <c r="L801" t="s">
        <v>21</v>
      </c>
      <c r="M801">
        <v>109.84</v>
      </c>
      <c r="N801" s="3">
        <f t="shared" si="12"/>
        <v>45992</v>
      </c>
    </row>
    <row r="802" spans="1:14" x14ac:dyDescent="0.35">
      <c r="A802" t="s">
        <v>1178</v>
      </c>
      <c r="B802" t="s">
        <v>461</v>
      </c>
      <c r="C802" t="s">
        <v>47</v>
      </c>
      <c r="D802" t="s">
        <v>53</v>
      </c>
      <c r="E802" t="s">
        <v>43</v>
      </c>
      <c r="F802" t="s">
        <v>37</v>
      </c>
      <c r="G802" t="s">
        <v>96</v>
      </c>
      <c r="H802">
        <v>7</v>
      </c>
      <c r="I802">
        <v>28.07</v>
      </c>
      <c r="J802">
        <v>196.49</v>
      </c>
      <c r="K802" t="s">
        <v>49</v>
      </c>
      <c r="L802" t="s">
        <v>50</v>
      </c>
      <c r="M802">
        <v>34.630000000000003</v>
      </c>
      <c r="N802" s="3">
        <f t="shared" si="12"/>
        <v>45962</v>
      </c>
    </row>
    <row r="803" spans="1:14" x14ac:dyDescent="0.35">
      <c r="A803" t="s">
        <v>1179</v>
      </c>
      <c r="B803" t="s">
        <v>1180</v>
      </c>
      <c r="C803" t="s">
        <v>32</v>
      </c>
      <c r="D803" t="s">
        <v>116</v>
      </c>
      <c r="E803" t="s">
        <v>26</v>
      </c>
      <c r="F803" t="s">
        <v>27</v>
      </c>
      <c r="G803" t="s">
        <v>28</v>
      </c>
      <c r="H803">
        <v>9</v>
      </c>
      <c r="I803">
        <v>583.87</v>
      </c>
      <c r="J803">
        <v>5254.83</v>
      </c>
      <c r="K803" t="s">
        <v>63</v>
      </c>
      <c r="L803" t="s">
        <v>50</v>
      </c>
      <c r="M803">
        <v>811.49</v>
      </c>
      <c r="N803" s="3">
        <f t="shared" si="12"/>
        <v>45870</v>
      </c>
    </row>
    <row r="804" spans="1:14" x14ac:dyDescent="0.35">
      <c r="A804" t="s">
        <v>1181</v>
      </c>
      <c r="B804" t="s">
        <v>1012</v>
      </c>
      <c r="C804" t="s">
        <v>47</v>
      </c>
      <c r="D804" t="s">
        <v>25</v>
      </c>
      <c r="E804" t="s">
        <v>26</v>
      </c>
      <c r="F804" t="s">
        <v>44</v>
      </c>
      <c r="G804" t="s">
        <v>96</v>
      </c>
      <c r="H804">
        <v>15</v>
      </c>
      <c r="I804">
        <v>617.41999999999996</v>
      </c>
      <c r="J804">
        <v>9261.2999999999993</v>
      </c>
      <c r="K804" t="s">
        <v>66</v>
      </c>
      <c r="L804" t="s">
        <v>77</v>
      </c>
      <c r="M804">
        <v>1294.06</v>
      </c>
      <c r="N804" s="3">
        <f t="shared" si="12"/>
        <v>45870</v>
      </c>
    </row>
    <row r="805" spans="1:14" x14ac:dyDescent="0.35">
      <c r="A805" t="s">
        <v>1182</v>
      </c>
      <c r="B805" t="s">
        <v>237</v>
      </c>
      <c r="C805" t="s">
        <v>32</v>
      </c>
      <c r="D805" t="s">
        <v>74</v>
      </c>
      <c r="E805" t="s">
        <v>48</v>
      </c>
      <c r="F805" t="s">
        <v>18</v>
      </c>
      <c r="G805" t="s">
        <v>96</v>
      </c>
      <c r="H805">
        <v>8</v>
      </c>
      <c r="I805">
        <v>66.14</v>
      </c>
      <c r="J805">
        <v>529.12</v>
      </c>
      <c r="K805" t="s">
        <v>20</v>
      </c>
      <c r="L805" t="s">
        <v>34</v>
      </c>
      <c r="M805">
        <v>68.55</v>
      </c>
      <c r="N805" s="3">
        <f t="shared" si="12"/>
        <v>45962</v>
      </c>
    </row>
    <row r="806" spans="1:14" x14ac:dyDescent="0.35">
      <c r="A806" t="s">
        <v>1183</v>
      </c>
      <c r="B806" t="s">
        <v>406</v>
      </c>
      <c r="C806" t="s">
        <v>47</v>
      </c>
      <c r="D806" t="s">
        <v>53</v>
      </c>
      <c r="E806" t="s">
        <v>43</v>
      </c>
      <c r="F806" t="s">
        <v>18</v>
      </c>
      <c r="G806" t="s">
        <v>38</v>
      </c>
      <c r="H806">
        <v>5</v>
      </c>
      <c r="I806">
        <v>530.28</v>
      </c>
      <c r="J806">
        <v>2651.4</v>
      </c>
      <c r="K806" t="s">
        <v>66</v>
      </c>
      <c r="L806" t="s">
        <v>39</v>
      </c>
      <c r="M806">
        <v>452.27</v>
      </c>
      <c r="N806" s="3">
        <f t="shared" si="12"/>
        <v>45748</v>
      </c>
    </row>
    <row r="807" spans="1:14" x14ac:dyDescent="0.35">
      <c r="A807" t="s">
        <v>1184</v>
      </c>
      <c r="B807" t="s">
        <v>113</v>
      </c>
      <c r="C807" t="s">
        <v>32</v>
      </c>
      <c r="D807" t="s">
        <v>33</v>
      </c>
      <c r="E807" t="s">
        <v>48</v>
      </c>
      <c r="F807" t="s">
        <v>18</v>
      </c>
      <c r="G807" t="s">
        <v>45</v>
      </c>
      <c r="H807">
        <v>13</v>
      </c>
      <c r="I807">
        <v>289.70999999999998</v>
      </c>
      <c r="J807">
        <v>3766.23</v>
      </c>
      <c r="K807" t="s">
        <v>66</v>
      </c>
      <c r="L807" t="s">
        <v>50</v>
      </c>
      <c r="M807">
        <v>408.62</v>
      </c>
      <c r="N807" s="3">
        <f t="shared" si="12"/>
        <v>45870</v>
      </c>
    </row>
    <row r="808" spans="1:14" x14ac:dyDescent="0.35">
      <c r="A808" t="s">
        <v>1185</v>
      </c>
      <c r="B808" t="s">
        <v>1123</v>
      </c>
      <c r="C808" t="s">
        <v>47</v>
      </c>
      <c r="D808" t="s">
        <v>53</v>
      </c>
      <c r="E808" t="s">
        <v>48</v>
      </c>
      <c r="F808" t="s">
        <v>18</v>
      </c>
      <c r="G808" t="s">
        <v>96</v>
      </c>
      <c r="H808">
        <v>14</v>
      </c>
      <c r="I808">
        <v>851.29</v>
      </c>
      <c r="J808">
        <v>11918.06</v>
      </c>
      <c r="K808" t="s">
        <v>49</v>
      </c>
      <c r="L808" t="s">
        <v>50</v>
      </c>
      <c r="M808">
        <v>3949.19</v>
      </c>
      <c r="N808" s="3">
        <f t="shared" si="12"/>
        <v>45717</v>
      </c>
    </row>
    <row r="809" spans="1:14" x14ac:dyDescent="0.35">
      <c r="A809" t="s">
        <v>1186</v>
      </c>
      <c r="B809" t="s">
        <v>1187</v>
      </c>
      <c r="C809" t="s">
        <v>24</v>
      </c>
      <c r="D809" t="s">
        <v>25</v>
      </c>
      <c r="E809" t="s">
        <v>48</v>
      </c>
      <c r="F809" t="s">
        <v>37</v>
      </c>
      <c r="G809" t="s">
        <v>28</v>
      </c>
      <c r="H809">
        <v>14</v>
      </c>
      <c r="I809">
        <v>606.19000000000005</v>
      </c>
      <c r="J809">
        <v>8486.66</v>
      </c>
      <c r="K809" t="s">
        <v>82</v>
      </c>
      <c r="L809" t="s">
        <v>77</v>
      </c>
      <c r="M809">
        <v>1560.54</v>
      </c>
      <c r="N809" s="3">
        <f t="shared" si="12"/>
        <v>45931</v>
      </c>
    </row>
    <row r="810" spans="1:14" x14ac:dyDescent="0.35">
      <c r="A810" t="s">
        <v>1188</v>
      </c>
      <c r="B810" t="s">
        <v>1031</v>
      </c>
      <c r="C810" t="s">
        <v>15</v>
      </c>
      <c r="D810" t="s">
        <v>16</v>
      </c>
      <c r="E810" t="s">
        <v>43</v>
      </c>
      <c r="F810" t="s">
        <v>27</v>
      </c>
      <c r="G810" t="s">
        <v>19</v>
      </c>
      <c r="H810">
        <v>9</v>
      </c>
      <c r="I810">
        <v>153.11000000000001</v>
      </c>
      <c r="J810">
        <v>1377.99</v>
      </c>
      <c r="K810" t="s">
        <v>49</v>
      </c>
      <c r="L810" t="s">
        <v>39</v>
      </c>
      <c r="M810">
        <v>389.01</v>
      </c>
      <c r="N810" s="3">
        <f t="shared" si="12"/>
        <v>45901</v>
      </c>
    </row>
    <row r="811" spans="1:14" x14ac:dyDescent="0.35">
      <c r="A811" t="s">
        <v>1189</v>
      </c>
      <c r="B811" t="s">
        <v>833</v>
      </c>
      <c r="C811" t="s">
        <v>15</v>
      </c>
      <c r="D811" t="s">
        <v>16</v>
      </c>
      <c r="E811" t="s">
        <v>43</v>
      </c>
      <c r="F811" t="s">
        <v>27</v>
      </c>
      <c r="G811" t="s">
        <v>96</v>
      </c>
      <c r="H811">
        <v>15</v>
      </c>
      <c r="I811">
        <v>797.62</v>
      </c>
      <c r="J811">
        <v>11964.3</v>
      </c>
      <c r="K811" t="s">
        <v>20</v>
      </c>
      <c r="L811" t="s">
        <v>39</v>
      </c>
      <c r="M811">
        <v>3299.58</v>
      </c>
      <c r="N811" s="3">
        <f t="shared" si="12"/>
        <v>45870</v>
      </c>
    </row>
    <row r="812" spans="1:14" x14ac:dyDescent="0.35">
      <c r="A812" t="s">
        <v>1190</v>
      </c>
      <c r="B812" t="s">
        <v>277</v>
      </c>
      <c r="C812" t="s">
        <v>24</v>
      </c>
      <c r="D812" t="s">
        <v>25</v>
      </c>
      <c r="E812" t="s">
        <v>48</v>
      </c>
      <c r="F812" t="s">
        <v>18</v>
      </c>
      <c r="G812" t="s">
        <v>45</v>
      </c>
      <c r="H812">
        <v>14</v>
      </c>
      <c r="I812">
        <v>216.46</v>
      </c>
      <c r="J812">
        <v>3030.44</v>
      </c>
      <c r="K812" t="s">
        <v>49</v>
      </c>
      <c r="L812" t="s">
        <v>77</v>
      </c>
      <c r="M812">
        <v>697.35</v>
      </c>
      <c r="N812" s="3">
        <f t="shared" si="12"/>
        <v>45748</v>
      </c>
    </row>
    <row r="813" spans="1:14" x14ac:dyDescent="0.35">
      <c r="A813" t="s">
        <v>1191</v>
      </c>
      <c r="B813" t="s">
        <v>416</v>
      </c>
      <c r="C813" t="s">
        <v>47</v>
      </c>
      <c r="D813" t="s">
        <v>25</v>
      </c>
      <c r="E813" t="s">
        <v>43</v>
      </c>
      <c r="F813" t="s">
        <v>27</v>
      </c>
      <c r="G813" t="s">
        <v>28</v>
      </c>
      <c r="H813">
        <v>6</v>
      </c>
      <c r="I813">
        <v>493.42</v>
      </c>
      <c r="J813">
        <v>2960.52</v>
      </c>
      <c r="K813" t="s">
        <v>82</v>
      </c>
      <c r="L813" t="s">
        <v>77</v>
      </c>
      <c r="M813">
        <v>774.24</v>
      </c>
      <c r="N813" s="3">
        <f t="shared" si="12"/>
        <v>45778</v>
      </c>
    </row>
    <row r="814" spans="1:14" x14ac:dyDescent="0.35">
      <c r="A814" t="s">
        <v>1192</v>
      </c>
      <c r="B814" t="s">
        <v>373</v>
      </c>
      <c r="C814" t="s">
        <v>32</v>
      </c>
      <c r="D814" t="s">
        <v>16</v>
      </c>
      <c r="E814" t="s">
        <v>48</v>
      </c>
      <c r="F814" t="s">
        <v>37</v>
      </c>
      <c r="G814" t="s">
        <v>105</v>
      </c>
      <c r="H814">
        <v>19</v>
      </c>
      <c r="I814">
        <v>866.75</v>
      </c>
      <c r="J814">
        <v>16468.25</v>
      </c>
      <c r="K814" t="s">
        <v>63</v>
      </c>
      <c r="L814" t="s">
        <v>50</v>
      </c>
      <c r="M814">
        <v>3460.67</v>
      </c>
      <c r="N814" s="3">
        <f t="shared" si="12"/>
        <v>45839</v>
      </c>
    </row>
    <row r="815" spans="1:14" x14ac:dyDescent="0.35">
      <c r="A815" t="s">
        <v>1193</v>
      </c>
      <c r="B815" t="s">
        <v>661</v>
      </c>
      <c r="C815" t="s">
        <v>32</v>
      </c>
      <c r="D815" t="s">
        <v>74</v>
      </c>
      <c r="E815" t="s">
        <v>43</v>
      </c>
      <c r="F815" t="s">
        <v>27</v>
      </c>
      <c r="G815" t="s">
        <v>19</v>
      </c>
      <c r="H815">
        <v>4</v>
      </c>
      <c r="I815">
        <v>522.61</v>
      </c>
      <c r="J815">
        <v>2090.44</v>
      </c>
      <c r="K815" t="s">
        <v>20</v>
      </c>
      <c r="L815" t="s">
        <v>77</v>
      </c>
      <c r="M815">
        <v>697.49</v>
      </c>
      <c r="N815" s="3">
        <f t="shared" si="12"/>
        <v>45689</v>
      </c>
    </row>
    <row r="816" spans="1:14" x14ac:dyDescent="0.35">
      <c r="A816" t="s">
        <v>1194</v>
      </c>
      <c r="B816" t="s">
        <v>291</v>
      </c>
      <c r="C816" t="s">
        <v>32</v>
      </c>
      <c r="D816" t="s">
        <v>33</v>
      </c>
      <c r="E816" t="s">
        <v>43</v>
      </c>
      <c r="F816" t="s">
        <v>37</v>
      </c>
      <c r="G816" t="s">
        <v>85</v>
      </c>
      <c r="H816">
        <v>8</v>
      </c>
      <c r="I816">
        <v>851.1</v>
      </c>
      <c r="J816">
        <v>6808.8</v>
      </c>
      <c r="K816" t="s">
        <v>82</v>
      </c>
      <c r="L816" t="s">
        <v>21</v>
      </c>
      <c r="M816">
        <v>1809.37</v>
      </c>
      <c r="N816" s="3">
        <f t="shared" si="12"/>
        <v>45931</v>
      </c>
    </row>
    <row r="817" spans="1:14" x14ac:dyDescent="0.35">
      <c r="A817" t="s">
        <v>1195</v>
      </c>
      <c r="B817" t="s">
        <v>403</v>
      </c>
      <c r="C817" t="s">
        <v>15</v>
      </c>
      <c r="D817" t="s">
        <v>53</v>
      </c>
      <c r="E817" t="s">
        <v>48</v>
      </c>
      <c r="F817" t="s">
        <v>27</v>
      </c>
      <c r="G817" t="s">
        <v>45</v>
      </c>
      <c r="H817">
        <v>17</v>
      </c>
      <c r="I817">
        <v>333.01</v>
      </c>
      <c r="J817">
        <v>5661.17</v>
      </c>
      <c r="K817" t="s">
        <v>20</v>
      </c>
      <c r="L817" t="s">
        <v>34</v>
      </c>
      <c r="M817">
        <v>915.98</v>
      </c>
      <c r="N817" s="3">
        <f t="shared" si="12"/>
        <v>45992</v>
      </c>
    </row>
    <row r="818" spans="1:14" x14ac:dyDescent="0.35">
      <c r="A818" t="s">
        <v>1196</v>
      </c>
      <c r="B818" t="s">
        <v>386</v>
      </c>
      <c r="C818" t="s">
        <v>32</v>
      </c>
      <c r="D818" t="s">
        <v>69</v>
      </c>
      <c r="E818" t="s">
        <v>48</v>
      </c>
      <c r="F818" t="s">
        <v>18</v>
      </c>
      <c r="G818" t="s">
        <v>45</v>
      </c>
      <c r="H818">
        <v>4</v>
      </c>
      <c r="I818">
        <v>422.91</v>
      </c>
      <c r="J818">
        <v>1691.64</v>
      </c>
      <c r="K818" t="s">
        <v>82</v>
      </c>
      <c r="L818" t="s">
        <v>77</v>
      </c>
      <c r="M818">
        <v>446.42</v>
      </c>
      <c r="N818" s="3">
        <f t="shared" si="12"/>
        <v>45778</v>
      </c>
    </row>
    <row r="819" spans="1:14" x14ac:dyDescent="0.35">
      <c r="A819" t="s">
        <v>1197</v>
      </c>
      <c r="B819" t="s">
        <v>934</v>
      </c>
      <c r="C819" t="s">
        <v>47</v>
      </c>
      <c r="D819" t="s">
        <v>69</v>
      </c>
      <c r="E819" t="s">
        <v>17</v>
      </c>
      <c r="F819" t="s">
        <v>44</v>
      </c>
      <c r="G819" t="s">
        <v>28</v>
      </c>
      <c r="H819">
        <v>2</v>
      </c>
      <c r="I819">
        <v>155.47</v>
      </c>
      <c r="J819">
        <v>310.94</v>
      </c>
      <c r="K819" t="s">
        <v>20</v>
      </c>
      <c r="L819" t="s">
        <v>34</v>
      </c>
      <c r="M819">
        <v>62.61</v>
      </c>
      <c r="N819" s="3">
        <f t="shared" si="12"/>
        <v>45931</v>
      </c>
    </row>
    <row r="820" spans="1:14" x14ac:dyDescent="0.35">
      <c r="A820" t="s">
        <v>1198</v>
      </c>
      <c r="B820" t="s">
        <v>337</v>
      </c>
      <c r="C820" t="s">
        <v>32</v>
      </c>
      <c r="D820" t="s">
        <v>42</v>
      </c>
      <c r="E820" t="s">
        <v>43</v>
      </c>
      <c r="F820" t="s">
        <v>27</v>
      </c>
      <c r="G820" t="s">
        <v>105</v>
      </c>
      <c r="H820">
        <v>10</v>
      </c>
      <c r="I820">
        <v>134.08000000000001</v>
      </c>
      <c r="J820">
        <v>1340.8</v>
      </c>
      <c r="K820" t="s">
        <v>29</v>
      </c>
      <c r="L820" t="s">
        <v>34</v>
      </c>
      <c r="M820">
        <v>460.67</v>
      </c>
      <c r="N820" s="3">
        <f t="shared" si="12"/>
        <v>45689</v>
      </c>
    </row>
    <row r="821" spans="1:14" x14ac:dyDescent="0.35">
      <c r="A821" t="s">
        <v>1199</v>
      </c>
      <c r="B821" t="s">
        <v>599</v>
      </c>
      <c r="C821" t="s">
        <v>24</v>
      </c>
      <c r="D821" t="s">
        <v>16</v>
      </c>
      <c r="E821" t="s">
        <v>43</v>
      </c>
      <c r="F821" t="s">
        <v>44</v>
      </c>
      <c r="G821" t="s">
        <v>28</v>
      </c>
      <c r="H821">
        <v>5</v>
      </c>
      <c r="I821">
        <v>999.73</v>
      </c>
      <c r="J821">
        <v>4998.6499999999996</v>
      </c>
      <c r="K821" t="s">
        <v>29</v>
      </c>
      <c r="L821" t="s">
        <v>34</v>
      </c>
      <c r="M821">
        <v>1214.04</v>
      </c>
      <c r="N821" s="3">
        <f t="shared" si="12"/>
        <v>45778</v>
      </c>
    </row>
    <row r="822" spans="1:14" x14ac:dyDescent="0.35">
      <c r="A822" t="s">
        <v>1200</v>
      </c>
      <c r="B822" t="s">
        <v>368</v>
      </c>
      <c r="C822" t="s">
        <v>32</v>
      </c>
      <c r="D822" t="s">
        <v>42</v>
      </c>
      <c r="E822" t="s">
        <v>43</v>
      </c>
      <c r="F822" t="s">
        <v>37</v>
      </c>
      <c r="G822" t="s">
        <v>96</v>
      </c>
      <c r="H822">
        <v>3</v>
      </c>
      <c r="I822">
        <v>71.94</v>
      </c>
      <c r="J822">
        <v>215.82</v>
      </c>
      <c r="K822" t="s">
        <v>82</v>
      </c>
      <c r="L822" t="s">
        <v>77</v>
      </c>
      <c r="M822">
        <v>68.5</v>
      </c>
      <c r="N822" s="3">
        <f t="shared" si="12"/>
        <v>45839</v>
      </c>
    </row>
    <row r="823" spans="1:14" x14ac:dyDescent="0.35">
      <c r="A823" t="s">
        <v>1201</v>
      </c>
      <c r="B823" t="s">
        <v>506</v>
      </c>
      <c r="C823" t="s">
        <v>47</v>
      </c>
      <c r="D823" t="s">
        <v>69</v>
      </c>
      <c r="E823" t="s">
        <v>26</v>
      </c>
      <c r="F823" t="s">
        <v>44</v>
      </c>
      <c r="G823" t="s">
        <v>85</v>
      </c>
      <c r="H823">
        <v>3</v>
      </c>
      <c r="I823">
        <v>681.68</v>
      </c>
      <c r="J823">
        <v>2045.04</v>
      </c>
      <c r="K823" t="s">
        <v>20</v>
      </c>
      <c r="L823" t="s">
        <v>21</v>
      </c>
      <c r="M823">
        <v>345.65</v>
      </c>
      <c r="N823" s="3">
        <f t="shared" si="12"/>
        <v>45901</v>
      </c>
    </row>
    <row r="824" spans="1:14" x14ac:dyDescent="0.35">
      <c r="A824" t="s">
        <v>1202</v>
      </c>
      <c r="B824" t="s">
        <v>890</v>
      </c>
      <c r="C824" t="s">
        <v>24</v>
      </c>
      <c r="D824" t="s">
        <v>74</v>
      </c>
      <c r="E824" t="s">
        <v>43</v>
      </c>
      <c r="F824" t="s">
        <v>18</v>
      </c>
      <c r="G824" t="s">
        <v>28</v>
      </c>
      <c r="H824">
        <v>8</v>
      </c>
      <c r="I824">
        <v>374.74</v>
      </c>
      <c r="J824">
        <v>2997.92</v>
      </c>
      <c r="K824" t="s">
        <v>63</v>
      </c>
      <c r="L824" t="s">
        <v>50</v>
      </c>
      <c r="M824">
        <v>485.18</v>
      </c>
      <c r="N824" s="3">
        <f t="shared" si="12"/>
        <v>45778</v>
      </c>
    </row>
    <row r="825" spans="1:14" x14ac:dyDescent="0.35">
      <c r="A825" t="s">
        <v>1203</v>
      </c>
      <c r="B825" t="s">
        <v>186</v>
      </c>
      <c r="C825" t="s">
        <v>32</v>
      </c>
      <c r="D825" t="s">
        <v>53</v>
      </c>
      <c r="E825" t="s">
        <v>26</v>
      </c>
      <c r="F825" t="s">
        <v>37</v>
      </c>
      <c r="G825" t="s">
        <v>85</v>
      </c>
      <c r="H825">
        <v>6</v>
      </c>
      <c r="I825">
        <v>624.36</v>
      </c>
      <c r="J825">
        <v>3746.16</v>
      </c>
      <c r="K825" t="s">
        <v>20</v>
      </c>
      <c r="L825" t="s">
        <v>21</v>
      </c>
      <c r="M825">
        <v>1148.01</v>
      </c>
      <c r="N825" s="3">
        <f t="shared" si="12"/>
        <v>45839</v>
      </c>
    </row>
    <row r="826" spans="1:14" x14ac:dyDescent="0.35">
      <c r="A826" t="s">
        <v>1204</v>
      </c>
      <c r="B826" t="s">
        <v>940</v>
      </c>
      <c r="C826" t="s">
        <v>15</v>
      </c>
      <c r="D826" t="s">
        <v>33</v>
      </c>
      <c r="E826" t="s">
        <v>43</v>
      </c>
      <c r="F826" t="s">
        <v>37</v>
      </c>
      <c r="G826" t="s">
        <v>105</v>
      </c>
      <c r="H826">
        <v>17</v>
      </c>
      <c r="I826">
        <v>454.82</v>
      </c>
      <c r="J826">
        <v>7731.94</v>
      </c>
      <c r="K826" t="s">
        <v>29</v>
      </c>
      <c r="L826" t="s">
        <v>34</v>
      </c>
      <c r="M826">
        <v>1067.6500000000001</v>
      </c>
      <c r="N826" s="3">
        <f t="shared" si="12"/>
        <v>45870</v>
      </c>
    </row>
    <row r="827" spans="1:14" x14ac:dyDescent="0.35">
      <c r="A827" t="s">
        <v>1205</v>
      </c>
      <c r="B827" t="s">
        <v>154</v>
      </c>
      <c r="C827" t="s">
        <v>47</v>
      </c>
      <c r="D827" t="s">
        <v>25</v>
      </c>
      <c r="E827" t="s">
        <v>43</v>
      </c>
      <c r="F827" t="s">
        <v>27</v>
      </c>
      <c r="G827" t="s">
        <v>56</v>
      </c>
      <c r="H827">
        <v>10</v>
      </c>
      <c r="I827">
        <v>51.56</v>
      </c>
      <c r="J827">
        <v>515.6</v>
      </c>
      <c r="K827" t="s">
        <v>20</v>
      </c>
      <c r="L827" t="s">
        <v>77</v>
      </c>
      <c r="M827">
        <v>148.57</v>
      </c>
      <c r="N827" s="3">
        <f t="shared" si="12"/>
        <v>45717</v>
      </c>
    </row>
    <row r="828" spans="1:14" x14ac:dyDescent="0.35">
      <c r="A828" t="s">
        <v>1206</v>
      </c>
      <c r="B828" t="s">
        <v>1089</v>
      </c>
      <c r="C828" t="s">
        <v>32</v>
      </c>
      <c r="D828" t="s">
        <v>116</v>
      </c>
      <c r="E828" t="s">
        <v>26</v>
      </c>
      <c r="F828" t="s">
        <v>37</v>
      </c>
      <c r="G828" t="s">
        <v>38</v>
      </c>
      <c r="H828">
        <v>12</v>
      </c>
      <c r="I828">
        <v>555.88</v>
      </c>
      <c r="J828">
        <v>6670.56</v>
      </c>
      <c r="K828" t="s">
        <v>66</v>
      </c>
      <c r="L828" t="s">
        <v>39</v>
      </c>
      <c r="M828">
        <v>1536.3</v>
      </c>
      <c r="N828" s="3">
        <f t="shared" si="12"/>
        <v>45778</v>
      </c>
    </row>
    <row r="829" spans="1:14" x14ac:dyDescent="0.35">
      <c r="A829" t="s">
        <v>1207</v>
      </c>
      <c r="B829" t="s">
        <v>1031</v>
      </c>
      <c r="C829" t="s">
        <v>47</v>
      </c>
      <c r="D829" t="s">
        <v>25</v>
      </c>
      <c r="E829" t="s">
        <v>26</v>
      </c>
      <c r="F829" t="s">
        <v>27</v>
      </c>
      <c r="G829" t="s">
        <v>45</v>
      </c>
      <c r="H829">
        <v>13</v>
      </c>
      <c r="I829">
        <v>589.27</v>
      </c>
      <c r="J829">
        <v>7660.51</v>
      </c>
      <c r="K829" t="s">
        <v>82</v>
      </c>
      <c r="L829" t="s">
        <v>50</v>
      </c>
      <c r="M829">
        <v>2345.7800000000002</v>
      </c>
      <c r="N829" s="3">
        <f t="shared" si="12"/>
        <v>45901</v>
      </c>
    </row>
    <row r="830" spans="1:14" x14ac:dyDescent="0.35">
      <c r="A830" t="s">
        <v>1208</v>
      </c>
      <c r="B830" t="s">
        <v>489</v>
      </c>
      <c r="C830" t="s">
        <v>15</v>
      </c>
      <c r="D830" t="s">
        <v>42</v>
      </c>
      <c r="E830" t="s">
        <v>26</v>
      </c>
      <c r="F830" t="s">
        <v>44</v>
      </c>
      <c r="G830" t="s">
        <v>56</v>
      </c>
      <c r="H830">
        <v>3</v>
      </c>
      <c r="I830">
        <v>436.48</v>
      </c>
      <c r="J830">
        <v>1309.44</v>
      </c>
      <c r="K830" t="s">
        <v>20</v>
      </c>
      <c r="L830" t="s">
        <v>39</v>
      </c>
      <c r="M830">
        <v>238.69</v>
      </c>
      <c r="N830" s="3">
        <f t="shared" si="12"/>
        <v>45658</v>
      </c>
    </row>
    <row r="831" spans="1:14" x14ac:dyDescent="0.35">
      <c r="A831" t="s">
        <v>1209</v>
      </c>
      <c r="B831" t="s">
        <v>771</v>
      </c>
      <c r="C831" t="s">
        <v>32</v>
      </c>
      <c r="D831" t="s">
        <v>74</v>
      </c>
      <c r="E831" t="s">
        <v>43</v>
      </c>
      <c r="F831" t="s">
        <v>44</v>
      </c>
      <c r="G831" t="s">
        <v>85</v>
      </c>
      <c r="H831">
        <v>18</v>
      </c>
      <c r="I831">
        <v>127.14</v>
      </c>
      <c r="J831">
        <v>2288.52</v>
      </c>
      <c r="K831" t="s">
        <v>63</v>
      </c>
      <c r="L831" t="s">
        <v>77</v>
      </c>
      <c r="M831">
        <v>563.46</v>
      </c>
      <c r="N831" s="3">
        <f t="shared" si="12"/>
        <v>45689</v>
      </c>
    </row>
    <row r="832" spans="1:14" x14ac:dyDescent="0.35">
      <c r="A832" t="s">
        <v>1210</v>
      </c>
      <c r="B832" t="s">
        <v>738</v>
      </c>
      <c r="C832" t="s">
        <v>47</v>
      </c>
      <c r="D832" t="s">
        <v>16</v>
      </c>
      <c r="E832" t="s">
        <v>43</v>
      </c>
      <c r="F832" t="s">
        <v>44</v>
      </c>
      <c r="G832" t="s">
        <v>85</v>
      </c>
      <c r="H832">
        <v>17</v>
      </c>
      <c r="I832">
        <v>127.41</v>
      </c>
      <c r="J832">
        <v>2165.9699999999998</v>
      </c>
      <c r="K832" t="s">
        <v>20</v>
      </c>
      <c r="L832" t="s">
        <v>34</v>
      </c>
      <c r="M832">
        <v>249.5</v>
      </c>
      <c r="N832" s="3">
        <f t="shared" si="12"/>
        <v>45717</v>
      </c>
    </row>
    <row r="833" spans="1:14" x14ac:dyDescent="0.35">
      <c r="A833" t="s">
        <v>1211</v>
      </c>
      <c r="B833" t="s">
        <v>1212</v>
      </c>
      <c r="C833" t="s">
        <v>15</v>
      </c>
      <c r="D833" t="s">
        <v>16</v>
      </c>
      <c r="E833" t="s">
        <v>26</v>
      </c>
      <c r="F833" t="s">
        <v>44</v>
      </c>
      <c r="G833" t="s">
        <v>38</v>
      </c>
      <c r="H833">
        <v>1</v>
      </c>
      <c r="I833">
        <v>124</v>
      </c>
      <c r="J833">
        <v>124</v>
      </c>
      <c r="K833" t="s">
        <v>29</v>
      </c>
      <c r="L833" t="s">
        <v>77</v>
      </c>
      <c r="M833">
        <v>25.75</v>
      </c>
      <c r="N833" s="3">
        <f t="shared" si="12"/>
        <v>45901</v>
      </c>
    </row>
    <row r="834" spans="1:14" x14ac:dyDescent="0.35">
      <c r="A834" t="s">
        <v>1213</v>
      </c>
      <c r="B834" t="s">
        <v>641</v>
      </c>
      <c r="C834" t="s">
        <v>47</v>
      </c>
      <c r="D834" t="s">
        <v>74</v>
      </c>
      <c r="E834" t="s">
        <v>43</v>
      </c>
      <c r="F834" t="s">
        <v>27</v>
      </c>
      <c r="G834" t="s">
        <v>38</v>
      </c>
      <c r="H834">
        <v>8</v>
      </c>
      <c r="I834">
        <v>639.59</v>
      </c>
      <c r="J834">
        <v>5116.72</v>
      </c>
      <c r="K834" t="s">
        <v>49</v>
      </c>
      <c r="L834" t="s">
        <v>34</v>
      </c>
      <c r="M834">
        <v>967.99</v>
      </c>
      <c r="N834" s="3">
        <f t="shared" si="12"/>
        <v>45839</v>
      </c>
    </row>
    <row r="835" spans="1:14" x14ac:dyDescent="0.35">
      <c r="A835" t="s">
        <v>1214</v>
      </c>
      <c r="B835" t="s">
        <v>162</v>
      </c>
      <c r="C835" t="s">
        <v>24</v>
      </c>
      <c r="D835" t="s">
        <v>74</v>
      </c>
      <c r="E835" t="s">
        <v>48</v>
      </c>
      <c r="F835" t="s">
        <v>18</v>
      </c>
      <c r="G835" t="s">
        <v>45</v>
      </c>
      <c r="H835">
        <v>14</v>
      </c>
      <c r="I835">
        <v>555.08000000000004</v>
      </c>
      <c r="J835">
        <v>7771.12</v>
      </c>
      <c r="K835" t="s">
        <v>49</v>
      </c>
      <c r="L835" t="s">
        <v>21</v>
      </c>
      <c r="M835">
        <v>1653.86</v>
      </c>
      <c r="N835" s="3">
        <f t="shared" ref="N835:N898" si="13">DATE(YEAR(B835),MONTH(B835),1)</f>
        <v>45992</v>
      </c>
    </row>
    <row r="836" spans="1:14" x14ac:dyDescent="0.35">
      <c r="A836" t="s">
        <v>1215</v>
      </c>
      <c r="B836" t="s">
        <v>552</v>
      </c>
      <c r="C836" t="s">
        <v>32</v>
      </c>
      <c r="D836" t="s">
        <v>25</v>
      </c>
      <c r="E836" t="s">
        <v>48</v>
      </c>
      <c r="F836" t="s">
        <v>27</v>
      </c>
      <c r="G836" t="s">
        <v>105</v>
      </c>
      <c r="H836">
        <v>4</v>
      </c>
      <c r="I836">
        <v>827.92</v>
      </c>
      <c r="J836">
        <v>3311.68</v>
      </c>
      <c r="K836" t="s">
        <v>82</v>
      </c>
      <c r="L836" t="s">
        <v>21</v>
      </c>
      <c r="M836">
        <v>681.28</v>
      </c>
      <c r="N836" s="3">
        <f t="shared" si="13"/>
        <v>45748</v>
      </c>
    </row>
    <row r="837" spans="1:14" x14ac:dyDescent="0.35">
      <c r="A837" t="s">
        <v>1216</v>
      </c>
      <c r="B837" t="s">
        <v>174</v>
      </c>
      <c r="C837" t="s">
        <v>47</v>
      </c>
      <c r="D837" t="s">
        <v>69</v>
      </c>
      <c r="E837" t="s">
        <v>48</v>
      </c>
      <c r="F837" t="s">
        <v>27</v>
      </c>
      <c r="G837" t="s">
        <v>56</v>
      </c>
      <c r="H837">
        <v>20</v>
      </c>
      <c r="I837">
        <v>44.79</v>
      </c>
      <c r="J837">
        <v>895.8</v>
      </c>
      <c r="K837" t="s">
        <v>29</v>
      </c>
      <c r="L837" t="s">
        <v>21</v>
      </c>
      <c r="M837">
        <v>160.31</v>
      </c>
      <c r="N837" s="3">
        <f t="shared" si="13"/>
        <v>45992</v>
      </c>
    </row>
    <row r="838" spans="1:14" x14ac:dyDescent="0.35">
      <c r="A838" t="s">
        <v>1217</v>
      </c>
      <c r="B838" t="s">
        <v>111</v>
      </c>
      <c r="C838" t="s">
        <v>15</v>
      </c>
      <c r="D838" t="s">
        <v>69</v>
      </c>
      <c r="E838" t="s">
        <v>17</v>
      </c>
      <c r="F838" t="s">
        <v>27</v>
      </c>
      <c r="G838" t="s">
        <v>85</v>
      </c>
      <c r="H838">
        <v>8</v>
      </c>
      <c r="I838">
        <v>813.86</v>
      </c>
      <c r="J838">
        <v>6510.88</v>
      </c>
      <c r="K838" t="s">
        <v>29</v>
      </c>
      <c r="L838" t="s">
        <v>21</v>
      </c>
      <c r="M838">
        <v>1692.07</v>
      </c>
      <c r="N838" s="3">
        <f t="shared" si="13"/>
        <v>45901</v>
      </c>
    </row>
    <row r="839" spans="1:14" x14ac:dyDescent="0.35">
      <c r="A839" t="s">
        <v>1218</v>
      </c>
      <c r="B839" t="s">
        <v>242</v>
      </c>
      <c r="C839" t="s">
        <v>15</v>
      </c>
      <c r="D839" t="s">
        <v>33</v>
      </c>
      <c r="E839" t="s">
        <v>26</v>
      </c>
      <c r="F839" t="s">
        <v>27</v>
      </c>
      <c r="G839" t="s">
        <v>28</v>
      </c>
      <c r="H839">
        <v>3</v>
      </c>
      <c r="I839">
        <v>336.47</v>
      </c>
      <c r="J839">
        <v>1009.41</v>
      </c>
      <c r="K839" t="s">
        <v>63</v>
      </c>
      <c r="L839" t="s">
        <v>34</v>
      </c>
      <c r="M839">
        <v>336.46</v>
      </c>
      <c r="N839" s="3">
        <f t="shared" si="13"/>
        <v>45839</v>
      </c>
    </row>
    <row r="840" spans="1:14" x14ac:dyDescent="0.35">
      <c r="A840" t="s">
        <v>1219</v>
      </c>
      <c r="B840" t="s">
        <v>14</v>
      </c>
      <c r="C840" t="s">
        <v>47</v>
      </c>
      <c r="D840" t="s">
        <v>25</v>
      </c>
      <c r="E840" t="s">
        <v>26</v>
      </c>
      <c r="F840" t="s">
        <v>18</v>
      </c>
      <c r="G840" t="s">
        <v>45</v>
      </c>
      <c r="H840">
        <v>20</v>
      </c>
      <c r="I840">
        <v>588.52</v>
      </c>
      <c r="J840">
        <v>11770.4</v>
      </c>
      <c r="K840" t="s">
        <v>66</v>
      </c>
      <c r="L840" t="s">
        <v>50</v>
      </c>
      <c r="M840">
        <v>1973.67</v>
      </c>
      <c r="N840" s="3">
        <f t="shared" si="13"/>
        <v>45689</v>
      </c>
    </row>
    <row r="841" spans="1:14" x14ac:dyDescent="0.35">
      <c r="A841" t="s">
        <v>1220</v>
      </c>
      <c r="B841" t="s">
        <v>272</v>
      </c>
      <c r="C841" t="s">
        <v>24</v>
      </c>
      <c r="D841" t="s">
        <v>116</v>
      </c>
      <c r="E841" t="s">
        <v>43</v>
      </c>
      <c r="F841" t="s">
        <v>44</v>
      </c>
      <c r="G841" t="s">
        <v>28</v>
      </c>
      <c r="H841">
        <v>4</v>
      </c>
      <c r="I841">
        <v>473.01</v>
      </c>
      <c r="J841">
        <v>1892.04</v>
      </c>
      <c r="K841" t="s">
        <v>82</v>
      </c>
      <c r="L841" t="s">
        <v>34</v>
      </c>
      <c r="M841">
        <v>228.3</v>
      </c>
      <c r="N841" s="3">
        <f t="shared" si="13"/>
        <v>45931</v>
      </c>
    </row>
    <row r="842" spans="1:14" x14ac:dyDescent="0.35">
      <c r="A842" t="s">
        <v>1221</v>
      </c>
      <c r="B842" t="s">
        <v>578</v>
      </c>
      <c r="C842" t="s">
        <v>47</v>
      </c>
      <c r="D842" t="s">
        <v>116</v>
      </c>
      <c r="E842" t="s">
        <v>43</v>
      </c>
      <c r="F842" t="s">
        <v>18</v>
      </c>
      <c r="G842" t="s">
        <v>45</v>
      </c>
      <c r="H842">
        <v>16</v>
      </c>
      <c r="I842">
        <v>463.58</v>
      </c>
      <c r="J842">
        <v>7417.28</v>
      </c>
      <c r="K842" t="s">
        <v>82</v>
      </c>
      <c r="L842" t="s">
        <v>21</v>
      </c>
      <c r="M842">
        <v>1687.04</v>
      </c>
      <c r="N842" s="3">
        <f t="shared" si="13"/>
        <v>45717</v>
      </c>
    </row>
    <row r="843" spans="1:14" x14ac:dyDescent="0.35">
      <c r="A843" t="s">
        <v>1222</v>
      </c>
      <c r="B843" t="s">
        <v>308</v>
      </c>
      <c r="C843" t="s">
        <v>32</v>
      </c>
      <c r="D843" t="s">
        <v>33</v>
      </c>
      <c r="E843" t="s">
        <v>43</v>
      </c>
      <c r="F843" t="s">
        <v>37</v>
      </c>
      <c r="G843" t="s">
        <v>96</v>
      </c>
      <c r="H843">
        <v>20</v>
      </c>
      <c r="I843">
        <v>423.31</v>
      </c>
      <c r="J843">
        <v>8466.2000000000007</v>
      </c>
      <c r="K843" t="s">
        <v>63</v>
      </c>
      <c r="L843" t="s">
        <v>77</v>
      </c>
      <c r="M843">
        <v>2515.27</v>
      </c>
      <c r="N843" s="3">
        <f t="shared" si="13"/>
        <v>45901</v>
      </c>
    </row>
    <row r="844" spans="1:14" x14ac:dyDescent="0.35">
      <c r="A844" t="s">
        <v>1223</v>
      </c>
      <c r="B844" t="s">
        <v>587</v>
      </c>
      <c r="C844" t="s">
        <v>47</v>
      </c>
      <c r="D844" t="s">
        <v>116</v>
      </c>
      <c r="E844" t="s">
        <v>26</v>
      </c>
      <c r="F844" t="s">
        <v>27</v>
      </c>
      <c r="G844" t="s">
        <v>85</v>
      </c>
      <c r="H844">
        <v>10</v>
      </c>
      <c r="I844">
        <v>945.9</v>
      </c>
      <c r="J844">
        <v>9459</v>
      </c>
      <c r="K844" t="s">
        <v>66</v>
      </c>
      <c r="L844" t="s">
        <v>50</v>
      </c>
      <c r="M844">
        <v>2000.44</v>
      </c>
      <c r="N844" s="3">
        <f t="shared" si="13"/>
        <v>45717</v>
      </c>
    </row>
    <row r="845" spans="1:14" x14ac:dyDescent="0.35">
      <c r="A845" t="s">
        <v>1224</v>
      </c>
      <c r="B845" t="s">
        <v>1225</v>
      </c>
      <c r="C845" t="s">
        <v>47</v>
      </c>
      <c r="D845" t="s">
        <v>69</v>
      </c>
      <c r="E845" t="s">
        <v>17</v>
      </c>
      <c r="F845" t="s">
        <v>18</v>
      </c>
      <c r="G845" t="s">
        <v>38</v>
      </c>
      <c r="H845">
        <v>4</v>
      </c>
      <c r="I845">
        <v>521.4</v>
      </c>
      <c r="J845">
        <v>2085.6</v>
      </c>
      <c r="K845" t="s">
        <v>66</v>
      </c>
      <c r="L845" t="s">
        <v>50</v>
      </c>
      <c r="M845">
        <v>527.33000000000004</v>
      </c>
      <c r="N845" s="3">
        <f t="shared" si="13"/>
        <v>45748</v>
      </c>
    </row>
    <row r="846" spans="1:14" x14ac:dyDescent="0.35">
      <c r="A846" t="s">
        <v>1226</v>
      </c>
      <c r="B846" t="s">
        <v>62</v>
      </c>
      <c r="C846" t="s">
        <v>47</v>
      </c>
      <c r="D846" t="s">
        <v>69</v>
      </c>
      <c r="E846" t="s">
        <v>43</v>
      </c>
      <c r="F846" t="s">
        <v>37</v>
      </c>
      <c r="G846" t="s">
        <v>105</v>
      </c>
      <c r="H846">
        <v>6</v>
      </c>
      <c r="I846">
        <v>928.01</v>
      </c>
      <c r="J846">
        <v>5568.06</v>
      </c>
      <c r="K846" t="s">
        <v>66</v>
      </c>
      <c r="L846" t="s">
        <v>34</v>
      </c>
      <c r="M846">
        <v>1835.11</v>
      </c>
      <c r="N846" s="3">
        <f t="shared" si="13"/>
        <v>45748</v>
      </c>
    </row>
    <row r="847" spans="1:14" x14ac:dyDescent="0.35">
      <c r="A847" t="s">
        <v>1227</v>
      </c>
      <c r="B847" t="s">
        <v>1228</v>
      </c>
      <c r="C847" t="s">
        <v>32</v>
      </c>
      <c r="D847" t="s">
        <v>25</v>
      </c>
      <c r="E847" t="s">
        <v>17</v>
      </c>
      <c r="F847" t="s">
        <v>18</v>
      </c>
      <c r="G847" t="s">
        <v>105</v>
      </c>
      <c r="H847">
        <v>18</v>
      </c>
      <c r="I847">
        <v>979.54</v>
      </c>
      <c r="J847">
        <v>17631.72</v>
      </c>
      <c r="K847" t="s">
        <v>49</v>
      </c>
      <c r="L847" t="s">
        <v>77</v>
      </c>
      <c r="M847">
        <v>4820.1499999999996</v>
      </c>
      <c r="N847" s="3">
        <f t="shared" si="13"/>
        <v>45870</v>
      </c>
    </row>
    <row r="848" spans="1:14" x14ac:dyDescent="0.35">
      <c r="A848" t="s">
        <v>1229</v>
      </c>
      <c r="B848" t="s">
        <v>597</v>
      </c>
      <c r="C848" t="s">
        <v>32</v>
      </c>
      <c r="D848" t="s">
        <v>25</v>
      </c>
      <c r="E848" t="s">
        <v>43</v>
      </c>
      <c r="F848" t="s">
        <v>18</v>
      </c>
      <c r="G848" t="s">
        <v>56</v>
      </c>
      <c r="H848">
        <v>6</v>
      </c>
      <c r="I848">
        <v>865.61</v>
      </c>
      <c r="J848">
        <v>5193.66</v>
      </c>
      <c r="K848" t="s">
        <v>82</v>
      </c>
      <c r="L848" t="s">
        <v>34</v>
      </c>
      <c r="M848">
        <v>1268.1300000000001</v>
      </c>
      <c r="N848" s="3">
        <f t="shared" si="13"/>
        <v>45931</v>
      </c>
    </row>
    <row r="849" spans="1:14" x14ac:dyDescent="0.35">
      <c r="A849" t="s">
        <v>1230</v>
      </c>
      <c r="B849" t="s">
        <v>231</v>
      </c>
      <c r="C849" t="s">
        <v>15</v>
      </c>
      <c r="D849" t="s">
        <v>16</v>
      </c>
      <c r="E849" t="s">
        <v>17</v>
      </c>
      <c r="F849" t="s">
        <v>44</v>
      </c>
      <c r="G849" t="s">
        <v>105</v>
      </c>
      <c r="H849">
        <v>1</v>
      </c>
      <c r="I849">
        <v>571.29</v>
      </c>
      <c r="J849">
        <v>571.29</v>
      </c>
      <c r="K849" t="s">
        <v>20</v>
      </c>
      <c r="L849" t="s">
        <v>77</v>
      </c>
      <c r="M849">
        <v>98.42</v>
      </c>
      <c r="N849" s="3">
        <f t="shared" si="13"/>
        <v>45809</v>
      </c>
    </row>
    <row r="850" spans="1:14" x14ac:dyDescent="0.35">
      <c r="A850" t="s">
        <v>1231</v>
      </c>
      <c r="B850" t="s">
        <v>664</v>
      </c>
      <c r="C850" t="s">
        <v>47</v>
      </c>
      <c r="D850" t="s">
        <v>53</v>
      </c>
      <c r="E850" t="s">
        <v>43</v>
      </c>
      <c r="F850" t="s">
        <v>44</v>
      </c>
      <c r="G850" t="s">
        <v>96</v>
      </c>
      <c r="H850">
        <v>13</v>
      </c>
      <c r="I850">
        <v>292.92</v>
      </c>
      <c r="J850">
        <v>3807.96</v>
      </c>
      <c r="K850" t="s">
        <v>66</v>
      </c>
      <c r="L850" t="s">
        <v>39</v>
      </c>
      <c r="M850">
        <v>438.32</v>
      </c>
      <c r="N850" s="3">
        <f t="shared" si="13"/>
        <v>45901</v>
      </c>
    </row>
    <row r="851" spans="1:14" x14ac:dyDescent="0.35">
      <c r="A851" t="s">
        <v>1232</v>
      </c>
      <c r="B851" t="s">
        <v>287</v>
      </c>
      <c r="C851" t="s">
        <v>32</v>
      </c>
      <c r="D851" t="s">
        <v>69</v>
      </c>
      <c r="E851" t="s">
        <v>43</v>
      </c>
      <c r="F851" t="s">
        <v>44</v>
      </c>
      <c r="G851" t="s">
        <v>28</v>
      </c>
      <c r="H851">
        <v>9</v>
      </c>
      <c r="I851">
        <v>611.83000000000004</v>
      </c>
      <c r="J851">
        <v>5506.47</v>
      </c>
      <c r="K851" t="s">
        <v>66</v>
      </c>
      <c r="L851" t="s">
        <v>77</v>
      </c>
      <c r="M851">
        <v>1116.05</v>
      </c>
      <c r="N851" s="3">
        <f t="shared" si="13"/>
        <v>45809</v>
      </c>
    </row>
    <row r="852" spans="1:14" x14ac:dyDescent="0.35">
      <c r="A852" t="s">
        <v>1233</v>
      </c>
      <c r="B852" t="s">
        <v>890</v>
      </c>
      <c r="C852" t="s">
        <v>15</v>
      </c>
      <c r="D852" t="s">
        <v>42</v>
      </c>
      <c r="E852" t="s">
        <v>43</v>
      </c>
      <c r="F852" t="s">
        <v>18</v>
      </c>
      <c r="G852" t="s">
        <v>45</v>
      </c>
      <c r="H852">
        <v>5</v>
      </c>
      <c r="I852">
        <v>254.44</v>
      </c>
      <c r="J852">
        <v>1272.2</v>
      </c>
      <c r="K852" t="s">
        <v>63</v>
      </c>
      <c r="L852" t="s">
        <v>77</v>
      </c>
      <c r="M852">
        <v>129.4</v>
      </c>
      <c r="N852" s="3">
        <f t="shared" si="13"/>
        <v>45778</v>
      </c>
    </row>
    <row r="853" spans="1:14" x14ac:dyDescent="0.35">
      <c r="A853" t="s">
        <v>1234</v>
      </c>
      <c r="B853" t="s">
        <v>71</v>
      </c>
      <c r="C853" t="s">
        <v>47</v>
      </c>
      <c r="D853" t="s">
        <v>25</v>
      </c>
      <c r="E853" t="s">
        <v>26</v>
      </c>
      <c r="F853" t="s">
        <v>18</v>
      </c>
      <c r="G853" t="s">
        <v>38</v>
      </c>
      <c r="H853">
        <v>11</v>
      </c>
      <c r="I853">
        <v>792.28</v>
      </c>
      <c r="J853">
        <v>8715.08</v>
      </c>
      <c r="K853" t="s">
        <v>66</v>
      </c>
      <c r="L853" t="s">
        <v>77</v>
      </c>
      <c r="M853">
        <v>1752.31</v>
      </c>
      <c r="N853" s="3">
        <f t="shared" si="13"/>
        <v>45901</v>
      </c>
    </row>
    <row r="854" spans="1:14" x14ac:dyDescent="0.35">
      <c r="A854" t="s">
        <v>1235</v>
      </c>
      <c r="B854" t="s">
        <v>100</v>
      </c>
      <c r="C854" t="s">
        <v>47</v>
      </c>
      <c r="D854" t="s">
        <v>33</v>
      </c>
      <c r="E854" t="s">
        <v>48</v>
      </c>
      <c r="F854" t="s">
        <v>44</v>
      </c>
      <c r="G854" t="s">
        <v>105</v>
      </c>
      <c r="H854">
        <v>5</v>
      </c>
      <c r="I854">
        <v>873.72</v>
      </c>
      <c r="J854">
        <v>4368.6000000000004</v>
      </c>
      <c r="K854" t="s">
        <v>63</v>
      </c>
      <c r="L854" t="s">
        <v>34</v>
      </c>
      <c r="M854">
        <v>628.91</v>
      </c>
      <c r="N854" s="3">
        <f t="shared" si="13"/>
        <v>45962</v>
      </c>
    </row>
    <row r="855" spans="1:14" x14ac:dyDescent="0.35">
      <c r="A855" t="s">
        <v>1236</v>
      </c>
      <c r="B855" t="s">
        <v>797</v>
      </c>
      <c r="C855" t="s">
        <v>47</v>
      </c>
      <c r="D855" t="s">
        <v>116</v>
      </c>
      <c r="E855" t="s">
        <v>43</v>
      </c>
      <c r="F855" t="s">
        <v>18</v>
      </c>
      <c r="G855" t="s">
        <v>45</v>
      </c>
      <c r="H855">
        <v>14</v>
      </c>
      <c r="I855">
        <v>907.71</v>
      </c>
      <c r="J855">
        <v>12707.94</v>
      </c>
      <c r="K855" t="s">
        <v>49</v>
      </c>
      <c r="L855" t="s">
        <v>50</v>
      </c>
      <c r="M855">
        <v>3708.01</v>
      </c>
      <c r="N855" s="3">
        <f t="shared" si="13"/>
        <v>45778</v>
      </c>
    </row>
    <row r="856" spans="1:14" x14ac:dyDescent="0.35">
      <c r="A856" t="s">
        <v>1237</v>
      </c>
      <c r="B856" t="s">
        <v>471</v>
      </c>
      <c r="C856" t="s">
        <v>24</v>
      </c>
      <c r="D856" t="s">
        <v>116</v>
      </c>
      <c r="E856" t="s">
        <v>26</v>
      </c>
      <c r="F856" t="s">
        <v>37</v>
      </c>
      <c r="G856" t="s">
        <v>19</v>
      </c>
      <c r="H856">
        <v>15</v>
      </c>
      <c r="I856">
        <v>372.32</v>
      </c>
      <c r="J856">
        <v>5584.8</v>
      </c>
      <c r="K856" t="s">
        <v>66</v>
      </c>
      <c r="L856" t="s">
        <v>34</v>
      </c>
      <c r="M856">
        <v>1323.93</v>
      </c>
      <c r="N856" s="3">
        <f t="shared" si="13"/>
        <v>45962</v>
      </c>
    </row>
    <row r="857" spans="1:14" x14ac:dyDescent="0.35">
      <c r="A857" t="s">
        <v>1238</v>
      </c>
      <c r="B857" t="s">
        <v>55</v>
      </c>
      <c r="C857" t="s">
        <v>15</v>
      </c>
      <c r="D857" t="s">
        <v>33</v>
      </c>
      <c r="E857" t="s">
        <v>43</v>
      </c>
      <c r="F857" t="s">
        <v>37</v>
      </c>
      <c r="G857" t="s">
        <v>19</v>
      </c>
      <c r="H857">
        <v>7</v>
      </c>
      <c r="I857">
        <v>721.61</v>
      </c>
      <c r="J857">
        <v>5051.2700000000004</v>
      </c>
      <c r="K857" t="s">
        <v>82</v>
      </c>
      <c r="L857" t="s">
        <v>21</v>
      </c>
      <c r="M857">
        <v>1558.51</v>
      </c>
      <c r="N857" s="3">
        <f t="shared" si="13"/>
        <v>45870</v>
      </c>
    </row>
    <row r="858" spans="1:14" x14ac:dyDescent="0.35">
      <c r="A858" t="s">
        <v>1239</v>
      </c>
      <c r="B858" t="s">
        <v>152</v>
      </c>
      <c r="C858" t="s">
        <v>32</v>
      </c>
      <c r="D858" t="s">
        <v>69</v>
      </c>
      <c r="E858" t="s">
        <v>43</v>
      </c>
      <c r="F858" t="s">
        <v>37</v>
      </c>
      <c r="G858" t="s">
        <v>45</v>
      </c>
      <c r="H858">
        <v>6</v>
      </c>
      <c r="I858">
        <v>830.88</v>
      </c>
      <c r="J858">
        <v>4985.28</v>
      </c>
      <c r="K858" t="s">
        <v>82</v>
      </c>
      <c r="L858" t="s">
        <v>39</v>
      </c>
      <c r="M858">
        <v>699.74</v>
      </c>
      <c r="N858" s="3">
        <f t="shared" si="13"/>
        <v>45992</v>
      </c>
    </row>
    <row r="859" spans="1:14" x14ac:dyDescent="0.35">
      <c r="A859" t="s">
        <v>1240</v>
      </c>
      <c r="B859" t="s">
        <v>152</v>
      </c>
      <c r="C859" t="s">
        <v>47</v>
      </c>
      <c r="D859" t="s">
        <v>25</v>
      </c>
      <c r="E859" t="s">
        <v>48</v>
      </c>
      <c r="F859" t="s">
        <v>18</v>
      </c>
      <c r="G859" t="s">
        <v>19</v>
      </c>
      <c r="H859">
        <v>20</v>
      </c>
      <c r="I859">
        <v>677.5</v>
      </c>
      <c r="J859">
        <v>13550</v>
      </c>
      <c r="K859" t="s">
        <v>49</v>
      </c>
      <c r="L859" t="s">
        <v>77</v>
      </c>
      <c r="M859">
        <v>4501.21</v>
      </c>
      <c r="N859" s="3">
        <f t="shared" si="13"/>
        <v>45992</v>
      </c>
    </row>
    <row r="860" spans="1:14" x14ac:dyDescent="0.35">
      <c r="A860" t="s">
        <v>1241</v>
      </c>
      <c r="B860" t="s">
        <v>638</v>
      </c>
      <c r="C860" t="s">
        <v>47</v>
      </c>
      <c r="D860" t="s">
        <v>53</v>
      </c>
      <c r="E860" t="s">
        <v>43</v>
      </c>
      <c r="F860" t="s">
        <v>44</v>
      </c>
      <c r="G860" t="s">
        <v>19</v>
      </c>
      <c r="H860">
        <v>6</v>
      </c>
      <c r="I860">
        <v>811.22</v>
      </c>
      <c r="J860">
        <v>4867.32</v>
      </c>
      <c r="K860" t="s">
        <v>49</v>
      </c>
      <c r="L860" t="s">
        <v>50</v>
      </c>
      <c r="M860">
        <v>997.03</v>
      </c>
      <c r="N860" s="3">
        <f t="shared" si="13"/>
        <v>45992</v>
      </c>
    </row>
    <row r="861" spans="1:14" x14ac:dyDescent="0.35">
      <c r="A861" t="s">
        <v>1242</v>
      </c>
      <c r="B861" t="s">
        <v>500</v>
      </c>
      <c r="C861" t="s">
        <v>15</v>
      </c>
      <c r="D861" t="s">
        <v>116</v>
      </c>
      <c r="E861" t="s">
        <v>26</v>
      </c>
      <c r="F861" t="s">
        <v>18</v>
      </c>
      <c r="G861" t="s">
        <v>45</v>
      </c>
      <c r="H861">
        <v>4</v>
      </c>
      <c r="I861">
        <v>33.83</v>
      </c>
      <c r="J861">
        <v>135.32</v>
      </c>
      <c r="K861" t="s">
        <v>82</v>
      </c>
      <c r="L861" t="s">
        <v>39</v>
      </c>
      <c r="M861">
        <v>30.33</v>
      </c>
      <c r="N861" s="3">
        <f t="shared" si="13"/>
        <v>45809</v>
      </c>
    </row>
    <row r="862" spans="1:14" x14ac:dyDescent="0.35">
      <c r="A862" t="s">
        <v>1243</v>
      </c>
      <c r="B862" t="s">
        <v>1244</v>
      </c>
      <c r="C862" t="s">
        <v>24</v>
      </c>
      <c r="D862" t="s">
        <v>33</v>
      </c>
      <c r="E862" t="s">
        <v>43</v>
      </c>
      <c r="F862" t="s">
        <v>44</v>
      </c>
      <c r="G862" t="s">
        <v>85</v>
      </c>
      <c r="H862">
        <v>3</v>
      </c>
      <c r="I862">
        <v>603.73</v>
      </c>
      <c r="J862">
        <v>1811.19</v>
      </c>
      <c r="K862" t="s">
        <v>63</v>
      </c>
      <c r="L862" t="s">
        <v>21</v>
      </c>
      <c r="M862">
        <v>513.46</v>
      </c>
      <c r="N862" s="3">
        <f t="shared" si="13"/>
        <v>45778</v>
      </c>
    </row>
    <row r="863" spans="1:14" x14ac:dyDescent="0.35">
      <c r="A863" t="s">
        <v>1245</v>
      </c>
      <c r="B863" t="s">
        <v>344</v>
      </c>
      <c r="C863" t="s">
        <v>24</v>
      </c>
      <c r="D863" t="s">
        <v>42</v>
      </c>
      <c r="E863" t="s">
        <v>17</v>
      </c>
      <c r="F863" t="s">
        <v>18</v>
      </c>
      <c r="G863" t="s">
        <v>96</v>
      </c>
      <c r="H863">
        <v>7</v>
      </c>
      <c r="I863">
        <v>110.82</v>
      </c>
      <c r="J863">
        <v>775.74</v>
      </c>
      <c r="K863" t="s">
        <v>63</v>
      </c>
      <c r="L863" t="s">
        <v>34</v>
      </c>
      <c r="M863">
        <v>196.61</v>
      </c>
      <c r="N863" s="3">
        <f t="shared" si="13"/>
        <v>45931</v>
      </c>
    </row>
    <row r="864" spans="1:14" x14ac:dyDescent="0.35">
      <c r="A864" t="s">
        <v>1246</v>
      </c>
      <c r="B864" t="s">
        <v>589</v>
      </c>
      <c r="C864" t="s">
        <v>47</v>
      </c>
      <c r="D864" t="s">
        <v>116</v>
      </c>
      <c r="E864" t="s">
        <v>43</v>
      </c>
      <c r="F864" t="s">
        <v>44</v>
      </c>
      <c r="G864" t="s">
        <v>38</v>
      </c>
      <c r="H864">
        <v>20</v>
      </c>
      <c r="I864">
        <v>63.97</v>
      </c>
      <c r="J864">
        <v>1279.4000000000001</v>
      </c>
      <c r="K864" t="s">
        <v>49</v>
      </c>
      <c r="L864" t="s">
        <v>77</v>
      </c>
      <c r="M864">
        <v>334.87</v>
      </c>
      <c r="N864" s="3">
        <f t="shared" si="13"/>
        <v>45689</v>
      </c>
    </row>
    <row r="865" spans="1:14" x14ac:dyDescent="0.35">
      <c r="A865" t="s">
        <v>1247</v>
      </c>
      <c r="B865" t="s">
        <v>426</v>
      </c>
      <c r="C865" t="s">
        <v>32</v>
      </c>
      <c r="D865" t="s">
        <v>33</v>
      </c>
      <c r="E865" t="s">
        <v>48</v>
      </c>
      <c r="F865" t="s">
        <v>27</v>
      </c>
      <c r="G865" t="s">
        <v>45</v>
      </c>
      <c r="H865">
        <v>19</v>
      </c>
      <c r="I865">
        <v>497.59</v>
      </c>
      <c r="J865">
        <v>9454.2099999999991</v>
      </c>
      <c r="K865" t="s">
        <v>82</v>
      </c>
      <c r="L865" t="s">
        <v>21</v>
      </c>
      <c r="M865">
        <v>1541.81</v>
      </c>
      <c r="N865" s="3">
        <f t="shared" si="13"/>
        <v>45689</v>
      </c>
    </row>
    <row r="866" spans="1:14" x14ac:dyDescent="0.35">
      <c r="A866" t="s">
        <v>1248</v>
      </c>
      <c r="B866" t="s">
        <v>127</v>
      </c>
      <c r="C866" t="s">
        <v>15</v>
      </c>
      <c r="D866" t="s">
        <v>53</v>
      </c>
      <c r="E866" t="s">
        <v>48</v>
      </c>
      <c r="F866" t="s">
        <v>27</v>
      </c>
      <c r="G866" t="s">
        <v>28</v>
      </c>
      <c r="H866">
        <v>3</v>
      </c>
      <c r="I866">
        <v>770.81</v>
      </c>
      <c r="J866">
        <v>2312.4299999999998</v>
      </c>
      <c r="K866" t="s">
        <v>20</v>
      </c>
      <c r="L866" t="s">
        <v>50</v>
      </c>
      <c r="M866">
        <v>513.38</v>
      </c>
      <c r="N866" s="3">
        <f t="shared" si="13"/>
        <v>45901</v>
      </c>
    </row>
    <row r="867" spans="1:14" x14ac:dyDescent="0.35">
      <c r="A867" t="s">
        <v>1249</v>
      </c>
      <c r="B867" t="s">
        <v>1093</v>
      </c>
      <c r="C867" t="s">
        <v>15</v>
      </c>
      <c r="D867" t="s">
        <v>25</v>
      </c>
      <c r="E867" t="s">
        <v>48</v>
      </c>
      <c r="F867" t="s">
        <v>37</v>
      </c>
      <c r="G867" t="s">
        <v>56</v>
      </c>
      <c r="H867">
        <v>6</v>
      </c>
      <c r="I867">
        <v>345.07</v>
      </c>
      <c r="J867">
        <v>2070.42</v>
      </c>
      <c r="K867" t="s">
        <v>29</v>
      </c>
      <c r="L867" t="s">
        <v>21</v>
      </c>
      <c r="M867">
        <v>597.97</v>
      </c>
      <c r="N867" s="3">
        <f t="shared" si="13"/>
        <v>45901</v>
      </c>
    </row>
    <row r="868" spans="1:14" x14ac:dyDescent="0.35">
      <c r="A868" t="s">
        <v>1250</v>
      </c>
      <c r="B868" t="s">
        <v>356</v>
      </c>
      <c r="C868" t="s">
        <v>47</v>
      </c>
      <c r="D868" t="s">
        <v>53</v>
      </c>
      <c r="E868" t="s">
        <v>43</v>
      </c>
      <c r="F868" t="s">
        <v>18</v>
      </c>
      <c r="G868" t="s">
        <v>85</v>
      </c>
      <c r="H868">
        <v>5</v>
      </c>
      <c r="I868">
        <v>268.29000000000002</v>
      </c>
      <c r="J868">
        <v>1341.45</v>
      </c>
      <c r="K868" t="s">
        <v>49</v>
      </c>
      <c r="L868" t="s">
        <v>34</v>
      </c>
      <c r="M868">
        <v>429.83</v>
      </c>
      <c r="N868" s="3">
        <f t="shared" si="13"/>
        <v>45870</v>
      </c>
    </row>
    <row r="869" spans="1:14" x14ac:dyDescent="0.35">
      <c r="A869" t="s">
        <v>1251</v>
      </c>
      <c r="B869" t="s">
        <v>93</v>
      </c>
      <c r="C869" t="s">
        <v>47</v>
      </c>
      <c r="D869" t="s">
        <v>74</v>
      </c>
      <c r="E869" t="s">
        <v>48</v>
      </c>
      <c r="F869" t="s">
        <v>18</v>
      </c>
      <c r="G869" t="s">
        <v>56</v>
      </c>
      <c r="H869">
        <v>6</v>
      </c>
      <c r="I869">
        <v>746.87</v>
      </c>
      <c r="J869">
        <v>4481.22</v>
      </c>
      <c r="K869" t="s">
        <v>63</v>
      </c>
      <c r="L869" t="s">
        <v>77</v>
      </c>
      <c r="M869">
        <v>564.83000000000004</v>
      </c>
      <c r="N869" s="3">
        <f t="shared" si="13"/>
        <v>45992</v>
      </c>
    </row>
    <row r="870" spans="1:14" x14ac:dyDescent="0.35">
      <c r="A870" t="s">
        <v>1252</v>
      </c>
      <c r="B870" t="s">
        <v>229</v>
      </c>
      <c r="C870" t="s">
        <v>47</v>
      </c>
      <c r="D870" t="s">
        <v>25</v>
      </c>
      <c r="E870" t="s">
        <v>43</v>
      </c>
      <c r="F870" t="s">
        <v>37</v>
      </c>
      <c r="G870" t="s">
        <v>56</v>
      </c>
      <c r="H870">
        <v>6</v>
      </c>
      <c r="I870">
        <v>100.98</v>
      </c>
      <c r="J870">
        <v>605.88</v>
      </c>
      <c r="K870" t="s">
        <v>49</v>
      </c>
      <c r="L870" t="s">
        <v>34</v>
      </c>
      <c r="M870">
        <v>181.19</v>
      </c>
      <c r="N870" s="3">
        <f t="shared" si="13"/>
        <v>45809</v>
      </c>
    </row>
    <row r="871" spans="1:14" x14ac:dyDescent="0.35">
      <c r="A871" t="s">
        <v>1253</v>
      </c>
      <c r="B871" t="s">
        <v>1212</v>
      </c>
      <c r="C871" t="s">
        <v>47</v>
      </c>
      <c r="D871" t="s">
        <v>25</v>
      </c>
      <c r="E871" t="s">
        <v>43</v>
      </c>
      <c r="F871" t="s">
        <v>37</v>
      </c>
      <c r="G871" t="s">
        <v>56</v>
      </c>
      <c r="H871">
        <v>19</v>
      </c>
      <c r="I871">
        <v>160.16999999999999</v>
      </c>
      <c r="J871">
        <v>3043.23</v>
      </c>
      <c r="K871" t="s">
        <v>63</v>
      </c>
      <c r="L871" t="s">
        <v>39</v>
      </c>
      <c r="M871">
        <v>547.27</v>
      </c>
      <c r="N871" s="3">
        <f t="shared" si="13"/>
        <v>45901</v>
      </c>
    </row>
    <row r="872" spans="1:14" x14ac:dyDescent="0.35">
      <c r="A872" t="s">
        <v>1254</v>
      </c>
      <c r="B872" t="s">
        <v>761</v>
      </c>
      <c r="C872" t="s">
        <v>32</v>
      </c>
      <c r="D872" t="s">
        <v>16</v>
      </c>
      <c r="E872" t="s">
        <v>48</v>
      </c>
      <c r="F872" t="s">
        <v>18</v>
      </c>
      <c r="G872" t="s">
        <v>45</v>
      </c>
      <c r="H872">
        <v>19</v>
      </c>
      <c r="I872">
        <v>460.96</v>
      </c>
      <c r="J872">
        <v>8758.24</v>
      </c>
      <c r="K872" t="s">
        <v>29</v>
      </c>
      <c r="L872" t="s">
        <v>50</v>
      </c>
      <c r="M872">
        <v>2585.91</v>
      </c>
      <c r="N872" s="3">
        <f t="shared" si="13"/>
        <v>45901</v>
      </c>
    </row>
    <row r="873" spans="1:14" x14ac:dyDescent="0.35">
      <c r="A873" t="s">
        <v>1255</v>
      </c>
      <c r="B873" t="s">
        <v>742</v>
      </c>
      <c r="C873" t="s">
        <v>24</v>
      </c>
      <c r="D873" t="s">
        <v>16</v>
      </c>
      <c r="E873" t="s">
        <v>43</v>
      </c>
      <c r="F873" t="s">
        <v>18</v>
      </c>
      <c r="G873" t="s">
        <v>38</v>
      </c>
      <c r="H873">
        <v>18</v>
      </c>
      <c r="I873">
        <v>305.47000000000003</v>
      </c>
      <c r="J873">
        <v>5498.46</v>
      </c>
      <c r="K873" t="s">
        <v>63</v>
      </c>
      <c r="L873" t="s">
        <v>77</v>
      </c>
      <c r="M873">
        <v>1909.47</v>
      </c>
      <c r="N873" s="3">
        <f t="shared" si="13"/>
        <v>45689</v>
      </c>
    </row>
    <row r="874" spans="1:14" x14ac:dyDescent="0.35">
      <c r="A874" t="s">
        <v>1256</v>
      </c>
      <c r="B874" t="s">
        <v>552</v>
      </c>
      <c r="C874" t="s">
        <v>47</v>
      </c>
      <c r="D874" t="s">
        <v>25</v>
      </c>
      <c r="E874" t="s">
        <v>26</v>
      </c>
      <c r="F874" t="s">
        <v>18</v>
      </c>
      <c r="G874" t="s">
        <v>105</v>
      </c>
      <c r="H874">
        <v>10</v>
      </c>
      <c r="I874">
        <v>791.18</v>
      </c>
      <c r="J874">
        <v>7911.8</v>
      </c>
      <c r="K874" t="s">
        <v>49</v>
      </c>
      <c r="L874" t="s">
        <v>21</v>
      </c>
      <c r="M874">
        <v>2350.46</v>
      </c>
      <c r="N874" s="3">
        <f t="shared" si="13"/>
        <v>45748</v>
      </c>
    </row>
    <row r="875" spans="1:14" x14ac:dyDescent="0.35">
      <c r="A875" t="s">
        <v>1257</v>
      </c>
      <c r="B875" t="s">
        <v>618</v>
      </c>
      <c r="C875" t="s">
        <v>15</v>
      </c>
      <c r="D875" t="s">
        <v>69</v>
      </c>
      <c r="E875" t="s">
        <v>26</v>
      </c>
      <c r="F875" t="s">
        <v>44</v>
      </c>
      <c r="G875" t="s">
        <v>85</v>
      </c>
      <c r="H875">
        <v>4</v>
      </c>
      <c r="I875">
        <v>727.34</v>
      </c>
      <c r="J875">
        <v>2909.36</v>
      </c>
      <c r="K875" t="s">
        <v>20</v>
      </c>
      <c r="L875" t="s">
        <v>50</v>
      </c>
      <c r="M875">
        <v>883.47</v>
      </c>
      <c r="N875" s="3">
        <f t="shared" si="13"/>
        <v>45658</v>
      </c>
    </row>
    <row r="876" spans="1:14" x14ac:dyDescent="0.35">
      <c r="A876" t="s">
        <v>1258</v>
      </c>
      <c r="B876" t="s">
        <v>364</v>
      </c>
      <c r="C876" t="s">
        <v>15</v>
      </c>
      <c r="D876" t="s">
        <v>53</v>
      </c>
      <c r="E876" t="s">
        <v>43</v>
      </c>
      <c r="F876" t="s">
        <v>27</v>
      </c>
      <c r="G876" t="s">
        <v>96</v>
      </c>
      <c r="H876">
        <v>14</v>
      </c>
      <c r="I876">
        <v>359.31</v>
      </c>
      <c r="J876">
        <v>5030.34</v>
      </c>
      <c r="K876" t="s">
        <v>82</v>
      </c>
      <c r="L876" t="s">
        <v>77</v>
      </c>
      <c r="M876">
        <v>798.79</v>
      </c>
      <c r="N876" s="3">
        <f t="shared" si="13"/>
        <v>45839</v>
      </c>
    </row>
    <row r="877" spans="1:14" x14ac:dyDescent="0.35">
      <c r="A877" t="s">
        <v>1259</v>
      </c>
      <c r="B877" t="s">
        <v>443</v>
      </c>
      <c r="C877" t="s">
        <v>15</v>
      </c>
      <c r="D877" t="s">
        <v>16</v>
      </c>
      <c r="E877" t="s">
        <v>26</v>
      </c>
      <c r="F877" t="s">
        <v>18</v>
      </c>
      <c r="G877" t="s">
        <v>56</v>
      </c>
      <c r="H877">
        <v>18</v>
      </c>
      <c r="I877">
        <v>667.36</v>
      </c>
      <c r="J877">
        <v>12012.48</v>
      </c>
      <c r="K877" t="s">
        <v>63</v>
      </c>
      <c r="L877" t="s">
        <v>21</v>
      </c>
      <c r="M877">
        <v>3117.73</v>
      </c>
      <c r="N877" s="3">
        <f t="shared" si="13"/>
        <v>45748</v>
      </c>
    </row>
    <row r="878" spans="1:14" x14ac:dyDescent="0.35">
      <c r="A878" t="s">
        <v>1260</v>
      </c>
      <c r="B878" t="s">
        <v>180</v>
      </c>
      <c r="C878" t="s">
        <v>32</v>
      </c>
      <c r="D878" t="s">
        <v>116</v>
      </c>
      <c r="E878" t="s">
        <v>26</v>
      </c>
      <c r="F878" t="s">
        <v>44</v>
      </c>
      <c r="G878" t="s">
        <v>19</v>
      </c>
      <c r="H878">
        <v>16</v>
      </c>
      <c r="I878">
        <v>742.59</v>
      </c>
      <c r="J878">
        <v>11881.44</v>
      </c>
      <c r="K878" t="s">
        <v>63</v>
      </c>
      <c r="L878" t="s">
        <v>34</v>
      </c>
      <c r="M878">
        <v>1752.38</v>
      </c>
      <c r="N878" s="3">
        <f t="shared" si="13"/>
        <v>45870</v>
      </c>
    </row>
    <row r="879" spans="1:14" x14ac:dyDescent="0.35">
      <c r="A879" t="s">
        <v>1261</v>
      </c>
      <c r="B879" t="s">
        <v>123</v>
      </c>
      <c r="C879" t="s">
        <v>32</v>
      </c>
      <c r="D879" t="s">
        <v>33</v>
      </c>
      <c r="E879" t="s">
        <v>43</v>
      </c>
      <c r="F879" t="s">
        <v>44</v>
      </c>
      <c r="G879" t="s">
        <v>56</v>
      </c>
      <c r="H879">
        <v>17</v>
      </c>
      <c r="I879">
        <v>197.36</v>
      </c>
      <c r="J879">
        <v>3355.12</v>
      </c>
      <c r="K879" t="s">
        <v>49</v>
      </c>
      <c r="L879" t="s">
        <v>39</v>
      </c>
      <c r="M879">
        <v>1151.23</v>
      </c>
      <c r="N879" s="3">
        <f t="shared" si="13"/>
        <v>45901</v>
      </c>
    </row>
    <row r="880" spans="1:14" x14ac:dyDescent="0.35">
      <c r="A880" t="s">
        <v>1262</v>
      </c>
      <c r="B880" t="s">
        <v>1263</v>
      </c>
      <c r="C880" t="s">
        <v>15</v>
      </c>
      <c r="D880" t="s">
        <v>53</v>
      </c>
      <c r="E880" t="s">
        <v>48</v>
      </c>
      <c r="F880" t="s">
        <v>18</v>
      </c>
      <c r="G880" t="s">
        <v>56</v>
      </c>
      <c r="H880">
        <v>19</v>
      </c>
      <c r="I880">
        <v>97.21</v>
      </c>
      <c r="J880">
        <v>1846.99</v>
      </c>
      <c r="K880" t="s">
        <v>29</v>
      </c>
      <c r="L880" t="s">
        <v>39</v>
      </c>
      <c r="M880">
        <v>506.61</v>
      </c>
      <c r="N880" s="3">
        <f t="shared" si="13"/>
        <v>45992</v>
      </c>
    </row>
    <row r="881" spans="1:14" x14ac:dyDescent="0.35">
      <c r="A881" t="s">
        <v>1264</v>
      </c>
      <c r="B881" t="s">
        <v>445</v>
      </c>
      <c r="C881" t="s">
        <v>32</v>
      </c>
      <c r="D881" t="s">
        <v>53</v>
      </c>
      <c r="E881" t="s">
        <v>17</v>
      </c>
      <c r="F881" t="s">
        <v>27</v>
      </c>
      <c r="G881" t="s">
        <v>105</v>
      </c>
      <c r="H881">
        <v>16</v>
      </c>
      <c r="I881">
        <v>740.63</v>
      </c>
      <c r="J881">
        <v>11850.08</v>
      </c>
      <c r="K881" t="s">
        <v>49</v>
      </c>
      <c r="L881" t="s">
        <v>50</v>
      </c>
      <c r="M881">
        <v>2325.64</v>
      </c>
      <c r="N881" s="3">
        <f t="shared" si="13"/>
        <v>45748</v>
      </c>
    </row>
    <row r="882" spans="1:14" x14ac:dyDescent="0.35">
      <c r="A882" t="s">
        <v>1265</v>
      </c>
      <c r="B882" t="s">
        <v>267</v>
      </c>
      <c r="C882" t="s">
        <v>24</v>
      </c>
      <c r="D882" t="s">
        <v>69</v>
      </c>
      <c r="E882" t="s">
        <v>48</v>
      </c>
      <c r="F882" t="s">
        <v>37</v>
      </c>
      <c r="G882" t="s">
        <v>96</v>
      </c>
      <c r="H882">
        <v>14</v>
      </c>
      <c r="I882">
        <v>638.16999999999996</v>
      </c>
      <c r="J882">
        <v>8934.3799999999992</v>
      </c>
      <c r="K882" t="s">
        <v>49</v>
      </c>
      <c r="L882" t="s">
        <v>21</v>
      </c>
      <c r="M882">
        <v>1784.21</v>
      </c>
      <c r="N882" s="3">
        <f t="shared" si="13"/>
        <v>45809</v>
      </c>
    </row>
    <row r="883" spans="1:14" x14ac:dyDescent="0.35">
      <c r="A883" t="s">
        <v>1266</v>
      </c>
      <c r="B883" t="s">
        <v>492</v>
      </c>
      <c r="C883" t="s">
        <v>15</v>
      </c>
      <c r="D883" t="s">
        <v>33</v>
      </c>
      <c r="E883" t="s">
        <v>43</v>
      </c>
      <c r="F883" t="s">
        <v>37</v>
      </c>
      <c r="G883" t="s">
        <v>45</v>
      </c>
      <c r="H883">
        <v>15</v>
      </c>
      <c r="I883">
        <v>455.47</v>
      </c>
      <c r="J883">
        <v>6832.05</v>
      </c>
      <c r="K883" t="s">
        <v>29</v>
      </c>
      <c r="L883" t="s">
        <v>34</v>
      </c>
      <c r="M883">
        <v>1277.1600000000001</v>
      </c>
      <c r="N883" s="3">
        <f t="shared" si="13"/>
        <v>45689</v>
      </c>
    </row>
    <row r="884" spans="1:14" x14ac:dyDescent="0.35">
      <c r="A884" t="s">
        <v>1267</v>
      </c>
      <c r="B884" t="s">
        <v>104</v>
      </c>
      <c r="C884" t="s">
        <v>15</v>
      </c>
      <c r="D884" t="s">
        <v>16</v>
      </c>
      <c r="E884" t="s">
        <v>43</v>
      </c>
      <c r="F884" t="s">
        <v>27</v>
      </c>
      <c r="G884" t="s">
        <v>19</v>
      </c>
      <c r="H884">
        <v>15</v>
      </c>
      <c r="I884">
        <v>888.64</v>
      </c>
      <c r="J884">
        <v>13329.6</v>
      </c>
      <c r="K884" t="s">
        <v>29</v>
      </c>
      <c r="L884" t="s">
        <v>34</v>
      </c>
      <c r="M884">
        <v>3672.01</v>
      </c>
      <c r="N884" s="3">
        <f t="shared" si="13"/>
        <v>45931</v>
      </c>
    </row>
    <row r="885" spans="1:14" x14ac:dyDescent="0.35">
      <c r="A885" t="s">
        <v>1268</v>
      </c>
      <c r="B885" t="s">
        <v>644</v>
      </c>
      <c r="C885" t="s">
        <v>47</v>
      </c>
      <c r="D885" t="s">
        <v>16</v>
      </c>
      <c r="E885" t="s">
        <v>43</v>
      </c>
      <c r="F885" t="s">
        <v>18</v>
      </c>
      <c r="G885" t="s">
        <v>19</v>
      </c>
      <c r="H885">
        <v>20</v>
      </c>
      <c r="I885">
        <v>720.43</v>
      </c>
      <c r="J885">
        <v>14408.6</v>
      </c>
      <c r="K885" t="s">
        <v>63</v>
      </c>
      <c r="L885" t="s">
        <v>34</v>
      </c>
      <c r="M885">
        <v>3128.49</v>
      </c>
      <c r="N885" s="3">
        <f t="shared" si="13"/>
        <v>45962</v>
      </c>
    </row>
    <row r="886" spans="1:14" x14ac:dyDescent="0.35">
      <c r="A886" t="s">
        <v>1269</v>
      </c>
      <c r="B886" t="s">
        <v>123</v>
      </c>
      <c r="C886" t="s">
        <v>47</v>
      </c>
      <c r="D886" t="s">
        <v>25</v>
      </c>
      <c r="E886" t="s">
        <v>48</v>
      </c>
      <c r="F886" t="s">
        <v>18</v>
      </c>
      <c r="G886" t="s">
        <v>105</v>
      </c>
      <c r="H886">
        <v>11</v>
      </c>
      <c r="I886">
        <v>888.89</v>
      </c>
      <c r="J886">
        <v>9777.7900000000009</v>
      </c>
      <c r="K886" t="s">
        <v>29</v>
      </c>
      <c r="L886" t="s">
        <v>77</v>
      </c>
      <c r="M886">
        <v>3211.26</v>
      </c>
      <c r="N886" s="3">
        <f t="shared" si="13"/>
        <v>45901</v>
      </c>
    </row>
    <row r="887" spans="1:14" x14ac:dyDescent="0.35">
      <c r="A887" t="s">
        <v>1270</v>
      </c>
      <c r="B887" t="s">
        <v>1225</v>
      </c>
      <c r="C887" t="s">
        <v>15</v>
      </c>
      <c r="D887" t="s">
        <v>25</v>
      </c>
      <c r="E887" t="s">
        <v>17</v>
      </c>
      <c r="F887" t="s">
        <v>18</v>
      </c>
      <c r="G887" t="s">
        <v>96</v>
      </c>
      <c r="H887">
        <v>7</v>
      </c>
      <c r="I887">
        <v>934.92</v>
      </c>
      <c r="J887">
        <v>6544.44</v>
      </c>
      <c r="K887" t="s">
        <v>20</v>
      </c>
      <c r="L887" t="s">
        <v>21</v>
      </c>
      <c r="M887">
        <v>697.19</v>
      </c>
      <c r="N887" s="3">
        <f t="shared" si="13"/>
        <v>45748</v>
      </c>
    </row>
    <row r="888" spans="1:14" x14ac:dyDescent="0.35">
      <c r="A888" t="s">
        <v>1271</v>
      </c>
      <c r="B888" t="s">
        <v>591</v>
      </c>
      <c r="C888" t="s">
        <v>15</v>
      </c>
      <c r="D888" t="s">
        <v>25</v>
      </c>
      <c r="E888" t="s">
        <v>43</v>
      </c>
      <c r="F888" t="s">
        <v>44</v>
      </c>
      <c r="G888" t="s">
        <v>96</v>
      </c>
      <c r="H888">
        <v>15</v>
      </c>
      <c r="I888">
        <v>91.63</v>
      </c>
      <c r="J888">
        <v>1374.45</v>
      </c>
      <c r="K888" t="s">
        <v>63</v>
      </c>
      <c r="L888" t="s">
        <v>39</v>
      </c>
      <c r="M888">
        <v>225.97</v>
      </c>
      <c r="N888" s="3">
        <f t="shared" si="13"/>
        <v>45962</v>
      </c>
    </row>
    <row r="889" spans="1:14" x14ac:dyDescent="0.35">
      <c r="A889" t="s">
        <v>1272</v>
      </c>
      <c r="B889" t="s">
        <v>636</v>
      </c>
      <c r="C889" t="s">
        <v>24</v>
      </c>
      <c r="D889" t="s">
        <v>16</v>
      </c>
      <c r="E889" t="s">
        <v>43</v>
      </c>
      <c r="F889" t="s">
        <v>27</v>
      </c>
      <c r="G889" t="s">
        <v>28</v>
      </c>
      <c r="H889">
        <v>4</v>
      </c>
      <c r="I889">
        <v>139.80000000000001</v>
      </c>
      <c r="J889">
        <v>559.20000000000005</v>
      </c>
      <c r="K889" t="s">
        <v>49</v>
      </c>
      <c r="L889" t="s">
        <v>39</v>
      </c>
      <c r="M889">
        <v>133.28</v>
      </c>
      <c r="N889" s="3">
        <f t="shared" si="13"/>
        <v>45839</v>
      </c>
    </row>
    <row r="890" spans="1:14" x14ac:dyDescent="0.35">
      <c r="A890" t="s">
        <v>1273</v>
      </c>
      <c r="B890" t="s">
        <v>445</v>
      </c>
      <c r="C890" t="s">
        <v>15</v>
      </c>
      <c r="D890" t="s">
        <v>116</v>
      </c>
      <c r="E890" t="s">
        <v>48</v>
      </c>
      <c r="F890" t="s">
        <v>37</v>
      </c>
      <c r="G890" t="s">
        <v>19</v>
      </c>
      <c r="H890">
        <v>8</v>
      </c>
      <c r="I890">
        <v>886.36</v>
      </c>
      <c r="J890">
        <v>7090.88</v>
      </c>
      <c r="K890" t="s">
        <v>29</v>
      </c>
      <c r="L890" t="s">
        <v>39</v>
      </c>
      <c r="M890">
        <v>2465.62</v>
      </c>
      <c r="N890" s="3">
        <f t="shared" si="13"/>
        <v>45748</v>
      </c>
    </row>
    <row r="891" spans="1:14" x14ac:dyDescent="0.35">
      <c r="A891" t="s">
        <v>1274</v>
      </c>
      <c r="B891" t="s">
        <v>324</v>
      </c>
      <c r="C891" t="s">
        <v>32</v>
      </c>
      <c r="D891" t="s">
        <v>53</v>
      </c>
      <c r="E891" t="s">
        <v>43</v>
      </c>
      <c r="F891" t="s">
        <v>37</v>
      </c>
      <c r="G891" t="s">
        <v>96</v>
      </c>
      <c r="H891">
        <v>1</v>
      </c>
      <c r="I891">
        <v>205.11</v>
      </c>
      <c r="J891">
        <v>205.11</v>
      </c>
      <c r="K891" t="s">
        <v>66</v>
      </c>
      <c r="L891" t="s">
        <v>77</v>
      </c>
      <c r="M891">
        <v>53.69</v>
      </c>
      <c r="N891" s="3">
        <f t="shared" si="13"/>
        <v>45717</v>
      </c>
    </row>
    <row r="892" spans="1:14" x14ac:dyDescent="0.35">
      <c r="A892" t="s">
        <v>1275</v>
      </c>
      <c r="B892" t="s">
        <v>709</v>
      </c>
      <c r="C892" t="s">
        <v>15</v>
      </c>
      <c r="D892" t="s">
        <v>116</v>
      </c>
      <c r="E892" t="s">
        <v>17</v>
      </c>
      <c r="F892" t="s">
        <v>37</v>
      </c>
      <c r="G892" t="s">
        <v>56</v>
      </c>
      <c r="H892">
        <v>15</v>
      </c>
      <c r="I892">
        <v>272.69</v>
      </c>
      <c r="J892">
        <v>4090.35</v>
      </c>
      <c r="K892" t="s">
        <v>29</v>
      </c>
      <c r="L892" t="s">
        <v>50</v>
      </c>
      <c r="M892">
        <v>1081.44</v>
      </c>
      <c r="N892" s="3">
        <f t="shared" si="13"/>
        <v>45931</v>
      </c>
    </row>
    <row r="893" spans="1:14" x14ac:dyDescent="0.35">
      <c r="A893" t="s">
        <v>1276</v>
      </c>
      <c r="B893" t="s">
        <v>432</v>
      </c>
      <c r="C893" t="s">
        <v>24</v>
      </c>
      <c r="D893" t="s">
        <v>25</v>
      </c>
      <c r="E893" t="s">
        <v>17</v>
      </c>
      <c r="F893" t="s">
        <v>18</v>
      </c>
      <c r="G893" t="s">
        <v>28</v>
      </c>
      <c r="H893">
        <v>13</v>
      </c>
      <c r="I893">
        <v>195.42</v>
      </c>
      <c r="J893">
        <v>2540.46</v>
      </c>
      <c r="K893" t="s">
        <v>49</v>
      </c>
      <c r="L893" t="s">
        <v>50</v>
      </c>
      <c r="M893">
        <v>656.13</v>
      </c>
      <c r="N893" s="3">
        <f t="shared" si="13"/>
        <v>45901</v>
      </c>
    </row>
    <row r="894" spans="1:14" x14ac:dyDescent="0.35">
      <c r="A894" t="s">
        <v>1277</v>
      </c>
      <c r="B894" t="s">
        <v>306</v>
      </c>
      <c r="C894" t="s">
        <v>47</v>
      </c>
      <c r="D894" t="s">
        <v>25</v>
      </c>
      <c r="E894" t="s">
        <v>26</v>
      </c>
      <c r="F894" t="s">
        <v>27</v>
      </c>
      <c r="G894" t="s">
        <v>85</v>
      </c>
      <c r="H894">
        <v>13</v>
      </c>
      <c r="I894">
        <v>556.6</v>
      </c>
      <c r="J894">
        <v>7235.8</v>
      </c>
      <c r="K894" t="s">
        <v>49</v>
      </c>
      <c r="L894" t="s">
        <v>77</v>
      </c>
      <c r="M894">
        <v>1766.52</v>
      </c>
      <c r="N894" s="3">
        <f t="shared" si="13"/>
        <v>45658</v>
      </c>
    </row>
    <row r="895" spans="1:14" x14ac:dyDescent="0.35">
      <c r="A895" t="s">
        <v>1278</v>
      </c>
      <c r="B895" t="s">
        <v>707</v>
      </c>
      <c r="C895" t="s">
        <v>32</v>
      </c>
      <c r="D895" t="s">
        <v>25</v>
      </c>
      <c r="E895" t="s">
        <v>17</v>
      </c>
      <c r="F895" t="s">
        <v>27</v>
      </c>
      <c r="G895" t="s">
        <v>19</v>
      </c>
      <c r="H895">
        <v>5</v>
      </c>
      <c r="I895">
        <v>168.44</v>
      </c>
      <c r="J895">
        <v>842.2</v>
      </c>
      <c r="K895" t="s">
        <v>66</v>
      </c>
      <c r="L895" t="s">
        <v>21</v>
      </c>
      <c r="M895">
        <v>166.68</v>
      </c>
      <c r="N895" s="3">
        <f t="shared" si="13"/>
        <v>45748</v>
      </c>
    </row>
    <row r="896" spans="1:14" x14ac:dyDescent="0.35">
      <c r="A896" t="s">
        <v>1279</v>
      </c>
      <c r="B896" t="s">
        <v>89</v>
      </c>
      <c r="C896" t="s">
        <v>15</v>
      </c>
      <c r="D896" t="s">
        <v>42</v>
      </c>
      <c r="E896" t="s">
        <v>48</v>
      </c>
      <c r="F896" t="s">
        <v>37</v>
      </c>
      <c r="G896" t="s">
        <v>96</v>
      </c>
      <c r="H896">
        <v>16</v>
      </c>
      <c r="I896">
        <v>419.81</v>
      </c>
      <c r="J896">
        <v>6716.96</v>
      </c>
      <c r="K896" t="s">
        <v>63</v>
      </c>
      <c r="L896" t="s">
        <v>50</v>
      </c>
      <c r="M896">
        <v>1801.39</v>
      </c>
      <c r="N896" s="3">
        <f t="shared" si="13"/>
        <v>45689</v>
      </c>
    </row>
    <row r="897" spans="1:14" x14ac:dyDescent="0.35">
      <c r="A897" t="s">
        <v>1280</v>
      </c>
      <c r="B897" t="s">
        <v>671</v>
      </c>
      <c r="C897" t="s">
        <v>15</v>
      </c>
      <c r="D897" t="s">
        <v>53</v>
      </c>
      <c r="E897" t="s">
        <v>26</v>
      </c>
      <c r="F897" t="s">
        <v>18</v>
      </c>
      <c r="G897" t="s">
        <v>85</v>
      </c>
      <c r="H897">
        <v>3</v>
      </c>
      <c r="I897">
        <v>389.69</v>
      </c>
      <c r="J897">
        <v>1169.07</v>
      </c>
      <c r="K897" t="s">
        <v>63</v>
      </c>
      <c r="L897" t="s">
        <v>39</v>
      </c>
      <c r="M897">
        <v>329.19</v>
      </c>
      <c r="N897" s="3">
        <f t="shared" si="13"/>
        <v>45901</v>
      </c>
    </row>
    <row r="898" spans="1:14" x14ac:dyDescent="0.35">
      <c r="A898" t="s">
        <v>1281</v>
      </c>
      <c r="B898" t="s">
        <v>709</v>
      </c>
      <c r="C898" t="s">
        <v>32</v>
      </c>
      <c r="D898" t="s">
        <v>74</v>
      </c>
      <c r="E898" t="s">
        <v>26</v>
      </c>
      <c r="F898" t="s">
        <v>27</v>
      </c>
      <c r="G898" t="s">
        <v>38</v>
      </c>
      <c r="H898">
        <v>11</v>
      </c>
      <c r="I898">
        <v>264.57</v>
      </c>
      <c r="J898">
        <v>2910.27</v>
      </c>
      <c r="K898" t="s">
        <v>29</v>
      </c>
      <c r="L898" t="s">
        <v>21</v>
      </c>
      <c r="M898">
        <v>693.87</v>
      </c>
      <c r="N898" s="3">
        <f t="shared" si="13"/>
        <v>45931</v>
      </c>
    </row>
    <row r="899" spans="1:14" x14ac:dyDescent="0.35">
      <c r="A899" t="s">
        <v>1282</v>
      </c>
      <c r="B899" t="s">
        <v>443</v>
      </c>
      <c r="C899" t="s">
        <v>32</v>
      </c>
      <c r="D899" t="s">
        <v>116</v>
      </c>
      <c r="E899" t="s">
        <v>26</v>
      </c>
      <c r="F899" t="s">
        <v>27</v>
      </c>
      <c r="G899" t="s">
        <v>19</v>
      </c>
      <c r="H899">
        <v>15</v>
      </c>
      <c r="I899">
        <v>249.54</v>
      </c>
      <c r="J899">
        <v>3743.1</v>
      </c>
      <c r="K899" t="s">
        <v>66</v>
      </c>
      <c r="L899" t="s">
        <v>77</v>
      </c>
      <c r="M899">
        <v>824.39</v>
      </c>
      <c r="N899" s="3">
        <f t="shared" ref="N899:N962" si="14">DATE(YEAR(B899),MONTH(B899),1)</f>
        <v>45748</v>
      </c>
    </row>
    <row r="900" spans="1:14" x14ac:dyDescent="0.35">
      <c r="A900" t="s">
        <v>1283</v>
      </c>
      <c r="B900" t="s">
        <v>87</v>
      </c>
      <c r="C900" t="s">
        <v>32</v>
      </c>
      <c r="D900" t="s">
        <v>53</v>
      </c>
      <c r="E900" t="s">
        <v>43</v>
      </c>
      <c r="F900" t="s">
        <v>18</v>
      </c>
      <c r="G900" t="s">
        <v>85</v>
      </c>
      <c r="H900">
        <v>4</v>
      </c>
      <c r="I900">
        <v>908.84</v>
      </c>
      <c r="J900">
        <v>3635.36</v>
      </c>
      <c r="K900" t="s">
        <v>29</v>
      </c>
      <c r="L900" t="s">
        <v>50</v>
      </c>
      <c r="M900">
        <v>634.14</v>
      </c>
      <c r="N900" s="3">
        <f t="shared" si="14"/>
        <v>45992</v>
      </c>
    </row>
    <row r="901" spans="1:14" x14ac:dyDescent="0.35">
      <c r="A901" t="s">
        <v>1284</v>
      </c>
      <c r="B901" t="s">
        <v>587</v>
      </c>
      <c r="C901" t="s">
        <v>47</v>
      </c>
      <c r="D901" t="s">
        <v>53</v>
      </c>
      <c r="E901" t="s">
        <v>17</v>
      </c>
      <c r="F901" t="s">
        <v>37</v>
      </c>
      <c r="G901" t="s">
        <v>19</v>
      </c>
      <c r="H901">
        <v>13</v>
      </c>
      <c r="I901">
        <v>923.69</v>
      </c>
      <c r="J901">
        <v>12007.97</v>
      </c>
      <c r="K901" t="s">
        <v>82</v>
      </c>
      <c r="L901" t="s">
        <v>50</v>
      </c>
      <c r="M901">
        <v>1334.3</v>
      </c>
      <c r="N901" s="3">
        <f t="shared" si="14"/>
        <v>45717</v>
      </c>
    </row>
    <row r="902" spans="1:14" x14ac:dyDescent="0.35">
      <c r="A902" t="s">
        <v>1285</v>
      </c>
      <c r="B902" t="s">
        <v>875</v>
      </c>
      <c r="C902" t="s">
        <v>47</v>
      </c>
      <c r="D902" t="s">
        <v>33</v>
      </c>
      <c r="E902" t="s">
        <v>43</v>
      </c>
      <c r="F902" t="s">
        <v>37</v>
      </c>
      <c r="G902" t="s">
        <v>38</v>
      </c>
      <c r="H902">
        <v>4</v>
      </c>
      <c r="I902">
        <v>718.6</v>
      </c>
      <c r="J902">
        <v>2874.4</v>
      </c>
      <c r="K902" t="s">
        <v>49</v>
      </c>
      <c r="L902" t="s">
        <v>39</v>
      </c>
      <c r="M902">
        <v>449.86</v>
      </c>
      <c r="N902" s="3">
        <f t="shared" si="14"/>
        <v>45717</v>
      </c>
    </row>
    <row r="903" spans="1:14" x14ac:dyDescent="0.35">
      <c r="A903" t="s">
        <v>1286</v>
      </c>
      <c r="B903" t="s">
        <v>461</v>
      </c>
      <c r="C903" t="s">
        <v>47</v>
      </c>
      <c r="D903" t="s">
        <v>16</v>
      </c>
      <c r="E903" t="s">
        <v>17</v>
      </c>
      <c r="F903" t="s">
        <v>27</v>
      </c>
      <c r="G903" t="s">
        <v>105</v>
      </c>
      <c r="H903">
        <v>10</v>
      </c>
      <c r="I903">
        <v>72.64</v>
      </c>
      <c r="J903">
        <v>726.4</v>
      </c>
      <c r="K903" t="s">
        <v>82</v>
      </c>
      <c r="L903" t="s">
        <v>34</v>
      </c>
      <c r="M903">
        <v>210.31</v>
      </c>
      <c r="N903" s="3">
        <f t="shared" si="14"/>
        <v>45962</v>
      </c>
    </row>
    <row r="904" spans="1:14" x14ac:dyDescent="0.35">
      <c r="A904" t="s">
        <v>1287</v>
      </c>
      <c r="B904" t="s">
        <v>541</v>
      </c>
      <c r="C904" t="s">
        <v>15</v>
      </c>
      <c r="D904" t="s">
        <v>74</v>
      </c>
      <c r="E904" t="s">
        <v>26</v>
      </c>
      <c r="F904" t="s">
        <v>18</v>
      </c>
      <c r="G904" t="s">
        <v>19</v>
      </c>
      <c r="H904">
        <v>11</v>
      </c>
      <c r="I904">
        <v>933.2</v>
      </c>
      <c r="J904">
        <v>10265.200000000001</v>
      </c>
      <c r="K904" t="s">
        <v>29</v>
      </c>
      <c r="L904" t="s">
        <v>34</v>
      </c>
      <c r="M904">
        <v>2574.91</v>
      </c>
      <c r="N904" s="3">
        <f t="shared" si="14"/>
        <v>45717</v>
      </c>
    </row>
    <row r="905" spans="1:14" x14ac:dyDescent="0.35">
      <c r="A905" t="s">
        <v>1288</v>
      </c>
      <c r="B905" t="s">
        <v>237</v>
      </c>
      <c r="C905" t="s">
        <v>15</v>
      </c>
      <c r="D905" t="s">
        <v>16</v>
      </c>
      <c r="E905" t="s">
        <v>48</v>
      </c>
      <c r="F905" t="s">
        <v>37</v>
      </c>
      <c r="G905" t="s">
        <v>45</v>
      </c>
      <c r="H905">
        <v>18</v>
      </c>
      <c r="I905">
        <v>256.2</v>
      </c>
      <c r="J905">
        <v>4611.6000000000004</v>
      </c>
      <c r="K905" t="s">
        <v>49</v>
      </c>
      <c r="L905" t="s">
        <v>50</v>
      </c>
      <c r="M905">
        <v>560.74</v>
      </c>
      <c r="N905" s="3">
        <f t="shared" si="14"/>
        <v>45962</v>
      </c>
    </row>
    <row r="906" spans="1:14" x14ac:dyDescent="0.35">
      <c r="A906" t="s">
        <v>1289</v>
      </c>
      <c r="B906" t="s">
        <v>631</v>
      </c>
      <c r="C906" t="s">
        <v>47</v>
      </c>
      <c r="D906" t="s">
        <v>69</v>
      </c>
      <c r="E906" t="s">
        <v>43</v>
      </c>
      <c r="F906" t="s">
        <v>18</v>
      </c>
      <c r="G906" t="s">
        <v>105</v>
      </c>
      <c r="H906">
        <v>10</v>
      </c>
      <c r="I906">
        <v>116.16</v>
      </c>
      <c r="J906">
        <v>1161.5999999999999</v>
      </c>
      <c r="K906" t="s">
        <v>66</v>
      </c>
      <c r="L906" t="s">
        <v>21</v>
      </c>
      <c r="M906">
        <v>119.7</v>
      </c>
      <c r="N906" s="3">
        <f t="shared" si="14"/>
        <v>45962</v>
      </c>
    </row>
    <row r="907" spans="1:14" x14ac:dyDescent="0.35">
      <c r="A907" t="s">
        <v>1290</v>
      </c>
      <c r="B907" t="s">
        <v>905</v>
      </c>
      <c r="C907" t="s">
        <v>24</v>
      </c>
      <c r="D907" t="s">
        <v>69</v>
      </c>
      <c r="E907" t="s">
        <v>48</v>
      </c>
      <c r="F907" t="s">
        <v>37</v>
      </c>
      <c r="G907" t="s">
        <v>38</v>
      </c>
      <c r="H907">
        <v>15</v>
      </c>
      <c r="I907">
        <v>260.5</v>
      </c>
      <c r="J907">
        <v>3907.5</v>
      </c>
      <c r="K907" t="s">
        <v>49</v>
      </c>
      <c r="L907" t="s">
        <v>21</v>
      </c>
      <c r="M907">
        <v>1322.1</v>
      </c>
      <c r="N907" s="3">
        <f t="shared" si="14"/>
        <v>45809</v>
      </c>
    </row>
    <row r="908" spans="1:14" x14ac:dyDescent="0.35">
      <c r="A908" t="s">
        <v>1291</v>
      </c>
      <c r="B908" t="s">
        <v>303</v>
      </c>
      <c r="C908" t="s">
        <v>24</v>
      </c>
      <c r="D908" t="s">
        <v>42</v>
      </c>
      <c r="E908" t="s">
        <v>43</v>
      </c>
      <c r="F908" t="s">
        <v>44</v>
      </c>
      <c r="G908" t="s">
        <v>28</v>
      </c>
      <c r="H908">
        <v>6</v>
      </c>
      <c r="I908">
        <v>502.21</v>
      </c>
      <c r="J908">
        <v>3013.26</v>
      </c>
      <c r="K908" t="s">
        <v>66</v>
      </c>
      <c r="L908" t="s">
        <v>50</v>
      </c>
      <c r="M908">
        <v>573.4</v>
      </c>
      <c r="N908" s="3">
        <f t="shared" si="14"/>
        <v>45748</v>
      </c>
    </row>
    <row r="909" spans="1:14" x14ac:dyDescent="0.35">
      <c r="A909" t="s">
        <v>1292</v>
      </c>
      <c r="B909" t="s">
        <v>366</v>
      </c>
      <c r="C909" t="s">
        <v>32</v>
      </c>
      <c r="D909" t="s">
        <v>25</v>
      </c>
      <c r="E909" t="s">
        <v>43</v>
      </c>
      <c r="F909" t="s">
        <v>37</v>
      </c>
      <c r="G909" t="s">
        <v>19</v>
      </c>
      <c r="H909">
        <v>11</v>
      </c>
      <c r="I909">
        <v>561.65</v>
      </c>
      <c r="J909">
        <v>6178.15</v>
      </c>
      <c r="K909" t="s">
        <v>29</v>
      </c>
      <c r="L909" t="s">
        <v>34</v>
      </c>
      <c r="M909">
        <v>1023.71</v>
      </c>
      <c r="N909" s="3">
        <f t="shared" si="14"/>
        <v>45839</v>
      </c>
    </row>
    <row r="910" spans="1:14" x14ac:dyDescent="0.35">
      <c r="A910" t="s">
        <v>1293</v>
      </c>
      <c r="B910" t="s">
        <v>270</v>
      </c>
      <c r="C910" t="s">
        <v>47</v>
      </c>
      <c r="D910" t="s">
        <v>53</v>
      </c>
      <c r="E910" t="s">
        <v>17</v>
      </c>
      <c r="F910" t="s">
        <v>37</v>
      </c>
      <c r="G910" t="s">
        <v>105</v>
      </c>
      <c r="H910">
        <v>9</v>
      </c>
      <c r="I910">
        <v>156.77000000000001</v>
      </c>
      <c r="J910">
        <v>1410.93</v>
      </c>
      <c r="K910" t="s">
        <v>63</v>
      </c>
      <c r="L910" t="s">
        <v>39</v>
      </c>
      <c r="M910">
        <v>189.61</v>
      </c>
      <c r="N910" s="3">
        <f t="shared" si="14"/>
        <v>45717</v>
      </c>
    </row>
    <row r="911" spans="1:14" x14ac:dyDescent="0.35">
      <c r="A911" t="s">
        <v>1294</v>
      </c>
      <c r="B911" t="s">
        <v>125</v>
      </c>
      <c r="C911" t="s">
        <v>24</v>
      </c>
      <c r="D911" t="s">
        <v>69</v>
      </c>
      <c r="E911" t="s">
        <v>48</v>
      </c>
      <c r="F911" t="s">
        <v>44</v>
      </c>
      <c r="G911" t="s">
        <v>96</v>
      </c>
      <c r="H911">
        <v>6</v>
      </c>
      <c r="I911">
        <v>687.48</v>
      </c>
      <c r="J911">
        <v>4124.88</v>
      </c>
      <c r="K911" t="s">
        <v>49</v>
      </c>
      <c r="L911" t="s">
        <v>34</v>
      </c>
      <c r="M911">
        <v>1226.69</v>
      </c>
      <c r="N911" s="3">
        <f t="shared" si="14"/>
        <v>45778</v>
      </c>
    </row>
    <row r="912" spans="1:14" x14ac:dyDescent="0.35">
      <c r="A912" t="s">
        <v>1295</v>
      </c>
      <c r="B912" t="s">
        <v>115</v>
      </c>
      <c r="C912" t="s">
        <v>24</v>
      </c>
      <c r="D912" t="s">
        <v>53</v>
      </c>
      <c r="E912" t="s">
        <v>43</v>
      </c>
      <c r="F912" t="s">
        <v>18</v>
      </c>
      <c r="G912" t="s">
        <v>28</v>
      </c>
      <c r="H912">
        <v>1</v>
      </c>
      <c r="I912">
        <v>558.13</v>
      </c>
      <c r="J912">
        <v>558.13</v>
      </c>
      <c r="K912" t="s">
        <v>29</v>
      </c>
      <c r="L912" t="s">
        <v>77</v>
      </c>
      <c r="M912">
        <v>83.81</v>
      </c>
      <c r="N912" s="3">
        <f t="shared" si="14"/>
        <v>45931</v>
      </c>
    </row>
    <row r="913" spans="1:14" x14ac:dyDescent="0.35">
      <c r="A913" t="s">
        <v>1296</v>
      </c>
      <c r="B913" t="s">
        <v>131</v>
      </c>
      <c r="C913" t="s">
        <v>24</v>
      </c>
      <c r="D913" t="s">
        <v>74</v>
      </c>
      <c r="E913" t="s">
        <v>26</v>
      </c>
      <c r="F913" t="s">
        <v>27</v>
      </c>
      <c r="G913" t="s">
        <v>45</v>
      </c>
      <c r="H913">
        <v>17</v>
      </c>
      <c r="I913">
        <v>317.58</v>
      </c>
      <c r="J913">
        <v>5398.86</v>
      </c>
      <c r="K913" t="s">
        <v>66</v>
      </c>
      <c r="L913" t="s">
        <v>21</v>
      </c>
      <c r="M913">
        <v>1173.08</v>
      </c>
      <c r="N913" s="3">
        <f t="shared" si="14"/>
        <v>45962</v>
      </c>
    </row>
    <row r="914" spans="1:14" x14ac:dyDescent="0.35">
      <c r="A914" t="s">
        <v>1297</v>
      </c>
      <c r="B914" t="s">
        <v>696</v>
      </c>
      <c r="C914" t="s">
        <v>32</v>
      </c>
      <c r="D914" t="s">
        <v>33</v>
      </c>
      <c r="E914" t="s">
        <v>17</v>
      </c>
      <c r="F914" t="s">
        <v>27</v>
      </c>
      <c r="G914" t="s">
        <v>56</v>
      </c>
      <c r="H914">
        <v>12</v>
      </c>
      <c r="I914">
        <v>177.08</v>
      </c>
      <c r="J914">
        <v>2124.96</v>
      </c>
      <c r="K914" t="s">
        <v>66</v>
      </c>
      <c r="L914" t="s">
        <v>77</v>
      </c>
      <c r="M914">
        <v>238.88</v>
      </c>
      <c r="N914" s="3">
        <f t="shared" si="14"/>
        <v>45992</v>
      </c>
    </row>
    <row r="915" spans="1:14" x14ac:dyDescent="0.35">
      <c r="A915" t="s">
        <v>1298</v>
      </c>
      <c r="B915" t="s">
        <v>957</v>
      </c>
      <c r="C915" t="s">
        <v>24</v>
      </c>
      <c r="D915" t="s">
        <v>42</v>
      </c>
      <c r="E915" t="s">
        <v>43</v>
      </c>
      <c r="F915" t="s">
        <v>44</v>
      </c>
      <c r="G915" t="s">
        <v>19</v>
      </c>
      <c r="H915">
        <v>5</v>
      </c>
      <c r="I915">
        <v>973.91</v>
      </c>
      <c r="J915">
        <v>4869.55</v>
      </c>
      <c r="K915" t="s">
        <v>29</v>
      </c>
      <c r="L915" t="s">
        <v>34</v>
      </c>
      <c r="M915">
        <v>608.9</v>
      </c>
      <c r="N915" s="3">
        <f t="shared" si="14"/>
        <v>45839</v>
      </c>
    </row>
    <row r="916" spans="1:14" x14ac:dyDescent="0.35">
      <c r="A916" t="s">
        <v>1299</v>
      </c>
      <c r="B916" t="s">
        <v>289</v>
      </c>
      <c r="C916" t="s">
        <v>32</v>
      </c>
      <c r="D916" t="s">
        <v>116</v>
      </c>
      <c r="E916" t="s">
        <v>26</v>
      </c>
      <c r="F916" t="s">
        <v>37</v>
      </c>
      <c r="G916" t="s">
        <v>38</v>
      </c>
      <c r="H916">
        <v>6</v>
      </c>
      <c r="I916">
        <v>52.49</v>
      </c>
      <c r="J916">
        <v>314.94</v>
      </c>
      <c r="K916" t="s">
        <v>82</v>
      </c>
      <c r="L916" t="s">
        <v>21</v>
      </c>
      <c r="M916">
        <v>58.65</v>
      </c>
      <c r="N916" s="3">
        <f t="shared" si="14"/>
        <v>45931</v>
      </c>
    </row>
    <row r="917" spans="1:14" x14ac:dyDescent="0.35">
      <c r="A917" t="s">
        <v>1300</v>
      </c>
      <c r="B917" t="s">
        <v>311</v>
      </c>
      <c r="C917" t="s">
        <v>15</v>
      </c>
      <c r="D917" t="s">
        <v>74</v>
      </c>
      <c r="E917" t="s">
        <v>48</v>
      </c>
      <c r="F917" t="s">
        <v>27</v>
      </c>
      <c r="G917" t="s">
        <v>38</v>
      </c>
      <c r="H917">
        <v>10</v>
      </c>
      <c r="I917">
        <v>307.33</v>
      </c>
      <c r="J917">
        <v>3073.3</v>
      </c>
      <c r="K917" t="s">
        <v>20</v>
      </c>
      <c r="L917" t="s">
        <v>21</v>
      </c>
      <c r="M917">
        <v>443.32</v>
      </c>
      <c r="N917" s="3">
        <f t="shared" si="14"/>
        <v>45717</v>
      </c>
    </row>
    <row r="918" spans="1:14" x14ac:dyDescent="0.35">
      <c r="A918" t="s">
        <v>1301</v>
      </c>
      <c r="B918" t="s">
        <v>242</v>
      </c>
      <c r="C918" t="s">
        <v>24</v>
      </c>
      <c r="D918" t="s">
        <v>16</v>
      </c>
      <c r="E918" t="s">
        <v>17</v>
      </c>
      <c r="F918" t="s">
        <v>27</v>
      </c>
      <c r="G918" t="s">
        <v>105</v>
      </c>
      <c r="H918">
        <v>15</v>
      </c>
      <c r="I918">
        <v>762.05</v>
      </c>
      <c r="J918">
        <v>11430.75</v>
      </c>
      <c r="K918" t="s">
        <v>49</v>
      </c>
      <c r="L918" t="s">
        <v>21</v>
      </c>
      <c r="M918">
        <v>2249.0700000000002</v>
      </c>
      <c r="N918" s="3">
        <f t="shared" si="14"/>
        <v>45839</v>
      </c>
    </row>
    <row r="919" spans="1:14" x14ac:dyDescent="0.35">
      <c r="A919" t="s">
        <v>1302</v>
      </c>
      <c r="B919" t="s">
        <v>386</v>
      </c>
      <c r="C919" t="s">
        <v>32</v>
      </c>
      <c r="D919" t="s">
        <v>25</v>
      </c>
      <c r="E919" t="s">
        <v>17</v>
      </c>
      <c r="F919" t="s">
        <v>44</v>
      </c>
      <c r="G919" t="s">
        <v>105</v>
      </c>
      <c r="H919">
        <v>2</v>
      </c>
      <c r="I919">
        <v>499.99</v>
      </c>
      <c r="J919">
        <v>999.98</v>
      </c>
      <c r="K919" t="s">
        <v>82</v>
      </c>
      <c r="L919" t="s">
        <v>39</v>
      </c>
      <c r="M919">
        <v>258.08</v>
      </c>
      <c r="N919" s="3">
        <f t="shared" si="14"/>
        <v>45778</v>
      </c>
    </row>
    <row r="920" spans="1:14" x14ac:dyDescent="0.35">
      <c r="A920" t="s">
        <v>1303</v>
      </c>
      <c r="B920" t="s">
        <v>242</v>
      </c>
      <c r="C920" t="s">
        <v>32</v>
      </c>
      <c r="D920" t="s">
        <v>42</v>
      </c>
      <c r="E920" t="s">
        <v>48</v>
      </c>
      <c r="F920" t="s">
        <v>37</v>
      </c>
      <c r="G920" t="s">
        <v>85</v>
      </c>
      <c r="H920">
        <v>2</v>
      </c>
      <c r="I920">
        <v>257.64999999999998</v>
      </c>
      <c r="J920">
        <v>515.29999999999995</v>
      </c>
      <c r="K920" t="s">
        <v>29</v>
      </c>
      <c r="L920" t="s">
        <v>34</v>
      </c>
      <c r="M920">
        <v>95.19</v>
      </c>
      <c r="N920" s="3">
        <f t="shared" si="14"/>
        <v>45839</v>
      </c>
    </row>
    <row r="921" spans="1:14" x14ac:dyDescent="0.35">
      <c r="A921" t="s">
        <v>1304</v>
      </c>
      <c r="B921" t="s">
        <v>447</v>
      </c>
      <c r="C921" t="s">
        <v>15</v>
      </c>
      <c r="D921" t="s">
        <v>53</v>
      </c>
      <c r="E921" t="s">
        <v>26</v>
      </c>
      <c r="F921" t="s">
        <v>27</v>
      </c>
      <c r="G921" t="s">
        <v>56</v>
      </c>
      <c r="H921">
        <v>20</v>
      </c>
      <c r="I921">
        <v>792.09</v>
      </c>
      <c r="J921">
        <v>15841.8</v>
      </c>
      <c r="K921" t="s">
        <v>49</v>
      </c>
      <c r="L921" t="s">
        <v>77</v>
      </c>
      <c r="M921">
        <v>2400.19</v>
      </c>
      <c r="N921" s="3">
        <f t="shared" si="14"/>
        <v>45992</v>
      </c>
    </row>
    <row r="922" spans="1:14" x14ac:dyDescent="0.35">
      <c r="A922" t="s">
        <v>1305</v>
      </c>
      <c r="B922" t="s">
        <v>95</v>
      </c>
      <c r="C922" t="s">
        <v>32</v>
      </c>
      <c r="D922" t="s">
        <v>74</v>
      </c>
      <c r="E922" t="s">
        <v>48</v>
      </c>
      <c r="F922" t="s">
        <v>44</v>
      </c>
      <c r="G922" t="s">
        <v>38</v>
      </c>
      <c r="H922">
        <v>4</v>
      </c>
      <c r="I922">
        <v>221.3</v>
      </c>
      <c r="J922">
        <v>885.2</v>
      </c>
      <c r="K922" t="s">
        <v>66</v>
      </c>
      <c r="L922" t="s">
        <v>39</v>
      </c>
      <c r="M922">
        <v>108.4</v>
      </c>
      <c r="N922" s="3">
        <f t="shared" si="14"/>
        <v>45931</v>
      </c>
    </row>
    <row r="923" spans="1:14" x14ac:dyDescent="0.35">
      <c r="A923" t="s">
        <v>1306</v>
      </c>
      <c r="B923" t="s">
        <v>184</v>
      </c>
      <c r="C923" t="s">
        <v>47</v>
      </c>
      <c r="D923" t="s">
        <v>16</v>
      </c>
      <c r="E923" t="s">
        <v>48</v>
      </c>
      <c r="F923" t="s">
        <v>37</v>
      </c>
      <c r="G923" t="s">
        <v>28</v>
      </c>
      <c r="H923">
        <v>5</v>
      </c>
      <c r="I923">
        <v>968.13</v>
      </c>
      <c r="J923">
        <v>4840.6499999999996</v>
      </c>
      <c r="K923" t="s">
        <v>63</v>
      </c>
      <c r="L923" t="s">
        <v>34</v>
      </c>
      <c r="M923">
        <v>889.75</v>
      </c>
      <c r="N923" s="3">
        <f t="shared" si="14"/>
        <v>45689</v>
      </c>
    </row>
    <row r="924" spans="1:14" x14ac:dyDescent="0.35">
      <c r="A924" t="s">
        <v>1307</v>
      </c>
      <c r="B924" t="s">
        <v>659</v>
      </c>
      <c r="C924" t="s">
        <v>24</v>
      </c>
      <c r="D924" t="s">
        <v>74</v>
      </c>
      <c r="E924" t="s">
        <v>26</v>
      </c>
      <c r="F924" t="s">
        <v>37</v>
      </c>
      <c r="G924" t="s">
        <v>85</v>
      </c>
      <c r="H924">
        <v>9</v>
      </c>
      <c r="I924">
        <v>808.58</v>
      </c>
      <c r="J924">
        <v>7277.22</v>
      </c>
      <c r="K924" t="s">
        <v>20</v>
      </c>
      <c r="L924" t="s">
        <v>77</v>
      </c>
      <c r="M924">
        <v>1117.1199999999999</v>
      </c>
      <c r="N924" s="3">
        <f t="shared" si="14"/>
        <v>45717</v>
      </c>
    </row>
    <row r="925" spans="1:14" x14ac:dyDescent="0.35">
      <c r="A925" t="s">
        <v>1308</v>
      </c>
      <c r="B925" t="s">
        <v>563</v>
      </c>
      <c r="C925" t="s">
        <v>24</v>
      </c>
      <c r="D925" t="s">
        <v>25</v>
      </c>
      <c r="E925" t="s">
        <v>43</v>
      </c>
      <c r="F925" t="s">
        <v>27</v>
      </c>
      <c r="G925" t="s">
        <v>96</v>
      </c>
      <c r="H925">
        <v>17</v>
      </c>
      <c r="I925">
        <v>516.52</v>
      </c>
      <c r="J925">
        <v>8780.84</v>
      </c>
      <c r="K925" t="s">
        <v>20</v>
      </c>
      <c r="L925" t="s">
        <v>34</v>
      </c>
      <c r="M925">
        <v>1018.41</v>
      </c>
      <c r="N925" s="3">
        <f t="shared" si="14"/>
        <v>45992</v>
      </c>
    </row>
    <row r="926" spans="1:14" x14ac:dyDescent="0.35">
      <c r="A926" t="s">
        <v>1309</v>
      </c>
      <c r="B926" t="s">
        <v>299</v>
      </c>
      <c r="C926" t="s">
        <v>24</v>
      </c>
      <c r="D926" t="s">
        <v>25</v>
      </c>
      <c r="E926" t="s">
        <v>17</v>
      </c>
      <c r="F926" t="s">
        <v>44</v>
      </c>
      <c r="G926" t="s">
        <v>56</v>
      </c>
      <c r="H926">
        <v>7</v>
      </c>
      <c r="I926">
        <v>867.59</v>
      </c>
      <c r="J926">
        <v>6073.13</v>
      </c>
      <c r="K926" t="s">
        <v>66</v>
      </c>
      <c r="L926" t="s">
        <v>39</v>
      </c>
      <c r="M926">
        <v>858.04</v>
      </c>
      <c r="N926" s="3">
        <f t="shared" si="14"/>
        <v>45689</v>
      </c>
    </row>
    <row r="927" spans="1:14" x14ac:dyDescent="0.35">
      <c r="A927" t="s">
        <v>1310</v>
      </c>
      <c r="B927" t="s">
        <v>486</v>
      </c>
      <c r="C927" t="s">
        <v>32</v>
      </c>
      <c r="D927" t="s">
        <v>53</v>
      </c>
      <c r="E927" t="s">
        <v>17</v>
      </c>
      <c r="F927" t="s">
        <v>27</v>
      </c>
      <c r="G927" t="s">
        <v>38</v>
      </c>
      <c r="H927">
        <v>1</v>
      </c>
      <c r="I927">
        <v>522.84</v>
      </c>
      <c r="J927">
        <v>522.84</v>
      </c>
      <c r="K927" t="s">
        <v>66</v>
      </c>
      <c r="L927" t="s">
        <v>77</v>
      </c>
      <c r="M927">
        <v>160.88</v>
      </c>
      <c r="N927" s="3">
        <f t="shared" si="14"/>
        <v>45870</v>
      </c>
    </row>
    <row r="928" spans="1:14" x14ac:dyDescent="0.35">
      <c r="A928" t="s">
        <v>1311</v>
      </c>
      <c r="B928" t="s">
        <v>318</v>
      </c>
      <c r="C928" t="s">
        <v>15</v>
      </c>
      <c r="D928" t="s">
        <v>74</v>
      </c>
      <c r="E928" t="s">
        <v>26</v>
      </c>
      <c r="F928" t="s">
        <v>27</v>
      </c>
      <c r="G928" t="s">
        <v>45</v>
      </c>
      <c r="H928">
        <v>20</v>
      </c>
      <c r="I928">
        <v>371.42</v>
      </c>
      <c r="J928">
        <v>7428.4</v>
      </c>
      <c r="K928" t="s">
        <v>49</v>
      </c>
      <c r="L928" t="s">
        <v>39</v>
      </c>
      <c r="M928">
        <v>1826.82</v>
      </c>
      <c r="N928" s="3">
        <f t="shared" si="14"/>
        <v>45992</v>
      </c>
    </row>
    <row r="929" spans="1:14" x14ac:dyDescent="0.35">
      <c r="A929" t="s">
        <v>1312</v>
      </c>
      <c r="B929" t="s">
        <v>943</v>
      </c>
      <c r="C929" t="s">
        <v>24</v>
      </c>
      <c r="D929" t="s">
        <v>69</v>
      </c>
      <c r="E929" t="s">
        <v>17</v>
      </c>
      <c r="F929" t="s">
        <v>44</v>
      </c>
      <c r="G929" t="s">
        <v>28</v>
      </c>
      <c r="H929">
        <v>1</v>
      </c>
      <c r="I929">
        <v>803.58</v>
      </c>
      <c r="J929">
        <v>803.58</v>
      </c>
      <c r="K929" t="s">
        <v>49</v>
      </c>
      <c r="L929" t="s">
        <v>34</v>
      </c>
      <c r="M929">
        <v>245.66</v>
      </c>
      <c r="N929" s="3">
        <f t="shared" si="14"/>
        <v>45931</v>
      </c>
    </row>
    <row r="930" spans="1:14" x14ac:dyDescent="0.35">
      <c r="A930" t="s">
        <v>1313</v>
      </c>
      <c r="B930" t="s">
        <v>1016</v>
      </c>
      <c r="C930" t="s">
        <v>47</v>
      </c>
      <c r="D930" t="s">
        <v>16</v>
      </c>
      <c r="E930" t="s">
        <v>43</v>
      </c>
      <c r="F930" t="s">
        <v>27</v>
      </c>
      <c r="G930" t="s">
        <v>85</v>
      </c>
      <c r="H930">
        <v>5</v>
      </c>
      <c r="I930">
        <v>193.95</v>
      </c>
      <c r="J930">
        <v>969.75</v>
      </c>
      <c r="K930" t="s">
        <v>82</v>
      </c>
      <c r="L930" t="s">
        <v>34</v>
      </c>
      <c r="M930">
        <v>171.29</v>
      </c>
      <c r="N930" s="3">
        <f t="shared" si="14"/>
        <v>45658</v>
      </c>
    </row>
    <row r="931" spans="1:14" x14ac:dyDescent="0.35">
      <c r="A931" t="s">
        <v>1314</v>
      </c>
      <c r="B931" t="s">
        <v>1123</v>
      </c>
      <c r="C931" t="s">
        <v>47</v>
      </c>
      <c r="D931" t="s">
        <v>16</v>
      </c>
      <c r="E931" t="s">
        <v>43</v>
      </c>
      <c r="F931" t="s">
        <v>18</v>
      </c>
      <c r="G931" t="s">
        <v>105</v>
      </c>
      <c r="H931">
        <v>6</v>
      </c>
      <c r="I931">
        <v>594.4</v>
      </c>
      <c r="J931">
        <v>3566.4</v>
      </c>
      <c r="K931" t="s">
        <v>49</v>
      </c>
      <c r="L931" t="s">
        <v>39</v>
      </c>
      <c r="M931">
        <v>546.67999999999995</v>
      </c>
      <c r="N931" s="3">
        <f t="shared" si="14"/>
        <v>45717</v>
      </c>
    </row>
    <row r="932" spans="1:14" x14ac:dyDescent="0.35">
      <c r="A932" t="s">
        <v>1315</v>
      </c>
      <c r="B932" t="s">
        <v>129</v>
      </c>
      <c r="C932" t="s">
        <v>15</v>
      </c>
      <c r="D932" t="s">
        <v>25</v>
      </c>
      <c r="E932" t="s">
        <v>26</v>
      </c>
      <c r="F932" t="s">
        <v>44</v>
      </c>
      <c r="G932" t="s">
        <v>96</v>
      </c>
      <c r="H932">
        <v>7</v>
      </c>
      <c r="I932">
        <v>320.81</v>
      </c>
      <c r="J932">
        <v>2245.67</v>
      </c>
      <c r="K932" t="s">
        <v>29</v>
      </c>
      <c r="L932" t="s">
        <v>50</v>
      </c>
      <c r="M932">
        <v>710.45</v>
      </c>
      <c r="N932" s="3">
        <f t="shared" si="14"/>
        <v>45962</v>
      </c>
    </row>
    <row r="933" spans="1:14" x14ac:dyDescent="0.35">
      <c r="A933" t="s">
        <v>1316</v>
      </c>
      <c r="B933" t="s">
        <v>320</v>
      </c>
      <c r="C933" t="s">
        <v>24</v>
      </c>
      <c r="D933" t="s">
        <v>53</v>
      </c>
      <c r="E933" t="s">
        <v>43</v>
      </c>
      <c r="F933" t="s">
        <v>44</v>
      </c>
      <c r="G933" t="s">
        <v>38</v>
      </c>
      <c r="H933">
        <v>2</v>
      </c>
      <c r="I933">
        <v>115.44</v>
      </c>
      <c r="J933">
        <v>230.88</v>
      </c>
      <c r="K933" t="s">
        <v>63</v>
      </c>
      <c r="L933" t="s">
        <v>50</v>
      </c>
      <c r="M933">
        <v>44.95</v>
      </c>
      <c r="N933" s="3">
        <f t="shared" si="14"/>
        <v>45809</v>
      </c>
    </row>
    <row r="934" spans="1:14" x14ac:dyDescent="0.35">
      <c r="A934" t="s">
        <v>1317</v>
      </c>
      <c r="B934" t="s">
        <v>1318</v>
      </c>
      <c r="C934" t="s">
        <v>47</v>
      </c>
      <c r="D934" t="s">
        <v>42</v>
      </c>
      <c r="E934" t="s">
        <v>43</v>
      </c>
      <c r="F934" t="s">
        <v>37</v>
      </c>
      <c r="G934" t="s">
        <v>38</v>
      </c>
      <c r="H934">
        <v>10</v>
      </c>
      <c r="I934">
        <v>453.74</v>
      </c>
      <c r="J934">
        <v>4537.3999999999996</v>
      </c>
      <c r="K934" t="s">
        <v>63</v>
      </c>
      <c r="L934" t="s">
        <v>39</v>
      </c>
      <c r="M934">
        <v>1464.1</v>
      </c>
      <c r="N934" s="3">
        <f t="shared" si="14"/>
        <v>45870</v>
      </c>
    </row>
    <row r="935" spans="1:14" x14ac:dyDescent="0.35">
      <c r="A935" t="s">
        <v>1319</v>
      </c>
      <c r="B935" t="s">
        <v>848</v>
      </c>
      <c r="C935" t="s">
        <v>24</v>
      </c>
      <c r="D935" t="s">
        <v>53</v>
      </c>
      <c r="E935" t="s">
        <v>48</v>
      </c>
      <c r="F935" t="s">
        <v>44</v>
      </c>
      <c r="G935" t="s">
        <v>85</v>
      </c>
      <c r="H935">
        <v>15</v>
      </c>
      <c r="I935">
        <v>984.93</v>
      </c>
      <c r="J935">
        <v>14773.95</v>
      </c>
      <c r="K935" t="s">
        <v>29</v>
      </c>
      <c r="L935" t="s">
        <v>34</v>
      </c>
      <c r="M935">
        <v>2320.81</v>
      </c>
      <c r="N935" s="3">
        <f t="shared" si="14"/>
        <v>45658</v>
      </c>
    </row>
    <row r="936" spans="1:14" x14ac:dyDescent="0.35">
      <c r="A936" t="s">
        <v>1320</v>
      </c>
      <c r="B936" t="s">
        <v>1089</v>
      </c>
      <c r="C936" t="s">
        <v>47</v>
      </c>
      <c r="D936" t="s">
        <v>69</v>
      </c>
      <c r="E936" t="s">
        <v>26</v>
      </c>
      <c r="F936" t="s">
        <v>37</v>
      </c>
      <c r="G936" t="s">
        <v>45</v>
      </c>
      <c r="H936">
        <v>9</v>
      </c>
      <c r="I936">
        <v>758.84</v>
      </c>
      <c r="J936">
        <v>6829.56</v>
      </c>
      <c r="K936" t="s">
        <v>49</v>
      </c>
      <c r="L936" t="s">
        <v>77</v>
      </c>
      <c r="M936">
        <v>1849.11</v>
      </c>
      <c r="N936" s="3">
        <f t="shared" si="14"/>
        <v>45778</v>
      </c>
    </row>
    <row r="937" spans="1:14" x14ac:dyDescent="0.35">
      <c r="A937" t="s">
        <v>1321</v>
      </c>
      <c r="B937" t="s">
        <v>1322</v>
      </c>
      <c r="C937" t="s">
        <v>15</v>
      </c>
      <c r="D937" t="s">
        <v>33</v>
      </c>
      <c r="E937" t="s">
        <v>48</v>
      </c>
      <c r="F937" t="s">
        <v>18</v>
      </c>
      <c r="G937" t="s">
        <v>45</v>
      </c>
      <c r="H937">
        <v>3</v>
      </c>
      <c r="I937">
        <v>97.33</v>
      </c>
      <c r="J937">
        <v>291.99</v>
      </c>
      <c r="K937" t="s">
        <v>29</v>
      </c>
      <c r="L937" t="s">
        <v>39</v>
      </c>
      <c r="M937">
        <v>40.76</v>
      </c>
      <c r="N937" s="3">
        <f t="shared" si="14"/>
        <v>45689</v>
      </c>
    </row>
    <row r="938" spans="1:14" x14ac:dyDescent="0.35">
      <c r="A938" t="s">
        <v>1323</v>
      </c>
      <c r="B938" t="s">
        <v>943</v>
      </c>
      <c r="C938" t="s">
        <v>24</v>
      </c>
      <c r="D938" t="s">
        <v>74</v>
      </c>
      <c r="E938" t="s">
        <v>26</v>
      </c>
      <c r="F938" t="s">
        <v>18</v>
      </c>
      <c r="G938" t="s">
        <v>56</v>
      </c>
      <c r="H938">
        <v>16</v>
      </c>
      <c r="I938">
        <v>43.21</v>
      </c>
      <c r="J938">
        <v>691.36</v>
      </c>
      <c r="K938" t="s">
        <v>66</v>
      </c>
      <c r="L938" t="s">
        <v>50</v>
      </c>
      <c r="M938">
        <v>153.71</v>
      </c>
      <c r="N938" s="3">
        <f t="shared" si="14"/>
        <v>45931</v>
      </c>
    </row>
    <row r="939" spans="1:14" x14ac:dyDescent="0.35">
      <c r="A939" t="s">
        <v>1324</v>
      </c>
      <c r="B939" t="s">
        <v>215</v>
      </c>
      <c r="C939" t="s">
        <v>32</v>
      </c>
      <c r="D939" t="s">
        <v>33</v>
      </c>
      <c r="E939" t="s">
        <v>17</v>
      </c>
      <c r="F939" t="s">
        <v>18</v>
      </c>
      <c r="G939" t="s">
        <v>105</v>
      </c>
      <c r="H939">
        <v>15</v>
      </c>
      <c r="I939">
        <v>956.97</v>
      </c>
      <c r="J939">
        <v>14354.55</v>
      </c>
      <c r="K939" t="s">
        <v>49</v>
      </c>
      <c r="L939" t="s">
        <v>50</v>
      </c>
      <c r="M939">
        <v>2421.36</v>
      </c>
      <c r="N939" s="3">
        <f t="shared" si="14"/>
        <v>45658</v>
      </c>
    </row>
    <row r="940" spans="1:14" x14ac:dyDescent="0.35">
      <c r="A940" t="s">
        <v>1325</v>
      </c>
      <c r="B940" t="s">
        <v>324</v>
      </c>
      <c r="C940" t="s">
        <v>32</v>
      </c>
      <c r="D940" t="s">
        <v>33</v>
      </c>
      <c r="E940" t="s">
        <v>48</v>
      </c>
      <c r="F940" t="s">
        <v>37</v>
      </c>
      <c r="G940" t="s">
        <v>85</v>
      </c>
      <c r="H940">
        <v>6</v>
      </c>
      <c r="I940">
        <v>844.54</v>
      </c>
      <c r="J940">
        <v>5067.24</v>
      </c>
      <c r="K940" t="s">
        <v>63</v>
      </c>
      <c r="L940" t="s">
        <v>50</v>
      </c>
      <c r="M940">
        <v>752.89</v>
      </c>
      <c r="N940" s="3">
        <f t="shared" si="14"/>
        <v>45717</v>
      </c>
    </row>
    <row r="941" spans="1:14" x14ac:dyDescent="0.35">
      <c r="A941" t="s">
        <v>1326</v>
      </c>
      <c r="B941" t="s">
        <v>301</v>
      </c>
      <c r="C941" t="s">
        <v>15</v>
      </c>
      <c r="D941" t="s">
        <v>33</v>
      </c>
      <c r="E941" t="s">
        <v>17</v>
      </c>
      <c r="F941" t="s">
        <v>37</v>
      </c>
      <c r="G941" t="s">
        <v>38</v>
      </c>
      <c r="H941">
        <v>11</v>
      </c>
      <c r="I941">
        <v>833.89</v>
      </c>
      <c r="J941">
        <v>9172.7900000000009</v>
      </c>
      <c r="K941" t="s">
        <v>82</v>
      </c>
      <c r="L941" t="s">
        <v>77</v>
      </c>
      <c r="M941">
        <v>2971.77</v>
      </c>
      <c r="N941" s="3">
        <f t="shared" si="14"/>
        <v>45962</v>
      </c>
    </row>
    <row r="942" spans="1:14" x14ac:dyDescent="0.35">
      <c r="A942" t="s">
        <v>1327</v>
      </c>
      <c r="B942" t="s">
        <v>1328</v>
      </c>
      <c r="C942" t="s">
        <v>32</v>
      </c>
      <c r="D942" t="s">
        <v>116</v>
      </c>
      <c r="E942" t="s">
        <v>48</v>
      </c>
      <c r="F942" t="s">
        <v>44</v>
      </c>
      <c r="G942" t="s">
        <v>45</v>
      </c>
      <c r="H942">
        <v>12</v>
      </c>
      <c r="I942">
        <v>132.41</v>
      </c>
      <c r="J942">
        <v>1588.92</v>
      </c>
      <c r="K942" t="s">
        <v>82</v>
      </c>
      <c r="L942" t="s">
        <v>77</v>
      </c>
      <c r="M942">
        <v>500.94</v>
      </c>
      <c r="N942" s="3">
        <f t="shared" si="14"/>
        <v>45717</v>
      </c>
    </row>
    <row r="943" spans="1:14" x14ac:dyDescent="0.35">
      <c r="A943" t="s">
        <v>1329</v>
      </c>
      <c r="B943" t="s">
        <v>806</v>
      </c>
      <c r="C943" t="s">
        <v>32</v>
      </c>
      <c r="D943" t="s">
        <v>42</v>
      </c>
      <c r="E943" t="s">
        <v>26</v>
      </c>
      <c r="F943" t="s">
        <v>44</v>
      </c>
      <c r="G943" t="s">
        <v>96</v>
      </c>
      <c r="H943">
        <v>6</v>
      </c>
      <c r="I943">
        <v>837.62</v>
      </c>
      <c r="J943">
        <v>5025.72</v>
      </c>
      <c r="K943" t="s">
        <v>66</v>
      </c>
      <c r="L943" t="s">
        <v>21</v>
      </c>
      <c r="M943">
        <v>1668.93</v>
      </c>
      <c r="N943" s="3">
        <f t="shared" si="14"/>
        <v>45748</v>
      </c>
    </row>
    <row r="944" spans="1:14" x14ac:dyDescent="0.35">
      <c r="A944" t="s">
        <v>1330</v>
      </c>
      <c r="B944" t="s">
        <v>136</v>
      </c>
      <c r="C944" t="s">
        <v>15</v>
      </c>
      <c r="D944" t="s">
        <v>116</v>
      </c>
      <c r="E944" t="s">
        <v>26</v>
      </c>
      <c r="F944" t="s">
        <v>37</v>
      </c>
      <c r="G944" t="s">
        <v>19</v>
      </c>
      <c r="H944">
        <v>14</v>
      </c>
      <c r="I944">
        <v>610.02</v>
      </c>
      <c r="J944">
        <v>8540.2800000000007</v>
      </c>
      <c r="K944" t="s">
        <v>63</v>
      </c>
      <c r="L944" t="s">
        <v>50</v>
      </c>
      <c r="M944">
        <v>2472.5</v>
      </c>
      <c r="N944" s="3">
        <f t="shared" si="14"/>
        <v>45870</v>
      </c>
    </row>
    <row r="945" spans="1:14" x14ac:dyDescent="0.35">
      <c r="A945" t="s">
        <v>1331</v>
      </c>
      <c r="B945" t="s">
        <v>237</v>
      </c>
      <c r="C945" t="s">
        <v>47</v>
      </c>
      <c r="D945" t="s">
        <v>33</v>
      </c>
      <c r="E945" t="s">
        <v>43</v>
      </c>
      <c r="F945" t="s">
        <v>44</v>
      </c>
      <c r="G945" t="s">
        <v>56</v>
      </c>
      <c r="H945">
        <v>16</v>
      </c>
      <c r="I945">
        <v>590.47</v>
      </c>
      <c r="J945">
        <v>9447.52</v>
      </c>
      <c r="K945" t="s">
        <v>20</v>
      </c>
      <c r="L945" t="s">
        <v>34</v>
      </c>
      <c r="M945">
        <v>2609.15</v>
      </c>
      <c r="N945" s="3">
        <f t="shared" si="14"/>
        <v>45962</v>
      </c>
    </row>
    <row r="946" spans="1:14" x14ac:dyDescent="0.35">
      <c r="A946" t="s">
        <v>1332</v>
      </c>
      <c r="B946" t="s">
        <v>599</v>
      </c>
      <c r="C946" t="s">
        <v>15</v>
      </c>
      <c r="D946" t="s">
        <v>69</v>
      </c>
      <c r="E946" t="s">
        <v>26</v>
      </c>
      <c r="F946" t="s">
        <v>37</v>
      </c>
      <c r="G946" t="s">
        <v>96</v>
      </c>
      <c r="H946">
        <v>13</v>
      </c>
      <c r="I946">
        <v>893.24</v>
      </c>
      <c r="J946">
        <v>11612.12</v>
      </c>
      <c r="K946" t="s">
        <v>66</v>
      </c>
      <c r="L946" t="s">
        <v>21</v>
      </c>
      <c r="M946">
        <v>1798.96</v>
      </c>
      <c r="N946" s="3">
        <f t="shared" si="14"/>
        <v>45778</v>
      </c>
    </row>
    <row r="947" spans="1:14" x14ac:dyDescent="0.35">
      <c r="A947" t="s">
        <v>1333</v>
      </c>
      <c r="B947" t="s">
        <v>199</v>
      </c>
      <c r="C947" t="s">
        <v>32</v>
      </c>
      <c r="D947" t="s">
        <v>25</v>
      </c>
      <c r="E947" t="s">
        <v>26</v>
      </c>
      <c r="F947" t="s">
        <v>27</v>
      </c>
      <c r="G947" t="s">
        <v>19</v>
      </c>
      <c r="H947">
        <v>2</v>
      </c>
      <c r="I947">
        <v>72.98</v>
      </c>
      <c r="J947">
        <v>145.96</v>
      </c>
      <c r="K947" t="s">
        <v>20</v>
      </c>
      <c r="L947" t="s">
        <v>50</v>
      </c>
      <c r="M947">
        <v>19.22</v>
      </c>
      <c r="N947" s="3">
        <f t="shared" si="14"/>
        <v>45870</v>
      </c>
    </row>
    <row r="948" spans="1:14" x14ac:dyDescent="0.35">
      <c r="A948" t="s">
        <v>1334</v>
      </c>
      <c r="B948" t="s">
        <v>58</v>
      </c>
      <c r="C948" t="s">
        <v>15</v>
      </c>
      <c r="D948" t="s">
        <v>53</v>
      </c>
      <c r="E948" t="s">
        <v>26</v>
      </c>
      <c r="F948" t="s">
        <v>18</v>
      </c>
      <c r="G948" t="s">
        <v>105</v>
      </c>
      <c r="H948">
        <v>2</v>
      </c>
      <c r="I948">
        <v>388</v>
      </c>
      <c r="J948">
        <v>776</v>
      </c>
      <c r="K948" t="s">
        <v>29</v>
      </c>
      <c r="L948" t="s">
        <v>77</v>
      </c>
      <c r="M948">
        <v>111.22</v>
      </c>
      <c r="N948" s="3">
        <f t="shared" si="14"/>
        <v>45717</v>
      </c>
    </row>
    <row r="949" spans="1:14" x14ac:dyDescent="0.35">
      <c r="A949" t="s">
        <v>1335</v>
      </c>
      <c r="B949" t="s">
        <v>1336</v>
      </c>
      <c r="C949" t="s">
        <v>24</v>
      </c>
      <c r="D949" t="s">
        <v>42</v>
      </c>
      <c r="E949" t="s">
        <v>48</v>
      </c>
      <c r="F949" t="s">
        <v>44</v>
      </c>
      <c r="G949" t="s">
        <v>85</v>
      </c>
      <c r="H949">
        <v>19</v>
      </c>
      <c r="I949">
        <v>558.44000000000005</v>
      </c>
      <c r="J949">
        <v>10610.36</v>
      </c>
      <c r="K949" t="s">
        <v>82</v>
      </c>
      <c r="L949" t="s">
        <v>50</v>
      </c>
      <c r="M949">
        <v>2648.29</v>
      </c>
      <c r="N949" s="3">
        <f t="shared" si="14"/>
        <v>45901</v>
      </c>
    </row>
    <row r="950" spans="1:14" x14ac:dyDescent="0.35">
      <c r="A950" t="s">
        <v>1337</v>
      </c>
      <c r="B950" t="s">
        <v>287</v>
      </c>
      <c r="C950" t="s">
        <v>32</v>
      </c>
      <c r="D950" t="s">
        <v>42</v>
      </c>
      <c r="E950" t="s">
        <v>17</v>
      </c>
      <c r="F950" t="s">
        <v>18</v>
      </c>
      <c r="G950" t="s">
        <v>56</v>
      </c>
      <c r="H950">
        <v>16</v>
      </c>
      <c r="I950">
        <v>801.67</v>
      </c>
      <c r="J950">
        <v>12826.72</v>
      </c>
      <c r="K950" t="s">
        <v>20</v>
      </c>
      <c r="L950" t="s">
        <v>21</v>
      </c>
      <c r="M950">
        <v>2215.81</v>
      </c>
      <c r="N950" s="3">
        <f t="shared" si="14"/>
        <v>45809</v>
      </c>
    </row>
    <row r="951" spans="1:14" x14ac:dyDescent="0.35">
      <c r="A951" t="s">
        <v>1338</v>
      </c>
      <c r="B951" t="s">
        <v>229</v>
      </c>
      <c r="C951" t="s">
        <v>24</v>
      </c>
      <c r="D951" t="s">
        <v>33</v>
      </c>
      <c r="E951" t="s">
        <v>43</v>
      </c>
      <c r="F951" t="s">
        <v>37</v>
      </c>
      <c r="G951" t="s">
        <v>28</v>
      </c>
      <c r="H951">
        <v>14</v>
      </c>
      <c r="I951">
        <v>650.98</v>
      </c>
      <c r="J951">
        <v>9113.7199999999993</v>
      </c>
      <c r="K951" t="s">
        <v>66</v>
      </c>
      <c r="L951" t="s">
        <v>50</v>
      </c>
      <c r="M951">
        <v>1915.28</v>
      </c>
      <c r="N951" s="3">
        <f t="shared" si="14"/>
        <v>45809</v>
      </c>
    </row>
    <row r="952" spans="1:14" x14ac:dyDescent="0.35">
      <c r="A952" t="s">
        <v>1339</v>
      </c>
      <c r="B952" t="s">
        <v>95</v>
      </c>
      <c r="C952" t="s">
        <v>24</v>
      </c>
      <c r="D952" t="s">
        <v>16</v>
      </c>
      <c r="E952" t="s">
        <v>17</v>
      </c>
      <c r="F952" t="s">
        <v>44</v>
      </c>
      <c r="G952" t="s">
        <v>85</v>
      </c>
      <c r="H952">
        <v>4</v>
      </c>
      <c r="I952">
        <v>188.04</v>
      </c>
      <c r="J952">
        <v>752.16</v>
      </c>
      <c r="K952" t="s">
        <v>49</v>
      </c>
      <c r="L952" t="s">
        <v>39</v>
      </c>
      <c r="M952">
        <v>151.94</v>
      </c>
      <c r="N952" s="3">
        <f t="shared" si="14"/>
        <v>45931</v>
      </c>
    </row>
    <row r="953" spans="1:14" x14ac:dyDescent="0.35">
      <c r="A953" t="s">
        <v>1340</v>
      </c>
      <c r="B953" t="s">
        <v>738</v>
      </c>
      <c r="C953" t="s">
        <v>15</v>
      </c>
      <c r="D953" t="s">
        <v>74</v>
      </c>
      <c r="E953" t="s">
        <v>26</v>
      </c>
      <c r="F953" t="s">
        <v>27</v>
      </c>
      <c r="G953" t="s">
        <v>96</v>
      </c>
      <c r="H953">
        <v>5</v>
      </c>
      <c r="I953">
        <v>266.20999999999998</v>
      </c>
      <c r="J953">
        <v>1331.05</v>
      </c>
      <c r="K953" t="s">
        <v>29</v>
      </c>
      <c r="L953" t="s">
        <v>21</v>
      </c>
      <c r="M953">
        <v>461</v>
      </c>
      <c r="N953" s="3">
        <f t="shared" si="14"/>
        <v>45717</v>
      </c>
    </row>
    <row r="954" spans="1:14" x14ac:dyDescent="0.35">
      <c r="A954" t="s">
        <v>1341</v>
      </c>
      <c r="B954" t="s">
        <v>178</v>
      </c>
      <c r="C954" t="s">
        <v>32</v>
      </c>
      <c r="D954" t="s">
        <v>25</v>
      </c>
      <c r="E954" t="s">
        <v>43</v>
      </c>
      <c r="F954" t="s">
        <v>44</v>
      </c>
      <c r="G954" t="s">
        <v>45</v>
      </c>
      <c r="H954">
        <v>9</v>
      </c>
      <c r="I954">
        <v>998.21</v>
      </c>
      <c r="J954">
        <v>8983.89</v>
      </c>
      <c r="K954" t="s">
        <v>63</v>
      </c>
      <c r="L954" t="s">
        <v>77</v>
      </c>
      <c r="M954">
        <v>1353.46</v>
      </c>
      <c r="N954" s="3">
        <f t="shared" si="14"/>
        <v>45901</v>
      </c>
    </row>
    <row r="955" spans="1:14" x14ac:dyDescent="0.35">
      <c r="A955" t="s">
        <v>1342</v>
      </c>
      <c r="B955" t="s">
        <v>373</v>
      </c>
      <c r="C955" t="s">
        <v>32</v>
      </c>
      <c r="D955" t="s">
        <v>53</v>
      </c>
      <c r="E955" t="s">
        <v>43</v>
      </c>
      <c r="F955" t="s">
        <v>18</v>
      </c>
      <c r="G955" t="s">
        <v>38</v>
      </c>
      <c r="H955">
        <v>8</v>
      </c>
      <c r="I955">
        <v>392.18</v>
      </c>
      <c r="J955">
        <v>3137.44</v>
      </c>
      <c r="K955" t="s">
        <v>82</v>
      </c>
      <c r="L955" t="s">
        <v>77</v>
      </c>
      <c r="M955">
        <v>789.23</v>
      </c>
      <c r="N955" s="3">
        <f t="shared" si="14"/>
        <v>45839</v>
      </c>
    </row>
    <row r="956" spans="1:14" x14ac:dyDescent="0.35">
      <c r="A956" t="s">
        <v>1343</v>
      </c>
      <c r="B956" t="s">
        <v>833</v>
      </c>
      <c r="C956" t="s">
        <v>24</v>
      </c>
      <c r="D956" t="s">
        <v>33</v>
      </c>
      <c r="E956" t="s">
        <v>26</v>
      </c>
      <c r="F956" t="s">
        <v>27</v>
      </c>
      <c r="G956" t="s">
        <v>28</v>
      </c>
      <c r="H956">
        <v>18</v>
      </c>
      <c r="I956">
        <v>900.13</v>
      </c>
      <c r="J956">
        <v>16202.34</v>
      </c>
      <c r="K956" t="s">
        <v>20</v>
      </c>
      <c r="L956" t="s">
        <v>77</v>
      </c>
      <c r="M956">
        <v>4255.54</v>
      </c>
      <c r="N956" s="3">
        <f t="shared" si="14"/>
        <v>45870</v>
      </c>
    </row>
    <row r="957" spans="1:14" x14ac:dyDescent="0.35">
      <c r="A957" t="s">
        <v>1344</v>
      </c>
      <c r="B957" t="s">
        <v>242</v>
      </c>
      <c r="C957" t="s">
        <v>15</v>
      </c>
      <c r="D957" t="s">
        <v>42</v>
      </c>
      <c r="E957" t="s">
        <v>26</v>
      </c>
      <c r="F957" t="s">
        <v>44</v>
      </c>
      <c r="G957" t="s">
        <v>45</v>
      </c>
      <c r="H957">
        <v>17</v>
      </c>
      <c r="I957">
        <v>79.959999999999994</v>
      </c>
      <c r="J957">
        <v>1359.32</v>
      </c>
      <c r="K957" t="s">
        <v>20</v>
      </c>
      <c r="L957" t="s">
        <v>21</v>
      </c>
      <c r="M957">
        <v>436.48</v>
      </c>
      <c r="N957" s="3">
        <f t="shared" si="14"/>
        <v>45839</v>
      </c>
    </row>
    <row r="958" spans="1:14" x14ac:dyDescent="0.35">
      <c r="A958" t="s">
        <v>1345</v>
      </c>
      <c r="B958" t="s">
        <v>215</v>
      </c>
      <c r="C958" t="s">
        <v>24</v>
      </c>
      <c r="D958" t="s">
        <v>25</v>
      </c>
      <c r="E958" t="s">
        <v>48</v>
      </c>
      <c r="F958" t="s">
        <v>27</v>
      </c>
      <c r="G958" t="s">
        <v>105</v>
      </c>
      <c r="H958">
        <v>3</v>
      </c>
      <c r="I958">
        <v>920.7</v>
      </c>
      <c r="J958">
        <v>2762.1</v>
      </c>
      <c r="K958" t="s">
        <v>63</v>
      </c>
      <c r="L958" t="s">
        <v>77</v>
      </c>
      <c r="M958">
        <v>752.57</v>
      </c>
      <c r="N958" s="3">
        <f t="shared" si="14"/>
        <v>45658</v>
      </c>
    </row>
    <row r="959" spans="1:14" x14ac:dyDescent="0.35">
      <c r="A959" t="s">
        <v>1346</v>
      </c>
      <c r="B959" t="s">
        <v>386</v>
      </c>
      <c r="C959" t="s">
        <v>47</v>
      </c>
      <c r="D959" t="s">
        <v>16</v>
      </c>
      <c r="E959" t="s">
        <v>48</v>
      </c>
      <c r="F959" t="s">
        <v>18</v>
      </c>
      <c r="G959" t="s">
        <v>85</v>
      </c>
      <c r="H959">
        <v>10</v>
      </c>
      <c r="I959">
        <v>374.53</v>
      </c>
      <c r="J959">
        <v>3745.3</v>
      </c>
      <c r="K959" t="s">
        <v>63</v>
      </c>
      <c r="L959" t="s">
        <v>21</v>
      </c>
      <c r="M959">
        <v>718.07</v>
      </c>
      <c r="N959" s="3">
        <f t="shared" si="14"/>
        <v>45778</v>
      </c>
    </row>
    <row r="960" spans="1:14" x14ac:dyDescent="0.35">
      <c r="A960" t="s">
        <v>1347</v>
      </c>
      <c r="B960" t="s">
        <v>62</v>
      </c>
      <c r="C960" t="s">
        <v>32</v>
      </c>
      <c r="D960" t="s">
        <v>16</v>
      </c>
      <c r="E960" t="s">
        <v>48</v>
      </c>
      <c r="F960" t="s">
        <v>44</v>
      </c>
      <c r="G960" t="s">
        <v>96</v>
      </c>
      <c r="H960">
        <v>17</v>
      </c>
      <c r="I960">
        <v>537.79</v>
      </c>
      <c r="J960">
        <v>9142.43</v>
      </c>
      <c r="K960" t="s">
        <v>63</v>
      </c>
      <c r="L960" t="s">
        <v>34</v>
      </c>
      <c r="M960">
        <v>2749.58</v>
      </c>
      <c r="N960" s="3">
        <f t="shared" si="14"/>
        <v>45748</v>
      </c>
    </row>
    <row r="961" spans="1:14" x14ac:dyDescent="0.35">
      <c r="A961" t="s">
        <v>1348</v>
      </c>
      <c r="B961" t="s">
        <v>976</v>
      </c>
      <c r="C961" t="s">
        <v>24</v>
      </c>
      <c r="D961" t="s">
        <v>25</v>
      </c>
      <c r="E961" t="s">
        <v>26</v>
      </c>
      <c r="F961" t="s">
        <v>27</v>
      </c>
      <c r="G961" t="s">
        <v>56</v>
      </c>
      <c r="H961">
        <v>18</v>
      </c>
      <c r="I961">
        <v>29.44</v>
      </c>
      <c r="J961">
        <v>529.91999999999996</v>
      </c>
      <c r="K961" t="s">
        <v>49</v>
      </c>
      <c r="L961" t="s">
        <v>50</v>
      </c>
      <c r="M961">
        <v>134.44</v>
      </c>
      <c r="N961" s="3">
        <f t="shared" si="14"/>
        <v>45992</v>
      </c>
    </row>
    <row r="962" spans="1:14" x14ac:dyDescent="0.35">
      <c r="A962" t="s">
        <v>1349</v>
      </c>
      <c r="B962" t="s">
        <v>468</v>
      </c>
      <c r="C962" t="s">
        <v>47</v>
      </c>
      <c r="D962" t="s">
        <v>33</v>
      </c>
      <c r="E962" t="s">
        <v>43</v>
      </c>
      <c r="F962" t="s">
        <v>37</v>
      </c>
      <c r="G962" t="s">
        <v>96</v>
      </c>
      <c r="H962">
        <v>11</v>
      </c>
      <c r="I962">
        <v>610.75</v>
      </c>
      <c r="J962">
        <v>6718.25</v>
      </c>
      <c r="K962" t="s">
        <v>29</v>
      </c>
      <c r="L962" t="s">
        <v>21</v>
      </c>
      <c r="M962">
        <v>1239.1099999999999</v>
      </c>
      <c r="N962" s="3">
        <f t="shared" si="14"/>
        <v>45778</v>
      </c>
    </row>
    <row r="963" spans="1:14" x14ac:dyDescent="0.35">
      <c r="A963" t="s">
        <v>1350</v>
      </c>
      <c r="B963" t="s">
        <v>890</v>
      </c>
      <c r="C963" t="s">
        <v>24</v>
      </c>
      <c r="D963" t="s">
        <v>33</v>
      </c>
      <c r="E963" t="s">
        <v>43</v>
      </c>
      <c r="F963" t="s">
        <v>18</v>
      </c>
      <c r="G963" t="s">
        <v>56</v>
      </c>
      <c r="H963">
        <v>12</v>
      </c>
      <c r="I963">
        <v>596.91999999999996</v>
      </c>
      <c r="J963">
        <v>7163.04</v>
      </c>
      <c r="K963" t="s">
        <v>66</v>
      </c>
      <c r="L963" t="s">
        <v>21</v>
      </c>
      <c r="M963">
        <v>1214.8800000000001</v>
      </c>
      <c r="N963" s="3">
        <f t="shared" ref="N963:N1001" si="15">DATE(YEAR(B963),MONTH(B963),1)</f>
        <v>45778</v>
      </c>
    </row>
    <row r="964" spans="1:14" x14ac:dyDescent="0.35">
      <c r="A964" t="s">
        <v>1351</v>
      </c>
      <c r="B964" t="s">
        <v>430</v>
      </c>
      <c r="C964" t="s">
        <v>15</v>
      </c>
      <c r="D964" t="s">
        <v>69</v>
      </c>
      <c r="E964" t="s">
        <v>17</v>
      </c>
      <c r="F964" t="s">
        <v>18</v>
      </c>
      <c r="G964" t="s">
        <v>85</v>
      </c>
      <c r="H964">
        <v>4</v>
      </c>
      <c r="I964">
        <v>878.45</v>
      </c>
      <c r="J964">
        <v>3513.8</v>
      </c>
      <c r="K964" t="s">
        <v>49</v>
      </c>
      <c r="L964" t="s">
        <v>21</v>
      </c>
      <c r="M964">
        <v>464.17</v>
      </c>
      <c r="N964" s="3">
        <f t="shared" si="15"/>
        <v>45992</v>
      </c>
    </row>
    <row r="965" spans="1:14" x14ac:dyDescent="0.35">
      <c r="A965" t="s">
        <v>1352</v>
      </c>
      <c r="B965" t="s">
        <v>605</v>
      </c>
      <c r="C965" t="s">
        <v>32</v>
      </c>
      <c r="D965" t="s">
        <v>53</v>
      </c>
      <c r="E965" t="s">
        <v>48</v>
      </c>
      <c r="F965" t="s">
        <v>37</v>
      </c>
      <c r="G965" t="s">
        <v>38</v>
      </c>
      <c r="H965">
        <v>7</v>
      </c>
      <c r="I965">
        <v>23.56</v>
      </c>
      <c r="J965">
        <v>164.92</v>
      </c>
      <c r="K965" t="s">
        <v>49</v>
      </c>
      <c r="L965" t="s">
        <v>34</v>
      </c>
      <c r="M965">
        <v>24.12</v>
      </c>
      <c r="N965" s="3">
        <f t="shared" si="15"/>
        <v>45809</v>
      </c>
    </row>
    <row r="966" spans="1:14" x14ac:dyDescent="0.35">
      <c r="A966" t="s">
        <v>1353</v>
      </c>
      <c r="B966" t="s">
        <v>661</v>
      </c>
      <c r="C966" t="s">
        <v>15</v>
      </c>
      <c r="D966" t="s">
        <v>53</v>
      </c>
      <c r="E966" t="s">
        <v>26</v>
      </c>
      <c r="F966" t="s">
        <v>27</v>
      </c>
      <c r="G966" t="s">
        <v>105</v>
      </c>
      <c r="H966">
        <v>16</v>
      </c>
      <c r="I966">
        <v>803.22</v>
      </c>
      <c r="J966">
        <v>12851.52</v>
      </c>
      <c r="K966" t="s">
        <v>82</v>
      </c>
      <c r="L966" t="s">
        <v>21</v>
      </c>
      <c r="M966">
        <v>2976.41</v>
      </c>
      <c r="N966" s="3">
        <f t="shared" si="15"/>
        <v>45689</v>
      </c>
    </row>
    <row r="967" spans="1:14" x14ac:dyDescent="0.35">
      <c r="A967" t="s">
        <v>1354</v>
      </c>
      <c r="B967" t="s">
        <v>133</v>
      </c>
      <c r="C967" t="s">
        <v>32</v>
      </c>
      <c r="D967" t="s">
        <v>116</v>
      </c>
      <c r="E967" t="s">
        <v>26</v>
      </c>
      <c r="F967" t="s">
        <v>44</v>
      </c>
      <c r="G967" t="s">
        <v>56</v>
      </c>
      <c r="H967">
        <v>11</v>
      </c>
      <c r="I967">
        <v>854.24</v>
      </c>
      <c r="J967">
        <v>9396.64</v>
      </c>
      <c r="K967" t="s">
        <v>66</v>
      </c>
      <c r="L967" t="s">
        <v>34</v>
      </c>
      <c r="M967">
        <v>1389.25</v>
      </c>
      <c r="N967" s="3">
        <f t="shared" si="15"/>
        <v>45931</v>
      </c>
    </row>
    <row r="968" spans="1:14" x14ac:dyDescent="0.35">
      <c r="A968" t="s">
        <v>1355</v>
      </c>
      <c r="B968" t="s">
        <v>156</v>
      </c>
      <c r="C968" t="s">
        <v>15</v>
      </c>
      <c r="D968" t="s">
        <v>116</v>
      </c>
      <c r="E968" t="s">
        <v>17</v>
      </c>
      <c r="F968" t="s">
        <v>27</v>
      </c>
      <c r="G968" t="s">
        <v>28</v>
      </c>
      <c r="H968">
        <v>2</v>
      </c>
      <c r="I968">
        <v>126.54</v>
      </c>
      <c r="J968">
        <v>253.08</v>
      </c>
      <c r="K968" t="s">
        <v>29</v>
      </c>
      <c r="L968" t="s">
        <v>77</v>
      </c>
      <c r="M968">
        <v>69.52</v>
      </c>
      <c r="N968" s="3">
        <f t="shared" si="15"/>
        <v>45717</v>
      </c>
    </row>
    <row r="969" spans="1:14" x14ac:dyDescent="0.35">
      <c r="A969" t="s">
        <v>1356</v>
      </c>
      <c r="B969" t="s">
        <v>523</v>
      </c>
      <c r="C969" t="s">
        <v>32</v>
      </c>
      <c r="D969" t="s">
        <v>25</v>
      </c>
      <c r="E969" t="s">
        <v>48</v>
      </c>
      <c r="F969" t="s">
        <v>18</v>
      </c>
      <c r="G969" t="s">
        <v>45</v>
      </c>
      <c r="H969">
        <v>9</v>
      </c>
      <c r="I969">
        <v>302.7</v>
      </c>
      <c r="J969">
        <v>2724.3</v>
      </c>
      <c r="K969" t="s">
        <v>29</v>
      </c>
      <c r="L969" t="s">
        <v>77</v>
      </c>
      <c r="M969">
        <v>718.13</v>
      </c>
      <c r="N969" s="3">
        <f t="shared" si="15"/>
        <v>45778</v>
      </c>
    </row>
    <row r="970" spans="1:14" x14ac:dyDescent="0.35">
      <c r="A970" t="s">
        <v>1357</v>
      </c>
      <c r="B970" t="s">
        <v>449</v>
      </c>
      <c r="C970" t="s">
        <v>24</v>
      </c>
      <c r="D970" t="s">
        <v>25</v>
      </c>
      <c r="E970" t="s">
        <v>48</v>
      </c>
      <c r="F970" t="s">
        <v>27</v>
      </c>
      <c r="G970" t="s">
        <v>56</v>
      </c>
      <c r="H970">
        <v>8</v>
      </c>
      <c r="I970">
        <v>424.15</v>
      </c>
      <c r="J970">
        <v>3393.2</v>
      </c>
      <c r="K970" t="s">
        <v>20</v>
      </c>
      <c r="L970" t="s">
        <v>50</v>
      </c>
      <c r="M970">
        <v>678.13</v>
      </c>
      <c r="N970" s="3">
        <f t="shared" si="15"/>
        <v>45992</v>
      </c>
    </row>
    <row r="971" spans="1:14" x14ac:dyDescent="0.35">
      <c r="A971" t="s">
        <v>1358</v>
      </c>
      <c r="B971" t="s">
        <v>1047</v>
      </c>
      <c r="C971" t="s">
        <v>24</v>
      </c>
      <c r="D971" t="s">
        <v>74</v>
      </c>
      <c r="E971" t="s">
        <v>43</v>
      </c>
      <c r="F971" t="s">
        <v>44</v>
      </c>
      <c r="G971" t="s">
        <v>19</v>
      </c>
      <c r="H971">
        <v>3</v>
      </c>
      <c r="I971">
        <v>201.86</v>
      </c>
      <c r="J971">
        <v>605.58000000000004</v>
      </c>
      <c r="K971" t="s">
        <v>82</v>
      </c>
      <c r="L971" t="s">
        <v>39</v>
      </c>
      <c r="M971">
        <v>172.06</v>
      </c>
      <c r="N971" s="3">
        <f t="shared" si="15"/>
        <v>45901</v>
      </c>
    </row>
    <row r="972" spans="1:14" x14ac:dyDescent="0.35">
      <c r="A972" t="s">
        <v>1359</v>
      </c>
      <c r="B972" t="s">
        <v>289</v>
      </c>
      <c r="C972" t="s">
        <v>24</v>
      </c>
      <c r="D972" t="s">
        <v>42</v>
      </c>
      <c r="E972" t="s">
        <v>17</v>
      </c>
      <c r="F972" t="s">
        <v>18</v>
      </c>
      <c r="G972" t="s">
        <v>96</v>
      </c>
      <c r="H972">
        <v>5</v>
      </c>
      <c r="I972">
        <v>866.71</v>
      </c>
      <c r="J972">
        <v>4333.55</v>
      </c>
      <c r="K972" t="s">
        <v>82</v>
      </c>
      <c r="L972" t="s">
        <v>34</v>
      </c>
      <c r="M972">
        <v>940.94</v>
      </c>
      <c r="N972" s="3">
        <f t="shared" si="15"/>
        <v>45931</v>
      </c>
    </row>
    <row r="973" spans="1:14" x14ac:dyDescent="0.35">
      <c r="A973" t="s">
        <v>1360</v>
      </c>
      <c r="B973" t="s">
        <v>518</v>
      </c>
      <c r="C973" t="s">
        <v>47</v>
      </c>
      <c r="D973" t="s">
        <v>42</v>
      </c>
      <c r="E973" t="s">
        <v>43</v>
      </c>
      <c r="F973" t="s">
        <v>18</v>
      </c>
      <c r="G973" t="s">
        <v>45</v>
      </c>
      <c r="H973">
        <v>13</v>
      </c>
      <c r="I973">
        <v>329.67</v>
      </c>
      <c r="J973">
        <v>4285.71</v>
      </c>
      <c r="K973" t="s">
        <v>49</v>
      </c>
      <c r="L973" t="s">
        <v>34</v>
      </c>
      <c r="M973">
        <v>626.95000000000005</v>
      </c>
      <c r="N973" s="3">
        <f t="shared" si="15"/>
        <v>45962</v>
      </c>
    </row>
    <row r="974" spans="1:14" x14ac:dyDescent="0.35">
      <c r="A974" t="s">
        <v>1361</v>
      </c>
      <c r="B974" t="s">
        <v>227</v>
      </c>
      <c r="C974" t="s">
        <v>47</v>
      </c>
      <c r="D974" t="s">
        <v>33</v>
      </c>
      <c r="E974" t="s">
        <v>48</v>
      </c>
      <c r="F974" t="s">
        <v>37</v>
      </c>
      <c r="G974" t="s">
        <v>28</v>
      </c>
      <c r="H974">
        <v>16</v>
      </c>
      <c r="I974">
        <v>733.07</v>
      </c>
      <c r="J974">
        <v>11729.12</v>
      </c>
      <c r="K974" t="s">
        <v>29</v>
      </c>
      <c r="L974" t="s">
        <v>39</v>
      </c>
      <c r="M974">
        <v>2852.3</v>
      </c>
      <c r="N974" s="3">
        <f t="shared" si="15"/>
        <v>45870</v>
      </c>
    </row>
    <row r="975" spans="1:14" x14ac:dyDescent="0.35">
      <c r="A975" t="s">
        <v>1362</v>
      </c>
      <c r="B975" t="s">
        <v>87</v>
      </c>
      <c r="C975" t="s">
        <v>24</v>
      </c>
      <c r="D975" t="s">
        <v>16</v>
      </c>
      <c r="E975" t="s">
        <v>48</v>
      </c>
      <c r="F975" t="s">
        <v>18</v>
      </c>
      <c r="G975" t="s">
        <v>38</v>
      </c>
      <c r="H975">
        <v>10</v>
      </c>
      <c r="I975">
        <v>619.16</v>
      </c>
      <c r="J975">
        <v>6191.6</v>
      </c>
      <c r="K975" t="s">
        <v>29</v>
      </c>
      <c r="L975" t="s">
        <v>50</v>
      </c>
      <c r="M975">
        <v>1984.71</v>
      </c>
      <c r="N975" s="3">
        <f t="shared" si="15"/>
        <v>45992</v>
      </c>
    </row>
    <row r="976" spans="1:14" x14ac:dyDescent="0.35">
      <c r="A976" t="s">
        <v>1363</v>
      </c>
      <c r="B976" t="s">
        <v>1336</v>
      </c>
      <c r="C976" t="s">
        <v>47</v>
      </c>
      <c r="D976" t="s">
        <v>16</v>
      </c>
      <c r="E976" t="s">
        <v>48</v>
      </c>
      <c r="F976" t="s">
        <v>37</v>
      </c>
      <c r="G976" t="s">
        <v>28</v>
      </c>
      <c r="H976">
        <v>16</v>
      </c>
      <c r="I976">
        <v>955.67</v>
      </c>
      <c r="J976">
        <v>15290.72</v>
      </c>
      <c r="K976" t="s">
        <v>20</v>
      </c>
      <c r="L976" t="s">
        <v>34</v>
      </c>
      <c r="M976">
        <v>4409.38</v>
      </c>
      <c r="N976" s="3">
        <f t="shared" si="15"/>
        <v>45901</v>
      </c>
    </row>
    <row r="977" spans="1:14" x14ac:dyDescent="0.35">
      <c r="A977" t="s">
        <v>1364</v>
      </c>
      <c r="B977" t="s">
        <v>678</v>
      </c>
      <c r="C977" t="s">
        <v>15</v>
      </c>
      <c r="D977" t="s">
        <v>16</v>
      </c>
      <c r="E977" t="s">
        <v>26</v>
      </c>
      <c r="F977" t="s">
        <v>27</v>
      </c>
      <c r="G977" t="s">
        <v>56</v>
      </c>
      <c r="H977">
        <v>9</v>
      </c>
      <c r="I977">
        <v>233.59</v>
      </c>
      <c r="J977">
        <v>2102.31</v>
      </c>
      <c r="K977" t="s">
        <v>20</v>
      </c>
      <c r="L977" t="s">
        <v>77</v>
      </c>
      <c r="M977">
        <v>576.04</v>
      </c>
      <c r="N977" s="3">
        <f t="shared" si="15"/>
        <v>45962</v>
      </c>
    </row>
    <row r="978" spans="1:14" x14ac:dyDescent="0.35">
      <c r="A978" t="s">
        <v>1365</v>
      </c>
      <c r="B978" t="s">
        <v>240</v>
      </c>
      <c r="C978" t="s">
        <v>47</v>
      </c>
      <c r="D978" t="s">
        <v>53</v>
      </c>
      <c r="E978" t="s">
        <v>26</v>
      </c>
      <c r="F978" t="s">
        <v>27</v>
      </c>
      <c r="G978" t="s">
        <v>56</v>
      </c>
      <c r="H978">
        <v>2</v>
      </c>
      <c r="I978">
        <v>865.03</v>
      </c>
      <c r="J978">
        <v>1730.06</v>
      </c>
      <c r="K978" t="s">
        <v>29</v>
      </c>
      <c r="L978" t="s">
        <v>34</v>
      </c>
      <c r="M978">
        <v>532.76</v>
      </c>
      <c r="N978" s="3">
        <f t="shared" si="15"/>
        <v>45717</v>
      </c>
    </row>
    <row r="979" spans="1:14" x14ac:dyDescent="0.35">
      <c r="A979" t="s">
        <v>1366</v>
      </c>
      <c r="B979" t="s">
        <v>811</v>
      </c>
      <c r="C979" t="s">
        <v>32</v>
      </c>
      <c r="D979" t="s">
        <v>42</v>
      </c>
      <c r="E979" t="s">
        <v>43</v>
      </c>
      <c r="F979" t="s">
        <v>18</v>
      </c>
      <c r="G979" t="s">
        <v>45</v>
      </c>
      <c r="H979">
        <v>7</v>
      </c>
      <c r="I979">
        <v>537.73</v>
      </c>
      <c r="J979">
        <v>3764.11</v>
      </c>
      <c r="K979" t="s">
        <v>20</v>
      </c>
      <c r="L979" t="s">
        <v>50</v>
      </c>
      <c r="M979">
        <v>1167.74</v>
      </c>
      <c r="N979" s="3">
        <f t="shared" si="15"/>
        <v>45901</v>
      </c>
    </row>
    <row r="980" spans="1:14" x14ac:dyDescent="0.35">
      <c r="A980" t="s">
        <v>1367</v>
      </c>
      <c r="B980" t="s">
        <v>860</v>
      </c>
      <c r="C980" t="s">
        <v>24</v>
      </c>
      <c r="D980" t="s">
        <v>42</v>
      </c>
      <c r="E980" t="s">
        <v>48</v>
      </c>
      <c r="F980" t="s">
        <v>18</v>
      </c>
      <c r="G980" t="s">
        <v>85</v>
      </c>
      <c r="H980">
        <v>5</v>
      </c>
      <c r="I980">
        <v>112.89</v>
      </c>
      <c r="J980">
        <v>564.45000000000005</v>
      </c>
      <c r="K980" t="s">
        <v>49</v>
      </c>
      <c r="L980" t="s">
        <v>39</v>
      </c>
      <c r="M980">
        <v>183.12</v>
      </c>
      <c r="N980" s="3">
        <f t="shared" si="15"/>
        <v>45962</v>
      </c>
    </row>
    <row r="981" spans="1:14" x14ac:dyDescent="0.35">
      <c r="A981" t="s">
        <v>1368</v>
      </c>
      <c r="B981" t="s">
        <v>747</v>
      </c>
      <c r="C981" t="s">
        <v>15</v>
      </c>
      <c r="D981" t="s">
        <v>25</v>
      </c>
      <c r="E981" t="s">
        <v>43</v>
      </c>
      <c r="F981" t="s">
        <v>44</v>
      </c>
      <c r="G981" t="s">
        <v>56</v>
      </c>
      <c r="H981">
        <v>3</v>
      </c>
      <c r="I981">
        <v>818.22</v>
      </c>
      <c r="J981">
        <v>2454.66</v>
      </c>
      <c r="K981" t="s">
        <v>20</v>
      </c>
      <c r="L981" t="s">
        <v>21</v>
      </c>
      <c r="M981">
        <v>425.53</v>
      </c>
      <c r="N981" s="3">
        <f t="shared" si="15"/>
        <v>45839</v>
      </c>
    </row>
    <row r="982" spans="1:14" x14ac:dyDescent="0.35">
      <c r="A982" t="s">
        <v>1369</v>
      </c>
      <c r="B982" t="s">
        <v>729</v>
      </c>
      <c r="C982" t="s">
        <v>24</v>
      </c>
      <c r="D982" t="s">
        <v>25</v>
      </c>
      <c r="E982" t="s">
        <v>48</v>
      </c>
      <c r="F982" t="s">
        <v>37</v>
      </c>
      <c r="G982" t="s">
        <v>38</v>
      </c>
      <c r="H982">
        <v>18</v>
      </c>
      <c r="I982">
        <v>854.41</v>
      </c>
      <c r="J982">
        <v>15379.38</v>
      </c>
      <c r="K982" t="s">
        <v>20</v>
      </c>
      <c r="L982" t="s">
        <v>50</v>
      </c>
      <c r="M982">
        <v>5154.07</v>
      </c>
      <c r="N982" s="3">
        <f t="shared" si="15"/>
        <v>45901</v>
      </c>
    </row>
    <row r="983" spans="1:14" x14ac:dyDescent="0.35">
      <c r="A983" t="s">
        <v>1370</v>
      </c>
      <c r="B983" t="s">
        <v>384</v>
      </c>
      <c r="C983" t="s">
        <v>15</v>
      </c>
      <c r="D983" t="s">
        <v>53</v>
      </c>
      <c r="E983" t="s">
        <v>48</v>
      </c>
      <c r="F983" t="s">
        <v>37</v>
      </c>
      <c r="G983" t="s">
        <v>56</v>
      </c>
      <c r="H983">
        <v>20</v>
      </c>
      <c r="I983">
        <v>656.92</v>
      </c>
      <c r="J983">
        <v>13138.4</v>
      </c>
      <c r="K983" t="s">
        <v>63</v>
      </c>
      <c r="L983" t="s">
        <v>21</v>
      </c>
      <c r="M983">
        <v>3491.38</v>
      </c>
      <c r="N983" s="3">
        <f t="shared" si="15"/>
        <v>45931</v>
      </c>
    </row>
    <row r="984" spans="1:14" x14ac:dyDescent="0.35">
      <c r="A984" t="s">
        <v>1371</v>
      </c>
      <c r="B984" t="s">
        <v>1372</v>
      </c>
      <c r="C984" t="s">
        <v>47</v>
      </c>
      <c r="D984" t="s">
        <v>42</v>
      </c>
      <c r="E984" t="s">
        <v>26</v>
      </c>
      <c r="F984" t="s">
        <v>44</v>
      </c>
      <c r="G984" t="s">
        <v>96</v>
      </c>
      <c r="H984">
        <v>2</v>
      </c>
      <c r="I984">
        <v>993.07</v>
      </c>
      <c r="J984">
        <v>1986.14</v>
      </c>
      <c r="K984" t="s">
        <v>66</v>
      </c>
      <c r="L984" t="s">
        <v>77</v>
      </c>
      <c r="M984">
        <v>473.27</v>
      </c>
      <c r="N984" s="3">
        <f t="shared" si="15"/>
        <v>45748</v>
      </c>
    </row>
    <row r="985" spans="1:14" x14ac:dyDescent="0.35">
      <c r="A985" t="s">
        <v>1373</v>
      </c>
      <c r="B985" t="s">
        <v>1374</v>
      </c>
      <c r="C985" t="s">
        <v>15</v>
      </c>
      <c r="D985" t="s">
        <v>25</v>
      </c>
      <c r="E985" t="s">
        <v>17</v>
      </c>
      <c r="F985" t="s">
        <v>27</v>
      </c>
      <c r="G985" t="s">
        <v>96</v>
      </c>
      <c r="H985">
        <v>11</v>
      </c>
      <c r="I985">
        <v>239.24</v>
      </c>
      <c r="J985">
        <v>2631.64</v>
      </c>
      <c r="K985" t="s">
        <v>66</v>
      </c>
      <c r="L985" t="s">
        <v>34</v>
      </c>
      <c r="M985">
        <v>751.14</v>
      </c>
      <c r="N985" s="3">
        <f t="shared" si="15"/>
        <v>45658</v>
      </c>
    </row>
    <row r="986" spans="1:14" x14ac:dyDescent="0.35">
      <c r="A986" t="s">
        <v>1375</v>
      </c>
      <c r="B986" t="s">
        <v>162</v>
      </c>
      <c r="C986" t="s">
        <v>15</v>
      </c>
      <c r="D986" t="s">
        <v>69</v>
      </c>
      <c r="E986" t="s">
        <v>26</v>
      </c>
      <c r="F986" t="s">
        <v>44</v>
      </c>
      <c r="G986" t="s">
        <v>45</v>
      </c>
      <c r="H986">
        <v>8</v>
      </c>
      <c r="I986">
        <v>262.49</v>
      </c>
      <c r="J986">
        <v>2099.92</v>
      </c>
      <c r="K986" t="s">
        <v>49</v>
      </c>
      <c r="L986" t="s">
        <v>39</v>
      </c>
      <c r="M986">
        <v>280.85000000000002</v>
      </c>
      <c r="N986" s="3">
        <f t="shared" si="15"/>
        <v>45992</v>
      </c>
    </row>
    <row r="987" spans="1:14" x14ac:dyDescent="0.35">
      <c r="A987" t="s">
        <v>1376</v>
      </c>
      <c r="B987" t="s">
        <v>432</v>
      </c>
      <c r="C987" t="s">
        <v>15</v>
      </c>
      <c r="D987" t="s">
        <v>25</v>
      </c>
      <c r="E987" t="s">
        <v>43</v>
      </c>
      <c r="F987" t="s">
        <v>18</v>
      </c>
      <c r="G987" t="s">
        <v>96</v>
      </c>
      <c r="H987">
        <v>10</v>
      </c>
      <c r="I987">
        <v>640.37</v>
      </c>
      <c r="J987">
        <v>6403.7</v>
      </c>
      <c r="K987" t="s">
        <v>63</v>
      </c>
      <c r="L987" t="s">
        <v>34</v>
      </c>
      <c r="M987">
        <v>1442.42</v>
      </c>
      <c r="N987" s="3">
        <f t="shared" si="15"/>
        <v>45901</v>
      </c>
    </row>
    <row r="988" spans="1:14" x14ac:dyDescent="0.35">
      <c r="A988" t="s">
        <v>1377</v>
      </c>
      <c r="B988" t="s">
        <v>1378</v>
      </c>
      <c r="C988" t="s">
        <v>24</v>
      </c>
      <c r="D988" t="s">
        <v>33</v>
      </c>
      <c r="E988" t="s">
        <v>17</v>
      </c>
      <c r="F988" t="s">
        <v>27</v>
      </c>
      <c r="G988" t="s">
        <v>38</v>
      </c>
      <c r="H988">
        <v>6</v>
      </c>
      <c r="I988">
        <v>398.31</v>
      </c>
      <c r="J988">
        <v>2389.86</v>
      </c>
      <c r="K988" t="s">
        <v>82</v>
      </c>
      <c r="L988" t="s">
        <v>39</v>
      </c>
      <c r="M988">
        <v>678.38</v>
      </c>
      <c r="N988" s="3">
        <f t="shared" si="15"/>
        <v>45809</v>
      </c>
    </row>
    <row r="989" spans="1:14" x14ac:dyDescent="0.35">
      <c r="A989" t="s">
        <v>1379</v>
      </c>
      <c r="B989" t="s">
        <v>231</v>
      </c>
      <c r="C989" t="s">
        <v>24</v>
      </c>
      <c r="D989" t="s">
        <v>42</v>
      </c>
      <c r="E989" t="s">
        <v>26</v>
      </c>
      <c r="F989" t="s">
        <v>18</v>
      </c>
      <c r="G989" t="s">
        <v>56</v>
      </c>
      <c r="H989">
        <v>20</v>
      </c>
      <c r="I989">
        <v>221.23</v>
      </c>
      <c r="J989">
        <v>4424.6000000000004</v>
      </c>
      <c r="K989" t="s">
        <v>82</v>
      </c>
      <c r="L989" t="s">
        <v>21</v>
      </c>
      <c r="M989">
        <v>1042.19</v>
      </c>
      <c r="N989" s="3">
        <f t="shared" si="15"/>
        <v>45809</v>
      </c>
    </row>
    <row r="990" spans="1:14" x14ac:dyDescent="0.35">
      <c r="A990" t="s">
        <v>1380</v>
      </c>
      <c r="B990" t="s">
        <v>209</v>
      </c>
      <c r="C990" t="s">
        <v>15</v>
      </c>
      <c r="D990" t="s">
        <v>69</v>
      </c>
      <c r="E990" t="s">
        <v>26</v>
      </c>
      <c r="F990" t="s">
        <v>44</v>
      </c>
      <c r="G990" t="s">
        <v>105</v>
      </c>
      <c r="H990">
        <v>15</v>
      </c>
      <c r="I990">
        <v>976.27</v>
      </c>
      <c r="J990">
        <v>14644.05</v>
      </c>
      <c r="K990" t="s">
        <v>66</v>
      </c>
      <c r="L990" t="s">
        <v>21</v>
      </c>
      <c r="M990">
        <v>1596.13</v>
      </c>
      <c r="N990" s="3">
        <f t="shared" si="15"/>
        <v>45778</v>
      </c>
    </row>
    <row r="991" spans="1:14" x14ac:dyDescent="0.35">
      <c r="A991" t="s">
        <v>1381</v>
      </c>
      <c r="B991" t="s">
        <v>55</v>
      </c>
      <c r="C991" t="s">
        <v>24</v>
      </c>
      <c r="D991" t="s">
        <v>16</v>
      </c>
      <c r="E991" t="s">
        <v>26</v>
      </c>
      <c r="F991" t="s">
        <v>37</v>
      </c>
      <c r="G991" t="s">
        <v>19</v>
      </c>
      <c r="H991">
        <v>20</v>
      </c>
      <c r="I991">
        <v>866.14</v>
      </c>
      <c r="J991">
        <v>17322.8</v>
      </c>
      <c r="K991" t="s">
        <v>82</v>
      </c>
      <c r="L991" t="s">
        <v>39</v>
      </c>
      <c r="M991">
        <v>5351.42</v>
      </c>
      <c r="N991" s="3">
        <f t="shared" si="15"/>
        <v>45870</v>
      </c>
    </row>
    <row r="992" spans="1:14" x14ac:dyDescent="0.35">
      <c r="A992" t="s">
        <v>1382</v>
      </c>
      <c r="B992" t="s">
        <v>638</v>
      </c>
      <c r="C992" t="s">
        <v>32</v>
      </c>
      <c r="D992" t="s">
        <v>42</v>
      </c>
      <c r="E992" t="s">
        <v>26</v>
      </c>
      <c r="F992" t="s">
        <v>27</v>
      </c>
      <c r="G992" t="s">
        <v>56</v>
      </c>
      <c r="H992">
        <v>12</v>
      </c>
      <c r="I992">
        <v>86.88</v>
      </c>
      <c r="J992">
        <v>1042.56</v>
      </c>
      <c r="K992" t="s">
        <v>82</v>
      </c>
      <c r="L992" t="s">
        <v>77</v>
      </c>
      <c r="M992">
        <v>205.31</v>
      </c>
      <c r="N992" s="3">
        <f t="shared" si="15"/>
        <v>45992</v>
      </c>
    </row>
    <row r="993" spans="1:14" x14ac:dyDescent="0.35">
      <c r="A993" t="s">
        <v>1383</v>
      </c>
      <c r="B993" t="s">
        <v>162</v>
      </c>
      <c r="C993" t="s">
        <v>47</v>
      </c>
      <c r="D993" t="s">
        <v>53</v>
      </c>
      <c r="E993" t="s">
        <v>43</v>
      </c>
      <c r="F993" t="s">
        <v>37</v>
      </c>
      <c r="G993" t="s">
        <v>85</v>
      </c>
      <c r="H993">
        <v>12</v>
      </c>
      <c r="I993">
        <v>75.05</v>
      </c>
      <c r="J993">
        <v>900.6</v>
      </c>
      <c r="K993" t="s">
        <v>29</v>
      </c>
      <c r="L993" t="s">
        <v>77</v>
      </c>
      <c r="M993">
        <v>263.76</v>
      </c>
      <c r="N993" s="3">
        <f t="shared" si="15"/>
        <v>45992</v>
      </c>
    </row>
    <row r="994" spans="1:14" x14ac:dyDescent="0.35">
      <c r="A994" t="s">
        <v>1384</v>
      </c>
      <c r="B994" t="s">
        <v>428</v>
      </c>
      <c r="C994" t="s">
        <v>15</v>
      </c>
      <c r="D994" t="s">
        <v>116</v>
      </c>
      <c r="E994" t="s">
        <v>43</v>
      </c>
      <c r="F994" t="s">
        <v>37</v>
      </c>
      <c r="G994" t="s">
        <v>96</v>
      </c>
      <c r="H994">
        <v>16</v>
      </c>
      <c r="I994">
        <v>450.96</v>
      </c>
      <c r="J994">
        <v>7215.36</v>
      </c>
      <c r="K994" t="s">
        <v>49</v>
      </c>
      <c r="L994" t="s">
        <v>34</v>
      </c>
      <c r="M994">
        <v>1304.1500000000001</v>
      </c>
      <c r="N994" s="3">
        <f t="shared" si="15"/>
        <v>45901</v>
      </c>
    </row>
    <row r="995" spans="1:14" x14ac:dyDescent="0.35">
      <c r="A995" t="s">
        <v>1385</v>
      </c>
      <c r="B995" t="s">
        <v>1031</v>
      </c>
      <c r="C995" t="s">
        <v>24</v>
      </c>
      <c r="D995" t="s">
        <v>33</v>
      </c>
      <c r="E995" t="s">
        <v>43</v>
      </c>
      <c r="F995" t="s">
        <v>27</v>
      </c>
      <c r="G995" t="s">
        <v>85</v>
      </c>
      <c r="H995">
        <v>10</v>
      </c>
      <c r="I995">
        <v>231.25</v>
      </c>
      <c r="J995">
        <v>2312.5</v>
      </c>
      <c r="K995" t="s">
        <v>82</v>
      </c>
      <c r="L995" t="s">
        <v>21</v>
      </c>
      <c r="M995">
        <v>611.14</v>
      </c>
      <c r="N995" s="3">
        <f t="shared" si="15"/>
        <v>45901</v>
      </c>
    </row>
    <row r="996" spans="1:14" x14ac:dyDescent="0.35">
      <c r="A996" t="s">
        <v>1386</v>
      </c>
      <c r="B996" t="s">
        <v>215</v>
      </c>
      <c r="C996" t="s">
        <v>32</v>
      </c>
      <c r="D996" t="s">
        <v>16</v>
      </c>
      <c r="E996" t="s">
        <v>43</v>
      </c>
      <c r="F996" t="s">
        <v>37</v>
      </c>
      <c r="G996" t="s">
        <v>85</v>
      </c>
      <c r="H996">
        <v>11</v>
      </c>
      <c r="I996">
        <v>60.49</v>
      </c>
      <c r="J996">
        <v>665.39</v>
      </c>
      <c r="K996" t="s">
        <v>66</v>
      </c>
      <c r="L996" t="s">
        <v>39</v>
      </c>
      <c r="M996">
        <v>102.88</v>
      </c>
      <c r="N996" s="3">
        <f t="shared" si="15"/>
        <v>45658</v>
      </c>
    </row>
    <row r="997" spans="1:14" x14ac:dyDescent="0.35">
      <c r="A997" t="s">
        <v>1387</v>
      </c>
      <c r="B997" t="s">
        <v>1388</v>
      </c>
      <c r="C997" t="s">
        <v>32</v>
      </c>
      <c r="D997" t="s">
        <v>74</v>
      </c>
      <c r="E997" t="s">
        <v>17</v>
      </c>
      <c r="F997" t="s">
        <v>37</v>
      </c>
      <c r="G997" t="s">
        <v>105</v>
      </c>
      <c r="H997">
        <v>17</v>
      </c>
      <c r="I997">
        <v>964.95</v>
      </c>
      <c r="J997">
        <v>16404.150000000001</v>
      </c>
      <c r="K997" t="s">
        <v>66</v>
      </c>
      <c r="L997" t="s">
        <v>34</v>
      </c>
      <c r="M997">
        <v>2130.21</v>
      </c>
      <c r="N997" s="3">
        <f t="shared" si="15"/>
        <v>45839</v>
      </c>
    </row>
    <row r="998" spans="1:14" x14ac:dyDescent="0.35">
      <c r="A998" t="s">
        <v>1389</v>
      </c>
      <c r="B998" t="s">
        <v>154</v>
      </c>
      <c r="C998" t="s">
        <v>47</v>
      </c>
      <c r="D998" t="s">
        <v>116</v>
      </c>
      <c r="E998" t="s">
        <v>17</v>
      </c>
      <c r="F998" t="s">
        <v>27</v>
      </c>
      <c r="G998" t="s">
        <v>85</v>
      </c>
      <c r="H998">
        <v>15</v>
      </c>
      <c r="I998">
        <v>974.82</v>
      </c>
      <c r="J998">
        <v>14622.3</v>
      </c>
      <c r="K998" t="s">
        <v>20</v>
      </c>
      <c r="L998" t="s">
        <v>39</v>
      </c>
      <c r="M998">
        <v>3679.65</v>
      </c>
      <c r="N998" s="3">
        <f t="shared" si="15"/>
        <v>45717</v>
      </c>
    </row>
    <row r="999" spans="1:14" x14ac:dyDescent="0.35">
      <c r="A999" t="s">
        <v>1390</v>
      </c>
      <c r="B999" t="s">
        <v>1391</v>
      </c>
      <c r="C999" t="s">
        <v>15</v>
      </c>
      <c r="D999" t="s">
        <v>116</v>
      </c>
      <c r="E999" t="s">
        <v>43</v>
      </c>
      <c r="F999" t="s">
        <v>37</v>
      </c>
      <c r="G999" t="s">
        <v>19</v>
      </c>
      <c r="H999">
        <v>20</v>
      </c>
      <c r="I999">
        <v>901.13</v>
      </c>
      <c r="J999">
        <v>18022.599999999999</v>
      </c>
      <c r="K999" t="s">
        <v>66</v>
      </c>
      <c r="L999" t="s">
        <v>39</v>
      </c>
      <c r="M999">
        <v>4895.71</v>
      </c>
      <c r="N999" s="3">
        <f t="shared" si="15"/>
        <v>45809</v>
      </c>
    </row>
    <row r="1000" spans="1:14" x14ac:dyDescent="0.35">
      <c r="A1000" t="s">
        <v>1392</v>
      </c>
      <c r="B1000" t="s">
        <v>794</v>
      </c>
      <c r="C1000" t="s">
        <v>47</v>
      </c>
      <c r="D1000" t="s">
        <v>16</v>
      </c>
      <c r="E1000" t="s">
        <v>17</v>
      </c>
      <c r="F1000" t="s">
        <v>37</v>
      </c>
      <c r="G1000" t="s">
        <v>105</v>
      </c>
      <c r="H1000">
        <v>20</v>
      </c>
      <c r="I1000">
        <v>49.09</v>
      </c>
      <c r="J1000">
        <v>981.8</v>
      </c>
      <c r="K1000" t="s">
        <v>82</v>
      </c>
      <c r="L1000" t="s">
        <v>50</v>
      </c>
      <c r="M1000">
        <v>241.78</v>
      </c>
      <c r="N1000" s="3">
        <f t="shared" si="15"/>
        <v>45931</v>
      </c>
    </row>
    <row r="1001" spans="1:14" x14ac:dyDescent="0.35">
      <c r="A1001" t="s">
        <v>1393</v>
      </c>
      <c r="B1001" t="s">
        <v>209</v>
      </c>
      <c r="C1001" t="s">
        <v>24</v>
      </c>
      <c r="D1001" t="s">
        <v>74</v>
      </c>
      <c r="E1001" t="s">
        <v>17</v>
      </c>
      <c r="F1001" t="s">
        <v>27</v>
      </c>
      <c r="G1001" t="s">
        <v>28</v>
      </c>
      <c r="H1001">
        <v>9</v>
      </c>
      <c r="I1001">
        <v>736.61</v>
      </c>
      <c r="J1001">
        <v>6629.49</v>
      </c>
      <c r="K1001" t="s">
        <v>66</v>
      </c>
      <c r="L1001" t="s">
        <v>39</v>
      </c>
      <c r="M1001">
        <v>1232.8499999999999</v>
      </c>
      <c r="N1001" s="3">
        <f t="shared" si="15"/>
        <v>45778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Marketing_Sales_Data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Shejila Abbas</cp:lastModifiedBy>
  <dcterms:created xsi:type="dcterms:W3CDTF">2026-06-24T03:57:36Z</dcterms:created>
  <dcterms:modified xsi:type="dcterms:W3CDTF">2026-10-17T14:38:32Z</dcterms:modified>
</cp:coreProperties>
</file>