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a4d920b149924a59/Desktop/"/>
    </mc:Choice>
  </mc:AlternateContent>
  <xr:revisionPtr revIDLastSave="1" documentId="13_ncr:1_{09AD9271-448B-4AF0-9040-15E2FE336861}" xr6:coauthVersionLast="47" xr6:coauthVersionMax="47" xr10:uidLastSave="{E5A53423-42CB-4FB4-B8B3-D3061FE237BF}"/>
  <bookViews>
    <workbookView xWindow="-110" yWindow="-110" windowWidth="19420" windowHeight="10300" activeTab="2" xr2:uid="{1B91EECC-3D6B-469F-8D52-98DB3168E5FD}"/>
  </bookViews>
  <sheets>
    <sheet name="PIvot Table" sheetId="3" r:id="rId1"/>
    <sheet name="Dashboard" sheetId="5" r:id="rId2"/>
    <sheet name="Recommendation" sheetId="7" r:id="rId3"/>
    <sheet name="Intro" sheetId="6" r:id="rId4"/>
    <sheet name="AI_Impact_on_Jobs_2030" sheetId="1" r:id="rId5"/>
  </sheets>
  <definedNames>
    <definedName name="_xlnm._FilterDatabase" localSheetId="4" hidden="1">AI_Impact_on_Jobs_2030!$A$1:$S$3001</definedName>
    <definedName name="_xlchart.v1.0" hidden="1">'PIvot Table'!$G$46:$G$55</definedName>
    <definedName name="_xlchart.v1.1" hidden="1">'PIvot Table'!$H$45</definedName>
    <definedName name="_xlchart.v1.2" hidden="1">'PIvot Table'!$H$46:$H$55</definedName>
    <definedName name="_xlchart.v1.3" hidden="1">'PIvot Table'!$G$46:$G$55</definedName>
    <definedName name="_xlchart.v1.4" hidden="1">'PIvot Table'!$H$45</definedName>
    <definedName name="_xlchart.v1.5" hidden="1">'PIvot Table'!$H$46:$H$55</definedName>
    <definedName name="Slicer_AI_Tool_Usage">#N/A</definedName>
    <definedName name="Slicer_Company_Size">#N/A</definedName>
    <definedName name="Slicer_Country">#N/A</definedName>
    <definedName name="Slicer_Remote_Work_Possibilit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2"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 i="1"/>
  <c r="T4" i="1"/>
  <c r="T2" i="1"/>
  <c r="L19" i="3"/>
  <c r="L18" i="3"/>
  <c r="L17" i="3"/>
  <c r="L16" i="3"/>
</calcChain>
</file>

<file path=xl/sharedStrings.xml><?xml version="1.0" encoding="utf-8"?>
<sst xmlns="http://schemas.openxmlformats.org/spreadsheetml/2006/main" count="33184" uniqueCount="3095">
  <si>
    <t>Employee_ID</t>
  </si>
  <si>
    <t>Job_Title</t>
  </si>
  <si>
    <t>Industry</t>
  </si>
  <si>
    <t>Country</t>
  </si>
  <si>
    <t>Education_Level</t>
  </si>
  <si>
    <t>Years_Experience</t>
  </si>
  <si>
    <t>AI_Replacement_Risk</t>
  </si>
  <si>
    <t>Future_Demand_Score</t>
  </si>
  <si>
    <t>Remote_Work_Possibility</t>
  </si>
  <si>
    <t>Average_Salary_USD</t>
  </si>
  <si>
    <t>Automation_Level</t>
  </si>
  <si>
    <t>Job_Growth_2030</t>
  </si>
  <si>
    <t>Work_Hours_Per_Week</t>
  </si>
  <si>
    <t>Company_Size</t>
  </si>
  <si>
    <t>AI_Tool_Usage</t>
  </si>
  <si>
    <t>Performance_Score</t>
  </si>
  <si>
    <t>Upskilling_Needed</t>
  </si>
  <si>
    <t>Job_Satisfaction</t>
  </si>
  <si>
    <t>Hiring_Trend_2026</t>
  </si>
  <si>
    <t>AIJ-100000</t>
  </si>
  <si>
    <t>Data Engineer</t>
  </si>
  <si>
    <t>Healthcare</t>
  </si>
  <si>
    <t>Japan</t>
  </si>
  <si>
    <t>PhD</t>
  </si>
  <si>
    <t>Yes</t>
  </si>
  <si>
    <t>Low</t>
  </si>
  <si>
    <t>Enterprise</t>
  </si>
  <si>
    <t>High</t>
  </si>
  <si>
    <t>Growing</t>
  </si>
  <si>
    <t>AIJ-100001</t>
  </si>
  <si>
    <t>Healthcare Analyst</t>
  </si>
  <si>
    <t>Retail</t>
  </si>
  <si>
    <t>UK</t>
  </si>
  <si>
    <t>Bachelor</t>
  </si>
  <si>
    <t>No</t>
  </si>
  <si>
    <t>Startup</t>
  </si>
  <si>
    <t>Moderate</t>
  </si>
  <si>
    <t>AIJ-100002</t>
  </si>
  <si>
    <t>HR Specialist</t>
  </si>
  <si>
    <t>Education</t>
  </si>
  <si>
    <t>Canada</t>
  </si>
  <si>
    <t>High School</t>
  </si>
  <si>
    <t>Medium</t>
  </si>
  <si>
    <t>Stable</t>
  </si>
  <si>
    <t>AIJ-100003</t>
  </si>
  <si>
    <t>Cybersecurity Analyst</t>
  </si>
  <si>
    <t>Government</t>
  </si>
  <si>
    <t>Declining</t>
  </si>
  <si>
    <t>AIJ-100004</t>
  </si>
  <si>
    <t>UAE</t>
  </si>
  <si>
    <t>AIJ-100005</t>
  </si>
  <si>
    <t>Machine Learning Engineer</t>
  </si>
  <si>
    <t>Energy</t>
  </si>
  <si>
    <t>AIJ-100006</t>
  </si>
  <si>
    <t>UX Designer</t>
  </si>
  <si>
    <t>Media</t>
  </si>
  <si>
    <t>AIJ-100007</t>
  </si>
  <si>
    <t>Digital Marketer</t>
  </si>
  <si>
    <t>Technology</t>
  </si>
  <si>
    <t>Germany</t>
  </si>
  <si>
    <t>Hybrid</t>
  </si>
  <si>
    <t>AIJ-100008</t>
  </si>
  <si>
    <t>Robotics Engineer</t>
  </si>
  <si>
    <t>Pakistan</t>
  </si>
  <si>
    <t>AIJ-100009</t>
  </si>
  <si>
    <t>Product Manager</t>
  </si>
  <si>
    <t>India</t>
  </si>
  <si>
    <t>AIJ-100010</t>
  </si>
  <si>
    <t>Cloud Architect</t>
  </si>
  <si>
    <t>Australia</t>
  </si>
  <si>
    <t>Master</t>
  </si>
  <si>
    <t>AIJ-100011</t>
  </si>
  <si>
    <t>AIJ-100012</t>
  </si>
  <si>
    <t>AI Engineer</t>
  </si>
  <si>
    <t>Manufacturing</t>
  </si>
  <si>
    <t>USA</t>
  </si>
  <si>
    <t>AIJ-100013</t>
  </si>
  <si>
    <t>Teacher</t>
  </si>
  <si>
    <t>AIJ-100014</t>
  </si>
  <si>
    <t>AIJ-100015</t>
  </si>
  <si>
    <t>Singapore</t>
  </si>
  <si>
    <t>AIJ-100016</t>
  </si>
  <si>
    <t>Finance</t>
  </si>
  <si>
    <t>AIJ-100017</t>
  </si>
  <si>
    <t>AIJ-100018</t>
  </si>
  <si>
    <t>AIJ-100019</t>
  </si>
  <si>
    <t>AIJ-100020</t>
  </si>
  <si>
    <t>AIJ-100021</t>
  </si>
  <si>
    <t>AIJ-100022</t>
  </si>
  <si>
    <t>IoT Specialist</t>
  </si>
  <si>
    <t>AIJ-100023</t>
  </si>
  <si>
    <t>Blockchain Developer</t>
  </si>
  <si>
    <t>AIJ-100024</t>
  </si>
  <si>
    <t>AIJ-100025</t>
  </si>
  <si>
    <t>DevOps Engineer</t>
  </si>
  <si>
    <t>AIJ-100026</t>
  </si>
  <si>
    <t>Prompt Engineer</t>
  </si>
  <si>
    <t>AIJ-100027</t>
  </si>
  <si>
    <t>AIJ-100028</t>
  </si>
  <si>
    <t>AIJ-100029</t>
  </si>
  <si>
    <t>AIJ-100030</t>
  </si>
  <si>
    <t>AIJ-100031</t>
  </si>
  <si>
    <t>Business Analyst</t>
  </si>
  <si>
    <t>AIJ-100032</t>
  </si>
  <si>
    <t>AIJ-100033</t>
  </si>
  <si>
    <t>AIJ-100034</t>
  </si>
  <si>
    <t>Software Developer</t>
  </si>
  <si>
    <t>Transportation</t>
  </si>
  <si>
    <t>AIJ-100035</t>
  </si>
  <si>
    <t>AIJ-100036</t>
  </si>
  <si>
    <t>AIJ-100037</t>
  </si>
  <si>
    <t>AIJ-100038</t>
  </si>
  <si>
    <t>AIJ-100039</t>
  </si>
  <si>
    <t>AIJ-100040</t>
  </si>
  <si>
    <t>AIJ-100041</t>
  </si>
  <si>
    <t>AIJ-100042</t>
  </si>
  <si>
    <t>AIJ-100043</t>
  </si>
  <si>
    <t>AIJ-100044</t>
  </si>
  <si>
    <t>AIJ-100045</t>
  </si>
  <si>
    <t>AIJ-100046</t>
  </si>
  <si>
    <t>AIJ-100047</t>
  </si>
  <si>
    <t>AIJ-100048</t>
  </si>
  <si>
    <t>AIJ-100049</t>
  </si>
  <si>
    <t>AIJ-100050</t>
  </si>
  <si>
    <t>AIJ-100051</t>
  </si>
  <si>
    <t>AIJ-100052</t>
  </si>
  <si>
    <t>AIJ-100053</t>
  </si>
  <si>
    <t>AIJ-100054</t>
  </si>
  <si>
    <t>AIJ-100055</t>
  </si>
  <si>
    <t>AIJ-100056</t>
  </si>
  <si>
    <t>AIJ-100057</t>
  </si>
  <si>
    <t>AIJ-100058</t>
  </si>
  <si>
    <t>AIJ-100059</t>
  </si>
  <si>
    <t>AIJ-100060</t>
  </si>
  <si>
    <t>AIJ-100061</t>
  </si>
  <si>
    <t>AIJ-100062</t>
  </si>
  <si>
    <t>AIJ-100063</t>
  </si>
  <si>
    <t>AIJ-100064</t>
  </si>
  <si>
    <t>AIJ-100065</t>
  </si>
  <si>
    <t>AIJ-100066</t>
  </si>
  <si>
    <t>AIJ-100067</t>
  </si>
  <si>
    <t>AIJ-100068</t>
  </si>
  <si>
    <t>AIJ-100069</t>
  </si>
  <si>
    <t>AIJ-100070</t>
  </si>
  <si>
    <t>AIJ-100071</t>
  </si>
  <si>
    <t>AIJ-100072</t>
  </si>
  <si>
    <t>AIJ-100073</t>
  </si>
  <si>
    <t>Financial Analyst</t>
  </si>
  <si>
    <t>AIJ-100074</t>
  </si>
  <si>
    <t>AIJ-100075</t>
  </si>
  <si>
    <t>AIJ-100076</t>
  </si>
  <si>
    <t>AIJ-100077</t>
  </si>
  <si>
    <t>AIJ-100078</t>
  </si>
  <si>
    <t>AIJ-100079</t>
  </si>
  <si>
    <t>AIJ-100080</t>
  </si>
  <si>
    <t>AIJ-100081</t>
  </si>
  <si>
    <t>Data Scientist</t>
  </si>
  <si>
    <t>AIJ-100082</t>
  </si>
  <si>
    <t>AIJ-100083</t>
  </si>
  <si>
    <t>AIJ-100084</t>
  </si>
  <si>
    <t>AIJ-100085</t>
  </si>
  <si>
    <t>AIJ-100086</t>
  </si>
  <si>
    <t>AIJ-100087</t>
  </si>
  <si>
    <t>AIJ-100088</t>
  </si>
  <si>
    <t>AIJ-100089</t>
  </si>
  <si>
    <t>AIJ-100090</t>
  </si>
  <si>
    <t>AIJ-100091</t>
  </si>
  <si>
    <t>AIJ-100092</t>
  </si>
  <si>
    <t>AIJ-100093</t>
  </si>
  <si>
    <t>AIJ-100094</t>
  </si>
  <si>
    <t>AIJ-100095</t>
  </si>
  <si>
    <t>AIJ-100096</t>
  </si>
  <si>
    <t>AIJ-100097</t>
  </si>
  <si>
    <t>AIJ-100098</t>
  </si>
  <si>
    <t>AIJ-100099</t>
  </si>
  <si>
    <t>AIJ-100100</t>
  </si>
  <si>
    <t>AIJ-100101</t>
  </si>
  <si>
    <t>AIJ-100102</t>
  </si>
  <si>
    <t>AIJ-100103</t>
  </si>
  <si>
    <t>AIJ-100104</t>
  </si>
  <si>
    <t>AIJ-100105</t>
  </si>
  <si>
    <t>AIJ-100106</t>
  </si>
  <si>
    <t>AIJ-100107</t>
  </si>
  <si>
    <t>AIJ-100108</t>
  </si>
  <si>
    <t>AIJ-100109</t>
  </si>
  <si>
    <t>AIJ-100110</t>
  </si>
  <si>
    <t>AIJ-100111</t>
  </si>
  <si>
    <t>AIJ-100112</t>
  </si>
  <si>
    <t>AIJ-100113</t>
  </si>
  <si>
    <t>AIJ-100114</t>
  </si>
  <si>
    <t>AIJ-100115</t>
  </si>
  <si>
    <t>AIJ-100116</t>
  </si>
  <si>
    <t>AIJ-100117</t>
  </si>
  <si>
    <t>AIJ-100118</t>
  </si>
  <si>
    <t>AIJ-100119</t>
  </si>
  <si>
    <t>AIJ-100120</t>
  </si>
  <si>
    <t>AIJ-100121</t>
  </si>
  <si>
    <t>AIJ-100122</t>
  </si>
  <si>
    <t>AIJ-100123</t>
  </si>
  <si>
    <t>AIJ-100124</t>
  </si>
  <si>
    <t>AIJ-100125</t>
  </si>
  <si>
    <t>AIJ-100126</t>
  </si>
  <si>
    <t>AIJ-100127</t>
  </si>
  <si>
    <t>AIJ-100128</t>
  </si>
  <si>
    <t>AIJ-100129</t>
  </si>
  <si>
    <t>AIJ-100130</t>
  </si>
  <si>
    <t>AIJ-100131</t>
  </si>
  <si>
    <t>AIJ-100132</t>
  </si>
  <si>
    <t>AIJ-100133</t>
  </si>
  <si>
    <t>AIJ-100134</t>
  </si>
  <si>
    <t>AIJ-100135</t>
  </si>
  <si>
    <t>AIJ-100136</t>
  </si>
  <si>
    <t>AIJ-100137</t>
  </si>
  <si>
    <t>AIJ-100138</t>
  </si>
  <si>
    <t>AIJ-100139</t>
  </si>
  <si>
    <t>AIJ-100140</t>
  </si>
  <si>
    <t>AIJ-100141</t>
  </si>
  <si>
    <t>AIJ-100142</t>
  </si>
  <si>
    <t>AIJ-100143</t>
  </si>
  <si>
    <t>AIJ-100144</t>
  </si>
  <si>
    <t>AIJ-100145</t>
  </si>
  <si>
    <t>AIJ-100146</t>
  </si>
  <si>
    <t>AIJ-100147</t>
  </si>
  <si>
    <t>AIJ-100148</t>
  </si>
  <si>
    <t>AIJ-100149</t>
  </si>
  <si>
    <t>AIJ-100150</t>
  </si>
  <si>
    <t>AIJ-100151</t>
  </si>
  <si>
    <t>AIJ-100152</t>
  </si>
  <si>
    <t>AIJ-100153</t>
  </si>
  <si>
    <t>AIJ-100154</t>
  </si>
  <si>
    <t>AIJ-100155</t>
  </si>
  <si>
    <t>AIJ-100156</t>
  </si>
  <si>
    <t>AIJ-100157</t>
  </si>
  <si>
    <t>AIJ-100158</t>
  </si>
  <si>
    <t>AIJ-100159</t>
  </si>
  <si>
    <t>AIJ-100160</t>
  </si>
  <si>
    <t>AIJ-100161</t>
  </si>
  <si>
    <t>AIJ-100162</t>
  </si>
  <si>
    <t>AIJ-100163</t>
  </si>
  <si>
    <t>AIJ-100164</t>
  </si>
  <si>
    <t>AIJ-100165</t>
  </si>
  <si>
    <t>AIJ-100166</t>
  </si>
  <si>
    <t>AIJ-100167</t>
  </si>
  <si>
    <t>AIJ-100168</t>
  </si>
  <si>
    <t>AIJ-100169</t>
  </si>
  <si>
    <t>AIJ-100170</t>
  </si>
  <si>
    <t>AIJ-100171</t>
  </si>
  <si>
    <t>AIJ-100172</t>
  </si>
  <si>
    <t>AIJ-100173</t>
  </si>
  <si>
    <t>AIJ-100174</t>
  </si>
  <si>
    <t>AIJ-100175</t>
  </si>
  <si>
    <t>AIJ-100176</t>
  </si>
  <si>
    <t>AIJ-100177</t>
  </si>
  <si>
    <t>AIJ-100178</t>
  </si>
  <si>
    <t>AIJ-100179</t>
  </si>
  <si>
    <t>AIJ-100180</t>
  </si>
  <si>
    <t>AIJ-100181</t>
  </si>
  <si>
    <t>AIJ-100182</t>
  </si>
  <si>
    <t>AIJ-100183</t>
  </si>
  <si>
    <t>AIJ-100184</t>
  </si>
  <si>
    <t>AIJ-100185</t>
  </si>
  <si>
    <t>AIJ-100186</t>
  </si>
  <si>
    <t>AIJ-100187</t>
  </si>
  <si>
    <t>AIJ-100188</t>
  </si>
  <si>
    <t>AIJ-100189</t>
  </si>
  <si>
    <t>AIJ-100190</t>
  </si>
  <si>
    <t>AIJ-100191</t>
  </si>
  <si>
    <t>AIJ-100192</t>
  </si>
  <si>
    <t>AIJ-100193</t>
  </si>
  <si>
    <t>AIJ-100194</t>
  </si>
  <si>
    <t>AIJ-100195</t>
  </si>
  <si>
    <t>AIJ-100196</t>
  </si>
  <si>
    <t>AIJ-100197</t>
  </si>
  <si>
    <t>AIJ-100198</t>
  </si>
  <si>
    <t>AIJ-100199</t>
  </si>
  <si>
    <t>AIJ-100200</t>
  </si>
  <si>
    <t>AIJ-100201</t>
  </si>
  <si>
    <t>AIJ-100202</t>
  </si>
  <si>
    <t>AIJ-100203</t>
  </si>
  <si>
    <t>AIJ-100204</t>
  </si>
  <si>
    <t>AIJ-100205</t>
  </si>
  <si>
    <t>AIJ-100206</t>
  </si>
  <si>
    <t>AIJ-100207</t>
  </si>
  <si>
    <t>AIJ-100208</t>
  </si>
  <si>
    <t>AIJ-100209</t>
  </si>
  <si>
    <t>AIJ-100210</t>
  </si>
  <si>
    <t>AIJ-100211</t>
  </si>
  <si>
    <t>AIJ-100212</t>
  </si>
  <si>
    <t>AIJ-100213</t>
  </si>
  <si>
    <t>AIJ-100214</t>
  </si>
  <si>
    <t>AIJ-100215</t>
  </si>
  <si>
    <t>AIJ-100216</t>
  </si>
  <si>
    <t>AIJ-100217</t>
  </si>
  <si>
    <t>AIJ-100218</t>
  </si>
  <si>
    <t>AIJ-100219</t>
  </si>
  <si>
    <t>AIJ-100220</t>
  </si>
  <si>
    <t>AIJ-100221</t>
  </si>
  <si>
    <t>AIJ-100222</t>
  </si>
  <si>
    <t>AIJ-100223</t>
  </si>
  <si>
    <t>AIJ-100224</t>
  </si>
  <si>
    <t>AIJ-100225</t>
  </si>
  <si>
    <t>AIJ-100226</t>
  </si>
  <si>
    <t>AIJ-100227</t>
  </si>
  <si>
    <t>AIJ-100228</t>
  </si>
  <si>
    <t>AIJ-100229</t>
  </si>
  <si>
    <t>AIJ-100230</t>
  </si>
  <si>
    <t>AIJ-100231</t>
  </si>
  <si>
    <t>AIJ-100232</t>
  </si>
  <si>
    <t>AIJ-100233</t>
  </si>
  <si>
    <t>AIJ-100234</t>
  </si>
  <si>
    <t>AIJ-100235</t>
  </si>
  <si>
    <t>AIJ-100236</t>
  </si>
  <si>
    <t>AIJ-100237</t>
  </si>
  <si>
    <t>AIJ-100238</t>
  </si>
  <si>
    <t>AIJ-100239</t>
  </si>
  <si>
    <t>AIJ-100240</t>
  </si>
  <si>
    <t>AIJ-100241</t>
  </si>
  <si>
    <t>AIJ-100242</t>
  </si>
  <si>
    <t>AIJ-100243</t>
  </si>
  <si>
    <t>AIJ-100244</t>
  </si>
  <si>
    <t>AIJ-100245</t>
  </si>
  <si>
    <t>AIJ-100246</t>
  </si>
  <si>
    <t>AIJ-100247</t>
  </si>
  <si>
    <t>AIJ-100248</t>
  </si>
  <si>
    <t>AIJ-100249</t>
  </si>
  <si>
    <t>AIJ-100250</t>
  </si>
  <si>
    <t>AIJ-100251</t>
  </si>
  <si>
    <t>AIJ-100252</t>
  </si>
  <si>
    <t>AIJ-100253</t>
  </si>
  <si>
    <t>AIJ-100254</t>
  </si>
  <si>
    <t>AIJ-100255</t>
  </si>
  <si>
    <t>AIJ-100256</t>
  </si>
  <si>
    <t>AIJ-100257</t>
  </si>
  <si>
    <t>AIJ-100258</t>
  </si>
  <si>
    <t>AIJ-100259</t>
  </si>
  <si>
    <t>AIJ-100260</t>
  </si>
  <si>
    <t>AIJ-100261</t>
  </si>
  <si>
    <t>AIJ-100262</t>
  </si>
  <si>
    <t>AIJ-100263</t>
  </si>
  <si>
    <t>AIJ-100264</t>
  </si>
  <si>
    <t>AIJ-100265</t>
  </si>
  <si>
    <t>AIJ-100266</t>
  </si>
  <si>
    <t>AIJ-100267</t>
  </si>
  <si>
    <t>AIJ-100268</t>
  </si>
  <si>
    <t>AIJ-100269</t>
  </si>
  <si>
    <t>AIJ-100270</t>
  </si>
  <si>
    <t>AIJ-100271</t>
  </si>
  <si>
    <t>AIJ-100272</t>
  </si>
  <si>
    <t>AIJ-100273</t>
  </si>
  <si>
    <t>AIJ-100274</t>
  </si>
  <si>
    <t>AIJ-100275</t>
  </si>
  <si>
    <t>AIJ-100276</t>
  </si>
  <si>
    <t>AIJ-100277</t>
  </si>
  <si>
    <t>AIJ-100278</t>
  </si>
  <si>
    <t>AIJ-100279</t>
  </si>
  <si>
    <t>AIJ-100280</t>
  </si>
  <si>
    <t>AIJ-100281</t>
  </si>
  <si>
    <t>AIJ-100282</t>
  </si>
  <si>
    <t>AIJ-100283</t>
  </si>
  <si>
    <t>AIJ-100284</t>
  </si>
  <si>
    <t>AIJ-100285</t>
  </si>
  <si>
    <t>AIJ-100286</t>
  </si>
  <si>
    <t>AIJ-100287</t>
  </si>
  <si>
    <t>AIJ-100288</t>
  </si>
  <si>
    <t>AIJ-100289</t>
  </si>
  <si>
    <t>AIJ-100290</t>
  </si>
  <si>
    <t>AIJ-100291</t>
  </si>
  <si>
    <t>AIJ-100292</t>
  </si>
  <si>
    <t>AIJ-100293</t>
  </si>
  <si>
    <t>AIJ-100294</t>
  </si>
  <si>
    <t>AIJ-100295</t>
  </si>
  <si>
    <t>AIJ-100296</t>
  </si>
  <si>
    <t>AIJ-100297</t>
  </si>
  <si>
    <t>AIJ-100298</t>
  </si>
  <si>
    <t>AIJ-100299</t>
  </si>
  <si>
    <t>AIJ-100300</t>
  </si>
  <si>
    <t>AIJ-100301</t>
  </si>
  <si>
    <t>AIJ-100302</t>
  </si>
  <si>
    <t>AIJ-100303</t>
  </si>
  <si>
    <t>AIJ-100304</t>
  </si>
  <si>
    <t>AIJ-100305</t>
  </si>
  <si>
    <t>AIJ-100306</t>
  </si>
  <si>
    <t>AIJ-100307</t>
  </si>
  <si>
    <t>AIJ-100308</t>
  </si>
  <si>
    <t>AIJ-100309</t>
  </si>
  <si>
    <t>AIJ-100310</t>
  </si>
  <si>
    <t>AIJ-100311</t>
  </si>
  <si>
    <t>AIJ-100312</t>
  </si>
  <si>
    <t>AIJ-100313</t>
  </si>
  <si>
    <t>AIJ-100314</t>
  </si>
  <si>
    <t>AIJ-100315</t>
  </si>
  <si>
    <t>AIJ-100316</t>
  </si>
  <si>
    <t>AIJ-100317</t>
  </si>
  <si>
    <t>AIJ-100318</t>
  </si>
  <si>
    <t>AIJ-100319</t>
  </si>
  <si>
    <t>AIJ-100320</t>
  </si>
  <si>
    <t>AIJ-100321</t>
  </si>
  <si>
    <t>AIJ-100322</t>
  </si>
  <si>
    <t>AIJ-100323</t>
  </si>
  <si>
    <t>AIJ-100324</t>
  </si>
  <si>
    <t>AIJ-100325</t>
  </si>
  <si>
    <t>AIJ-100326</t>
  </si>
  <si>
    <t>AIJ-100327</t>
  </si>
  <si>
    <t>AIJ-100328</t>
  </si>
  <si>
    <t>AIJ-100329</t>
  </si>
  <si>
    <t>AIJ-100330</t>
  </si>
  <si>
    <t>AIJ-100331</t>
  </si>
  <si>
    <t>AIJ-100332</t>
  </si>
  <si>
    <t>AIJ-100333</t>
  </si>
  <si>
    <t>AIJ-100334</t>
  </si>
  <si>
    <t>AIJ-100335</t>
  </si>
  <si>
    <t>AIJ-100336</t>
  </si>
  <si>
    <t>AIJ-100337</t>
  </si>
  <si>
    <t>AIJ-100338</t>
  </si>
  <si>
    <t>AIJ-100339</t>
  </si>
  <si>
    <t>AIJ-100340</t>
  </si>
  <si>
    <t>AIJ-100341</t>
  </si>
  <si>
    <t>AIJ-100342</t>
  </si>
  <si>
    <t>AIJ-100343</t>
  </si>
  <si>
    <t>AIJ-100344</t>
  </si>
  <si>
    <t>AIJ-100345</t>
  </si>
  <si>
    <t>AIJ-100346</t>
  </si>
  <si>
    <t>AIJ-100347</t>
  </si>
  <si>
    <t>AIJ-100348</t>
  </si>
  <si>
    <t>AIJ-100349</t>
  </si>
  <si>
    <t>AIJ-100350</t>
  </si>
  <si>
    <t>AIJ-100351</t>
  </si>
  <si>
    <t>AIJ-100352</t>
  </si>
  <si>
    <t>AIJ-100353</t>
  </si>
  <si>
    <t>AIJ-100354</t>
  </si>
  <si>
    <t>AIJ-100355</t>
  </si>
  <si>
    <t>AIJ-100356</t>
  </si>
  <si>
    <t>AIJ-100357</t>
  </si>
  <si>
    <t>AIJ-100358</t>
  </si>
  <si>
    <t>AIJ-100359</t>
  </si>
  <si>
    <t>AIJ-100360</t>
  </si>
  <si>
    <t>AIJ-100361</t>
  </si>
  <si>
    <t>AIJ-100362</t>
  </si>
  <si>
    <t>AIJ-100363</t>
  </si>
  <si>
    <t>AIJ-100364</t>
  </si>
  <si>
    <t>AIJ-100365</t>
  </si>
  <si>
    <t>AIJ-100366</t>
  </si>
  <si>
    <t>AIJ-100367</t>
  </si>
  <si>
    <t>AIJ-100368</t>
  </si>
  <si>
    <t>AIJ-100369</t>
  </si>
  <si>
    <t>AIJ-100370</t>
  </si>
  <si>
    <t>AIJ-100371</t>
  </si>
  <si>
    <t>AIJ-100372</t>
  </si>
  <si>
    <t>AIJ-100373</t>
  </si>
  <si>
    <t>AIJ-100374</t>
  </si>
  <si>
    <t>AIJ-100375</t>
  </si>
  <si>
    <t>AIJ-100376</t>
  </si>
  <si>
    <t>AIJ-100377</t>
  </si>
  <si>
    <t>AIJ-100378</t>
  </si>
  <si>
    <t>AIJ-100379</t>
  </si>
  <si>
    <t>AIJ-100380</t>
  </si>
  <si>
    <t>AIJ-100381</t>
  </si>
  <si>
    <t>AIJ-100382</t>
  </si>
  <si>
    <t>AIJ-100383</t>
  </si>
  <si>
    <t>AIJ-100384</t>
  </si>
  <si>
    <t>AIJ-100385</t>
  </si>
  <si>
    <t>AIJ-100386</t>
  </si>
  <si>
    <t>AIJ-100387</t>
  </si>
  <si>
    <t>AIJ-100388</t>
  </si>
  <si>
    <t>AIJ-100389</t>
  </si>
  <si>
    <t>AIJ-100390</t>
  </si>
  <si>
    <t>AIJ-100391</t>
  </si>
  <si>
    <t>AIJ-100392</t>
  </si>
  <si>
    <t>AIJ-100393</t>
  </si>
  <si>
    <t>AIJ-100394</t>
  </si>
  <si>
    <t>AIJ-100395</t>
  </si>
  <si>
    <t>AIJ-100396</t>
  </si>
  <si>
    <t>AIJ-100397</t>
  </si>
  <si>
    <t>AIJ-100398</t>
  </si>
  <si>
    <t>AIJ-100399</t>
  </si>
  <si>
    <t>AIJ-100400</t>
  </si>
  <si>
    <t>AIJ-100401</t>
  </si>
  <si>
    <t>AIJ-100402</t>
  </si>
  <si>
    <t>AIJ-100403</t>
  </si>
  <si>
    <t>AIJ-100404</t>
  </si>
  <si>
    <t>AIJ-100405</t>
  </si>
  <si>
    <t>AIJ-100406</t>
  </si>
  <si>
    <t>AIJ-100407</t>
  </si>
  <si>
    <t>AIJ-100408</t>
  </si>
  <si>
    <t>AIJ-100409</t>
  </si>
  <si>
    <t>AIJ-100410</t>
  </si>
  <si>
    <t>AIJ-100411</t>
  </si>
  <si>
    <t>AIJ-100412</t>
  </si>
  <si>
    <t>AIJ-100413</t>
  </si>
  <si>
    <t>AIJ-100414</t>
  </si>
  <si>
    <t>AIJ-100415</t>
  </si>
  <si>
    <t>AIJ-100416</t>
  </si>
  <si>
    <t>AIJ-100417</t>
  </si>
  <si>
    <t>AIJ-100418</t>
  </si>
  <si>
    <t>AIJ-100419</t>
  </si>
  <si>
    <t>AIJ-100420</t>
  </si>
  <si>
    <t>AIJ-100421</t>
  </si>
  <si>
    <t>AIJ-100422</t>
  </si>
  <si>
    <t>AIJ-100423</t>
  </si>
  <si>
    <t>AIJ-100424</t>
  </si>
  <si>
    <t>AIJ-100425</t>
  </si>
  <si>
    <t>AIJ-100426</t>
  </si>
  <si>
    <t>AIJ-100427</t>
  </si>
  <si>
    <t>AIJ-100428</t>
  </si>
  <si>
    <t>AIJ-100429</t>
  </si>
  <si>
    <t>AIJ-100430</t>
  </si>
  <si>
    <t>AIJ-100431</t>
  </si>
  <si>
    <t>AIJ-100432</t>
  </si>
  <si>
    <t>AIJ-100433</t>
  </si>
  <si>
    <t>AIJ-100434</t>
  </si>
  <si>
    <t>AIJ-100435</t>
  </si>
  <si>
    <t>AIJ-100436</t>
  </si>
  <si>
    <t>AIJ-100437</t>
  </si>
  <si>
    <t>AIJ-100438</t>
  </si>
  <si>
    <t>AIJ-100439</t>
  </si>
  <si>
    <t>AIJ-100440</t>
  </si>
  <si>
    <t>AIJ-100441</t>
  </si>
  <si>
    <t>AIJ-100442</t>
  </si>
  <si>
    <t>AIJ-100443</t>
  </si>
  <si>
    <t>AIJ-100444</t>
  </si>
  <si>
    <t>AIJ-100445</t>
  </si>
  <si>
    <t>AIJ-100446</t>
  </si>
  <si>
    <t>AIJ-100447</t>
  </si>
  <si>
    <t>AIJ-100448</t>
  </si>
  <si>
    <t>AIJ-100449</t>
  </si>
  <si>
    <t>AIJ-100450</t>
  </si>
  <si>
    <t>AIJ-100451</t>
  </si>
  <si>
    <t>AIJ-100452</t>
  </si>
  <si>
    <t>AIJ-100453</t>
  </si>
  <si>
    <t>AIJ-100454</t>
  </si>
  <si>
    <t>AIJ-100455</t>
  </si>
  <si>
    <t>AIJ-100456</t>
  </si>
  <si>
    <t>AIJ-100457</t>
  </si>
  <si>
    <t>AIJ-100458</t>
  </si>
  <si>
    <t>AIJ-100459</t>
  </si>
  <si>
    <t>AIJ-100460</t>
  </si>
  <si>
    <t>AIJ-100461</t>
  </si>
  <si>
    <t>AIJ-100462</t>
  </si>
  <si>
    <t>AIJ-100463</t>
  </si>
  <si>
    <t>AIJ-100464</t>
  </si>
  <si>
    <t>AIJ-100465</t>
  </si>
  <si>
    <t>AIJ-100466</t>
  </si>
  <si>
    <t>AIJ-100467</t>
  </si>
  <si>
    <t>AIJ-100468</t>
  </si>
  <si>
    <t>AIJ-100469</t>
  </si>
  <si>
    <t>AIJ-100470</t>
  </si>
  <si>
    <t>AIJ-100471</t>
  </si>
  <si>
    <t>AIJ-100472</t>
  </si>
  <si>
    <t>AIJ-100473</t>
  </si>
  <si>
    <t>AIJ-100474</t>
  </si>
  <si>
    <t>AIJ-100475</t>
  </si>
  <si>
    <t>AIJ-100476</t>
  </si>
  <si>
    <t>AIJ-100477</t>
  </si>
  <si>
    <t>AIJ-100478</t>
  </si>
  <si>
    <t>AIJ-100479</t>
  </si>
  <si>
    <t>AIJ-100480</t>
  </si>
  <si>
    <t>AIJ-100481</t>
  </si>
  <si>
    <t>AIJ-100482</t>
  </si>
  <si>
    <t>AIJ-100483</t>
  </si>
  <si>
    <t>AIJ-100484</t>
  </si>
  <si>
    <t>AIJ-100485</t>
  </si>
  <si>
    <t>AIJ-100486</t>
  </si>
  <si>
    <t>AIJ-100487</t>
  </si>
  <si>
    <t>AIJ-100488</t>
  </si>
  <si>
    <t>AIJ-100489</t>
  </si>
  <si>
    <t>AIJ-100490</t>
  </si>
  <si>
    <t>AIJ-100491</t>
  </si>
  <si>
    <t>AIJ-100492</t>
  </si>
  <si>
    <t>AIJ-100493</t>
  </si>
  <si>
    <t>AIJ-100494</t>
  </si>
  <si>
    <t>AIJ-100495</t>
  </si>
  <si>
    <t>AIJ-100496</t>
  </si>
  <si>
    <t>AIJ-100497</t>
  </si>
  <si>
    <t>AIJ-100498</t>
  </si>
  <si>
    <t>AIJ-100499</t>
  </si>
  <si>
    <t>AIJ-100500</t>
  </si>
  <si>
    <t>AIJ-100501</t>
  </si>
  <si>
    <t>AIJ-100502</t>
  </si>
  <si>
    <t>AIJ-100503</t>
  </si>
  <si>
    <t>AIJ-100504</t>
  </si>
  <si>
    <t>AIJ-100505</t>
  </si>
  <si>
    <t>AIJ-100506</t>
  </si>
  <si>
    <t>AIJ-100507</t>
  </si>
  <si>
    <t>AIJ-100508</t>
  </si>
  <si>
    <t>AIJ-100509</t>
  </si>
  <si>
    <t>AIJ-100510</t>
  </si>
  <si>
    <t>AIJ-100511</t>
  </si>
  <si>
    <t>AIJ-100512</t>
  </si>
  <si>
    <t>AIJ-100513</t>
  </si>
  <si>
    <t>AIJ-100514</t>
  </si>
  <si>
    <t>AIJ-100515</t>
  </si>
  <si>
    <t>AIJ-100516</t>
  </si>
  <si>
    <t>AIJ-100517</t>
  </si>
  <si>
    <t>AIJ-100518</t>
  </si>
  <si>
    <t>AIJ-100519</t>
  </si>
  <si>
    <t>AIJ-100520</t>
  </si>
  <si>
    <t>AIJ-100521</t>
  </si>
  <si>
    <t>AIJ-100522</t>
  </si>
  <si>
    <t>AIJ-100523</t>
  </si>
  <si>
    <t>AIJ-100524</t>
  </si>
  <si>
    <t>AIJ-100525</t>
  </si>
  <si>
    <t>AIJ-100526</t>
  </si>
  <si>
    <t>AIJ-100527</t>
  </si>
  <si>
    <t>AIJ-100528</t>
  </si>
  <si>
    <t>AIJ-100529</t>
  </si>
  <si>
    <t>AIJ-100530</t>
  </si>
  <si>
    <t>AIJ-100531</t>
  </si>
  <si>
    <t>AIJ-100532</t>
  </si>
  <si>
    <t>AIJ-100533</t>
  </si>
  <si>
    <t>AIJ-100534</t>
  </si>
  <si>
    <t>AIJ-100535</t>
  </si>
  <si>
    <t>AIJ-100536</t>
  </si>
  <si>
    <t>AIJ-100537</t>
  </si>
  <si>
    <t>AIJ-100538</t>
  </si>
  <si>
    <t>AIJ-100539</t>
  </si>
  <si>
    <t>AIJ-100540</t>
  </si>
  <si>
    <t>AIJ-100541</t>
  </si>
  <si>
    <t>AIJ-100542</t>
  </si>
  <si>
    <t>AIJ-100543</t>
  </si>
  <si>
    <t>AIJ-100544</t>
  </si>
  <si>
    <t>AIJ-100545</t>
  </si>
  <si>
    <t>AIJ-100546</t>
  </si>
  <si>
    <t>AIJ-100547</t>
  </si>
  <si>
    <t>AIJ-100548</t>
  </si>
  <si>
    <t>AIJ-100549</t>
  </si>
  <si>
    <t>AIJ-100550</t>
  </si>
  <si>
    <t>AIJ-100551</t>
  </si>
  <si>
    <t>AIJ-100552</t>
  </si>
  <si>
    <t>AIJ-100553</t>
  </si>
  <si>
    <t>AIJ-100554</t>
  </si>
  <si>
    <t>AIJ-100555</t>
  </si>
  <si>
    <t>AIJ-100556</t>
  </si>
  <si>
    <t>AIJ-100557</t>
  </si>
  <si>
    <t>AIJ-100558</t>
  </si>
  <si>
    <t>AIJ-100559</t>
  </si>
  <si>
    <t>AIJ-100560</t>
  </si>
  <si>
    <t>AIJ-100561</t>
  </si>
  <si>
    <t>AIJ-100562</t>
  </si>
  <si>
    <t>AIJ-100563</t>
  </si>
  <si>
    <t>AIJ-100564</t>
  </si>
  <si>
    <t>AIJ-100565</t>
  </si>
  <si>
    <t>AIJ-100566</t>
  </si>
  <si>
    <t>AIJ-100567</t>
  </si>
  <si>
    <t>AIJ-100568</t>
  </si>
  <si>
    <t>AIJ-100569</t>
  </si>
  <si>
    <t>AIJ-100570</t>
  </si>
  <si>
    <t>AIJ-100571</t>
  </si>
  <si>
    <t>AIJ-100572</t>
  </si>
  <si>
    <t>AIJ-100573</t>
  </si>
  <si>
    <t>AIJ-100574</t>
  </si>
  <si>
    <t>AIJ-100575</t>
  </si>
  <si>
    <t>AIJ-100576</t>
  </si>
  <si>
    <t>AIJ-100577</t>
  </si>
  <si>
    <t>AIJ-100578</t>
  </si>
  <si>
    <t>AIJ-100579</t>
  </si>
  <si>
    <t>AIJ-100580</t>
  </si>
  <si>
    <t>AIJ-100581</t>
  </si>
  <si>
    <t>AIJ-100582</t>
  </si>
  <si>
    <t>AIJ-100583</t>
  </si>
  <si>
    <t>AIJ-100584</t>
  </si>
  <si>
    <t>AIJ-100585</t>
  </si>
  <si>
    <t>AIJ-100586</t>
  </si>
  <si>
    <t>AIJ-100587</t>
  </si>
  <si>
    <t>AIJ-100588</t>
  </si>
  <si>
    <t>AIJ-100589</t>
  </si>
  <si>
    <t>AIJ-100590</t>
  </si>
  <si>
    <t>AIJ-100591</t>
  </si>
  <si>
    <t>AIJ-100592</t>
  </si>
  <si>
    <t>AIJ-100593</t>
  </si>
  <si>
    <t>AIJ-100594</t>
  </si>
  <si>
    <t>AIJ-100595</t>
  </si>
  <si>
    <t>AIJ-100596</t>
  </si>
  <si>
    <t>AIJ-100597</t>
  </si>
  <si>
    <t>AIJ-100598</t>
  </si>
  <si>
    <t>AIJ-100599</t>
  </si>
  <si>
    <t>AIJ-100600</t>
  </si>
  <si>
    <t>AIJ-100601</t>
  </si>
  <si>
    <t>AIJ-100602</t>
  </si>
  <si>
    <t>AIJ-100603</t>
  </si>
  <si>
    <t>AIJ-100604</t>
  </si>
  <si>
    <t>AIJ-100605</t>
  </si>
  <si>
    <t>AIJ-100606</t>
  </si>
  <si>
    <t>AIJ-100607</t>
  </si>
  <si>
    <t>AIJ-100608</t>
  </si>
  <si>
    <t>AIJ-100609</t>
  </si>
  <si>
    <t>AIJ-100610</t>
  </si>
  <si>
    <t>AIJ-100611</t>
  </si>
  <si>
    <t>AIJ-100612</t>
  </si>
  <si>
    <t>AIJ-100613</t>
  </si>
  <si>
    <t>AIJ-100614</t>
  </si>
  <si>
    <t>AIJ-100615</t>
  </si>
  <si>
    <t>AIJ-100616</t>
  </si>
  <si>
    <t>AIJ-100617</t>
  </si>
  <si>
    <t>AIJ-100618</t>
  </si>
  <si>
    <t>AIJ-100619</t>
  </si>
  <si>
    <t>AIJ-100620</t>
  </si>
  <si>
    <t>AIJ-100621</t>
  </si>
  <si>
    <t>AIJ-100622</t>
  </si>
  <si>
    <t>AIJ-100623</t>
  </si>
  <si>
    <t>AIJ-100624</t>
  </si>
  <si>
    <t>AIJ-100625</t>
  </si>
  <si>
    <t>AIJ-100626</t>
  </si>
  <si>
    <t>AIJ-100627</t>
  </si>
  <si>
    <t>AIJ-100628</t>
  </si>
  <si>
    <t>AIJ-100629</t>
  </si>
  <si>
    <t>AIJ-100630</t>
  </si>
  <si>
    <t>AIJ-100631</t>
  </si>
  <si>
    <t>AIJ-100632</t>
  </si>
  <si>
    <t>AIJ-100633</t>
  </si>
  <si>
    <t>AIJ-100634</t>
  </si>
  <si>
    <t>AIJ-100635</t>
  </si>
  <si>
    <t>AIJ-100636</t>
  </si>
  <si>
    <t>AIJ-100637</t>
  </si>
  <si>
    <t>AIJ-100638</t>
  </si>
  <si>
    <t>AIJ-100639</t>
  </si>
  <si>
    <t>AIJ-100640</t>
  </si>
  <si>
    <t>AIJ-100641</t>
  </si>
  <si>
    <t>AIJ-100642</t>
  </si>
  <si>
    <t>AIJ-100643</t>
  </si>
  <si>
    <t>AIJ-100644</t>
  </si>
  <si>
    <t>AIJ-100645</t>
  </si>
  <si>
    <t>AIJ-100646</t>
  </si>
  <si>
    <t>AIJ-100647</t>
  </si>
  <si>
    <t>AIJ-100648</t>
  </si>
  <si>
    <t>AIJ-100649</t>
  </si>
  <si>
    <t>AIJ-100650</t>
  </si>
  <si>
    <t>AIJ-100651</t>
  </si>
  <si>
    <t>AIJ-100652</t>
  </si>
  <si>
    <t>AIJ-100653</t>
  </si>
  <si>
    <t>AIJ-100654</t>
  </si>
  <si>
    <t>AIJ-100655</t>
  </si>
  <si>
    <t>AIJ-100656</t>
  </si>
  <si>
    <t>AIJ-100657</t>
  </si>
  <si>
    <t>AIJ-100658</t>
  </si>
  <si>
    <t>AIJ-100659</t>
  </si>
  <si>
    <t>AIJ-100660</t>
  </si>
  <si>
    <t>AIJ-100661</t>
  </si>
  <si>
    <t>AIJ-100662</t>
  </si>
  <si>
    <t>AIJ-100663</t>
  </si>
  <si>
    <t>AIJ-100664</t>
  </si>
  <si>
    <t>AIJ-100665</t>
  </si>
  <si>
    <t>AIJ-100666</t>
  </si>
  <si>
    <t>AIJ-100667</t>
  </si>
  <si>
    <t>AIJ-100668</t>
  </si>
  <si>
    <t>AIJ-100669</t>
  </si>
  <si>
    <t>AIJ-100670</t>
  </si>
  <si>
    <t>AIJ-100671</t>
  </si>
  <si>
    <t>AIJ-100672</t>
  </si>
  <si>
    <t>AIJ-100673</t>
  </si>
  <si>
    <t>AIJ-100674</t>
  </si>
  <si>
    <t>AIJ-100675</t>
  </si>
  <si>
    <t>AIJ-100676</t>
  </si>
  <si>
    <t>AIJ-100677</t>
  </si>
  <si>
    <t>AIJ-100678</t>
  </si>
  <si>
    <t>AIJ-100679</t>
  </si>
  <si>
    <t>AIJ-100680</t>
  </si>
  <si>
    <t>AIJ-100681</t>
  </si>
  <si>
    <t>AIJ-100682</t>
  </si>
  <si>
    <t>AIJ-100683</t>
  </si>
  <si>
    <t>AIJ-100684</t>
  </si>
  <si>
    <t>AIJ-100685</t>
  </si>
  <si>
    <t>AIJ-100686</t>
  </si>
  <si>
    <t>AIJ-100687</t>
  </si>
  <si>
    <t>AIJ-100688</t>
  </si>
  <si>
    <t>AIJ-100689</t>
  </si>
  <si>
    <t>AIJ-100690</t>
  </si>
  <si>
    <t>AIJ-100691</t>
  </si>
  <si>
    <t>AIJ-100692</t>
  </si>
  <si>
    <t>AIJ-100693</t>
  </si>
  <si>
    <t>AIJ-100694</t>
  </si>
  <si>
    <t>AIJ-100695</t>
  </si>
  <si>
    <t>AIJ-100696</t>
  </si>
  <si>
    <t>AIJ-100697</t>
  </si>
  <si>
    <t>AIJ-100698</t>
  </si>
  <si>
    <t>AIJ-100699</t>
  </si>
  <si>
    <t>AIJ-100700</t>
  </si>
  <si>
    <t>AIJ-100701</t>
  </si>
  <si>
    <t>AIJ-100702</t>
  </si>
  <si>
    <t>AIJ-100703</t>
  </si>
  <si>
    <t>AIJ-100704</t>
  </si>
  <si>
    <t>AIJ-100705</t>
  </si>
  <si>
    <t>AIJ-100706</t>
  </si>
  <si>
    <t>AIJ-100707</t>
  </si>
  <si>
    <t>AIJ-100708</t>
  </si>
  <si>
    <t>AIJ-100709</t>
  </si>
  <si>
    <t>AIJ-100710</t>
  </si>
  <si>
    <t>AIJ-100711</t>
  </si>
  <si>
    <t>AIJ-100712</t>
  </si>
  <si>
    <t>AIJ-100713</t>
  </si>
  <si>
    <t>AIJ-100714</t>
  </si>
  <si>
    <t>AIJ-100715</t>
  </si>
  <si>
    <t>AIJ-100716</t>
  </si>
  <si>
    <t>AIJ-100717</t>
  </si>
  <si>
    <t>AIJ-100718</t>
  </si>
  <si>
    <t>AIJ-100719</t>
  </si>
  <si>
    <t>AIJ-100720</t>
  </si>
  <si>
    <t>AIJ-100721</t>
  </si>
  <si>
    <t>AIJ-100722</t>
  </si>
  <si>
    <t>AIJ-100723</t>
  </si>
  <si>
    <t>AIJ-100724</t>
  </si>
  <si>
    <t>AIJ-100725</t>
  </si>
  <si>
    <t>AIJ-100726</t>
  </si>
  <si>
    <t>AIJ-100727</t>
  </si>
  <si>
    <t>AIJ-100728</t>
  </si>
  <si>
    <t>AIJ-100729</t>
  </si>
  <si>
    <t>AIJ-100730</t>
  </si>
  <si>
    <t>AIJ-100731</t>
  </si>
  <si>
    <t>AIJ-100732</t>
  </si>
  <si>
    <t>AIJ-100733</t>
  </si>
  <si>
    <t>AIJ-100734</t>
  </si>
  <si>
    <t>AIJ-100735</t>
  </si>
  <si>
    <t>AIJ-100736</t>
  </si>
  <si>
    <t>AIJ-100737</t>
  </si>
  <si>
    <t>AIJ-100738</t>
  </si>
  <si>
    <t>AIJ-100739</t>
  </si>
  <si>
    <t>AIJ-100740</t>
  </si>
  <si>
    <t>AIJ-100741</t>
  </si>
  <si>
    <t>AIJ-100742</t>
  </si>
  <si>
    <t>AIJ-100743</t>
  </si>
  <si>
    <t>AIJ-100744</t>
  </si>
  <si>
    <t>AIJ-100745</t>
  </si>
  <si>
    <t>AIJ-100746</t>
  </si>
  <si>
    <t>AIJ-100747</t>
  </si>
  <si>
    <t>AIJ-100748</t>
  </si>
  <si>
    <t>AIJ-100749</t>
  </si>
  <si>
    <t>AIJ-100750</t>
  </si>
  <si>
    <t>AIJ-100751</t>
  </si>
  <si>
    <t>AIJ-100752</t>
  </si>
  <si>
    <t>AIJ-100753</t>
  </si>
  <si>
    <t>AIJ-100754</t>
  </si>
  <si>
    <t>AIJ-100755</t>
  </si>
  <si>
    <t>AIJ-100756</t>
  </si>
  <si>
    <t>AIJ-100757</t>
  </si>
  <si>
    <t>AIJ-100758</t>
  </si>
  <si>
    <t>AIJ-100759</t>
  </si>
  <si>
    <t>AIJ-100760</t>
  </si>
  <si>
    <t>AIJ-100761</t>
  </si>
  <si>
    <t>AIJ-100762</t>
  </si>
  <si>
    <t>AIJ-100763</t>
  </si>
  <si>
    <t>AIJ-100764</t>
  </si>
  <si>
    <t>AIJ-100765</t>
  </si>
  <si>
    <t>AIJ-100766</t>
  </si>
  <si>
    <t>AIJ-100767</t>
  </si>
  <si>
    <t>AIJ-100768</t>
  </si>
  <si>
    <t>AIJ-100769</t>
  </si>
  <si>
    <t>AIJ-100770</t>
  </si>
  <si>
    <t>AIJ-100771</t>
  </si>
  <si>
    <t>AIJ-100772</t>
  </si>
  <si>
    <t>AIJ-100773</t>
  </si>
  <si>
    <t>AIJ-100774</t>
  </si>
  <si>
    <t>AIJ-100775</t>
  </si>
  <si>
    <t>AIJ-100776</t>
  </si>
  <si>
    <t>AIJ-100777</t>
  </si>
  <si>
    <t>AIJ-100778</t>
  </si>
  <si>
    <t>AIJ-100779</t>
  </si>
  <si>
    <t>AIJ-100780</t>
  </si>
  <si>
    <t>AIJ-100781</t>
  </si>
  <si>
    <t>AIJ-100782</t>
  </si>
  <si>
    <t>AIJ-100783</t>
  </si>
  <si>
    <t>AIJ-100784</t>
  </si>
  <si>
    <t>AIJ-100785</t>
  </si>
  <si>
    <t>AIJ-100786</t>
  </si>
  <si>
    <t>AIJ-100787</t>
  </si>
  <si>
    <t>AIJ-100788</t>
  </si>
  <si>
    <t>AIJ-100789</t>
  </si>
  <si>
    <t>AIJ-100790</t>
  </si>
  <si>
    <t>AIJ-100791</t>
  </si>
  <si>
    <t>AIJ-100792</t>
  </si>
  <si>
    <t>AIJ-100793</t>
  </si>
  <si>
    <t>AIJ-100794</t>
  </si>
  <si>
    <t>AIJ-100795</t>
  </si>
  <si>
    <t>AIJ-100796</t>
  </si>
  <si>
    <t>AIJ-100797</t>
  </si>
  <si>
    <t>AIJ-100798</t>
  </si>
  <si>
    <t>AIJ-100799</t>
  </si>
  <si>
    <t>AIJ-100800</t>
  </si>
  <si>
    <t>AIJ-100801</t>
  </si>
  <si>
    <t>AIJ-100802</t>
  </si>
  <si>
    <t>AIJ-100803</t>
  </si>
  <si>
    <t>AIJ-100804</t>
  </si>
  <si>
    <t>AIJ-100805</t>
  </si>
  <si>
    <t>AIJ-100806</t>
  </si>
  <si>
    <t>AIJ-100807</t>
  </si>
  <si>
    <t>AIJ-100808</t>
  </si>
  <si>
    <t>AIJ-100809</t>
  </si>
  <si>
    <t>AIJ-100810</t>
  </si>
  <si>
    <t>AIJ-100811</t>
  </si>
  <si>
    <t>AIJ-100812</t>
  </si>
  <si>
    <t>AIJ-100813</t>
  </si>
  <si>
    <t>AIJ-100814</t>
  </si>
  <si>
    <t>AIJ-100815</t>
  </si>
  <si>
    <t>AIJ-100816</t>
  </si>
  <si>
    <t>AIJ-100817</t>
  </si>
  <si>
    <t>AIJ-100818</t>
  </si>
  <si>
    <t>AIJ-100819</t>
  </si>
  <si>
    <t>AIJ-100820</t>
  </si>
  <si>
    <t>AIJ-100821</t>
  </si>
  <si>
    <t>AIJ-100822</t>
  </si>
  <si>
    <t>AIJ-100823</t>
  </si>
  <si>
    <t>AIJ-100824</t>
  </si>
  <si>
    <t>AIJ-100825</t>
  </si>
  <si>
    <t>AIJ-100826</t>
  </si>
  <si>
    <t>AIJ-100827</t>
  </si>
  <si>
    <t>AIJ-100828</t>
  </si>
  <si>
    <t>AIJ-100829</t>
  </si>
  <si>
    <t>AIJ-100830</t>
  </si>
  <si>
    <t>AIJ-100831</t>
  </si>
  <si>
    <t>AIJ-100832</t>
  </si>
  <si>
    <t>AIJ-100833</t>
  </si>
  <si>
    <t>AIJ-100834</t>
  </si>
  <si>
    <t>AIJ-100835</t>
  </si>
  <si>
    <t>AIJ-100836</t>
  </si>
  <si>
    <t>AIJ-100837</t>
  </si>
  <si>
    <t>AIJ-100838</t>
  </si>
  <si>
    <t>AIJ-100839</t>
  </si>
  <si>
    <t>AIJ-100840</t>
  </si>
  <si>
    <t>AIJ-100841</t>
  </si>
  <si>
    <t>AIJ-100842</t>
  </si>
  <si>
    <t>AIJ-100843</t>
  </si>
  <si>
    <t>AIJ-100844</t>
  </si>
  <si>
    <t>AIJ-100845</t>
  </si>
  <si>
    <t>AIJ-100846</t>
  </si>
  <si>
    <t>AIJ-100847</t>
  </si>
  <si>
    <t>AIJ-100848</t>
  </si>
  <si>
    <t>AIJ-100849</t>
  </si>
  <si>
    <t>AIJ-100850</t>
  </si>
  <si>
    <t>AIJ-100851</t>
  </si>
  <si>
    <t>AIJ-100852</t>
  </si>
  <si>
    <t>AIJ-100853</t>
  </si>
  <si>
    <t>AIJ-100854</t>
  </si>
  <si>
    <t>AIJ-100855</t>
  </si>
  <si>
    <t>AIJ-100856</t>
  </si>
  <si>
    <t>AIJ-100857</t>
  </si>
  <si>
    <t>AIJ-100858</t>
  </si>
  <si>
    <t>AIJ-100859</t>
  </si>
  <si>
    <t>AIJ-100860</t>
  </si>
  <si>
    <t>AIJ-100861</t>
  </si>
  <si>
    <t>AIJ-100862</t>
  </si>
  <si>
    <t>AIJ-100863</t>
  </si>
  <si>
    <t>AIJ-100864</t>
  </si>
  <si>
    <t>AIJ-100865</t>
  </si>
  <si>
    <t>AIJ-100866</t>
  </si>
  <si>
    <t>AIJ-100867</t>
  </si>
  <si>
    <t>AIJ-100868</t>
  </si>
  <si>
    <t>AIJ-100869</t>
  </si>
  <si>
    <t>AIJ-100870</t>
  </si>
  <si>
    <t>AIJ-100871</t>
  </si>
  <si>
    <t>AIJ-100872</t>
  </si>
  <si>
    <t>AIJ-100873</t>
  </si>
  <si>
    <t>AIJ-100874</t>
  </si>
  <si>
    <t>AIJ-100875</t>
  </si>
  <si>
    <t>AIJ-100876</t>
  </si>
  <si>
    <t>AIJ-100877</t>
  </si>
  <si>
    <t>AIJ-100878</t>
  </si>
  <si>
    <t>AIJ-100879</t>
  </si>
  <si>
    <t>AIJ-100880</t>
  </si>
  <si>
    <t>AIJ-100881</t>
  </si>
  <si>
    <t>AIJ-100882</t>
  </si>
  <si>
    <t>AIJ-100883</t>
  </si>
  <si>
    <t>AIJ-100884</t>
  </si>
  <si>
    <t>AIJ-100885</t>
  </si>
  <si>
    <t>AIJ-100886</t>
  </si>
  <si>
    <t>AIJ-100887</t>
  </si>
  <si>
    <t>AIJ-100888</t>
  </si>
  <si>
    <t>AIJ-100889</t>
  </si>
  <si>
    <t>AIJ-100890</t>
  </si>
  <si>
    <t>AIJ-100891</t>
  </si>
  <si>
    <t>AIJ-100892</t>
  </si>
  <si>
    <t>AIJ-100893</t>
  </si>
  <si>
    <t>AIJ-100894</t>
  </si>
  <si>
    <t>AIJ-100895</t>
  </si>
  <si>
    <t>AIJ-100896</t>
  </si>
  <si>
    <t>AIJ-100897</t>
  </si>
  <si>
    <t>AIJ-100898</t>
  </si>
  <si>
    <t>AIJ-100899</t>
  </si>
  <si>
    <t>AIJ-100900</t>
  </si>
  <si>
    <t>AIJ-100901</t>
  </si>
  <si>
    <t>AIJ-100902</t>
  </si>
  <si>
    <t>AIJ-100903</t>
  </si>
  <si>
    <t>AIJ-100904</t>
  </si>
  <si>
    <t>AIJ-100905</t>
  </si>
  <si>
    <t>AIJ-100906</t>
  </si>
  <si>
    <t>AIJ-100907</t>
  </si>
  <si>
    <t>AIJ-100908</t>
  </si>
  <si>
    <t>AIJ-100909</t>
  </si>
  <si>
    <t>AIJ-100910</t>
  </si>
  <si>
    <t>AIJ-100911</t>
  </si>
  <si>
    <t>AIJ-100912</t>
  </si>
  <si>
    <t>AIJ-100913</t>
  </si>
  <si>
    <t>AIJ-100914</t>
  </si>
  <si>
    <t>AIJ-100915</t>
  </si>
  <si>
    <t>AIJ-100916</t>
  </si>
  <si>
    <t>AIJ-100917</t>
  </si>
  <si>
    <t>AIJ-100918</t>
  </si>
  <si>
    <t>AIJ-100919</t>
  </si>
  <si>
    <t>AIJ-100920</t>
  </si>
  <si>
    <t>AIJ-100921</t>
  </si>
  <si>
    <t>AIJ-100922</t>
  </si>
  <si>
    <t>AIJ-100923</t>
  </si>
  <si>
    <t>AIJ-100924</t>
  </si>
  <si>
    <t>AIJ-100925</t>
  </si>
  <si>
    <t>AIJ-100926</t>
  </si>
  <si>
    <t>AIJ-100927</t>
  </si>
  <si>
    <t>AIJ-100928</t>
  </si>
  <si>
    <t>AIJ-100929</t>
  </si>
  <si>
    <t>AIJ-100930</t>
  </si>
  <si>
    <t>AIJ-100931</t>
  </si>
  <si>
    <t>AIJ-100932</t>
  </si>
  <si>
    <t>AIJ-100933</t>
  </si>
  <si>
    <t>AIJ-100934</t>
  </si>
  <si>
    <t>AIJ-100935</t>
  </si>
  <si>
    <t>AIJ-100936</t>
  </si>
  <si>
    <t>AIJ-100937</t>
  </si>
  <si>
    <t>AIJ-100938</t>
  </si>
  <si>
    <t>AIJ-100939</t>
  </si>
  <si>
    <t>AIJ-100940</t>
  </si>
  <si>
    <t>AIJ-100941</t>
  </si>
  <si>
    <t>AIJ-100942</t>
  </si>
  <si>
    <t>AIJ-100943</t>
  </si>
  <si>
    <t>AIJ-100944</t>
  </si>
  <si>
    <t>AIJ-100945</t>
  </si>
  <si>
    <t>AIJ-100946</t>
  </si>
  <si>
    <t>AIJ-100947</t>
  </si>
  <si>
    <t>AIJ-100948</t>
  </si>
  <si>
    <t>AIJ-100949</t>
  </si>
  <si>
    <t>AIJ-100950</t>
  </si>
  <si>
    <t>AIJ-100951</t>
  </si>
  <si>
    <t>AIJ-100952</t>
  </si>
  <si>
    <t>AIJ-100953</t>
  </si>
  <si>
    <t>AIJ-100954</t>
  </si>
  <si>
    <t>AIJ-100955</t>
  </si>
  <si>
    <t>AIJ-100956</t>
  </si>
  <si>
    <t>AIJ-100957</t>
  </si>
  <si>
    <t>AIJ-100958</t>
  </si>
  <si>
    <t>AIJ-100959</t>
  </si>
  <si>
    <t>AIJ-100960</t>
  </si>
  <si>
    <t>AIJ-100961</t>
  </si>
  <si>
    <t>AIJ-100962</t>
  </si>
  <si>
    <t>AIJ-100963</t>
  </si>
  <si>
    <t>AIJ-100964</t>
  </si>
  <si>
    <t>AIJ-100965</t>
  </si>
  <si>
    <t>AIJ-100966</t>
  </si>
  <si>
    <t>AIJ-100967</t>
  </si>
  <si>
    <t>AIJ-100968</t>
  </si>
  <si>
    <t>AIJ-100969</t>
  </si>
  <si>
    <t>AIJ-100970</t>
  </si>
  <si>
    <t>AIJ-100971</t>
  </si>
  <si>
    <t>AIJ-100972</t>
  </si>
  <si>
    <t>AIJ-100973</t>
  </si>
  <si>
    <t>AIJ-100974</t>
  </si>
  <si>
    <t>AIJ-100975</t>
  </si>
  <si>
    <t>AIJ-100976</t>
  </si>
  <si>
    <t>AIJ-100977</t>
  </si>
  <si>
    <t>AIJ-100978</t>
  </si>
  <si>
    <t>AIJ-100979</t>
  </si>
  <si>
    <t>AIJ-100980</t>
  </si>
  <si>
    <t>AIJ-100981</t>
  </si>
  <si>
    <t>AIJ-100982</t>
  </si>
  <si>
    <t>AIJ-100983</t>
  </si>
  <si>
    <t>AIJ-100984</t>
  </si>
  <si>
    <t>AIJ-100985</t>
  </si>
  <si>
    <t>AIJ-100986</t>
  </si>
  <si>
    <t>AIJ-100987</t>
  </si>
  <si>
    <t>AIJ-100988</t>
  </si>
  <si>
    <t>AIJ-100989</t>
  </si>
  <si>
    <t>AIJ-100990</t>
  </si>
  <si>
    <t>AIJ-100991</t>
  </si>
  <si>
    <t>AIJ-100992</t>
  </si>
  <si>
    <t>AIJ-100993</t>
  </si>
  <si>
    <t>AIJ-100994</t>
  </si>
  <si>
    <t>AIJ-100995</t>
  </si>
  <si>
    <t>AIJ-100996</t>
  </si>
  <si>
    <t>AIJ-100997</t>
  </si>
  <si>
    <t>AIJ-100998</t>
  </si>
  <si>
    <t>AIJ-100999</t>
  </si>
  <si>
    <t>AIJ-101000</t>
  </si>
  <si>
    <t>AIJ-101001</t>
  </si>
  <si>
    <t>AIJ-101002</t>
  </si>
  <si>
    <t>AIJ-101003</t>
  </si>
  <si>
    <t>AIJ-101004</t>
  </si>
  <si>
    <t>AIJ-101005</t>
  </si>
  <si>
    <t>AIJ-101006</t>
  </si>
  <si>
    <t>AIJ-101007</t>
  </si>
  <si>
    <t>AIJ-101008</t>
  </si>
  <si>
    <t>AIJ-101009</t>
  </si>
  <si>
    <t>AIJ-101010</t>
  </si>
  <si>
    <t>AIJ-101011</t>
  </si>
  <si>
    <t>AIJ-101012</t>
  </si>
  <si>
    <t>AIJ-101013</t>
  </si>
  <si>
    <t>AIJ-101014</t>
  </si>
  <si>
    <t>AIJ-101015</t>
  </si>
  <si>
    <t>AIJ-101016</t>
  </si>
  <si>
    <t>AIJ-101017</t>
  </si>
  <si>
    <t>AIJ-101018</t>
  </si>
  <si>
    <t>AIJ-101019</t>
  </si>
  <si>
    <t>AIJ-101020</t>
  </si>
  <si>
    <t>AIJ-101021</t>
  </si>
  <si>
    <t>AIJ-101022</t>
  </si>
  <si>
    <t>AIJ-101023</t>
  </si>
  <si>
    <t>AIJ-101024</t>
  </si>
  <si>
    <t>AIJ-101025</t>
  </si>
  <si>
    <t>AIJ-101026</t>
  </si>
  <si>
    <t>AIJ-101027</t>
  </si>
  <si>
    <t>AIJ-101028</t>
  </si>
  <si>
    <t>AIJ-101029</t>
  </si>
  <si>
    <t>AIJ-101030</t>
  </si>
  <si>
    <t>AIJ-101031</t>
  </si>
  <si>
    <t>AIJ-101032</t>
  </si>
  <si>
    <t>AIJ-101033</t>
  </si>
  <si>
    <t>AIJ-101034</t>
  </si>
  <si>
    <t>AIJ-101035</t>
  </si>
  <si>
    <t>AIJ-101036</t>
  </si>
  <si>
    <t>AIJ-101037</t>
  </si>
  <si>
    <t>AIJ-101038</t>
  </si>
  <si>
    <t>AIJ-101039</t>
  </si>
  <si>
    <t>AIJ-101040</t>
  </si>
  <si>
    <t>AIJ-101041</t>
  </si>
  <si>
    <t>AIJ-101042</t>
  </si>
  <si>
    <t>AIJ-101043</t>
  </si>
  <si>
    <t>AIJ-101044</t>
  </si>
  <si>
    <t>AIJ-101045</t>
  </si>
  <si>
    <t>AIJ-101046</t>
  </si>
  <si>
    <t>AIJ-101047</t>
  </si>
  <si>
    <t>AIJ-101048</t>
  </si>
  <si>
    <t>AIJ-101049</t>
  </si>
  <si>
    <t>AIJ-101050</t>
  </si>
  <si>
    <t>AIJ-101051</t>
  </si>
  <si>
    <t>AIJ-101052</t>
  </si>
  <si>
    <t>AIJ-101053</t>
  </si>
  <si>
    <t>AIJ-101054</t>
  </si>
  <si>
    <t>AIJ-101055</t>
  </si>
  <si>
    <t>AIJ-101056</t>
  </si>
  <si>
    <t>AIJ-101057</t>
  </si>
  <si>
    <t>AIJ-101058</t>
  </si>
  <si>
    <t>AIJ-101059</t>
  </si>
  <si>
    <t>AIJ-101060</t>
  </si>
  <si>
    <t>AIJ-101061</t>
  </si>
  <si>
    <t>AIJ-101062</t>
  </si>
  <si>
    <t>AIJ-101063</t>
  </si>
  <si>
    <t>AIJ-101064</t>
  </si>
  <si>
    <t>AIJ-101065</t>
  </si>
  <si>
    <t>AIJ-101066</t>
  </si>
  <si>
    <t>AIJ-101067</t>
  </si>
  <si>
    <t>AIJ-101068</t>
  </si>
  <si>
    <t>AIJ-101069</t>
  </si>
  <si>
    <t>AIJ-101070</t>
  </si>
  <si>
    <t>AIJ-101071</t>
  </si>
  <si>
    <t>AIJ-101072</t>
  </si>
  <si>
    <t>AIJ-101073</t>
  </si>
  <si>
    <t>AIJ-101074</t>
  </si>
  <si>
    <t>AIJ-101075</t>
  </si>
  <si>
    <t>AIJ-101076</t>
  </si>
  <si>
    <t>AIJ-101077</t>
  </si>
  <si>
    <t>AIJ-101078</t>
  </si>
  <si>
    <t>AIJ-101079</t>
  </si>
  <si>
    <t>AIJ-101080</t>
  </si>
  <si>
    <t>AIJ-101081</t>
  </si>
  <si>
    <t>AIJ-101082</t>
  </si>
  <si>
    <t>AIJ-101083</t>
  </si>
  <si>
    <t>AIJ-101084</t>
  </si>
  <si>
    <t>AIJ-101085</t>
  </si>
  <si>
    <t>AIJ-101086</t>
  </si>
  <si>
    <t>AIJ-101087</t>
  </si>
  <si>
    <t>AIJ-101088</t>
  </si>
  <si>
    <t>AIJ-101089</t>
  </si>
  <si>
    <t>AIJ-101090</t>
  </si>
  <si>
    <t>AIJ-101091</t>
  </si>
  <si>
    <t>AIJ-101092</t>
  </si>
  <si>
    <t>AIJ-101093</t>
  </si>
  <si>
    <t>AIJ-101094</t>
  </si>
  <si>
    <t>AIJ-101095</t>
  </si>
  <si>
    <t>AIJ-101096</t>
  </si>
  <si>
    <t>AIJ-101097</t>
  </si>
  <si>
    <t>AIJ-101098</t>
  </si>
  <si>
    <t>AIJ-101099</t>
  </si>
  <si>
    <t>AIJ-101100</t>
  </si>
  <si>
    <t>AIJ-101101</t>
  </si>
  <si>
    <t>AIJ-101102</t>
  </si>
  <si>
    <t>AIJ-101103</t>
  </si>
  <si>
    <t>AIJ-101104</t>
  </si>
  <si>
    <t>AIJ-101105</t>
  </si>
  <si>
    <t>AIJ-101106</t>
  </si>
  <si>
    <t>AIJ-101107</t>
  </si>
  <si>
    <t>AIJ-101108</t>
  </si>
  <si>
    <t>AIJ-101109</t>
  </si>
  <si>
    <t>AIJ-101110</t>
  </si>
  <si>
    <t>AIJ-101111</t>
  </si>
  <si>
    <t>AIJ-101112</t>
  </si>
  <si>
    <t>AIJ-101113</t>
  </si>
  <si>
    <t>AIJ-101114</t>
  </si>
  <si>
    <t>AIJ-101115</t>
  </si>
  <si>
    <t>AIJ-101116</t>
  </si>
  <si>
    <t>AIJ-101117</t>
  </si>
  <si>
    <t>AIJ-101118</t>
  </si>
  <si>
    <t>AIJ-101119</t>
  </si>
  <si>
    <t>AIJ-101120</t>
  </si>
  <si>
    <t>AIJ-101121</t>
  </si>
  <si>
    <t>AIJ-101122</t>
  </si>
  <si>
    <t>AIJ-101123</t>
  </si>
  <si>
    <t>AIJ-101124</t>
  </si>
  <si>
    <t>AIJ-101125</t>
  </si>
  <si>
    <t>AIJ-101126</t>
  </si>
  <si>
    <t>AIJ-101127</t>
  </si>
  <si>
    <t>AIJ-101128</t>
  </si>
  <si>
    <t>AIJ-101129</t>
  </si>
  <si>
    <t>AIJ-101130</t>
  </si>
  <si>
    <t>AIJ-101131</t>
  </si>
  <si>
    <t>AIJ-101132</t>
  </si>
  <si>
    <t>AIJ-101133</t>
  </si>
  <si>
    <t>AIJ-101134</t>
  </si>
  <si>
    <t>AIJ-101135</t>
  </si>
  <si>
    <t>AIJ-101136</t>
  </si>
  <si>
    <t>AIJ-101137</t>
  </si>
  <si>
    <t>AIJ-101138</t>
  </si>
  <si>
    <t>AIJ-101139</t>
  </si>
  <si>
    <t>AIJ-101140</t>
  </si>
  <si>
    <t>AIJ-101141</t>
  </si>
  <si>
    <t>AIJ-101142</t>
  </si>
  <si>
    <t>AIJ-101143</t>
  </si>
  <si>
    <t>AIJ-101144</t>
  </si>
  <si>
    <t>AIJ-101145</t>
  </si>
  <si>
    <t>AIJ-101146</t>
  </si>
  <si>
    <t>AIJ-101147</t>
  </si>
  <si>
    <t>AIJ-101148</t>
  </si>
  <si>
    <t>AIJ-101149</t>
  </si>
  <si>
    <t>AIJ-101150</t>
  </si>
  <si>
    <t>AIJ-101151</t>
  </si>
  <si>
    <t>AIJ-101152</t>
  </si>
  <si>
    <t>AIJ-101153</t>
  </si>
  <si>
    <t>AIJ-101154</t>
  </si>
  <si>
    <t>AIJ-101155</t>
  </si>
  <si>
    <t>AIJ-101156</t>
  </si>
  <si>
    <t>AIJ-101157</t>
  </si>
  <si>
    <t>AIJ-101158</t>
  </si>
  <si>
    <t>AIJ-101159</t>
  </si>
  <si>
    <t>AIJ-101160</t>
  </si>
  <si>
    <t>AIJ-101161</t>
  </si>
  <si>
    <t>AIJ-101162</t>
  </si>
  <si>
    <t>AIJ-101163</t>
  </si>
  <si>
    <t>AIJ-101164</t>
  </si>
  <si>
    <t>AIJ-101165</t>
  </si>
  <si>
    <t>AIJ-101166</t>
  </si>
  <si>
    <t>AIJ-101167</t>
  </si>
  <si>
    <t>AIJ-101168</t>
  </si>
  <si>
    <t>AIJ-101169</t>
  </si>
  <si>
    <t>AIJ-101170</t>
  </si>
  <si>
    <t>AIJ-101171</t>
  </si>
  <si>
    <t>AIJ-101172</t>
  </si>
  <si>
    <t>AIJ-101173</t>
  </si>
  <si>
    <t>AIJ-101174</t>
  </si>
  <si>
    <t>AIJ-101175</t>
  </si>
  <si>
    <t>AIJ-101176</t>
  </si>
  <si>
    <t>AIJ-101177</t>
  </si>
  <si>
    <t>AIJ-101178</t>
  </si>
  <si>
    <t>AIJ-101179</t>
  </si>
  <si>
    <t>AIJ-101180</t>
  </si>
  <si>
    <t>AIJ-101181</t>
  </si>
  <si>
    <t>AIJ-101182</t>
  </si>
  <si>
    <t>AIJ-101183</t>
  </si>
  <si>
    <t>AIJ-101184</t>
  </si>
  <si>
    <t>AIJ-101185</t>
  </si>
  <si>
    <t>AIJ-101186</t>
  </si>
  <si>
    <t>AIJ-101187</t>
  </si>
  <si>
    <t>AIJ-101188</t>
  </si>
  <si>
    <t>AIJ-101189</t>
  </si>
  <si>
    <t>AIJ-101190</t>
  </si>
  <si>
    <t>AIJ-101191</t>
  </si>
  <si>
    <t>AIJ-101192</t>
  </si>
  <si>
    <t>AIJ-101193</t>
  </si>
  <si>
    <t>AIJ-101194</t>
  </si>
  <si>
    <t>AIJ-101195</t>
  </si>
  <si>
    <t>AIJ-101196</t>
  </si>
  <si>
    <t>AIJ-101197</t>
  </si>
  <si>
    <t>AIJ-101198</t>
  </si>
  <si>
    <t>AIJ-101199</t>
  </si>
  <si>
    <t>AIJ-101200</t>
  </si>
  <si>
    <t>AIJ-101201</t>
  </si>
  <si>
    <t>AIJ-101202</t>
  </si>
  <si>
    <t>AIJ-101203</t>
  </si>
  <si>
    <t>AIJ-101204</t>
  </si>
  <si>
    <t>AIJ-101205</t>
  </si>
  <si>
    <t>AIJ-101206</t>
  </si>
  <si>
    <t>AIJ-101207</t>
  </si>
  <si>
    <t>AIJ-101208</t>
  </si>
  <si>
    <t>AIJ-101209</t>
  </si>
  <si>
    <t>AIJ-101210</t>
  </si>
  <si>
    <t>AIJ-101211</t>
  </si>
  <si>
    <t>AIJ-101212</t>
  </si>
  <si>
    <t>AIJ-101213</t>
  </si>
  <si>
    <t>AIJ-101214</t>
  </si>
  <si>
    <t>AIJ-101215</t>
  </si>
  <si>
    <t>AIJ-101216</t>
  </si>
  <si>
    <t>AIJ-101217</t>
  </si>
  <si>
    <t>AIJ-101218</t>
  </si>
  <si>
    <t>AIJ-101219</t>
  </si>
  <si>
    <t>AIJ-101220</t>
  </si>
  <si>
    <t>AIJ-101221</t>
  </si>
  <si>
    <t>AIJ-101222</t>
  </si>
  <si>
    <t>AIJ-101223</t>
  </si>
  <si>
    <t>AIJ-101224</t>
  </si>
  <si>
    <t>AIJ-101225</t>
  </si>
  <si>
    <t>AIJ-101226</t>
  </si>
  <si>
    <t>AIJ-101227</t>
  </si>
  <si>
    <t>AIJ-101228</t>
  </si>
  <si>
    <t>AIJ-101229</t>
  </si>
  <si>
    <t>AIJ-101230</t>
  </si>
  <si>
    <t>AIJ-101231</t>
  </si>
  <si>
    <t>AIJ-101232</t>
  </si>
  <si>
    <t>AIJ-101233</t>
  </si>
  <si>
    <t>AIJ-101234</t>
  </si>
  <si>
    <t>AIJ-101235</t>
  </si>
  <si>
    <t>AIJ-101236</t>
  </si>
  <si>
    <t>AIJ-101237</t>
  </si>
  <si>
    <t>AIJ-101238</t>
  </si>
  <si>
    <t>AIJ-101239</t>
  </si>
  <si>
    <t>AIJ-101240</t>
  </si>
  <si>
    <t>AIJ-101241</t>
  </si>
  <si>
    <t>AIJ-101242</t>
  </si>
  <si>
    <t>AIJ-101243</t>
  </si>
  <si>
    <t>AIJ-101244</t>
  </si>
  <si>
    <t>AIJ-101245</t>
  </si>
  <si>
    <t>AIJ-101246</t>
  </si>
  <si>
    <t>AIJ-101247</t>
  </si>
  <si>
    <t>AIJ-101248</t>
  </si>
  <si>
    <t>AIJ-101249</t>
  </si>
  <si>
    <t>AIJ-101250</t>
  </si>
  <si>
    <t>AIJ-101251</t>
  </si>
  <si>
    <t>AIJ-101252</t>
  </si>
  <si>
    <t>AIJ-101253</t>
  </si>
  <si>
    <t>AIJ-101254</t>
  </si>
  <si>
    <t>AIJ-101255</t>
  </si>
  <si>
    <t>AIJ-101256</t>
  </si>
  <si>
    <t>AIJ-101257</t>
  </si>
  <si>
    <t>AIJ-101258</t>
  </si>
  <si>
    <t>AIJ-101259</t>
  </si>
  <si>
    <t>AIJ-101260</t>
  </si>
  <si>
    <t>AIJ-101261</t>
  </si>
  <si>
    <t>AIJ-101262</t>
  </si>
  <si>
    <t>AIJ-101263</t>
  </si>
  <si>
    <t>AIJ-101264</t>
  </si>
  <si>
    <t>AIJ-101265</t>
  </si>
  <si>
    <t>AIJ-101266</t>
  </si>
  <si>
    <t>AIJ-101267</t>
  </si>
  <si>
    <t>AIJ-101268</t>
  </si>
  <si>
    <t>AIJ-101269</t>
  </si>
  <si>
    <t>AIJ-101270</t>
  </si>
  <si>
    <t>AIJ-101271</t>
  </si>
  <si>
    <t>AIJ-101272</t>
  </si>
  <si>
    <t>AIJ-101273</t>
  </si>
  <si>
    <t>AIJ-101274</t>
  </si>
  <si>
    <t>AIJ-101275</t>
  </si>
  <si>
    <t>AIJ-101276</t>
  </si>
  <si>
    <t>AIJ-101277</t>
  </si>
  <si>
    <t>AIJ-101278</t>
  </si>
  <si>
    <t>AIJ-101279</t>
  </si>
  <si>
    <t>AIJ-101280</t>
  </si>
  <si>
    <t>AIJ-101281</t>
  </si>
  <si>
    <t>AIJ-101282</t>
  </si>
  <si>
    <t>AIJ-101283</t>
  </si>
  <si>
    <t>AIJ-101284</t>
  </si>
  <si>
    <t>AIJ-101285</t>
  </si>
  <si>
    <t>AIJ-101286</t>
  </si>
  <si>
    <t>AIJ-101287</t>
  </si>
  <si>
    <t>AIJ-101288</t>
  </si>
  <si>
    <t>AIJ-101289</t>
  </si>
  <si>
    <t>AIJ-101290</t>
  </si>
  <si>
    <t>AIJ-101291</t>
  </si>
  <si>
    <t>AIJ-101292</t>
  </si>
  <si>
    <t>AIJ-101293</t>
  </si>
  <si>
    <t>AIJ-101294</t>
  </si>
  <si>
    <t>AIJ-101295</t>
  </si>
  <si>
    <t>AIJ-101296</t>
  </si>
  <si>
    <t>AIJ-101297</t>
  </si>
  <si>
    <t>AIJ-101298</t>
  </si>
  <si>
    <t>AIJ-101299</t>
  </si>
  <si>
    <t>AIJ-101300</t>
  </si>
  <si>
    <t>AIJ-101301</t>
  </si>
  <si>
    <t>AIJ-101302</t>
  </si>
  <si>
    <t>AIJ-101303</t>
  </si>
  <si>
    <t>AIJ-101304</t>
  </si>
  <si>
    <t>AIJ-101305</t>
  </si>
  <si>
    <t>AIJ-101306</t>
  </si>
  <si>
    <t>AIJ-101307</t>
  </si>
  <si>
    <t>AIJ-101308</t>
  </si>
  <si>
    <t>AIJ-101309</t>
  </si>
  <si>
    <t>AIJ-101310</t>
  </si>
  <si>
    <t>AIJ-101311</t>
  </si>
  <si>
    <t>AIJ-101312</t>
  </si>
  <si>
    <t>AIJ-101313</t>
  </si>
  <si>
    <t>AIJ-101314</t>
  </si>
  <si>
    <t>AIJ-101315</t>
  </si>
  <si>
    <t>AIJ-101316</t>
  </si>
  <si>
    <t>AIJ-101317</t>
  </si>
  <si>
    <t>AIJ-101318</t>
  </si>
  <si>
    <t>AIJ-101319</t>
  </si>
  <si>
    <t>AIJ-101320</t>
  </si>
  <si>
    <t>AIJ-101321</t>
  </si>
  <si>
    <t>AIJ-101322</t>
  </si>
  <si>
    <t>AIJ-101323</t>
  </si>
  <si>
    <t>AIJ-101324</t>
  </si>
  <si>
    <t>AIJ-101325</t>
  </si>
  <si>
    <t>AIJ-101326</t>
  </si>
  <si>
    <t>AIJ-101327</t>
  </si>
  <si>
    <t>AIJ-101328</t>
  </si>
  <si>
    <t>AIJ-101329</t>
  </si>
  <si>
    <t>AIJ-101330</t>
  </si>
  <si>
    <t>AIJ-101331</t>
  </si>
  <si>
    <t>AIJ-101332</t>
  </si>
  <si>
    <t>AIJ-101333</t>
  </si>
  <si>
    <t>AIJ-101334</t>
  </si>
  <si>
    <t>AIJ-101335</t>
  </si>
  <si>
    <t>AIJ-101336</t>
  </si>
  <si>
    <t>AIJ-101337</t>
  </si>
  <si>
    <t>AIJ-101338</t>
  </si>
  <si>
    <t>AIJ-101339</t>
  </si>
  <si>
    <t>AIJ-101340</t>
  </si>
  <si>
    <t>AIJ-101341</t>
  </si>
  <si>
    <t>AIJ-101342</t>
  </si>
  <si>
    <t>AIJ-101343</t>
  </si>
  <si>
    <t>AIJ-101344</t>
  </si>
  <si>
    <t>AIJ-101345</t>
  </si>
  <si>
    <t>AIJ-101346</t>
  </si>
  <si>
    <t>AIJ-101347</t>
  </si>
  <si>
    <t>AIJ-101348</t>
  </si>
  <si>
    <t>AIJ-101349</t>
  </si>
  <si>
    <t>AIJ-101350</t>
  </si>
  <si>
    <t>AIJ-101351</t>
  </si>
  <si>
    <t>AIJ-101352</t>
  </si>
  <si>
    <t>AIJ-101353</t>
  </si>
  <si>
    <t>AIJ-101354</t>
  </si>
  <si>
    <t>AIJ-101355</t>
  </si>
  <si>
    <t>AIJ-101356</t>
  </si>
  <si>
    <t>AIJ-101357</t>
  </si>
  <si>
    <t>AIJ-101358</t>
  </si>
  <si>
    <t>AIJ-101359</t>
  </si>
  <si>
    <t>AIJ-101360</t>
  </si>
  <si>
    <t>AIJ-101361</t>
  </si>
  <si>
    <t>AIJ-101362</t>
  </si>
  <si>
    <t>AIJ-101363</t>
  </si>
  <si>
    <t>AIJ-101364</t>
  </si>
  <si>
    <t>AIJ-101365</t>
  </si>
  <si>
    <t>AIJ-101366</t>
  </si>
  <si>
    <t>AIJ-101367</t>
  </si>
  <si>
    <t>AIJ-101368</t>
  </si>
  <si>
    <t>AIJ-101369</t>
  </si>
  <si>
    <t>AIJ-101370</t>
  </si>
  <si>
    <t>AIJ-101371</t>
  </si>
  <si>
    <t>AIJ-101372</t>
  </si>
  <si>
    <t>AIJ-101373</t>
  </si>
  <si>
    <t>AIJ-101374</t>
  </si>
  <si>
    <t>AIJ-101375</t>
  </si>
  <si>
    <t>AIJ-101376</t>
  </si>
  <si>
    <t>AIJ-101377</t>
  </si>
  <si>
    <t>AIJ-101378</t>
  </si>
  <si>
    <t>AIJ-101379</t>
  </si>
  <si>
    <t>AIJ-101380</t>
  </si>
  <si>
    <t>AIJ-101381</t>
  </si>
  <si>
    <t>AIJ-101382</t>
  </si>
  <si>
    <t>AIJ-101383</t>
  </si>
  <si>
    <t>AIJ-101384</t>
  </si>
  <si>
    <t>AIJ-101385</t>
  </si>
  <si>
    <t>AIJ-101386</t>
  </si>
  <si>
    <t>AIJ-101387</t>
  </si>
  <si>
    <t>AIJ-101388</t>
  </si>
  <si>
    <t>AIJ-101389</t>
  </si>
  <si>
    <t>AIJ-101390</t>
  </si>
  <si>
    <t>AIJ-101391</t>
  </si>
  <si>
    <t>AIJ-101392</t>
  </si>
  <si>
    <t>AIJ-101393</t>
  </si>
  <si>
    <t>AIJ-101394</t>
  </si>
  <si>
    <t>AIJ-101395</t>
  </si>
  <si>
    <t>AIJ-101396</t>
  </si>
  <si>
    <t>AIJ-101397</t>
  </si>
  <si>
    <t>AIJ-101398</t>
  </si>
  <si>
    <t>AIJ-101399</t>
  </si>
  <si>
    <t>AIJ-101400</t>
  </si>
  <si>
    <t>AIJ-101401</t>
  </si>
  <si>
    <t>AIJ-101402</t>
  </si>
  <si>
    <t>AIJ-101403</t>
  </si>
  <si>
    <t>AIJ-101404</t>
  </si>
  <si>
    <t>AIJ-101405</t>
  </si>
  <si>
    <t>AIJ-101406</t>
  </si>
  <si>
    <t>AIJ-101407</t>
  </si>
  <si>
    <t>AIJ-101408</t>
  </si>
  <si>
    <t>AIJ-101409</t>
  </si>
  <si>
    <t>AIJ-101410</t>
  </si>
  <si>
    <t>AIJ-101411</t>
  </si>
  <si>
    <t>AIJ-101412</t>
  </si>
  <si>
    <t>AIJ-101413</t>
  </si>
  <si>
    <t>AIJ-101414</t>
  </si>
  <si>
    <t>AIJ-101415</t>
  </si>
  <si>
    <t>AIJ-101416</t>
  </si>
  <si>
    <t>AIJ-101417</t>
  </si>
  <si>
    <t>AIJ-101418</t>
  </si>
  <si>
    <t>AIJ-101419</t>
  </si>
  <si>
    <t>AIJ-101420</t>
  </si>
  <si>
    <t>AIJ-101421</t>
  </si>
  <si>
    <t>AIJ-101422</t>
  </si>
  <si>
    <t>AIJ-101423</t>
  </si>
  <si>
    <t>AIJ-101424</t>
  </si>
  <si>
    <t>AIJ-101425</t>
  </si>
  <si>
    <t>AIJ-101426</t>
  </si>
  <si>
    <t>AIJ-101427</t>
  </si>
  <si>
    <t>AIJ-101428</t>
  </si>
  <si>
    <t>AIJ-101429</t>
  </si>
  <si>
    <t>AIJ-101430</t>
  </si>
  <si>
    <t>AIJ-101431</t>
  </si>
  <si>
    <t>AIJ-101432</t>
  </si>
  <si>
    <t>AIJ-101433</t>
  </si>
  <si>
    <t>AIJ-101434</t>
  </si>
  <si>
    <t>AIJ-101435</t>
  </si>
  <si>
    <t>AIJ-101436</t>
  </si>
  <si>
    <t>AIJ-101437</t>
  </si>
  <si>
    <t>AIJ-101438</t>
  </si>
  <si>
    <t>AIJ-101439</t>
  </si>
  <si>
    <t>AIJ-101440</t>
  </si>
  <si>
    <t>AIJ-101441</t>
  </si>
  <si>
    <t>AIJ-101442</t>
  </si>
  <si>
    <t>AIJ-101443</t>
  </si>
  <si>
    <t>AIJ-101444</t>
  </si>
  <si>
    <t>AIJ-101445</t>
  </si>
  <si>
    <t>AIJ-101446</t>
  </si>
  <si>
    <t>AIJ-101447</t>
  </si>
  <si>
    <t>AIJ-101448</t>
  </si>
  <si>
    <t>AIJ-101449</t>
  </si>
  <si>
    <t>AIJ-101450</t>
  </si>
  <si>
    <t>AIJ-101451</t>
  </si>
  <si>
    <t>AIJ-101452</t>
  </si>
  <si>
    <t>AIJ-101453</t>
  </si>
  <si>
    <t>AIJ-101454</t>
  </si>
  <si>
    <t>AIJ-101455</t>
  </si>
  <si>
    <t>AIJ-101456</t>
  </si>
  <si>
    <t>AIJ-101457</t>
  </si>
  <si>
    <t>AIJ-101458</t>
  </si>
  <si>
    <t>AIJ-101459</t>
  </si>
  <si>
    <t>AIJ-101460</t>
  </si>
  <si>
    <t>AIJ-101461</t>
  </si>
  <si>
    <t>AIJ-101462</t>
  </si>
  <si>
    <t>AIJ-101463</t>
  </si>
  <si>
    <t>AIJ-101464</t>
  </si>
  <si>
    <t>AIJ-101465</t>
  </si>
  <si>
    <t>AIJ-101466</t>
  </si>
  <si>
    <t>AIJ-101467</t>
  </si>
  <si>
    <t>AIJ-101468</t>
  </si>
  <si>
    <t>AIJ-101469</t>
  </si>
  <si>
    <t>AIJ-101470</t>
  </si>
  <si>
    <t>AIJ-101471</t>
  </si>
  <si>
    <t>AIJ-101472</t>
  </si>
  <si>
    <t>AIJ-101473</t>
  </si>
  <si>
    <t>AIJ-101474</t>
  </si>
  <si>
    <t>AIJ-101475</t>
  </si>
  <si>
    <t>AIJ-101476</t>
  </si>
  <si>
    <t>AIJ-101477</t>
  </si>
  <si>
    <t>AIJ-101478</t>
  </si>
  <si>
    <t>AIJ-101479</t>
  </si>
  <si>
    <t>AIJ-101480</t>
  </si>
  <si>
    <t>AIJ-101481</t>
  </si>
  <si>
    <t>AIJ-101482</t>
  </si>
  <si>
    <t>AIJ-101483</t>
  </si>
  <si>
    <t>AIJ-101484</t>
  </si>
  <si>
    <t>AIJ-101485</t>
  </si>
  <si>
    <t>AIJ-101486</t>
  </si>
  <si>
    <t>AIJ-101487</t>
  </si>
  <si>
    <t>AIJ-101488</t>
  </si>
  <si>
    <t>AIJ-101489</t>
  </si>
  <si>
    <t>AIJ-101490</t>
  </si>
  <si>
    <t>AIJ-101491</t>
  </si>
  <si>
    <t>AIJ-101492</t>
  </si>
  <si>
    <t>AIJ-101493</t>
  </si>
  <si>
    <t>AIJ-101494</t>
  </si>
  <si>
    <t>AIJ-101495</t>
  </si>
  <si>
    <t>AIJ-101496</t>
  </si>
  <si>
    <t>AIJ-101497</t>
  </si>
  <si>
    <t>AIJ-101498</t>
  </si>
  <si>
    <t>AIJ-101499</t>
  </si>
  <si>
    <t>AIJ-101500</t>
  </si>
  <si>
    <t>AIJ-101501</t>
  </si>
  <si>
    <t>AIJ-101502</t>
  </si>
  <si>
    <t>AIJ-101503</t>
  </si>
  <si>
    <t>AIJ-101504</t>
  </si>
  <si>
    <t>AIJ-101505</t>
  </si>
  <si>
    <t>AIJ-101506</t>
  </si>
  <si>
    <t>AIJ-101507</t>
  </si>
  <si>
    <t>AIJ-101508</t>
  </si>
  <si>
    <t>AIJ-101509</t>
  </si>
  <si>
    <t>AIJ-101510</t>
  </si>
  <si>
    <t>AIJ-101511</t>
  </si>
  <si>
    <t>AIJ-101512</t>
  </si>
  <si>
    <t>AIJ-101513</t>
  </si>
  <si>
    <t>AIJ-101514</t>
  </si>
  <si>
    <t>AIJ-101515</t>
  </si>
  <si>
    <t>AIJ-101516</t>
  </si>
  <si>
    <t>AIJ-101517</t>
  </si>
  <si>
    <t>AIJ-101518</t>
  </si>
  <si>
    <t>AIJ-101519</t>
  </si>
  <si>
    <t>AIJ-101520</t>
  </si>
  <si>
    <t>AIJ-101521</t>
  </si>
  <si>
    <t>AIJ-101522</t>
  </si>
  <si>
    <t>AIJ-101523</t>
  </si>
  <si>
    <t>AIJ-101524</t>
  </si>
  <si>
    <t>AIJ-101525</t>
  </si>
  <si>
    <t>AIJ-101526</t>
  </si>
  <si>
    <t>AIJ-101527</t>
  </si>
  <si>
    <t>AIJ-101528</t>
  </si>
  <si>
    <t>AIJ-101529</t>
  </si>
  <si>
    <t>AIJ-101530</t>
  </si>
  <si>
    <t>AIJ-101531</t>
  </si>
  <si>
    <t>AIJ-101532</t>
  </si>
  <si>
    <t>AIJ-101533</t>
  </si>
  <si>
    <t>AIJ-101534</t>
  </si>
  <si>
    <t>AIJ-101535</t>
  </si>
  <si>
    <t>AIJ-101536</t>
  </si>
  <si>
    <t>AIJ-101537</t>
  </si>
  <si>
    <t>AIJ-101538</t>
  </si>
  <si>
    <t>AIJ-101539</t>
  </si>
  <si>
    <t>AIJ-101540</t>
  </si>
  <si>
    <t>AIJ-101541</t>
  </si>
  <si>
    <t>AIJ-101542</t>
  </si>
  <si>
    <t>AIJ-101543</t>
  </si>
  <si>
    <t>AIJ-101544</t>
  </si>
  <si>
    <t>AIJ-101545</t>
  </si>
  <si>
    <t>AIJ-101546</t>
  </si>
  <si>
    <t>AIJ-101547</t>
  </si>
  <si>
    <t>AIJ-101548</t>
  </si>
  <si>
    <t>AIJ-101549</t>
  </si>
  <si>
    <t>AIJ-101550</t>
  </si>
  <si>
    <t>AIJ-101551</t>
  </si>
  <si>
    <t>AIJ-101552</t>
  </si>
  <si>
    <t>AIJ-101553</t>
  </si>
  <si>
    <t>AIJ-101554</t>
  </si>
  <si>
    <t>AIJ-101555</t>
  </si>
  <si>
    <t>AIJ-101556</t>
  </si>
  <si>
    <t>AIJ-101557</t>
  </si>
  <si>
    <t>AIJ-101558</t>
  </si>
  <si>
    <t>AIJ-101559</t>
  </si>
  <si>
    <t>AIJ-101560</t>
  </si>
  <si>
    <t>AIJ-101561</t>
  </si>
  <si>
    <t>AIJ-101562</t>
  </si>
  <si>
    <t>AIJ-101563</t>
  </si>
  <si>
    <t>AIJ-101564</t>
  </si>
  <si>
    <t>AIJ-101565</t>
  </si>
  <si>
    <t>AIJ-101566</t>
  </si>
  <si>
    <t>AIJ-101567</t>
  </si>
  <si>
    <t>AIJ-101568</t>
  </si>
  <si>
    <t>AIJ-101569</t>
  </si>
  <si>
    <t>AIJ-101570</t>
  </si>
  <si>
    <t>AIJ-101571</t>
  </si>
  <si>
    <t>AIJ-101572</t>
  </si>
  <si>
    <t>AIJ-101573</t>
  </si>
  <si>
    <t>AIJ-101574</t>
  </si>
  <si>
    <t>AIJ-101575</t>
  </si>
  <si>
    <t>AIJ-101576</t>
  </si>
  <si>
    <t>AIJ-101577</t>
  </si>
  <si>
    <t>AIJ-101578</t>
  </si>
  <si>
    <t>AIJ-101579</t>
  </si>
  <si>
    <t>AIJ-101580</t>
  </si>
  <si>
    <t>AIJ-101581</t>
  </si>
  <si>
    <t>AIJ-101582</t>
  </si>
  <si>
    <t>AIJ-101583</t>
  </si>
  <si>
    <t>AIJ-101584</t>
  </si>
  <si>
    <t>AIJ-101585</t>
  </si>
  <si>
    <t>AIJ-101586</t>
  </si>
  <si>
    <t>AIJ-101587</t>
  </si>
  <si>
    <t>AIJ-101588</t>
  </si>
  <si>
    <t>AIJ-101589</t>
  </si>
  <si>
    <t>AIJ-101590</t>
  </si>
  <si>
    <t>AIJ-101591</t>
  </si>
  <si>
    <t>AIJ-101592</t>
  </si>
  <si>
    <t>AIJ-101593</t>
  </si>
  <si>
    <t>AIJ-101594</t>
  </si>
  <si>
    <t>AIJ-101595</t>
  </si>
  <si>
    <t>AIJ-101596</t>
  </si>
  <si>
    <t>AIJ-101597</t>
  </si>
  <si>
    <t>AIJ-101598</t>
  </si>
  <si>
    <t>AIJ-101599</t>
  </si>
  <si>
    <t>AIJ-101600</t>
  </si>
  <si>
    <t>AIJ-101601</t>
  </si>
  <si>
    <t>AIJ-101602</t>
  </si>
  <si>
    <t>AIJ-101603</t>
  </si>
  <si>
    <t>AIJ-101604</t>
  </si>
  <si>
    <t>AIJ-101605</t>
  </si>
  <si>
    <t>AIJ-101606</t>
  </si>
  <si>
    <t>AIJ-101607</t>
  </si>
  <si>
    <t>AIJ-101608</t>
  </si>
  <si>
    <t>AIJ-101609</t>
  </si>
  <si>
    <t>AIJ-101610</t>
  </si>
  <si>
    <t>AIJ-101611</t>
  </si>
  <si>
    <t>AIJ-101612</t>
  </si>
  <si>
    <t>AIJ-101613</t>
  </si>
  <si>
    <t>AIJ-101614</t>
  </si>
  <si>
    <t>AIJ-101615</t>
  </si>
  <si>
    <t>AIJ-101616</t>
  </si>
  <si>
    <t>AIJ-101617</t>
  </si>
  <si>
    <t>AIJ-101618</t>
  </si>
  <si>
    <t>AIJ-101619</t>
  </si>
  <si>
    <t>AIJ-101620</t>
  </si>
  <si>
    <t>AIJ-101621</t>
  </si>
  <si>
    <t>AIJ-101622</t>
  </si>
  <si>
    <t>AIJ-101623</t>
  </si>
  <si>
    <t>AIJ-101624</t>
  </si>
  <si>
    <t>AIJ-101625</t>
  </si>
  <si>
    <t>AIJ-101626</t>
  </si>
  <si>
    <t>AIJ-101627</t>
  </si>
  <si>
    <t>AIJ-101628</t>
  </si>
  <si>
    <t>AIJ-101629</t>
  </si>
  <si>
    <t>AIJ-101630</t>
  </si>
  <si>
    <t>AIJ-101631</t>
  </si>
  <si>
    <t>AIJ-101632</t>
  </si>
  <si>
    <t>AIJ-101633</t>
  </si>
  <si>
    <t>AIJ-101634</t>
  </si>
  <si>
    <t>AIJ-101635</t>
  </si>
  <si>
    <t>AIJ-101636</t>
  </si>
  <si>
    <t>AIJ-101637</t>
  </si>
  <si>
    <t>AIJ-101638</t>
  </si>
  <si>
    <t>AIJ-101639</t>
  </si>
  <si>
    <t>AIJ-101640</t>
  </si>
  <si>
    <t>AIJ-101641</t>
  </si>
  <si>
    <t>AIJ-101642</t>
  </si>
  <si>
    <t>AIJ-101643</t>
  </si>
  <si>
    <t>AIJ-101644</t>
  </si>
  <si>
    <t>AIJ-101645</t>
  </si>
  <si>
    <t>AIJ-101646</t>
  </si>
  <si>
    <t>AIJ-101647</t>
  </si>
  <si>
    <t>AIJ-101648</t>
  </si>
  <si>
    <t>AIJ-101649</t>
  </si>
  <si>
    <t>AIJ-101650</t>
  </si>
  <si>
    <t>AIJ-101651</t>
  </si>
  <si>
    <t>AIJ-101652</t>
  </si>
  <si>
    <t>AIJ-101653</t>
  </si>
  <si>
    <t>AIJ-101654</t>
  </si>
  <si>
    <t>AIJ-101655</t>
  </si>
  <si>
    <t>AIJ-101656</t>
  </si>
  <si>
    <t>AIJ-101657</t>
  </si>
  <si>
    <t>AIJ-101658</t>
  </si>
  <si>
    <t>AIJ-101659</t>
  </si>
  <si>
    <t>AIJ-101660</t>
  </si>
  <si>
    <t>AIJ-101661</t>
  </si>
  <si>
    <t>AIJ-101662</t>
  </si>
  <si>
    <t>AIJ-101663</t>
  </si>
  <si>
    <t>AIJ-101664</t>
  </si>
  <si>
    <t>AIJ-101665</t>
  </si>
  <si>
    <t>AIJ-101666</t>
  </si>
  <si>
    <t>AIJ-101667</t>
  </si>
  <si>
    <t>AIJ-101668</t>
  </si>
  <si>
    <t>AIJ-101669</t>
  </si>
  <si>
    <t>AIJ-101670</t>
  </si>
  <si>
    <t>AIJ-101671</t>
  </si>
  <si>
    <t>AIJ-101672</t>
  </si>
  <si>
    <t>AIJ-101673</t>
  </si>
  <si>
    <t>AIJ-101674</t>
  </si>
  <si>
    <t>AIJ-101675</t>
  </si>
  <si>
    <t>AIJ-101676</t>
  </si>
  <si>
    <t>AIJ-101677</t>
  </si>
  <si>
    <t>AIJ-101678</t>
  </si>
  <si>
    <t>AIJ-101679</t>
  </si>
  <si>
    <t>AIJ-101680</t>
  </si>
  <si>
    <t>AIJ-101681</t>
  </si>
  <si>
    <t>AIJ-101682</t>
  </si>
  <si>
    <t>AIJ-101683</t>
  </si>
  <si>
    <t>AIJ-101684</t>
  </si>
  <si>
    <t>AIJ-101685</t>
  </si>
  <si>
    <t>AIJ-101686</t>
  </si>
  <si>
    <t>AIJ-101687</t>
  </si>
  <si>
    <t>AIJ-101688</t>
  </si>
  <si>
    <t>AIJ-101689</t>
  </si>
  <si>
    <t>AIJ-101690</t>
  </si>
  <si>
    <t>AIJ-101691</t>
  </si>
  <si>
    <t>AIJ-101692</t>
  </si>
  <si>
    <t>AIJ-101693</t>
  </si>
  <si>
    <t>AIJ-101694</t>
  </si>
  <si>
    <t>AIJ-101695</t>
  </si>
  <si>
    <t>AIJ-101696</t>
  </si>
  <si>
    <t>AIJ-101697</t>
  </si>
  <si>
    <t>AIJ-101698</t>
  </si>
  <si>
    <t>AIJ-101699</t>
  </si>
  <si>
    <t>AIJ-101700</t>
  </si>
  <si>
    <t>AIJ-101701</t>
  </si>
  <si>
    <t>AIJ-101702</t>
  </si>
  <si>
    <t>AIJ-101703</t>
  </si>
  <si>
    <t>AIJ-101704</t>
  </si>
  <si>
    <t>AIJ-101705</t>
  </si>
  <si>
    <t>AIJ-101706</t>
  </si>
  <si>
    <t>AIJ-101707</t>
  </si>
  <si>
    <t>AIJ-101708</t>
  </si>
  <si>
    <t>AIJ-101709</t>
  </si>
  <si>
    <t>AIJ-101710</t>
  </si>
  <si>
    <t>AIJ-101711</t>
  </si>
  <si>
    <t>AIJ-101712</t>
  </si>
  <si>
    <t>AIJ-101713</t>
  </si>
  <si>
    <t>AIJ-101714</t>
  </si>
  <si>
    <t>AIJ-101715</t>
  </si>
  <si>
    <t>AIJ-101716</t>
  </si>
  <si>
    <t>AIJ-101717</t>
  </si>
  <si>
    <t>AIJ-101718</t>
  </si>
  <si>
    <t>AIJ-101719</t>
  </si>
  <si>
    <t>AIJ-101720</t>
  </si>
  <si>
    <t>AIJ-101721</t>
  </si>
  <si>
    <t>AIJ-101722</t>
  </si>
  <si>
    <t>AIJ-101723</t>
  </si>
  <si>
    <t>AIJ-101724</t>
  </si>
  <si>
    <t>AIJ-101725</t>
  </si>
  <si>
    <t>AIJ-101726</t>
  </si>
  <si>
    <t>AIJ-101727</t>
  </si>
  <si>
    <t>AIJ-101728</t>
  </si>
  <si>
    <t>AIJ-101729</t>
  </si>
  <si>
    <t>AIJ-101730</t>
  </si>
  <si>
    <t>AIJ-101731</t>
  </si>
  <si>
    <t>AIJ-101732</t>
  </si>
  <si>
    <t>AIJ-101733</t>
  </si>
  <si>
    <t>AIJ-101734</t>
  </si>
  <si>
    <t>AIJ-101735</t>
  </si>
  <si>
    <t>AIJ-101736</t>
  </si>
  <si>
    <t>AIJ-101737</t>
  </si>
  <si>
    <t>AIJ-101738</t>
  </si>
  <si>
    <t>AIJ-101739</t>
  </si>
  <si>
    <t>AIJ-101740</t>
  </si>
  <si>
    <t>AIJ-101741</t>
  </si>
  <si>
    <t>AIJ-101742</t>
  </si>
  <si>
    <t>AIJ-101743</t>
  </si>
  <si>
    <t>AIJ-101744</t>
  </si>
  <si>
    <t>AIJ-101745</t>
  </si>
  <si>
    <t>AIJ-101746</t>
  </si>
  <si>
    <t>AIJ-101747</t>
  </si>
  <si>
    <t>AIJ-101748</t>
  </si>
  <si>
    <t>AIJ-101749</t>
  </si>
  <si>
    <t>AIJ-101750</t>
  </si>
  <si>
    <t>AIJ-101751</t>
  </si>
  <si>
    <t>AIJ-101752</t>
  </si>
  <si>
    <t>AIJ-101753</t>
  </si>
  <si>
    <t>AIJ-101754</t>
  </si>
  <si>
    <t>AIJ-101755</t>
  </si>
  <si>
    <t>AIJ-101756</t>
  </si>
  <si>
    <t>AIJ-101757</t>
  </si>
  <si>
    <t>AIJ-101758</t>
  </si>
  <si>
    <t>AIJ-101759</t>
  </si>
  <si>
    <t>AIJ-101760</t>
  </si>
  <si>
    <t>AIJ-101761</t>
  </si>
  <si>
    <t>AIJ-101762</t>
  </si>
  <si>
    <t>AIJ-101763</t>
  </si>
  <si>
    <t>AIJ-101764</t>
  </si>
  <si>
    <t>AIJ-101765</t>
  </si>
  <si>
    <t>AIJ-101766</t>
  </si>
  <si>
    <t>AIJ-101767</t>
  </si>
  <si>
    <t>AIJ-101768</t>
  </si>
  <si>
    <t>AIJ-101769</t>
  </si>
  <si>
    <t>AIJ-101770</t>
  </si>
  <si>
    <t>AIJ-101771</t>
  </si>
  <si>
    <t>AIJ-101772</t>
  </si>
  <si>
    <t>AIJ-101773</t>
  </si>
  <si>
    <t>AIJ-101774</t>
  </si>
  <si>
    <t>AIJ-101775</t>
  </si>
  <si>
    <t>AIJ-101776</t>
  </si>
  <si>
    <t>AIJ-101777</t>
  </si>
  <si>
    <t>AIJ-101778</t>
  </si>
  <si>
    <t>AIJ-101779</t>
  </si>
  <si>
    <t>AIJ-101780</t>
  </si>
  <si>
    <t>AIJ-101781</t>
  </si>
  <si>
    <t>AIJ-101782</t>
  </si>
  <si>
    <t>AIJ-101783</t>
  </si>
  <si>
    <t>AIJ-101784</t>
  </si>
  <si>
    <t>AIJ-101785</t>
  </si>
  <si>
    <t>AIJ-101786</t>
  </si>
  <si>
    <t>AIJ-101787</t>
  </si>
  <si>
    <t>AIJ-101788</t>
  </si>
  <si>
    <t>AIJ-101789</t>
  </si>
  <si>
    <t>AIJ-101790</t>
  </si>
  <si>
    <t>AIJ-101791</t>
  </si>
  <si>
    <t>AIJ-101792</t>
  </si>
  <si>
    <t>AIJ-101793</t>
  </si>
  <si>
    <t>AIJ-101794</t>
  </si>
  <si>
    <t>AIJ-101795</t>
  </si>
  <si>
    <t>AIJ-101796</t>
  </si>
  <si>
    <t>AIJ-101797</t>
  </si>
  <si>
    <t>AIJ-101798</t>
  </si>
  <si>
    <t>AIJ-101799</t>
  </si>
  <si>
    <t>AIJ-101800</t>
  </si>
  <si>
    <t>AIJ-101801</t>
  </si>
  <si>
    <t>AIJ-101802</t>
  </si>
  <si>
    <t>AIJ-101803</t>
  </si>
  <si>
    <t>AIJ-101804</t>
  </si>
  <si>
    <t>AIJ-101805</t>
  </si>
  <si>
    <t>AIJ-101806</t>
  </si>
  <si>
    <t>AIJ-101807</t>
  </si>
  <si>
    <t>AIJ-101808</t>
  </si>
  <si>
    <t>AIJ-101809</t>
  </si>
  <si>
    <t>AIJ-101810</t>
  </si>
  <si>
    <t>AIJ-101811</t>
  </si>
  <si>
    <t>AIJ-101812</t>
  </si>
  <si>
    <t>AIJ-101813</t>
  </si>
  <si>
    <t>AIJ-101814</t>
  </si>
  <si>
    <t>AIJ-101815</t>
  </si>
  <si>
    <t>AIJ-101816</t>
  </si>
  <si>
    <t>AIJ-101817</t>
  </si>
  <si>
    <t>AIJ-101818</t>
  </si>
  <si>
    <t>AIJ-101819</t>
  </si>
  <si>
    <t>AIJ-101820</t>
  </si>
  <si>
    <t>AIJ-101821</t>
  </si>
  <si>
    <t>AIJ-101822</t>
  </si>
  <si>
    <t>AIJ-101823</t>
  </si>
  <si>
    <t>AIJ-101824</t>
  </si>
  <si>
    <t>AIJ-101825</t>
  </si>
  <si>
    <t>AIJ-101826</t>
  </si>
  <si>
    <t>AIJ-101827</t>
  </si>
  <si>
    <t>AIJ-101828</t>
  </si>
  <si>
    <t>AIJ-101829</t>
  </si>
  <si>
    <t>AIJ-101830</t>
  </si>
  <si>
    <t>AIJ-101831</t>
  </si>
  <si>
    <t>AIJ-101832</t>
  </si>
  <si>
    <t>AIJ-101833</t>
  </si>
  <si>
    <t>AIJ-101834</t>
  </si>
  <si>
    <t>AIJ-101835</t>
  </si>
  <si>
    <t>AIJ-101836</t>
  </si>
  <si>
    <t>AIJ-101837</t>
  </si>
  <si>
    <t>AIJ-101838</t>
  </si>
  <si>
    <t>AIJ-101839</t>
  </si>
  <si>
    <t>AIJ-101840</t>
  </si>
  <si>
    <t>AIJ-101841</t>
  </si>
  <si>
    <t>AIJ-101842</t>
  </si>
  <si>
    <t>AIJ-101843</t>
  </si>
  <si>
    <t>AIJ-101844</t>
  </si>
  <si>
    <t>AIJ-101845</t>
  </si>
  <si>
    <t>AIJ-101846</t>
  </si>
  <si>
    <t>AIJ-101847</t>
  </si>
  <si>
    <t>AIJ-101848</t>
  </si>
  <si>
    <t>AIJ-101849</t>
  </si>
  <si>
    <t>AIJ-101850</t>
  </si>
  <si>
    <t>AIJ-101851</t>
  </si>
  <si>
    <t>AIJ-101852</t>
  </si>
  <si>
    <t>AIJ-101853</t>
  </si>
  <si>
    <t>AIJ-101854</t>
  </si>
  <si>
    <t>AIJ-101855</t>
  </si>
  <si>
    <t>AIJ-101856</t>
  </si>
  <si>
    <t>AIJ-101857</t>
  </si>
  <si>
    <t>AIJ-101858</t>
  </si>
  <si>
    <t>AIJ-101859</t>
  </si>
  <si>
    <t>AIJ-101860</t>
  </si>
  <si>
    <t>AIJ-101861</t>
  </si>
  <si>
    <t>AIJ-101862</t>
  </si>
  <si>
    <t>AIJ-101863</t>
  </si>
  <si>
    <t>AIJ-101864</t>
  </si>
  <si>
    <t>AIJ-101865</t>
  </si>
  <si>
    <t>AIJ-101866</t>
  </si>
  <si>
    <t>AIJ-101867</t>
  </si>
  <si>
    <t>AIJ-101868</t>
  </si>
  <si>
    <t>AIJ-101869</t>
  </si>
  <si>
    <t>AIJ-101870</t>
  </si>
  <si>
    <t>AIJ-101871</t>
  </si>
  <si>
    <t>AIJ-101872</t>
  </si>
  <si>
    <t>AIJ-101873</t>
  </si>
  <si>
    <t>AIJ-101874</t>
  </si>
  <si>
    <t>AIJ-101875</t>
  </si>
  <si>
    <t>AIJ-101876</t>
  </si>
  <si>
    <t>AIJ-101877</t>
  </si>
  <si>
    <t>AIJ-101878</t>
  </si>
  <si>
    <t>AIJ-101879</t>
  </si>
  <si>
    <t>AIJ-101880</t>
  </si>
  <si>
    <t>AIJ-101881</t>
  </si>
  <si>
    <t>AIJ-101882</t>
  </si>
  <si>
    <t>AIJ-101883</t>
  </si>
  <si>
    <t>AIJ-101884</t>
  </si>
  <si>
    <t>AIJ-101885</t>
  </si>
  <si>
    <t>AIJ-101886</t>
  </si>
  <si>
    <t>AIJ-101887</t>
  </si>
  <si>
    <t>AIJ-101888</t>
  </si>
  <si>
    <t>AIJ-101889</t>
  </si>
  <si>
    <t>AIJ-101890</t>
  </si>
  <si>
    <t>AIJ-101891</t>
  </si>
  <si>
    <t>AIJ-101892</t>
  </si>
  <si>
    <t>AIJ-101893</t>
  </si>
  <si>
    <t>AIJ-101894</t>
  </si>
  <si>
    <t>AIJ-101895</t>
  </si>
  <si>
    <t>AIJ-101896</t>
  </si>
  <si>
    <t>AIJ-101897</t>
  </si>
  <si>
    <t>AIJ-101898</t>
  </si>
  <si>
    <t>AIJ-101899</t>
  </si>
  <si>
    <t>AIJ-101900</t>
  </si>
  <si>
    <t>AIJ-101901</t>
  </si>
  <si>
    <t>AIJ-101902</t>
  </si>
  <si>
    <t>AIJ-101903</t>
  </si>
  <si>
    <t>AIJ-101904</t>
  </si>
  <si>
    <t>AIJ-101905</t>
  </si>
  <si>
    <t>AIJ-101906</t>
  </si>
  <si>
    <t>AIJ-101907</t>
  </si>
  <si>
    <t>AIJ-101908</t>
  </si>
  <si>
    <t>AIJ-101909</t>
  </si>
  <si>
    <t>AIJ-101910</t>
  </si>
  <si>
    <t>AIJ-101911</t>
  </si>
  <si>
    <t>AIJ-101912</t>
  </si>
  <si>
    <t>AIJ-101913</t>
  </si>
  <si>
    <t>AIJ-101914</t>
  </si>
  <si>
    <t>AIJ-101915</t>
  </si>
  <si>
    <t>AIJ-101916</t>
  </si>
  <si>
    <t>AIJ-101917</t>
  </si>
  <si>
    <t>AIJ-101918</t>
  </si>
  <si>
    <t>AIJ-101919</t>
  </si>
  <si>
    <t>AIJ-101920</t>
  </si>
  <si>
    <t>AIJ-101921</t>
  </si>
  <si>
    <t>AIJ-101922</t>
  </si>
  <si>
    <t>AIJ-101923</t>
  </si>
  <si>
    <t>AIJ-101924</t>
  </si>
  <si>
    <t>AIJ-101925</t>
  </si>
  <si>
    <t>AIJ-101926</t>
  </si>
  <si>
    <t>AIJ-101927</t>
  </si>
  <si>
    <t>AIJ-101928</t>
  </si>
  <si>
    <t>AIJ-101929</t>
  </si>
  <si>
    <t>AIJ-101930</t>
  </si>
  <si>
    <t>AIJ-101931</t>
  </si>
  <si>
    <t>AIJ-101932</t>
  </si>
  <si>
    <t>AIJ-101933</t>
  </si>
  <si>
    <t>AIJ-101934</t>
  </si>
  <si>
    <t>AIJ-101935</t>
  </si>
  <si>
    <t>AIJ-101936</t>
  </si>
  <si>
    <t>AIJ-101937</t>
  </si>
  <si>
    <t>AIJ-101938</t>
  </si>
  <si>
    <t>AIJ-101939</t>
  </si>
  <si>
    <t>AIJ-101940</t>
  </si>
  <si>
    <t>AIJ-101941</t>
  </si>
  <si>
    <t>AIJ-101942</t>
  </si>
  <si>
    <t>AIJ-101943</t>
  </si>
  <si>
    <t>AIJ-101944</t>
  </si>
  <si>
    <t>AIJ-101945</t>
  </si>
  <si>
    <t>AIJ-101946</t>
  </si>
  <si>
    <t>AIJ-101947</t>
  </si>
  <si>
    <t>AIJ-101948</t>
  </si>
  <si>
    <t>AIJ-101949</t>
  </si>
  <si>
    <t>AIJ-101950</t>
  </si>
  <si>
    <t>AIJ-101951</t>
  </si>
  <si>
    <t>AIJ-101952</t>
  </si>
  <si>
    <t>AIJ-101953</t>
  </si>
  <si>
    <t>AIJ-101954</t>
  </si>
  <si>
    <t>AIJ-101955</t>
  </si>
  <si>
    <t>AIJ-101956</t>
  </si>
  <si>
    <t>AIJ-101957</t>
  </si>
  <si>
    <t>AIJ-101958</t>
  </si>
  <si>
    <t>AIJ-101959</t>
  </si>
  <si>
    <t>AIJ-101960</t>
  </si>
  <si>
    <t>AIJ-101961</t>
  </si>
  <si>
    <t>AIJ-101962</t>
  </si>
  <si>
    <t>AIJ-101963</t>
  </si>
  <si>
    <t>AIJ-101964</t>
  </si>
  <si>
    <t>AIJ-101965</t>
  </si>
  <si>
    <t>AIJ-101966</t>
  </si>
  <si>
    <t>AIJ-101967</t>
  </si>
  <si>
    <t>AIJ-101968</t>
  </si>
  <si>
    <t>AIJ-101969</t>
  </si>
  <si>
    <t>AIJ-101970</t>
  </si>
  <si>
    <t>AIJ-101971</t>
  </si>
  <si>
    <t>AIJ-101972</t>
  </si>
  <si>
    <t>AIJ-101973</t>
  </si>
  <si>
    <t>AIJ-101974</t>
  </si>
  <si>
    <t>AIJ-101975</t>
  </si>
  <si>
    <t>AIJ-101976</t>
  </si>
  <si>
    <t>AIJ-101977</t>
  </si>
  <si>
    <t>AIJ-101978</t>
  </si>
  <si>
    <t>AIJ-101979</t>
  </si>
  <si>
    <t>AIJ-101980</t>
  </si>
  <si>
    <t>AIJ-101981</t>
  </si>
  <si>
    <t>AIJ-101982</t>
  </si>
  <si>
    <t>AIJ-101983</t>
  </si>
  <si>
    <t>AIJ-101984</t>
  </si>
  <si>
    <t>AIJ-101985</t>
  </si>
  <si>
    <t>AIJ-101986</t>
  </si>
  <si>
    <t>AIJ-101987</t>
  </si>
  <si>
    <t>AIJ-101988</t>
  </si>
  <si>
    <t>AIJ-101989</t>
  </si>
  <si>
    <t>AIJ-101990</t>
  </si>
  <si>
    <t>AIJ-101991</t>
  </si>
  <si>
    <t>AIJ-101992</t>
  </si>
  <si>
    <t>AIJ-101993</t>
  </si>
  <si>
    <t>AIJ-101994</t>
  </si>
  <si>
    <t>AIJ-101995</t>
  </si>
  <si>
    <t>AIJ-101996</t>
  </si>
  <si>
    <t>AIJ-101997</t>
  </si>
  <si>
    <t>AIJ-101998</t>
  </si>
  <si>
    <t>AIJ-101999</t>
  </si>
  <si>
    <t>AIJ-102000</t>
  </si>
  <si>
    <t>AIJ-102001</t>
  </si>
  <si>
    <t>AIJ-102002</t>
  </si>
  <si>
    <t>AIJ-102003</t>
  </si>
  <si>
    <t>AIJ-102004</t>
  </si>
  <si>
    <t>AIJ-102005</t>
  </si>
  <si>
    <t>AIJ-102006</t>
  </si>
  <si>
    <t>AIJ-102007</t>
  </si>
  <si>
    <t>AIJ-102008</t>
  </si>
  <si>
    <t>AIJ-102009</t>
  </si>
  <si>
    <t>AIJ-102010</t>
  </si>
  <si>
    <t>AIJ-102011</t>
  </si>
  <si>
    <t>AIJ-102012</t>
  </si>
  <si>
    <t>AIJ-102013</t>
  </si>
  <si>
    <t>AIJ-102014</t>
  </si>
  <si>
    <t>AIJ-102015</t>
  </si>
  <si>
    <t>AIJ-102016</t>
  </si>
  <si>
    <t>AIJ-102017</t>
  </si>
  <si>
    <t>AIJ-102018</t>
  </si>
  <si>
    <t>AIJ-102019</t>
  </si>
  <si>
    <t>AIJ-102020</t>
  </si>
  <si>
    <t>AIJ-102021</t>
  </si>
  <si>
    <t>AIJ-102022</t>
  </si>
  <si>
    <t>AIJ-102023</t>
  </si>
  <si>
    <t>AIJ-102024</t>
  </si>
  <si>
    <t>AIJ-102025</t>
  </si>
  <si>
    <t>AIJ-102026</t>
  </si>
  <si>
    <t>AIJ-102027</t>
  </si>
  <si>
    <t>AIJ-102028</t>
  </si>
  <si>
    <t>AIJ-102029</t>
  </si>
  <si>
    <t>AIJ-102030</t>
  </si>
  <si>
    <t>AIJ-102031</t>
  </si>
  <si>
    <t>AIJ-102032</t>
  </si>
  <si>
    <t>AIJ-102033</t>
  </si>
  <si>
    <t>AIJ-102034</t>
  </si>
  <si>
    <t>AIJ-102035</t>
  </si>
  <si>
    <t>AIJ-102036</t>
  </si>
  <si>
    <t>AIJ-102037</t>
  </si>
  <si>
    <t>AIJ-102038</t>
  </si>
  <si>
    <t>AIJ-102039</t>
  </si>
  <si>
    <t>AIJ-102040</t>
  </si>
  <si>
    <t>AIJ-102041</t>
  </si>
  <si>
    <t>AIJ-102042</t>
  </si>
  <si>
    <t>AIJ-102043</t>
  </si>
  <si>
    <t>AIJ-102044</t>
  </si>
  <si>
    <t>AIJ-102045</t>
  </si>
  <si>
    <t>AIJ-102046</t>
  </si>
  <si>
    <t>AIJ-102047</t>
  </si>
  <si>
    <t>AIJ-102048</t>
  </si>
  <si>
    <t>AIJ-102049</t>
  </si>
  <si>
    <t>AIJ-102050</t>
  </si>
  <si>
    <t>AIJ-102051</t>
  </si>
  <si>
    <t>AIJ-102052</t>
  </si>
  <si>
    <t>AIJ-102053</t>
  </si>
  <si>
    <t>AIJ-102054</t>
  </si>
  <si>
    <t>AIJ-102055</t>
  </si>
  <si>
    <t>AIJ-102056</t>
  </si>
  <si>
    <t>AIJ-102057</t>
  </si>
  <si>
    <t>AIJ-102058</t>
  </si>
  <si>
    <t>AIJ-102059</t>
  </si>
  <si>
    <t>AIJ-102060</t>
  </si>
  <si>
    <t>AIJ-102061</t>
  </si>
  <si>
    <t>AIJ-102062</t>
  </si>
  <si>
    <t>AIJ-102063</t>
  </si>
  <si>
    <t>AIJ-102064</t>
  </si>
  <si>
    <t>AIJ-102065</t>
  </si>
  <si>
    <t>AIJ-102066</t>
  </si>
  <si>
    <t>AIJ-102067</t>
  </si>
  <si>
    <t>AIJ-102068</t>
  </si>
  <si>
    <t>AIJ-102069</t>
  </si>
  <si>
    <t>AIJ-102070</t>
  </si>
  <si>
    <t>AIJ-102071</t>
  </si>
  <si>
    <t>AIJ-102072</t>
  </si>
  <si>
    <t>AIJ-102073</t>
  </si>
  <si>
    <t>AIJ-102074</t>
  </si>
  <si>
    <t>AIJ-102075</t>
  </si>
  <si>
    <t>AIJ-102076</t>
  </si>
  <si>
    <t>AIJ-102077</t>
  </si>
  <si>
    <t>AIJ-102078</t>
  </si>
  <si>
    <t>AIJ-102079</t>
  </si>
  <si>
    <t>AIJ-102080</t>
  </si>
  <si>
    <t>AIJ-102081</t>
  </si>
  <si>
    <t>AIJ-102082</t>
  </si>
  <si>
    <t>AIJ-102083</t>
  </si>
  <si>
    <t>AIJ-102084</t>
  </si>
  <si>
    <t>AIJ-102085</t>
  </si>
  <si>
    <t>AIJ-102086</t>
  </si>
  <si>
    <t>AIJ-102087</t>
  </si>
  <si>
    <t>AIJ-102088</t>
  </si>
  <si>
    <t>AIJ-102089</t>
  </si>
  <si>
    <t>AIJ-102090</t>
  </si>
  <si>
    <t>AIJ-102091</t>
  </si>
  <si>
    <t>AIJ-102092</t>
  </si>
  <si>
    <t>AIJ-102093</t>
  </si>
  <si>
    <t>AIJ-102094</t>
  </si>
  <si>
    <t>AIJ-102095</t>
  </si>
  <si>
    <t>AIJ-102096</t>
  </si>
  <si>
    <t>AIJ-102097</t>
  </si>
  <si>
    <t>AIJ-102098</t>
  </si>
  <si>
    <t>AIJ-102099</t>
  </si>
  <si>
    <t>AIJ-102100</t>
  </si>
  <si>
    <t>AIJ-102101</t>
  </si>
  <si>
    <t>AIJ-102102</t>
  </si>
  <si>
    <t>AIJ-102103</t>
  </si>
  <si>
    <t>AIJ-102104</t>
  </si>
  <si>
    <t>AIJ-102105</t>
  </si>
  <si>
    <t>AIJ-102106</t>
  </si>
  <si>
    <t>AIJ-102107</t>
  </si>
  <si>
    <t>AIJ-102108</t>
  </si>
  <si>
    <t>AIJ-102109</t>
  </si>
  <si>
    <t>AIJ-102110</t>
  </si>
  <si>
    <t>AIJ-102111</t>
  </si>
  <si>
    <t>AIJ-102112</t>
  </si>
  <si>
    <t>AIJ-102113</t>
  </si>
  <si>
    <t>AIJ-102114</t>
  </si>
  <si>
    <t>AIJ-102115</t>
  </si>
  <si>
    <t>AIJ-102116</t>
  </si>
  <si>
    <t>AIJ-102117</t>
  </si>
  <si>
    <t>AIJ-102118</t>
  </si>
  <si>
    <t>AIJ-102119</t>
  </si>
  <si>
    <t>AIJ-102120</t>
  </si>
  <si>
    <t>AIJ-102121</t>
  </si>
  <si>
    <t>AIJ-102122</t>
  </si>
  <si>
    <t>AIJ-102123</t>
  </si>
  <si>
    <t>AIJ-102124</t>
  </si>
  <si>
    <t>AIJ-102125</t>
  </si>
  <si>
    <t>AIJ-102126</t>
  </si>
  <si>
    <t>AIJ-102127</t>
  </si>
  <si>
    <t>AIJ-102128</t>
  </si>
  <si>
    <t>AIJ-102129</t>
  </si>
  <si>
    <t>AIJ-102130</t>
  </si>
  <si>
    <t>AIJ-102131</t>
  </si>
  <si>
    <t>AIJ-102132</t>
  </si>
  <si>
    <t>AIJ-102133</t>
  </si>
  <si>
    <t>AIJ-102134</t>
  </si>
  <si>
    <t>AIJ-102135</t>
  </si>
  <si>
    <t>AIJ-102136</t>
  </si>
  <si>
    <t>AIJ-102137</t>
  </si>
  <si>
    <t>AIJ-102138</t>
  </si>
  <si>
    <t>AIJ-102139</t>
  </si>
  <si>
    <t>AIJ-102140</t>
  </si>
  <si>
    <t>AIJ-102141</t>
  </si>
  <si>
    <t>AIJ-102142</t>
  </si>
  <si>
    <t>AIJ-102143</t>
  </si>
  <si>
    <t>AIJ-102144</t>
  </si>
  <si>
    <t>AIJ-102145</t>
  </si>
  <si>
    <t>AIJ-102146</t>
  </si>
  <si>
    <t>AIJ-102147</t>
  </si>
  <si>
    <t>AIJ-102148</t>
  </si>
  <si>
    <t>AIJ-102149</t>
  </si>
  <si>
    <t>AIJ-102150</t>
  </si>
  <si>
    <t>AIJ-102151</t>
  </si>
  <si>
    <t>AIJ-102152</t>
  </si>
  <si>
    <t>AIJ-102153</t>
  </si>
  <si>
    <t>AIJ-102154</t>
  </si>
  <si>
    <t>AIJ-102155</t>
  </si>
  <si>
    <t>AIJ-102156</t>
  </si>
  <si>
    <t>AIJ-102157</t>
  </si>
  <si>
    <t>AIJ-102158</t>
  </si>
  <si>
    <t>AIJ-102159</t>
  </si>
  <si>
    <t>AIJ-102160</t>
  </si>
  <si>
    <t>AIJ-102161</t>
  </si>
  <si>
    <t>AIJ-102162</t>
  </si>
  <si>
    <t>AIJ-102163</t>
  </si>
  <si>
    <t>AIJ-102164</t>
  </si>
  <si>
    <t>AIJ-102165</t>
  </si>
  <si>
    <t>AIJ-102166</t>
  </si>
  <si>
    <t>AIJ-102167</t>
  </si>
  <si>
    <t>AIJ-102168</t>
  </si>
  <si>
    <t>AIJ-102169</t>
  </si>
  <si>
    <t>AIJ-102170</t>
  </si>
  <si>
    <t>AIJ-102171</t>
  </si>
  <si>
    <t>AIJ-102172</t>
  </si>
  <si>
    <t>AIJ-102173</t>
  </si>
  <si>
    <t>AIJ-102174</t>
  </si>
  <si>
    <t>AIJ-102175</t>
  </si>
  <si>
    <t>AIJ-102176</t>
  </si>
  <si>
    <t>AIJ-102177</t>
  </si>
  <si>
    <t>AIJ-102178</t>
  </si>
  <si>
    <t>AIJ-102179</t>
  </si>
  <si>
    <t>AIJ-102180</t>
  </si>
  <si>
    <t>AIJ-102181</t>
  </si>
  <si>
    <t>AIJ-102182</t>
  </si>
  <si>
    <t>AIJ-102183</t>
  </si>
  <si>
    <t>AIJ-102184</t>
  </si>
  <si>
    <t>AIJ-102185</t>
  </si>
  <si>
    <t>AIJ-102186</t>
  </si>
  <si>
    <t>AIJ-102187</t>
  </si>
  <si>
    <t>AIJ-102188</t>
  </si>
  <si>
    <t>AIJ-102189</t>
  </si>
  <si>
    <t>AIJ-102190</t>
  </si>
  <si>
    <t>AIJ-102191</t>
  </si>
  <si>
    <t>AIJ-102192</t>
  </si>
  <si>
    <t>AIJ-102193</t>
  </si>
  <si>
    <t>AIJ-102194</t>
  </si>
  <si>
    <t>AIJ-102195</t>
  </si>
  <si>
    <t>AIJ-102196</t>
  </si>
  <si>
    <t>AIJ-102197</t>
  </si>
  <si>
    <t>AIJ-102198</t>
  </si>
  <si>
    <t>AIJ-102199</t>
  </si>
  <si>
    <t>AIJ-102200</t>
  </si>
  <si>
    <t>AIJ-102201</t>
  </si>
  <si>
    <t>AIJ-102202</t>
  </si>
  <si>
    <t>AIJ-102203</t>
  </si>
  <si>
    <t>AIJ-102204</t>
  </si>
  <si>
    <t>AIJ-102205</t>
  </si>
  <si>
    <t>AIJ-102206</t>
  </si>
  <si>
    <t>AIJ-102207</t>
  </si>
  <si>
    <t>AIJ-102208</t>
  </si>
  <si>
    <t>AIJ-102209</t>
  </si>
  <si>
    <t>AIJ-102210</t>
  </si>
  <si>
    <t>AIJ-102211</t>
  </si>
  <si>
    <t>AIJ-102212</t>
  </si>
  <si>
    <t>AIJ-102213</t>
  </si>
  <si>
    <t>AIJ-102214</t>
  </si>
  <si>
    <t>AIJ-102215</t>
  </si>
  <si>
    <t>AIJ-102216</t>
  </si>
  <si>
    <t>AIJ-102217</t>
  </si>
  <si>
    <t>AIJ-102218</t>
  </si>
  <si>
    <t>AIJ-102219</t>
  </si>
  <si>
    <t>AIJ-102220</t>
  </si>
  <si>
    <t>AIJ-102221</t>
  </si>
  <si>
    <t>AIJ-102222</t>
  </si>
  <si>
    <t>AIJ-102223</t>
  </si>
  <si>
    <t>AIJ-102224</t>
  </si>
  <si>
    <t>AIJ-102225</t>
  </si>
  <si>
    <t>AIJ-102226</t>
  </si>
  <si>
    <t>AIJ-102227</t>
  </si>
  <si>
    <t>AIJ-102228</t>
  </si>
  <si>
    <t>AIJ-102229</t>
  </si>
  <si>
    <t>AIJ-102230</t>
  </si>
  <si>
    <t>AIJ-102231</t>
  </si>
  <si>
    <t>AIJ-102232</t>
  </si>
  <si>
    <t>AIJ-102233</t>
  </si>
  <si>
    <t>AIJ-102234</t>
  </si>
  <si>
    <t>AIJ-102235</t>
  </si>
  <si>
    <t>AIJ-102236</t>
  </si>
  <si>
    <t>AIJ-102237</t>
  </si>
  <si>
    <t>AIJ-102238</t>
  </si>
  <si>
    <t>AIJ-102239</t>
  </si>
  <si>
    <t>AIJ-102240</t>
  </si>
  <si>
    <t>AIJ-102241</t>
  </si>
  <si>
    <t>AIJ-102242</t>
  </si>
  <si>
    <t>AIJ-102243</t>
  </si>
  <si>
    <t>AIJ-102244</t>
  </si>
  <si>
    <t>AIJ-102245</t>
  </si>
  <si>
    <t>AIJ-102246</t>
  </si>
  <si>
    <t>AIJ-102247</t>
  </si>
  <si>
    <t>AIJ-102248</t>
  </si>
  <si>
    <t>AIJ-102249</t>
  </si>
  <si>
    <t>AIJ-102250</t>
  </si>
  <si>
    <t>AIJ-102251</t>
  </si>
  <si>
    <t>AIJ-102252</t>
  </si>
  <si>
    <t>AIJ-102253</t>
  </si>
  <si>
    <t>AIJ-102254</t>
  </si>
  <si>
    <t>AIJ-102255</t>
  </si>
  <si>
    <t>AIJ-102256</t>
  </si>
  <si>
    <t>AIJ-102257</t>
  </si>
  <si>
    <t>AIJ-102258</t>
  </si>
  <si>
    <t>AIJ-102259</t>
  </si>
  <si>
    <t>AIJ-102260</t>
  </si>
  <si>
    <t>AIJ-102261</t>
  </si>
  <si>
    <t>AIJ-102262</t>
  </si>
  <si>
    <t>AIJ-102263</t>
  </si>
  <si>
    <t>AIJ-102264</t>
  </si>
  <si>
    <t>AIJ-102265</t>
  </si>
  <si>
    <t>AIJ-102266</t>
  </si>
  <si>
    <t>AIJ-102267</t>
  </si>
  <si>
    <t>AIJ-102268</t>
  </si>
  <si>
    <t>AIJ-102269</t>
  </si>
  <si>
    <t>AIJ-102270</t>
  </si>
  <si>
    <t>AIJ-102271</t>
  </si>
  <si>
    <t>AIJ-102272</t>
  </si>
  <si>
    <t>AIJ-102273</t>
  </si>
  <si>
    <t>AIJ-102274</t>
  </si>
  <si>
    <t>AIJ-102275</t>
  </si>
  <si>
    <t>AIJ-102276</t>
  </si>
  <si>
    <t>AIJ-102277</t>
  </si>
  <si>
    <t>AIJ-102278</t>
  </si>
  <si>
    <t>AIJ-102279</t>
  </si>
  <si>
    <t>AIJ-102280</t>
  </si>
  <si>
    <t>AIJ-102281</t>
  </si>
  <si>
    <t>AIJ-102282</t>
  </si>
  <si>
    <t>AIJ-102283</t>
  </si>
  <si>
    <t>AIJ-102284</t>
  </si>
  <si>
    <t>AIJ-102285</t>
  </si>
  <si>
    <t>AIJ-102286</t>
  </si>
  <si>
    <t>AIJ-102287</t>
  </si>
  <si>
    <t>AIJ-102288</t>
  </si>
  <si>
    <t>AIJ-102289</t>
  </si>
  <si>
    <t>AIJ-102290</t>
  </si>
  <si>
    <t>AIJ-102291</t>
  </si>
  <si>
    <t>AIJ-102292</t>
  </si>
  <si>
    <t>AIJ-102293</t>
  </si>
  <si>
    <t>AIJ-102294</t>
  </si>
  <si>
    <t>AIJ-102295</t>
  </si>
  <si>
    <t>AIJ-102296</t>
  </si>
  <si>
    <t>AIJ-102297</t>
  </si>
  <si>
    <t>AIJ-102298</t>
  </si>
  <si>
    <t>AIJ-102299</t>
  </si>
  <si>
    <t>AIJ-102300</t>
  </si>
  <si>
    <t>AIJ-102301</t>
  </si>
  <si>
    <t>AIJ-102302</t>
  </si>
  <si>
    <t>AIJ-102303</t>
  </si>
  <si>
    <t>AIJ-102304</t>
  </si>
  <si>
    <t>AIJ-102305</t>
  </si>
  <si>
    <t>AIJ-102306</t>
  </si>
  <si>
    <t>AIJ-102307</t>
  </si>
  <si>
    <t>AIJ-102308</t>
  </si>
  <si>
    <t>AIJ-102309</t>
  </si>
  <si>
    <t>AIJ-102310</t>
  </si>
  <si>
    <t>AIJ-102311</t>
  </si>
  <si>
    <t>AIJ-102312</t>
  </si>
  <si>
    <t>AIJ-102313</t>
  </si>
  <si>
    <t>AIJ-102314</t>
  </si>
  <si>
    <t>AIJ-102315</t>
  </si>
  <si>
    <t>AIJ-102316</t>
  </si>
  <si>
    <t>AIJ-102317</t>
  </si>
  <si>
    <t>AIJ-102318</t>
  </si>
  <si>
    <t>AIJ-102319</t>
  </si>
  <si>
    <t>AIJ-102320</t>
  </si>
  <si>
    <t>AIJ-102321</t>
  </si>
  <si>
    <t>AIJ-102322</t>
  </si>
  <si>
    <t>AIJ-102323</t>
  </si>
  <si>
    <t>AIJ-102324</t>
  </si>
  <si>
    <t>AIJ-102325</t>
  </si>
  <si>
    <t>AIJ-102326</t>
  </si>
  <si>
    <t>AIJ-102327</t>
  </si>
  <si>
    <t>AIJ-102328</t>
  </si>
  <si>
    <t>AIJ-102329</t>
  </si>
  <si>
    <t>AIJ-102330</t>
  </si>
  <si>
    <t>AIJ-102331</t>
  </si>
  <si>
    <t>AIJ-102332</t>
  </si>
  <si>
    <t>AIJ-102333</t>
  </si>
  <si>
    <t>AIJ-102334</t>
  </si>
  <si>
    <t>AIJ-102335</t>
  </si>
  <si>
    <t>AIJ-102336</t>
  </si>
  <si>
    <t>AIJ-102337</t>
  </si>
  <si>
    <t>AIJ-102338</t>
  </si>
  <si>
    <t>AIJ-102339</t>
  </si>
  <si>
    <t>AIJ-102340</t>
  </si>
  <si>
    <t>AIJ-102341</t>
  </si>
  <si>
    <t>AIJ-102342</t>
  </si>
  <si>
    <t>AIJ-102343</t>
  </si>
  <si>
    <t>AIJ-102344</t>
  </si>
  <si>
    <t>AIJ-102345</t>
  </si>
  <si>
    <t>AIJ-102346</t>
  </si>
  <si>
    <t>AIJ-102347</t>
  </si>
  <si>
    <t>AIJ-102348</t>
  </si>
  <si>
    <t>AIJ-102349</t>
  </si>
  <si>
    <t>AIJ-102350</t>
  </si>
  <si>
    <t>AIJ-102351</t>
  </si>
  <si>
    <t>AIJ-102352</t>
  </si>
  <si>
    <t>AIJ-102353</t>
  </si>
  <si>
    <t>AIJ-102354</t>
  </si>
  <si>
    <t>AIJ-102355</t>
  </si>
  <si>
    <t>AIJ-102356</t>
  </si>
  <si>
    <t>AIJ-102357</t>
  </si>
  <si>
    <t>AIJ-102358</t>
  </si>
  <si>
    <t>AIJ-102359</t>
  </si>
  <si>
    <t>AIJ-102360</t>
  </si>
  <si>
    <t>AIJ-102361</t>
  </si>
  <si>
    <t>AIJ-102362</t>
  </si>
  <si>
    <t>AIJ-102363</t>
  </si>
  <si>
    <t>AIJ-102364</t>
  </si>
  <si>
    <t>AIJ-102365</t>
  </si>
  <si>
    <t>AIJ-102366</t>
  </si>
  <si>
    <t>AIJ-102367</t>
  </si>
  <si>
    <t>AIJ-102368</t>
  </si>
  <si>
    <t>AIJ-102369</t>
  </si>
  <si>
    <t>AIJ-102370</t>
  </si>
  <si>
    <t>AIJ-102371</t>
  </si>
  <si>
    <t>AIJ-102372</t>
  </si>
  <si>
    <t>AIJ-102373</t>
  </si>
  <si>
    <t>AIJ-102374</t>
  </si>
  <si>
    <t>AIJ-102375</t>
  </si>
  <si>
    <t>AIJ-102376</t>
  </si>
  <si>
    <t>AIJ-102377</t>
  </si>
  <si>
    <t>AIJ-102378</t>
  </si>
  <si>
    <t>AIJ-102379</t>
  </si>
  <si>
    <t>AIJ-102380</t>
  </si>
  <si>
    <t>AIJ-102381</t>
  </si>
  <si>
    <t>AIJ-102382</t>
  </si>
  <si>
    <t>AIJ-102383</t>
  </si>
  <si>
    <t>AIJ-102384</t>
  </si>
  <si>
    <t>AIJ-102385</t>
  </si>
  <si>
    <t>AIJ-102386</t>
  </si>
  <si>
    <t>AIJ-102387</t>
  </si>
  <si>
    <t>AIJ-102388</t>
  </si>
  <si>
    <t>AIJ-102389</t>
  </si>
  <si>
    <t>AIJ-102390</t>
  </si>
  <si>
    <t>AIJ-102391</t>
  </si>
  <si>
    <t>AIJ-102392</t>
  </si>
  <si>
    <t>AIJ-102393</t>
  </si>
  <si>
    <t>AIJ-102394</t>
  </si>
  <si>
    <t>AIJ-102395</t>
  </si>
  <si>
    <t>AIJ-102396</t>
  </si>
  <si>
    <t>AIJ-102397</t>
  </si>
  <si>
    <t>AIJ-102398</t>
  </si>
  <si>
    <t>AIJ-102399</t>
  </si>
  <si>
    <t>AIJ-102400</t>
  </si>
  <si>
    <t>AIJ-102401</t>
  </si>
  <si>
    <t>AIJ-102402</t>
  </si>
  <si>
    <t>AIJ-102403</t>
  </si>
  <si>
    <t>AIJ-102404</t>
  </si>
  <si>
    <t>AIJ-102405</t>
  </si>
  <si>
    <t>AIJ-102406</t>
  </si>
  <si>
    <t>AIJ-102407</t>
  </si>
  <si>
    <t>AIJ-102408</t>
  </si>
  <si>
    <t>AIJ-102409</t>
  </si>
  <si>
    <t>AIJ-102410</t>
  </si>
  <si>
    <t>AIJ-102411</t>
  </si>
  <si>
    <t>AIJ-102412</t>
  </si>
  <si>
    <t>AIJ-102413</t>
  </si>
  <si>
    <t>AIJ-102414</t>
  </si>
  <si>
    <t>AIJ-102415</t>
  </si>
  <si>
    <t>AIJ-102416</t>
  </si>
  <si>
    <t>AIJ-102417</t>
  </si>
  <si>
    <t>AIJ-102418</t>
  </si>
  <si>
    <t>AIJ-102419</t>
  </si>
  <si>
    <t>AIJ-102420</t>
  </si>
  <si>
    <t>AIJ-102421</t>
  </si>
  <si>
    <t>AIJ-102422</t>
  </si>
  <si>
    <t>AIJ-102423</t>
  </si>
  <si>
    <t>AIJ-102424</t>
  </si>
  <si>
    <t>AIJ-102425</t>
  </si>
  <si>
    <t>AIJ-102426</t>
  </si>
  <si>
    <t>AIJ-102427</t>
  </si>
  <si>
    <t>AIJ-102428</t>
  </si>
  <si>
    <t>AIJ-102429</t>
  </si>
  <si>
    <t>AIJ-102430</t>
  </si>
  <si>
    <t>AIJ-102431</t>
  </si>
  <si>
    <t>AIJ-102432</t>
  </si>
  <si>
    <t>AIJ-102433</t>
  </si>
  <si>
    <t>AIJ-102434</t>
  </si>
  <si>
    <t>AIJ-102435</t>
  </si>
  <si>
    <t>AIJ-102436</t>
  </si>
  <si>
    <t>AIJ-102437</t>
  </si>
  <si>
    <t>AIJ-102438</t>
  </si>
  <si>
    <t>AIJ-102439</t>
  </si>
  <si>
    <t>AIJ-102440</t>
  </si>
  <si>
    <t>AIJ-102441</t>
  </si>
  <si>
    <t>AIJ-102442</t>
  </si>
  <si>
    <t>AIJ-102443</t>
  </si>
  <si>
    <t>AIJ-102444</t>
  </si>
  <si>
    <t>AIJ-102445</t>
  </si>
  <si>
    <t>AIJ-102446</t>
  </si>
  <si>
    <t>AIJ-102447</t>
  </si>
  <si>
    <t>AIJ-102448</t>
  </si>
  <si>
    <t>AIJ-102449</t>
  </si>
  <si>
    <t>AIJ-102450</t>
  </si>
  <si>
    <t>AIJ-102451</t>
  </si>
  <si>
    <t>AIJ-102452</t>
  </si>
  <si>
    <t>AIJ-102453</t>
  </si>
  <si>
    <t>AIJ-102454</t>
  </si>
  <si>
    <t>AIJ-102455</t>
  </si>
  <si>
    <t>AIJ-102456</t>
  </si>
  <si>
    <t>AIJ-102457</t>
  </si>
  <si>
    <t>AIJ-102458</t>
  </si>
  <si>
    <t>AIJ-102459</t>
  </si>
  <si>
    <t>AIJ-102460</t>
  </si>
  <si>
    <t>AIJ-102461</t>
  </si>
  <si>
    <t>AIJ-102462</t>
  </si>
  <si>
    <t>AIJ-102463</t>
  </si>
  <si>
    <t>AIJ-102464</t>
  </si>
  <si>
    <t>AIJ-102465</t>
  </si>
  <si>
    <t>AIJ-102466</t>
  </si>
  <si>
    <t>AIJ-102467</t>
  </si>
  <si>
    <t>AIJ-102468</t>
  </si>
  <si>
    <t>AIJ-102469</t>
  </si>
  <si>
    <t>AIJ-102470</t>
  </si>
  <si>
    <t>AIJ-102471</t>
  </si>
  <si>
    <t>AIJ-102472</t>
  </si>
  <si>
    <t>AIJ-102473</t>
  </si>
  <si>
    <t>AIJ-102474</t>
  </si>
  <si>
    <t>AIJ-102475</t>
  </si>
  <si>
    <t>AIJ-102476</t>
  </si>
  <si>
    <t>AIJ-102477</t>
  </si>
  <si>
    <t>AIJ-102478</t>
  </si>
  <si>
    <t>AIJ-102479</t>
  </si>
  <si>
    <t>AIJ-102480</t>
  </si>
  <si>
    <t>AIJ-102481</t>
  </si>
  <si>
    <t>AIJ-102482</t>
  </si>
  <si>
    <t>AIJ-102483</t>
  </si>
  <si>
    <t>AIJ-102484</t>
  </si>
  <si>
    <t>AIJ-102485</t>
  </si>
  <si>
    <t>AIJ-102486</t>
  </si>
  <si>
    <t>AIJ-102487</t>
  </si>
  <si>
    <t>AIJ-102488</t>
  </si>
  <si>
    <t>AIJ-102489</t>
  </si>
  <si>
    <t>AIJ-102490</t>
  </si>
  <si>
    <t>AIJ-102491</t>
  </si>
  <si>
    <t>AIJ-102492</t>
  </si>
  <si>
    <t>AIJ-102493</t>
  </si>
  <si>
    <t>AIJ-102494</t>
  </si>
  <si>
    <t>AIJ-102495</t>
  </si>
  <si>
    <t>AIJ-102496</t>
  </si>
  <si>
    <t>AIJ-102497</t>
  </si>
  <si>
    <t>AIJ-102498</t>
  </si>
  <si>
    <t>AIJ-102499</t>
  </si>
  <si>
    <t>AIJ-102500</t>
  </si>
  <si>
    <t>AIJ-102501</t>
  </si>
  <si>
    <t>AIJ-102502</t>
  </si>
  <si>
    <t>AIJ-102503</t>
  </si>
  <si>
    <t>AIJ-102504</t>
  </si>
  <si>
    <t>AIJ-102505</t>
  </si>
  <si>
    <t>AIJ-102506</t>
  </si>
  <si>
    <t>AIJ-102507</t>
  </si>
  <si>
    <t>AIJ-102508</t>
  </si>
  <si>
    <t>AIJ-102509</t>
  </si>
  <si>
    <t>AIJ-102510</t>
  </si>
  <si>
    <t>AIJ-102511</t>
  </si>
  <si>
    <t>AIJ-102512</t>
  </si>
  <si>
    <t>AIJ-102513</t>
  </si>
  <si>
    <t>AIJ-102514</t>
  </si>
  <si>
    <t>AIJ-102515</t>
  </si>
  <si>
    <t>AIJ-102516</t>
  </si>
  <si>
    <t>AIJ-102517</t>
  </si>
  <si>
    <t>AIJ-102518</t>
  </si>
  <si>
    <t>AIJ-102519</t>
  </si>
  <si>
    <t>AIJ-102520</t>
  </si>
  <si>
    <t>AIJ-102521</t>
  </si>
  <si>
    <t>AIJ-102522</t>
  </si>
  <si>
    <t>AIJ-102523</t>
  </si>
  <si>
    <t>AIJ-102524</t>
  </si>
  <si>
    <t>AIJ-102525</t>
  </si>
  <si>
    <t>AIJ-102526</t>
  </si>
  <si>
    <t>AIJ-102527</t>
  </si>
  <si>
    <t>AIJ-102528</t>
  </si>
  <si>
    <t>AIJ-102529</t>
  </si>
  <si>
    <t>AIJ-102530</t>
  </si>
  <si>
    <t>AIJ-102531</t>
  </si>
  <si>
    <t>AIJ-102532</t>
  </si>
  <si>
    <t>AIJ-102533</t>
  </si>
  <si>
    <t>AIJ-102534</t>
  </si>
  <si>
    <t>AIJ-102535</t>
  </si>
  <si>
    <t>AIJ-102536</t>
  </si>
  <si>
    <t>AIJ-102537</t>
  </si>
  <si>
    <t>AIJ-102538</t>
  </si>
  <si>
    <t>AIJ-102539</t>
  </si>
  <si>
    <t>AIJ-102540</t>
  </si>
  <si>
    <t>AIJ-102541</t>
  </si>
  <si>
    <t>AIJ-102542</t>
  </si>
  <si>
    <t>AIJ-102543</t>
  </si>
  <si>
    <t>AIJ-102544</t>
  </si>
  <si>
    <t>AIJ-102545</t>
  </si>
  <si>
    <t>AIJ-102546</t>
  </si>
  <si>
    <t>AIJ-102547</t>
  </si>
  <si>
    <t>AIJ-102548</t>
  </si>
  <si>
    <t>AIJ-102549</t>
  </si>
  <si>
    <t>AIJ-102550</t>
  </si>
  <si>
    <t>AIJ-102551</t>
  </si>
  <si>
    <t>AIJ-102552</t>
  </si>
  <si>
    <t>AIJ-102553</t>
  </si>
  <si>
    <t>AIJ-102554</t>
  </si>
  <si>
    <t>AIJ-102555</t>
  </si>
  <si>
    <t>AIJ-102556</t>
  </si>
  <si>
    <t>AIJ-102557</t>
  </si>
  <si>
    <t>AIJ-102558</t>
  </si>
  <si>
    <t>AIJ-102559</t>
  </si>
  <si>
    <t>AIJ-102560</t>
  </si>
  <si>
    <t>AIJ-102561</t>
  </si>
  <si>
    <t>AIJ-102562</t>
  </si>
  <si>
    <t>AIJ-102563</t>
  </si>
  <si>
    <t>AIJ-102564</t>
  </si>
  <si>
    <t>AIJ-102565</t>
  </si>
  <si>
    <t>AIJ-102566</t>
  </si>
  <si>
    <t>AIJ-102567</t>
  </si>
  <si>
    <t>AIJ-102568</t>
  </si>
  <si>
    <t>AIJ-102569</t>
  </si>
  <si>
    <t>AIJ-102570</t>
  </si>
  <si>
    <t>AIJ-102571</t>
  </si>
  <si>
    <t>AIJ-102572</t>
  </si>
  <si>
    <t>AIJ-102573</t>
  </si>
  <si>
    <t>AIJ-102574</t>
  </si>
  <si>
    <t>AIJ-102575</t>
  </si>
  <si>
    <t>AIJ-102576</t>
  </si>
  <si>
    <t>AIJ-102577</t>
  </si>
  <si>
    <t>AIJ-102578</t>
  </si>
  <si>
    <t>AIJ-102579</t>
  </si>
  <si>
    <t>AIJ-102580</t>
  </si>
  <si>
    <t>AIJ-102581</t>
  </si>
  <si>
    <t>AIJ-102582</t>
  </si>
  <si>
    <t>AIJ-102583</t>
  </si>
  <si>
    <t>AIJ-102584</t>
  </si>
  <si>
    <t>AIJ-102585</t>
  </si>
  <si>
    <t>AIJ-102586</t>
  </si>
  <si>
    <t>AIJ-102587</t>
  </si>
  <si>
    <t>AIJ-102588</t>
  </si>
  <si>
    <t>AIJ-102589</t>
  </si>
  <si>
    <t>AIJ-102590</t>
  </si>
  <si>
    <t>AIJ-102591</t>
  </si>
  <si>
    <t>AIJ-102592</t>
  </si>
  <si>
    <t>AIJ-102593</t>
  </si>
  <si>
    <t>AIJ-102594</t>
  </si>
  <si>
    <t>AIJ-102595</t>
  </si>
  <si>
    <t>AIJ-102596</t>
  </si>
  <si>
    <t>AIJ-102597</t>
  </si>
  <si>
    <t>AIJ-102598</t>
  </si>
  <si>
    <t>AIJ-102599</t>
  </si>
  <si>
    <t>AIJ-102600</t>
  </si>
  <si>
    <t>AIJ-102601</t>
  </si>
  <si>
    <t>AIJ-102602</t>
  </si>
  <si>
    <t>AIJ-102603</t>
  </si>
  <si>
    <t>AIJ-102604</t>
  </si>
  <si>
    <t>AIJ-102605</t>
  </si>
  <si>
    <t>AIJ-102606</t>
  </si>
  <si>
    <t>AIJ-102607</t>
  </si>
  <si>
    <t>AIJ-102608</t>
  </si>
  <si>
    <t>AIJ-102609</t>
  </si>
  <si>
    <t>AIJ-102610</t>
  </si>
  <si>
    <t>AIJ-102611</t>
  </si>
  <si>
    <t>AIJ-102612</t>
  </si>
  <si>
    <t>AIJ-102613</t>
  </si>
  <si>
    <t>AIJ-102614</t>
  </si>
  <si>
    <t>AIJ-102615</t>
  </si>
  <si>
    <t>AIJ-102616</t>
  </si>
  <si>
    <t>AIJ-102617</t>
  </si>
  <si>
    <t>AIJ-102618</t>
  </si>
  <si>
    <t>AIJ-102619</t>
  </si>
  <si>
    <t>AIJ-102620</t>
  </si>
  <si>
    <t>AIJ-102621</t>
  </si>
  <si>
    <t>AIJ-102622</t>
  </si>
  <si>
    <t>AIJ-102623</t>
  </si>
  <si>
    <t>AIJ-102624</t>
  </si>
  <si>
    <t>AIJ-102625</t>
  </si>
  <si>
    <t>AIJ-102626</t>
  </si>
  <si>
    <t>AIJ-102627</t>
  </si>
  <si>
    <t>AIJ-102628</t>
  </si>
  <si>
    <t>AIJ-102629</t>
  </si>
  <si>
    <t>AIJ-102630</t>
  </si>
  <si>
    <t>AIJ-102631</t>
  </si>
  <si>
    <t>AIJ-102632</t>
  </si>
  <si>
    <t>AIJ-102633</t>
  </si>
  <si>
    <t>AIJ-102634</t>
  </si>
  <si>
    <t>AIJ-102635</t>
  </si>
  <si>
    <t>AIJ-102636</t>
  </si>
  <si>
    <t>AIJ-102637</t>
  </si>
  <si>
    <t>AIJ-102638</t>
  </si>
  <si>
    <t>AIJ-102639</t>
  </si>
  <si>
    <t>AIJ-102640</t>
  </si>
  <si>
    <t>AIJ-102641</t>
  </si>
  <si>
    <t>AIJ-102642</t>
  </si>
  <si>
    <t>AIJ-102643</t>
  </si>
  <si>
    <t>AIJ-102644</t>
  </si>
  <si>
    <t>AIJ-102645</t>
  </si>
  <si>
    <t>AIJ-102646</t>
  </si>
  <si>
    <t>AIJ-102647</t>
  </si>
  <si>
    <t>AIJ-102648</t>
  </si>
  <si>
    <t>AIJ-102649</t>
  </si>
  <si>
    <t>AIJ-102650</t>
  </si>
  <si>
    <t>AIJ-102651</t>
  </si>
  <si>
    <t>AIJ-102652</t>
  </si>
  <si>
    <t>AIJ-102653</t>
  </si>
  <si>
    <t>AIJ-102654</t>
  </si>
  <si>
    <t>AIJ-102655</t>
  </si>
  <si>
    <t>AIJ-102656</t>
  </si>
  <si>
    <t>AIJ-102657</t>
  </si>
  <si>
    <t>AIJ-102658</t>
  </si>
  <si>
    <t>AIJ-102659</t>
  </si>
  <si>
    <t>AIJ-102660</t>
  </si>
  <si>
    <t>AIJ-102661</t>
  </si>
  <si>
    <t>AIJ-102662</t>
  </si>
  <si>
    <t>AIJ-102663</t>
  </si>
  <si>
    <t>AIJ-102664</t>
  </si>
  <si>
    <t>AIJ-102665</t>
  </si>
  <si>
    <t>AIJ-102666</t>
  </si>
  <si>
    <t>AIJ-102667</t>
  </si>
  <si>
    <t>AIJ-102668</t>
  </si>
  <si>
    <t>AIJ-102669</t>
  </si>
  <si>
    <t>AIJ-102670</t>
  </si>
  <si>
    <t>AIJ-102671</t>
  </si>
  <si>
    <t>AIJ-102672</t>
  </si>
  <si>
    <t>AIJ-102673</t>
  </si>
  <si>
    <t>AIJ-102674</t>
  </si>
  <si>
    <t>AIJ-102675</t>
  </si>
  <si>
    <t>AIJ-102676</t>
  </si>
  <si>
    <t>AIJ-102677</t>
  </si>
  <si>
    <t>AIJ-102678</t>
  </si>
  <si>
    <t>AIJ-102679</t>
  </si>
  <si>
    <t>AIJ-102680</t>
  </si>
  <si>
    <t>AIJ-102681</t>
  </si>
  <si>
    <t>AIJ-102682</t>
  </si>
  <si>
    <t>AIJ-102683</t>
  </si>
  <si>
    <t>AIJ-102684</t>
  </si>
  <si>
    <t>AIJ-102685</t>
  </si>
  <si>
    <t>AIJ-102686</t>
  </si>
  <si>
    <t>AIJ-102687</t>
  </si>
  <si>
    <t>AIJ-102688</t>
  </si>
  <si>
    <t>AIJ-102689</t>
  </si>
  <si>
    <t>AIJ-102690</t>
  </si>
  <si>
    <t>AIJ-102691</t>
  </si>
  <si>
    <t>AIJ-102692</t>
  </si>
  <si>
    <t>AIJ-102693</t>
  </si>
  <si>
    <t>AIJ-102694</t>
  </si>
  <si>
    <t>AIJ-102695</t>
  </si>
  <si>
    <t>AIJ-102696</t>
  </si>
  <si>
    <t>AIJ-102697</t>
  </si>
  <si>
    <t>AIJ-102698</t>
  </si>
  <si>
    <t>AIJ-102699</t>
  </si>
  <si>
    <t>AIJ-102700</t>
  </si>
  <si>
    <t>AIJ-102701</t>
  </si>
  <si>
    <t>AIJ-102702</t>
  </si>
  <si>
    <t>AIJ-102703</t>
  </si>
  <si>
    <t>AIJ-102704</t>
  </si>
  <si>
    <t>AIJ-102705</t>
  </si>
  <si>
    <t>AIJ-102706</t>
  </si>
  <si>
    <t>AIJ-102707</t>
  </si>
  <si>
    <t>AIJ-102708</t>
  </si>
  <si>
    <t>AIJ-102709</t>
  </si>
  <si>
    <t>AIJ-102710</t>
  </si>
  <si>
    <t>AIJ-102711</t>
  </si>
  <si>
    <t>AIJ-102712</t>
  </si>
  <si>
    <t>AIJ-102713</t>
  </si>
  <si>
    <t>AIJ-102714</t>
  </si>
  <si>
    <t>AIJ-102715</t>
  </si>
  <si>
    <t>AIJ-102716</t>
  </si>
  <si>
    <t>AIJ-102717</t>
  </si>
  <si>
    <t>AIJ-102718</t>
  </si>
  <si>
    <t>AIJ-102719</t>
  </si>
  <si>
    <t>AIJ-102720</t>
  </si>
  <si>
    <t>AIJ-102721</t>
  </si>
  <si>
    <t>AIJ-102722</t>
  </si>
  <si>
    <t>AIJ-102723</t>
  </si>
  <si>
    <t>AIJ-102724</t>
  </si>
  <si>
    <t>AIJ-102725</t>
  </si>
  <si>
    <t>AIJ-102726</t>
  </si>
  <si>
    <t>AIJ-102727</t>
  </si>
  <si>
    <t>AIJ-102728</t>
  </si>
  <si>
    <t>AIJ-102729</t>
  </si>
  <si>
    <t>AIJ-102730</t>
  </si>
  <si>
    <t>AIJ-102731</t>
  </si>
  <si>
    <t>AIJ-102732</t>
  </si>
  <si>
    <t>AIJ-102733</t>
  </si>
  <si>
    <t>AIJ-102734</t>
  </si>
  <si>
    <t>AIJ-102735</t>
  </si>
  <si>
    <t>AIJ-102736</t>
  </si>
  <si>
    <t>AIJ-102737</t>
  </si>
  <si>
    <t>AIJ-102738</t>
  </si>
  <si>
    <t>AIJ-102739</t>
  </si>
  <si>
    <t>AIJ-102740</t>
  </si>
  <si>
    <t>AIJ-102741</t>
  </si>
  <si>
    <t>AIJ-102742</t>
  </si>
  <si>
    <t>AIJ-102743</t>
  </si>
  <si>
    <t>AIJ-102744</t>
  </si>
  <si>
    <t>AIJ-102745</t>
  </si>
  <si>
    <t>AIJ-102746</t>
  </si>
  <si>
    <t>AIJ-102747</t>
  </si>
  <si>
    <t>AIJ-102748</t>
  </si>
  <si>
    <t>AIJ-102749</t>
  </si>
  <si>
    <t>AIJ-102750</t>
  </si>
  <si>
    <t>AIJ-102751</t>
  </si>
  <si>
    <t>AIJ-102752</t>
  </si>
  <si>
    <t>AIJ-102753</t>
  </si>
  <si>
    <t>AIJ-102754</t>
  </si>
  <si>
    <t>AIJ-102755</t>
  </si>
  <si>
    <t>AIJ-102756</t>
  </si>
  <si>
    <t>AIJ-102757</t>
  </si>
  <si>
    <t>AIJ-102758</t>
  </si>
  <si>
    <t>AIJ-102759</t>
  </si>
  <si>
    <t>AIJ-102760</t>
  </si>
  <si>
    <t>AIJ-102761</t>
  </si>
  <si>
    <t>AIJ-102762</t>
  </si>
  <si>
    <t>AIJ-102763</t>
  </si>
  <si>
    <t>AIJ-102764</t>
  </si>
  <si>
    <t>AIJ-102765</t>
  </si>
  <si>
    <t>AIJ-102766</t>
  </si>
  <si>
    <t>AIJ-102767</t>
  </si>
  <si>
    <t>AIJ-102768</t>
  </si>
  <si>
    <t>AIJ-102769</t>
  </si>
  <si>
    <t>AIJ-102770</t>
  </si>
  <si>
    <t>AIJ-102771</t>
  </si>
  <si>
    <t>AIJ-102772</t>
  </si>
  <si>
    <t>AIJ-102773</t>
  </si>
  <si>
    <t>AIJ-102774</t>
  </si>
  <si>
    <t>AIJ-102775</t>
  </si>
  <si>
    <t>AIJ-102776</t>
  </si>
  <si>
    <t>AIJ-102777</t>
  </si>
  <si>
    <t>AIJ-102778</t>
  </si>
  <si>
    <t>AIJ-102779</t>
  </si>
  <si>
    <t>AIJ-102780</t>
  </si>
  <si>
    <t>AIJ-102781</t>
  </si>
  <si>
    <t>AIJ-102782</t>
  </si>
  <si>
    <t>AIJ-102783</t>
  </si>
  <si>
    <t>AIJ-102784</t>
  </si>
  <si>
    <t>AIJ-102785</t>
  </si>
  <si>
    <t>AIJ-102786</t>
  </si>
  <si>
    <t>AIJ-102787</t>
  </si>
  <si>
    <t>AIJ-102788</t>
  </si>
  <si>
    <t>AIJ-102789</t>
  </si>
  <si>
    <t>AIJ-102790</t>
  </si>
  <si>
    <t>AIJ-102791</t>
  </si>
  <si>
    <t>AIJ-102792</t>
  </si>
  <si>
    <t>AIJ-102793</t>
  </si>
  <si>
    <t>AIJ-102794</t>
  </si>
  <si>
    <t>AIJ-102795</t>
  </si>
  <si>
    <t>AIJ-102796</t>
  </si>
  <si>
    <t>AIJ-102797</t>
  </si>
  <si>
    <t>AIJ-102798</t>
  </si>
  <si>
    <t>AIJ-102799</t>
  </si>
  <si>
    <t>AIJ-102800</t>
  </si>
  <si>
    <t>AIJ-102801</t>
  </si>
  <si>
    <t>AIJ-102802</t>
  </si>
  <si>
    <t>AIJ-102803</t>
  </si>
  <si>
    <t>AIJ-102804</t>
  </si>
  <si>
    <t>AIJ-102805</t>
  </si>
  <si>
    <t>AIJ-102806</t>
  </si>
  <si>
    <t>AIJ-102807</t>
  </si>
  <si>
    <t>AIJ-102808</t>
  </si>
  <si>
    <t>AIJ-102809</t>
  </si>
  <si>
    <t>AIJ-102810</t>
  </si>
  <si>
    <t>AIJ-102811</t>
  </si>
  <si>
    <t>AIJ-102812</t>
  </si>
  <si>
    <t>AIJ-102813</t>
  </si>
  <si>
    <t>AIJ-102814</t>
  </si>
  <si>
    <t>AIJ-102815</t>
  </si>
  <si>
    <t>AIJ-102816</t>
  </si>
  <si>
    <t>AIJ-102817</t>
  </si>
  <si>
    <t>AIJ-102818</t>
  </si>
  <si>
    <t>AIJ-102819</t>
  </si>
  <si>
    <t>AIJ-102820</t>
  </si>
  <si>
    <t>AIJ-102821</t>
  </si>
  <si>
    <t>AIJ-102822</t>
  </si>
  <si>
    <t>AIJ-102823</t>
  </si>
  <si>
    <t>AIJ-102824</t>
  </si>
  <si>
    <t>AIJ-102825</t>
  </si>
  <si>
    <t>AIJ-102826</t>
  </si>
  <si>
    <t>AIJ-102827</t>
  </si>
  <si>
    <t>AIJ-102828</t>
  </si>
  <si>
    <t>AIJ-102829</t>
  </si>
  <si>
    <t>AIJ-102830</t>
  </si>
  <si>
    <t>AIJ-102831</t>
  </si>
  <si>
    <t>AIJ-102832</t>
  </si>
  <si>
    <t>AIJ-102833</t>
  </si>
  <si>
    <t>AIJ-102834</t>
  </si>
  <si>
    <t>AIJ-102835</t>
  </si>
  <si>
    <t>AIJ-102836</t>
  </si>
  <si>
    <t>AIJ-102837</t>
  </si>
  <si>
    <t>AIJ-102838</t>
  </si>
  <si>
    <t>AIJ-102839</t>
  </si>
  <si>
    <t>AIJ-102840</t>
  </si>
  <si>
    <t>AIJ-102841</t>
  </si>
  <si>
    <t>AIJ-102842</t>
  </si>
  <si>
    <t>AIJ-102843</t>
  </si>
  <si>
    <t>AIJ-102844</t>
  </si>
  <si>
    <t>AIJ-102845</t>
  </si>
  <si>
    <t>AIJ-102846</t>
  </si>
  <si>
    <t>AIJ-102847</t>
  </si>
  <si>
    <t>AIJ-102848</t>
  </si>
  <si>
    <t>AIJ-102849</t>
  </si>
  <si>
    <t>AIJ-102850</t>
  </si>
  <si>
    <t>AIJ-102851</t>
  </si>
  <si>
    <t>AIJ-102852</t>
  </si>
  <si>
    <t>AIJ-102853</t>
  </si>
  <si>
    <t>AIJ-102854</t>
  </si>
  <si>
    <t>AIJ-102855</t>
  </si>
  <si>
    <t>AIJ-102856</t>
  </si>
  <si>
    <t>AIJ-102857</t>
  </si>
  <si>
    <t>AIJ-102858</t>
  </si>
  <si>
    <t>AIJ-102859</t>
  </si>
  <si>
    <t>AIJ-102860</t>
  </si>
  <si>
    <t>AIJ-102861</t>
  </si>
  <si>
    <t>AIJ-102862</t>
  </si>
  <si>
    <t>AIJ-102863</t>
  </si>
  <si>
    <t>AIJ-102864</t>
  </si>
  <si>
    <t>AIJ-102865</t>
  </si>
  <si>
    <t>AIJ-102866</t>
  </si>
  <si>
    <t>AIJ-102867</t>
  </si>
  <si>
    <t>AIJ-102868</t>
  </si>
  <si>
    <t>AIJ-102869</t>
  </si>
  <si>
    <t>AIJ-102870</t>
  </si>
  <si>
    <t>AIJ-102871</t>
  </si>
  <si>
    <t>AIJ-102872</t>
  </si>
  <si>
    <t>AIJ-102873</t>
  </si>
  <si>
    <t>AIJ-102874</t>
  </si>
  <si>
    <t>AIJ-102875</t>
  </si>
  <si>
    <t>AIJ-102876</t>
  </si>
  <si>
    <t>AIJ-102877</t>
  </si>
  <si>
    <t>AIJ-102878</t>
  </si>
  <si>
    <t>AIJ-102879</t>
  </si>
  <si>
    <t>AIJ-102880</t>
  </si>
  <si>
    <t>AIJ-102881</t>
  </si>
  <si>
    <t>AIJ-102882</t>
  </si>
  <si>
    <t>AIJ-102883</t>
  </si>
  <si>
    <t>AIJ-102884</t>
  </si>
  <si>
    <t>AIJ-102885</t>
  </si>
  <si>
    <t>AIJ-102886</t>
  </si>
  <si>
    <t>AIJ-102887</t>
  </si>
  <si>
    <t>AIJ-102888</t>
  </si>
  <si>
    <t>AIJ-102889</t>
  </si>
  <si>
    <t>AIJ-102890</t>
  </si>
  <si>
    <t>AIJ-102891</t>
  </si>
  <si>
    <t>AIJ-102892</t>
  </si>
  <si>
    <t>AIJ-102893</t>
  </si>
  <si>
    <t>AIJ-102894</t>
  </si>
  <si>
    <t>AIJ-102895</t>
  </si>
  <si>
    <t>AIJ-102896</t>
  </si>
  <si>
    <t>AIJ-102897</t>
  </si>
  <si>
    <t>AIJ-102898</t>
  </si>
  <si>
    <t>AIJ-102899</t>
  </si>
  <si>
    <t>AIJ-102900</t>
  </si>
  <si>
    <t>AIJ-102901</t>
  </si>
  <si>
    <t>AIJ-102902</t>
  </si>
  <si>
    <t>AIJ-102903</t>
  </si>
  <si>
    <t>AIJ-102904</t>
  </si>
  <si>
    <t>AIJ-102905</t>
  </si>
  <si>
    <t>AIJ-102906</t>
  </si>
  <si>
    <t>AIJ-102907</t>
  </si>
  <si>
    <t>AIJ-102908</t>
  </si>
  <si>
    <t>AIJ-102909</t>
  </si>
  <si>
    <t>AIJ-102910</t>
  </si>
  <si>
    <t>AIJ-102911</t>
  </si>
  <si>
    <t>AIJ-102912</t>
  </si>
  <si>
    <t>AIJ-102913</t>
  </si>
  <si>
    <t>AIJ-102914</t>
  </si>
  <si>
    <t>AIJ-102915</t>
  </si>
  <si>
    <t>AIJ-102916</t>
  </si>
  <si>
    <t>AIJ-102917</t>
  </si>
  <si>
    <t>AIJ-102918</t>
  </si>
  <si>
    <t>AIJ-102919</t>
  </si>
  <si>
    <t>AIJ-102920</t>
  </si>
  <si>
    <t>AIJ-102921</t>
  </si>
  <si>
    <t>AIJ-102922</t>
  </si>
  <si>
    <t>AIJ-102923</t>
  </si>
  <si>
    <t>AIJ-102924</t>
  </si>
  <si>
    <t>AIJ-102925</t>
  </si>
  <si>
    <t>AIJ-102926</t>
  </si>
  <si>
    <t>AIJ-102927</t>
  </si>
  <si>
    <t>AIJ-102928</t>
  </si>
  <si>
    <t>AIJ-102929</t>
  </si>
  <si>
    <t>AIJ-102930</t>
  </si>
  <si>
    <t>AIJ-102931</t>
  </si>
  <si>
    <t>AIJ-102932</t>
  </si>
  <si>
    <t>AIJ-102933</t>
  </si>
  <si>
    <t>AIJ-102934</t>
  </si>
  <si>
    <t>AIJ-102935</t>
  </si>
  <si>
    <t>AIJ-102936</t>
  </si>
  <si>
    <t>AIJ-102937</t>
  </si>
  <si>
    <t>AIJ-102938</t>
  </si>
  <si>
    <t>AIJ-102939</t>
  </si>
  <si>
    <t>AIJ-102940</t>
  </si>
  <si>
    <t>AIJ-102941</t>
  </si>
  <si>
    <t>AIJ-102942</t>
  </si>
  <si>
    <t>AIJ-102943</t>
  </si>
  <si>
    <t>AIJ-102944</t>
  </si>
  <si>
    <t>AIJ-102945</t>
  </si>
  <si>
    <t>AIJ-102946</t>
  </si>
  <si>
    <t>AIJ-102947</t>
  </si>
  <si>
    <t>AIJ-102948</t>
  </si>
  <si>
    <t>AIJ-102949</t>
  </si>
  <si>
    <t>AIJ-102950</t>
  </si>
  <si>
    <t>AIJ-102951</t>
  </si>
  <si>
    <t>AIJ-102952</t>
  </si>
  <si>
    <t>AIJ-102953</t>
  </si>
  <si>
    <t>AIJ-102954</t>
  </si>
  <si>
    <t>AIJ-102955</t>
  </si>
  <si>
    <t>AIJ-102956</t>
  </si>
  <si>
    <t>AIJ-102957</t>
  </si>
  <si>
    <t>AIJ-102958</t>
  </si>
  <si>
    <t>AIJ-102959</t>
  </si>
  <si>
    <t>AIJ-102960</t>
  </si>
  <si>
    <t>AIJ-102961</t>
  </si>
  <si>
    <t>AIJ-102962</t>
  </si>
  <si>
    <t>AIJ-102963</t>
  </si>
  <si>
    <t>AIJ-102964</t>
  </si>
  <si>
    <t>AIJ-102965</t>
  </si>
  <si>
    <t>AIJ-102966</t>
  </si>
  <si>
    <t>AIJ-102967</t>
  </si>
  <si>
    <t>AIJ-102968</t>
  </si>
  <si>
    <t>AIJ-102969</t>
  </si>
  <si>
    <t>AIJ-102970</t>
  </si>
  <si>
    <t>AIJ-102971</t>
  </si>
  <si>
    <t>AIJ-102972</t>
  </si>
  <si>
    <t>AIJ-102973</t>
  </si>
  <si>
    <t>AIJ-102974</t>
  </si>
  <si>
    <t>AIJ-102975</t>
  </si>
  <si>
    <t>AIJ-102976</t>
  </si>
  <si>
    <t>AIJ-102977</t>
  </si>
  <si>
    <t>AIJ-102978</t>
  </si>
  <si>
    <t>AIJ-102979</t>
  </si>
  <si>
    <t>AIJ-102980</t>
  </si>
  <si>
    <t>AIJ-102981</t>
  </si>
  <si>
    <t>AIJ-102982</t>
  </si>
  <si>
    <t>AIJ-102983</t>
  </si>
  <si>
    <t>AIJ-102984</t>
  </si>
  <si>
    <t>AIJ-102985</t>
  </si>
  <si>
    <t>AIJ-102986</t>
  </si>
  <si>
    <t>AIJ-102987</t>
  </si>
  <si>
    <t>AIJ-102988</t>
  </si>
  <si>
    <t>AIJ-102989</t>
  </si>
  <si>
    <t>AIJ-102990</t>
  </si>
  <si>
    <t>AIJ-102991</t>
  </si>
  <si>
    <t>AIJ-102992</t>
  </si>
  <si>
    <t>AIJ-102993</t>
  </si>
  <si>
    <t>AIJ-102994</t>
  </si>
  <si>
    <t>AIJ-102995</t>
  </si>
  <si>
    <t>AIJ-102996</t>
  </si>
  <si>
    <t>AIJ-102997</t>
  </si>
  <si>
    <t>AIJ-102998</t>
  </si>
  <si>
    <t>AIJ-102999</t>
  </si>
  <si>
    <t>Job_Security</t>
  </si>
  <si>
    <t>Experience_Level</t>
  </si>
  <si>
    <t>Row Labels</t>
  </si>
  <si>
    <t>Grand Total</t>
  </si>
  <si>
    <t>Column Labels</t>
  </si>
  <si>
    <t>Count of AI_Tool_Usage</t>
  </si>
  <si>
    <t>Sum of AI_Replacement_Risk</t>
  </si>
  <si>
    <t>Sum of Future_Demand_Score</t>
  </si>
  <si>
    <t>Very High</t>
  </si>
  <si>
    <t>Count of Job_Security</t>
  </si>
  <si>
    <t>Count of Country</t>
  </si>
  <si>
    <t>Count of Job_Title</t>
  </si>
  <si>
    <t>TOTAL JOB ROLES</t>
  </si>
  <si>
    <t>AVG SALARY</t>
  </si>
  <si>
    <t>Average of Average_Salary_USD</t>
  </si>
  <si>
    <t>Average of AI_Replacement_Risk</t>
  </si>
  <si>
    <t>AVG AI RISK</t>
  </si>
  <si>
    <t>Average of Job_Satisfaction</t>
  </si>
  <si>
    <t>AVG JOB RATING</t>
  </si>
  <si>
    <t>Average of Job_Growth_2030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</si>
</sst>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6"/>
        <name val="Calisto MT"/>
        <family val="1"/>
        <scheme val="none"/>
      </font>
    </dxf>
    <dxf>
      <font>
        <b/>
        <i val="0"/>
        <sz val="14"/>
        <color theme="5" tint="0.39985351115451523"/>
        <name val="Calisto MT"/>
        <family val="1"/>
        <scheme val="none"/>
      </font>
      <fill>
        <patternFill>
          <bgColor rgb="FF050B1B"/>
        </patternFill>
      </fill>
      <border diagonalUp="0" diagonalDown="0">
        <left/>
        <right/>
        <top/>
        <bottom/>
        <vertical/>
        <horizontal/>
      </border>
    </dxf>
  </dxfs>
  <tableStyles count="1" defaultTableStyle="TableStyleMedium2" defaultPivotStyle="PivotStyleLight16">
    <tableStyle name="Slicer Style 1" pivot="0" table="0" count="3" xr9:uid="{FA9180CE-B800-49EF-816D-277CB833766D}">
      <tableStyleElement type="wholeTable" dxfId="5"/>
      <tableStyleElement type="headerRow" dxfId="4"/>
    </tableStyle>
  </tableStyles>
  <colors>
    <mruColors>
      <color rgb="FF151831"/>
      <color rgb="FFBEB4A2"/>
      <color rgb="FF5D42FC"/>
      <color rgb="FFFCA54E"/>
      <color rgb="FF373003"/>
      <color rgb="FF354F31"/>
      <color rgb="FFDF6585"/>
      <color rgb="FF6D67EB"/>
      <color rgb="FF28256D"/>
      <color rgb="FFF68158"/>
    </mruColors>
  </colors>
  <extLst>
    <ext xmlns:x14="http://schemas.microsoft.com/office/spreadsheetml/2009/9/main" uri="{46F421CA-312F-682f-3DD2-61675219B42D}">
      <x14:dxfs count="1">
        <dxf>
          <font>
            <color theme="0" tint="-0.24994659260841701"/>
          </font>
          <fill>
            <patternFill patternType="solid">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Table!job-job demand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c:f>
              <c:strCache>
                <c:ptCount val="1"/>
                <c:pt idx="0">
                  <c:v>Total</c:v>
                </c:pt>
              </c:strCache>
            </c:strRef>
          </c:tx>
          <c:spPr>
            <a:solidFill>
              <a:schemeClr val="accent1"/>
            </a:solidFill>
            <a:ln>
              <a:noFill/>
            </a:ln>
            <a:effectLst/>
          </c:spPr>
          <c:cat>
            <c:strRef>
              <c:f>'PIvot Table'!$A$4:$A$24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Table'!$B$4:$B$24</c:f>
              <c:numCache>
                <c:formatCode>General</c:formatCode>
                <c:ptCount val="20"/>
                <c:pt idx="0">
                  <c:v>73.429999999999978</c:v>
                </c:pt>
                <c:pt idx="1">
                  <c:v>93.159999999999982</c:v>
                </c:pt>
                <c:pt idx="2">
                  <c:v>87.44</c:v>
                </c:pt>
                <c:pt idx="3">
                  <c:v>73.330000000000013</c:v>
                </c:pt>
                <c:pt idx="4">
                  <c:v>99.899999999999991</c:v>
                </c:pt>
                <c:pt idx="5">
                  <c:v>89.360000000000014</c:v>
                </c:pt>
                <c:pt idx="6">
                  <c:v>94.499999999999986</c:v>
                </c:pt>
                <c:pt idx="7">
                  <c:v>87.369999999999976</c:v>
                </c:pt>
                <c:pt idx="8">
                  <c:v>79.869999999999976</c:v>
                </c:pt>
                <c:pt idx="9">
                  <c:v>85.409999999999982</c:v>
                </c:pt>
                <c:pt idx="10">
                  <c:v>88.77000000000001</c:v>
                </c:pt>
                <c:pt idx="11">
                  <c:v>95.369999999999962</c:v>
                </c:pt>
                <c:pt idx="12">
                  <c:v>88.439999999999969</c:v>
                </c:pt>
                <c:pt idx="13">
                  <c:v>94.57999999999997</c:v>
                </c:pt>
                <c:pt idx="14">
                  <c:v>97.689999999999955</c:v>
                </c:pt>
                <c:pt idx="15">
                  <c:v>92.470000000000056</c:v>
                </c:pt>
                <c:pt idx="16">
                  <c:v>95.899999999999991</c:v>
                </c:pt>
                <c:pt idx="17">
                  <c:v>102.89000000000007</c:v>
                </c:pt>
                <c:pt idx="18">
                  <c:v>92.239999999999981</c:v>
                </c:pt>
                <c:pt idx="19">
                  <c:v>91.489999999999966</c:v>
                </c:pt>
              </c:numCache>
            </c:numRef>
          </c:val>
          <c:extLst>
            <c:ext xmlns:c16="http://schemas.microsoft.com/office/drawing/2014/chart" uri="{C3380CC4-5D6E-409C-BE32-E72D297353CC}">
              <c16:uniqueId val="{00000000-920B-43EC-89CD-4FF5D16CAC6F}"/>
            </c:ext>
          </c:extLst>
        </c:ser>
        <c:dLbls>
          <c:showLegendKey val="0"/>
          <c:showVal val="0"/>
          <c:showCatName val="0"/>
          <c:showSerName val="0"/>
          <c:showPercent val="0"/>
          <c:showBubbleSize val="0"/>
        </c:dLbls>
        <c:axId val="275645184"/>
        <c:axId val="275639904"/>
      </c:areaChart>
      <c:catAx>
        <c:axId val="27564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39904"/>
        <c:crosses val="autoZero"/>
        <c:auto val="1"/>
        <c:lblAlgn val="ctr"/>
        <c:lblOffset val="100"/>
        <c:noMultiLvlLbl val="0"/>
      </c:catAx>
      <c:valAx>
        <c:axId val="27563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451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Table!industry AI Tool</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Table'!$A$30:$A$40</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 Table'!$B$30:$B$40</c:f>
              <c:numCache>
                <c:formatCode>General</c:formatCode>
                <c:ptCount val="10"/>
                <c:pt idx="0">
                  <c:v>104</c:v>
                </c:pt>
                <c:pt idx="1">
                  <c:v>120</c:v>
                </c:pt>
                <c:pt idx="2">
                  <c:v>103</c:v>
                </c:pt>
                <c:pt idx="3">
                  <c:v>110</c:v>
                </c:pt>
                <c:pt idx="4">
                  <c:v>87</c:v>
                </c:pt>
                <c:pt idx="5">
                  <c:v>98</c:v>
                </c:pt>
                <c:pt idx="6">
                  <c:v>92</c:v>
                </c:pt>
                <c:pt idx="7">
                  <c:v>87</c:v>
                </c:pt>
                <c:pt idx="8">
                  <c:v>93</c:v>
                </c:pt>
                <c:pt idx="9">
                  <c:v>120</c:v>
                </c:pt>
              </c:numCache>
            </c:numRef>
          </c:val>
          <c:smooth val="0"/>
          <c:extLst>
            <c:ext xmlns:c16="http://schemas.microsoft.com/office/drawing/2014/chart" uri="{C3380CC4-5D6E-409C-BE32-E72D297353CC}">
              <c16:uniqueId val="{00000000-C2BA-4A99-8CDB-0C201EB3E7A1}"/>
            </c:ext>
          </c:extLst>
        </c:ser>
        <c:ser>
          <c:idx val="1"/>
          <c:order val="1"/>
          <c:tx>
            <c:strRef>
              <c:f>'PIvot Table'!$C$28:$C$29</c:f>
              <c:strCache>
                <c:ptCount val="1"/>
                <c:pt idx="0">
                  <c:v>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Table'!$A$30:$A$40</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 Table'!$C$30:$C$40</c:f>
              <c:numCache>
                <c:formatCode>General</c:formatCode>
                <c:ptCount val="10"/>
                <c:pt idx="0">
                  <c:v>107</c:v>
                </c:pt>
                <c:pt idx="1">
                  <c:v>101</c:v>
                </c:pt>
                <c:pt idx="2">
                  <c:v>109</c:v>
                </c:pt>
                <c:pt idx="3">
                  <c:v>111</c:v>
                </c:pt>
                <c:pt idx="4">
                  <c:v>97</c:v>
                </c:pt>
                <c:pt idx="5">
                  <c:v>109</c:v>
                </c:pt>
                <c:pt idx="6">
                  <c:v>100</c:v>
                </c:pt>
                <c:pt idx="7">
                  <c:v>105</c:v>
                </c:pt>
                <c:pt idx="8">
                  <c:v>109</c:v>
                </c:pt>
                <c:pt idx="9">
                  <c:v>85</c:v>
                </c:pt>
              </c:numCache>
            </c:numRef>
          </c:val>
          <c:smooth val="0"/>
          <c:extLst>
            <c:ext xmlns:c16="http://schemas.microsoft.com/office/drawing/2014/chart" uri="{C3380CC4-5D6E-409C-BE32-E72D297353CC}">
              <c16:uniqueId val="{00000000-E231-4375-8554-ADD8E47FCD26}"/>
            </c:ext>
          </c:extLst>
        </c:ser>
        <c:ser>
          <c:idx val="2"/>
          <c:order val="2"/>
          <c:tx>
            <c:strRef>
              <c:f>'PIvot Table'!$D$28:$D$29</c:f>
              <c:strCache>
                <c:ptCount val="1"/>
                <c:pt idx="0">
                  <c:v>Moderate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Table'!$A$30:$A$40</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 Table'!$D$30:$D$40</c:f>
              <c:numCache>
                <c:formatCode>General</c:formatCode>
                <c:ptCount val="10"/>
                <c:pt idx="0">
                  <c:v>89</c:v>
                </c:pt>
                <c:pt idx="1">
                  <c:v>114</c:v>
                </c:pt>
                <c:pt idx="2">
                  <c:v>98</c:v>
                </c:pt>
                <c:pt idx="3">
                  <c:v>102</c:v>
                </c:pt>
                <c:pt idx="4">
                  <c:v>89</c:v>
                </c:pt>
                <c:pt idx="5">
                  <c:v>96</c:v>
                </c:pt>
                <c:pt idx="6">
                  <c:v>95</c:v>
                </c:pt>
                <c:pt idx="7">
                  <c:v>93</c:v>
                </c:pt>
                <c:pt idx="8">
                  <c:v>89</c:v>
                </c:pt>
                <c:pt idx="9">
                  <c:v>88</c:v>
                </c:pt>
              </c:numCache>
            </c:numRef>
          </c:val>
          <c:smooth val="0"/>
          <c:extLst>
            <c:ext xmlns:c16="http://schemas.microsoft.com/office/drawing/2014/chart" uri="{C3380CC4-5D6E-409C-BE32-E72D297353CC}">
              <c16:uniqueId val="{00000001-E231-4375-8554-ADD8E47FCD26}"/>
            </c:ext>
          </c:extLst>
        </c:ser>
        <c:dLbls>
          <c:showLegendKey val="0"/>
          <c:showVal val="0"/>
          <c:showCatName val="0"/>
          <c:showSerName val="0"/>
          <c:showPercent val="0"/>
          <c:showBubbleSize val="0"/>
        </c:dLbls>
        <c:marker val="1"/>
        <c:smooth val="0"/>
        <c:axId val="413399280"/>
        <c:axId val="413399760"/>
      </c:lineChart>
      <c:catAx>
        <c:axId val="4133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9760"/>
        <c:crosses val="autoZero"/>
        <c:auto val="1"/>
        <c:lblAlgn val="ctr"/>
        <c:lblOffset val="100"/>
        <c:noMultiLvlLbl val="0"/>
      </c:catAx>
      <c:valAx>
        <c:axId val="41339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Table!job-country</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Table'!$C$182:$C$183</c:f>
              <c:strCache>
                <c:ptCount val="1"/>
                <c:pt idx="0">
                  <c:v>Australia</c:v>
                </c:pt>
              </c:strCache>
            </c:strRef>
          </c:tx>
          <c:spPr>
            <a:solidFill>
              <a:schemeClr val="accent1"/>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Table'!$C$184:$C$204</c:f>
              <c:numCache>
                <c:formatCode>General</c:formatCode>
                <c:ptCount val="20"/>
                <c:pt idx="0">
                  <c:v>10</c:v>
                </c:pt>
                <c:pt idx="1">
                  <c:v>17</c:v>
                </c:pt>
                <c:pt idx="2">
                  <c:v>19</c:v>
                </c:pt>
                <c:pt idx="3">
                  <c:v>15</c:v>
                </c:pt>
                <c:pt idx="4">
                  <c:v>16</c:v>
                </c:pt>
                <c:pt idx="5">
                  <c:v>18</c:v>
                </c:pt>
                <c:pt idx="6">
                  <c:v>13</c:v>
                </c:pt>
                <c:pt idx="7">
                  <c:v>18</c:v>
                </c:pt>
                <c:pt idx="8">
                  <c:v>16</c:v>
                </c:pt>
                <c:pt idx="9">
                  <c:v>10</c:v>
                </c:pt>
                <c:pt idx="10">
                  <c:v>16</c:v>
                </c:pt>
                <c:pt idx="11">
                  <c:v>13</c:v>
                </c:pt>
                <c:pt idx="12">
                  <c:v>11</c:v>
                </c:pt>
                <c:pt idx="13">
                  <c:v>16</c:v>
                </c:pt>
                <c:pt idx="14">
                  <c:v>23</c:v>
                </c:pt>
                <c:pt idx="15">
                  <c:v>17</c:v>
                </c:pt>
                <c:pt idx="16">
                  <c:v>21</c:v>
                </c:pt>
                <c:pt idx="17">
                  <c:v>16</c:v>
                </c:pt>
                <c:pt idx="18">
                  <c:v>12</c:v>
                </c:pt>
                <c:pt idx="19">
                  <c:v>15</c:v>
                </c:pt>
              </c:numCache>
            </c:numRef>
          </c:val>
          <c:extLst>
            <c:ext xmlns:c16="http://schemas.microsoft.com/office/drawing/2014/chart" uri="{C3380CC4-5D6E-409C-BE32-E72D297353CC}">
              <c16:uniqueId val="{00000000-488C-47A9-8630-FEC59D1A0D0A}"/>
            </c:ext>
          </c:extLst>
        </c:ser>
        <c:ser>
          <c:idx val="1"/>
          <c:order val="1"/>
          <c:tx>
            <c:strRef>
              <c:f>'PIvot Table'!$D$182:$D$183</c:f>
              <c:strCache>
                <c:ptCount val="1"/>
                <c:pt idx="0">
                  <c:v>Canada</c:v>
                </c:pt>
              </c:strCache>
            </c:strRef>
          </c:tx>
          <c:spPr>
            <a:solidFill>
              <a:schemeClr val="accent2"/>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Table'!$D$184:$D$204</c:f>
              <c:numCache>
                <c:formatCode>General</c:formatCode>
                <c:ptCount val="20"/>
                <c:pt idx="0">
                  <c:v>9</c:v>
                </c:pt>
                <c:pt idx="1">
                  <c:v>10</c:v>
                </c:pt>
                <c:pt idx="2">
                  <c:v>10</c:v>
                </c:pt>
                <c:pt idx="3">
                  <c:v>11</c:v>
                </c:pt>
                <c:pt idx="4">
                  <c:v>17</c:v>
                </c:pt>
                <c:pt idx="5">
                  <c:v>16</c:v>
                </c:pt>
                <c:pt idx="6">
                  <c:v>11</c:v>
                </c:pt>
                <c:pt idx="7">
                  <c:v>9</c:v>
                </c:pt>
                <c:pt idx="8">
                  <c:v>11</c:v>
                </c:pt>
                <c:pt idx="9">
                  <c:v>15</c:v>
                </c:pt>
                <c:pt idx="10">
                  <c:v>15</c:v>
                </c:pt>
                <c:pt idx="11">
                  <c:v>16</c:v>
                </c:pt>
                <c:pt idx="12">
                  <c:v>21</c:v>
                </c:pt>
                <c:pt idx="13">
                  <c:v>24</c:v>
                </c:pt>
                <c:pt idx="14">
                  <c:v>21</c:v>
                </c:pt>
                <c:pt idx="15">
                  <c:v>10</c:v>
                </c:pt>
                <c:pt idx="16">
                  <c:v>11</c:v>
                </c:pt>
                <c:pt idx="17">
                  <c:v>12</c:v>
                </c:pt>
                <c:pt idx="18">
                  <c:v>20</c:v>
                </c:pt>
                <c:pt idx="19">
                  <c:v>16</c:v>
                </c:pt>
              </c:numCache>
            </c:numRef>
          </c:val>
          <c:extLst>
            <c:ext xmlns:c16="http://schemas.microsoft.com/office/drawing/2014/chart" uri="{C3380CC4-5D6E-409C-BE32-E72D297353CC}">
              <c16:uniqueId val="{00000000-F939-41F8-AD23-E1091937D9CD}"/>
            </c:ext>
          </c:extLst>
        </c:ser>
        <c:ser>
          <c:idx val="2"/>
          <c:order val="2"/>
          <c:tx>
            <c:strRef>
              <c:f>'PIvot Table'!$E$182:$E$183</c:f>
              <c:strCache>
                <c:ptCount val="1"/>
                <c:pt idx="0">
                  <c:v>Germany</c:v>
                </c:pt>
              </c:strCache>
            </c:strRef>
          </c:tx>
          <c:spPr>
            <a:solidFill>
              <a:schemeClr val="accent3"/>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Table'!$E$184:$E$204</c:f>
              <c:numCache>
                <c:formatCode>General</c:formatCode>
                <c:ptCount val="20"/>
                <c:pt idx="0">
                  <c:v>18</c:v>
                </c:pt>
                <c:pt idx="1">
                  <c:v>18</c:v>
                </c:pt>
                <c:pt idx="2">
                  <c:v>14</c:v>
                </c:pt>
                <c:pt idx="3">
                  <c:v>19</c:v>
                </c:pt>
                <c:pt idx="4">
                  <c:v>14</c:v>
                </c:pt>
                <c:pt idx="5">
                  <c:v>17</c:v>
                </c:pt>
                <c:pt idx="6">
                  <c:v>13</c:v>
                </c:pt>
                <c:pt idx="7">
                  <c:v>18</c:v>
                </c:pt>
                <c:pt idx="8">
                  <c:v>12</c:v>
                </c:pt>
                <c:pt idx="9">
                  <c:v>16</c:v>
                </c:pt>
                <c:pt idx="10">
                  <c:v>11</c:v>
                </c:pt>
                <c:pt idx="11">
                  <c:v>15</c:v>
                </c:pt>
                <c:pt idx="12">
                  <c:v>13</c:v>
                </c:pt>
                <c:pt idx="13">
                  <c:v>19</c:v>
                </c:pt>
                <c:pt idx="14">
                  <c:v>22</c:v>
                </c:pt>
                <c:pt idx="15">
                  <c:v>23</c:v>
                </c:pt>
                <c:pt idx="16">
                  <c:v>9</c:v>
                </c:pt>
                <c:pt idx="17">
                  <c:v>18</c:v>
                </c:pt>
                <c:pt idx="18">
                  <c:v>11</c:v>
                </c:pt>
                <c:pt idx="19">
                  <c:v>18</c:v>
                </c:pt>
              </c:numCache>
            </c:numRef>
          </c:val>
          <c:extLst>
            <c:ext xmlns:c16="http://schemas.microsoft.com/office/drawing/2014/chart" uri="{C3380CC4-5D6E-409C-BE32-E72D297353CC}">
              <c16:uniqueId val="{00000001-F939-41F8-AD23-E1091937D9CD}"/>
            </c:ext>
          </c:extLst>
        </c:ser>
        <c:ser>
          <c:idx val="3"/>
          <c:order val="3"/>
          <c:tx>
            <c:strRef>
              <c:f>'PIvot Table'!$F$182:$F$183</c:f>
              <c:strCache>
                <c:ptCount val="1"/>
                <c:pt idx="0">
                  <c:v>India</c:v>
                </c:pt>
              </c:strCache>
            </c:strRef>
          </c:tx>
          <c:spPr>
            <a:solidFill>
              <a:schemeClr val="accent4"/>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Table'!$F$184:$F$204</c:f>
              <c:numCache>
                <c:formatCode>General</c:formatCode>
                <c:ptCount val="20"/>
                <c:pt idx="0">
                  <c:v>10</c:v>
                </c:pt>
                <c:pt idx="1">
                  <c:v>13</c:v>
                </c:pt>
                <c:pt idx="2">
                  <c:v>16</c:v>
                </c:pt>
                <c:pt idx="3">
                  <c:v>7</c:v>
                </c:pt>
                <c:pt idx="4">
                  <c:v>20</c:v>
                </c:pt>
                <c:pt idx="5">
                  <c:v>13</c:v>
                </c:pt>
                <c:pt idx="6">
                  <c:v>15</c:v>
                </c:pt>
                <c:pt idx="7">
                  <c:v>17</c:v>
                </c:pt>
                <c:pt idx="8">
                  <c:v>16</c:v>
                </c:pt>
                <c:pt idx="9">
                  <c:v>14</c:v>
                </c:pt>
                <c:pt idx="10">
                  <c:v>19</c:v>
                </c:pt>
                <c:pt idx="11">
                  <c:v>12</c:v>
                </c:pt>
                <c:pt idx="12">
                  <c:v>13</c:v>
                </c:pt>
                <c:pt idx="13">
                  <c:v>13</c:v>
                </c:pt>
                <c:pt idx="14">
                  <c:v>14</c:v>
                </c:pt>
                <c:pt idx="15">
                  <c:v>10</c:v>
                </c:pt>
                <c:pt idx="16">
                  <c:v>14</c:v>
                </c:pt>
                <c:pt idx="17">
                  <c:v>14</c:v>
                </c:pt>
                <c:pt idx="18">
                  <c:v>11</c:v>
                </c:pt>
                <c:pt idx="19">
                  <c:v>18</c:v>
                </c:pt>
              </c:numCache>
            </c:numRef>
          </c:val>
          <c:extLst>
            <c:ext xmlns:c16="http://schemas.microsoft.com/office/drawing/2014/chart" uri="{C3380CC4-5D6E-409C-BE32-E72D297353CC}">
              <c16:uniqueId val="{00000002-F939-41F8-AD23-E1091937D9CD}"/>
            </c:ext>
          </c:extLst>
        </c:ser>
        <c:ser>
          <c:idx val="4"/>
          <c:order val="4"/>
          <c:tx>
            <c:strRef>
              <c:f>'PIvot Table'!$G$182:$G$183</c:f>
              <c:strCache>
                <c:ptCount val="1"/>
                <c:pt idx="0">
                  <c:v>Japan</c:v>
                </c:pt>
              </c:strCache>
            </c:strRef>
          </c:tx>
          <c:spPr>
            <a:solidFill>
              <a:schemeClr val="accent5"/>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Table'!$G$184:$G$204</c:f>
              <c:numCache>
                <c:formatCode>General</c:formatCode>
                <c:ptCount val="20"/>
                <c:pt idx="0">
                  <c:v>13</c:v>
                </c:pt>
                <c:pt idx="1">
                  <c:v>22</c:v>
                </c:pt>
                <c:pt idx="2">
                  <c:v>11</c:v>
                </c:pt>
                <c:pt idx="3">
                  <c:v>15</c:v>
                </c:pt>
                <c:pt idx="4">
                  <c:v>13</c:v>
                </c:pt>
                <c:pt idx="5">
                  <c:v>14</c:v>
                </c:pt>
                <c:pt idx="6">
                  <c:v>15</c:v>
                </c:pt>
                <c:pt idx="7">
                  <c:v>19</c:v>
                </c:pt>
                <c:pt idx="8">
                  <c:v>11</c:v>
                </c:pt>
                <c:pt idx="9">
                  <c:v>16</c:v>
                </c:pt>
                <c:pt idx="10">
                  <c:v>18</c:v>
                </c:pt>
                <c:pt idx="11">
                  <c:v>23</c:v>
                </c:pt>
                <c:pt idx="12">
                  <c:v>9</c:v>
                </c:pt>
                <c:pt idx="13">
                  <c:v>8</c:v>
                </c:pt>
                <c:pt idx="14">
                  <c:v>10</c:v>
                </c:pt>
                <c:pt idx="15">
                  <c:v>13</c:v>
                </c:pt>
                <c:pt idx="16">
                  <c:v>22</c:v>
                </c:pt>
                <c:pt idx="17">
                  <c:v>18</c:v>
                </c:pt>
                <c:pt idx="18">
                  <c:v>13</c:v>
                </c:pt>
                <c:pt idx="19">
                  <c:v>16</c:v>
                </c:pt>
              </c:numCache>
            </c:numRef>
          </c:val>
          <c:extLst>
            <c:ext xmlns:c16="http://schemas.microsoft.com/office/drawing/2014/chart" uri="{C3380CC4-5D6E-409C-BE32-E72D297353CC}">
              <c16:uniqueId val="{00000003-F939-41F8-AD23-E1091937D9CD}"/>
            </c:ext>
          </c:extLst>
        </c:ser>
        <c:ser>
          <c:idx val="5"/>
          <c:order val="5"/>
          <c:tx>
            <c:strRef>
              <c:f>'PIvot Table'!$H$182:$H$183</c:f>
              <c:strCache>
                <c:ptCount val="1"/>
                <c:pt idx="0">
                  <c:v>Pakistan</c:v>
                </c:pt>
              </c:strCache>
            </c:strRef>
          </c:tx>
          <c:spPr>
            <a:solidFill>
              <a:schemeClr val="accent6"/>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Table'!$H$184:$H$204</c:f>
              <c:numCache>
                <c:formatCode>General</c:formatCode>
                <c:ptCount val="20"/>
                <c:pt idx="0">
                  <c:v>22</c:v>
                </c:pt>
                <c:pt idx="1">
                  <c:v>8</c:v>
                </c:pt>
                <c:pt idx="2">
                  <c:v>19</c:v>
                </c:pt>
                <c:pt idx="3">
                  <c:v>7</c:v>
                </c:pt>
                <c:pt idx="4">
                  <c:v>18</c:v>
                </c:pt>
                <c:pt idx="5">
                  <c:v>17</c:v>
                </c:pt>
                <c:pt idx="6">
                  <c:v>24</c:v>
                </c:pt>
                <c:pt idx="7">
                  <c:v>17</c:v>
                </c:pt>
                <c:pt idx="8">
                  <c:v>11</c:v>
                </c:pt>
                <c:pt idx="9">
                  <c:v>9</c:v>
                </c:pt>
                <c:pt idx="10">
                  <c:v>20</c:v>
                </c:pt>
                <c:pt idx="11">
                  <c:v>12</c:v>
                </c:pt>
                <c:pt idx="12">
                  <c:v>15</c:v>
                </c:pt>
                <c:pt idx="13">
                  <c:v>22</c:v>
                </c:pt>
                <c:pt idx="14">
                  <c:v>10</c:v>
                </c:pt>
                <c:pt idx="15">
                  <c:v>15</c:v>
                </c:pt>
                <c:pt idx="16">
                  <c:v>16</c:v>
                </c:pt>
                <c:pt idx="17">
                  <c:v>15</c:v>
                </c:pt>
                <c:pt idx="18">
                  <c:v>10</c:v>
                </c:pt>
                <c:pt idx="19">
                  <c:v>13</c:v>
                </c:pt>
              </c:numCache>
            </c:numRef>
          </c:val>
          <c:extLst>
            <c:ext xmlns:c16="http://schemas.microsoft.com/office/drawing/2014/chart" uri="{C3380CC4-5D6E-409C-BE32-E72D297353CC}">
              <c16:uniqueId val="{00000004-F939-41F8-AD23-E1091937D9CD}"/>
            </c:ext>
          </c:extLst>
        </c:ser>
        <c:ser>
          <c:idx val="6"/>
          <c:order val="6"/>
          <c:tx>
            <c:strRef>
              <c:f>'PIvot Table'!$I$182:$I$183</c:f>
              <c:strCache>
                <c:ptCount val="1"/>
                <c:pt idx="0">
                  <c:v>Singapore</c:v>
                </c:pt>
              </c:strCache>
            </c:strRef>
          </c:tx>
          <c:spPr>
            <a:solidFill>
              <a:schemeClr val="accent1">
                <a:lumMod val="6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Table'!$I$184:$I$204</c:f>
              <c:numCache>
                <c:formatCode>General</c:formatCode>
                <c:ptCount val="20"/>
                <c:pt idx="0">
                  <c:v>8</c:v>
                </c:pt>
                <c:pt idx="1">
                  <c:v>11</c:v>
                </c:pt>
                <c:pt idx="2">
                  <c:v>13</c:v>
                </c:pt>
                <c:pt idx="3">
                  <c:v>13</c:v>
                </c:pt>
                <c:pt idx="4">
                  <c:v>14</c:v>
                </c:pt>
                <c:pt idx="5">
                  <c:v>14</c:v>
                </c:pt>
                <c:pt idx="6">
                  <c:v>13</c:v>
                </c:pt>
                <c:pt idx="7">
                  <c:v>9</c:v>
                </c:pt>
                <c:pt idx="8">
                  <c:v>12</c:v>
                </c:pt>
                <c:pt idx="9">
                  <c:v>16</c:v>
                </c:pt>
                <c:pt idx="10">
                  <c:v>11</c:v>
                </c:pt>
                <c:pt idx="11">
                  <c:v>11</c:v>
                </c:pt>
                <c:pt idx="12">
                  <c:v>15</c:v>
                </c:pt>
                <c:pt idx="13">
                  <c:v>15</c:v>
                </c:pt>
                <c:pt idx="14">
                  <c:v>11</c:v>
                </c:pt>
                <c:pt idx="15">
                  <c:v>14</c:v>
                </c:pt>
                <c:pt idx="16">
                  <c:v>16</c:v>
                </c:pt>
                <c:pt idx="17">
                  <c:v>18</c:v>
                </c:pt>
                <c:pt idx="18">
                  <c:v>20</c:v>
                </c:pt>
                <c:pt idx="19">
                  <c:v>13</c:v>
                </c:pt>
              </c:numCache>
            </c:numRef>
          </c:val>
          <c:extLst>
            <c:ext xmlns:c16="http://schemas.microsoft.com/office/drawing/2014/chart" uri="{C3380CC4-5D6E-409C-BE32-E72D297353CC}">
              <c16:uniqueId val="{00000005-F939-41F8-AD23-E1091937D9CD}"/>
            </c:ext>
          </c:extLst>
        </c:ser>
        <c:ser>
          <c:idx val="7"/>
          <c:order val="7"/>
          <c:tx>
            <c:strRef>
              <c:f>'PIvot Table'!$J$182:$J$183</c:f>
              <c:strCache>
                <c:ptCount val="1"/>
                <c:pt idx="0">
                  <c:v>UAE</c:v>
                </c:pt>
              </c:strCache>
            </c:strRef>
          </c:tx>
          <c:spPr>
            <a:solidFill>
              <a:schemeClr val="accent2">
                <a:lumMod val="6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Table'!$J$184:$J$204</c:f>
              <c:numCache>
                <c:formatCode>General</c:formatCode>
                <c:ptCount val="20"/>
                <c:pt idx="0">
                  <c:v>12</c:v>
                </c:pt>
                <c:pt idx="1">
                  <c:v>17</c:v>
                </c:pt>
                <c:pt idx="2">
                  <c:v>14</c:v>
                </c:pt>
                <c:pt idx="3">
                  <c:v>18</c:v>
                </c:pt>
                <c:pt idx="4">
                  <c:v>12</c:v>
                </c:pt>
                <c:pt idx="5">
                  <c:v>20</c:v>
                </c:pt>
                <c:pt idx="6">
                  <c:v>18</c:v>
                </c:pt>
                <c:pt idx="7">
                  <c:v>16</c:v>
                </c:pt>
                <c:pt idx="8">
                  <c:v>23</c:v>
                </c:pt>
                <c:pt idx="9">
                  <c:v>20</c:v>
                </c:pt>
                <c:pt idx="10">
                  <c:v>13</c:v>
                </c:pt>
                <c:pt idx="11">
                  <c:v>24</c:v>
                </c:pt>
                <c:pt idx="12">
                  <c:v>11</c:v>
                </c:pt>
                <c:pt idx="13">
                  <c:v>13</c:v>
                </c:pt>
                <c:pt idx="14">
                  <c:v>15</c:v>
                </c:pt>
                <c:pt idx="15">
                  <c:v>18</c:v>
                </c:pt>
                <c:pt idx="16">
                  <c:v>19</c:v>
                </c:pt>
                <c:pt idx="17">
                  <c:v>19</c:v>
                </c:pt>
                <c:pt idx="18">
                  <c:v>25</c:v>
                </c:pt>
                <c:pt idx="19">
                  <c:v>20</c:v>
                </c:pt>
              </c:numCache>
            </c:numRef>
          </c:val>
          <c:extLst>
            <c:ext xmlns:c16="http://schemas.microsoft.com/office/drawing/2014/chart" uri="{C3380CC4-5D6E-409C-BE32-E72D297353CC}">
              <c16:uniqueId val="{00000006-F939-41F8-AD23-E1091937D9CD}"/>
            </c:ext>
          </c:extLst>
        </c:ser>
        <c:ser>
          <c:idx val="8"/>
          <c:order val="8"/>
          <c:tx>
            <c:strRef>
              <c:f>'PIvot Table'!$K$182:$K$183</c:f>
              <c:strCache>
                <c:ptCount val="1"/>
                <c:pt idx="0">
                  <c:v>UK</c:v>
                </c:pt>
              </c:strCache>
            </c:strRef>
          </c:tx>
          <c:spPr>
            <a:solidFill>
              <a:schemeClr val="accent3">
                <a:lumMod val="6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Table'!$K$184:$K$204</c:f>
              <c:numCache>
                <c:formatCode>General</c:formatCode>
                <c:ptCount val="20"/>
                <c:pt idx="0">
                  <c:v>10</c:v>
                </c:pt>
                <c:pt idx="1">
                  <c:v>18</c:v>
                </c:pt>
                <c:pt idx="2">
                  <c:v>10</c:v>
                </c:pt>
                <c:pt idx="3">
                  <c:v>12</c:v>
                </c:pt>
                <c:pt idx="4">
                  <c:v>17</c:v>
                </c:pt>
                <c:pt idx="5">
                  <c:v>9</c:v>
                </c:pt>
                <c:pt idx="6">
                  <c:v>14</c:v>
                </c:pt>
                <c:pt idx="7">
                  <c:v>16</c:v>
                </c:pt>
                <c:pt idx="8">
                  <c:v>12</c:v>
                </c:pt>
                <c:pt idx="9">
                  <c:v>16</c:v>
                </c:pt>
                <c:pt idx="10">
                  <c:v>13</c:v>
                </c:pt>
                <c:pt idx="11">
                  <c:v>22</c:v>
                </c:pt>
                <c:pt idx="12">
                  <c:v>17</c:v>
                </c:pt>
                <c:pt idx="13">
                  <c:v>16</c:v>
                </c:pt>
                <c:pt idx="14">
                  <c:v>16</c:v>
                </c:pt>
                <c:pt idx="15">
                  <c:v>17</c:v>
                </c:pt>
                <c:pt idx="16">
                  <c:v>15</c:v>
                </c:pt>
                <c:pt idx="17">
                  <c:v>18</c:v>
                </c:pt>
                <c:pt idx="18">
                  <c:v>11</c:v>
                </c:pt>
                <c:pt idx="19">
                  <c:v>19</c:v>
                </c:pt>
              </c:numCache>
            </c:numRef>
          </c:val>
          <c:extLst>
            <c:ext xmlns:c16="http://schemas.microsoft.com/office/drawing/2014/chart" uri="{C3380CC4-5D6E-409C-BE32-E72D297353CC}">
              <c16:uniqueId val="{00000007-F939-41F8-AD23-E1091937D9CD}"/>
            </c:ext>
          </c:extLst>
        </c:ser>
        <c:ser>
          <c:idx val="9"/>
          <c:order val="9"/>
          <c:tx>
            <c:strRef>
              <c:f>'PIvot Table'!$L$182:$L$183</c:f>
              <c:strCache>
                <c:ptCount val="1"/>
                <c:pt idx="0">
                  <c:v>USA</c:v>
                </c:pt>
              </c:strCache>
            </c:strRef>
          </c:tx>
          <c:spPr>
            <a:solidFill>
              <a:schemeClr val="accent4">
                <a:lumMod val="6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Table'!$L$184:$L$204</c:f>
              <c:numCache>
                <c:formatCode>General</c:formatCode>
                <c:ptCount val="20"/>
                <c:pt idx="0">
                  <c:v>12</c:v>
                </c:pt>
                <c:pt idx="1">
                  <c:v>21</c:v>
                </c:pt>
                <c:pt idx="2">
                  <c:v>15</c:v>
                </c:pt>
                <c:pt idx="3">
                  <c:v>12</c:v>
                </c:pt>
                <c:pt idx="4">
                  <c:v>21</c:v>
                </c:pt>
                <c:pt idx="5">
                  <c:v>13</c:v>
                </c:pt>
                <c:pt idx="6">
                  <c:v>16</c:v>
                </c:pt>
                <c:pt idx="7">
                  <c:v>13</c:v>
                </c:pt>
                <c:pt idx="8">
                  <c:v>10</c:v>
                </c:pt>
                <c:pt idx="9">
                  <c:v>11</c:v>
                </c:pt>
                <c:pt idx="10">
                  <c:v>11</c:v>
                </c:pt>
                <c:pt idx="11">
                  <c:v>15</c:v>
                </c:pt>
                <c:pt idx="12">
                  <c:v>19</c:v>
                </c:pt>
                <c:pt idx="13">
                  <c:v>11</c:v>
                </c:pt>
                <c:pt idx="14">
                  <c:v>15</c:v>
                </c:pt>
                <c:pt idx="15">
                  <c:v>15</c:v>
                </c:pt>
                <c:pt idx="16">
                  <c:v>19</c:v>
                </c:pt>
                <c:pt idx="17">
                  <c:v>16</c:v>
                </c:pt>
                <c:pt idx="18">
                  <c:v>20</c:v>
                </c:pt>
                <c:pt idx="19">
                  <c:v>10</c:v>
                </c:pt>
              </c:numCache>
            </c:numRef>
          </c:val>
          <c:extLst>
            <c:ext xmlns:c16="http://schemas.microsoft.com/office/drawing/2014/chart" uri="{C3380CC4-5D6E-409C-BE32-E72D297353CC}">
              <c16:uniqueId val="{00000008-F939-41F8-AD23-E1091937D9CD}"/>
            </c:ext>
          </c:extLst>
        </c:ser>
        <c:dLbls>
          <c:showLegendKey val="0"/>
          <c:showVal val="0"/>
          <c:showCatName val="0"/>
          <c:showSerName val="0"/>
          <c:showPercent val="0"/>
          <c:showBubbleSize val="0"/>
        </c:dLbls>
        <c:gapWidth val="150"/>
        <c:overlap val="100"/>
        <c:axId val="558935936"/>
        <c:axId val="558926816"/>
      </c:barChart>
      <c:catAx>
        <c:axId val="55893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926816"/>
        <c:crosses val="autoZero"/>
        <c:auto val="1"/>
        <c:lblAlgn val="ctr"/>
        <c:lblOffset val="100"/>
        <c:noMultiLvlLbl val="0"/>
      </c:catAx>
      <c:valAx>
        <c:axId val="55892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93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Table!Job-job security</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
          <c:y val="0.10890053639573491"/>
          <c:w val="0.97448728948361329"/>
          <c:h val="0.78219892720853013"/>
        </c:manualLayout>
      </c:layout>
      <c:barChart>
        <c:barDir val="col"/>
        <c:grouping val="clustered"/>
        <c:varyColors val="0"/>
        <c:ser>
          <c:idx val="0"/>
          <c:order val="0"/>
          <c:tx>
            <c:strRef>
              <c:f>'PIvot Table'!$C$61:$C$62</c:f>
              <c:strCache>
                <c:ptCount val="1"/>
                <c:pt idx="0">
                  <c:v>Very High</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9CF-4EEB-984C-66C67C97C414}"/>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9CF-4EEB-984C-66C67C97C414}"/>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9CF-4EEB-984C-66C67C97C414}"/>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89CF-4EEB-984C-66C67C97C414}"/>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89CF-4EEB-984C-66C67C97C414}"/>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89CF-4EEB-984C-66C67C97C414}"/>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89CF-4EEB-984C-66C67C97C414}"/>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89CF-4EEB-984C-66C67C97C414}"/>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89CF-4EEB-984C-66C67C97C414}"/>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89CF-4EEB-984C-66C67C97C414}"/>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89CF-4EEB-984C-66C67C97C414}"/>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89CF-4EEB-984C-66C67C97C414}"/>
              </c:ext>
            </c:extLst>
          </c:dPt>
          <c:dPt>
            <c:idx val="1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9-89CF-4EEB-984C-66C67C97C414}"/>
              </c:ext>
            </c:extLst>
          </c:dPt>
          <c:dPt>
            <c:idx val="1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B-89CF-4EEB-984C-66C67C97C414}"/>
              </c:ext>
            </c:extLst>
          </c:dPt>
          <c:dPt>
            <c:idx val="1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D-89CF-4EEB-984C-66C67C97C414}"/>
              </c:ext>
            </c:extLst>
          </c:dPt>
          <c:dPt>
            <c:idx val="1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F-89CF-4EEB-984C-66C67C97C414}"/>
              </c:ext>
            </c:extLst>
          </c:dPt>
          <c:dPt>
            <c:idx val="1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21-89CF-4EEB-984C-66C67C97C414}"/>
              </c:ext>
            </c:extLst>
          </c:dPt>
          <c:dPt>
            <c:idx val="1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23-89CF-4EEB-984C-66C67C97C414}"/>
              </c:ext>
            </c:extLst>
          </c:dPt>
          <c:dPt>
            <c:idx val="1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25-89CF-4EEB-984C-66C67C97C414}"/>
              </c:ext>
            </c:extLst>
          </c:dPt>
          <c:dPt>
            <c:idx val="1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27-89CF-4EEB-984C-66C67C97C414}"/>
              </c:ext>
            </c:extLst>
          </c:dPt>
          <c:cat>
            <c:strRef>
              <c:f>'PIvot Table'!$B$63:$B$83</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Table'!$C$63:$C$83</c:f>
              <c:numCache>
                <c:formatCode>General</c:formatCode>
                <c:ptCount val="20"/>
                <c:pt idx="0">
                  <c:v>21</c:v>
                </c:pt>
                <c:pt idx="1">
                  <c:v>28</c:v>
                </c:pt>
                <c:pt idx="2">
                  <c:v>26</c:v>
                </c:pt>
                <c:pt idx="3">
                  <c:v>11</c:v>
                </c:pt>
                <c:pt idx="4">
                  <c:v>27</c:v>
                </c:pt>
                <c:pt idx="5">
                  <c:v>17</c:v>
                </c:pt>
                <c:pt idx="6">
                  <c:v>28</c:v>
                </c:pt>
                <c:pt idx="7">
                  <c:v>12</c:v>
                </c:pt>
                <c:pt idx="8">
                  <c:v>18</c:v>
                </c:pt>
                <c:pt idx="9">
                  <c:v>20</c:v>
                </c:pt>
                <c:pt idx="10">
                  <c:v>23</c:v>
                </c:pt>
                <c:pt idx="11">
                  <c:v>19</c:v>
                </c:pt>
                <c:pt idx="12">
                  <c:v>23</c:v>
                </c:pt>
                <c:pt idx="13">
                  <c:v>23</c:v>
                </c:pt>
                <c:pt idx="14">
                  <c:v>24</c:v>
                </c:pt>
                <c:pt idx="15">
                  <c:v>21</c:v>
                </c:pt>
                <c:pt idx="16">
                  <c:v>26</c:v>
                </c:pt>
                <c:pt idx="17">
                  <c:v>28</c:v>
                </c:pt>
                <c:pt idx="18">
                  <c:v>17</c:v>
                </c:pt>
                <c:pt idx="19">
                  <c:v>25</c:v>
                </c:pt>
              </c:numCache>
            </c:numRef>
          </c:val>
          <c:extLst>
            <c:ext xmlns:c16="http://schemas.microsoft.com/office/drawing/2014/chart" uri="{C3380CC4-5D6E-409C-BE32-E72D297353CC}">
              <c16:uniqueId val="{00000000-3AEA-492D-A03B-EAA833AA4273}"/>
            </c:ext>
          </c:extLst>
        </c:ser>
        <c:dLbls>
          <c:showLegendKey val="0"/>
          <c:showVal val="0"/>
          <c:showCatName val="0"/>
          <c:showSerName val="0"/>
          <c:showPercent val="0"/>
          <c:showBubbleSize val="0"/>
        </c:dLbls>
        <c:gapWidth val="100"/>
        <c:axId val="836951679"/>
        <c:axId val="836951199"/>
      </c:barChart>
      <c:catAx>
        <c:axId val="836951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51199"/>
        <c:crosses val="autoZero"/>
        <c:auto val="1"/>
        <c:lblAlgn val="ctr"/>
        <c:lblOffset val="100"/>
        <c:noMultiLvlLbl val="0"/>
      </c:catAx>
      <c:valAx>
        <c:axId val="8369511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5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Table!company__growth</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Table'!$C$87</c:f>
              <c:strCache>
                <c:ptCount val="1"/>
                <c:pt idx="0">
                  <c:v>Total</c:v>
                </c:pt>
              </c:strCache>
            </c:strRef>
          </c:tx>
          <c:spPr>
            <a:solidFill>
              <a:schemeClr val="accent1"/>
            </a:solidFill>
            <a:ln>
              <a:noFill/>
            </a:ln>
            <a:effectLst/>
          </c:spPr>
          <c:invertIfNegative val="0"/>
          <c:cat>
            <c:strRef>
              <c:f>'PIvot Table'!$B$88:$B$91</c:f>
              <c:strCache>
                <c:ptCount val="3"/>
                <c:pt idx="0">
                  <c:v>Enterprise</c:v>
                </c:pt>
                <c:pt idx="1">
                  <c:v>Medium</c:v>
                </c:pt>
                <c:pt idx="2">
                  <c:v>Startup</c:v>
                </c:pt>
              </c:strCache>
            </c:strRef>
          </c:cat>
          <c:val>
            <c:numRef>
              <c:f>'PIvot Table'!$C$88:$C$91</c:f>
              <c:numCache>
                <c:formatCode>General</c:formatCode>
                <c:ptCount val="3"/>
                <c:pt idx="0">
                  <c:v>17.54141414141414</c:v>
                </c:pt>
                <c:pt idx="1">
                  <c:v>17.217560975609757</c:v>
                </c:pt>
                <c:pt idx="2">
                  <c:v>16.955329949238578</c:v>
                </c:pt>
              </c:numCache>
            </c:numRef>
          </c:val>
          <c:extLst>
            <c:ext xmlns:c16="http://schemas.microsoft.com/office/drawing/2014/chart" uri="{C3380CC4-5D6E-409C-BE32-E72D297353CC}">
              <c16:uniqueId val="{00000000-6F0B-4CFE-999B-AD6A21A2E6EB}"/>
            </c:ext>
          </c:extLst>
        </c:ser>
        <c:dLbls>
          <c:showLegendKey val="0"/>
          <c:showVal val="0"/>
          <c:showCatName val="0"/>
          <c:showSerName val="0"/>
          <c:showPercent val="0"/>
          <c:showBubbleSize val="0"/>
        </c:dLbls>
        <c:gapWidth val="182"/>
        <c:axId val="730564480"/>
        <c:axId val="730551040"/>
      </c:barChart>
      <c:catAx>
        <c:axId val="73056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51040"/>
        <c:crosses val="autoZero"/>
        <c:auto val="1"/>
        <c:lblAlgn val="ctr"/>
        <c:lblOffset val="100"/>
        <c:noMultiLvlLbl val="0"/>
      </c:catAx>
      <c:valAx>
        <c:axId val="73055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6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 and job.xlsx]PIvot Table!job-job demand</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c:f>
              <c:strCache>
                <c:ptCount val="1"/>
                <c:pt idx="0">
                  <c:v>Total</c:v>
                </c:pt>
              </c:strCache>
            </c:strRef>
          </c:tx>
          <c:spPr>
            <a:solidFill>
              <a:schemeClr val="tx2">
                <a:lumMod val="75000"/>
              </a:schemeClr>
            </a:solidFill>
            <a:ln>
              <a:noFill/>
            </a:ln>
            <a:effectLst/>
          </c:spPr>
          <c:cat>
            <c:strRef>
              <c:f>'PIvot Table'!$A$4:$A$24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Table'!$B$4:$B$24</c:f>
              <c:numCache>
                <c:formatCode>General</c:formatCode>
                <c:ptCount val="20"/>
                <c:pt idx="0">
                  <c:v>73.429999999999978</c:v>
                </c:pt>
                <c:pt idx="1">
                  <c:v>93.159999999999982</c:v>
                </c:pt>
                <c:pt idx="2">
                  <c:v>87.44</c:v>
                </c:pt>
                <c:pt idx="3">
                  <c:v>73.330000000000013</c:v>
                </c:pt>
                <c:pt idx="4">
                  <c:v>99.899999999999991</c:v>
                </c:pt>
                <c:pt idx="5">
                  <c:v>89.360000000000014</c:v>
                </c:pt>
                <c:pt idx="6">
                  <c:v>94.499999999999986</c:v>
                </c:pt>
                <c:pt idx="7">
                  <c:v>87.369999999999976</c:v>
                </c:pt>
                <c:pt idx="8">
                  <c:v>79.869999999999976</c:v>
                </c:pt>
                <c:pt idx="9">
                  <c:v>85.409999999999982</c:v>
                </c:pt>
                <c:pt idx="10">
                  <c:v>88.77000000000001</c:v>
                </c:pt>
                <c:pt idx="11">
                  <c:v>95.369999999999962</c:v>
                </c:pt>
                <c:pt idx="12">
                  <c:v>88.439999999999969</c:v>
                </c:pt>
                <c:pt idx="13">
                  <c:v>94.57999999999997</c:v>
                </c:pt>
                <c:pt idx="14">
                  <c:v>97.689999999999955</c:v>
                </c:pt>
                <c:pt idx="15">
                  <c:v>92.470000000000056</c:v>
                </c:pt>
                <c:pt idx="16">
                  <c:v>95.899999999999991</c:v>
                </c:pt>
                <c:pt idx="17">
                  <c:v>102.89000000000007</c:v>
                </c:pt>
                <c:pt idx="18">
                  <c:v>92.239999999999981</c:v>
                </c:pt>
                <c:pt idx="19">
                  <c:v>91.489999999999966</c:v>
                </c:pt>
              </c:numCache>
            </c:numRef>
          </c:val>
          <c:extLst>
            <c:ext xmlns:c16="http://schemas.microsoft.com/office/drawing/2014/chart" uri="{C3380CC4-5D6E-409C-BE32-E72D297353CC}">
              <c16:uniqueId val="{00000000-F375-4164-904C-B1F1A7B9045B}"/>
            </c:ext>
          </c:extLst>
        </c:ser>
        <c:dLbls>
          <c:showLegendKey val="0"/>
          <c:showVal val="0"/>
          <c:showCatName val="0"/>
          <c:showSerName val="0"/>
          <c:showPercent val="0"/>
          <c:showBubbleSize val="0"/>
        </c:dLbls>
        <c:axId val="275645184"/>
        <c:axId val="275639904"/>
      </c:areaChart>
      <c:catAx>
        <c:axId val="2756451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crossAx val="275639904"/>
        <c:crosses val="autoZero"/>
        <c:auto val="1"/>
        <c:lblAlgn val="ctr"/>
        <c:lblOffset val="100"/>
        <c:noMultiLvlLbl val="0"/>
      </c:catAx>
      <c:valAx>
        <c:axId val="27563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Arial" panose="020B0604020202020204" pitchFamily="34" charset="0"/>
                <a:ea typeface="+mn-ea"/>
                <a:cs typeface="+mn-cs"/>
              </a:defRPr>
            </a:pPr>
            <a:endParaRPr lang="en-US"/>
          </a:p>
        </c:txPr>
        <c:crossAx val="275645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[AI and job.xlsx]PIvot Table!company__growth</c:name>
    <c:fmtId val="10"/>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Table'!$C$87</c:f>
              <c:strCache>
                <c:ptCount val="1"/>
                <c:pt idx="0">
                  <c:v>Total</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rect">
                <a:fillToRect l="100000" t="100000"/>
              </a:path>
              <a:tileRect r="-100000" b="-100000"/>
            </a:gradFill>
            <a:ln>
              <a:noFill/>
            </a:ln>
            <a:effectLst/>
          </c:spPr>
          <c:invertIfNegative val="0"/>
          <c:cat>
            <c:strRef>
              <c:f>'PIvot Table'!$B$88:$B$91</c:f>
              <c:strCache>
                <c:ptCount val="3"/>
                <c:pt idx="0">
                  <c:v>Enterprise</c:v>
                </c:pt>
                <c:pt idx="1">
                  <c:v>Medium</c:v>
                </c:pt>
                <c:pt idx="2">
                  <c:v>Startup</c:v>
                </c:pt>
              </c:strCache>
            </c:strRef>
          </c:cat>
          <c:val>
            <c:numRef>
              <c:f>'PIvot Table'!$C$88:$C$91</c:f>
              <c:numCache>
                <c:formatCode>General</c:formatCode>
                <c:ptCount val="3"/>
                <c:pt idx="0">
                  <c:v>17.54141414141414</c:v>
                </c:pt>
                <c:pt idx="1">
                  <c:v>17.217560975609757</c:v>
                </c:pt>
                <c:pt idx="2">
                  <c:v>16.955329949238578</c:v>
                </c:pt>
              </c:numCache>
            </c:numRef>
          </c:val>
          <c:extLst>
            <c:ext xmlns:c16="http://schemas.microsoft.com/office/drawing/2014/chart" uri="{C3380CC4-5D6E-409C-BE32-E72D297353CC}">
              <c16:uniqueId val="{00000000-F5AB-4F79-A437-19659D2E9E0C}"/>
            </c:ext>
          </c:extLst>
        </c:ser>
        <c:dLbls>
          <c:showLegendKey val="0"/>
          <c:showVal val="0"/>
          <c:showCatName val="0"/>
          <c:showSerName val="0"/>
          <c:showPercent val="0"/>
          <c:showBubbleSize val="0"/>
        </c:dLbls>
        <c:gapWidth val="182"/>
        <c:axId val="730564480"/>
        <c:axId val="730551040"/>
      </c:barChart>
      <c:catAx>
        <c:axId val="73056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crossAx val="730551040"/>
        <c:crosses val="autoZero"/>
        <c:auto val="1"/>
        <c:lblAlgn val="ctr"/>
        <c:lblOffset val="100"/>
        <c:noMultiLvlLbl val="0"/>
      </c:catAx>
      <c:valAx>
        <c:axId val="73055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crossAx val="73056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Table!industry AI Tool</c:name>
    <c:fmtId val="1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Table'!$A$30:$A$40</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 Table'!$B$30:$B$40</c:f>
              <c:numCache>
                <c:formatCode>General</c:formatCode>
                <c:ptCount val="10"/>
                <c:pt idx="0">
                  <c:v>104</c:v>
                </c:pt>
                <c:pt idx="1">
                  <c:v>120</c:v>
                </c:pt>
                <c:pt idx="2">
                  <c:v>103</c:v>
                </c:pt>
                <c:pt idx="3">
                  <c:v>110</c:v>
                </c:pt>
                <c:pt idx="4">
                  <c:v>87</c:v>
                </c:pt>
                <c:pt idx="5">
                  <c:v>98</c:v>
                </c:pt>
                <c:pt idx="6">
                  <c:v>92</c:v>
                </c:pt>
                <c:pt idx="7">
                  <c:v>87</c:v>
                </c:pt>
                <c:pt idx="8">
                  <c:v>93</c:v>
                </c:pt>
                <c:pt idx="9">
                  <c:v>120</c:v>
                </c:pt>
              </c:numCache>
            </c:numRef>
          </c:val>
          <c:smooth val="0"/>
          <c:extLst>
            <c:ext xmlns:c16="http://schemas.microsoft.com/office/drawing/2014/chart" uri="{C3380CC4-5D6E-409C-BE32-E72D297353CC}">
              <c16:uniqueId val="{00000000-578E-4897-A79A-031599CD784F}"/>
            </c:ext>
          </c:extLst>
        </c:ser>
        <c:ser>
          <c:idx val="1"/>
          <c:order val="1"/>
          <c:tx>
            <c:strRef>
              <c:f>'PIvot Table'!$C$28:$C$29</c:f>
              <c:strCache>
                <c:ptCount val="1"/>
                <c:pt idx="0">
                  <c:v>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Table'!$A$30:$A$40</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 Table'!$C$30:$C$40</c:f>
              <c:numCache>
                <c:formatCode>General</c:formatCode>
                <c:ptCount val="10"/>
                <c:pt idx="0">
                  <c:v>107</c:v>
                </c:pt>
                <c:pt idx="1">
                  <c:v>101</c:v>
                </c:pt>
                <c:pt idx="2">
                  <c:v>109</c:v>
                </c:pt>
                <c:pt idx="3">
                  <c:v>111</c:v>
                </c:pt>
                <c:pt idx="4">
                  <c:v>97</c:v>
                </c:pt>
                <c:pt idx="5">
                  <c:v>109</c:v>
                </c:pt>
                <c:pt idx="6">
                  <c:v>100</c:v>
                </c:pt>
                <c:pt idx="7">
                  <c:v>105</c:v>
                </c:pt>
                <c:pt idx="8">
                  <c:v>109</c:v>
                </c:pt>
                <c:pt idx="9">
                  <c:v>85</c:v>
                </c:pt>
              </c:numCache>
            </c:numRef>
          </c:val>
          <c:smooth val="0"/>
          <c:extLst>
            <c:ext xmlns:c16="http://schemas.microsoft.com/office/drawing/2014/chart" uri="{C3380CC4-5D6E-409C-BE32-E72D297353CC}">
              <c16:uniqueId val="{00000000-1318-40C0-8864-17F18A3FE4E9}"/>
            </c:ext>
          </c:extLst>
        </c:ser>
        <c:ser>
          <c:idx val="2"/>
          <c:order val="2"/>
          <c:tx>
            <c:strRef>
              <c:f>'PIvot Table'!$D$28:$D$29</c:f>
              <c:strCache>
                <c:ptCount val="1"/>
                <c:pt idx="0">
                  <c:v>Moderate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Table'!$A$30:$A$40</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 Table'!$D$30:$D$40</c:f>
              <c:numCache>
                <c:formatCode>General</c:formatCode>
                <c:ptCount val="10"/>
                <c:pt idx="0">
                  <c:v>89</c:v>
                </c:pt>
                <c:pt idx="1">
                  <c:v>114</c:v>
                </c:pt>
                <c:pt idx="2">
                  <c:v>98</c:v>
                </c:pt>
                <c:pt idx="3">
                  <c:v>102</c:v>
                </c:pt>
                <c:pt idx="4">
                  <c:v>89</c:v>
                </c:pt>
                <c:pt idx="5">
                  <c:v>96</c:v>
                </c:pt>
                <c:pt idx="6">
                  <c:v>95</c:v>
                </c:pt>
                <c:pt idx="7">
                  <c:v>93</c:v>
                </c:pt>
                <c:pt idx="8">
                  <c:v>89</c:v>
                </c:pt>
                <c:pt idx="9">
                  <c:v>88</c:v>
                </c:pt>
              </c:numCache>
            </c:numRef>
          </c:val>
          <c:smooth val="0"/>
          <c:extLst>
            <c:ext xmlns:c16="http://schemas.microsoft.com/office/drawing/2014/chart" uri="{C3380CC4-5D6E-409C-BE32-E72D297353CC}">
              <c16:uniqueId val="{00000001-1318-40C0-8864-17F18A3FE4E9}"/>
            </c:ext>
          </c:extLst>
        </c:ser>
        <c:dLbls>
          <c:showLegendKey val="0"/>
          <c:showVal val="0"/>
          <c:showCatName val="0"/>
          <c:showSerName val="0"/>
          <c:showPercent val="0"/>
          <c:showBubbleSize val="0"/>
        </c:dLbls>
        <c:marker val="1"/>
        <c:smooth val="0"/>
        <c:axId val="413399280"/>
        <c:axId val="413399760"/>
      </c:lineChart>
      <c:catAx>
        <c:axId val="4133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crossAx val="413399760"/>
        <c:crosses val="autoZero"/>
        <c:auto val="1"/>
        <c:lblAlgn val="ctr"/>
        <c:lblOffset val="100"/>
        <c:noMultiLvlLbl val="0"/>
      </c:catAx>
      <c:valAx>
        <c:axId val="41339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crossAx val="41339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75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Table!job-country</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Table'!$C$182:$C$183</c:f>
              <c:strCache>
                <c:ptCount val="1"/>
                <c:pt idx="0">
                  <c:v>Australia</c:v>
                </c:pt>
              </c:strCache>
            </c:strRef>
          </c:tx>
          <c:spPr>
            <a:solidFill>
              <a:schemeClr val="accent1"/>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Table'!$C$184:$C$204</c:f>
              <c:numCache>
                <c:formatCode>General</c:formatCode>
                <c:ptCount val="20"/>
                <c:pt idx="0">
                  <c:v>10</c:v>
                </c:pt>
                <c:pt idx="1">
                  <c:v>17</c:v>
                </c:pt>
                <c:pt idx="2">
                  <c:v>19</c:v>
                </c:pt>
                <c:pt idx="3">
                  <c:v>15</c:v>
                </c:pt>
                <c:pt idx="4">
                  <c:v>16</c:v>
                </c:pt>
                <c:pt idx="5">
                  <c:v>18</c:v>
                </c:pt>
                <c:pt idx="6">
                  <c:v>13</c:v>
                </c:pt>
                <c:pt idx="7">
                  <c:v>18</c:v>
                </c:pt>
                <c:pt idx="8">
                  <c:v>16</c:v>
                </c:pt>
                <c:pt idx="9">
                  <c:v>10</c:v>
                </c:pt>
                <c:pt idx="10">
                  <c:v>16</c:v>
                </c:pt>
                <c:pt idx="11">
                  <c:v>13</c:v>
                </c:pt>
                <c:pt idx="12">
                  <c:v>11</c:v>
                </c:pt>
                <c:pt idx="13">
                  <c:v>16</c:v>
                </c:pt>
                <c:pt idx="14">
                  <c:v>23</c:v>
                </c:pt>
                <c:pt idx="15">
                  <c:v>17</c:v>
                </c:pt>
                <c:pt idx="16">
                  <c:v>21</c:v>
                </c:pt>
                <c:pt idx="17">
                  <c:v>16</c:v>
                </c:pt>
                <c:pt idx="18">
                  <c:v>12</c:v>
                </c:pt>
                <c:pt idx="19">
                  <c:v>15</c:v>
                </c:pt>
              </c:numCache>
            </c:numRef>
          </c:val>
          <c:extLst>
            <c:ext xmlns:c16="http://schemas.microsoft.com/office/drawing/2014/chart" uri="{C3380CC4-5D6E-409C-BE32-E72D297353CC}">
              <c16:uniqueId val="{00000000-582D-46A9-AF8D-850A2BA37BB0}"/>
            </c:ext>
          </c:extLst>
        </c:ser>
        <c:ser>
          <c:idx val="1"/>
          <c:order val="1"/>
          <c:tx>
            <c:strRef>
              <c:f>'PIvot Table'!$D$182:$D$183</c:f>
              <c:strCache>
                <c:ptCount val="1"/>
                <c:pt idx="0">
                  <c:v>Canada</c:v>
                </c:pt>
              </c:strCache>
            </c:strRef>
          </c:tx>
          <c:spPr>
            <a:solidFill>
              <a:schemeClr val="accent3"/>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Table'!$D$184:$D$204</c:f>
              <c:numCache>
                <c:formatCode>General</c:formatCode>
                <c:ptCount val="20"/>
                <c:pt idx="0">
                  <c:v>9</c:v>
                </c:pt>
                <c:pt idx="1">
                  <c:v>10</c:v>
                </c:pt>
                <c:pt idx="2">
                  <c:v>10</c:v>
                </c:pt>
                <c:pt idx="3">
                  <c:v>11</c:v>
                </c:pt>
                <c:pt idx="4">
                  <c:v>17</c:v>
                </c:pt>
                <c:pt idx="5">
                  <c:v>16</c:v>
                </c:pt>
                <c:pt idx="6">
                  <c:v>11</c:v>
                </c:pt>
                <c:pt idx="7">
                  <c:v>9</c:v>
                </c:pt>
                <c:pt idx="8">
                  <c:v>11</c:v>
                </c:pt>
                <c:pt idx="9">
                  <c:v>15</c:v>
                </c:pt>
                <c:pt idx="10">
                  <c:v>15</c:v>
                </c:pt>
                <c:pt idx="11">
                  <c:v>16</c:v>
                </c:pt>
                <c:pt idx="12">
                  <c:v>21</c:v>
                </c:pt>
                <c:pt idx="13">
                  <c:v>24</c:v>
                </c:pt>
                <c:pt idx="14">
                  <c:v>21</c:v>
                </c:pt>
                <c:pt idx="15">
                  <c:v>10</c:v>
                </c:pt>
                <c:pt idx="16">
                  <c:v>11</c:v>
                </c:pt>
                <c:pt idx="17">
                  <c:v>12</c:v>
                </c:pt>
                <c:pt idx="18">
                  <c:v>20</c:v>
                </c:pt>
                <c:pt idx="19">
                  <c:v>16</c:v>
                </c:pt>
              </c:numCache>
            </c:numRef>
          </c:val>
          <c:extLst>
            <c:ext xmlns:c16="http://schemas.microsoft.com/office/drawing/2014/chart" uri="{C3380CC4-5D6E-409C-BE32-E72D297353CC}">
              <c16:uniqueId val="{00000001-618E-4549-AD12-096441DB0CA0}"/>
            </c:ext>
          </c:extLst>
        </c:ser>
        <c:ser>
          <c:idx val="2"/>
          <c:order val="2"/>
          <c:tx>
            <c:strRef>
              <c:f>'PIvot Table'!$E$182:$E$183</c:f>
              <c:strCache>
                <c:ptCount val="1"/>
                <c:pt idx="0">
                  <c:v>Germany</c:v>
                </c:pt>
              </c:strCache>
            </c:strRef>
          </c:tx>
          <c:spPr>
            <a:solidFill>
              <a:schemeClr val="accent5"/>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Table'!$E$184:$E$204</c:f>
              <c:numCache>
                <c:formatCode>General</c:formatCode>
                <c:ptCount val="20"/>
                <c:pt idx="0">
                  <c:v>18</c:v>
                </c:pt>
                <c:pt idx="1">
                  <c:v>18</c:v>
                </c:pt>
                <c:pt idx="2">
                  <c:v>14</c:v>
                </c:pt>
                <c:pt idx="3">
                  <c:v>19</c:v>
                </c:pt>
                <c:pt idx="4">
                  <c:v>14</c:v>
                </c:pt>
                <c:pt idx="5">
                  <c:v>17</c:v>
                </c:pt>
                <c:pt idx="6">
                  <c:v>13</c:v>
                </c:pt>
                <c:pt idx="7">
                  <c:v>18</c:v>
                </c:pt>
                <c:pt idx="8">
                  <c:v>12</c:v>
                </c:pt>
                <c:pt idx="9">
                  <c:v>16</c:v>
                </c:pt>
                <c:pt idx="10">
                  <c:v>11</c:v>
                </c:pt>
                <c:pt idx="11">
                  <c:v>15</c:v>
                </c:pt>
                <c:pt idx="12">
                  <c:v>13</c:v>
                </c:pt>
                <c:pt idx="13">
                  <c:v>19</c:v>
                </c:pt>
                <c:pt idx="14">
                  <c:v>22</c:v>
                </c:pt>
                <c:pt idx="15">
                  <c:v>23</c:v>
                </c:pt>
                <c:pt idx="16">
                  <c:v>9</c:v>
                </c:pt>
                <c:pt idx="17">
                  <c:v>18</c:v>
                </c:pt>
                <c:pt idx="18">
                  <c:v>11</c:v>
                </c:pt>
                <c:pt idx="19">
                  <c:v>18</c:v>
                </c:pt>
              </c:numCache>
            </c:numRef>
          </c:val>
          <c:extLst>
            <c:ext xmlns:c16="http://schemas.microsoft.com/office/drawing/2014/chart" uri="{C3380CC4-5D6E-409C-BE32-E72D297353CC}">
              <c16:uniqueId val="{00000002-618E-4549-AD12-096441DB0CA0}"/>
            </c:ext>
          </c:extLst>
        </c:ser>
        <c:ser>
          <c:idx val="3"/>
          <c:order val="3"/>
          <c:tx>
            <c:strRef>
              <c:f>'PIvot Table'!$F$182:$F$183</c:f>
              <c:strCache>
                <c:ptCount val="1"/>
                <c:pt idx="0">
                  <c:v>India</c:v>
                </c:pt>
              </c:strCache>
            </c:strRef>
          </c:tx>
          <c:spPr>
            <a:solidFill>
              <a:schemeClr val="accent1">
                <a:lumMod val="6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Table'!$F$184:$F$204</c:f>
              <c:numCache>
                <c:formatCode>General</c:formatCode>
                <c:ptCount val="20"/>
                <c:pt idx="0">
                  <c:v>10</c:v>
                </c:pt>
                <c:pt idx="1">
                  <c:v>13</c:v>
                </c:pt>
                <c:pt idx="2">
                  <c:v>16</c:v>
                </c:pt>
                <c:pt idx="3">
                  <c:v>7</c:v>
                </c:pt>
                <c:pt idx="4">
                  <c:v>20</c:v>
                </c:pt>
                <c:pt idx="5">
                  <c:v>13</c:v>
                </c:pt>
                <c:pt idx="6">
                  <c:v>15</c:v>
                </c:pt>
                <c:pt idx="7">
                  <c:v>17</c:v>
                </c:pt>
                <c:pt idx="8">
                  <c:v>16</c:v>
                </c:pt>
                <c:pt idx="9">
                  <c:v>14</c:v>
                </c:pt>
                <c:pt idx="10">
                  <c:v>19</c:v>
                </c:pt>
                <c:pt idx="11">
                  <c:v>12</c:v>
                </c:pt>
                <c:pt idx="12">
                  <c:v>13</c:v>
                </c:pt>
                <c:pt idx="13">
                  <c:v>13</c:v>
                </c:pt>
                <c:pt idx="14">
                  <c:v>14</c:v>
                </c:pt>
                <c:pt idx="15">
                  <c:v>10</c:v>
                </c:pt>
                <c:pt idx="16">
                  <c:v>14</c:v>
                </c:pt>
                <c:pt idx="17">
                  <c:v>14</c:v>
                </c:pt>
                <c:pt idx="18">
                  <c:v>11</c:v>
                </c:pt>
                <c:pt idx="19">
                  <c:v>18</c:v>
                </c:pt>
              </c:numCache>
            </c:numRef>
          </c:val>
          <c:extLst>
            <c:ext xmlns:c16="http://schemas.microsoft.com/office/drawing/2014/chart" uri="{C3380CC4-5D6E-409C-BE32-E72D297353CC}">
              <c16:uniqueId val="{00000003-618E-4549-AD12-096441DB0CA0}"/>
            </c:ext>
          </c:extLst>
        </c:ser>
        <c:ser>
          <c:idx val="4"/>
          <c:order val="4"/>
          <c:tx>
            <c:strRef>
              <c:f>'PIvot Table'!$G$182:$G$183</c:f>
              <c:strCache>
                <c:ptCount val="1"/>
                <c:pt idx="0">
                  <c:v>Japan</c:v>
                </c:pt>
              </c:strCache>
            </c:strRef>
          </c:tx>
          <c:spPr>
            <a:solidFill>
              <a:schemeClr val="accent3">
                <a:lumMod val="6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Table'!$G$184:$G$204</c:f>
              <c:numCache>
                <c:formatCode>General</c:formatCode>
                <c:ptCount val="20"/>
                <c:pt idx="0">
                  <c:v>13</c:v>
                </c:pt>
                <c:pt idx="1">
                  <c:v>22</c:v>
                </c:pt>
                <c:pt idx="2">
                  <c:v>11</c:v>
                </c:pt>
                <c:pt idx="3">
                  <c:v>15</c:v>
                </c:pt>
                <c:pt idx="4">
                  <c:v>13</c:v>
                </c:pt>
                <c:pt idx="5">
                  <c:v>14</c:v>
                </c:pt>
                <c:pt idx="6">
                  <c:v>15</c:v>
                </c:pt>
                <c:pt idx="7">
                  <c:v>19</c:v>
                </c:pt>
                <c:pt idx="8">
                  <c:v>11</c:v>
                </c:pt>
                <c:pt idx="9">
                  <c:v>16</c:v>
                </c:pt>
                <c:pt idx="10">
                  <c:v>18</c:v>
                </c:pt>
                <c:pt idx="11">
                  <c:v>23</c:v>
                </c:pt>
                <c:pt idx="12">
                  <c:v>9</c:v>
                </c:pt>
                <c:pt idx="13">
                  <c:v>8</c:v>
                </c:pt>
                <c:pt idx="14">
                  <c:v>10</c:v>
                </c:pt>
                <c:pt idx="15">
                  <c:v>13</c:v>
                </c:pt>
                <c:pt idx="16">
                  <c:v>22</c:v>
                </c:pt>
                <c:pt idx="17">
                  <c:v>18</c:v>
                </c:pt>
                <c:pt idx="18">
                  <c:v>13</c:v>
                </c:pt>
                <c:pt idx="19">
                  <c:v>16</c:v>
                </c:pt>
              </c:numCache>
            </c:numRef>
          </c:val>
          <c:extLst>
            <c:ext xmlns:c16="http://schemas.microsoft.com/office/drawing/2014/chart" uri="{C3380CC4-5D6E-409C-BE32-E72D297353CC}">
              <c16:uniqueId val="{00000004-618E-4549-AD12-096441DB0CA0}"/>
            </c:ext>
          </c:extLst>
        </c:ser>
        <c:ser>
          <c:idx val="5"/>
          <c:order val="5"/>
          <c:tx>
            <c:strRef>
              <c:f>'PIvot Table'!$H$182:$H$183</c:f>
              <c:strCache>
                <c:ptCount val="1"/>
                <c:pt idx="0">
                  <c:v>Pakistan</c:v>
                </c:pt>
              </c:strCache>
            </c:strRef>
          </c:tx>
          <c:spPr>
            <a:solidFill>
              <a:schemeClr val="accent5">
                <a:lumMod val="6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Table'!$H$184:$H$204</c:f>
              <c:numCache>
                <c:formatCode>General</c:formatCode>
                <c:ptCount val="20"/>
                <c:pt idx="0">
                  <c:v>22</c:v>
                </c:pt>
                <c:pt idx="1">
                  <c:v>8</c:v>
                </c:pt>
                <c:pt idx="2">
                  <c:v>19</c:v>
                </c:pt>
                <c:pt idx="3">
                  <c:v>7</c:v>
                </c:pt>
                <c:pt idx="4">
                  <c:v>18</c:v>
                </c:pt>
                <c:pt idx="5">
                  <c:v>17</c:v>
                </c:pt>
                <c:pt idx="6">
                  <c:v>24</c:v>
                </c:pt>
                <c:pt idx="7">
                  <c:v>17</c:v>
                </c:pt>
                <c:pt idx="8">
                  <c:v>11</c:v>
                </c:pt>
                <c:pt idx="9">
                  <c:v>9</c:v>
                </c:pt>
                <c:pt idx="10">
                  <c:v>20</c:v>
                </c:pt>
                <c:pt idx="11">
                  <c:v>12</c:v>
                </c:pt>
                <c:pt idx="12">
                  <c:v>15</c:v>
                </c:pt>
                <c:pt idx="13">
                  <c:v>22</c:v>
                </c:pt>
                <c:pt idx="14">
                  <c:v>10</c:v>
                </c:pt>
                <c:pt idx="15">
                  <c:v>15</c:v>
                </c:pt>
                <c:pt idx="16">
                  <c:v>16</c:v>
                </c:pt>
                <c:pt idx="17">
                  <c:v>15</c:v>
                </c:pt>
                <c:pt idx="18">
                  <c:v>10</c:v>
                </c:pt>
                <c:pt idx="19">
                  <c:v>13</c:v>
                </c:pt>
              </c:numCache>
            </c:numRef>
          </c:val>
          <c:extLst>
            <c:ext xmlns:c16="http://schemas.microsoft.com/office/drawing/2014/chart" uri="{C3380CC4-5D6E-409C-BE32-E72D297353CC}">
              <c16:uniqueId val="{00000005-618E-4549-AD12-096441DB0CA0}"/>
            </c:ext>
          </c:extLst>
        </c:ser>
        <c:ser>
          <c:idx val="6"/>
          <c:order val="6"/>
          <c:tx>
            <c:strRef>
              <c:f>'PIvot Table'!$I$182:$I$183</c:f>
              <c:strCache>
                <c:ptCount val="1"/>
                <c:pt idx="0">
                  <c:v>Singapore</c:v>
                </c:pt>
              </c:strCache>
            </c:strRef>
          </c:tx>
          <c:spPr>
            <a:solidFill>
              <a:schemeClr val="accent1">
                <a:lumMod val="80000"/>
                <a:lumOff val="2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Table'!$I$184:$I$204</c:f>
              <c:numCache>
                <c:formatCode>General</c:formatCode>
                <c:ptCount val="20"/>
                <c:pt idx="0">
                  <c:v>8</c:v>
                </c:pt>
                <c:pt idx="1">
                  <c:v>11</c:v>
                </c:pt>
                <c:pt idx="2">
                  <c:v>13</c:v>
                </c:pt>
                <c:pt idx="3">
                  <c:v>13</c:v>
                </c:pt>
                <c:pt idx="4">
                  <c:v>14</c:v>
                </c:pt>
                <c:pt idx="5">
                  <c:v>14</c:v>
                </c:pt>
                <c:pt idx="6">
                  <c:v>13</c:v>
                </c:pt>
                <c:pt idx="7">
                  <c:v>9</c:v>
                </c:pt>
                <c:pt idx="8">
                  <c:v>12</c:v>
                </c:pt>
                <c:pt idx="9">
                  <c:v>16</c:v>
                </c:pt>
                <c:pt idx="10">
                  <c:v>11</c:v>
                </c:pt>
                <c:pt idx="11">
                  <c:v>11</c:v>
                </c:pt>
                <c:pt idx="12">
                  <c:v>15</c:v>
                </c:pt>
                <c:pt idx="13">
                  <c:v>15</c:v>
                </c:pt>
                <c:pt idx="14">
                  <c:v>11</c:v>
                </c:pt>
                <c:pt idx="15">
                  <c:v>14</c:v>
                </c:pt>
                <c:pt idx="16">
                  <c:v>16</c:v>
                </c:pt>
                <c:pt idx="17">
                  <c:v>18</c:v>
                </c:pt>
                <c:pt idx="18">
                  <c:v>20</c:v>
                </c:pt>
                <c:pt idx="19">
                  <c:v>13</c:v>
                </c:pt>
              </c:numCache>
            </c:numRef>
          </c:val>
          <c:extLst>
            <c:ext xmlns:c16="http://schemas.microsoft.com/office/drawing/2014/chart" uri="{C3380CC4-5D6E-409C-BE32-E72D297353CC}">
              <c16:uniqueId val="{00000006-618E-4549-AD12-096441DB0CA0}"/>
            </c:ext>
          </c:extLst>
        </c:ser>
        <c:ser>
          <c:idx val="7"/>
          <c:order val="7"/>
          <c:tx>
            <c:strRef>
              <c:f>'PIvot Table'!$J$182:$J$183</c:f>
              <c:strCache>
                <c:ptCount val="1"/>
                <c:pt idx="0">
                  <c:v>UAE</c:v>
                </c:pt>
              </c:strCache>
            </c:strRef>
          </c:tx>
          <c:spPr>
            <a:solidFill>
              <a:schemeClr val="accent3">
                <a:lumMod val="80000"/>
                <a:lumOff val="2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Table'!$J$184:$J$204</c:f>
              <c:numCache>
                <c:formatCode>General</c:formatCode>
                <c:ptCount val="20"/>
                <c:pt idx="0">
                  <c:v>12</c:v>
                </c:pt>
                <c:pt idx="1">
                  <c:v>17</c:v>
                </c:pt>
                <c:pt idx="2">
                  <c:v>14</c:v>
                </c:pt>
                <c:pt idx="3">
                  <c:v>18</c:v>
                </c:pt>
                <c:pt idx="4">
                  <c:v>12</c:v>
                </c:pt>
                <c:pt idx="5">
                  <c:v>20</c:v>
                </c:pt>
                <c:pt idx="6">
                  <c:v>18</c:v>
                </c:pt>
                <c:pt idx="7">
                  <c:v>16</c:v>
                </c:pt>
                <c:pt idx="8">
                  <c:v>23</c:v>
                </c:pt>
                <c:pt idx="9">
                  <c:v>20</c:v>
                </c:pt>
                <c:pt idx="10">
                  <c:v>13</c:v>
                </c:pt>
                <c:pt idx="11">
                  <c:v>24</c:v>
                </c:pt>
                <c:pt idx="12">
                  <c:v>11</c:v>
                </c:pt>
                <c:pt idx="13">
                  <c:v>13</c:v>
                </c:pt>
                <c:pt idx="14">
                  <c:v>15</c:v>
                </c:pt>
                <c:pt idx="15">
                  <c:v>18</c:v>
                </c:pt>
                <c:pt idx="16">
                  <c:v>19</c:v>
                </c:pt>
                <c:pt idx="17">
                  <c:v>19</c:v>
                </c:pt>
                <c:pt idx="18">
                  <c:v>25</c:v>
                </c:pt>
                <c:pt idx="19">
                  <c:v>20</c:v>
                </c:pt>
              </c:numCache>
            </c:numRef>
          </c:val>
          <c:extLst>
            <c:ext xmlns:c16="http://schemas.microsoft.com/office/drawing/2014/chart" uri="{C3380CC4-5D6E-409C-BE32-E72D297353CC}">
              <c16:uniqueId val="{00000007-618E-4549-AD12-096441DB0CA0}"/>
            </c:ext>
          </c:extLst>
        </c:ser>
        <c:ser>
          <c:idx val="8"/>
          <c:order val="8"/>
          <c:tx>
            <c:strRef>
              <c:f>'PIvot Table'!$K$182:$K$183</c:f>
              <c:strCache>
                <c:ptCount val="1"/>
                <c:pt idx="0">
                  <c:v>UK</c:v>
                </c:pt>
              </c:strCache>
            </c:strRef>
          </c:tx>
          <c:spPr>
            <a:solidFill>
              <a:schemeClr val="accent5">
                <a:lumMod val="80000"/>
                <a:lumOff val="2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Table'!$K$184:$K$204</c:f>
              <c:numCache>
                <c:formatCode>General</c:formatCode>
                <c:ptCount val="20"/>
                <c:pt idx="0">
                  <c:v>10</c:v>
                </c:pt>
                <c:pt idx="1">
                  <c:v>18</c:v>
                </c:pt>
                <c:pt idx="2">
                  <c:v>10</c:v>
                </c:pt>
                <c:pt idx="3">
                  <c:v>12</c:v>
                </c:pt>
                <c:pt idx="4">
                  <c:v>17</c:v>
                </c:pt>
                <c:pt idx="5">
                  <c:v>9</c:v>
                </c:pt>
                <c:pt idx="6">
                  <c:v>14</c:v>
                </c:pt>
                <c:pt idx="7">
                  <c:v>16</c:v>
                </c:pt>
                <c:pt idx="8">
                  <c:v>12</c:v>
                </c:pt>
                <c:pt idx="9">
                  <c:v>16</c:v>
                </c:pt>
                <c:pt idx="10">
                  <c:v>13</c:v>
                </c:pt>
                <c:pt idx="11">
                  <c:v>22</c:v>
                </c:pt>
                <c:pt idx="12">
                  <c:v>17</c:v>
                </c:pt>
                <c:pt idx="13">
                  <c:v>16</c:v>
                </c:pt>
                <c:pt idx="14">
                  <c:v>16</c:v>
                </c:pt>
                <c:pt idx="15">
                  <c:v>17</c:v>
                </c:pt>
                <c:pt idx="16">
                  <c:v>15</c:v>
                </c:pt>
                <c:pt idx="17">
                  <c:v>18</c:v>
                </c:pt>
                <c:pt idx="18">
                  <c:v>11</c:v>
                </c:pt>
                <c:pt idx="19">
                  <c:v>19</c:v>
                </c:pt>
              </c:numCache>
            </c:numRef>
          </c:val>
          <c:extLst>
            <c:ext xmlns:c16="http://schemas.microsoft.com/office/drawing/2014/chart" uri="{C3380CC4-5D6E-409C-BE32-E72D297353CC}">
              <c16:uniqueId val="{00000008-618E-4549-AD12-096441DB0CA0}"/>
            </c:ext>
          </c:extLst>
        </c:ser>
        <c:ser>
          <c:idx val="9"/>
          <c:order val="9"/>
          <c:tx>
            <c:strRef>
              <c:f>'PIvot Table'!$L$182:$L$183</c:f>
              <c:strCache>
                <c:ptCount val="1"/>
                <c:pt idx="0">
                  <c:v>USA</c:v>
                </c:pt>
              </c:strCache>
            </c:strRef>
          </c:tx>
          <c:spPr>
            <a:solidFill>
              <a:schemeClr val="accent1">
                <a:lumMod val="80000"/>
              </a:schemeClr>
            </a:solidFill>
            <a:ln>
              <a:noFill/>
            </a:ln>
            <a:effectLst/>
          </c:spPr>
          <c:invertIfNegative val="0"/>
          <c:cat>
            <c:strRef>
              <c:f>'PIvot Table'!$B$184:$B$204</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Table'!$L$184:$L$204</c:f>
              <c:numCache>
                <c:formatCode>General</c:formatCode>
                <c:ptCount val="20"/>
                <c:pt idx="0">
                  <c:v>12</c:v>
                </c:pt>
                <c:pt idx="1">
                  <c:v>21</c:v>
                </c:pt>
                <c:pt idx="2">
                  <c:v>15</c:v>
                </c:pt>
                <c:pt idx="3">
                  <c:v>12</c:v>
                </c:pt>
                <c:pt idx="4">
                  <c:v>21</c:v>
                </c:pt>
                <c:pt idx="5">
                  <c:v>13</c:v>
                </c:pt>
                <c:pt idx="6">
                  <c:v>16</c:v>
                </c:pt>
                <c:pt idx="7">
                  <c:v>13</c:v>
                </c:pt>
                <c:pt idx="8">
                  <c:v>10</c:v>
                </c:pt>
                <c:pt idx="9">
                  <c:v>11</c:v>
                </c:pt>
                <c:pt idx="10">
                  <c:v>11</c:v>
                </c:pt>
                <c:pt idx="11">
                  <c:v>15</c:v>
                </c:pt>
                <c:pt idx="12">
                  <c:v>19</c:v>
                </c:pt>
                <c:pt idx="13">
                  <c:v>11</c:v>
                </c:pt>
                <c:pt idx="14">
                  <c:v>15</c:v>
                </c:pt>
                <c:pt idx="15">
                  <c:v>15</c:v>
                </c:pt>
                <c:pt idx="16">
                  <c:v>19</c:v>
                </c:pt>
                <c:pt idx="17">
                  <c:v>16</c:v>
                </c:pt>
                <c:pt idx="18">
                  <c:v>20</c:v>
                </c:pt>
                <c:pt idx="19">
                  <c:v>10</c:v>
                </c:pt>
              </c:numCache>
            </c:numRef>
          </c:val>
          <c:extLst>
            <c:ext xmlns:c16="http://schemas.microsoft.com/office/drawing/2014/chart" uri="{C3380CC4-5D6E-409C-BE32-E72D297353CC}">
              <c16:uniqueId val="{00000009-618E-4549-AD12-096441DB0CA0}"/>
            </c:ext>
          </c:extLst>
        </c:ser>
        <c:dLbls>
          <c:showLegendKey val="0"/>
          <c:showVal val="0"/>
          <c:showCatName val="0"/>
          <c:showSerName val="0"/>
          <c:showPercent val="0"/>
          <c:showBubbleSize val="0"/>
        </c:dLbls>
        <c:gapWidth val="150"/>
        <c:overlap val="100"/>
        <c:axId val="558935936"/>
        <c:axId val="558926816"/>
      </c:barChart>
      <c:catAx>
        <c:axId val="55893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crossAx val="558926816"/>
        <c:crosses val="autoZero"/>
        <c:auto val="1"/>
        <c:lblAlgn val="ctr"/>
        <c:lblOffset val="100"/>
        <c:noMultiLvlLbl val="0"/>
      </c:catAx>
      <c:valAx>
        <c:axId val="558926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558935936"/>
        <c:crosses val="autoZero"/>
        <c:crossBetween val="between"/>
      </c:valAx>
      <c:spPr>
        <a:noFill/>
        <a:ln>
          <a:noFill/>
        </a:ln>
        <a:effectLst/>
      </c:spPr>
    </c:plotArea>
    <c:legend>
      <c:legendPos val="r"/>
      <c:layout>
        <c:manualLayout>
          <c:xMode val="edge"/>
          <c:yMode val="edge"/>
          <c:x val="0.87482828899237286"/>
          <c:y val="0.11267061145063866"/>
          <c:w val="0.11754287890305949"/>
          <c:h val="0.6852670403499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and job.xlsx]PIvot Table!Job-job security</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4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45"/>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46"/>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47"/>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48"/>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49"/>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1"/>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3"/>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5"/>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6"/>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7"/>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8"/>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59"/>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6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61"/>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
        <c:idx val="6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pivotFmt>
    </c:pivotFmts>
    <c:plotArea>
      <c:layout>
        <c:manualLayout>
          <c:layoutTarget val="inner"/>
          <c:xMode val="edge"/>
          <c:yMode val="edge"/>
          <c:x val="2.5501449867864338E-2"/>
          <c:y val="0.10458799148501813"/>
          <c:w val="0.97449855013213571"/>
          <c:h val="0.78219892720853013"/>
        </c:manualLayout>
      </c:layout>
      <c:barChart>
        <c:barDir val="col"/>
        <c:grouping val="clustered"/>
        <c:varyColors val="0"/>
        <c:ser>
          <c:idx val="0"/>
          <c:order val="0"/>
          <c:tx>
            <c:strRef>
              <c:f>'PIvot Table'!$C$61:$C$62</c:f>
              <c:strCache>
                <c:ptCount val="1"/>
                <c:pt idx="0">
                  <c:v>Very High</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invertIfNegative val="0"/>
          <c:dPt>
            <c:idx val="0"/>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1-7AC1-42FF-BE6A-0567DA3B42A4}"/>
              </c:ext>
            </c:extLst>
          </c:dPt>
          <c:dPt>
            <c:idx val="1"/>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3-7AC1-42FF-BE6A-0567DA3B42A4}"/>
              </c:ext>
            </c:extLst>
          </c:dPt>
          <c:dPt>
            <c:idx val="2"/>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5-7AC1-42FF-BE6A-0567DA3B42A4}"/>
              </c:ext>
            </c:extLst>
          </c:dPt>
          <c:dPt>
            <c:idx val="3"/>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7-7AC1-42FF-BE6A-0567DA3B42A4}"/>
              </c:ext>
            </c:extLst>
          </c:dPt>
          <c:dPt>
            <c:idx val="4"/>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9-7AC1-42FF-BE6A-0567DA3B42A4}"/>
              </c:ext>
            </c:extLst>
          </c:dPt>
          <c:dPt>
            <c:idx val="5"/>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B-7AC1-42FF-BE6A-0567DA3B42A4}"/>
              </c:ext>
            </c:extLst>
          </c:dPt>
          <c:dPt>
            <c:idx val="6"/>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D-7AC1-42FF-BE6A-0567DA3B42A4}"/>
              </c:ext>
            </c:extLst>
          </c:dPt>
          <c:dPt>
            <c:idx val="7"/>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0F-7AC1-42FF-BE6A-0567DA3B42A4}"/>
              </c:ext>
            </c:extLst>
          </c:dPt>
          <c:dPt>
            <c:idx val="8"/>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1-7AC1-42FF-BE6A-0567DA3B42A4}"/>
              </c:ext>
            </c:extLst>
          </c:dPt>
          <c:dPt>
            <c:idx val="9"/>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3-7AC1-42FF-BE6A-0567DA3B42A4}"/>
              </c:ext>
            </c:extLst>
          </c:dPt>
          <c:dPt>
            <c:idx val="10"/>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5-7AC1-42FF-BE6A-0567DA3B42A4}"/>
              </c:ext>
            </c:extLst>
          </c:dPt>
          <c:dPt>
            <c:idx val="11"/>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7-7AC1-42FF-BE6A-0567DA3B42A4}"/>
              </c:ext>
            </c:extLst>
          </c:dPt>
          <c:dPt>
            <c:idx val="12"/>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9-7AC1-42FF-BE6A-0567DA3B42A4}"/>
              </c:ext>
            </c:extLst>
          </c:dPt>
          <c:dPt>
            <c:idx val="13"/>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B-7AC1-42FF-BE6A-0567DA3B42A4}"/>
              </c:ext>
            </c:extLst>
          </c:dPt>
          <c:dPt>
            <c:idx val="14"/>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D-7AC1-42FF-BE6A-0567DA3B42A4}"/>
              </c:ext>
            </c:extLst>
          </c:dPt>
          <c:dPt>
            <c:idx val="15"/>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1F-7AC1-42FF-BE6A-0567DA3B42A4}"/>
              </c:ext>
            </c:extLst>
          </c:dPt>
          <c:dPt>
            <c:idx val="16"/>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21-7AC1-42FF-BE6A-0567DA3B42A4}"/>
              </c:ext>
            </c:extLst>
          </c:dPt>
          <c:dPt>
            <c:idx val="17"/>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23-7AC1-42FF-BE6A-0567DA3B42A4}"/>
              </c:ext>
            </c:extLst>
          </c:dPt>
          <c:dPt>
            <c:idx val="18"/>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25-7AC1-42FF-BE6A-0567DA3B42A4}"/>
              </c:ext>
            </c:extLst>
          </c:dPt>
          <c:dPt>
            <c:idx val="19"/>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a:ln w="19050">
                <a:noFill/>
              </a:ln>
              <a:effectLst/>
            </c:spPr>
            <c:extLst>
              <c:ext xmlns:c16="http://schemas.microsoft.com/office/drawing/2014/chart" uri="{C3380CC4-5D6E-409C-BE32-E72D297353CC}">
                <c16:uniqueId val="{00000027-7AC1-42FF-BE6A-0567DA3B42A4}"/>
              </c:ext>
            </c:extLst>
          </c:dPt>
          <c:cat>
            <c:strRef>
              <c:f>'PIvot Table'!$B$63:$B$83</c:f>
              <c:strCache>
                <c:ptCount val="20"/>
                <c:pt idx="0">
                  <c:v>AI Engineer</c:v>
                </c:pt>
                <c:pt idx="1">
                  <c:v>Blockchain Developer</c:v>
                </c:pt>
                <c:pt idx="2">
                  <c:v>Business Analyst</c:v>
                </c:pt>
                <c:pt idx="3">
                  <c:v>Cloud Architect</c:v>
                </c:pt>
                <c:pt idx="4">
                  <c:v>Cybersecurity Analyst</c:v>
                </c:pt>
                <c:pt idx="5">
                  <c:v>Data Engineer</c:v>
                </c:pt>
                <c:pt idx="6">
                  <c:v>Data Scientist</c:v>
                </c:pt>
                <c:pt idx="7">
                  <c:v>DevOps Engineer</c:v>
                </c:pt>
                <c:pt idx="8">
                  <c:v>Digital Marketer</c:v>
                </c:pt>
                <c:pt idx="9">
                  <c:v>Financial Analyst</c:v>
                </c:pt>
                <c:pt idx="10">
                  <c:v>Healthcare Analyst</c:v>
                </c:pt>
                <c:pt idx="11">
                  <c:v>HR Specialist</c:v>
                </c:pt>
                <c:pt idx="12">
                  <c:v>IoT Specialist</c:v>
                </c:pt>
                <c:pt idx="13">
                  <c:v>Machine Learning Engineer</c:v>
                </c:pt>
                <c:pt idx="14">
                  <c:v>Product Manager</c:v>
                </c:pt>
                <c:pt idx="15">
                  <c:v>Prompt Engineer</c:v>
                </c:pt>
                <c:pt idx="16">
                  <c:v>Robotics Engineer</c:v>
                </c:pt>
                <c:pt idx="17">
                  <c:v>Software Developer</c:v>
                </c:pt>
                <c:pt idx="18">
                  <c:v>Teacher</c:v>
                </c:pt>
                <c:pt idx="19">
                  <c:v>UX Designer</c:v>
                </c:pt>
              </c:strCache>
            </c:strRef>
          </c:cat>
          <c:val>
            <c:numRef>
              <c:f>'PIvot Table'!$C$63:$C$83</c:f>
              <c:numCache>
                <c:formatCode>General</c:formatCode>
                <c:ptCount val="20"/>
                <c:pt idx="0">
                  <c:v>21</c:v>
                </c:pt>
                <c:pt idx="1">
                  <c:v>28</c:v>
                </c:pt>
                <c:pt idx="2">
                  <c:v>26</c:v>
                </c:pt>
                <c:pt idx="3">
                  <c:v>11</c:v>
                </c:pt>
                <c:pt idx="4">
                  <c:v>27</c:v>
                </c:pt>
                <c:pt idx="5">
                  <c:v>17</c:v>
                </c:pt>
                <c:pt idx="6">
                  <c:v>28</c:v>
                </c:pt>
                <c:pt idx="7">
                  <c:v>12</c:v>
                </c:pt>
                <c:pt idx="8">
                  <c:v>18</c:v>
                </c:pt>
                <c:pt idx="9">
                  <c:v>20</c:v>
                </c:pt>
                <c:pt idx="10">
                  <c:v>23</c:v>
                </c:pt>
                <c:pt idx="11">
                  <c:v>19</c:v>
                </c:pt>
                <c:pt idx="12">
                  <c:v>23</c:v>
                </c:pt>
                <c:pt idx="13">
                  <c:v>23</c:v>
                </c:pt>
                <c:pt idx="14">
                  <c:v>24</c:v>
                </c:pt>
                <c:pt idx="15">
                  <c:v>21</c:v>
                </c:pt>
                <c:pt idx="16">
                  <c:v>26</c:v>
                </c:pt>
                <c:pt idx="17">
                  <c:v>28</c:v>
                </c:pt>
                <c:pt idx="18">
                  <c:v>17</c:v>
                </c:pt>
                <c:pt idx="19">
                  <c:v>25</c:v>
                </c:pt>
              </c:numCache>
            </c:numRef>
          </c:val>
          <c:extLst>
            <c:ext xmlns:c16="http://schemas.microsoft.com/office/drawing/2014/chart" uri="{C3380CC4-5D6E-409C-BE32-E72D297353CC}">
              <c16:uniqueId val="{00000028-7AC1-42FF-BE6A-0567DA3B42A4}"/>
            </c:ext>
          </c:extLst>
        </c:ser>
        <c:dLbls>
          <c:showLegendKey val="0"/>
          <c:showVal val="0"/>
          <c:showCatName val="0"/>
          <c:showSerName val="0"/>
          <c:showPercent val="0"/>
          <c:showBubbleSize val="0"/>
        </c:dLbls>
        <c:gapWidth val="100"/>
        <c:axId val="836951679"/>
        <c:axId val="836951199"/>
      </c:barChart>
      <c:catAx>
        <c:axId val="836951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1" i="0" u="none" strike="noStrike" kern="1200" baseline="0">
                <a:solidFill>
                  <a:schemeClr val="accent2">
                    <a:lumMod val="60000"/>
                    <a:lumOff val="40000"/>
                  </a:schemeClr>
                </a:solidFill>
                <a:latin typeface="Calisto MT" panose="02040603050505030304" pitchFamily="18" charset="0"/>
                <a:ea typeface="+mn-ea"/>
                <a:cs typeface="+mn-cs"/>
              </a:defRPr>
            </a:pPr>
            <a:endParaRPr lang="en-US"/>
          </a:p>
        </c:txPr>
        <c:crossAx val="836951199"/>
        <c:crosses val="autoZero"/>
        <c:auto val="1"/>
        <c:lblAlgn val="ctr"/>
        <c:lblOffset val="100"/>
        <c:noMultiLvlLbl val="0"/>
      </c:catAx>
      <c:valAx>
        <c:axId val="8369511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2">
                    <a:lumMod val="60000"/>
                    <a:lumOff val="40000"/>
                  </a:schemeClr>
                </a:solidFill>
                <a:latin typeface="+mn-lt"/>
                <a:ea typeface="+mn-ea"/>
                <a:cs typeface="+mn-cs"/>
              </a:defRPr>
            </a:pPr>
            <a:endParaRPr lang="en-US"/>
          </a:p>
        </c:txPr>
        <c:crossAx val="83695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1C521973-5C03-4129-9077-C45F711AAE50}">
          <cx:tx>
            <cx:txData>
              <cx:f>_xlchart.v1.1</cx:f>
              <cx:v>Sum of AI_Replacement_Risk</cx:v>
            </cx:txData>
          </cx:tx>
          <cx:dataLabels pos="ctr">
            <cx:numFmt formatCode="#,##0.00" sourceLinked="0"/>
            <cx:visibility seriesName="0" categoryName="1" value="1"/>
            <cx:separator>, </cx:separator>
          </cx:dataLabels>
          <cx:dataId val="0"/>
          <cx:layoutPr>
            <cx:parentLabelLayout val="overlapping"/>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1C521973-5C03-4129-9077-C45F711AAE50}">
          <cx:tx>
            <cx:txData>
              <cx:f>_xlchart.v1.4</cx:f>
              <cx:v>Sum of AI_Replacement_Risk</cx:v>
            </cx:txData>
          </cx:tx>
          <cx:spPr>
            <a:ln>
              <a:noFill/>
            </a:ln>
          </cx:spPr>
          <cx:dataLabels>
            <cx:spPr>
              <a:solidFill>
                <a:srgbClr val="151831"/>
              </a:solidFill>
            </cx:spPr>
            <cx:txPr>
              <a:bodyPr spcFirstLastPara="1" vertOverflow="ellipsis" horzOverflow="overflow" wrap="square" lIns="0" tIns="0" rIns="0" bIns="0" anchor="ctr" anchorCtr="1"/>
              <a:lstStyle/>
              <a:p>
                <a:pPr algn="ctr" rtl="0">
                  <a:defRPr b="1">
                    <a:solidFill>
                      <a:schemeClr val="accent2">
                        <a:lumMod val="60000"/>
                        <a:lumOff val="40000"/>
                      </a:schemeClr>
                    </a:solidFill>
                    <a:latin typeface="Calisto MT" panose="02040603050505030304" pitchFamily="18" charset="0"/>
                    <a:ea typeface="Calisto MT" panose="02040603050505030304" pitchFamily="18" charset="0"/>
                    <a:cs typeface="Calisto MT" panose="02040603050505030304" pitchFamily="18" charset="0"/>
                  </a:defRPr>
                </a:pPr>
                <a:endParaRPr lang="en-US" sz="900" b="1" i="0" u="none" strike="noStrike" baseline="0">
                  <a:solidFill>
                    <a:schemeClr val="accent2">
                      <a:lumMod val="60000"/>
                      <a:lumOff val="40000"/>
                    </a:schemeClr>
                  </a:solidFill>
                  <a:latin typeface="Calisto MT" panose="02040603050505030304" pitchFamily="18"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6" Type="http://schemas.openxmlformats.org/officeDocument/2006/relationships/chart" Target="../charts/chart10.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9.xml"/><Relationship Id="rId15" Type="http://schemas.openxmlformats.org/officeDocument/2006/relationships/image" Target="../media/image10.svg"/><Relationship Id="rId10" Type="http://schemas.openxmlformats.org/officeDocument/2006/relationships/image" Target="../media/image5.png"/><Relationship Id="rId4" Type="http://schemas.microsoft.com/office/2014/relationships/chartEx" Target="../charts/chartEx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298450</xdr:colOff>
      <xdr:row>3</xdr:row>
      <xdr:rowOff>38100</xdr:rowOff>
    </xdr:from>
    <xdr:to>
      <xdr:col>7</xdr:col>
      <xdr:colOff>332619</xdr:colOff>
      <xdr:row>17</xdr:row>
      <xdr:rowOff>95250</xdr:rowOff>
    </xdr:to>
    <xdr:graphicFrame macro="">
      <xdr:nvGraphicFramePr>
        <xdr:cNvPr id="2" name="Chart 1">
          <a:extLst>
            <a:ext uri="{FF2B5EF4-FFF2-40B4-BE49-F238E27FC236}">
              <a16:creationId xmlns:a16="http://schemas.microsoft.com/office/drawing/2014/main" id="{D5FB7CE0-4E8C-D788-4C99-2E53CDE7E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82551</xdr:colOff>
      <xdr:row>24</xdr:row>
      <xdr:rowOff>57150</xdr:rowOff>
    </xdr:from>
    <xdr:to>
      <xdr:col>10</xdr:col>
      <xdr:colOff>139095</xdr:colOff>
      <xdr:row>39</xdr:row>
      <xdr:rowOff>38100</xdr:rowOff>
    </xdr:to>
    <xdr:graphicFrame macro="">
      <xdr:nvGraphicFramePr>
        <xdr:cNvPr id="3" name="Chart 2">
          <a:extLst>
            <a:ext uri="{FF2B5EF4-FFF2-40B4-BE49-F238E27FC236}">
              <a16:creationId xmlns:a16="http://schemas.microsoft.com/office/drawing/2014/main" id="{9754E106-CDCD-E3BA-B967-39440C87D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186851</xdr:colOff>
      <xdr:row>40</xdr:row>
      <xdr:rowOff>4858</xdr:rowOff>
    </xdr:from>
    <xdr:to>
      <xdr:col>13</xdr:col>
      <xdr:colOff>578455</xdr:colOff>
      <xdr:row>57</xdr:row>
      <xdr:rowOff>158906</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C98DCBDE-0543-60DD-27C1-0111B02868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78551" y="7370858"/>
              <a:ext cx="1445704" cy="32845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57453</xdr:colOff>
      <xdr:row>185</xdr:row>
      <xdr:rowOff>22377</xdr:rowOff>
    </xdr:from>
    <xdr:to>
      <xdr:col>25</xdr:col>
      <xdr:colOff>145143</xdr:colOff>
      <xdr:row>200</xdr:row>
      <xdr:rowOff>44149</xdr:rowOff>
    </xdr:to>
    <xdr:graphicFrame macro="">
      <xdr:nvGraphicFramePr>
        <xdr:cNvPr id="15" name="Chart 14">
          <a:extLst>
            <a:ext uri="{FF2B5EF4-FFF2-40B4-BE49-F238E27FC236}">
              <a16:creationId xmlns:a16="http://schemas.microsoft.com/office/drawing/2014/main" id="{31D5F4AF-6AEE-4423-2838-D8094A93C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452662</xdr:colOff>
      <xdr:row>0</xdr:row>
      <xdr:rowOff>101297</xdr:rowOff>
    </xdr:from>
    <xdr:to>
      <xdr:col>8</xdr:col>
      <xdr:colOff>524266</xdr:colOff>
      <xdr:row>3</xdr:row>
      <xdr:rowOff>133047</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FBE714BC-543D-28C4-6C6F-5177E96E0F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111091" y="101297"/>
              <a:ext cx="1833338" cy="576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402469</xdr:colOff>
      <xdr:row>11</xdr:row>
      <xdr:rowOff>67432</xdr:rowOff>
    </xdr:from>
    <xdr:to>
      <xdr:col>8</xdr:col>
      <xdr:colOff>471412</xdr:colOff>
      <xdr:row>14</xdr:row>
      <xdr:rowOff>157238</xdr:rowOff>
    </xdr:to>
    <mc:AlternateContent xmlns:mc="http://schemas.openxmlformats.org/markup-compatibility/2006" xmlns:a14="http://schemas.microsoft.com/office/drawing/2010/main">
      <mc:Choice Requires="a14">
        <xdr:graphicFrame macro="">
          <xdr:nvGraphicFramePr>
            <xdr:cNvPr id="17" name="Company_Size">
              <a:extLst>
                <a:ext uri="{FF2B5EF4-FFF2-40B4-BE49-F238E27FC236}">
                  <a16:creationId xmlns:a16="http://schemas.microsoft.com/office/drawing/2014/main" id="{93903643-8A2F-965E-5121-B611A63C3909}"/>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6571040" y="2063146"/>
              <a:ext cx="1828800" cy="634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441477</xdr:colOff>
      <xdr:row>3</xdr:row>
      <xdr:rowOff>161774</xdr:rowOff>
    </xdr:from>
    <xdr:to>
      <xdr:col>8</xdr:col>
      <xdr:colOff>510420</xdr:colOff>
      <xdr:row>7</xdr:row>
      <xdr:rowOff>90714</xdr:rowOff>
    </xdr:to>
    <mc:AlternateContent xmlns:mc="http://schemas.openxmlformats.org/markup-compatibility/2006" xmlns:a14="http://schemas.microsoft.com/office/drawing/2010/main">
      <mc:Choice Requires="a14">
        <xdr:graphicFrame macro="">
          <xdr:nvGraphicFramePr>
            <xdr:cNvPr id="18" name="Remote_Work_Possibility">
              <a:extLst>
                <a:ext uri="{FF2B5EF4-FFF2-40B4-BE49-F238E27FC236}">
                  <a16:creationId xmlns:a16="http://schemas.microsoft.com/office/drawing/2014/main" id="{0868EAE8-7314-A6CB-84B6-7B87B0CAFC8A}"/>
                </a:ext>
              </a:extLst>
            </xdr:cNvPr>
            <xdr:cNvGraphicFramePr/>
          </xdr:nvGraphicFramePr>
          <xdr:xfrm>
            <a:off x="0" y="0"/>
            <a:ext cx="0" cy="0"/>
          </xdr:xfrm>
          <a:graphic>
            <a:graphicData uri="http://schemas.microsoft.com/office/drawing/2010/slicer">
              <sle:slicer xmlns:sle="http://schemas.microsoft.com/office/drawing/2010/slicer" name="Remote_Work_Possibility"/>
            </a:graphicData>
          </a:graphic>
        </xdr:graphicFrame>
      </mc:Choice>
      <mc:Fallback xmlns="">
        <xdr:sp macro="" textlink="">
          <xdr:nvSpPr>
            <xdr:cNvPr id="0" name=""/>
            <xdr:cNvSpPr>
              <a:spLocks noTextEdit="1"/>
            </xdr:cNvSpPr>
          </xdr:nvSpPr>
          <xdr:spPr>
            <a:xfrm>
              <a:off x="6610048" y="706060"/>
              <a:ext cx="1828800" cy="654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12304</xdr:colOff>
      <xdr:row>58</xdr:row>
      <xdr:rowOff>38015</xdr:rowOff>
    </xdr:from>
    <xdr:to>
      <xdr:col>13</xdr:col>
      <xdr:colOff>1394080</xdr:colOff>
      <xdr:row>77</xdr:row>
      <xdr:rowOff>160575</xdr:rowOff>
    </xdr:to>
    <xdr:graphicFrame macro="">
      <xdr:nvGraphicFramePr>
        <xdr:cNvPr id="19" name="Chart 18">
          <a:extLst>
            <a:ext uri="{FF2B5EF4-FFF2-40B4-BE49-F238E27FC236}">
              <a16:creationId xmlns:a16="http://schemas.microsoft.com/office/drawing/2014/main" id="{1E3F39CD-B679-2C2F-EC55-5B602F432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459620</xdr:colOff>
      <xdr:row>82</xdr:row>
      <xdr:rowOff>149377</xdr:rowOff>
    </xdr:from>
    <xdr:to>
      <xdr:col>19</xdr:col>
      <xdr:colOff>187477</xdr:colOff>
      <xdr:row>97</xdr:row>
      <xdr:rowOff>171149</xdr:rowOff>
    </xdr:to>
    <xdr:graphicFrame macro="">
      <xdr:nvGraphicFramePr>
        <xdr:cNvPr id="20" name="Chart 19">
          <a:extLst>
            <a:ext uri="{FF2B5EF4-FFF2-40B4-BE49-F238E27FC236}">
              <a16:creationId xmlns:a16="http://schemas.microsoft.com/office/drawing/2014/main" id="{0D05B3F6-5BB3-8FA6-A561-F162DE0E0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426659</xdr:colOff>
      <xdr:row>7</xdr:row>
      <xdr:rowOff>113695</xdr:rowOff>
    </xdr:from>
    <xdr:to>
      <xdr:col>8</xdr:col>
      <xdr:colOff>495602</xdr:colOff>
      <xdr:row>11</xdr:row>
      <xdr:rowOff>24190</xdr:rowOff>
    </xdr:to>
    <mc:AlternateContent xmlns:mc="http://schemas.openxmlformats.org/markup-compatibility/2006" xmlns:a14="http://schemas.microsoft.com/office/drawing/2010/main">
      <mc:Choice Requires="a14">
        <xdr:graphicFrame macro="">
          <xdr:nvGraphicFramePr>
            <xdr:cNvPr id="21" name="AI_Tool_Usage">
              <a:extLst>
                <a:ext uri="{FF2B5EF4-FFF2-40B4-BE49-F238E27FC236}">
                  <a16:creationId xmlns:a16="http://schemas.microsoft.com/office/drawing/2014/main" id="{5B1EBAD1-3004-6EC5-BCA8-780054DB7465}"/>
                </a:ext>
              </a:extLst>
            </xdr:cNvPr>
            <xdr:cNvGraphicFramePr/>
          </xdr:nvGraphicFramePr>
          <xdr:xfrm>
            <a:off x="0" y="0"/>
            <a:ext cx="0" cy="0"/>
          </xdr:xfrm>
          <a:graphic>
            <a:graphicData uri="http://schemas.microsoft.com/office/drawing/2010/slicer">
              <sle:slicer xmlns:sle="http://schemas.microsoft.com/office/drawing/2010/slicer" name="AI_Tool_Usage"/>
            </a:graphicData>
          </a:graphic>
        </xdr:graphicFrame>
      </mc:Choice>
      <mc:Fallback xmlns="">
        <xdr:sp macro="" textlink="">
          <xdr:nvSpPr>
            <xdr:cNvPr id="0" name=""/>
            <xdr:cNvSpPr>
              <a:spLocks noTextEdit="1"/>
            </xdr:cNvSpPr>
          </xdr:nvSpPr>
          <xdr:spPr>
            <a:xfrm>
              <a:off x="6595230" y="1383695"/>
              <a:ext cx="1828800" cy="636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183615</xdr:colOff>
      <xdr:row>1</xdr:row>
      <xdr:rowOff>84157</xdr:rowOff>
    </xdr:from>
    <xdr:to>
      <xdr:col>21</xdr:col>
      <xdr:colOff>183615</xdr:colOff>
      <xdr:row>7</xdr:row>
      <xdr:rowOff>114759</xdr:rowOff>
    </xdr:to>
    <xdr:sp macro="" textlink="">
      <xdr:nvSpPr>
        <xdr:cNvPr id="8" name="Rectangle 7">
          <a:extLst>
            <a:ext uri="{FF2B5EF4-FFF2-40B4-BE49-F238E27FC236}">
              <a16:creationId xmlns:a16="http://schemas.microsoft.com/office/drawing/2014/main" id="{F1EE4F99-3E28-E77F-4157-8B77AE5FCE6A}"/>
            </a:ext>
          </a:extLst>
        </xdr:cNvPr>
        <xdr:cNvSpPr/>
      </xdr:nvSpPr>
      <xdr:spPr>
        <a:xfrm>
          <a:off x="9976386" y="267771"/>
          <a:ext cx="3060241" cy="11322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296333</xdr:colOff>
      <xdr:row>25</xdr:row>
      <xdr:rowOff>42333</xdr:rowOff>
    </xdr:from>
    <xdr:to>
      <xdr:col>21</xdr:col>
      <xdr:colOff>127000</xdr:colOff>
      <xdr:row>45</xdr:row>
      <xdr:rowOff>42333</xdr:rowOff>
    </xdr:to>
    <xdr:sp macro="" textlink="">
      <xdr:nvSpPr>
        <xdr:cNvPr id="36" name="Rectangle 35">
          <a:extLst>
            <a:ext uri="{FF2B5EF4-FFF2-40B4-BE49-F238E27FC236}">
              <a16:creationId xmlns:a16="http://schemas.microsoft.com/office/drawing/2014/main" id="{68A00975-2613-0981-F1A2-45D5106DEB53}"/>
            </a:ext>
          </a:extLst>
        </xdr:cNvPr>
        <xdr:cNvSpPr/>
      </xdr:nvSpPr>
      <xdr:spPr>
        <a:xfrm>
          <a:off x="7048500" y="4804833"/>
          <a:ext cx="5969000" cy="381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21</xdr:col>
      <xdr:colOff>361261</xdr:colOff>
      <xdr:row>66</xdr:row>
      <xdr:rowOff>154901</xdr:rowOff>
    </xdr:to>
    <xdr:sp macro="" textlink="">
      <xdr:nvSpPr>
        <xdr:cNvPr id="35" name="Rectangle 34">
          <a:extLst>
            <a:ext uri="{FF2B5EF4-FFF2-40B4-BE49-F238E27FC236}">
              <a16:creationId xmlns:a16="http://schemas.microsoft.com/office/drawing/2014/main" id="{403C2EB4-A008-A0F2-8910-50DEF3491CEE}"/>
            </a:ext>
          </a:extLst>
        </xdr:cNvPr>
        <xdr:cNvSpPr/>
      </xdr:nvSpPr>
      <xdr:spPr>
        <a:xfrm>
          <a:off x="0" y="0"/>
          <a:ext cx="13012415" cy="11975670"/>
        </a:xfrm>
        <a:prstGeom prst="rect">
          <a:avLst/>
        </a:prstGeom>
        <a:solidFill>
          <a:srgbClr val="0F172A"/>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107022</xdr:colOff>
      <xdr:row>0</xdr:row>
      <xdr:rowOff>57150</xdr:rowOff>
    </xdr:from>
    <xdr:to>
      <xdr:col>21</xdr:col>
      <xdr:colOff>170366</xdr:colOff>
      <xdr:row>5</xdr:row>
      <xdr:rowOff>16934</xdr:rowOff>
    </xdr:to>
    <xdr:sp macro="" textlink="">
      <xdr:nvSpPr>
        <xdr:cNvPr id="2" name="Rectangle: Rounded Corners 1">
          <a:extLst>
            <a:ext uri="{FF2B5EF4-FFF2-40B4-BE49-F238E27FC236}">
              <a16:creationId xmlns:a16="http://schemas.microsoft.com/office/drawing/2014/main" id="{FC1C2E93-CDD9-4D5E-321C-55661B1BEFB0}"/>
            </a:ext>
          </a:extLst>
        </xdr:cNvPr>
        <xdr:cNvSpPr/>
      </xdr:nvSpPr>
      <xdr:spPr>
        <a:xfrm>
          <a:off x="107022" y="57150"/>
          <a:ext cx="12747856" cy="889052"/>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400" b="1">
              <a:solidFill>
                <a:schemeClr val="accent2">
                  <a:lumMod val="60000"/>
                  <a:lumOff val="40000"/>
                </a:schemeClr>
              </a:solidFill>
              <a:latin typeface="Calisto MT" panose="02040603050505030304" pitchFamily="18" charset="0"/>
            </a:rPr>
            <a:t>        AI</a:t>
          </a:r>
          <a:r>
            <a:rPr lang="en-IN" sz="4400" b="1" baseline="0">
              <a:solidFill>
                <a:schemeClr val="accent2">
                  <a:lumMod val="60000"/>
                  <a:lumOff val="40000"/>
                </a:schemeClr>
              </a:solidFill>
              <a:latin typeface="Calisto MT" panose="02040603050505030304" pitchFamily="18" charset="0"/>
            </a:rPr>
            <a:t> AND THE FUTURE OF WORK -2030</a:t>
          </a:r>
          <a:endParaRPr lang="en-IN" sz="4400" b="1">
            <a:solidFill>
              <a:schemeClr val="accent2">
                <a:lumMod val="60000"/>
                <a:lumOff val="40000"/>
              </a:schemeClr>
            </a:solidFill>
            <a:latin typeface="Calisto MT" panose="02040603050505030304" pitchFamily="18" charset="0"/>
          </a:endParaRPr>
        </a:p>
      </xdr:txBody>
    </xdr:sp>
    <xdr:clientData/>
  </xdr:twoCellAnchor>
  <xdr:twoCellAnchor>
    <xdr:from>
      <xdr:col>0</xdr:col>
      <xdr:colOff>99888</xdr:colOff>
      <xdr:row>5</xdr:row>
      <xdr:rowOff>67734</xdr:rowOff>
    </xdr:from>
    <xdr:to>
      <xdr:col>4</xdr:col>
      <xdr:colOff>397934</xdr:colOff>
      <xdr:row>9</xdr:row>
      <xdr:rowOff>160867</xdr:rowOff>
    </xdr:to>
    <xdr:sp macro="" textlink="">
      <xdr:nvSpPr>
        <xdr:cNvPr id="3" name="Rectangle: Rounded Corners 2">
          <a:extLst>
            <a:ext uri="{FF2B5EF4-FFF2-40B4-BE49-F238E27FC236}">
              <a16:creationId xmlns:a16="http://schemas.microsoft.com/office/drawing/2014/main" id="{CA4F0274-5FD1-163C-5BA7-E031F7C6F3A9}"/>
            </a:ext>
          </a:extLst>
        </xdr:cNvPr>
        <xdr:cNvSpPr/>
      </xdr:nvSpPr>
      <xdr:spPr>
        <a:xfrm>
          <a:off x="99888" y="995262"/>
          <a:ext cx="2723889" cy="835156"/>
        </a:xfrm>
        <a:prstGeom prst="roundRect">
          <a:avLst/>
        </a:prstGeom>
        <a:solidFill>
          <a:srgbClr val="050B1B"/>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800" b="1">
              <a:solidFill>
                <a:schemeClr val="accent2">
                  <a:lumMod val="40000"/>
                  <a:lumOff val="60000"/>
                </a:schemeClr>
              </a:solidFill>
              <a:latin typeface="Calisto MT" panose="02040603050505030304" pitchFamily="18" charset="0"/>
            </a:rPr>
            <a:t>Total</a:t>
          </a:r>
          <a:r>
            <a:rPr lang="en-IN" sz="1800" b="1" baseline="0">
              <a:solidFill>
                <a:schemeClr val="accent2">
                  <a:lumMod val="40000"/>
                  <a:lumOff val="60000"/>
                </a:schemeClr>
              </a:solidFill>
              <a:latin typeface="Calisto MT" panose="02040603050505030304" pitchFamily="18" charset="0"/>
            </a:rPr>
            <a:t> Job Roles</a:t>
          </a:r>
          <a:endParaRPr lang="en-IN" sz="1800" b="1">
            <a:solidFill>
              <a:schemeClr val="accent2">
                <a:lumMod val="40000"/>
                <a:lumOff val="60000"/>
              </a:schemeClr>
            </a:solidFill>
            <a:latin typeface="Calisto MT" panose="02040603050505030304" pitchFamily="18" charset="0"/>
          </a:endParaRPr>
        </a:p>
      </xdr:txBody>
    </xdr:sp>
    <xdr:clientData/>
  </xdr:twoCellAnchor>
  <xdr:twoCellAnchor>
    <xdr:from>
      <xdr:col>0</xdr:col>
      <xdr:colOff>114157</xdr:colOff>
      <xdr:row>10</xdr:row>
      <xdr:rowOff>25399</xdr:rowOff>
    </xdr:from>
    <xdr:to>
      <xdr:col>4</xdr:col>
      <xdr:colOff>412106</xdr:colOff>
      <xdr:row>14</xdr:row>
      <xdr:rowOff>118533</xdr:rowOff>
    </xdr:to>
    <xdr:sp macro="" textlink="">
      <xdr:nvSpPr>
        <xdr:cNvPr id="4" name="Rectangle: Rounded Corners 3">
          <a:extLst>
            <a:ext uri="{FF2B5EF4-FFF2-40B4-BE49-F238E27FC236}">
              <a16:creationId xmlns:a16="http://schemas.microsoft.com/office/drawing/2014/main" id="{73A112C0-8634-4ACD-9147-F17272CB4725}"/>
            </a:ext>
          </a:extLst>
        </xdr:cNvPr>
        <xdr:cNvSpPr/>
      </xdr:nvSpPr>
      <xdr:spPr>
        <a:xfrm>
          <a:off x="114157" y="1880455"/>
          <a:ext cx="2723792" cy="835157"/>
        </a:xfrm>
        <a:prstGeom prst="roundRect">
          <a:avLst/>
        </a:prstGeom>
        <a:solidFill>
          <a:srgbClr val="050B1B"/>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800" b="1">
              <a:solidFill>
                <a:schemeClr val="accent2">
                  <a:lumMod val="60000"/>
                  <a:lumOff val="40000"/>
                </a:schemeClr>
              </a:solidFill>
              <a:latin typeface="Calisto MT" panose="02040603050505030304" pitchFamily="18" charset="0"/>
            </a:rPr>
            <a:t>Average</a:t>
          </a:r>
          <a:r>
            <a:rPr lang="en-IN" sz="1800" b="1" baseline="0">
              <a:solidFill>
                <a:schemeClr val="accent2">
                  <a:lumMod val="60000"/>
                  <a:lumOff val="40000"/>
                </a:schemeClr>
              </a:solidFill>
              <a:latin typeface="Calisto MT" panose="02040603050505030304" pitchFamily="18" charset="0"/>
            </a:rPr>
            <a:t> Salary</a:t>
          </a:r>
          <a:endParaRPr lang="en-IN" sz="1800" b="1">
            <a:solidFill>
              <a:schemeClr val="accent2">
                <a:lumMod val="60000"/>
                <a:lumOff val="40000"/>
              </a:schemeClr>
            </a:solidFill>
            <a:latin typeface="Calisto MT" panose="02040603050505030304" pitchFamily="18" charset="0"/>
          </a:endParaRPr>
        </a:p>
      </xdr:txBody>
    </xdr:sp>
    <xdr:clientData/>
  </xdr:twoCellAnchor>
  <xdr:twoCellAnchor>
    <xdr:from>
      <xdr:col>0</xdr:col>
      <xdr:colOff>99888</xdr:colOff>
      <xdr:row>14</xdr:row>
      <xdr:rowOff>175238</xdr:rowOff>
    </xdr:from>
    <xdr:to>
      <xdr:col>4</xdr:col>
      <xdr:colOff>424281</xdr:colOff>
      <xdr:row>19</xdr:row>
      <xdr:rowOff>81252</xdr:rowOff>
    </xdr:to>
    <xdr:sp macro="" textlink="">
      <xdr:nvSpPr>
        <xdr:cNvPr id="5" name="Rectangle: Rounded Corners 4">
          <a:extLst>
            <a:ext uri="{FF2B5EF4-FFF2-40B4-BE49-F238E27FC236}">
              <a16:creationId xmlns:a16="http://schemas.microsoft.com/office/drawing/2014/main" id="{16710E11-FF13-484B-8927-A95EA837B311}"/>
            </a:ext>
          </a:extLst>
        </xdr:cNvPr>
        <xdr:cNvSpPr/>
      </xdr:nvSpPr>
      <xdr:spPr>
        <a:xfrm>
          <a:off x="99888" y="2772317"/>
          <a:ext cx="2750236" cy="833542"/>
        </a:xfrm>
        <a:prstGeom prst="roundRect">
          <a:avLst/>
        </a:prstGeom>
        <a:solidFill>
          <a:srgbClr val="050B1B"/>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800" b="1">
              <a:solidFill>
                <a:schemeClr val="accent2">
                  <a:lumMod val="60000"/>
                  <a:lumOff val="40000"/>
                </a:schemeClr>
              </a:solidFill>
              <a:latin typeface="Calisto MT" panose="02040603050505030304" pitchFamily="18" charset="0"/>
            </a:rPr>
            <a:t>Average  AI</a:t>
          </a:r>
          <a:r>
            <a:rPr lang="en-IN" sz="1800" b="1" baseline="0">
              <a:solidFill>
                <a:schemeClr val="accent2">
                  <a:lumMod val="60000"/>
                  <a:lumOff val="40000"/>
                </a:schemeClr>
              </a:solidFill>
              <a:latin typeface="Calisto MT" panose="02040603050505030304" pitchFamily="18" charset="0"/>
            </a:rPr>
            <a:t> Risk</a:t>
          </a:r>
          <a:endParaRPr lang="en-IN" sz="1800" b="1">
            <a:solidFill>
              <a:schemeClr val="accent2">
                <a:lumMod val="60000"/>
                <a:lumOff val="40000"/>
              </a:schemeClr>
            </a:solidFill>
            <a:latin typeface="Calisto MT" panose="02040603050505030304" pitchFamily="18" charset="0"/>
          </a:endParaRPr>
        </a:p>
      </xdr:txBody>
    </xdr:sp>
    <xdr:clientData/>
  </xdr:twoCellAnchor>
  <xdr:twoCellAnchor>
    <xdr:from>
      <xdr:col>0</xdr:col>
      <xdr:colOff>73692</xdr:colOff>
      <xdr:row>19</xdr:row>
      <xdr:rowOff>123559</xdr:rowOff>
    </xdr:from>
    <xdr:to>
      <xdr:col>4</xdr:col>
      <xdr:colOff>398181</xdr:colOff>
      <xdr:row>24</xdr:row>
      <xdr:rowOff>71348</xdr:rowOff>
    </xdr:to>
    <xdr:sp macro="" textlink="">
      <xdr:nvSpPr>
        <xdr:cNvPr id="6" name="Rectangle: Rounded Corners 5">
          <a:extLst>
            <a:ext uri="{FF2B5EF4-FFF2-40B4-BE49-F238E27FC236}">
              <a16:creationId xmlns:a16="http://schemas.microsoft.com/office/drawing/2014/main" id="{8EDB74A5-0B8E-48A6-9A22-743390732C1C}"/>
            </a:ext>
          </a:extLst>
        </xdr:cNvPr>
        <xdr:cNvSpPr/>
      </xdr:nvSpPr>
      <xdr:spPr>
        <a:xfrm>
          <a:off x="73692" y="3648166"/>
          <a:ext cx="2750332" cy="875317"/>
        </a:xfrm>
        <a:prstGeom prst="roundRect">
          <a:avLst/>
        </a:prstGeom>
        <a:solidFill>
          <a:srgbClr val="050B1B"/>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800" b="1">
              <a:solidFill>
                <a:schemeClr val="accent2">
                  <a:lumMod val="60000"/>
                  <a:lumOff val="40000"/>
                </a:schemeClr>
              </a:solidFill>
              <a:latin typeface="Calisto MT" panose="02040603050505030304" pitchFamily="18" charset="0"/>
            </a:rPr>
            <a:t>Job Satisfaction</a:t>
          </a:r>
        </a:p>
      </xdr:txBody>
    </xdr:sp>
    <xdr:clientData/>
  </xdr:twoCellAnchor>
  <xdr:twoCellAnchor>
    <xdr:from>
      <xdr:col>4</xdr:col>
      <xdr:colOff>457760</xdr:colOff>
      <xdr:row>5</xdr:row>
      <xdr:rowOff>69021</xdr:rowOff>
    </xdr:from>
    <xdr:to>
      <xdr:col>16</xdr:col>
      <xdr:colOff>29824</xdr:colOff>
      <xdr:row>24</xdr:row>
      <xdr:rowOff>78395</xdr:rowOff>
    </xdr:to>
    <xdr:sp macro="" textlink="">
      <xdr:nvSpPr>
        <xdr:cNvPr id="7" name="Rectangle: Rounded Corners 6">
          <a:extLst>
            <a:ext uri="{FF2B5EF4-FFF2-40B4-BE49-F238E27FC236}">
              <a16:creationId xmlns:a16="http://schemas.microsoft.com/office/drawing/2014/main" id="{9FF39320-B343-6266-736B-EC083797BCEA}"/>
            </a:ext>
          </a:extLst>
        </xdr:cNvPr>
        <xdr:cNvSpPr/>
      </xdr:nvSpPr>
      <xdr:spPr>
        <a:xfrm>
          <a:off x="2903686" y="970564"/>
          <a:ext cx="6909842" cy="3435238"/>
        </a:xfrm>
        <a:prstGeom prst="roundRect">
          <a:avLst>
            <a:gd name="adj" fmla="val 410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70556</xdr:colOff>
      <xdr:row>24</xdr:row>
      <xdr:rowOff>172469</xdr:rowOff>
    </xdr:from>
    <xdr:to>
      <xdr:col>11</xdr:col>
      <xdr:colOff>295856</xdr:colOff>
      <xdr:row>45</xdr:row>
      <xdr:rowOff>29483</xdr:rowOff>
    </xdr:to>
    <xdr:sp macro="" textlink="">
      <xdr:nvSpPr>
        <xdr:cNvPr id="9" name="Rectangle: Rounded Corners 8">
          <a:extLst>
            <a:ext uri="{FF2B5EF4-FFF2-40B4-BE49-F238E27FC236}">
              <a16:creationId xmlns:a16="http://schemas.microsoft.com/office/drawing/2014/main" id="{20288CE9-06A7-4E7B-BAE6-A2755B4A784E}"/>
            </a:ext>
          </a:extLst>
        </xdr:cNvPr>
        <xdr:cNvSpPr/>
      </xdr:nvSpPr>
      <xdr:spPr>
        <a:xfrm>
          <a:off x="70556" y="4499876"/>
          <a:ext cx="6951596" cy="3643496"/>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101914</xdr:colOff>
      <xdr:row>5</xdr:row>
      <xdr:rowOff>61952</xdr:rowOff>
    </xdr:from>
    <xdr:to>
      <xdr:col>21</xdr:col>
      <xdr:colOff>219506</xdr:colOff>
      <xdr:row>24</xdr:row>
      <xdr:rowOff>70556</xdr:rowOff>
    </xdr:to>
    <xdr:sp macro="" textlink="">
      <xdr:nvSpPr>
        <xdr:cNvPr id="10" name="Rectangle: Rounded Corners 9">
          <a:extLst>
            <a:ext uri="{FF2B5EF4-FFF2-40B4-BE49-F238E27FC236}">
              <a16:creationId xmlns:a16="http://schemas.microsoft.com/office/drawing/2014/main" id="{DF652C62-5AD8-38A5-6CEB-4EB3FC995496}"/>
            </a:ext>
          </a:extLst>
        </xdr:cNvPr>
        <xdr:cNvSpPr/>
      </xdr:nvSpPr>
      <xdr:spPr>
        <a:xfrm>
          <a:off x="9766304" y="991220"/>
          <a:ext cx="3137714" cy="3539824"/>
        </a:xfrm>
        <a:prstGeom prst="roundRect">
          <a:avLst>
            <a:gd name="adj" fmla="val 4373"/>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243366</xdr:colOff>
      <xdr:row>45</xdr:row>
      <xdr:rowOff>116398</xdr:rowOff>
    </xdr:from>
    <xdr:to>
      <xdr:col>15</xdr:col>
      <xdr:colOff>101230</xdr:colOff>
      <xdr:row>65</xdr:row>
      <xdr:rowOff>61180</xdr:rowOff>
    </xdr:to>
    <xdr:sp macro="" textlink="">
      <xdr:nvSpPr>
        <xdr:cNvPr id="11" name="Rectangle: Rounded Corners 10">
          <a:extLst>
            <a:ext uri="{FF2B5EF4-FFF2-40B4-BE49-F238E27FC236}">
              <a16:creationId xmlns:a16="http://schemas.microsoft.com/office/drawing/2014/main" id="{9F49774F-ADD3-482E-BA68-8BF804FB0E44}"/>
            </a:ext>
          </a:extLst>
        </xdr:cNvPr>
        <xdr:cNvSpPr/>
      </xdr:nvSpPr>
      <xdr:spPr>
        <a:xfrm>
          <a:off x="4523736" y="8230287"/>
          <a:ext cx="4749716" cy="3550955"/>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82827</xdr:colOff>
      <xdr:row>45</xdr:row>
      <xdr:rowOff>110436</xdr:rowOff>
    </xdr:from>
    <xdr:to>
      <xdr:col>7</xdr:col>
      <xdr:colOff>156791</xdr:colOff>
      <xdr:row>65</xdr:row>
      <xdr:rowOff>55218</xdr:rowOff>
    </xdr:to>
    <xdr:sp macro="" textlink="">
      <xdr:nvSpPr>
        <xdr:cNvPr id="12" name="Rectangle: Rounded Corners 11">
          <a:extLst>
            <a:ext uri="{FF2B5EF4-FFF2-40B4-BE49-F238E27FC236}">
              <a16:creationId xmlns:a16="http://schemas.microsoft.com/office/drawing/2014/main" id="{09994923-6FEE-4FBA-8880-545EC8F6952D}"/>
            </a:ext>
          </a:extLst>
        </xdr:cNvPr>
        <xdr:cNvSpPr/>
      </xdr:nvSpPr>
      <xdr:spPr>
        <a:xfrm>
          <a:off x="82827" y="8224325"/>
          <a:ext cx="4354334" cy="3550955"/>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344939</xdr:colOff>
      <xdr:row>25</xdr:row>
      <xdr:rowOff>0</xdr:rowOff>
    </xdr:from>
    <xdr:to>
      <xdr:col>21</xdr:col>
      <xdr:colOff>219507</xdr:colOff>
      <xdr:row>45</xdr:row>
      <xdr:rowOff>27609</xdr:rowOff>
    </xdr:to>
    <xdr:sp macro="" textlink="">
      <xdr:nvSpPr>
        <xdr:cNvPr id="13" name="Rectangle: Rounded Corners 12">
          <a:extLst>
            <a:ext uri="{FF2B5EF4-FFF2-40B4-BE49-F238E27FC236}">
              <a16:creationId xmlns:a16="http://schemas.microsoft.com/office/drawing/2014/main" id="{8EE5FC92-7BEF-4116-B334-4C3E2A9D6A13}"/>
            </a:ext>
          </a:extLst>
        </xdr:cNvPr>
        <xdr:cNvSpPr/>
      </xdr:nvSpPr>
      <xdr:spPr>
        <a:xfrm>
          <a:off x="7071235" y="4507716"/>
          <a:ext cx="5989383" cy="3633782"/>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180309</xdr:colOff>
      <xdr:row>45</xdr:row>
      <xdr:rowOff>127989</xdr:rowOff>
    </xdr:from>
    <xdr:to>
      <xdr:col>21</xdr:col>
      <xdr:colOff>243025</xdr:colOff>
      <xdr:row>65</xdr:row>
      <xdr:rowOff>72771</xdr:rowOff>
    </xdr:to>
    <xdr:sp macro="" textlink="">
      <xdr:nvSpPr>
        <xdr:cNvPr id="14" name="Rectangle: Rounded Corners 13">
          <a:extLst>
            <a:ext uri="{FF2B5EF4-FFF2-40B4-BE49-F238E27FC236}">
              <a16:creationId xmlns:a16="http://schemas.microsoft.com/office/drawing/2014/main" id="{7BFA763D-8278-41FF-A55A-224DB66CE19E}"/>
            </a:ext>
          </a:extLst>
        </xdr:cNvPr>
        <xdr:cNvSpPr/>
      </xdr:nvSpPr>
      <xdr:spPr>
        <a:xfrm>
          <a:off x="9352531" y="8241878"/>
          <a:ext cx="3731605" cy="3550955"/>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525247</xdr:colOff>
      <xdr:row>7</xdr:row>
      <xdr:rowOff>133272</xdr:rowOff>
    </xdr:from>
    <xdr:to>
      <xdr:col>15</xdr:col>
      <xdr:colOff>540926</xdr:colOff>
      <xdr:row>23</xdr:row>
      <xdr:rowOff>124239</xdr:rowOff>
    </xdr:to>
    <xdr:graphicFrame macro="">
      <xdr:nvGraphicFramePr>
        <xdr:cNvPr id="15" name="Chart 14">
          <a:extLst>
            <a:ext uri="{FF2B5EF4-FFF2-40B4-BE49-F238E27FC236}">
              <a16:creationId xmlns:a16="http://schemas.microsoft.com/office/drawing/2014/main" id="{54676A0A-264F-457C-818C-59DDF8BB6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297901</xdr:colOff>
      <xdr:row>49</xdr:row>
      <xdr:rowOff>20159</xdr:rowOff>
    </xdr:from>
    <xdr:to>
      <xdr:col>21</xdr:col>
      <xdr:colOff>195988</xdr:colOff>
      <xdr:row>64</xdr:row>
      <xdr:rowOff>109752</xdr:rowOff>
    </xdr:to>
    <xdr:graphicFrame macro="">
      <xdr:nvGraphicFramePr>
        <xdr:cNvPr id="21" name="Chart 20">
          <a:extLst>
            <a:ext uri="{FF2B5EF4-FFF2-40B4-BE49-F238E27FC236}">
              <a16:creationId xmlns:a16="http://schemas.microsoft.com/office/drawing/2014/main" id="{920F2EED-11FB-4573-8482-8E9D4F971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177294</xdr:colOff>
      <xdr:row>6</xdr:row>
      <xdr:rowOff>121854</xdr:rowOff>
    </xdr:from>
    <xdr:to>
      <xdr:col>21</xdr:col>
      <xdr:colOff>133837</xdr:colOff>
      <xdr:row>11</xdr:row>
      <xdr:rowOff>147251</xdr:rowOff>
    </xdr:to>
    <mc:AlternateContent xmlns:mc="http://schemas.openxmlformats.org/markup-compatibility/2006" xmlns:a14="http://schemas.microsoft.com/office/drawing/2010/main">
      <mc:Choice Requires="a14">
        <xdr:graphicFrame macro="">
          <xdr:nvGraphicFramePr>
            <xdr:cNvPr id="24" name="Country 1">
              <a:extLst>
                <a:ext uri="{FF2B5EF4-FFF2-40B4-BE49-F238E27FC236}">
                  <a16:creationId xmlns:a16="http://schemas.microsoft.com/office/drawing/2014/main" id="{A8842B61-C64D-4DE4-B349-5D4EDE05066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841684" y="1236976"/>
              <a:ext cx="2976665" cy="954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144996</xdr:colOff>
      <xdr:row>12</xdr:row>
      <xdr:rowOff>103925</xdr:rowOff>
    </xdr:from>
    <xdr:to>
      <xdr:col>21</xdr:col>
      <xdr:colOff>179936</xdr:colOff>
      <xdr:row>17</xdr:row>
      <xdr:rowOff>115513</xdr:rowOff>
    </xdr:to>
    <mc:AlternateContent xmlns:mc="http://schemas.openxmlformats.org/markup-compatibility/2006" xmlns:a14="http://schemas.microsoft.com/office/drawing/2010/main">
      <mc:Choice Requires="a14">
        <xdr:graphicFrame macro="">
          <xdr:nvGraphicFramePr>
            <xdr:cNvPr id="25" name="Company_Size 1">
              <a:extLst>
                <a:ext uri="{FF2B5EF4-FFF2-40B4-BE49-F238E27FC236}">
                  <a16:creationId xmlns:a16="http://schemas.microsoft.com/office/drawing/2014/main" id="{1284BECC-C593-484F-BB35-F765176768BD}"/>
                </a:ext>
              </a:extLst>
            </xdr:cNvPr>
            <xdr:cNvGraphicFramePr/>
          </xdr:nvGraphicFramePr>
          <xdr:xfrm>
            <a:off x="0" y="0"/>
            <a:ext cx="0" cy="0"/>
          </xdr:xfrm>
          <a:graphic>
            <a:graphicData uri="http://schemas.microsoft.com/office/drawing/2010/slicer">
              <sle:slicer xmlns:sle="http://schemas.microsoft.com/office/drawing/2010/slicer" name="Company_Size 1"/>
            </a:graphicData>
          </a:graphic>
        </xdr:graphicFrame>
      </mc:Choice>
      <mc:Fallback xmlns="">
        <xdr:sp macro="" textlink="">
          <xdr:nvSpPr>
            <xdr:cNvPr id="0" name=""/>
            <xdr:cNvSpPr>
              <a:spLocks noTextEdit="1"/>
            </xdr:cNvSpPr>
          </xdr:nvSpPr>
          <xdr:spPr>
            <a:xfrm>
              <a:off x="9809386" y="2334169"/>
              <a:ext cx="3055062" cy="940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172469</xdr:colOff>
      <xdr:row>18</xdr:row>
      <xdr:rowOff>62137</xdr:rowOff>
    </xdr:from>
    <xdr:to>
      <xdr:col>21</xdr:col>
      <xdr:colOff>156791</xdr:colOff>
      <xdr:row>23</xdr:row>
      <xdr:rowOff>55832</xdr:rowOff>
    </xdr:to>
    <mc:AlternateContent xmlns:mc="http://schemas.openxmlformats.org/markup-compatibility/2006" xmlns:a14="http://schemas.microsoft.com/office/drawing/2010/main">
      <mc:Choice Requires="a14">
        <xdr:graphicFrame macro="">
          <xdr:nvGraphicFramePr>
            <xdr:cNvPr id="28" name="AI_Tool_Usage 1">
              <a:extLst>
                <a:ext uri="{FF2B5EF4-FFF2-40B4-BE49-F238E27FC236}">
                  <a16:creationId xmlns:a16="http://schemas.microsoft.com/office/drawing/2014/main" id="{E60B69E0-C601-46AF-AD78-B18FA993D410}"/>
                </a:ext>
              </a:extLst>
            </xdr:cNvPr>
            <xdr:cNvGraphicFramePr/>
          </xdr:nvGraphicFramePr>
          <xdr:xfrm>
            <a:off x="0" y="0"/>
            <a:ext cx="0" cy="0"/>
          </xdr:xfrm>
          <a:graphic>
            <a:graphicData uri="http://schemas.microsoft.com/office/drawing/2010/slicer">
              <sle:slicer xmlns:sle="http://schemas.microsoft.com/office/drawing/2010/slicer" name="AI_Tool_Usage 1"/>
            </a:graphicData>
          </a:graphic>
        </xdr:graphicFrame>
      </mc:Choice>
      <mc:Fallback xmlns="">
        <xdr:sp macro="" textlink="">
          <xdr:nvSpPr>
            <xdr:cNvPr id="0" name=""/>
            <xdr:cNvSpPr>
              <a:spLocks noTextEdit="1"/>
            </xdr:cNvSpPr>
          </xdr:nvSpPr>
          <xdr:spPr>
            <a:xfrm>
              <a:off x="9836859" y="3407503"/>
              <a:ext cx="3004444" cy="922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580464</xdr:colOff>
      <xdr:row>49</xdr:row>
      <xdr:rowOff>0</xdr:rowOff>
    </xdr:from>
    <xdr:to>
      <xdr:col>14</xdr:col>
      <xdr:colOff>525246</xdr:colOff>
      <xdr:row>65</xdr:row>
      <xdr:rowOff>35105</xdr:rowOff>
    </xdr:to>
    <xdr:graphicFrame macro="">
      <xdr:nvGraphicFramePr>
        <xdr:cNvPr id="22" name="Chart 21">
          <a:extLst>
            <a:ext uri="{FF2B5EF4-FFF2-40B4-BE49-F238E27FC236}">
              <a16:creationId xmlns:a16="http://schemas.microsoft.com/office/drawing/2014/main" id="{0AE4BC91-4E97-4AAC-99D9-1C84EE0BF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463764</xdr:colOff>
      <xdr:row>5</xdr:row>
      <xdr:rowOff>76896</xdr:rowOff>
    </xdr:from>
    <xdr:to>
      <xdr:col>16</xdr:col>
      <xdr:colOff>21404</xdr:colOff>
      <xdr:row>7</xdr:row>
      <xdr:rowOff>156967</xdr:rowOff>
    </xdr:to>
    <xdr:sp macro="" textlink="">
      <xdr:nvSpPr>
        <xdr:cNvPr id="23" name="TextBox 22">
          <a:extLst>
            <a:ext uri="{FF2B5EF4-FFF2-40B4-BE49-F238E27FC236}">
              <a16:creationId xmlns:a16="http://schemas.microsoft.com/office/drawing/2014/main" id="{0690FAEC-9FE8-BA07-0BD4-9C1944390895}"/>
            </a:ext>
          </a:extLst>
        </xdr:cNvPr>
        <xdr:cNvSpPr txBox="1"/>
      </xdr:nvSpPr>
      <xdr:spPr>
        <a:xfrm>
          <a:off x="2889607" y="1004424"/>
          <a:ext cx="6835168" cy="451082"/>
        </a:xfrm>
        <a:prstGeom prst="roundRect">
          <a:avLst>
            <a:gd name="adj" fmla="val 29321"/>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0">
              <a:solidFill>
                <a:schemeClr val="accent2">
                  <a:lumMod val="60000"/>
                  <a:lumOff val="40000"/>
                </a:schemeClr>
              </a:solidFill>
              <a:latin typeface="Calisto MT" panose="02040603050505030304" pitchFamily="18" charset="0"/>
            </a:rPr>
            <a:t>    Future Demand</a:t>
          </a:r>
          <a:r>
            <a:rPr lang="en-IN" sz="2800" b="0" baseline="0">
              <a:solidFill>
                <a:schemeClr val="accent2">
                  <a:lumMod val="60000"/>
                  <a:lumOff val="40000"/>
                </a:schemeClr>
              </a:solidFill>
              <a:latin typeface="Calisto MT" panose="02040603050505030304" pitchFamily="18" charset="0"/>
            </a:rPr>
            <a:t> Score By Job Roles</a:t>
          </a:r>
          <a:endParaRPr lang="en-IN" sz="2800" b="0">
            <a:solidFill>
              <a:schemeClr val="accent2">
                <a:lumMod val="60000"/>
                <a:lumOff val="40000"/>
              </a:schemeClr>
            </a:solidFill>
            <a:latin typeface="Calisto MT" panose="02040603050505030304" pitchFamily="18" charset="0"/>
          </a:endParaRPr>
        </a:p>
      </xdr:txBody>
    </xdr:sp>
    <xdr:clientData/>
  </xdr:twoCellAnchor>
  <xdr:twoCellAnchor>
    <xdr:from>
      <xdr:col>0</xdr:col>
      <xdr:colOff>111159</xdr:colOff>
      <xdr:row>45</xdr:row>
      <xdr:rowOff>127722</xdr:rowOff>
    </xdr:from>
    <xdr:to>
      <xdr:col>7</xdr:col>
      <xdr:colOff>169597</xdr:colOff>
      <xdr:row>48</xdr:row>
      <xdr:rowOff>119201</xdr:rowOff>
    </xdr:to>
    <xdr:sp macro="" textlink="">
      <xdr:nvSpPr>
        <xdr:cNvPr id="31" name="TextBox 30">
          <a:extLst>
            <a:ext uri="{FF2B5EF4-FFF2-40B4-BE49-F238E27FC236}">
              <a16:creationId xmlns:a16="http://schemas.microsoft.com/office/drawing/2014/main" id="{C8480BA6-B59C-4595-85A5-85A2AE095F40}"/>
            </a:ext>
          </a:extLst>
        </xdr:cNvPr>
        <xdr:cNvSpPr txBox="1"/>
      </xdr:nvSpPr>
      <xdr:spPr>
        <a:xfrm>
          <a:off x="111159" y="8410331"/>
          <a:ext cx="4310177" cy="543653"/>
        </a:xfrm>
        <a:prstGeom prst="round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0">
              <a:solidFill>
                <a:schemeClr val="accent2">
                  <a:lumMod val="60000"/>
                  <a:lumOff val="40000"/>
                </a:schemeClr>
              </a:solidFill>
              <a:latin typeface="Calisto MT" panose="02040603050505030304" pitchFamily="18" charset="0"/>
            </a:rPr>
            <a:t>   Industry</a:t>
          </a:r>
          <a:r>
            <a:rPr lang="en-IN" sz="2000" b="0" baseline="0">
              <a:solidFill>
                <a:schemeClr val="accent2">
                  <a:lumMod val="60000"/>
                  <a:lumOff val="40000"/>
                </a:schemeClr>
              </a:solidFill>
              <a:latin typeface="Calisto MT" panose="02040603050505030304" pitchFamily="18" charset="0"/>
            </a:rPr>
            <a:t> By AI replacement Risk</a:t>
          </a:r>
          <a:endParaRPr lang="en-IN" sz="2000" b="0">
            <a:solidFill>
              <a:schemeClr val="accent2">
                <a:lumMod val="60000"/>
                <a:lumOff val="40000"/>
              </a:schemeClr>
            </a:solidFill>
            <a:latin typeface="Calisto MT" panose="02040603050505030304" pitchFamily="18" charset="0"/>
          </a:endParaRPr>
        </a:p>
      </xdr:txBody>
    </xdr:sp>
    <xdr:clientData/>
  </xdr:twoCellAnchor>
  <xdr:twoCellAnchor>
    <xdr:from>
      <xdr:col>7</xdr:col>
      <xdr:colOff>235449</xdr:colOff>
      <xdr:row>45</xdr:row>
      <xdr:rowOff>131031</xdr:rowOff>
    </xdr:from>
    <xdr:to>
      <xdr:col>15</xdr:col>
      <xdr:colOff>100793</xdr:colOff>
      <xdr:row>48</xdr:row>
      <xdr:rowOff>110873</xdr:rowOff>
    </xdr:to>
    <xdr:sp macro="" textlink="">
      <xdr:nvSpPr>
        <xdr:cNvPr id="32" name="TextBox 31">
          <a:extLst>
            <a:ext uri="{FF2B5EF4-FFF2-40B4-BE49-F238E27FC236}">
              <a16:creationId xmlns:a16="http://schemas.microsoft.com/office/drawing/2014/main" id="{E801F69B-CF7A-44A0-9A9C-8E460BDE481E}"/>
            </a:ext>
          </a:extLst>
        </xdr:cNvPr>
        <xdr:cNvSpPr txBox="1"/>
      </xdr:nvSpPr>
      <xdr:spPr>
        <a:xfrm>
          <a:off x="4480674" y="8478784"/>
          <a:ext cx="4717029" cy="536359"/>
        </a:xfrm>
        <a:prstGeom prst="round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0">
              <a:solidFill>
                <a:schemeClr val="accent2">
                  <a:lumMod val="60000"/>
                  <a:lumOff val="40000"/>
                </a:schemeClr>
              </a:solidFill>
              <a:latin typeface="Calisto MT" panose="02040603050505030304" pitchFamily="18" charset="0"/>
            </a:rPr>
            <a:t>   </a:t>
          </a:r>
          <a:r>
            <a:rPr lang="en-IN" sz="2400" b="0" baseline="0">
              <a:solidFill>
                <a:schemeClr val="accent2">
                  <a:lumMod val="60000"/>
                  <a:lumOff val="40000"/>
                </a:schemeClr>
              </a:solidFill>
              <a:latin typeface="Calisto MT" panose="02040603050505030304" pitchFamily="18" charset="0"/>
            </a:rPr>
            <a:t>     </a:t>
          </a:r>
          <a:r>
            <a:rPr lang="en-IN" sz="2400" b="0">
              <a:solidFill>
                <a:schemeClr val="accent2">
                  <a:lumMod val="60000"/>
                  <a:lumOff val="40000"/>
                </a:schemeClr>
              </a:solidFill>
              <a:latin typeface="Calisto MT" panose="02040603050505030304" pitchFamily="18" charset="0"/>
            </a:rPr>
            <a:t>Industry By</a:t>
          </a:r>
          <a:r>
            <a:rPr lang="en-IN" sz="2400" b="0" baseline="0">
              <a:solidFill>
                <a:schemeClr val="accent2">
                  <a:lumMod val="60000"/>
                  <a:lumOff val="40000"/>
                </a:schemeClr>
              </a:solidFill>
              <a:latin typeface="Calisto MT" panose="02040603050505030304" pitchFamily="18" charset="0"/>
            </a:rPr>
            <a:t> AI tool usage</a:t>
          </a:r>
          <a:endParaRPr lang="en-IN" sz="2400" b="0">
            <a:solidFill>
              <a:schemeClr val="accent2">
                <a:lumMod val="60000"/>
                <a:lumOff val="40000"/>
              </a:schemeClr>
            </a:solidFill>
            <a:latin typeface="Calisto MT" panose="02040603050505030304" pitchFamily="18" charset="0"/>
          </a:endParaRPr>
        </a:p>
      </xdr:txBody>
    </xdr:sp>
    <xdr:clientData/>
  </xdr:twoCellAnchor>
  <xdr:twoCellAnchor>
    <xdr:from>
      <xdr:col>15</xdr:col>
      <xdr:colOff>191507</xdr:colOff>
      <xdr:row>45</xdr:row>
      <xdr:rowOff>116267</xdr:rowOff>
    </xdr:from>
    <xdr:to>
      <xdr:col>21</xdr:col>
      <xdr:colOff>262063</xdr:colOff>
      <xdr:row>48</xdr:row>
      <xdr:rowOff>119637</xdr:rowOff>
    </xdr:to>
    <xdr:sp macro="" textlink="">
      <xdr:nvSpPr>
        <xdr:cNvPr id="33" name="TextBox 32">
          <a:extLst>
            <a:ext uri="{FF2B5EF4-FFF2-40B4-BE49-F238E27FC236}">
              <a16:creationId xmlns:a16="http://schemas.microsoft.com/office/drawing/2014/main" id="{06F69F7B-F97F-405D-8709-89F0ABF4BAE2}"/>
            </a:ext>
          </a:extLst>
        </xdr:cNvPr>
        <xdr:cNvSpPr txBox="1"/>
      </xdr:nvSpPr>
      <xdr:spPr>
        <a:xfrm>
          <a:off x="9314042" y="8568028"/>
          <a:ext cx="3719570" cy="566820"/>
        </a:xfrm>
        <a:prstGeom prst="roundRect">
          <a:avLst/>
        </a:prstGeom>
        <a:noFill/>
        <a:ln>
          <a:solidFill>
            <a:schemeClr val="bg1">
              <a:lumMod val="9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r>
            <a:rPr lang="en-IN" sz="2000" b="1">
              <a:solidFill>
                <a:schemeClr val="accent2">
                  <a:lumMod val="60000"/>
                  <a:lumOff val="40000"/>
                </a:schemeClr>
              </a:solidFill>
              <a:latin typeface="Calisto MT" panose="02040603050505030304" pitchFamily="18" charset="0"/>
            </a:rPr>
            <a:t>Company Size By Job Growth</a:t>
          </a:r>
        </a:p>
      </xdr:txBody>
    </xdr:sp>
    <xdr:clientData/>
  </xdr:twoCellAnchor>
  <xdr:twoCellAnchor>
    <xdr:from>
      <xdr:col>0</xdr:col>
      <xdr:colOff>161270</xdr:colOff>
      <xdr:row>24</xdr:row>
      <xdr:rowOff>141112</xdr:rowOff>
    </xdr:from>
    <xdr:to>
      <xdr:col>11</xdr:col>
      <xdr:colOff>20159</xdr:colOff>
      <xdr:row>45</xdr:row>
      <xdr:rowOff>40318</xdr:rowOff>
    </xdr:to>
    <xdr:sp macro="" textlink="">
      <xdr:nvSpPr>
        <xdr:cNvPr id="38" name="Rectangle 37">
          <a:extLst>
            <a:ext uri="{FF2B5EF4-FFF2-40B4-BE49-F238E27FC236}">
              <a16:creationId xmlns:a16="http://schemas.microsoft.com/office/drawing/2014/main" id="{8C359E33-BD8D-8173-B985-598506975CB3}"/>
            </a:ext>
          </a:extLst>
        </xdr:cNvPr>
        <xdr:cNvSpPr/>
      </xdr:nvSpPr>
      <xdr:spPr>
        <a:xfrm>
          <a:off x="161270" y="4495398"/>
          <a:ext cx="6511270" cy="37092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100794</xdr:colOff>
      <xdr:row>24</xdr:row>
      <xdr:rowOff>154214</xdr:rowOff>
    </xdr:from>
    <xdr:to>
      <xdr:col>21</xdr:col>
      <xdr:colOff>204611</xdr:colOff>
      <xdr:row>45</xdr:row>
      <xdr:rowOff>50397</xdr:rowOff>
    </xdr:to>
    <xdr:sp macro="" textlink="">
      <xdr:nvSpPr>
        <xdr:cNvPr id="39" name="Rectangle 38">
          <a:extLst>
            <a:ext uri="{FF2B5EF4-FFF2-40B4-BE49-F238E27FC236}">
              <a16:creationId xmlns:a16="http://schemas.microsoft.com/office/drawing/2014/main" id="{B88D648D-6A57-4F37-99A8-A9E9BCEB802C}"/>
            </a:ext>
          </a:extLst>
        </xdr:cNvPr>
        <xdr:cNvSpPr/>
      </xdr:nvSpPr>
      <xdr:spPr>
        <a:xfrm>
          <a:off x="6753175" y="4508500"/>
          <a:ext cx="6151436" cy="37061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161270</xdr:colOff>
      <xdr:row>49</xdr:row>
      <xdr:rowOff>30238</xdr:rowOff>
    </xdr:from>
    <xdr:to>
      <xdr:col>7</xdr:col>
      <xdr:colOff>60477</xdr:colOff>
      <xdr:row>65</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51616643-E49A-49FA-9D45-60833AD590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1270" y="9053588"/>
              <a:ext cx="4166407" cy="29161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201587</xdr:colOff>
      <xdr:row>28</xdr:row>
      <xdr:rowOff>63500</xdr:rowOff>
    </xdr:from>
    <xdr:to>
      <xdr:col>10</xdr:col>
      <xdr:colOff>433414</xdr:colOff>
      <xdr:row>46</xdr:row>
      <xdr:rowOff>9203</xdr:rowOff>
    </xdr:to>
    <xdr:graphicFrame macro="">
      <xdr:nvGraphicFramePr>
        <xdr:cNvPr id="42" name="Chart 41">
          <a:extLst>
            <a:ext uri="{FF2B5EF4-FFF2-40B4-BE49-F238E27FC236}">
              <a16:creationId xmlns:a16="http://schemas.microsoft.com/office/drawing/2014/main" id="{298A0F50-0FE0-459A-92E8-60BEB3D6D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82826</xdr:colOff>
      <xdr:row>24</xdr:row>
      <xdr:rowOff>141110</xdr:rowOff>
    </xdr:from>
    <xdr:to>
      <xdr:col>11</xdr:col>
      <xdr:colOff>19051</xdr:colOff>
      <xdr:row>28</xdr:row>
      <xdr:rowOff>70555</xdr:rowOff>
    </xdr:to>
    <xdr:sp macro="" textlink="">
      <xdr:nvSpPr>
        <xdr:cNvPr id="43" name="Rectangle: Rounded Corners 42">
          <a:extLst>
            <a:ext uri="{FF2B5EF4-FFF2-40B4-BE49-F238E27FC236}">
              <a16:creationId xmlns:a16="http://schemas.microsoft.com/office/drawing/2014/main" id="{0F64EAE9-16EC-8211-AD46-4D4ABD350DCB}"/>
            </a:ext>
          </a:extLst>
        </xdr:cNvPr>
        <xdr:cNvSpPr/>
      </xdr:nvSpPr>
      <xdr:spPr>
        <a:xfrm>
          <a:off x="82826" y="4558501"/>
          <a:ext cx="6617529" cy="66567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0" cap="none" spc="0">
              <a:ln w="0"/>
              <a:solidFill>
                <a:schemeClr val="accent2">
                  <a:lumMod val="60000"/>
                  <a:lumOff val="40000"/>
                </a:schemeClr>
              </a:solidFill>
              <a:effectLst>
                <a:outerShdw blurRad="38100" dist="19050" dir="2700000" algn="tl" rotWithShape="0">
                  <a:schemeClr val="dk1">
                    <a:alpha val="40000"/>
                  </a:schemeClr>
                </a:outerShdw>
              </a:effectLst>
              <a:latin typeface="Calisto MT" panose="02040603050505030304" pitchFamily="18" charset="0"/>
            </a:rPr>
            <a:t>               Job</a:t>
          </a:r>
          <a:r>
            <a:rPr lang="en-IN" sz="2800" b="0" cap="none" spc="0" baseline="0">
              <a:ln w="0"/>
              <a:solidFill>
                <a:schemeClr val="accent2">
                  <a:lumMod val="60000"/>
                  <a:lumOff val="40000"/>
                </a:schemeClr>
              </a:solidFill>
              <a:effectLst>
                <a:outerShdw blurRad="38100" dist="19050" dir="2700000" algn="tl" rotWithShape="0">
                  <a:schemeClr val="dk1">
                    <a:alpha val="40000"/>
                  </a:schemeClr>
                </a:outerShdw>
              </a:effectLst>
              <a:latin typeface="Calisto MT" panose="02040603050505030304" pitchFamily="18" charset="0"/>
            </a:rPr>
            <a:t> Roles</a:t>
          </a:r>
          <a:r>
            <a:rPr lang="en-IN" sz="2800" b="0" cap="none" spc="0">
              <a:ln w="0"/>
              <a:solidFill>
                <a:schemeClr val="accent2">
                  <a:lumMod val="60000"/>
                  <a:lumOff val="40000"/>
                </a:schemeClr>
              </a:solidFill>
              <a:effectLst>
                <a:outerShdw blurRad="38100" dist="19050" dir="2700000" algn="tl" rotWithShape="0">
                  <a:schemeClr val="dk1">
                    <a:alpha val="40000"/>
                  </a:schemeClr>
                </a:outerShdw>
              </a:effectLst>
              <a:latin typeface="Calisto MT" panose="02040603050505030304" pitchFamily="18" charset="0"/>
            </a:rPr>
            <a:t> By country</a:t>
          </a:r>
        </a:p>
      </xdr:txBody>
    </xdr:sp>
    <xdr:clientData/>
  </xdr:twoCellAnchor>
  <xdr:twoCellAnchor>
    <xdr:from>
      <xdr:col>11</xdr:col>
      <xdr:colOff>83659</xdr:colOff>
      <xdr:row>24</xdr:row>
      <xdr:rowOff>144135</xdr:rowOff>
    </xdr:from>
    <xdr:to>
      <xdr:col>21</xdr:col>
      <xdr:colOff>221746</xdr:colOff>
      <xdr:row>28</xdr:row>
      <xdr:rowOff>73580</xdr:rowOff>
    </xdr:to>
    <xdr:sp macro="" textlink="">
      <xdr:nvSpPr>
        <xdr:cNvPr id="44" name="Rectangle: Rounded Corners 43">
          <a:extLst>
            <a:ext uri="{FF2B5EF4-FFF2-40B4-BE49-F238E27FC236}">
              <a16:creationId xmlns:a16="http://schemas.microsoft.com/office/drawing/2014/main" id="{E589D47F-0DB0-42BE-98D6-F56CCBC70DCA}"/>
            </a:ext>
          </a:extLst>
        </xdr:cNvPr>
        <xdr:cNvSpPr/>
      </xdr:nvSpPr>
      <xdr:spPr>
        <a:xfrm>
          <a:off x="6736040" y="4498421"/>
          <a:ext cx="6185706" cy="655159"/>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0">
              <a:solidFill>
                <a:schemeClr val="accent2">
                  <a:lumMod val="60000"/>
                  <a:lumOff val="40000"/>
                </a:schemeClr>
              </a:solidFill>
              <a:latin typeface="Calisto MT" panose="02040603050505030304" pitchFamily="18" charset="0"/>
            </a:rPr>
            <a:t>           Job</a:t>
          </a:r>
          <a:r>
            <a:rPr lang="en-IN" sz="2800" b="0" baseline="0">
              <a:solidFill>
                <a:schemeClr val="accent2">
                  <a:lumMod val="60000"/>
                  <a:lumOff val="40000"/>
                </a:schemeClr>
              </a:solidFill>
              <a:latin typeface="Calisto MT" panose="02040603050505030304" pitchFamily="18" charset="0"/>
            </a:rPr>
            <a:t> Roles</a:t>
          </a:r>
          <a:r>
            <a:rPr lang="en-IN" sz="2800" b="0">
              <a:solidFill>
                <a:schemeClr val="accent2">
                  <a:lumMod val="60000"/>
                  <a:lumOff val="40000"/>
                </a:schemeClr>
              </a:solidFill>
              <a:latin typeface="Calisto MT" panose="02040603050505030304" pitchFamily="18" charset="0"/>
            </a:rPr>
            <a:t> By Job</a:t>
          </a:r>
          <a:r>
            <a:rPr lang="en-IN" sz="2800" b="0" baseline="0">
              <a:solidFill>
                <a:schemeClr val="accent2">
                  <a:lumMod val="60000"/>
                  <a:lumOff val="40000"/>
                </a:schemeClr>
              </a:solidFill>
              <a:latin typeface="Calisto MT" panose="02040603050505030304" pitchFamily="18" charset="0"/>
            </a:rPr>
            <a:t> Security</a:t>
          </a:r>
          <a:endParaRPr lang="en-IN" sz="2800" b="0">
            <a:solidFill>
              <a:schemeClr val="accent2">
                <a:lumMod val="60000"/>
                <a:lumOff val="40000"/>
              </a:schemeClr>
            </a:solidFill>
            <a:latin typeface="Calisto MT" panose="02040603050505030304" pitchFamily="18" charset="0"/>
          </a:endParaRPr>
        </a:p>
      </xdr:txBody>
    </xdr:sp>
    <xdr:clientData/>
  </xdr:twoCellAnchor>
  <xdr:twoCellAnchor editAs="oneCell">
    <xdr:from>
      <xdr:col>0</xdr:col>
      <xdr:colOff>325244</xdr:colOff>
      <xdr:row>0</xdr:row>
      <xdr:rowOff>93971</xdr:rowOff>
    </xdr:from>
    <xdr:to>
      <xdr:col>2</xdr:col>
      <xdr:colOff>85194</xdr:colOff>
      <xdr:row>4</xdr:row>
      <xdr:rowOff>143664</xdr:rowOff>
    </xdr:to>
    <xdr:pic>
      <xdr:nvPicPr>
        <xdr:cNvPr id="17" name="Graphic 16" descr="Robot">
          <a:extLst>
            <a:ext uri="{FF2B5EF4-FFF2-40B4-BE49-F238E27FC236}">
              <a16:creationId xmlns:a16="http://schemas.microsoft.com/office/drawing/2014/main" id="{30C47633-B1BE-47A4-ED37-A9F02F7D9BB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244" y="93971"/>
          <a:ext cx="967999" cy="793108"/>
        </a:xfrm>
        <a:prstGeom prst="rect">
          <a:avLst/>
        </a:prstGeom>
        <a:effectLst/>
      </xdr:spPr>
    </xdr:pic>
    <xdr:clientData/>
  </xdr:twoCellAnchor>
  <xdr:twoCellAnchor>
    <xdr:from>
      <xdr:col>2</xdr:col>
      <xdr:colOff>503466</xdr:colOff>
      <xdr:row>7</xdr:row>
      <xdr:rowOff>69020</xdr:rowOff>
    </xdr:from>
    <xdr:to>
      <xdr:col>4</xdr:col>
      <xdr:colOff>182399</xdr:colOff>
      <xdr:row>9</xdr:row>
      <xdr:rowOff>90424</xdr:rowOff>
    </xdr:to>
    <xdr:sp macro="" textlink="'PIvot Table'!L16">
      <xdr:nvSpPr>
        <xdr:cNvPr id="18" name="TextBox 17">
          <a:extLst>
            <a:ext uri="{FF2B5EF4-FFF2-40B4-BE49-F238E27FC236}">
              <a16:creationId xmlns:a16="http://schemas.microsoft.com/office/drawing/2014/main" id="{4D126C3B-DFE4-D572-9ADD-2F16B9F16455}"/>
            </a:ext>
          </a:extLst>
        </xdr:cNvPr>
        <xdr:cNvSpPr txBox="1"/>
      </xdr:nvSpPr>
      <xdr:spPr>
        <a:xfrm>
          <a:off x="1733779" y="1319176"/>
          <a:ext cx="909245" cy="37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C81CBB-A19B-4180-AA58-A3F3E5575DA6}" type="TxLink">
            <a:rPr lang="en-US" sz="2000" b="1" i="0" u="none" strike="noStrike">
              <a:solidFill>
                <a:schemeClr val="bg1">
                  <a:lumMod val="75000"/>
                </a:schemeClr>
              </a:solidFill>
              <a:latin typeface="Calisto MT" panose="02040603050505030304" pitchFamily="18" charset="0"/>
              <a:ea typeface="Calibri"/>
              <a:cs typeface="Calibri"/>
            </a:rPr>
            <a:pPr/>
            <a:t>3000</a:t>
          </a:fld>
          <a:endParaRPr lang="en-IN" sz="2000" b="1">
            <a:solidFill>
              <a:schemeClr val="bg1">
                <a:lumMod val="75000"/>
              </a:schemeClr>
            </a:solidFill>
            <a:latin typeface="Calisto MT" panose="02040603050505030304" pitchFamily="18" charset="0"/>
          </a:endParaRPr>
        </a:p>
      </xdr:txBody>
    </xdr:sp>
    <xdr:clientData/>
  </xdr:twoCellAnchor>
  <xdr:twoCellAnchor>
    <xdr:from>
      <xdr:col>2</xdr:col>
      <xdr:colOff>455917</xdr:colOff>
      <xdr:row>12</xdr:row>
      <xdr:rowOff>42096</xdr:rowOff>
    </xdr:from>
    <xdr:to>
      <xdr:col>4</xdr:col>
      <xdr:colOff>92040</xdr:colOff>
      <xdr:row>14</xdr:row>
      <xdr:rowOff>20691</xdr:rowOff>
    </xdr:to>
    <xdr:sp macro="" textlink="'PIvot Table'!L17">
      <xdr:nvSpPr>
        <xdr:cNvPr id="19" name="TextBox 18">
          <a:extLst>
            <a:ext uri="{FF2B5EF4-FFF2-40B4-BE49-F238E27FC236}">
              <a16:creationId xmlns:a16="http://schemas.microsoft.com/office/drawing/2014/main" id="{F1848407-171A-45AB-9B30-32889B23CEFB}"/>
            </a:ext>
          </a:extLst>
        </xdr:cNvPr>
        <xdr:cNvSpPr txBox="1"/>
      </xdr:nvSpPr>
      <xdr:spPr>
        <a:xfrm>
          <a:off x="1668838" y="2268163"/>
          <a:ext cx="849045" cy="349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6913F0-8F2E-443C-8883-879A9F97443D}" type="TxLink">
            <a:rPr lang="en-US" sz="2000" b="1" i="0" u="none" strike="noStrike">
              <a:solidFill>
                <a:schemeClr val="bg1">
                  <a:lumMod val="75000"/>
                </a:schemeClr>
              </a:solidFill>
              <a:latin typeface="Calisto MT" panose="02040603050505030304" pitchFamily="18" charset="0"/>
              <a:ea typeface="Calibri"/>
              <a:cs typeface="Calibri"/>
            </a:rPr>
            <a:pPr/>
            <a:t>126641.7467</a:t>
          </a:fld>
          <a:endParaRPr lang="en-US" sz="2000" b="1" i="0" u="none" strike="noStrike">
            <a:solidFill>
              <a:schemeClr val="bg1">
                <a:lumMod val="75000"/>
              </a:schemeClr>
            </a:solidFill>
            <a:latin typeface="Calisto MT" panose="02040603050505030304" pitchFamily="18" charset="0"/>
            <a:ea typeface="Calibri"/>
            <a:cs typeface="Calibri"/>
          </a:endParaRPr>
        </a:p>
      </xdr:txBody>
    </xdr:sp>
    <xdr:clientData/>
  </xdr:twoCellAnchor>
  <xdr:twoCellAnchor>
    <xdr:from>
      <xdr:col>2</xdr:col>
      <xdr:colOff>460417</xdr:colOff>
      <xdr:row>17</xdr:row>
      <xdr:rowOff>43523</xdr:rowOff>
    </xdr:from>
    <xdr:to>
      <xdr:col>4</xdr:col>
      <xdr:colOff>96540</xdr:colOff>
      <xdr:row>19</xdr:row>
      <xdr:rowOff>22120</xdr:rowOff>
    </xdr:to>
    <xdr:sp macro="" textlink="'PIvot Table'!L18">
      <xdr:nvSpPr>
        <xdr:cNvPr id="20" name="TextBox 19">
          <a:extLst>
            <a:ext uri="{FF2B5EF4-FFF2-40B4-BE49-F238E27FC236}">
              <a16:creationId xmlns:a16="http://schemas.microsoft.com/office/drawing/2014/main" id="{960F92E0-7A32-4BC1-8D2F-3D04B69D1E78}"/>
            </a:ext>
          </a:extLst>
        </xdr:cNvPr>
        <xdr:cNvSpPr txBox="1"/>
      </xdr:nvSpPr>
      <xdr:spPr>
        <a:xfrm>
          <a:off x="1671802" y="3198985"/>
          <a:ext cx="847507" cy="349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7D2BD0-1A7A-4ED5-A902-AB52425F54DB}" type="TxLink">
            <a:rPr lang="en-US" sz="2000" b="1" i="0" u="none" strike="noStrike">
              <a:solidFill>
                <a:schemeClr val="bg1">
                  <a:lumMod val="75000"/>
                </a:schemeClr>
              </a:solidFill>
              <a:latin typeface="Calisto MT" panose="02040603050505030304" pitchFamily="18" charset="0"/>
              <a:ea typeface="Calibri"/>
              <a:cs typeface="Calibri"/>
            </a:rPr>
            <a:pPr/>
            <a:t>0.50291</a:t>
          </a:fld>
          <a:endParaRPr lang="en-US" sz="2000" b="1" i="0" u="none" strike="noStrike">
            <a:solidFill>
              <a:schemeClr val="bg1">
                <a:lumMod val="75000"/>
              </a:schemeClr>
            </a:solidFill>
            <a:latin typeface="Calisto MT" panose="02040603050505030304" pitchFamily="18" charset="0"/>
            <a:ea typeface="Calibri"/>
            <a:cs typeface="Calibri"/>
          </a:endParaRPr>
        </a:p>
      </xdr:txBody>
    </xdr:sp>
    <xdr:clientData/>
  </xdr:twoCellAnchor>
  <xdr:twoCellAnchor>
    <xdr:from>
      <xdr:col>2</xdr:col>
      <xdr:colOff>477320</xdr:colOff>
      <xdr:row>22</xdr:row>
      <xdr:rowOff>3968</xdr:rowOff>
    </xdr:from>
    <xdr:to>
      <xdr:col>4</xdr:col>
      <xdr:colOff>113443</xdr:colOff>
      <xdr:row>23</xdr:row>
      <xdr:rowOff>161158</xdr:rowOff>
    </xdr:to>
    <xdr:sp macro="" textlink="'PIvot Table'!L19">
      <xdr:nvSpPr>
        <xdr:cNvPr id="26" name="TextBox 25">
          <a:extLst>
            <a:ext uri="{FF2B5EF4-FFF2-40B4-BE49-F238E27FC236}">
              <a16:creationId xmlns:a16="http://schemas.microsoft.com/office/drawing/2014/main" id="{25111A14-1688-44CC-950F-16927CFF0B93}"/>
            </a:ext>
          </a:extLst>
        </xdr:cNvPr>
        <xdr:cNvSpPr txBox="1"/>
      </xdr:nvSpPr>
      <xdr:spPr>
        <a:xfrm>
          <a:off x="1707633" y="3933031"/>
          <a:ext cx="866435" cy="335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F29D19-33F9-45E5-BAE4-46EF62239E47}" type="TxLink">
            <a:rPr lang="en-US" sz="2000" b="1" i="0" u="none" strike="noStrike">
              <a:solidFill>
                <a:schemeClr val="bg1">
                  <a:lumMod val="75000"/>
                </a:schemeClr>
              </a:solidFill>
              <a:latin typeface="Calisto MT" panose="02040603050505030304" pitchFamily="18" charset="0"/>
              <a:ea typeface="Calibri"/>
              <a:cs typeface="Calibri"/>
            </a:rPr>
            <a:pPr/>
            <a:t>3.026166667</a:t>
          </a:fld>
          <a:endParaRPr lang="en-US" sz="2000" b="1" i="0" u="none" strike="noStrike">
            <a:solidFill>
              <a:schemeClr val="bg1">
                <a:lumMod val="75000"/>
              </a:schemeClr>
            </a:solidFill>
            <a:latin typeface="Calisto MT" panose="02040603050505030304" pitchFamily="18" charset="0"/>
            <a:ea typeface="Calibri"/>
            <a:cs typeface="Calibri"/>
          </a:endParaRPr>
        </a:p>
      </xdr:txBody>
    </xdr:sp>
    <xdr:clientData/>
  </xdr:twoCellAnchor>
  <xdr:twoCellAnchor editAs="oneCell">
    <xdr:from>
      <xdr:col>1</xdr:col>
      <xdr:colOff>58475</xdr:colOff>
      <xdr:row>16</xdr:row>
      <xdr:rowOff>156308</xdr:rowOff>
    </xdr:from>
    <xdr:to>
      <xdr:col>2</xdr:col>
      <xdr:colOff>107461</xdr:colOff>
      <xdr:row>19</xdr:row>
      <xdr:rowOff>19539</xdr:rowOff>
    </xdr:to>
    <xdr:pic>
      <xdr:nvPicPr>
        <xdr:cNvPr id="46" name="Graphic 45" descr="Warning">
          <a:extLst>
            <a:ext uri="{FF2B5EF4-FFF2-40B4-BE49-F238E27FC236}">
              <a16:creationId xmlns:a16="http://schemas.microsoft.com/office/drawing/2014/main" id="{A34AAB86-16FD-7A7F-1D8E-ABF62703FCD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4167" y="3126154"/>
          <a:ext cx="654679" cy="420077"/>
        </a:xfrm>
        <a:prstGeom prst="rect">
          <a:avLst/>
        </a:prstGeom>
      </xdr:spPr>
    </xdr:pic>
    <xdr:clientData/>
  </xdr:twoCellAnchor>
  <xdr:twoCellAnchor editAs="oneCell">
    <xdr:from>
      <xdr:col>1</xdr:col>
      <xdr:colOff>29308</xdr:colOff>
      <xdr:row>7</xdr:row>
      <xdr:rowOff>19539</xdr:rowOff>
    </xdr:from>
    <xdr:to>
      <xdr:col>2</xdr:col>
      <xdr:colOff>29308</xdr:colOff>
      <xdr:row>9</xdr:row>
      <xdr:rowOff>127001</xdr:rowOff>
    </xdr:to>
    <xdr:pic>
      <xdr:nvPicPr>
        <xdr:cNvPr id="48" name="Graphic 47" descr="Briefcase">
          <a:extLst>
            <a:ext uri="{FF2B5EF4-FFF2-40B4-BE49-F238E27FC236}">
              <a16:creationId xmlns:a16="http://schemas.microsoft.com/office/drawing/2014/main" id="{136F2120-175B-E9D4-C44B-3F07F993C08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35000" y="1318847"/>
          <a:ext cx="605693" cy="478692"/>
        </a:xfrm>
        <a:prstGeom prst="rect">
          <a:avLst/>
        </a:prstGeom>
      </xdr:spPr>
    </xdr:pic>
    <xdr:clientData/>
  </xdr:twoCellAnchor>
  <xdr:twoCellAnchor editAs="oneCell">
    <xdr:from>
      <xdr:col>0</xdr:col>
      <xdr:colOff>586154</xdr:colOff>
      <xdr:row>11</xdr:row>
      <xdr:rowOff>166078</xdr:rowOff>
    </xdr:from>
    <xdr:to>
      <xdr:col>2</xdr:col>
      <xdr:colOff>68384</xdr:colOff>
      <xdr:row>14</xdr:row>
      <xdr:rowOff>19539</xdr:rowOff>
    </xdr:to>
    <xdr:pic>
      <xdr:nvPicPr>
        <xdr:cNvPr id="50" name="Graphic 49" descr="Dollar">
          <a:extLst>
            <a:ext uri="{FF2B5EF4-FFF2-40B4-BE49-F238E27FC236}">
              <a16:creationId xmlns:a16="http://schemas.microsoft.com/office/drawing/2014/main" id="{15FBE230-34F0-3472-4F1B-2BE3FDB51E3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86154" y="2207847"/>
          <a:ext cx="693615" cy="410307"/>
        </a:xfrm>
        <a:prstGeom prst="rect">
          <a:avLst/>
        </a:prstGeom>
      </xdr:spPr>
    </xdr:pic>
    <xdr:clientData/>
  </xdr:twoCellAnchor>
  <xdr:twoCellAnchor editAs="oneCell">
    <xdr:from>
      <xdr:col>0</xdr:col>
      <xdr:colOff>556846</xdr:colOff>
      <xdr:row>21</xdr:row>
      <xdr:rowOff>78154</xdr:rowOff>
    </xdr:from>
    <xdr:to>
      <xdr:col>2</xdr:col>
      <xdr:colOff>107461</xdr:colOff>
      <xdr:row>24</xdr:row>
      <xdr:rowOff>87923</xdr:rowOff>
    </xdr:to>
    <xdr:pic>
      <xdr:nvPicPr>
        <xdr:cNvPr id="52" name="Graphic 51" descr="Star">
          <a:extLst>
            <a:ext uri="{FF2B5EF4-FFF2-40B4-BE49-F238E27FC236}">
              <a16:creationId xmlns:a16="http://schemas.microsoft.com/office/drawing/2014/main" id="{4FF41D3C-4CC2-36EF-60C3-4B85980ED4D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6846" y="3976077"/>
          <a:ext cx="762000" cy="566615"/>
        </a:xfrm>
        <a:prstGeom prst="rect">
          <a:avLst/>
        </a:prstGeom>
      </xdr:spPr>
    </xdr:pic>
    <xdr:clientData/>
  </xdr:twoCellAnchor>
  <xdr:twoCellAnchor>
    <xdr:from>
      <xdr:col>11</xdr:col>
      <xdr:colOff>173146</xdr:colOff>
      <xdr:row>28</xdr:row>
      <xdr:rowOff>18143</xdr:rowOff>
    </xdr:from>
    <xdr:to>
      <xdr:col>21</xdr:col>
      <xdr:colOff>200754</xdr:colOff>
      <xdr:row>45</xdr:row>
      <xdr:rowOff>18405</xdr:rowOff>
    </xdr:to>
    <xdr:graphicFrame macro="">
      <xdr:nvGraphicFramePr>
        <xdr:cNvPr id="16" name="Chart 15">
          <a:extLst>
            <a:ext uri="{FF2B5EF4-FFF2-40B4-BE49-F238E27FC236}">
              <a16:creationId xmlns:a16="http://schemas.microsoft.com/office/drawing/2014/main" id="{4030083D-3B7C-452D-973B-38CEF24A3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336550</xdr:colOff>
      <xdr:row>1</xdr:row>
      <xdr:rowOff>50800</xdr:rowOff>
    </xdr:from>
    <xdr:to>
      <xdr:col>13</xdr:col>
      <xdr:colOff>342900</xdr:colOff>
      <xdr:row>23</xdr:row>
      <xdr:rowOff>6350</xdr:rowOff>
    </xdr:to>
    <xdr:sp macro="" textlink="">
      <xdr:nvSpPr>
        <xdr:cNvPr id="2" name="Rectangle: Rounded Corners 1">
          <a:extLst>
            <a:ext uri="{FF2B5EF4-FFF2-40B4-BE49-F238E27FC236}">
              <a16:creationId xmlns:a16="http://schemas.microsoft.com/office/drawing/2014/main" id="{7310109E-3B2C-2F9E-D808-D8CDA4224B01}"/>
            </a:ext>
          </a:extLst>
        </xdr:cNvPr>
        <xdr:cNvSpPr/>
      </xdr:nvSpPr>
      <xdr:spPr>
        <a:xfrm>
          <a:off x="336550" y="234950"/>
          <a:ext cx="7931150" cy="4006850"/>
        </a:xfrm>
        <a:prstGeom prst="roundRect">
          <a:avLst>
            <a:gd name="adj" fmla="val 0"/>
          </a:avLst>
        </a:prstGeom>
        <a:solidFill>
          <a:srgbClr val="151831"/>
        </a:solidFill>
        <a:ln>
          <a:solidFill>
            <a:srgbClr val="15183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82550</xdr:colOff>
      <xdr:row>4</xdr:row>
      <xdr:rowOff>6350</xdr:rowOff>
    </xdr:from>
    <xdr:to>
      <xdr:col>13</xdr:col>
      <xdr:colOff>241300</xdr:colOff>
      <xdr:row>20</xdr:row>
      <xdr:rowOff>120650</xdr:rowOff>
    </xdr:to>
    <xdr:sp macro="" textlink="">
      <xdr:nvSpPr>
        <xdr:cNvPr id="5121" name="Text Box 1">
          <a:extLst>
            <a:ext uri="{FF2B5EF4-FFF2-40B4-BE49-F238E27FC236}">
              <a16:creationId xmlns:a16="http://schemas.microsoft.com/office/drawing/2014/main" id="{B1D85A4E-6156-A91F-461C-1CA0FF3C150A}"/>
            </a:ext>
          </a:extLst>
        </xdr:cNvPr>
        <xdr:cNvSpPr txBox="1">
          <a:spLocks noChangeArrowheads="1"/>
        </xdr:cNvSpPr>
      </xdr:nvSpPr>
      <xdr:spPr bwMode="auto">
        <a:xfrm>
          <a:off x="692150" y="742950"/>
          <a:ext cx="7473950" cy="3060700"/>
        </a:xfrm>
        <a:prstGeom prst="rect">
          <a:avLst/>
        </a:prstGeom>
        <a:solidFill>
          <a:srgbClr val="151831"/>
        </a:solidFill>
        <a:ln w="9525">
          <a:noFill/>
          <a:miter lim="800000"/>
          <a:headEnd/>
          <a:tailEnd/>
        </a:ln>
      </xdr:spPr>
      <xdr:txBody>
        <a:bodyPr vertOverflow="clip" wrap="square" lIns="36576" tIns="36576" rIns="0" bIns="0" anchor="t" upright="1"/>
        <a:lstStyle/>
        <a:p>
          <a:pPr algn="l" rtl="0">
            <a:defRPr sz="1000"/>
          </a:pPr>
          <a:r>
            <a:rPr lang="en-IN" sz="1600" b="1" i="0" u="none" strike="noStrike" baseline="0">
              <a:solidFill>
                <a:schemeClr val="accent2">
                  <a:lumMod val="60000"/>
                  <a:lumOff val="40000"/>
                </a:schemeClr>
              </a:solidFill>
              <a:latin typeface="Calisto MT" panose="02040603050505030304" pitchFamily="18" charset="0"/>
              <a:ea typeface="Calibri"/>
              <a:cs typeface="Calibri"/>
            </a:rPr>
            <a:t>Key Insights</a:t>
          </a:r>
        </a:p>
        <a:p>
          <a:pPr algn="l" rtl="0">
            <a:defRPr sz="1000"/>
          </a:pPr>
          <a:endParaRPr lang="en-IN" sz="1100" b="1" i="0" u="none" strike="noStrike" baseline="0">
            <a:solidFill>
              <a:schemeClr val="accent2">
                <a:lumMod val="60000"/>
                <a:lumOff val="40000"/>
              </a:schemeClr>
            </a:solidFill>
            <a:latin typeface="Calisto MT" panose="02040603050505030304" pitchFamily="18" charset="0"/>
            <a:ea typeface="Calibri"/>
            <a:cs typeface="Calibri"/>
          </a:endParaRP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AI is increasing demand for technology and AI-related job roles across countries.</a:t>
          </a: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Different countries have strengths in different job roles, showing global opportunities.</a:t>
          </a: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Product Manager, Machine Learning Engineer, Robotics Engineer, and Data Engineer are among the most in-demand     roles.</a:t>
          </a: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AI replacement risk varies by industry, with some sectors more affected than others.</a:t>
          </a: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AI tool adoption is becoming an important skill for future careers.</a:t>
          </a:r>
        </a:p>
        <a:p>
          <a:pPr algn="l" rtl="0">
            <a:defRPr sz="1000"/>
          </a:pPr>
          <a:endParaRPr lang="en-IN" sz="1100" b="1" i="0" u="none" strike="noStrike" baseline="0">
            <a:solidFill>
              <a:schemeClr val="accent2">
                <a:lumMod val="60000"/>
                <a:lumOff val="40000"/>
              </a:schemeClr>
            </a:solidFill>
            <a:latin typeface="Calisto MT" panose="02040603050505030304" pitchFamily="18" charset="0"/>
            <a:ea typeface="Calibri"/>
            <a:cs typeface="Calibri"/>
          </a:endParaRPr>
        </a:p>
        <a:p>
          <a:pPr algn="l" rtl="0">
            <a:defRPr sz="1000"/>
          </a:pPr>
          <a:r>
            <a:rPr lang="en-IN" sz="1600" b="1" i="0" u="none" strike="noStrike" baseline="0">
              <a:solidFill>
                <a:schemeClr val="accent2">
                  <a:lumMod val="60000"/>
                  <a:lumOff val="40000"/>
                </a:schemeClr>
              </a:solidFill>
              <a:latin typeface="Calisto MT" panose="02040603050505030304" pitchFamily="18" charset="0"/>
              <a:ea typeface="Calibri"/>
              <a:cs typeface="Calibri"/>
            </a:rPr>
            <a:t>Recommendations</a:t>
          </a:r>
        </a:p>
        <a:p>
          <a:pPr algn="l" rtl="0">
            <a:defRPr sz="1000"/>
          </a:pPr>
          <a:endParaRPr lang="en-IN" sz="1100" b="1" i="0" u="none" strike="noStrike" baseline="0">
            <a:solidFill>
              <a:schemeClr val="accent2">
                <a:lumMod val="60000"/>
                <a:lumOff val="40000"/>
              </a:schemeClr>
            </a:solidFill>
            <a:latin typeface="Calisto MT" panose="02040603050505030304" pitchFamily="18" charset="0"/>
            <a:ea typeface="Calibri"/>
            <a:cs typeface="Calibri"/>
          </a:endParaRP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Continuously upskill in AI, data analytics, and digital technologies.</a:t>
          </a: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Organizations should invest in employee reskilling and AI adoption.</a:t>
          </a: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Governments and educational institutions should align training with future job market needs.</a:t>
          </a:r>
        </a:p>
        <a:p>
          <a:pPr algn="l" rtl="0">
            <a:defRPr sz="1000"/>
          </a:pPr>
          <a:r>
            <a:rPr lang="en-IN" sz="1100" b="1" i="0" u="none" strike="noStrike" baseline="0">
              <a:solidFill>
                <a:schemeClr val="accent2">
                  <a:lumMod val="60000"/>
                  <a:lumOff val="40000"/>
                </a:schemeClr>
              </a:solidFill>
              <a:latin typeface="Calisto MT" panose="02040603050505030304" pitchFamily="18" charset="0"/>
              <a:ea typeface="Calibri"/>
              <a:cs typeface="Calibri"/>
            </a:rPr>
            <a:t>* Job seekers should focus on high-demand AI and technology careers to improve employability</a:t>
          </a:r>
          <a:r>
            <a:rPr lang="en-IN" sz="1100" b="0" i="0" u="none" strike="noStrike" baseline="0">
              <a:solidFill>
                <a:srgbClr val="000000"/>
              </a:solidFill>
              <a:latin typeface="Calibri"/>
              <a:ea typeface="Calibri"/>
              <a:cs typeface="Calibri"/>
            </a:rPr>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148441</xdr:colOff>
      <xdr:row>1</xdr:row>
      <xdr:rowOff>18774</xdr:rowOff>
    </xdr:from>
    <xdr:to>
      <xdr:col>20</xdr:col>
      <xdr:colOff>391633</xdr:colOff>
      <xdr:row>22</xdr:row>
      <xdr:rowOff>171668</xdr:rowOff>
    </xdr:to>
    <xdr:sp macro="" textlink="">
      <xdr:nvSpPr>
        <xdr:cNvPr id="5" name="Rectangle: Rounded Corners 4">
          <a:extLst>
            <a:ext uri="{FF2B5EF4-FFF2-40B4-BE49-F238E27FC236}">
              <a16:creationId xmlns:a16="http://schemas.microsoft.com/office/drawing/2014/main" id="{62603D8C-50D2-F49F-EB35-0B0112A6E8A1}"/>
            </a:ext>
          </a:extLst>
        </xdr:cNvPr>
        <xdr:cNvSpPr/>
      </xdr:nvSpPr>
      <xdr:spPr>
        <a:xfrm>
          <a:off x="3199740" y="200203"/>
          <a:ext cx="9397088" cy="3962894"/>
        </a:xfrm>
        <a:prstGeom prst="roundRect">
          <a:avLst>
            <a:gd name="adj" fmla="val 608"/>
          </a:avLst>
        </a:prstGeom>
        <a:solidFill>
          <a:srgbClr val="1518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24739</xdr:colOff>
      <xdr:row>2</xdr:row>
      <xdr:rowOff>123702</xdr:rowOff>
    </xdr:from>
    <xdr:to>
      <xdr:col>20</xdr:col>
      <xdr:colOff>94739</xdr:colOff>
      <xdr:row>5</xdr:row>
      <xdr:rowOff>88323</xdr:rowOff>
    </xdr:to>
    <xdr:sp macro="" textlink="">
      <xdr:nvSpPr>
        <xdr:cNvPr id="2" name="Rectangle 1">
          <a:extLst>
            <a:ext uri="{FF2B5EF4-FFF2-40B4-BE49-F238E27FC236}">
              <a16:creationId xmlns:a16="http://schemas.microsoft.com/office/drawing/2014/main" id="{7FAAC3BF-680A-8D40-8BFF-260BCC13D878}"/>
            </a:ext>
          </a:extLst>
        </xdr:cNvPr>
        <xdr:cNvSpPr/>
      </xdr:nvSpPr>
      <xdr:spPr>
        <a:xfrm>
          <a:off x="3076038" y="486559"/>
          <a:ext cx="9223896" cy="5089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0">
              <a:solidFill>
                <a:schemeClr val="accent2">
                  <a:lumMod val="60000"/>
                  <a:lumOff val="40000"/>
                </a:schemeClr>
              </a:solidFill>
              <a:latin typeface="Calisto MT" panose="02040603050505030304" pitchFamily="18" charset="0"/>
            </a:rPr>
            <a:t>                                 AI AND FUTURE 0F WORK</a:t>
          </a:r>
        </a:p>
      </xdr:txBody>
    </xdr:sp>
    <xdr:clientData/>
  </xdr:twoCellAnchor>
  <xdr:twoCellAnchor>
    <xdr:from>
      <xdr:col>5</xdr:col>
      <xdr:colOff>338116</xdr:colOff>
      <xdr:row>6</xdr:row>
      <xdr:rowOff>97817</xdr:rowOff>
    </xdr:from>
    <xdr:to>
      <xdr:col>20</xdr:col>
      <xdr:colOff>521524</xdr:colOff>
      <xdr:row>18</xdr:row>
      <xdr:rowOff>65975</xdr:rowOff>
    </xdr:to>
    <xdr:sp macro="" textlink="">
      <xdr:nvSpPr>
        <xdr:cNvPr id="3" name="Rectangle 2">
          <a:extLst>
            <a:ext uri="{FF2B5EF4-FFF2-40B4-BE49-F238E27FC236}">
              <a16:creationId xmlns:a16="http://schemas.microsoft.com/office/drawing/2014/main" id="{48D47528-59D1-7F94-D56C-0A820CBCD57A}"/>
            </a:ext>
          </a:extLst>
        </xdr:cNvPr>
        <xdr:cNvSpPr/>
      </xdr:nvSpPr>
      <xdr:spPr>
        <a:xfrm>
          <a:off x="3389415" y="1186388"/>
          <a:ext cx="9337304" cy="21453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accent2">
                  <a:lumMod val="60000"/>
                  <a:lumOff val="40000"/>
                </a:schemeClr>
              </a:solidFill>
              <a:latin typeface="Calisto MT" panose="02040603050505030304" pitchFamily="18" charset="0"/>
            </a:rPr>
            <a:t>Artificial Intelligence (AI) is a technology that enables machines to learn, analyze data, recognize patterns, and make decisions with minimal human intervention. </a:t>
          </a:r>
          <a:r>
            <a:rPr lang="en-IN" sz="1400" b="0">
              <a:solidFill>
                <a:schemeClr val="accent2">
                  <a:lumMod val="60000"/>
                  <a:lumOff val="40000"/>
                </a:schemeClr>
              </a:solidFill>
              <a:effectLst/>
              <a:latin typeface="Calisto MT" panose="02040603050505030304" pitchFamily="18" charset="0"/>
              <a:ea typeface="+mn-ea"/>
              <a:cs typeface="+mn-cs"/>
            </a:rPr>
            <a:t>Traditionally, people had to spend time analyzing information and identifying patterns to make decisions. AI can perform many of these tasks much faster by processing large amounts of data and providing insights or recommendations</a:t>
          </a:r>
          <a:r>
            <a:rPr lang="en-IN" sz="1400">
              <a:solidFill>
                <a:schemeClr val="lt1"/>
              </a:solidFill>
              <a:effectLst/>
              <a:latin typeface="+mn-lt"/>
              <a:ea typeface="+mn-ea"/>
              <a:cs typeface="+mn-cs"/>
            </a:rPr>
            <a:t>.</a:t>
          </a:r>
          <a:r>
            <a:rPr lang="en-IN" sz="1400">
              <a:solidFill>
                <a:schemeClr val="accent2">
                  <a:lumMod val="60000"/>
                  <a:lumOff val="40000"/>
                </a:schemeClr>
              </a:solidFill>
              <a:latin typeface="Calisto MT" panose="02040603050505030304" pitchFamily="18" charset="0"/>
            </a:rPr>
            <a:t>As AI continues to advance, it is becoming an integral part of industries worldwide, improving efficiency, automating repetitive tasks, and supporting innovation. This transformation is reshaping the future of work by changing job roles, creating new career opportunities, and increasing the demand for digital and analytical skills. This dashboard explores how AI influences job replacement risk, future demand, salary trends, AI tool adoption, and overall workforce readiness, providing insights into the evolving employment landscape.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06" refreshedDate="46224.361816550925" createdVersion="8" refreshedVersion="8" minRefreshableVersion="3" recordCount="3000" xr:uid="{C6B26B87-1650-4B68-BD11-6688986484FC}">
  <cacheSource type="worksheet">
    <worksheetSource ref="A1:U3001" sheet="AI_Impact_on_Jobs_2030"/>
  </cacheSource>
  <cacheFields count="21">
    <cacheField name="Employee_ID" numFmtId="0">
      <sharedItems/>
    </cacheField>
    <cacheField name="Job_Title" numFmtId="0">
      <sharedItems count="20">
        <s v="Data Engineer"/>
        <s v="Healthcare Analyst"/>
        <s v="HR Specialist"/>
        <s v="Cybersecurity Analyst"/>
        <s v="Machine Learning Engineer"/>
        <s v="UX Designer"/>
        <s v="Digital Marketer"/>
        <s v="Robotics Engineer"/>
        <s v="Product Manager"/>
        <s v="Cloud Architect"/>
        <s v="AI Engineer"/>
        <s v="Teacher"/>
        <s v="IoT Specialist"/>
        <s v="Blockchain Developer"/>
        <s v="DevOps Engineer"/>
        <s v="Prompt Engineer"/>
        <s v="Business Analyst"/>
        <s v="Software Developer"/>
        <s v="Financial Analyst"/>
        <s v="Data Scientist"/>
      </sharedItems>
    </cacheField>
    <cacheField name="Industry" numFmtId="0">
      <sharedItems count="10">
        <s v="Healthcare"/>
        <s v="Retail"/>
        <s v="Education"/>
        <s v="Government"/>
        <s v="Energy"/>
        <s v="Media"/>
        <s v="Technology"/>
        <s v="Manufacturing"/>
        <s v="Finance"/>
        <s v="Transportation"/>
      </sharedItems>
    </cacheField>
    <cacheField name="Country" numFmtId="0">
      <sharedItems count="10">
        <s v="Japan"/>
        <s v="UK"/>
        <s v="Canada"/>
        <s v="UAE"/>
        <s v="Germany"/>
        <s v="Pakistan"/>
        <s v="India"/>
        <s v="Australia"/>
        <s v="USA"/>
        <s v="Singapore"/>
      </sharedItems>
    </cacheField>
    <cacheField name="Education_Level" numFmtId="0">
      <sharedItems count="4">
        <s v="PhD"/>
        <s v="Bachelor"/>
        <s v="High School"/>
        <s v="Master"/>
      </sharedItems>
    </cacheField>
    <cacheField name="Years_Experience" numFmtId="0">
      <sharedItems containsSemiMixedTypes="0" containsString="0" containsNumber="1" containsInteger="1" minValue="0" maxValue="25" count="26">
        <n v="1"/>
        <n v="24"/>
        <n v="21"/>
        <n v="5"/>
        <n v="20"/>
        <n v="12"/>
        <n v="2"/>
        <n v="16"/>
        <n v="6"/>
        <n v="25"/>
        <n v="15"/>
        <n v="18"/>
        <n v="13"/>
        <n v="17"/>
        <n v="8"/>
        <n v="19"/>
        <n v="9"/>
        <n v="11"/>
        <n v="14"/>
        <n v="3"/>
        <n v="7"/>
        <n v="0"/>
        <n v="4"/>
        <n v="10"/>
        <n v="23"/>
        <n v="22"/>
      </sharedItems>
    </cacheField>
    <cacheField name="AI_Replacement_Risk" numFmtId="0">
      <sharedItems containsSemiMixedTypes="0" containsString="0" containsNumber="1" minValue="0.05" maxValue="0.95" count="91">
        <n v="0.25"/>
        <n v="0.73"/>
        <n v="0.8"/>
        <n v="0.28999999999999998"/>
        <n v="0.11"/>
        <n v="0.46"/>
        <n v="0.15"/>
        <n v="0.86"/>
        <n v="0.43"/>
        <n v="0.64"/>
        <n v="0.9"/>
        <n v="0.14000000000000001"/>
        <n v="0.09"/>
        <n v="0.39"/>
        <n v="0.84"/>
        <n v="0.31"/>
        <n v="0.23"/>
        <n v="0.21"/>
        <n v="0.54"/>
        <n v="0.49"/>
        <n v="0.24"/>
        <n v="0.48"/>
        <n v="0.27"/>
        <n v="0.69"/>
        <n v="0.45"/>
        <n v="0.22"/>
        <n v="0.12"/>
        <n v="0.1"/>
        <n v="0.88"/>
        <n v="0.68"/>
        <n v="0.47"/>
        <n v="0.28000000000000003"/>
        <n v="0.08"/>
        <n v="0.93"/>
        <n v="0.74"/>
        <n v="0.92"/>
        <n v="0.85"/>
        <n v="0.65"/>
        <n v="0.32"/>
        <n v="0.3"/>
        <n v="0.94"/>
        <n v="0.51"/>
        <n v="0.36"/>
        <n v="0.42"/>
        <n v="0.81"/>
        <n v="0.06"/>
        <n v="0.55000000000000004"/>
        <n v="0.72"/>
        <n v="0.38"/>
        <n v="0.33"/>
        <n v="0.66"/>
        <n v="0.63"/>
        <n v="0.37"/>
        <n v="0.83"/>
        <n v="0.5"/>
        <n v="0.79"/>
        <n v="0.87"/>
        <n v="0.78"/>
        <n v="0.17"/>
        <n v="0.4"/>
        <n v="0.91"/>
        <n v="0.56000000000000005"/>
        <n v="0.76"/>
        <n v="0.34"/>
        <n v="0.7"/>
        <n v="0.67"/>
        <n v="0.18"/>
        <n v="0.62"/>
        <n v="0.61"/>
        <n v="0.26"/>
        <n v="0.52"/>
        <n v="0.77"/>
        <n v="0.57999999999999996"/>
        <n v="0.16"/>
        <n v="0.41"/>
        <n v="0.19"/>
        <n v="0.56999999999999995"/>
        <n v="0.13"/>
        <n v="0.71"/>
        <n v="0.2"/>
        <n v="0.82"/>
        <n v="0.44"/>
        <n v="0.35"/>
        <n v="0.95"/>
        <n v="0.6"/>
        <n v="0.05"/>
        <n v="7.0000000000000007E-2"/>
        <n v="0.53"/>
        <n v="0.59"/>
        <n v="0.89"/>
        <n v="0.75"/>
      </sharedItems>
    </cacheField>
    <cacheField name="Future_Demand_Score" numFmtId="0">
      <sharedItems containsSemiMixedTypes="0" containsString="0" containsNumber="1" minValue="0.2" maxValue="0.99" count="80">
        <n v="0.78"/>
        <n v="0.33"/>
        <n v="0.69"/>
        <n v="0.94"/>
        <n v="0.92"/>
        <n v="0.88"/>
        <n v="0.95"/>
        <n v="0.49"/>
        <n v="0.74"/>
        <n v="0.56999999999999995"/>
        <n v="0.63"/>
        <n v="0.25"/>
        <n v="0.65"/>
        <n v="0.26"/>
        <n v="0.89"/>
        <n v="0.46"/>
        <n v="0.37"/>
        <n v="0.23"/>
        <n v="0.41"/>
        <n v="0.93"/>
        <n v="0.54"/>
        <n v="0.22"/>
        <n v="0.96"/>
        <n v="0.79"/>
        <n v="0.53"/>
        <n v="0.51"/>
        <n v="0.28999999999999998"/>
        <n v="0.75"/>
        <n v="0.21"/>
        <n v="0.24"/>
        <n v="0.7"/>
        <n v="0.82"/>
        <n v="0.71"/>
        <n v="0.39"/>
        <n v="0.5"/>
        <n v="0.59"/>
        <n v="0.91"/>
        <n v="0.66"/>
        <n v="0.38"/>
        <n v="0.64"/>
        <n v="0.42"/>
        <n v="0.56000000000000005"/>
        <n v="0.97"/>
        <n v="0.8"/>
        <n v="0.47"/>
        <n v="0.85"/>
        <n v="0.86"/>
        <n v="0.55000000000000004"/>
        <n v="0.2"/>
        <n v="0.48"/>
        <n v="0.68"/>
        <n v="0.4"/>
        <n v="0.76"/>
        <n v="0.81"/>
        <n v="0.36"/>
        <n v="0.9"/>
        <n v="0.84"/>
        <n v="0.77"/>
        <n v="0.62"/>
        <n v="0.27"/>
        <n v="0.67"/>
        <n v="0.6"/>
        <n v="0.73"/>
        <n v="0.28000000000000003"/>
        <n v="0.83"/>
        <n v="0.44"/>
        <n v="0.31"/>
        <n v="0.57999999999999996"/>
        <n v="0.3"/>
        <n v="0.72"/>
        <n v="0.35"/>
        <n v="0.87"/>
        <n v="0.32"/>
        <n v="0.98"/>
        <n v="0.34"/>
        <n v="0.61"/>
        <n v="0.45"/>
        <n v="0.52"/>
        <n v="0.43"/>
        <n v="0.99"/>
      </sharedItems>
    </cacheField>
    <cacheField name="Remote_Work_Possibility" numFmtId="0">
      <sharedItems count="3">
        <s v="Yes"/>
        <s v="No"/>
        <s v="Hybrid"/>
      </sharedItems>
    </cacheField>
    <cacheField name="Average_Salary_USD" numFmtId="0">
      <sharedItems containsSemiMixedTypes="0" containsString="0" containsNumber="1" containsInteger="1" minValue="30221" maxValue="219998"/>
    </cacheField>
    <cacheField name="Automation_Level" numFmtId="0">
      <sharedItems/>
    </cacheField>
    <cacheField name="Job_Growth_2030" numFmtId="0">
      <sharedItems containsSemiMixedTypes="0" containsString="0" containsNumber="1" containsInteger="1" minValue="-10" maxValue="45" count="56">
        <n v="3"/>
        <n v="-5"/>
        <n v="7"/>
        <n v="6"/>
        <n v="19"/>
        <n v="22"/>
        <n v="42"/>
        <n v="5"/>
        <n v="36"/>
        <n v="2"/>
        <n v="45"/>
        <n v="44"/>
        <n v="26"/>
        <n v="-6"/>
        <n v="-9"/>
        <n v="17"/>
        <n v="15"/>
        <n v="41"/>
        <n v="35"/>
        <n v="20"/>
        <n v="24"/>
        <n v="32"/>
        <n v="27"/>
        <n v="38"/>
        <n v="25"/>
        <n v="-1"/>
        <n v="37"/>
        <n v="16"/>
        <n v="23"/>
        <n v="4"/>
        <n v="11"/>
        <n v="10"/>
        <n v="29"/>
        <n v="9"/>
        <n v="43"/>
        <n v="40"/>
        <n v="-2"/>
        <n v="-7"/>
        <n v="34"/>
        <n v="-8"/>
        <n v="18"/>
        <n v="12"/>
        <n v="1"/>
        <n v="0"/>
        <n v="28"/>
        <n v="39"/>
        <n v="8"/>
        <n v="-4"/>
        <n v="30"/>
        <n v="13"/>
        <n v="33"/>
        <n v="-3"/>
        <n v="14"/>
        <n v="-10"/>
        <n v="31"/>
        <n v="21"/>
      </sharedItems>
    </cacheField>
    <cacheField name="Work_Hours_Per_Week" numFmtId="0">
      <sharedItems containsSemiMixedTypes="0" containsString="0" containsNumber="1" containsInteger="1" minValue="30" maxValue="60"/>
    </cacheField>
    <cacheField name="Company_Size" numFmtId="0">
      <sharedItems count="3">
        <s v="Enterprise"/>
        <s v="Startup"/>
        <s v="Medium"/>
      </sharedItems>
    </cacheField>
    <cacheField name="AI_Tool_Usage" numFmtId="0">
      <sharedItems count="3">
        <s v="High"/>
        <s v="Moderate"/>
        <s v="Low"/>
      </sharedItems>
    </cacheField>
    <cacheField name="Performance_Score" numFmtId="0">
      <sharedItems containsSemiMixedTypes="0" containsString="0" containsNumber="1" minValue="2" maxValue="5"/>
    </cacheField>
    <cacheField name="Upskilling_Needed" numFmtId="0">
      <sharedItems/>
    </cacheField>
    <cacheField name="Job_Satisfaction" numFmtId="0">
      <sharedItems containsSemiMixedTypes="0" containsString="0" containsNumber="1" minValue="1" maxValue="5"/>
    </cacheField>
    <cacheField name="Hiring_Trend_2026" numFmtId="0">
      <sharedItems count="3">
        <s v="Growing"/>
        <s v="Stable"/>
        <s v="Declining"/>
      </sharedItems>
    </cacheField>
    <cacheField name="Job_Security" numFmtId="0">
      <sharedItems count="4">
        <s v="Very High"/>
        <s v="Very Low"/>
        <s v="Moderate"/>
        <s v="High"/>
      </sharedItems>
    </cacheField>
    <cacheField name="Experience_Level" numFmtId="0">
      <sharedItems count="4">
        <s v="Beginner"/>
        <s v="Expert"/>
        <s v="Intermediate"/>
        <s v="Experienced"/>
      </sharedItems>
    </cacheField>
  </cacheFields>
  <extLst>
    <ext xmlns:x14="http://schemas.microsoft.com/office/spreadsheetml/2009/9/main" uri="{725AE2AE-9491-48be-B2B4-4EB974FC3084}">
      <x14:pivotCacheDefinition pivotCacheId="961236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AIJ-100000"/>
    <x v="0"/>
    <x v="0"/>
    <x v="0"/>
    <x v="0"/>
    <x v="0"/>
    <x v="0"/>
    <x v="0"/>
    <x v="0"/>
    <n v="207392"/>
    <s v="Low"/>
    <x v="0"/>
    <n v="37"/>
    <x v="0"/>
    <x v="0"/>
    <n v="2.08"/>
    <s v="Yes"/>
    <n v="3.86"/>
    <x v="0"/>
    <x v="0"/>
    <x v="0"/>
  </r>
  <r>
    <s v="AIJ-100001"/>
    <x v="1"/>
    <x v="1"/>
    <x v="1"/>
    <x v="1"/>
    <x v="1"/>
    <x v="1"/>
    <x v="1"/>
    <x v="1"/>
    <n v="140785"/>
    <s v="Low"/>
    <x v="1"/>
    <n v="42"/>
    <x v="1"/>
    <x v="1"/>
    <n v="4.54"/>
    <s v="No"/>
    <n v="4.2300000000000004"/>
    <x v="0"/>
    <x v="1"/>
    <x v="1"/>
  </r>
  <r>
    <s v="AIJ-100002"/>
    <x v="2"/>
    <x v="2"/>
    <x v="2"/>
    <x v="2"/>
    <x v="2"/>
    <x v="2"/>
    <x v="2"/>
    <x v="0"/>
    <n v="124800"/>
    <s v="Medium"/>
    <x v="1"/>
    <n v="57"/>
    <x v="1"/>
    <x v="2"/>
    <n v="3.14"/>
    <s v="No"/>
    <n v="3.54"/>
    <x v="1"/>
    <x v="2"/>
    <x v="1"/>
  </r>
  <r>
    <s v="AIJ-100003"/>
    <x v="3"/>
    <x v="3"/>
    <x v="1"/>
    <x v="1"/>
    <x v="3"/>
    <x v="3"/>
    <x v="3"/>
    <x v="1"/>
    <n v="199878"/>
    <s v="Medium"/>
    <x v="2"/>
    <n v="59"/>
    <x v="0"/>
    <x v="0"/>
    <n v="3.67"/>
    <s v="No"/>
    <n v="4.37"/>
    <x v="2"/>
    <x v="0"/>
    <x v="2"/>
  </r>
  <r>
    <s v="AIJ-100004"/>
    <x v="1"/>
    <x v="2"/>
    <x v="3"/>
    <x v="0"/>
    <x v="4"/>
    <x v="4"/>
    <x v="4"/>
    <x v="1"/>
    <n v="178682"/>
    <s v="Low"/>
    <x v="3"/>
    <n v="34"/>
    <x v="1"/>
    <x v="0"/>
    <n v="3.68"/>
    <s v="No"/>
    <n v="3.99"/>
    <x v="1"/>
    <x v="0"/>
    <x v="1"/>
  </r>
  <r>
    <s v="AIJ-100005"/>
    <x v="4"/>
    <x v="4"/>
    <x v="0"/>
    <x v="2"/>
    <x v="5"/>
    <x v="1"/>
    <x v="5"/>
    <x v="1"/>
    <n v="70066"/>
    <s v="High"/>
    <x v="4"/>
    <n v="46"/>
    <x v="2"/>
    <x v="0"/>
    <n v="4.58"/>
    <s v="Yes"/>
    <n v="3.72"/>
    <x v="2"/>
    <x v="3"/>
    <x v="3"/>
  </r>
  <r>
    <s v="AIJ-100006"/>
    <x v="5"/>
    <x v="5"/>
    <x v="1"/>
    <x v="2"/>
    <x v="4"/>
    <x v="5"/>
    <x v="6"/>
    <x v="1"/>
    <n v="218659"/>
    <s v="High"/>
    <x v="5"/>
    <n v="49"/>
    <x v="1"/>
    <x v="2"/>
    <n v="3.12"/>
    <s v="Yes"/>
    <n v="3.16"/>
    <x v="0"/>
    <x v="3"/>
    <x v="1"/>
  </r>
  <r>
    <s v="AIJ-100007"/>
    <x v="6"/>
    <x v="6"/>
    <x v="4"/>
    <x v="2"/>
    <x v="6"/>
    <x v="6"/>
    <x v="7"/>
    <x v="2"/>
    <n v="110612"/>
    <s v="Medium"/>
    <x v="6"/>
    <n v="32"/>
    <x v="0"/>
    <x v="2"/>
    <n v="2.39"/>
    <s v="No"/>
    <n v="4.79"/>
    <x v="2"/>
    <x v="3"/>
    <x v="0"/>
  </r>
  <r>
    <s v="AIJ-100008"/>
    <x v="7"/>
    <x v="4"/>
    <x v="5"/>
    <x v="0"/>
    <x v="7"/>
    <x v="1"/>
    <x v="8"/>
    <x v="1"/>
    <n v="216895"/>
    <s v="Low"/>
    <x v="7"/>
    <n v="37"/>
    <x v="1"/>
    <x v="1"/>
    <n v="2.06"/>
    <s v="Yes"/>
    <n v="3.35"/>
    <x v="2"/>
    <x v="3"/>
    <x v="1"/>
  </r>
  <r>
    <s v="AIJ-100009"/>
    <x v="8"/>
    <x v="2"/>
    <x v="6"/>
    <x v="0"/>
    <x v="8"/>
    <x v="7"/>
    <x v="5"/>
    <x v="2"/>
    <n v="48574"/>
    <s v="Low"/>
    <x v="8"/>
    <n v="59"/>
    <x v="0"/>
    <x v="0"/>
    <n v="3.42"/>
    <s v="No"/>
    <n v="4.2300000000000004"/>
    <x v="2"/>
    <x v="3"/>
    <x v="2"/>
  </r>
  <r>
    <s v="AIJ-100010"/>
    <x v="9"/>
    <x v="6"/>
    <x v="7"/>
    <x v="3"/>
    <x v="9"/>
    <x v="8"/>
    <x v="9"/>
    <x v="0"/>
    <n v="44200"/>
    <s v="Low"/>
    <x v="9"/>
    <n v="36"/>
    <x v="0"/>
    <x v="1"/>
    <n v="2.42"/>
    <s v="Yes"/>
    <n v="2.11"/>
    <x v="2"/>
    <x v="3"/>
    <x v="1"/>
  </r>
  <r>
    <s v="AIJ-100011"/>
    <x v="3"/>
    <x v="2"/>
    <x v="1"/>
    <x v="0"/>
    <x v="10"/>
    <x v="9"/>
    <x v="10"/>
    <x v="1"/>
    <n v="33868"/>
    <s v="Low"/>
    <x v="10"/>
    <n v="42"/>
    <x v="1"/>
    <x v="2"/>
    <n v="3.14"/>
    <s v="No"/>
    <n v="2.06"/>
    <x v="1"/>
    <x v="2"/>
    <x v="3"/>
  </r>
  <r>
    <s v="AIJ-100012"/>
    <x v="10"/>
    <x v="7"/>
    <x v="8"/>
    <x v="2"/>
    <x v="11"/>
    <x v="0"/>
    <x v="11"/>
    <x v="1"/>
    <n v="172133"/>
    <s v="High"/>
    <x v="11"/>
    <n v="46"/>
    <x v="1"/>
    <x v="2"/>
    <n v="4.88"/>
    <s v="Yes"/>
    <n v="4.41"/>
    <x v="2"/>
    <x v="2"/>
    <x v="1"/>
  </r>
  <r>
    <s v="AIJ-100013"/>
    <x v="11"/>
    <x v="6"/>
    <x v="0"/>
    <x v="2"/>
    <x v="12"/>
    <x v="10"/>
    <x v="12"/>
    <x v="2"/>
    <n v="181760"/>
    <s v="High"/>
    <x v="12"/>
    <n v="46"/>
    <x v="2"/>
    <x v="1"/>
    <n v="2.61"/>
    <s v="No"/>
    <n v="1.95"/>
    <x v="1"/>
    <x v="2"/>
    <x v="3"/>
  </r>
  <r>
    <s v="AIJ-100014"/>
    <x v="11"/>
    <x v="3"/>
    <x v="2"/>
    <x v="2"/>
    <x v="13"/>
    <x v="1"/>
    <x v="13"/>
    <x v="0"/>
    <n v="150136"/>
    <s v="High"/>
    <x v="3"/>
    <n v="34"/>
    <x v="2"/>
    <x v="2"/>
    <n v="4.6399999999999997"/>
    <s v="No"/>
    <n v="2.14"/>
    <x v="1"/>
    <x v="1"/>
    <x v="1"/>
  </r>
  <r>
    <s v="AIJ-100015"/>
    <x v="9"/>
    <x v="0"/>
    <x v="9"/>
    <x v="1"/>
    <x v="14"/>
    <x v="11"/>
    <x v="14"/>
    <x v="1"/>
    <n v="99328"/>
    <s v="High"/>
    <x v="0"/>
    <n v="52"/>
    <x v="2"/>
    <x v="2"/>
    <n v="4.0599999999999996"/>
    <s v="No"/>
    <n v="3.02"/>
    <x v="1"/>
    <x v="0"/>
    <x v="2"/>
  </r>
  <r>
    <s v="AIJ-100016"/>
    <x v="5"/>
    <x v="8"/>
    <x v="3"/>
    <x v="0"/>
    <x v="13"/>
    <x v="12"/>
    <x v="15"/>
    <x v="0"/>
    <n v="64293"/>
    <s v="Low"/>
    <x v="13"/>
    <n v="60"/>
    <x v="0"/>
    <x v="2"/>
    <n v="3.64"/>
    <s v="No"/>
    <n v="3.33"/>
    <x v="2"/>
    <x v="3"/>
    <x v="1"/>
  </r>
  <r>
    <s v="AIJ-100017"/>
    <x v="9"/>
    <x v="7"/>
    <x v="9"/>
    <x v="0"/>
    <x v="15"/>
    <x v="7"/>
    <x v="16"/>
    <x v="2"/>
    <n v="95412"/>
    <s v="Low"/>
    <x v="7"/>
    <n v="57"/>
    <x v="1"/>
    <x v="2"/>
    <n v="4.6399999999999997"/>
    <s v="Yes"/>
    <n v="1.72"/>
    <x v="1"/>
    <x v="1"/>
    <x v="1"/>
  </r>
  <r>
    <s v="AIJ-100018"/>
    <x v="6"/>
    <x v="2"/>
    <x v="3"/>
    <x v="3"/>
    <x v="16"/>
    <x v="13"/>
    <x v="17"/>
    <x v="0"/>
    <n v="153388"/>
    <s v="Low"/>
    <x v="14"/>
    <n v="51"/>
    <x v="1"/>
    <x v="1"/>
    <n v="2.98"/>
    <s v="Yes"/>
    <n v="4.87"/>
    <x v="1"/>
    <x v="2"/>
    <x v="3"/>
  </r>
  <r>
    <s v="AIJ-100019"/>
    <x v="5"/>
    <x v="6"/>
    <x v="2"/>
    <x v="0"/>
    <x v="17"/>
    <x v="14"/>
    <x v="18"/>
    <x v="2"/>
    <n v="182198"/>
    <s v="Medium"/>
    <x v="15"/>
    <n v="49"/>
    <x v="0"/>
    <x v="2"/>
    <n v="3.16"/>
    <s v="Yes"/>
    <n v="2.02"/>
    <x v="0"/>
    <x v="1"/>
    <x v="3"/>
  </r>
  <r>
    <s v="AIJ-100020"/>
    <x v="1"/>
    <x v="0"/>
    <x v="6"/>
    <x v="3"/>
    <x v="2"/>
    <x v="10"/>
    <x v="19"/>
    <x v="1"/>
    <n v="193356"/>
    <s v="Medium"/>
    <x v="16"/>
    <n v="52"/>
    <x v="2"/>
    <x v="0"/>
    <n v="2.38"/>
    <s v="No"/>
    <n v="3.66"/>
    <x v="1"/>
    <x v="3"/>
    <x v="1"/>
  </r>
  <r>
    <s v="AIJ-100021"/>
    <x v="11"/>
    <x v="7"/>
    <x v="3"/>
    <x v="0"/>
    <x v="18"/>
    <x v="15"/>
    <x v="20"/>
    <x v="2"/>
    <n v="182039"/>
    <s v="Low"/>
    <x v="5"/>
    <n v="45"/>
    <x v="0"/>
    <x v="2"/>
    <n v="3.98"/>
    <s v="No"/>
    <n v="3.06"/>
    <x v="0"/>
    <x v="3"/>
    <x v="3"/>
  </r>
  <r>
    <s v="AIJ-100022"/>
    <x v="12"/>
    <x v="3"/>
    <x v="2"/>
    <x v="0"/>
    <x v="12"/>
    <x v="16"/>
    <x v="21"/>
    <x v="2"/>
    <n v="94184"/>
    <s v="High"/>
    <x v="9"/>
    <n v="52"/>
    <x v="0"/>
    <x v="1"/>
    <n v="3.48"/>
    <s v="Yes"/>
    <n v="1.59"/>
    <x v="0"/>
    <x v="2"/>
    <x v="3"/>
  </r>
  <r>
    <s v="AIJ-100023"/>
    <x v="13"/>
    <x v="6"/>
    <x v="9"/>
    <x v="1"/>
    <x v="19"/>
    <x v="17"/>
    <x v="22"/>
    <x v="1"/>
    <n v="165779"/>
    <s v="Low"/>
    <x v="17"/>
    <n v="44"/>
    <x v="0"/>
    <x v="0"/>
    <n v="4.96"/>
    <s v="No"/>
    <n v="4.8"/>
    <x v="1"/>
    <x v="0"/>
    <x v="2"/>
  </r>
  <r>
    <s v="AIJ-100024"/>
    <x v="5"/>
    <x v="5"/>
    <x v="3"/>
    <x v="1"/>
    <x v="14"/>
    <x v="5"/>
    <x v="23"/>
    <x v="1"/>
    <n v="197159"/>
    <s v="Low"/>
    <x v="18"/>
    <n v="39"/>
    <x v="1"/>
    <x v="1"/>
    <n v="3.01"/>
    <s v="Yes"/>
    <n v="1.55"/>
    <x v="2"/>
    <x v="3"/>
    <x v="2"/>
  </r>
  <r>
    <s v="AIJ-100025"/>
    <x v="14"/>
    <x v="4"/>
    <x v="0"/>
    <x v="2"/>
    <x v="1"/>
    <x v="18"/>
    <x v="24"/>
    <x v="2"/>
    <n v="84220"/>
    <s v="Medium"/>
    <x v="19"/>
    <n v="30"/>
    <x v="2"/>
    <x v="1"/>
    <n v="4.26"/>
    <s v="No"/>
    <n v="3.15"/>
    <x v="0"/>
    <x v="2"/>
    <x v="1"/>
  </r>
  <r>
    <s v="AIJ-100026"/>
    <x v="15"/>
    <x v="8"/>
    <x v="3"/>
    <x v="1"/>
    <x v="15"/>
    <x v="19"/>
    <x v="25"/>
    <x v="2"/>
    <n v="205341"/>
    <s v="Low"/>
    <x v="16"/>
    <n v="48"/>
    <x v="0"/>
    <x v="0"/>
    <n v="2.08"/>
    <s v="No"/>
    <n v="1.54"/>
    <x v="1"/>
    <x v="3"/>
    <x v="1"/>
  </r>
  <r>
    <s v="AIJ-100027"/>
    <x v="5"/>
    <x v="4"/>
    <x v="6"/>
    <x v="2"/>
    <x v="10"/>
    <x v="20"/>
    <x v="15"/>
    <x v="0"/>
    <n v="129385"/>
    <s v="High"/>
    <x v="20"/>
    <n v="31"/>
    <x v="2"/>
    <x v="2"/>
    <n v="3.95"/>
    <s v="Yes"/>
    <n v="4.0199999999999996"/>
    <x v="2"/>
    <x v="3"/>
    <x v="3"/>
  </r>
  <r>
    <s v="AIJ-100028"/>
    <x v="13"/>
    <x v="1"/>
    <x v="5"/>
    <x v="1"/>
    <x v="15"/>
    <x v="21"/>
    <x v="26"/>
    <x v="2"/>
    <n v="87138"/>
    <s v="High"/>
    <x v="18"/>
    <n v="33"/>
    <x v="1"/>
    <x v="1"/>
    <n v="2.3199999999999998"/>
    <s v="Yes"/>
    <n v="4.72"/>
    <x v="0"/>
    <x v="2"/>
    <x v="1"/>
  </r>
  <r>
    <s v="AIJ-100029"/>
    <x v="11"/>
    <x v="0"/>
    <x v="0"/>
    <x v="2"/>
    <x v="17"/>
    <x v="22"/>
    <x v="27"/>
    <x v="2"/>
    <n v="109058"/>
    <s v="Medium"/>
    <x v="21"/>
    <n v="41"/>
    <x v="1"/>
    <x v="0"/>
    <n v="3.94"/>
    <s v="Yes"/>
    <n v="4.4000000000000004"/>
    <x v="1"/>
    <x v="0"/>
    <x v="3"/>
  </r>
  <r>
    <s v="AIJ-100030"/>
    <x v="5"/>
    <x v="3"/>
    <x v="9"/>
    <x v="0"/>
    <x v="18"/>
    <x v="23"/>
    <x v="20"/>
    <x v="1"/>
    <n v="166772"/>
    <s v="High"/>
    <x v="22"/>
    <n v="38"/>
    <x v="2"/>
    <x v="2"/>
    <n v="4.49"/>
    <s v="Yes"/>
    <n v="2.12"/>
    <x v="1"/>
    <x v="2"/>
    <x v="3"/>
  </r>
  <r>
    <s v="AIJ-100031"/>
    <x v="16"/>
    <x v="7"/>
    <x v="6"/>
    <x v="3"/>
    <x v="14"/>
    <x v="19"/>
    <x v="15"/>
    <x v="2"/>
    <n v="157808"/>
    <s v="High"/>
    <x v="2"/>
    <n v="47"/>
    <x v="1"/>
    <x v="0"/>
    <n v="4.84"/>
    <s v="Yes"/>
    <n v="1.97"/>
    <x v="1"/>
    <x v="2"/>
    <x v="2"/>
  </r>
  <r>
    <s v="AIJ-100032"/>
    <x v="6"/>
    <x v="4"/>
    <x v="4"/>
    <x v="3"/>
    <x v="2"/>
    <x v="24"/>
    <x v="28"/>
    <x v="2"/>
    <n v="107132"/>
    <s v="Medium"/>
    <x v="19"/>
    <n v="47"/>
    <x v="0"/>
    <x v="1"/>
    <n v="3.28"/>
    <s v="No"/>
    <n v="2.41"/>
    <x v="1"/>
    <x v="2"/>
    <x v="1"/>
  </r>
  <r>
    <s v="AIJ-100033"/>
    <x v="4"/>
    <x v="2"/>
    <x v="4"/>
    <x v="0"/>
    <x v="14"/>
    <x v="25"/>
    <x v="26"/>
    <x v="2"/>
    <n v="170473"/>
    <s v="High"/>
    <x v="23"/>
    <n v="46"/>
    <x v="0"/>
    <x v="1"/>
    <n v="4.9400000000000004"/>
    <s v="Yes"/>
    <n v="2.1800000000000002"/>
    <x v="1"/>
    <x v="3"/>
    <x v="2"/>
  </r>
  <r>
    <s v="AIJ-100034"/>
    <x v="17"/>
    <x v="9"/>
    <x v="2"/>
    <x v="2"/>
    <x v="11"/>
    <x v="12"/>
    <x v="29"/>
    <x v="1"/>
    <n v="106581"/>
    <s v="Medium"/>
    <x v="19"/>
    <n v="44"/>
    <x v="2"/>
    <x v="2"/>
    <n v="4.9000000000000004"/>
    <s v="No"/>
    <n v="4.76"/>
    <x v="1"/>
    <x v="3"/>
    <x v="1"/>
  </r>
  <r>
    <s v="AIJ-100035"/>
    <x v="17"/>
    <x v="8"/>
    <x v="0"/>
    <x v="3"/>
    <x v="6"/>
    <x v="26"/>
    <x v="30"/>
    <x v="0"/>
    <n v="44053"/>
    <s v="Low"/>
    <x v="24"/>
    <n v="54"/>
    <x v="2"/>
    <x v="0"/>
    <n v="3.79"/>
    <s v="Yes"/>
    <n v="4.0999999999999996"/>
    <x v="1"/>
    <x v="0"/>
    <x v="0"/>
  </r>
  <r>
    <s v="AIJ-100036"/>
    <x v="16"/>
    <x v="2"/>
    <x v="6"/>
    <x v="2"/>
    <x v="3"/>
    <x v="27"/>
    <x v="22"/>
    <x v="0"/>
    <n v="56013"/>
    <s v="Low"/>
    <x v="24"/>
    <n v="32"/>
    <x v="1"/>
    <x v="2"/>
    <n v="3.23"/>
    <s v="No"/>
    <n v="2.17"/>
    <x v="2"/>
    <x v="0"/>
    <x v="2"/>
  </r>
  <r>
    <s v="AIJ-100037"/>
    <x v="2"/>
    <x v="2"/>
    <x v="7"/>
    <x v="2"/>
    <x v="13"/>
    <x v="28"/>
    <x v="31"/>
    <x v="0"/>
    <n v="193855"/>
    <s v="High"/>
    <x v="25"/>
    <n v="59"/>
    <x v="2"/>
    <x v="2"/>
    <n v="2.21"/>
    <s v="Yes"/>
    <n v="4.17"/>
    <x v="0"/>
    <x v="2"/>
    <x v="1"/>
  </r>
  <r>
    <s v="AIJ-100038"/>
    <x v="0"/>
    <x v="9"/>
    <x v="3"/>
    <x v="2"/>
    <x v="15"/>
    <x v="29"/>
    <x v="3"/>
    <x v="0"/>
    <n v="161195"/>
    <s v="Medium"/>
    <x v="26"/>
    <n v="40"/>
    <x v="0"/>
    <x v="1"/>
    <n v="2.08"/>
    <s v="Yes"/>
    <n v="4.8499999999999996"/>
    <x v="0"/>
    <x v="3"/>
    <x v="1"/>
  </r>
  <r>
    <s v="AIJ-100039"/>
    <x v="4"/>
    <x v="3"/>
    <x v="7"/>
    <x v="0"/>
    <x v="6"/>
    <x v="30"/>
    <x v="32"/>
    <x v="1"/>
    <n v="102917"/>
    <s v="Medium"/>
    <x v="27"/>
    <n v="40"/>
    <x v="2"/>
    <x v="0"/>
    <n v="2.31"/>
    <s v="Yes"/>
    <n v="2.3199999999999998"/>
    <x v="0"/>
    <x v="3"/>
    <x v="0"/>
  </r>
  <r>
    <s v="AIJ-100040"/>
    <x v="8"/>
    <x v="6"/>
    <x v="9"/>
    <x v="0"/>
    <x v="12"/>
    <x v="31"/>
    <x v="26"/>
    <x v="0"/>
    <n v="135952"/>
    <s v="Low"/>
    <x v="28"/>
    <n v="41"/>
    <x v="0"/>
    <x v="1"/>
    <n v="3.88"/>
    <s v="Yes"/>
    <n v="1.81"/>
    <x v="0"/>
    <x v="3"/>
    <x v="3"/>
  </r>
  <r>
    <s v="AIJ-100041"/>
    <x v="4"/>
    <x v="1"/>
    <x v="9"/>
    <x v="2"/>
    <x v="13"/>
    <x v="32"/>
    <x v="30"/>
    <x v="1"/>
    <n v="92730"/>
    <s v="Low"/>
    <x v="29"/>
    <n v="56"/>
    <x v="1"/>
    <x v="1"/>
    <n v="4.84"/>
    <s v="Yes"/>
    <n v="2.99"/>
    <x v="0"/>
    <x v="0"/>
    <x v="1"/>
  </r>
  <r>
    <s v="AIJ-100042"/>
    <x v="17"/>
    <x v="4"/>
    <x v="4"/>
    <x v="1"/>
    <x v="6"/>
    <x v="33"/>
    <x v="33"/>
    <x v="1"/>
    <n v="174510"/>
    <s v="Medium"/>
    <x v="30"/>
    <n v="59"/>
    <x v="0"/>
    <x v="1"/>
    <n v="4.46"/>
    <s v="No"/>
    <n v="3.9"/>
    <x v="0"/>
    <x v="1"/>
    <x v="0"/>
  </r>
  <r>
    <s v="AIJ-100043"/>
    <x v="16"/>
    <x v="2"/>
    <x v="0"/>
    <x v="0"/>
    <x v="20"/>
    <x v="34"/>
    <x v="34"/>
    <x v="1"/>
    <n v="114352"/>
    <s v="Low"/>
    <x v="31"/>
    <n v="53"/>
    <x v="2"/>
    <x v="0"/>
    <n v="4.74"/>
    <s v="No"/>
    <n v="2.54"/>
    <x v="0"/>
    <x v="2"/>
    <x v="2"/>
  </r>
  <r>
    <s v="AIJ-100044"/>
    <x v="13"/>
    <x v="0"/>
    <x v="9"/>
    <x v="0"/>
    <x v="21"/>
    <x v="35"/>
    <x v="15"/>
    <x v="2"/>
    <n v="56309"/>
    <s v="Low"/>
    <x v="27"/>
    <n v="57"/>
    <x v="0"/>
    <x v="2"/>
    <n v="2.2200000000000002"/>
    <s v="No"/>
    <n v="2.35"/>
    <x v="0"/>
    <x v="1"/>
    <x v="0"/>
  </r>
  <r>
    <s v="AIJ-100045"/>
    <x v="10"/>
    <x v="3"/>
    <x v="2"/>
    <x v="1"/>
    <x v="4"/>
    <x v="36"/>
    <x v="35"/>
    <x v="2"/>
    <n v="171824"/>
    <s v="Medium"/>
    <x v="29"/>
    <n v="53"/>
    <x v="1"/>
    <x v="1"/>
    <n v="4.9400000000000004"/>
    <s v="Yes"/>
    <n v="2.77"/>
    <x v="0"/>
    <x v="2"/>
    <x v="1"/>
  </r>
  <r>
    <s v="AIJ-100046"/>
    <x v="6"/>
    <x v="5"/>
    <x v="7"/>
    <x v="1"/>
    <x v="3"/>
    <x v="15"/>
    <x v="34"/>
    <x v="0"/>
    <n v="68160"/>
    <s v="Low"/>
    <x v="32"/>
    <n v="57"/>
    <x v="2"/>
    <x v="0"/>
    <n v="4.05"/>
    <s v="No"/>
    <n v="4.6500000000000004"/>
    <x v="2"/>
    <x v="3"/>
    <x v="2"/>
  </r>
  <r>
    <s v="AIJ-100047"/>
    <x v="7"/>
    <x v="5"/>
    <x v="1"/>
    <x v="2"/>
    <x v="18"/>
    <x v="37"/>
    <x v="36"/>
    <x v="1"/>
    <n v="151963"/>
    <s v="High"/>
    <x v="33"/>
    <n v="50"/>
    <x v="2"/>
    <x v="0"/>
    <n v="2.75"/>
    <s v="No"/>
    <n v="1.8"/>
    <x v="1"/>
    <x v="3"/>
    <x v="3"/>
  </r>
  <r>
    <s v="AIJ-100048"/>
    <x v="15"/>
    <x v="1"/>
    <x v="8"/>
    <x v="2"/>
    <x v="15"/>
    <x v="38"/>
    <x v="27"/>
    <x v="2"/>
    <n v="35751"/>
    <s v="Medium"/>
    <x v="34"/>
    <n v="58"/>
    <x v="2"/>
    <x v="2"/>
    <n v="3.82"/>
    <s v="No"/>
    <n v="1.88"/>
    <x v="2"/>
    <x v="0"/>
    <x v="1"/>
  </r>
  <r>
    <s v="AIJ-100049"/>
    <x v="3"/>
    <x v="1"/>
    <x v="5"/>
    <x v="0"/>
    <x v="3"/>
    <x v="24"/>
    <x v="37"/>
    <x v="0"/>
    <n v="64448"/>
    <s v="Low"/>
    <x v="35"/>
    <n v="47"/>
    <x v="2"/>
    <x v="0"/>
    <n v="3.51"/>
    <s v="No"/>
    <n v="4.32"/>
    <x v="1"/>
    <x v="3"/>
    <x v="2"/>
  </r>
  <r>
    <s v="AIJ-100050"/>
    <x v="15"/>
    <x v="5"/>
    <x v="5"/>
    <x v="2"/>
    <x v="9"/>
    <x v="1"/>
    <x v="38"/>
    <x v="1"/>
    <n v="207294"/>
    <s v="Low"/>
    <x v="3"/>
    <n v="47"/>
    <x v="1"/>
    <x v="1"/>
    <n v="3.11"/>
    <s v="No"/>
    <n v="3.34"/>
    <x v="0"/>
    <x v="1"/>
    <x v="1"/>
  </r>
  <r>
    <s v="AIJ-100051"/>
    <x v="6"/>
    <x v="0"/>
    <x v="3"/>
    <x v="3"/>
    <x v="4"/>
    <x v="36"/>
    <x v="39"/>
    <x v="1"/>
    <n v="189929"/>
    <s v="Low"/>
    <x v="36"/>
    <n v="31"/>
    <x v="1"/>
    <x v="1"/>
    <n v="4.99"/>
    <s v="Yes"/>
    <n v="1.39"/>
    <x v="0"/>
    <x v="2"/>
    <x v="1"/>
  </r>
  <r>
    <s v="AIJ-100052"/>
    <x v="14"/>
    <x v="3"/>
    <x v="1"/>
    <x v="0"/>
    <x v="4"/>
    <x v="10"/>
    <x v="27"/>
    <x v="0"/>
    <n v="171608"/>
    <s v="Medium"/>
    <x v="32"/>
    <n v="43"/>
    <x v="2"/>
    <x v="2"/>
    <n v="4.07"/>
    <s v="Yes"/>
    <n v="2.77"/>
    <x v="2"/>
    <x v="2"/>
    <x v="1"/>
  </r>
  <r>
    <s v="AIJ-100053"/>
    <x v="3"/>
    <x v="2"/>
    <x v="0"/>
    <x v="2"/>
    <x v="0"/>
    <x v="39"/>
    <x v="22"/>
    <x v="1"/>
    <n v="149201"/>
    <s v="Low"/>
    <x v="36"/>
    <n v="55"/>
    <x v="0"/>
    <x v="2"/>
    <n v="2.21"/>
    <s v="Yes"/>
    <n v="3.35"/>
    <x v="2"/>
    <x v="0"/>
    <x v="0"/>
  </r>
  <r>
    <s v="AIJ-100054"/>
    <x v="9"/>
    <x v="6"/>
    <x v="1"/>
    <x v="2"/>
    <x v="17"/>
    <x v="40"/>
    <x v="10"/>
    <x v="0"/>
    <n v="75743"/>
    <s v="High"/>
    <x v="31"/>
    <n v="30"/>
    <x v="1"/>
    <x v="1"/>
    <n v="2.16"/>
    <s v="No"/>
    <n v="3.1"/>
    <x v="0"/>
    <x v="2"/>
    <x v="3"/>
  </r>
  <r>
    <s v="AIJ-100055"/>
    <x v="6"/>
    <x v="3"/>
    <x v="8"/>
    <x v="3"/>
    <x v="18"/>
    <x v="41"/>
    <x v="26"/>
    <x v="2"/>
    <n v="162078"/>
    <s v="Low"/>
    <x v="37"/>
    <n v="45"/>
    <x v="2"/>
    <x v="1"/>
    <n v="4.0599999999999996"/>
    <s v="No"/>
    <n v="3.85"/>
    <x v="1"/>
    <x v="2"/>
    <x v="3"/>
  </r>
  <r>
    <s v="AIJ-100056"/>
    <x v="2"/>
    <x v="5"/>
    <x v="5"/>
    <x v="0"/>
    <x v="15"/>
    <x v="4"/>
    <x v="40"/>
    <x v="2"/>
    <n v="195957"/>
    <s v="Medium"/>
    <x v="4"/>
    <n v="46"/>
    <x v="0"/>
    <x v="1"/>
    <n v="2.2999999999999998"/>
    <s v="Yes"/>
    <n v="4.41"/>
    <x v="0"/>
    <x v="3"/>
    <x v="1"/>
  </r>
  <r>
    <s v="AIJ-100057"/>
    <x v="9"/>
    <x v="7"/>
    <x v="7"/>
    <x v="3"/>
    <x v="2"/>
    <x v="42"/>
    <x v="41"/>
    <x v="1"/>
    <n v="139049"/>
    <s v="Medium"/>
    <x v="25"/>
    <n v="51"/>
    <x v="2"/>
    <x v="2"/>
    <n v="2.27"/>
    <s v="Yes"/>
    <n v="1.37"/>
    <x v="2"/>
    <x v="3"/>
    <x v="1"/>
  </r>
  <r>
    <s v="AIJ-100058"/>
    <x v="10"/>
    <x v="1"/>
    <x v="0"/>
    <x v="3"/>
    <x v="17"/>
    <x v="43"/>
    <x v="14"/>
    <x v="0"/>
    <n v="140870"/>
    <s v="High"/>
    <x v="5"/>
    <n v="36"/>
    <x v="1"/>
    <x v="0"/>
    <n v="3.45"/>
    <s v="Yes"/>
    <n v="2.4"/>
    <x v="0"/>
    <x v="3"/>
    <x v="3"/>
  </r>
  <r>
    <s v="AIJ-100059"/>
    <x v="11"/>
    <x v="5"/>
    <x v="8"/>
    <x v="3"/>
    <x v="21"/>
    <x v="44"/>
    <x v="42"/>
    <x v="0"/>
    <n v="192981"/>
    <s v="Medium"/>
    <x v="38"/>
    <n v="54"/>
    <x v="2"/>
    <x v="1"/>
    <n v="3.05"/>
    <s v="Yes"/>
    <n v="4.4800000000000004"/>
    <x v="0"/>
    <x v="3"/>
    <x v="0"/>
  </r>
  <r>
    <s v="AIJ-100060"/>
    <x v="4"/>
    <x v="7"/>
    <x v="6"/>
    <x v="3"/>
    <x v="1"/>
    <x v="20"/>
    <x v="24"/>
    <x v="2"/>
    <n v="119363"/>
    <s v="High"/>
    <x v="1"/>
    <n v="58"/>
    <x v="1"/>
    <x v="2"/>
    <n v="2.4700000000000002"/>
    <s v="Yes"/>
    <n v="3.7"/>
    <x v="1"/>
    <x v="3"/>
    <x v="1"/>
  </r>
  <r>
    <s v="AIJ-100061"/>
    <x v="9"/>
    <x v="1"/>
    <x v="0"/>
    <x v="0"/>
    <x v="7"/>
    <x v="1"/>
    <x v="26"/>
    <x v="2"/>
    <n v="142699"/>
    <s v="Medium"/>
    <x v="39"/>
    <n v="37"/>
    <x v="2"/>
    <x v="0"/>
    <n v="2.16"/>
    <s v="Yes"/>
    <n v="2.21"/>
    <x v="2"/>
    <x v="1"/>
    <x v="1"/>
  </r>
  <r>
    <s v="AIJ-100062"/>
    <x v="17"/>
    <x v="4"/>
    <x v="9"/>
    <x v="1"/>
    <x v="7"/>
    <x v="45"/>
    <x v="23"/>
    <x v="2"/>
    <n v="76057"/>
    <s v="High"/>
    <x v="17"/>
    <n v="41"/>
    <x v="1"/>
    <x v="1"/>
    <n v="4.59"/>
    <s v="Yes"/>
    <n v="2.74"/>
    <x v="1"/>
    <x v="0"/>
    <x v="1"/>
  </r>
  <r>
    <s v="AIJ-100063"/>
    <x v="15"/>
    <x v="6"/>
    <x v="5"/>
    <x v="1"/>
    <x v="9"/>
    <x v="23"/>
    <x v="24"/>
    <x v="2"/>
    <n v="60192"/>
    <s v="Medium"/>
    <x v="34"/>
    <n v="52"/>
    <x v="2"/>
    <x v="2"/>
    <n v="3.31"/>
    <s v="Yes"/>
    <n v="1.97"/>
    <x v="0"/>
    <x v="2"/>
    <x v="1"/>
  </r>
  <r>
    <s v="AIJ-100064"/>
    <x v="3"/>
    <x v="5"/>
    <x v="2"/>
    <x v="1"/>
    <x v="1"/>
    <x v="42"/>
    <x v="15"/>
    <x v="1"/>
    <n v="74074"/>
    <s v="Medium"/>
    <x v="8"/>
    <n v="60"/>
    <x v="0"/>
    <x v="2"/>
    <n v="2.71"/>
    <s v="Yes"/>
    <n v="2.02"/>
    <x v="2"/>
    <x v="3"/>
    <x v="1"/>
  </r>
  <r>
    <s v="AIJ-100065"/>
    <x v="2"/>
    <x v="3"/>
    <x v="5"/>
    <x v="3"/>
    <x v="22"/>
    <x v="1"/>
    <x v="43"/>
    <x v="1"/>
    <n v="147677"/>
    <s v="Low"/>
    <x v="19"/>
    <n v="44"/>
    <x v="0"/>
    <x v="1"/>
    <n v="4.3899999999999997"/>
    <s v="Yes"/>
    <n v="2.41"/>
    <x v="2"/>
    <x v="3"/>
    <x v="2"/>
  </r>
  <r>
    <s v="AIJ-100066"/>
    <x v="11"/>
    <x v="3"/>
    <x v="9"/>
    <x v="0"/>
    <x v="18"/>
    <x v="2"/>
    <x v="13"/>
    <x v="2"/>
    <n v="53670"/>
    <s v="High"/>
    <x v="35"/>
    <n v="53"/>
    <x v="1"/>
    <x v="1"/>
    <n v="4.7300000000000004"/>
    <s v="Yes"/>
    <n v="2.29"/>
    <x v="1"/>
    <x v="1"/>
    <x v="3"/>
  </r>
  <r>
    <s v="AIJ-100067"/>
    <x v="3"/>
    <x v="5"/>
    <x v="1"/>
    <x v="2"/>
    <x v="20"/>
    <x v="7"/>
    <x v="44"/>
    <x v="2"/>
    <n v="217253"/>
    <s v="Medium"/>
    <x v="40"/>
    <n v="46"/>
    <x v="0"/>
    <x v="0"/>
    <n v="2.48"/>
    <s v="No"/>
    <n v="4.67"/>
    <x v="1"/>
    <x v="1"/>
    <x v="2"/>
  </r>
  <r>
    <s v="AIJ-100068"/>
    <x v="11"/>
    <x v="8"/>
    <x v="5"/>
    <x v="2"/>
    <x v="11"/>
    <x v="46"/>
    <x v="25"/>
    <x v="2"/>
    <n v="96059"/>
    <s v="Low"/>
    <x v="41"/>
    <n v="39"/>
    <x v="0"/>
    <x v="0"/>
    <n v="3.99"/>
    <s v="Yes"/>
    <n v="3.38"/>
    <x v="2"/>
    <x v="2"/>
    <x v="1"/>
  </r>
  <r>
    <s v="AIJ-100069"/>
    <x v="8"/>
    <x v="0"/>
    <x v="7"/>
    <x v="3"/>
    <x v="21"/>
    <x v="37"/>
    <x v="45"/>
    <x v="1"/>
    <n v="209677"/>
    <s v="Medium"/>
    <x v="42"/>
    <n v="60"/>
    <x v="1"/>
    <x v="1"/>
    <n v="4.84"/>
    <s v="No"/>
    <n v="1.77"/>
    <x v="2"/>
    <x v="3"/>
    <x v="0"/>
  </r>
  <r>
    <s v="AIJ-100070"/>
    <x v="10"/>
    <x v="7"/>
    <x v="0"/>
    <x v="1"/>
    <x v="15"/>
    <x v="34"/>
    <x v="46"/>
    <x v="1"/>
    <n v="168027"/>
    <s v="Low"/>
    <x v="43"/>
    <n v="35"/>
    <x v="0"/>
    <x v="0"/>
    <n v="4.43"/>
    <s v="Yes"/>
    <n v="3.88"/>
    <x v="2"/>
    <x v="3"/>
    <x v="1"/>
  </r>
  <r>
    <s v="AIJ-100071"/>
    <x v="6"/>
    <x v="1"/>
    <x v="3"/>
    <x v="1"/>
    <x v="17"/>
    <x v="47"/>
    <x v="47"/>
    <x v="2"/>
    <n v="169987"/>
    <s v="High"/>
    <x v="40"/>
    <n v="44"/>
    <x v="2"/>
    <x v="1"/>
    <n v="3.51"/>
    <s v="No"/>
    <n v="4.87"/>
    <x v="2"/>
    <x v="2"/>
    <x v="3"/>
  </r>
  <r>
    <s v="AIJ-100072"/>
    <x v="8"/>
    <x v="0"/>
    <x v="6"/>
    <x v="2"/>
    <x v="1"/>
    <x v="48"/>
    <x v="3"/>
    <x v="0"/>
    <n v="216489"/>
    <s v="Medium"/>
    <x v="40"/>
    <n v="58"/>
    <x v="0"/>
    <x v="2"/>
    <n v="4.49"/>
    <s v="Yes"/>
    <n v="4.79"/>
    <x v="2"/>
    <x v="0"/>
    <x v="1"/>
  </r>
  <r>
    <s v="AIJ-100073"/>
    <x v="18"/>
    <x v="2"/>
    <x v="8"/>
    <x v="3"/>
    <x v="19"/>
    <x v="13"/>
    <x v="25"/>
    <x v="2"/>
    <n v="51392"/>
    <s v="High"/>
    <x v="30"/>
    <n v="55"/>
    <x v="1"/>
    <x v="2"/>
    <n v="2.11"/>
    <s v="No"/>
    <n v="3.78"/>
    <x v="2"/>
    <x v="3"/>
    <x v="2"/>
  </r>
  <r>
    <s v="AIJ-100074"/>
    <x v="8"/>
    <x v="4"/>
    <x v="2"/>
    <x v="3"/>
    <x v="20"/>
    <x v="2"/>
    <x v="10"/>
    <x v="1"/>
    <n v="189614"/>
    <s v="Low"/>
    <x v="37"/>
    <n v="37"/>
    <x v="2"/>
    <x v="0"/>
    <n v="4.38"/>
    <s v="No"/>
    <n v="1.25"/>
    <x v="1"/>
    <x v="2"/>
    <x v="2"/>
  </r>
  <r>
    <s v="AIJ-100075"/>
    <x v="6"/>
    <x v="3"/>
    <x v="7"/>
    <x v="1"/>
    <x v="2"/>
    <x v="15"/>
    <x v="48"/>
    <x v="2"/>
    <n v="122488"/>
    <s v="Low"/>
    <x v="28"/>
    <n v="41"/>
    <x v="1"/>
    <x v="0"/>
    <n v="3.63"/>
    <s v="Yes"/>
    <n v="2.56"/>
    <x v="1"/>
    <x v="2"/>
    <x v="1"/>
  </r>
  <r>
    <s v="AIJ-100076"/>
    <x v="18"/>
    <x v="2"/>
    <x v="2"/>
    <x v="3"/>
    <x v="22"/>
    <x v="47"/>
    <x v="49"/>
    <x v="0"/>
    <n v="47710"/>
    <s v="Medium"/>
    <x v="20"/>
    <n v="40"/>
    <x v="0"/>
    <x v="2"/>
    <n v="4.49"/>
    <s v="No"/>
    <n v="4.92"/>
    <x v="1"/>
    <x v="1"/>
    <x v="2"/>
  </r>
  <r>
    <s v="AIJ-100077"/>
    <x v="10"/>
    <x v="7"/>
    <x v="6"/>
    <x v="0"/>
    <x v="13"/>
    <x v="15"/>
    <x v="17"/>
    <x v="1"/>
    <n v="82289"/>
    <s v="Medium"/>
    <x v="39"/>
    <n v="54"/>
    <x v="0"/>
    <x v="2"/>
    <n v="2.86"/>
    <s v="Yes"/>
    <n v="4.46"/>
    <x v="1"/>
    <x v="2"/>
    <x v="1"/>
  </r>
  <r>
    <s v="AIJ-100078"/>
    <x v="1"/>
    <x v="8"/>
    <x v="3"/>
    <x v="0"/>
    <x v="17"/>
    <x v="47"/>
    <x v="36"/>
    <x v="2"/>
    <n v="131356"/>
    <s v="Medium"/>
    <x v="17"/>
    <n v="32"/>
    <x v="0"/>
    <x v="1"/>
    <n v="2.2400000000000002"/>
    <s v="Yes"/>
    <n v="3.18"/>
    <x v="1"/>
    <x v="3"/>
    <x v="3"/>
  </r>
  <r>
    <s v="AIJ-100079"/>
    <x v="4"/>
    <x v="9"/>
    <x v="5"/>
    <x v="0"/>
    <x v="0"/>
    <x v="49"/>
    <x v="50"/>
    <x v="2"/>
    <n v="141703"/>
    <s v="Medium"/>
    <x v="32"/>
    <n v="43"/>
    <x v="2"/>
    <x v="0"/>
    <n v="4.9400000000000004"/>
    <s v="Yes"/>
    <n v="1.3"/>
    <x v="0"/>
    <x v="3"/>
    <x v="0"/>
  </r>
  <r>
    <s v="AIJ-100080"/>
    <x v="3"/>
    <x v="2"/>
    <x v="5"/>
    <x v="3"/>
    <x v="5"/>
    <x v="50"/>
    <x v="47"/>
    <x v="2"/>
    <n v="63090"/>
    <s v="Low"/>
    <x v="44"/>
    <n v="34"/>
    <x v="0"/>
    <x v="1"/>
    <n v="4.8499999999999996"/>
    <s v="No"/>
    <n v="2.78"/>
    <x v="2"/>
    <x v="2"/>
    <x v="3"/>
  </r>
  <r>
    <s v="AIJ-100081"/>
    <x v="19"/>
    <x v="8"/>
    <x v="3"/>
    <x v="0"/>
    <x v="13"/>
    <x v="51"/>
    <x v="51"/>
    <x v="0"/>
    <n v="59739"/>
    <s v="Medium"/>
    <x v="45"/>
    <n v="38"/>
    <x v="0"/>
    <x v="1"/>
    <n v="2.64"/>
    <s v="No"/>
    <n v="3.78"/>
    <x v="1"/>
    <x v="2"/>
    <x v="1"/>
  </r>
  <r>
    <s v="AIJ-100082"/>
    <x v="1"/>
    <x v="7"/>
    <x v="2"/>
    <x v="3"/>
    <x v="16"/>
    <x v="17"/>
    <x v="52"/>
    <x v="0"/>
    <n v="53013"/>
    <s v="High"/>
    <x v="18"/>
    <n v="59"/>
    <x v="0"/>
    <x v="0"/>
    <n v="2.52"/>
    <s v="No"/>
    <n v="3.04"/>
    <x v="2"/>
    <x v="0"/>
    <x v="3"/>
  </r>
  <r>
    <s v="AIJ-100083"/>
    <x v="0"/>
    <x v="8"/>
    <x v="0"/>
    <x v="2"/>
    <x v="6"/>
    <x v="52"/>
    <x v="12"/>
    <x v="1"/>
    <n v="152527"/>
    <s v="Medium"/>
    <x v="18"/>
    <n v="53"/>
    <x v="2"/>
    <x v="0"/>
    <n v="3.23"/>
    <s v="No"/>
    <n v="4.29"/>
    <x v="2"/>
    <x v="3"/>
    <x v="0"/>
  </r>
  <r>
    <s v="AIJ-100084"/>
    <x v="2"/>
    <x v="8"/>
    <x v="1"/>
    <x v="0"/>
    <x v="7"/>
    <x v="50"/>
    <x v="44"/>
    <x v="0"/>
    <n v="174520"/>
    <s v="Low"/>
    <x v="28"/>
    <n v="34"/>
    <x v="2"/>
    <x v="2"/>
    <n v="2.4900000000000002"/>
    <s v="Yes"/>
    <n v="2.38"/>
    <x v="0"/>
    <x v="2"/>
    <x v="1"/>
  </r>
  <r>
    <s v="AIJ-100085"/>
    <x v="0"/>
    <x v="0"/>
    <x v="9"/>
    <x v="1"/>
    <x v="11"/>
    <x v="39"/>
    <x v="2"/>
    <x v="2"/>
    <n v="191068"/>
    <s v="Low"/>
    <x v="43"/>
    <n v="51"/>
    <x v="0"/>
    <x v="0"/>
    <n v="4.71"/>
    <s v="No"/>
    <n v="4.37"/>
    <x v="0"/>
    <x v="3"/>
    <x v="1"/>
  </r>
  <r>
    <s v="AIJ-100086"/>
    <x v="16"/>
    <x v="3"/>
    <x v="7"/>
    <x v="2"/>
    <x v="10"/>
    <x v="10"/>
    <x v="53"/>
    <x v="2"/>
    <n v="99377"/>
    <s v="High"/>
    <x v="46"/>
    <n v="50"/>
    <x v="2"/>
    <x v="1"/>
    <n v="2.73"/>
    <s v="No"/>
    <n v="2.19"/>
    <x v="2"/>
    <x v="2"/>
    <x v="3"/>
  </r>
  <r>
    <s v="AIJ-100087"/>
    <x v="17"/>
    <x v="7"/>
    <x v="5"/>
    <x v="3"/>
    <x v="5"/>
    <x v="19"/>
    <x v="54"/>
    <x v="0"/>
    <n v="189032"/>
    <s v="Medium"/>
    <x v="5"/>
    <n v="47"/>
    <x v="1"/>
    <x v="1"/>
    <n v="2.73"/>
    <s v="Yes"/>
    <n v="2.0699999999999998"/>
    <x v="2"/>
    <x v="2"/>
    <x v="3"/>
  </r>
  <r>
    <s v="AIJ-100088"/>
    <x v="1"/>
    <x v="3"/>
    <x v="5"/>
    <x v="1"/>
    <x v="1"/>
    <x v="53"/>
    <x v="24"/>
    <x v="0"/>
    <n v="71864"/>
    <s v="Medium"/>
    <x v="5"/>
    <n v="44"/>
    <x v="2"/>
    <x v="1"/>
    <n v="3.49"/>
    <s v="Yes"/>
    <n v="4.78"/>
    <x v="0"/>
    <x v="2"/>
    <x v="1"/>
  </r>
  <r>
    <s v="AIJ-100089"/>
    <x v="12"/>
    <x v="1"/>
    <x v="9"/>
    <x v="2"/>
    <x v="19"/>
    <x v="54"/>
    <x v="55"/>
    <x v="1"/>
    <n v="201510"/>
    <s v="Low"/>
    <x v="3"/>
    <n v="53"/>
    <x v="2"/>
    <x v="1"/>
    <n v="3.1"/>
    <s v="No"/>
    <n v="1.2"/>
    <x v="0"/>
    <x v="3"/>
    <x v="2"/>
  </r>
  <r>
    <s v="AIJ-100090"/>
    <x v="11"/>
    <x v="3"/>
    <x v="2"/>
    <x v="1"/>
    <x v="19"/>
    <x v="54"/>
    <x v="43"/>
    <x v="1"/>
    <n v="103327"/>
    <s v="Medium"/>
    <x v="35"/>
    <n v="40"/>
    <x v="0"/>
    <x v="1"/>
    <n v="4.26"/>
    <s v="Yes"/>
    <n v="3.41"/>
    <x v="1"/>
    <x v="3"/>
    <x v="2"/>
  </r>
  <r>
    <s v="AIJ-100091"/>
    <x v="13"/>
    <x v="8"/>
    <x v="0"/>
    <x v="1"/>
    <x v="23"/>
    <x v="23"/>
    <x v="56"/>
    <x v="2"/>
    <n v="166139"/>
    <s v="Medium"/>
    <x v="43"/>
    <n v="42"/>
    <x v="0"/>
    <x v="0"/>
    <n v="4.53"/>
    <s v="No"/>
    <n v="3.03"/>
    <x v="0"/>
    <x v="3"/>
    <x v="3"/>
  </r>
  <r>
    <s v="AIJ-100092"/>
    <x v="19"/>
    <x v="3"/>
    <x v="3"/>
    <x v="3"/>
    <x v="4"/>
    <x v="6"/>
    <x v="24"/>
    <x v="2"/>
    <n v="110655"/>
    <s v="High"/>
    <x v="29"/>
    <n v="53"/>
    <x v="1"/>
    <x v="0"/>
    <n v="3.44"/>
    <s v="No"/>
    <n v="1.59"/>
    <x v="0"/>
    <x v="3"/>
    <x v="1"/>
  </r>
  <r>
    <s v="AIJ-100093"/>
    <x v="16"/>
    <x v="4"/>
    <x v="9"/>
    <x v="0"/>
    <x v="24"/>
    <x v="24"/>
    <x v="24"/>
    <x v="2"/>
    <n v="138255"/>
    <s v="Low"/>
    <x v="18"/>
    <n v="34"/>
    <x v="0"/>
    <x v="2"/>
    <n v="3.68"/>
    <s v="No"/>
    <n v="3.1"/>
    <x v="1"/>
    <x v="3"/>
    <x v="1"/>
  </r>
  <r>
    <s v="AIJ-100094"/>
    <x v="5"/>
    <x v="3"/>
    <x v="3"/>
    <x v="1"/>
    <x v="20"/>
    <x v="34"/>
    <x v="57"/>
    <x v="1"/>
    <n v="198639"/>
    <s v="High"/>
    <x v="33"/>
    <n v="37"/>
    <x v="2"/>
    <x v="1"/>
    <n v="4.1100000000000003"/>
    <s v="No"/>
    <n v="2.27"/>
    <x v="1"/>
    <x v="3"/>
    <x v="2"/>
  </r>
  <r>
    <s v="AIJ-100095"/>
    <x v="7"/>
    <x v="6"/>
    <x v="6"/>
    <x v="2"/>
    <x v="17"/>
    <x v="55"/>
    <x v="6"/>
    <x v="1"/>
    <n v="68397"/>
    <s v="High"/>
    <x v="3"/>
    <n v="53"/>
    <x v="2"/>
    <x v="2"/>
    <n v="2.61"/>
    <s v="No"/>
    <n v="4.7300000000000004"/>
    <x v="0"/>
    <x v="3"/>
    <x v="3"/>
  </r>
  <r>
    <s v="AIJ-100096"/>
    <x v="6"/>
    <x v="6"/>
    <x v="2"/>
    <x v="0"/>
    <x v="23"/>
    <x v="37"/>
    <x v="58"/>
    <x v="2"/>
    <n v="197233"/>
    <s v="Medium"/>
    <x v="47"/>
    <n v="51"/>
    <x v="1"/>
    <x v="2"/>
    <n v="4.8899999999999997"/>
    <s v="Yes"/>
    <n v="2.63"/>
    <x v="1"/>
    <x v="2"/>
    <x v="3"/>
  </r>
  <r>
    <s v="AIJ-100097"/>
    <x v="6"/>
    <x v="5"/>
    <x v="8"/>
    <x v="1"/>
    <x v="12"/>
    <x v="56"/>
    <x v="59"/>
    <x v="0"/>
    <n v="180505"/>
    <s v="Low"/>
    <x v="34"/>
    <n v="42"/>
    <x v="2"/>
    <x v="2"/>
    <n v="4.8099999999999996"/>
    <s v="No"/>
    <n v="4.51"/>
    <x v="2"/>
    <x v="1"/>
    <x v="3"/>
  </r>
  <r>
    <s v="AIJ-100098"/>
    <x v="8"/>
    <x v="9"/>
    <x v="6"/>
    <x v="1"/>
    <x v="9"/>
    <x v="18"/>
    <x v="35"/>
    <x v="0"/>
    <n v="65179"/>
    <s v="Medium"/>
    <x v="43"/>
    <n v="53"/>
    <x v="2"/>
    <x v="0"/>
    <n v="2.77"/>
    <s v="Yes"/>
    <n v="1.06"/>
    <x v="1"/>
    <x v="3"/>
    <x v="1"/>
  </r>
  <r>
    <s v="AIJ-100099"/>
    <x v="9"/>
    <x v="8"/>
    <x v="1"/>
    <x v="0"/>
    <x v="23"/>
    <x v="41"/>
    <x v="59"/>
    <x v="0"/>
    <n v="205441"/>
    <s v="Low"/>
    <x v="3"/>
    <n v="42"/>
    <x v="1"/>
    <x v="1"/>
    <n v="4.26"/>
    <s v="No"/>
    <n v="2.21"/>
    <x v="0"/>
    <x v="2"/>
    <x v="3"/>
  </r>
  <r>
    <s v="AIJ-100100"/>
    <x v="4"/>
    <x v="4"/>
    <x v="9"/>
    <x v="3"/>
    <x v="25"/>
    <x v="4"/>
    <x v="26"/>
    <x v="0"/>
    <n v="110427"/>
    <s v="High"/>
    <x v="46"/>
    <n v="41"/>
    <x v="0"/>
    <x v="2"/>
    <n v="2.66"/>
    <s v="Yes"/>
    <n v="2.91"/>
    <x v="1"/>
    <x v="3"/>
    <x v="1"/>
  </r>
  <r>
    <s v="AIJ-100101"/>
    <x v="8"/>
    <x v="9"/>
    <x v="9"/>
    <x v="3"/>
    <x v="6"/>
    <x v="50"/>
    <x v="60"/>
    <x v="2"/>
    <n v="51461"/>
    <s v="Low"/>
    <x v="37"/>
    <n v="56"/>
    <x v="0"/>
    <x v="0"/>
    <n v="2.61"/>
    <s v="Yes"/>
    <n v="1.66"/>
    <x v="0"/>
    <x v="3"/>
    <x v="0"/>
  </r>
  <r>
    <s v="AIJ-100102"/>
    <x v="14"/>
    <x v="9"/>
    <x v="0"/>
    <x v="2"/>
    <x v="13"/>
    <x v="57"/>
    <x v="41"/>
    <x v="1"/>
    <n v="164544"/>
    <s v="High"/>
    <x v="17"/>
    <n v="39"/>
    <x v="0"/>
    <x v="2"/>
    <n v="3.19"/>
    <s v="Yes"/>
    <n v="3.98"/>
    <x v="0"/>
    <x v="2"/>
    <x v="1"/>
  </r>
  <r>
    <s v="AIJ-100103"/>
    <x v="3"/>
    <x v="9"/>
    <x v="8"/>
    <x v="3"/>
    <x v="12"/>
    <x v="29"/>
    <x v="10"/>
    <x v="0"/>
    <n v="45795"/>
    <s v="Low"/>
    <x v="45"/>
    <n v="50"/>
    <x v="0"/>
    <x v="0"/>
    <n v="4.8899999999999997"/>
    <s v="No"/>
    <n v="4.97"/>
    <x v="1"/>
    <x v="2"/>
    <x v="3"/>
  </r>
  <r>
    <s v="AIJ-100104"/>
    <x v="4"/>
    <x v="5"/>
    <x v="7"/>
    <x v="1"/>
    <x v="24"/>
    <x v="58"/>
    <x v="5"/>
    <x v="0"/>
    <n v="61098"/>
    <s v="Low"/>
    <x v="23"/>
    <n v="30"/>
    <x v="2"/>
    <x v="1"/>
    <n v="4.0199999999999996"/>
    <s v="No"/>
    <n v="3.13"/>
    <x v="2"/>
    <x v="0"/>
    <x v="1"/>
  </r>
  <r>
    <s v="AIJ-100105"/>
    <x v="10"/>
    <x v="4"/>
    <x v="0"/>
    <x v="2"/>
    <x v="20"/>
    <x v="25"/>
    <x v="14"/>
    <x v="0"/>
    <n v="59581"/>
    <s v="Low"/>
    <x v="47"/>
    <n v="49"/>
    <x v="1"/>
    <x v="1"/>
    <n v="3.79"/>
    <s v="Yes"/>
    <n v="1.98"/>
    <x v="2"/>
    <x v="0"/>
    <x v="2"/>
  </r>
  <r>
    <s v="AIJ-100106"/>
    <x v="6"/>
    <x v="3"/>
    <x v="5"/>
    <x v="3"/>
    <x v="20"/>
    <x v="27"/>
    <x v="61"/>
    <x v="1"/>
    <n v="105828"/>
    <s v="Low"/>
    <x v="21"/>
    <n v="46"/>
    <x v="1"/>
    <x v="1"/>
    <n v="2.9"/>
    <s v="Yes"/>
    <n v="3.23"/>
    <x v="0"/>
    <x v="3"/>
    <x v="2"/>
  </r>
  <r>
    <s v="AIJ-100107"/>
    <x v="1"/>
    <x v="4"/>
    <x v="7"/>
    <x v="1"/>
    <x v="16"/>
    <x v="10"/>
    <x v="62"/>
    <x v="1"/>
    <n v="167484"/>
    <s v="Low"/>
    <x v="23"/>
    <n v="47"/>
    <x v="2"/>
    <x v="2"/>
    <n v="4.55"/>
    <s v="No"/>
    <n v="4.43"/>
    <x v="2"/>
    <x v="2"/>
    <x v="3"/>
  </r>
  <r>
    <s v="AIJ-100108"/>
    <x v="3"/>
    <x v="9"/>
    <x v="5"/>
    <x v="2"/>
    <x v="13"/>
    <x v="59"/>
    <x v="51"/>
    <x v="2"/>
    <n v="116576"/>
    <s v="Low"/>
    <x v="37"/>
    <n v="38"/>
    <x v="2"/>
    <x v="0"/>
    <n v="3.81"/>
    <s v="Yes"/>
    <n v="4.49"/>
    <x v="2"/>
    <x v="2"/>
    <x v="1"/>
  </r>
  <r>
    <s v="AIJ-100109"/>
    <x v="9"/>
    <x v="9"/>
    <x v="4"/>
    <x v="1"/>
    <x v="5"/>
    <x v="60"/>
    <x v="28"/>
    <x v="0"/>
    <n v="79813"/>
    <s v="High"/>
    <x v="31"/>
    <n v="54"/>
    <x v="2"/>
    <x v="1"/>
    <n v="3.4"/>
    <s v="No"/>
    <n v="2.23"/>
    <x v="1"/>
    <x v="1"/>
    <x v="3"/>
  </r>
  <r>
    <s v="AIJ-100110"/>
    <x v="10"/>
    <x v="3"/>
    <x v="4"/>
    <x v="1"/>
    <x v="21"/>
    <x v="56"/>
    <x v="7"/>
    <x v="1"/>
    <n v="138509"/>
    <s v="High"/>
    <x v="22"/>
    <n v="48"/>
    <x v="0"/>
    <x v="1"/>
    <n v="2.89"/>
    <s v="Yes"/>
    <n v="2.3199999999999998"/>
    <x v="1"/>
    <x v="1"/>
    <x v="0"/>
  </r>
  <r>
    <s v="AIJ-100111"/>
    <x v="12"/>
    <x v="9"/>
    <x v="1"/>
    <x v="3"/>
    <x v="3"/>
    <x v="55"/>
    <x v="22"/>
    <x v="0"/>
    <n v="198216"/>
    <s v="High"/>
    <x v="20"/>
    <n v="45"/>
    <x v="1"/>
    <x v="0"/>
    <n v="4.97"/>
    <s v="Yes"/>
    <n v="3.1"/>
    <x v="2"/>
    <x v="3"/>
    <x v="2"/>
  </r>
  <r>
    <s v="AIJ-100112"/>
    <x v="17"/>
    <x v="6"/>
    <x v="4"/>
    <x v="0"/>
    <x v="17"/>
    <x v="44"/>
    <x v="38"/>
    <x v="0"/>
    <n v="215380"/>
    <s v="High"/>
    <x v="48"/>
    <n v="51"/>
    <x v="0"/>
    <x v="1"/>
    <n v="3.98"/>
    <s v="Yes"/>
    <n v="1.03"/>
    <x v="0"/>
    <x v="1"/>
    <x v="3"/>
  </r>
  <r>
    <s v="AIJ-100113"/>
    <x v="4"/>
    <x v="0"/>
    <x v="2"/>
    <x v="1"/>
    <x v="20"/>
    <x v="54"/>
    <x v="27"/>
    <x v="0"/>
    <n v="142872"/>
    <s v="High"/>
    <x v="28"/>
    <n v="38"/>
    <x v="2"/>
    <x v="1"/>
    <n v="4.38"/>
    <s v="Yes"/>
    <n v="2.4900000000000002"/>
    <x v="1"/>
    <x v="3"/>
    <x v="2"/>
  </r>
  <r>
    <s v="AIJ-100114"/>
    <x v="3"/>
    <x v="4"/>
    <x v="7"/>
    <x v="0"/>
    <x v="13"/>
    <x v="9"/>
    <x v="5"/>
    <x v="1"/>
    <n v="38305"/>
    <s v="Low"/>
    <x v="48"/>
    <n v="30"/>
    <x v="0"/>
    <x v="2"/>
    <n v="2.25"/>
    <s v="No"/>
    <n v="3.58"/>
    <x v="1"/>
    <x v="3"/>
    <x v="1"/>
  </r>
  <r>
    <s v="AIJ-100115"/>
    <x v="12"/>
    <x v="1"/>
    <x v="8"/>
    <x v="2"/>
    <x v="2"/>
    <x v="20"/>
    <x v="14"/>
    <x v="1"/>
    <n v="178579"/>
    <s v="High"/>
    <x v="12"/>
    <n v="51"/>
    <x v="1"/>
    <x v="2"/>
    <n v="4.79"/>
    <s v="No"/>
    <n v="1.06"/>
    <x v="2"/>
    <x v="0"/>
    <x v="1"/>
  </r>
  <r>
    <s v="AIJ-100116"/>
    <x v="0"/>
    <x v="7"/>
    <x v="7"/>
    <x v="1"/>
    <x v="9"/>
    <x v="61"/>
    <x v="12"/>
    <x v="2"/>
    <n v="132015"/>
    <s v="High"/>
    <x v="1"/>
    <n v="46"/>
    <x v="0"/>
    <x v="1"/>
    <n v="2.16"/>
    <s v="No"/>
    <n v="1.93"/>
    <x v="2"/>
    <x v="3"/>
    <x v="1"/>
  </r>
  <r>
    <s v="AIJ-100117"/>
    <x v="18"/>
    <x v="5"/>
    <x v="7"/>
    <x v="0"/>
    <x v="3"/>
    <x v="62"/>
    <x v="41"/>
    <x v="2"/>
    <n v="89805"/>
    <s v="High"/>
    <x v="21"/>
    <n v="42"/>
    <x v="1"/>
    <x v="0"/>
    <n v="2.89"/>
    <s v="Yes"/>
    <n v="3.85"/>
    <x v="2"/>
    <x v="2"/>
    <x v="2"/>
  </r>
  <r>
    <s v="AIJ-100118"/>
    <x v="7"/>
    <x v="9"/>
    <x v="5"/>
    <x v="3"/>
    <x v="19"/>
    <x v="63"/>
    <x v="63"/>
    <x v="0"/>
    <n v="31361"/>
    <s v="Low"/>
    <x v="42"/>
    <n v="43"/>
    <x v="2"/>
    <x v="0"/>
    <n v="3.66"/>
    <s v="No"/>
    <n v="1.41"/>
    <x v="2"/>
    <x v="2"/>
    <x v="2"/>
  </r>
  <r>
    <s v="AIJ-100119"/>
    <x v="0"/>
    <x v="2"/>
    <x v="0"/>
    <x v="1"/>
    <x v="2"/>
    <x v="45"/>
    <x v="24"/>
    <x v="1"/>
    <n v="52203"/>
    <s v="Low"/>
    <x v="36"/>
    <n v="38"/>
    <x v="2"/>
    <x v="1"/>
    <n v="3.48"/>
    <s v="Yes"/>
    <n v="1.67"/>
    <x v="1"/>
    <x v="3"/>
    <x v="1"/>
  </r>
  <r>
    <s v="AIJ-100120"/>
    <x v="16"/>
    <x v="9"/>
    <x v="2"/>
    <x v="1"/>
    <x v="16"/>
    <x v="64"/>
    <x v="35"/>
    <x v="0"/>
    <n v="191656"/>
    <s v="Medium"/>
    <x v="30"/>
    <n v="56"/>
    <x v="0"/>
    <x v="1"/>
    <n v="4.41"/>
    <s v="No"/>
    <n v="2.76"/>
    <x v="1"/>
    <x v="2"/>
    <x v="3"/>
  </r>
  <r>
    <s v="AIJ-100121"/>
    <x v="7"/>
    <x v="9"/>
    <x v="0"/>
    <x v="1"/>
    <x v="23"/>
    <x v="49"/>
    <x v="22"/>
    <x v="1"/>
    <n v="113660"/>
    <s v="Medium"/>
    <x v="6"/>
    <n v="55"/>
    <x v="2"/>
    <x v="1"/>
    <n v="2.34"/>
    <s v="Yes"/>
    <n v="3.37"/>
    <x v="0"/>
    <x v="0"/>
    <x v="3"/>
  </r>
  <r>
    <s v="AIJ-100122"/>
    <x v="3"/>
    <x v="4"/>
    <x v="3"/>
    <x v="1"/>
    <x v="4"/>
    <x v="20"/>
    <x v="64"/>
    <x v="1"/>
    <n v="211622"/>
    <s v="Low"/>
    <x v="3"/>
    <n v="51"/>
    <x v="1"/>
    <x v="0"/>
    <n v="3.27"/>
    <s v="No"/>
    <n v="1.3"/>
    <x v="0"/>
    <x v="0"/>
    <x v="1"/>
  </r>
  <r>
    <s v="AIJ-100123"/>
    <x v="11"/>
    <x v="0"/>
    <x v="2"/>
    <x v="1"/>
    <x v="2"/>
    <x v="35"/>
    <x v="27"/>
    <x v="2"/>
    <n v="170746"/>
    <s v="Medium"/>
    <x v="43"/>
    <n v="50"/>
    <x v="0"/>
    <x v="2"/>
    <n v="3.69"/>
    <s v="No"/>
    <n v="4.87"/>
    <x v="1"/>
    <x v="2"/>
    <x v="1"/>
  </r>
  <r>
    <s v="AIJ-100124"/>
    <x v="2"/>
    <x v="2"/>
    <x v="3"/>
    <x v="3"/>
    <x v="5"/>
    <x v="47"/>
    <x v="39"/>
    <x v="1"/>
    <n v="210267"/>
    <s v="High"/>
    <x v="22"/>
    <n v="52"/>
    <x v="0"/>
    <x v="2"/>
    <n v="3.03"/>
    <s v="Yes"/>
    <n v="2.93"/>
    <x v="1"/>
    <x v="2"/>
    <x v="3"/>
  </r>
  <r>
    <s v="AIJ-100125"/>
    <x v="18"/>
    <x v="9"/>
    <x v="2"/>
    <x v="0"/>
    <x v="24"/>
    <x v="5"/>
    <x v="54"/>
    <x v="2"/>
    <n v="156596"/>
    <s v="Medium"/>
    <x v="31"/>
    <n v="32"/>
    <x v="2"/>
    <x v="2"/>
    <n v="4.43"/>
    <s v="Yes"/>
    <n v="1.0900000000000001"/>
    <x v="1"/>
    <x v="2"/>
    <x v="1"/>
  </r>
  <r>
    <s v="AIJ-100126"/>
    <x v="13"/>
    <x v="2"/>
    <x v="7"/>
    <x v="1"/>
    <x v="3"/>
    <x v="46"/>
    <x v="15"/>
    <x v="2"/>
    <n v="141770"/>
    <s v="High"/>
    <x v="15"/>
    <n v="42"/>
    <x v="1"/>
    <x v="0"/>
    <n v="3.84"/>
    <s v="Yes"/>
    <n v="2.8"/>
    <x v="1"/>
    <x v="2"/>
    <x v="2"/>
  </r>
  <r>
    <s v="AIJ-100127"/>
    <x v="0"/>
    <x v="8"/>
    <x v="5"/>
    <x v="3"/>
    <x v="8"/>
    <x v="57"/>
    <x v="11"/>
    <x v="1"/>
    <n v="56673"/>
    <s v="Low"/>
    <x v="3"/>
    <n v="51"/>
    <x v="2"/>
    <x v="0"/>
    <n v="4.9000000000000004"/>
    <s v="No"/>
    <n v="3.39"/>
    <x v="0"/>
    <x v="1"/>
    <x v="2"/>
  </r>
  <r>
    <s v="AIJ-100128"/>
    <x v="11"/>
    <x v="3"/>
    <x v="2"/>
    <x v="1"/>
    <x v="23"/>
    <x v="17"/>
    <x v="62"/>
    <x v="0"/>
    <n v="107973"/>
    <s v="Low"/>
    <x v="33"/>
    <n v="33"/>
    <x v="1"/>
    <x v="1"/>
    <n v="4.08"/>
    <s v="No"/>
    <n v="2.67"/>
    <x v="2"/>
    <x v="0"/>
    <x v="3"/>
  </r>
  <r>
    <s v="AIJ-100129"/>
    <x v="0"/>
    <x v="8"/>
    <x v="3"/>
    <x v="3"/>
    <x v="22"/>
    <x v="28"/>
    <x v="3"/>
    <x v="0"/>
    <n v="75412"/>
    <s v="Medium"/>
    <x v="34"/>
    <n v="44"/>
    <x v="0"/>
    <x v="2"/>
    <n v="4.5999999999999996"/>
    <s v="Yes"/>
    <n v="2.94"/>
    <x v="2"/>
    <x v="3"/>
    <x v="2"/>
  </r>
  <r>
    <s v="AIJ-100130"/>
    <x v="4"/>
    <x v="0"/>
    <x v="0"/>
    <x v="2"/>
    <x v="9"/>
    <x v="43"/>
    <x v="46"/>
    <x v="0"/>
    <n v="158109"/>
    <s v="Medium"/>
    <x v="39"/>
    <n v="38"/>
    <x v="1"/>
    <x v="0"/>
    <n v="2.87"/>
    <s v="No"/>
    <n v="3.26"/>
    <x v="1"/>
    <x v="3"/>
    <x v="1"/>
  </r>
  <r>
    <s v="AIJ-100131"/>
    <x v="13"/>
    <x v="5"/>
    <x v="4"/>
    <x v="0"/>
    <x v="19"/>
    <x v="18"/>
    <x v="43"/>
    <x v="2"/>
    <n v="218476"/>
    <s v="High"/>
    <x v="23"/>
    <n v="37"/>
    <x v="2"/>
    <x v="2"/>
    <n v="3.35"/>
    <s v="No"/>
    <n v="4.45"/>
    <x v="2"/>
    <x v="3"/>
    <x v="2"/>
  </r>
  <r>
    <s v="AIJ-100132"/>
    <x v="14"/>
    <x v="8"/>
    <x v="0"/>
    <x v="1"/>
    <x v="9"/>
    <x v="65"/>
    <x v="5"/>
    <x v="0"/>
    <n v="189976"/>
    <s v="Low"/>
    <x v="17"/>
    <n v="31"/>
    <x v="0"/>
    <x v="1"/>
    <n v="3.6"/>
    <s v="Yes"/>
    <n v="2.29"/>
    <x v="0"/>
    <x v="3"/>
    <x v="1"/>
  </r>
  <r>
    <s v="AIJ-100133"/>
    <x v="17"/>
    <x v="8"/>
    <x v="4"/>
    <x v="1"/>
    <x v="25"/>
    <x v="62"/>
    <x v="19"/>
    <x v="1"/>
    <n v="102698"/>
    <s v="Low"/>
    <x v="23"/>
    <n v="56"/>
    <x v="0"/>
    <x v="1"/>
    <n v="3.47"/>
    <s v="No"/>
    <n v="3.51"/>
    <x v="1"/>
    <x v="3"/>
    <x v="1"/>
  </r>
  <r>
    <s v="AIJ-100134"/>
    <x v="12"/>
    <x v="7"/>
    <x v="0"/>
    <x v="2"/>
    <x v="1"/>
    <x v="29"/>
    <x v="14"/>
    <x v="2"/>
    <n v="149195"/>
    <s v="Low"/>
    <x v="8"/>
    <n v="44"/>
    <x v="0"/>
    <x v="0"/>
    <n v="4.09"/>
    <s v="Yes"/>
    <n v="4.18"/>
    <x v="1"/>
    <x v="3"/>
    <x v="1"/>
  </r>
  <r>
    <s v="AIJ-100135"/>
    <x v="2"/>
    <x v="8"/>
    <x v="0"/>
    <x v="0"/>
    <x v="9"/>
    <x v="63"/>
    <x v="40"/>
    <x v="1"/>
    <n v="173474"/>
    <s v="High"/>
    <x v="23"/>
    <n v="31"/>
    <x v="1"/>
    <x v="2"/>
    <n v="3.88"/>
    <s v="No"/>
    <n v="1.07"/>
    <x v="2"/>
    <x v="3"/>
    <x v="1"/>
  </r>
  <r>
    <s v="AIJ-100136"/>
    <x v="3"/>
    <x v="7"/>
    <x v="6"/>
    <x v="2"/>
    <x v="17"/>
    <x v="14"/>
    <x v="65"/>
    <x v="2"/>
    <n v="101832"/>
    <s v="High"/>
    <x v="43"/>
    <n v="31"/>
    <x v="2"/>
    <x v="0"/>
    <n v="2.92"/>
    <s v="Yes"/>
    <n v="2.72"/>
    <x v="2"/>
    <x v="1"/>
    <x v="3"/>
  </r>
  <r>
    <s v="AIJ-100137"/>
    <x v="13"/>
    <x v="6"/>
    <x v="8"/>
    <x v="3"/>
    <x v="19"/>
    <x v="26"/>
    <x v="60"/>
    <x v="1"/>
    <n v="166169"/>
    <s v="High"/>
    <x v="36"/>
    <n v="45"/>
    <x v="1"/>
    <x v="2"/>
    <n v="3.15"/>
    <s v="Yes"/>
    <n v="1.41"/>
    <x v="1"/>
    <x v="3"/>
    <x v="2"/>
  </r>
  <r>
    <s v="AIJ-100138"/>
    <x v="11"/>
    <x v="8"/>
    <x v="3"/>
    <x v="3"/>
    <x v="24"/>
    <x v="66"/>
    <x v="58"/>
    <x v="0"/>
    <n v="32221"/>
    <s v="High"/>
    <x v="26"/>
    <n v="34"/>
    <x v="2"/>
    <x v="0"/>
    <n v="4.0599999999999996"/>
    <s v="Yes"/>
    <n v="1.35"/>
    <x v="2"/>
    <x v="3"/>
    <x v="1"/>
  </r>
  <r>
    <s v="AIJ-100139"/>
    <x v="3"/>
    <x v="2"/>
    <x v="9"/>
    <x v="3"/>
    <x v="1"/>
    <x v="49"/>
    <x v="66"/>
    <x v="2"/>
    <n v="102605"/>
    <s v="Low"/>
    <x v="11"/>
    <n v="57"/>
    <x v="0"/>
    <x v="1"/>
    <n v="2.62"/>
    <s v="Yes"/>
    <n v="3.99"/>
    <x v="1"/>
    <x v="2"/>
    <x v="1"/>
  </r>
  <r>
    <s v="AIJ-100140"/>
    <x v="3"/>
    <x v="5"/>
    <x v="8"/>
    <x v="3"/>
    <x v="23"/>
    <x v="6"/>
    <x v="35"/>
    <x v="0"/>
    <n v="185695"/>
    <s v="Medium"/>
    <x v="10"/>
    <n v="56"/>
    <x v="0"/>
    <x v="1"/>
    <n v="3.1"/>
    <s v="Yes"/>
    <n v="4.05"/>
    <x v="2"/>
    <x v="3"/>
    <x v="3"/>
  </r>
  <r>
    <s v="AIJ-100141"/>
    <x v="8"/>
    <x v="1"/>
    <x v="9"/>
    <x v="0"/>
    <x v="12"/>
    <x v="20"/>
    <x v="19"/>
    <x v="2"/>
    <n v="134326"/>
    <s v="Medium"/>
    <x v="1"/>
    <n v="50"/>
    <x v="0"/>
    <x v="0"/>
    <n v="3.85"/>
    <s v="No"/>
    <n v="1.33"/>
    <x v="2"/>
    <x v="0"/>
    <x v="3"/>
  </r>
  <r>
    <s v="AIJ-100142"/>
    <x v="3"/>
    <x v="1"/>
    <x v="7"/>
    <x v="1"/>
    <x v="0"/>
    <x v="67"/>
    <x v="46"/>
    <x v="0"/>
    <n v="208534"/>
    <s v="Low"/>
    <x v="15"/>
    <n v="33"/>
    <x v="2"/>
    <x v="0"/>
    <n v="3.83"/>
    <s v="No"/>
    <n v="3.66"/>
    <x v="0"/>
    <x v="3"/>
    <x v="0"/>
  </r>
  <r>
    <s v="AIJ-100143"/>
    <x v="8"/>
    <x v="5"/>
    <x v="6"/>
    <x v="1"/>
    <x v="17"/>
    <x v="45"/>
    <x v="35"/>
    <x v="0"/>
    <n v="120886"/>
    <s v="High"/>
    <x v="45"/>
    <n v="57"/>
    <x v="2"/>
    <x v="0"/>
    <n v="4.66"/>
    <s v="Yes"/>
    <n v="2.34"/>
    <x v="1"/>
    <x v="3"/>
    <x v="3"/>
  </r>
  <r>
    <s v="AIJ-100144"/>
    <x v="18"/>
    <x v="6"/>
    <x v="3"/>
    <x v="1"/>
    <x v="17"/>
    <x v="68"/>
    <x v="35"/>
    <x v="0"/>
    <n v="163898"/>
    <s v="Medium"/>
    <x v="45"/>
    <n v="33"/>
    <x v="0"/>
    <x v="0"/>
    <n v="4.17"/>
    <s v="Yes"/>
    <n v="3.96"/>
    <x v="2"/>
    <x v="2"/>
    <x v="3"/>
  </r>
  <r>
    <s v="AIJ-100145"/>
    <x v="4"/>
    <x v="6"/>
    <x v="9"/>
    <x v="0"/>
    <x v="20"/>
    <x v="30"/>
    <x v="34"/>
    <x v="1"/>
    <n v="69343"/>
    <s v="Low"/>
    <x v="27"/>
    <n v="59"/>
    <x v="0"/>
    <x v="1"/>
    <n v="2.81"/>
    <s v="Yes"/>
    <n v="3.29"/>
    <x v="2"/>
    <x v="3"/>
    <x v="2"/>
  </r>
  <r>
    <s v="AIJ-100146"/>
    <x v="7"/>
    <x v="1"/>
    <x v="5"/>
    <x v="2"/>
    <x v="13"/>
    <x v="60"/>
    <x v="11"/>
    <x v="1"/>
    <n v="151921"/>
    <s v="Low"/>
    <x v="49"/>
    <n v="36"/>
    <x v="2"/>
    <x v="0"/>
    <n v="4.3499999999999996"/>
    <s v="Yes"/>
    <n v="2.86"/>
    <x v="0"/>
    <x v="1"/>
    <x v="1"/>
  </r>
  <r>
    <s v="AIJ-100147"/>
    <x v="19"/>
    <x v="7"/>
    <x v="8"/>
    <x v="0"/>
    <x v="24"/>
    <x v="69"/>
    <x v="44"/>
    <x v="2"/>
    <n v="211786"/>
    <s v="Medium"/>
    <x v="47"/>
    <n v="36"/>
    <x v="0"/>
    <x v="2"/>
    <n v="3.26"/>
    <s v="Yes"/>
    <n v="4.8899999999999997"/>
    <x v="2"/>
    <x v="3"/>
    <x v="1"/>
  </r>
  <r>
    <s v="AIJ-100148"/>
    <x v="13"/>
    <x v="0"/>
    <x v="0"/>
    <x v="2"/>
    <x v="7"/>
    <x v="70"/>
    <x v="27"/>
    <x v="0"/>
    <n v="127646"/>
    <s v="High"/>
    <x v="6"/>
    <n v="42"/>
    <x v="1"/>
    <x v="0"/>
    <n v="3.7"/>
    <s v="No"/>
    <n v="3.65"/>
    <x v="2"/>
    <x v="3"/>
    <x v="1"/>
  </r>
  <r>
    <s v="AIJ-100149"/>
    <x v="1"/>
    <x v="9"/>
    <x v="6"/>
    <x v="1"/>
    <x v="6"/>
    <x v="71"/>
    <x v="27"/>
    <x v="0"/>
    <n v="115524"/>
    <s v="Low"/>
    <x v="45"/>
    <n v="54"/>
    <x v="0"/>
    <x v="2"/>
    <n v="2.4700000000000002"/>
    <s v="Yes"/>
    <n v="2.8"/>
    <x v="1"/>
    <x v="2"/>
    <x v="0"/>
  </r>
  <r>
    <s v="AIJ-100150"/>
    <x v="7"/>
    <x v="3"/>
    <x v="8"/>
    <x v="1"/>
    <x v="23"/>
    <x v="3"/>
    <x v="26"/>
    <x v="0"/>
    <n v="71317"/>
    <s v="Low"/>
    <x v="18"/>
    <n v="37"/>
    <x v="2"/>
    <x v="1"/>
    <n v="3.54"/>
    <s v="No"/>
    <n v="2.04"/>
    <x v="2"/>
    <x v="2"/>
    <x v="3"/>
  </r>
  <r>
    <s v="AIJ-100151"/>
    <x v="9"/>
    <x v="6"/>
    <x v="8"/>
    <x v="1"/>
    <x v="22"/>
    <x v="11"/>
    <x v="63"/>
    <x v="0"/>
    <n v="66645"/>
    <s v="Medium"/>
    <x v="49"/>
    <n v="51"/>
    <x v="0"/>
    <x v="0"/>
    <n v="2.25"/>
    <s v="No"/>
    <n v="4.67"/>
    <x v="2"/>
    <x v="3"/>
    <x v="2"/>
  </r>
  <r>
    <s v="AIJ-100152"/>
    <x v="9"/>
    <x v="6"/>
    <x v="3"/>
    <x v="2"/>
    <x v="3"/>
    <x v="57"/>
    <x v="59"/>
    <x v="2"/>
    <n v="116913"/>
    <s v="Medium"/>
    <x v="6"/>
    <n v="53"/>
    <x v="2"/>
    <x v="1"/>
    <n v="2.09"/>
    <s v="No"/>
    <n v="1.69"/>
    <x v="2"/>
    <x v="1"/>
    <x v="2"/>
  </r>
  <r>
    <s v="AIJ-100153"/>
    <x v="6"/>
    <x v="1"/>
    <x v="3"/>
    <x v="0"/>
    <x v="13"/>
    <x v="66"/>
    <x v="2"/>
    <x v="1"/>
    <n v="191736"/>
    <s v="Low"/>
    <x v="1"/>
    <n v="38"/>
    <x v="2"/>
    <x v="2"/>
    <n v="3.26"/>
    <s v="Yes"/>
    <n v="3.52"/>
    <x v="0"/>
    <x v="3"/>
    <x v="1"/>
  </r>
  <r>
    <s v="AIJ-100154"/>
    <x v="8"/>
    <x v="7"/>
    <x v="7"/>
    <x v="3"/>
    <x v="3"/>
    <x v="18"/>
    <x v="67"/>
    <x v="0"/>
    <n v="178282"/>
    <s v="Medium"/>
    <x v="44"/>
    <n v="37"/>
    <x v="1"/>
    <x v="1"/>
    <n v="2.1800000000000002"/>
    <s v="No"/>
    <n v="3.12"/>
    <x v="0"/>
    <x v="3"/>
    <x v="2"/>
  </r>
  <r>
    <s v="AIJ-100155"/>
    <x v="6"/>
    <x v="3"/>
    <x v="7"/>
    <x v="3"/>
    <x v="3"/>
    <x v="22"/>
    <x v="58"/>
    <x v="0"/>
    <n v="44656"/>
    <s v="Low"/>
    <x v="22"/>
    <n v="40"/>
    <x v="0"/>
    <x v="0"/>
    <n v="3.08"/>
    <s v="Yes"/>
    <n v="3.81"/>
    <x v="1"/>
    <x v="3"/>
    <x v="2"/>
  </r>
  <r>
    <s v="AIJ-100156"/>
    <x v="11"/>
    <x v="2"/>
    <x v="8"/>
    <x v="0"/>
    <x v="21"/>
    <x v="19"/>
    <x v="59"/>
    <x v="1"/>
    <n v="90980"/>
    <s v="High"/>
    <x v="9"/>
    <n v="55"/>
    <x v="1"/>
    <x v="1"/>
    <n v="4.1500000000000004"/>
    <s v="No"/>
    <n v="1.24"/>
    <x v="2"/>
    <x v="2"/>
    <x v="0"/>
  </r>
  <r>
    <s v="AIJ-100157"/>
    <x v="2"/>
    <x v="0"/>
    <x v="5"/>
    <x v="3"/>
    <x v="23"/>
    <x v="13"/>
    <x v="3"/>
    <x v="0"/>
    <n v="133703"/>
    <s v="Low"/>
    <x v="8"/>
    <n v="60"/>
    <x v="2"/>
    <x v="0"/>
    <n v="4.88"/>
    <s v="No"/>
    <n v="1.7"/>
    <x v="0"/>
    <x v="0"/>
    <x v="3"/>
  </r>
  <r>
    <s v="AIJ-100158"/>
    <x v="2"/>
    <x v="4"/>
    <x v="0"/>
    <x v="2"/>
    <x v="3"/>
    <x v="65"/>
    <x v="68"/>
    <x v="2"/>
    <n v="30471"/>
    <s v="Medium"/>
    <x v="17"/>
    <n v="60"/>
    <x v="0"/>
    <x v="2"/>
    <n v="3.92"/>
    <s v="Yes"/>
    <n v="4.75"/>
    <x v="2"/>
    <x v="2"/>
    <x v="2"/>
  </r>
  <r>
    <s v="AIJ-100159"/>
    <x v="1"/>
    <x v="9"/>
    <x v="8"/>
    <x v="3"/>
    <x v="8"/>
    <x v="67"/>
    <x v="22"/>
    <x v="0"/>
    <n v="215851"/>
    <s v="High"/>
    <x v="13"/>
    <n v="41"/>
    <x v="2"/>
    <x v="2"/>
    <n v="4.16"/>
    <s v="Yes"/>
    <n v="2.54"/>
    <x v="0"/>
    <x v="3"/>
    <x v="2"/>
  </r>
  <r>
    <s v="AIJ-100160"/>
    <x v="2"/>
    <x v="2"/>
    <x v="1"/>
    <x v="0"/>
    <x v="6"/>
    <x v="18"/>
    <x v="63"/>
    <x v="0"/>
    <n v="155695"/>
    <s v="Medium"/>
    <x v="14"/>
    <n v="40"/>
    <x v="2"/>
    <x v="2"/>
    <n v="2.2200000000000002"/>
    <s v="Yes"/>
    <n v="4.55"/>
    <x v="2"/>
    <x v="2"/>
    <x v="0"/>
  </r>
  <r>
    <s v="AIJ-100161"/>
    <x v="19"/>
    <x v="4"/>
    <x v="1"/>
    <x v="0"/>
    <x v="3"/>
    <x v="72"/>
    <x v="50"/>
    <x v="0"/>
    <n v="156546"/>
    <s v="Low"/>
    <x v="30"/>
    <n v="36"/>
    <x v="1"/>
    <x v="1"/>
    <n v="4.09"/>
    <s v="No"/>
    <n v="3.64"/>
    <x v="1"/>
    <x v="3"/>
    <x v="2"/>
  </r>
  <r>
    <s v="AIJ-100162"/>
    <x v="18"/>
    <x v="6"/>
    <x v="7"/>
    <x v="2"/>
    <x v="16"/>
    <x v="18"/>
    <x v="35"/>
    <x v="2"/>
    <n v="44288"/>
    <s v="High"/>
    <x v="44"/>
    <n v="45"/>
    <x v="1"/>
    <x v="2"/>
    <n v="2.08"/>
    <s v="Yes"/>
    <n v="3.55"/>
    <x v="2"/>
    <x v="3"/>
    <x v="3"/>
  </r>
  <r>
    <s v="AIJ-100163"/>
    <x v="4"/>
    <x v="7"/>
    <x v="7"/>
    <x v="3"/>
    <x v="3"/>
    <x v="3"/>
    <x v="32"/>
    <x v="1"/>
    <n v="131587"/>
    <s v="Low"/>
    <x v="3"/>
    <n v="44"/>
    <x v="2"/>
    <x v="1"/>
    <n v="2.68"/>
    <s v="No"/>
    <n v="3.26"/>
    <x v="2"/>
    <x v="0"/>
    <x v="2"/>
  </r>
  <r>
    <s v="AIJ-100164"/>
    <x v="10"/>
    <x v="4"/>
    <x v="9"/>
    <x v="0"/>
    <x v="13"/>
    <x v="35"/>
    <x v="60"/>
    <x v="2"/>
    <n v="175123"/>
    <s v="Medium"/>
    <x v="12"/>
    <n v="58"/>
    <x v="1"/>
    <x v="1"/>
    <n v="2.9"/>
    <s v="No"/>
    <n v="4.6100000000000003"/>
    <x v="0"/>
    <x v="2"/>
    <x v="1"/>
  </r>
  <r>
    <s v="AIJ-100165"/>
    <x v="4"/>
    <x v="2"/>
    <x v="4"/>
    <x v="1"/>
    <x v="0"/>
    <x v="73"/>
    <x v="43"/>
    <x v="1"/>
    <n v="75319"/>
    <s v="Low"/>
    <x v="50"/>
    <n v="43"/>
    <x v="1"/>
    <x v="0"/>
    <n v="2.44"/>
    <s v="No"/>
    <n v="2.2799999999999998"/>
    <x v="0"/>
    <x v="0"/>
    <x v="0"/>
  </r>
  <r>
    <s v="AIJ-100166"/>
    <x v="13"/>
    <x v="6"/>
    <x v="0"/>
    <x v="0"/>
    <x v="19"/>
    <x v="46"/>
    <x v="5"/>
    <x v="1"/>
    <n v="166233"/>
    <s v="Low"/>
    <x v="25"/>
    <n v="48"/>
    <x v="0"/>
    <x v="0"/>
    <n v="4.28"/>
    <s v="Yes"/>
    <n v="4.7"/>
    <x v="0"/>
    <x v="3"/>
    <x v="2"/>
  </r>
  <r>
    <s v="AIJ-100167"/>
    <x v="11"/>
    <x v="9"/>
    <x v="8"/>
    <x v="1"/>
    <x v="14"/>
    <x v="3"/>
    <x v="69"/>
    <x v="1"/>
    <n v="179952"/>
    <s v="Low"/>
    <x v="32"/>
    <n v="49"/>
    <x v="0"/>
    <x v="0"/>
    <n v="3.21"/>
    <s v="No"/>
    <n v="4.5599999999999996"/>
    <x v="1"/>
    <x v="0"/>
    <x v="2"/>
  </r>
  <r>
    <s v="AIJ-100168"/>
    <x v="7"/>
    <x v="1"/>
    <x v="3"/>
    <x v="2"/>
    <x v="20"/>
    <x v="13"/>
    <x v="44"/>
    <x v="0"/>
    <n v="109444"/>
    <s v="Medium"/>
    <x v="26"/>
    <n v="44"/>
    <x v="2"/>
    <x v="1"/>
    <n v="4.1900000000000004"/>
    <s v="Yes"/>
    <n v="1.75"/>
    <x v="2"/>
    <x v="3"/>
    <x v="2"/>
  </r>
  <r>
    <s v="AIJ-100169"/>
    <x v="8"/>
    <x v="4"/>
    <x v="1"/>
    <x v="2"/>
    <x v="3"/>
    <x v="62"/>
    <x v="11"/>
    <x v="0"/>
    <n v="216009"/>
    <s v="Low"/>
    <x v="34"/>
    <n v="31"/>
    <x v="1"/>
    <x v="2"/>
    <n v="3.37"/>
    <s v="No"/>
    <n v="3.82"/>
    <x v="1"/>
    <x v="1"/>
    <x v="2"/>
  </r>
  <r>
    <s v="AIJ-100170"/>
    <x v="11"/>
    <x v="9"/>
    <x v="1"/>
    <x v="0"/>
    <x v="11"/>
    <x v="50"/>
    <x v="33"/>
    <x v="2"/>
    <n v="158132"/>
    <s v="Medium"/>
    <x v="41"/>
    <n v="35"/>
    <x v="2"/>
    <x v="0"/>
    <n v="4.49"/>
    <s v="Yes"/>
    <n v="2.14"/>
    <x v="1"/>
    <x v="2"/>
    <x v="1"/>
  </r>
  <r>
    <s v="AIJ-100171"/>
    <x v="14"/>
    <x v="5"/>
    <x v="8"/>
    <x v="2"/>
    <x v="10"/>
    <x v="51"/>
    <x v="8"/>
    <x v="0"/>
    <n v="100538"/>
    <s v="High"/>
    <x v="42"/>
    <n v="49"/>
    <x v="1"/>
    <x v="2"/>
    <n v="2.76"/>
    <s v="No"/>
    <n v="3.85"/>
    <x v="0"/>
    <x v="3"/>
    <x v="3"/>
  </r>
  <r>
    <s v="AIJ-100172"/>
    <x v="11"/>
    <x v="4"/>
    <x v="0"/>
    <x v="2"/>
    <x v="21"/>
    <x v="0"/>
    <x v="65"/>
    <x v="2"/>
    <n v="166482"/>
    <s v="High"/>
    <x v="34"/>
    <n v="56"/>
    <x v="2"/>
    <x v="0"/>
    <n v="3.94"/>
    <s v="No"/>
    <n v="2.19"/>
    <x v="2"/>
    <x v="3"/>
    <x v="0"/>
  </r>
  <r>
    <s v="AIJ-100173"/>
    <x v="7"/>
    <x v="2"/>
    <x v="1"/>
    <x v="1"/>
    <x v="0"/>
    <x v="3"/>
    <x v="52"/>
    <x v="2"/>
    <n v="200778"/>
    <s v="Medium"/>
    <x v="21"/>
    <n v="40"/>
    <x v="0"/>
    <x v="2"/>
    <n v="4.16"/>
    <s v="No"/>
    <n v="4.99"/>
    <x v="1"/>
    <x v="0"/>
    <x v="0"/>
  </r>
  <r>
    <s v="AIJ-100174"/>
    <x v="6"/>
    <x v="5"/>
    <x v="3"/>
    <x v="3"/>
    <x v="7"/>
    <x v="57"/>
    <x v="44"/>
    <x v="1"/>
    <n v="217005"/>
    <s v="Low"/>
    <x v="34"/>
    <n v="51"/>
    <x v="0"/>
    <x v="2"/>
    <n v="2.88"/>
    <s v="No"/>
    <n v="1.51"/>
    <x v="1"/>
    <x v="1"/>
    <x v="1"/>
  </r>
  <r>
    <s v="AIJ-100175"/>
    <x v="1"/>
    <x v="7"/>
    <x v="6"/>
    <x v="3"/>
    <x v="18"/>
    <x v="0"/>
    <x v="14"/>
    <x v="0"/>
    <n v="140224"/>
    <s v="Medium"/>
    <x v="37"/>
    <n v="57"/>
    <x v="0"/>
    <x v="0"/>
    <n v="3.74"/>
    <s v="Yes"/>
    <n v="2.89"/>
    <x v="2"/>
    <x v="0"/>
    <x v="3"/>
  </r>
  <r>
    <s v="AIJ-100176"/>
    <x v="17"/>
    <x v="2"/>
    <x v="5"/>
    <x v="0"/>
    <x v="11"/>
    <x v="43"/>
    <x v="14"/>
    <x v="1"/>
    <n v="69525"/>
    <s v="Low"/>
    <x v="31"/>
    <n v="57"/>
    <x v="0"/>
    <x v="2"/>
    <n v="4.34"/>
    <s v="No"/>
    <n v="2.33"/>
    <x v="2"/>
    <x v="3"/>
    <x v="1"/>
  </r>
  <r>
    <s v="AIJ-100177"/>
    <x v="12"/>
    <x v="0"/>
    <x v="1"/>
    <x v="0"/>
    <x v="4"/>
    <x v="34"/>
    <x v="1"/>
    <x v="1"/>
    <n v="71532"/>
    <s v="Medium"/>
    <x v="15"/>
    <n v="60"/>
    <x v="2"/>
    <x v="1"/>
    <n v="2.0099999999999998"/>
    <s v="Yes"/>
    <n v="3.92"/>
    <x v="2"/>
    <x v="1"/>
    <x v="1"/>
  </r>
  <r>
    <s v="AIJ-100178"/>
    <x v="18"/>
    <x v="1"/>
    <x v="1"/>
    <x v="2"/>
    <x v="5"/>
    <x v="68"/>
    <x v="51"/>
    <x v="2"/>
    <n v="211803"/>
    <s v="High"/>
    <x v="33"/>
    <n v="35"/>
    <x v="1"/>
    <x v="2"/>
    <n v="2.89"/>
    <s v="No"/>
    <n v="2.82"/>
    <x v="0"/>
    <x v="2"/>
    <x v="3"/>
  </r>
  <r>
    <s v="AIJ-100179"/>
    <x v="19"/>
    <x v="2"/>
    <x v="4"/>
    <x v="1"/>
    <x v="8"/>
    <x v="52"/>
    <x v="70"/>
    <x v="2"/>
    <n v="135746"/>
    <s v="Low"/>
    <x v="22"/>
    <n v="46"/>
    <x v="1"/>
    <x v="2"/>
    <n v="3.1"/>
    <s v="Yes"/>
    <n v="2.5"/>
    <x v="0"/>
    <x v="2"/>
    <x v="2"/>
  </r>
  <r>
    <s v="AIJ-100180"/>
    <x v="9"/>
    <x v="4"/>
    <x v="3"/>
    <x v="0"/>
    <x v="19"/>
    <x v="9"/>
    <x v="21"/>
    <x v="2"/>
    <n v="210813"/>
    <s v="Medium"/>
    <x v="19"/>
    <n v="52"/>
    <x v="1"/>
    <x v="2"/>
    <n v="4.09"/>
    <s v="Yes"/>
    <n v="2.2000000000000002"/>
    <x v="0"/>
    <x v="2"/>
    <x v="2"/>
  </r>
  <r>
    <s v="AIJ-100181"/>
    <x v="11"/>
    <x v="0"/>
    <x v="6"/>
    <x v="2"/>
    <x v="9"/>
    <x v="8"/>
    <x v="36"/>
    <x v="0"/>
    <n v="164108"/>
    <s v="Medium"/>
    <x v="9"/>
    <n v="49"/>
    <x v="1"/>
    <x v="1"/>
    <n v="4.49"/>
    <s v="Yes"/>
    <n v="2.4300000000000002"/>
    <x v="1"/>
    <x v="3"/>
    <x v="1"/>
  </r>
  <r>
    <s v="AIJ-100182"/>
    <x v="19"/>
    <x v="6"/>
    <x v="2"/>
    <x v="2"/>
    <x v="11"/>
    <x v="65"/>
    <x v="67"/>
    <x v="2"/>
    <n v="91474"/>
    <s v="Medium"/>
    <x v="25"/>
    <n v="60"/>
    <x v="1"/>
    <x v="0"/>
    <n v="2.23"/>
    <s v="Yes"/>
    <n v="4.62"/>
    <x v="0"/>
    <x v="2"/>
    <x v="1"/>
  </r>
  <r>
    <s v="AIJ-100183"/>
    <x v="7"/>
    <x v="7"/>
    <x v="5"/>
    <x v="0"/>
    <x v="24"/>
    <x v="27"/>
    <x v="56"/>
    <x v="0"/>
    <n v="40340"/>
    <s v="Low"/>
    <x v="11"/>
    <n v="54"/>
    <x v="1"/>
    <x v="2"/>
    <n v="4.5599999999999996"/>
    <s v="Yes"/>
    <n v="2.31"/>
    <x v="1"/>
    <x v="0"/>
    <x v="1"/>
  </r>
  <r>
    <s v="AIJ-100184"/>
    <x v="15"/>
    <x v="9"/>
    <x v="7"/>
    <x v="1"/>
    <x v="19"/>
    <x v="74"/>
    <x v="22"/>
    <x v="0"/>
    <n v="101259"/>
    <s v="High"/>
    <x v="8"/>
    <n v="31"/>
    <x v="1"/>
    <x v="2"/>
    <n v="3.25"/>
    <s v="No"/>
    <n v="4.21"/>
    <x v="0"/>
    <x v="3"/>
    <x v="2"/>
  </r>
  <r>
    <s v="AIJ-100185"/>
    <x v="12"/>
    <x v="9"/>
    <x v="2"/>
    <x v="0"/>
    <x v="18"/>
    <x v="14"/>
    <x v="57"/>
    <x v="0"/>
    <n v="64250"/>
    <s v="Low"/>
    <x v="3"/>
    <n v="50"/>
    <x v="2"/>
    <x v="2"/>
    <n v="4.1100000000000003"/>
    <s v="Yes"/>
    <n v="4.91"/>
    <x v="0"/>
    <x v="2"/>
    <x v="3"/>
  </r>
  <r>
    <s v="AIJ-100186"/>
    <x v="15"/>
    <x v="8"/>
    <x v="9"/>
    <x v="2"/>
    <x v="21"/>
    <x v="64"/>
    <x v="67"/>
    <x v="2"/>
    <n v="203987"/>
    <s v="Low"/>
    <x v="5"/>
    <n v="57"/>
    <x v="2"/>
    <x v="1"/>
    <n v="4.6100000000000003"/>
    <s v="Yes"/>
    <n v="4.01"/>
    <x v="1"/>
    <x v="2"/>
    <x v="0"/>
  </r>
  <r>
    <s v="AIJ-100187"/>
    <x v="6"/>
    <x v="0"/>
    <x v="3"/>
    <x v="0"/>
    <x v="9"/>
    <x v="0"/>
    <x v="32"/>
    <x v="2"/>
    <n v="135716"/>
    <s v="Medium"/>
    <x v="1"/>
    <n v="57"/>
    <x v="2"/>
    <x v="1"/>
    <n v="2.95"/>
    <s v="No"/>
    <n v="3.98"/>
    <x v="2"/>
    <x v="0"/>
    <x v="1"/>
  </r>
  <r>
    <s v="AIJ-100188"/>
    <x v="11"/>
    <x v="3"/>
    <x v="6"/>
    <x v="1"/>
    <x v="4"/>
    <x v="46"/>
    <x v="48"/>
    <x v="2"/>
    <n v="53827"/>
    <s v="Medium"/>
    <x v="30"/>
    <n v="41"/>
    <x v="1"/>
    <x v="2"/>
    <n v="4.53"/>
    <s v="No"/>
    <n v="3.24"/>
    <x v="0"/>
    <x v="2"/>
    <x v="1"/>
  </r>
  <r>
    <s v="AIJ-100189"/>
    <x v="7"/>
    <x v="5"/>
    <x v="9"/>
    <x v="3"/>
    <x v="25"/>
    <x v="0"/>
    <x v="44"/>
    <x v="0"/>
    <n v="196110"/>
    <s v="Low"/>
    <x v="43"/>
    <n v="45"/>
    <x v="1"/>
    <x v="0"/>
    <n v="4.2300000000000004"/>
    <s v="No"/>
    <n v="1.43"/>
    <x v="0"/>
    <x v="3"/>
    <x v="1"/>
  </r>
  <r>
    <s v="AIJ-100190"/>
    <x v="1"/>
    <x v="0"/>
    <x v="7"/>
    <x v="2"/>
    <x v="4"/>
    <x v="5"/>
    <x v="31"/>
    <x v="2"/>
    <n v="217901"/>
    <s v="High"/>
    <x v="51"/>
    <n v="54"/>
    <x v="2"/>
    <x v="1"/>
    <n v="3.98"/>
    <s v="Yes"/>
    <n v="4.8600000000000003"/>
    <x v="2"/>
    <x v="3"/>
    <x v="1"/>
  </r>
  <r>
    <s v="AIJ-100191"/>
    <x v="2"/>
    <x v="8"/>
    <x v="1"/>
    <x v="2"/>
    <x v="5"/>
    <x v="28"/>
    <x v="31"/>
    <x v="2"/>
    <n v="76452"/>
    <s v="High"/>
    <x v="44"/>
    <n v="58"/>
    <x v="2"/>
    <x v="0"/>
    <n v="4.6399999999999997"/>
    <s v="No"/>
    <n v="4.92"/>
    <x v="0"/>
    <x v="2"/>
    <x v="3"/>
  </r>
  <r>
    <s v="AIJ-100192"/>
    <x v="11"/>
    <x v="5"/>
    <x v="6"/>
    <x v="3"/>
    <x v="25"/>
    <x v="5"/>
    <x v="66"/>
    <x v="2"/>
    <n v="138198"/>
    <s v="High"/>
    <x v="48"/>
    <n v="36"/>
    <x v="1"/>
    <x v="2"/>
    <n v="3.87"/>
    <s v="No"/>
    <n v="3.75"/>
    <x v="0"/>
    <x v="2"/>
    <x v="1"/>
  </r>
  <r>
    <s v="AIJ-100193"/>
    <x v="2"/>
    <x v="3"/>
    <x v="7"/>
    <x v="3"/>
    <x v="12"/>
    <x v="6"/>
    <x v="49"/>
    <x v="0"/>
    <n v="155926"/>
    <s v="High"/>
    <x v="47"/>
    <n v="30"/>
    <x v="2"/>
    <x v="2"/>
    <n v="2.16"/>
    <s v="Yes"/>
    <n v="1.8"/>
    <x v="2"/>
    <x v="3"/>
    <x v="3"/>
  </r>
  <r>
    <s v="AIJ-100194"/>
    <x v="18"/>
    <x v="9"/>
    <x v="2"/>
    <x v="1"/>
    <x v="24"/>
    <x v="38"/>
    <x v="43"/>
    <x v="2"/>
    <n v="38468"/>
    <s v="High"/>
    <x v="52"/>
    <n v="37"/>
    <x v="0"/>
    <x v="0"/>
    <n v="2.86"/>
    <s v="Yes"/>
    <n v="4.71"/>
    <x v="1"/>
    <x v="0"/>
    <x v="1"/>
  </r>
  <r>
    <s v="AIJ-100195"/>
    <x v="6"/>
    <x v="7"/>
    <x v="0"/>
    <x v="1"/>
    <x v="1"/>
    <x v="68"/>
    <x v="31"/>
    <x v="2"/>
    <n v="146146"/>
    <s v="Low"/>
    <x v="46"/>
    <n v="44"/>
    <x v="1"/>
    <x v="0"/>
    <n v="2.2200000000000002"/>
    <s v="Yes"/>
    <n v="3.94"/>
    <x v="2"/>
    <x v="3"/>
    <x v="1"/>
  </r>
  <r>
    <s v="AIJ-100196"/>
    <x v="1"/>
    <x v="9"/>
    <x v="1"/>
    <x v="2"/>
    <x v="22"/>
    <x v="75"/>
    <x v="71"/>
    <x v="1"/>
    <n v="31479"/>
    <s v="High"/>
    <x v="37"/>
    <n v="54"/>
    <x v="0"/>
    <x v="0"/>
    <n v="4.53"/>
    <s v="No"/>
    <n v="2.96"/>
    <x v="0"/>
    <x v="0"/>
    <x v="2"/>
  </r>
  <r>
    <s v="AIJ-100197"/>
    <x v="0"/>
    <x v="5"/>
    <x v="7"/>
    <x v="2"/>
    <x v="17"/>
    <x v="4"/>
    <x v="61"/>
    <x v="0"/>
    <n v="139033"/>
    <s v="Low"/>
    <x v="21"/>
    <n v="40"/>
    <x v="2"/>
    <x v="1"/>
    <n v="2.88"/>
    <s v="No"/>
    <n v="4.99"/>
    <x v="0"/>
    <x v="3"/>
    <x v="3"/>
  </r>
  <r>
    <s v="AIJ-100198"/>
    <x v="6"/>
    <x v="6"/>
    <x v="5"/>
    <x v="0"/>
    <x v="9"/>
    <x v="22"/>
    <x v="32"/>
    <x v="0"/>
    <n v="192825"/>
    <s v="Medium"/>
    <x v="3"/>
    <n v="47"/>
    <x v="0"/>
    <x v="1"/>
    <n v="2.0699999999999998"/>
    <s v="No"/>
    <n v="3.06"/>
    <x v="0"/>
    <x v="0"/>
    <x v="1"/>
  </r>
  <r>
    <s v="AIJ-100199"/>
    <x v="4"/>
    <x v="5"/>
    <x v="9"/>
    <x v="2"/>
    <x v="4"/>
    <x v="63"/>
    <x v="59"/>
    <x v="0"/>
    <n v="55154"/>
    <s v="Low"/>
    <x v="21"/>
    <n v="50"/>
    <x v="1"/>
    <x v="0"/>
    <n v="3.27"/>
    <s v="Yes"/>
    <n v="1.82"/>
    <x v="0"/>
    <x v="2"/>
    <x v="1"/>
  </r>
  <r>
    <s v="AIJ-100200"/>
    <x v="5"/>
    <x v="5"/>
    <x v="2"/>
    <x v="1"/>
    <x v="14"/>
    <x v="32"/>
    <x v="13"/>
    <x v="1"/>
    <n v="76659"/>
    <s v="Medium"/>
    <x v="40"/>
    <n v="50"/>
    <x v="2"/>
    <x v="1"/>
    <n v="2.95"/>
    <s v="No"/>
    <n v="3.69"/>
    <x v="0"/>
    <x v="3"/>
    <x v="2"/>
  </r>
  <r>
    <s v="AIJ-100201"/>
    <x v="7"/>
    <x v="3"/>
    <x v="2"/>
    <x v="3"/>
    <x v="1"/>
    <x v="52"/>
    <x v="61"/>
    <x v="1"/>
    <n v="105978"/>
    <s v="Medium"/>
    <x v="16"/>
    <n v="56"/>
    <x v="0"/>
    <x v="2"/>
    <n v="3.42"/>
    <s v="Yes"/>
    <n v="1.55"/>
    <x v="1"/>
    <x v="3"/>
    <x v="1"/>
  </r>
  <r>
    <s v="AIJ-100202"/>
    <x v="19"/>
    <x v="3"/>
    <x v="0"/>
    <x v="0"/>
    <x v="13"/>
    <x v="14"/>
    <x v="66"/>
    <x v="2"/>
    <n v="40950"/>
    <s v="Low"/>
    <x v="33"/>
    <n v="36"/>
    <x v="0"/>
    <x v="0"/>
    <n v="4.71"/>
    <s v="No"/>
    <n v="1.85"/>
    <x v="0"/>
    <x v="1"/>
    <x v="1"/>
  </r>
  <r>
    <s v="AIJ-100203"/>
    <x v="2"/>
    <x v="6"/>
    <x v="9"/>
    <x v="0"/>
    <x v="4"/>
    <x v="2"/>
    <x v="70"/>
    <x v="2"/>
    <n v="77541"/>
    <s v="Low"/>
    <x v="46"/>
    <n v="51"/>
    <x v="1"/>
    <x v="1"/>
    <n v="2.29"/>
    <s v="No"/>
    <n v="4.8099999999999996"/>
    <x v="1"/>
    <x v="1"/>
    <x v="1"/>
  </r>
  <r>
    <s v="AIJ-100204"/>
    <x v="13"/>
    <x v="7"/>
    <x v="0"/>
    <x v="3"/>
    <x v="25"/>
    <x v="4"/>
    <x v="70"/>
    <x v="2"/>
    <n v="157365"/>
    <s v="Low"/>
    <x v="12"/>
    <n v="48"/>
    <x v="2"/>
    <x v="1"/>
    <n v="4.88"/>
    <s v="Yes"/>
    <n v="1.02"/>
    <x v="2"/>
    <x v="3"/>
    <x v="1"/>
  </r>
  <r>
    <s v="AIJ-100205"/>
    <x v="13"/>
    <x v="9"/>
    <x v="5"/>
    <x v="3"/>
    <x v="10"/>
    <x v="50"/>
    <x v="15"/>
    <x v="2"/>
    <n v="155817"/>
    <s v="Low"/>
    <x v="42"/>
    <n v="50"/>
    <x v="0"/>
    <x v="2"/>
    <n v="4.53"/>
    <s v="Yes"/>
    <n v="4.57"/>
    <x v="2"/>
    <x v="2"/>
    <x v="3"/>
  </r>
  <r>
    <s v="AIJ-100206"/>
    <x v="15"/>
    <x v="3"/>
    <x v="4"/>
    <x v="2"/>
    <x v="13"/>
    <x v="67"/>
    <x v="56"/>
    <x v="1"/>
    <n v="181755"/>
    <s v="High"/>
    <x v="20"/>
    <n v="45"/>
    <x v="0"/>
    <x v="2"/>
    <n v="3.1"/>
    <s v="Yes"/>
    <n v="4.57"/>
    <x v="0"/>
    <x v="3"/>
    <x v="1"/>
  </r>
  <r>
    <s v="AIJ-100207"/>
    <x v="4"/>
    <x v="5"/>
    <x v="1"/>
    <x v="0"/>
    <x v="3"/>
    <x v="54"/>
    <x v="69"/>
    <x v="0"/>
    <n v="190965"/>
    <s v="High"/>
    <x v="12"/>
    <n v="51"/>
    <x v="1"/>
    <x v="0"/>
    <n v="4.2"/>
    <s v="No"/>
    <n v="1.1599999999999999"/>
    <x v="1"/>
    <x v="3"/>
    <x v="2"/>
  </r>
  <r>
    <s v="AIJ-100208"/>
    <x v="15"/>
    <x v="9"/>
    <x v="3"/>
    <x v="2"/>
    <x v="0"/>
    <x v="12"/>
    <x v="54"/>
    <x v="2"/>
    <n v="124699"/>
    <s v="Medium"/>
    <x v="47"/>
    <n v="52"/>
    <x v="0"/>
    <x v="0"/>
    <n v="4.49"/>
    <s v="No"/>
    <n v="3.31"/>
    <x v="0"/>
    <x v="3"/>
    <x v="0"/>
  </r>
  <r>
    <s v="AIJ-100209"/>
    <x v="5"/>
    <x v="4"/>
    <x v="4"/>
    <x v="0"/>
    <x v="17"/>
    <x v="9"/>
    <x v="46"/>
    <x v="1"/>
    <n v="165440"/>
    <s v="Medium"/>
    <x v="35"/>
    <n v="45"/>
    <x v="0"/>
    <x v="2"/>
    <n v="3.51"/>
    <s v="Yes"/>
    <n v="2.76"/>
    <x v="2"/>
    <x v="3"/>
    <x v="3"/>
  </r>
  <r>
    <s v="AIJ-100210"/>
    <x v="9"/>
    <x v="2"/>
    <x v="7"/>
    <x v="3"/>
    <x v="24"/>
    <x v="75"/>
    <x v="72"/>
    <x v="0"/>
    <n v="187816"/>
    <s v="Medium"/>
    <x v="50"/>
    <n v="45"/>
    <x v="2"/>
    <x v="2"/>
    <n v="3.77"/>
    <s v="No"/>
    <n v="1.0900000000000001"/>
    <x v="2"/>
    <x v="3"/>
    <x v="1"/>
  </r>
  <r>
    <s v="AIJ-100211"/>
    <x v="4"/>
    <x v="5"/>
    <x v="7"/>
    <x v="2"/>
    <x v="24"/>
    <x v="76"/>
    <x v="29"/>
    <x v="2"/>
    <n v="97701"/>
    <s v="High"/>
    <x v="6"/>
    <n v="39"/>
    <x v="1"/>
    <x v="2"/>
    <n v="3.35"/>
    <s v="No"/>
    <n v="4.47"/>
    <x v="2"/>
    <x v="2"/>
    <x v="1"/>
  </r>
  <r>
    <s v="AIJ-100212"/>
    <x v="1"/>
    <x v="9"/>
    <x v="0"/>
    <x v="2"/>
    <x v="20"/>
    <x v="9"/>
    <x v="18"/>
    <x v="1"/>
    <n v="219841"/>
    <s v="Medium"/>
    <x v="36"/>
    <n v="33"/>
    <x v="1"/>
    <x v="2"/>
    <n v="3.57"/>
    <s v="No"/>
    <n v="4.3099999999999996"/>
    <x v="0"/>
    <x v="2"/>
    <x v="2"/>
  </r>
  <r>
    <s v="AIJ-100213"/>
    <x v="3"/>
    <x v="9"/>
    <x v="1"/>
    <x v="2"/>
    <x v="1"/>
    <x v="14"/>
    <x v="58"/>
    <x v="2"/>
    <n v="60806"/>
    <s v="High"/>
    <x v="15"/>
    <n v="46"/>
    <x v="2"/>
    <x v="1"/>
    <n v="4.62"/>
    <s v="No"/>
    <n v="1.92"/>
    <x v="1"/>
    <x v="2"/>
    <x v="1"/>
  </r>
  <r>
    <s v="AIJ-100214"/>
    <x v="7"/>
    <x v="3"/>
    <x v="9"/>
    <x v="0"/>
    <x v="14"/>
    <x v="34"/>
    <x v="4"/>
    <x v="0"/>
    <n v="51972"/>
    <s v="Low"/>
    <x v="18"/>
    <n v="53"/>
    <x v="1"/>
    <x v="0"/>
    <n v="3.57"/>
    <s v="Yes"/>
    <n v="2.5"/>
    <x v="2"/>
    <x v="3"/>
    <x v="2"/>
  </r>
  <r>
    <s v="AIJ-100215"/>
    <x v="14"/>
    <x v="3"/>
    <x v="5"/>
    <x v="3"/>
    <x v="2"/>
    <x v="9"/>
    <x v="51"/>
    <x v="1"/>
    <n v="170536"/>
    <s v="Low"/>
    <x v="27"/>
    <n v="47"/>
    <x v="0"/>
    <x v="1"/>
    <n v="2.54"/>
    <s v="No"/>
    <n v="2.02"/>
    <x v="1"/>
    <x v="2"/>
    <x v="1"/>
  </r>
  <r>
    <s v="AIJ-100216"/>
    <x v="9"/>
    <x v="2"/>
    <x v="9"/>
    <x v="0"/>
    <x v="9"/>
    <x v="24"/>
    <x v="27"/>
    <x v="1"/>
    <n v="72413"/>
    <s v="High"/>
    <x v="32"/>
    <n v="52"/>
    <x v="0"/>
    <x v="0"/>
    <n v="2.16"/>
    <s v="No"/>
    <n v="4.8600000000000003"/>
    <x v="2"/>
    <x v="3"/>
    <x v="1"/>
  </r>
  <r>
    <s v="AIJ-100217"/>
    <x v="3"/>
    <x v="3"/>
    <x v="8"/>
    <x v="0"/>
    <x v="5"/>
    <x v="77"/>
    <x v="18"/>
    <x v="2"/>
    <n v="127212"/>
    <s v="High"/>
    <x v="28"/>
    <n v="39"/>
    <x v="0"/>
    <x v="0"/>
    <n v="2.17"/>
    <s v="Yes"/>
    <n v="3.56"/>
    <x v="1"/>
    <x v="3"/>
    <x v="3"/>
  </r>
  <r>
    <s v="AIJ-100218"/>
    <x v="8"/>
    <x v="2"/>
    <x v="0"/>
    <x v="1"/>
    <x v="2"/>
    <x v="16"/>
    <x v="31"/>
    <x v="0"/>
    <n v="163837"/>
    <s v="Medium"/>
    <x v="7"/>
    <n v="50"/>
    <x v="1"/>
    <x v="2"/>
    <n v="2.2599999999999998"/>
    <s v="No"/>
    <n v="4.12"/>
    <x v="1"/>
    <x v="0"/>
    <x v="1"/>
  </r>
  <r>
    <s v="AIJ-100219"/>
    <x v="2"/>
    <x v="7"/>
    <x v="5"/>
    <x v="3"/>
    <x v="20"/>
    <x v="28"/>
    <x v="10"/>
    <x v="2"/>
    <n v="176568"/>
    <s v="Low"/>
    <x v="4"/>
    <n v="59"/>
    <x v="2"/>
    <x v="0"/>
    <n v="2.0099999999999998"/>
    <s v="Yes"/>
    <n v="2.63"/>
    <x v="2"/>
    <x v="2"/>
    <x v="2"/>
  </r>
  <r>
    <s v="AIJ-100220"/>
    <x v="0"/>
    <x v="3"/>
    <x v="6"/>
    <x v="0"/>
    <x v="5"/>
    <x v="10"/>
    <x v="64"/>
    <x v="2"/>
    <n v="97552"/>
    <s v="Medium"/>
    <x v="45"/>
    <n v="37"/>
    <x v="2"/>
    <x v="1"/>
    <n v="4.04"/>
    <s v="Yes"/>
    <n v="2.93"/>
    <x v="1"/>
    <x v="2"/>
    <x v="3"/>
  </r>
  <r>
    <s v="AIJ-100221"/>
    <x v="8"/>
    <x v="5"/>
    <x v="8"/>
    <x v="3"/>
    <x v="20"/>
    <x v="71"/>
    <x v="24"/>
    <x v="1"/>
    <n v="122562"/>
    <s v="Low"/>
    <x v="16"/>
    <n v="51"/>
    <x v="0"/>
    <x v="1"/>
    <n v="2.23"/>
    <s v="Yes"/>
    <n v="2.91"/>
    <x v="1"/>
    <x v="2"/>
    <x v="2"/>
  </r>
  <r>
    <s v="AIJ-100222"/>
    <x v="5"/>
    <x v="2"/>
    <x v="4"/>
    <x v="1"/>
    <x v="20"/>
    <x v="78"/>
    <x v="33"/>
    <x v="2"/>
    <n v="93453"/>
    <s v="Medium"/>
    <x v="25"/>
    <n v="54"/>
    <x v="1"/>
    <x v="2"/>
    <n v="4.76"/>
    <s v="No"/>
    <n v="3.46"/>
    <x v="0"/>
    <x v="1"/>
    <x v="2"/>
  </r>
  <r>
    <s v="AIJ-100223"/>
    <x v="5"/>
    <x v="9"/>
    <x v="1"/>
    <x v="3"/>
    <x v="5"/>
    <x v="19"/>
    <x v="73"/>
    <x v="0"/>
    <n v="180606"/>
    <s v="High"/>
    <x v="36"/>
    <n v="31"/>
    <x v="0"/>
    <x v="1"/>
    <n v="3.43"/>
    <s v="Yes"/>
    <n v="3.01"/>
    <x v="1"/>
    <x v="3"/>
    <x v="3"/>
  </r>
  <r>
    <s v="AIJ-100224"/>
    <x v="15"/>
    <x v="3"/>
    <x v="2"/>
    <x v="3"/>
    <x v="17"/>
    <x v="65"/>
    <x v="28"/>
    <x v="2"/>
    <n v="85247"/>
    <s v="Medium"/>
    <x v="42"/>
    <n v="47"/>
    <x v="2"/>
    <x v="2"/>
    <n v="2.81"/>
    <s v="No"/>
    <n v="2.46"/>
    <x v="1"/>
    <x v="2"/>
    <x v="3"/>
  </r>
  <r>
    <s v="AIJ-100225"/>
    <x v="2"/>
    <x v="2"/>
    <x v="2"/>
    <x v="3"/>
    <x v="9"/>
    <x v="39"/>
    <x v="74"/>
    <x v="0"/>
    <n v="64377"/>
    <s v="High"/>
    <x v="15"/>
    <n v="57"/>
    <x v="2"/>
    <x v="2"/>
    <n v="2.44"/>
    <s v="Yes"/>
    <n v="2.89"/>
    <x v="2"/>
    <x v="3"/>
    <x v="1"/>
  </r>
  <r>
    <s v="AIJ-100226"/>
    <x v="1"/>
    <x v="9"/>
    <x v="6"/>
    <x v="3"/>
    <x v="13"/>
    <x v="44"/>
    <x v="75"/>
    <x v="2"/>
    <n v="218890"/>
    <s v="Low"/>
    <x v="16"/>
    <n v="33"/>
    <x v="0"/>
    <x v="2"/>
    <n v="2.1800000000000002"/>
    <s v="No"/>
    <n v="2.91"/>
    <x v="0"/>
    <x v="2"/>
    <x v="1"/>
  </r>
  <r>
    <s v="AIJ-100227"/>
    <x v="18"/>
    <x v="6"/>
    <x v="7"/>
    <x v="2"/>
    <x v="17"/>
    <x v="52"/>
    <x v="39"/>
    <x v="2"/>
    <n v="97558"/>
    <s v="High"/>
    <x v="9"/>
    <n v="48"/>
    <x v="0"/>
    <x v="0"/>
    <n v="3.95"/>
    <s v="Yes"/>
    <n v="4.92"/>
    <x v="1"/>
    <x v="3"/>
    <x v="3"/>
  </r>
  <r>
    <s v="AIJ-100228"/>
    <x v="7"/>
    <x v="9"/>
    <x v="1"/>
    <x v="1"/>
    <x v="4"/>
    <x v="24"/>
    <x v="13"/>
    <x v="1"/>
    <n v="190868"/>
    <s v="Medium"/>
    <x v="48"/>
    <n v="49"/>
    <x v="0"/>
    <x v="1"/>
    <n v="4.55"/>
    <s v="Yes"/>
    <n v="1.32"/>
    <x v="1"/>
    <x v="2"/>
    <x v="1"/>
  </r>
  <r>
    <s v="AIJ-100229"/>
    <x v="13"/>
    <x v="7"/>
    <x v="0"/>
    <x v="0"/>
    <x v="12"/>
    <x v="3"/>
    <x v="32"/>
    <x v="0"/>
    <n v="101106"/>
    <s v="Low"/>
    <x v="11"/>
    <n v="30"/>
    <x v="1"/>
    <x v="0"/>
    <n v="2.7"/>
    <s v="No"/>
    <n v="4.76"/>
    <x v="0"/>
    <x v="0"/>
    <x v="3"/>
  </r>
  <r>
    <s v="AIJ-100230"/>
    <x v="0"/>
    <x v="6"/>
    <x v="8"/>
    <x v="0"/>
    <x v="7"/>
    <x v="11"/>
    <x v="11"/>
    <x v="0"/>
    <n v="154042"/>
    <s v="Low"/>
    <x v="3"/>
    <n v="49"/>
    <x v="1"/>
    <x v="2"/>
    <n v="3.96"/>
    <s v="No"/>
    <n v="2.2400000000000002"/>
    <x v="2"/>
    <x v="3"/>
    <x v="1"/>
  </r>
  <r>
    <s v="AIJ-100231"/>
    <x v="1"/>
    <x v="9"/>
    <x v="3"/>
    <x v="3"/>
    <x v="13"/>
    <x v="79"/>
    <x v="17"/>
    <x v="1"/>
    <n v="123543"/>
    <s v="Low"/>
    <x v="38"/>
    <n v="47"/>
    <x v="1"/>
    <x v="0"/>
    <n v="3.79"/>
    <s v="No"/>
    <n v="3.09"/>
    <x v="0"/>
    <x v="3"/>
    <x v="1"/>
  </r>
  <r>
    <s v="AIJ-100232"/>
    <x v="17"/>
    <x v="1"/>
    <x v="8"/>
    <x v="2"/>
    <x v="7"/>
    <x v="24"/>
    <x v="7"/>
    <x v="0"/>
    <n v="98106"/>
    <s v="Medium"/>
    <x v="46"/>
    <n v="45"/>
    <x v="0"/>
    <x v="2"/>
    <n v="4.0599999999999996"/>
    <s v="No"/>
    <n v="4.79"/>
    <x v="1"/>
    <x v="3"/>
    <x v="1"/>
  </r>
  <r>
    <s v="AIJ-100233"/>
    <x v="14"/>
    <x v="5"/>
    <x v="7"/>
    <x v="0"/>
    <x v="20"/>
    <x v="71"/>
    <x v="10"/>
    <x v="0"/>
    <n v="79432"/>
    <s v="High"/>
    <x v="26"/>
    <n v="50"/>
    <x v="2"/>
    <x v="1"/>
    <n v="2.66"/>
    <s v="Yes"/>
    <n v="2.69"/>
    <x v="2"/>
    <x v="2"/>
    <x v="2"/>
  </r>
  <r>
    <s v="AIJ-100234"/>
    <x v="13"/>
    <x v="3"/>
    <x v="3"/>
    <x v="3"/>
    <x v="25"/>
    <x v="4"/>
    <x v="66"/>
    <x v="2"/>
    <n v="58929"/>
    <s v="Medium"/>
    <x v="9"/>
    <n v="40"/>
    <x v="1"/>
    <x v="2"/>
    <n v="2.15"/>
    <s v="Yes"/>
    <n v="1.74"/>
    <x v="2"/>
    <x v="3"/>
    <x v="1"/>
  </r>
  <r>
    <s v="AIJ-100235"/>
    <x v="16"/>
    <x v="7"/>
    <x v="7"/>
    <x v="3"/>
    <x v="9"/>
    <x v="69"/>
    <x v="72"/>
    <x v="1"/>
    <n v="159388"/>
    <s v="Medium"/>
    <x v="4"/>
    <n v="52"/>
    <x v="1"/>
    <x v="1"/>
    <n v="2.2400000000000002"/>
    <s v="Yes"/>
    <n v="1.22"/>
    <x v="1"/>
    <x v="3"/>
    <x v="1"/>
  </r>
  <r>
    <s v="AIJ-100236"/>
    <x v="19"/>
    <x v="0"/>
    <x v="4"/>
    <x v="0"/>
    <x v="1"/>
    <x v="25"/>
    <x v="46"/>
    <x v="1"/>
    <n v="130028"/>
    <s v="Low"/>
    <x v="26"/>
    <n v="31"/>
    <x v="1"/>
    <x v="1"/>
    <n v="4.21"/>
    <s v="Yes"/>
    <n v="3.08"/>
    <x v="2"/>
    <x v="0"/>
    <x v="1"/>
  </r>
  <r>
    <s v="AIJ-100237"/>
    <x v="9"/>
    <x v="1"/>
    <x v="3"/>
    <x v="3"/>
    <x v="8"/>
    <x v="12"/>
    <x v="3"/>
    <x v="1"/>
    <n v="166557"/>
    <s v="Low"/>
    <x v="10"/>
    <n v="51"/>
    <x v="1"/>
    <x v="2"/>
    <n v="2.71"/>
    <s v="No"/>
    <n v="2.2999999999999998"/>
    <x v="2"/>
    <x v="0"/>
    <x v="2"/>
  </r>
  <r>
    <s v="AIJ-100238"/>
    <x v="11"/>
    <x v="8"/>
    <x v="5"/>
    <x v="2"/>
    <x v="20"/>
    <x v="76"/>
    <x v="27"/>
    <x v="0"/>
    <n v="210461"/>
    <s v="Medium"/>
    <x v="1"/>
    <n v="51"/>
    <x v="0"/>
    <x v="1"/>
    <n v="4.79"/>
    <s v="Yes"/>
    <n v="1.24"/>
    <x v="0"/>
    <x v="3"/>
    <x v="2"/>
  </r>
  <r>
    <s v="AIJ-100239"/>
    <x v="18"/>
    <x v="9"/>
    <x v="4"/>
    <x v="2"/>
    <x v="25"/>
    <x v="69"/>
    <x v="73"/>
    <x v="1"/>
    <n v="198990"/>
    <s v="Medium"/>
    <x v="8"/>
    <n v="34"/>
    <x v="2"/>
    <x v="2"/>
    <n v="3.46"/>
    <s v="No"/>
    <n v="3.24"/>
    <x v="0"/>
    <x v="0"/>
    <x v="1"/>
  </r>
  <r>
    <s v="AIJ-100240"/>
    <x v="4"/>
    <x v="0"/>
    <x v="9"/>
    <x v="1"/>
    <x v="18"/>
    <x v="39"/>
    <x v="46"/>
    <x v="1"/>
    <n v="175364"/>
    <s v="Medium"/>
    <x v="20"/>
    <n v="41"/>
    <x v="2"/>
    <x v="2"/>
    <n v="4.33"/>
    <s v="No"/>
    <n v="3.93"/>
    <x v="2"/>
    <x v="0"/>
    <x v="3"/>
  </r>
  <r>
    <s v="AIJ-100241"/>
    <x v="12"/>
    <x v="5"/>
    <x v="1"/>
    <x v="3"/>
    <x v="23"/>
    <x v="55"/>
    <x v="70"/>
    <x v="1"/>
    <n v="209103"/>
    <s v="High"/>
    <x v="31"/>
    <n v="33"/>
    <x v="1"/>
    <x v="0"/>
    <n v="3.98"/>
    <s v="Yes"/>
    <n v="4.34"/>
    <x v="2"/>
    <x v="1"/>
    <x v="3"/>
  </r>
  <r>
    <s v="AIJ-100242"/>
    <x v="15"/>
    <x v="9"/>
    <x v="9"/>
    <x v="3"/>
    <x v="0"/>
    <x v="25"/>
    <x v="17"/>
    <x v="1"/>
    <n v="198231"/>
    <s v="Low"/>
    <x v="44"/>
    <n v="52"/>
    <x v="1"/>
    <x v="2"/>
    <n v="4.79"/>
    <s v="Yes"/>
    <n v="3.62"/>
    <x v="2"/>
    <x v="3"/>
    <x v="0"/>
  </r>
  <r>
    <s v="AIJ-100243"/>
    <x v="8"/>
    <x v="6"/>
    <x v="2"/>
    <x v="3"/>
    <x v="6"/>
    <x v="23"/>
    <x v="45"/>
    <x v="0"/>
    <n v="99681"/>
    <s v="High"/>
    <x v="47"/>
    <n v="33"/>
    <x v="0"/>
    <x v="2"/>
    <n v="3.59"/>
    <s v="Yes"/>
    <n v="1.77"/>
    <x v="0"/>
    <x v="3"/>
    <x v="0"/>
  </r>
  <r>
    <s v="AIJ-100244"/>
    <x v="14"/>
    <x v="0"/>
    <x v="1"/>
    <x v="1"/>
    <x v="13"/>
    <x v="67"/>
    <x v="49"/>
    <x v="1"/>
    <n v="150250"/>
    <s v="High"/>
    <x v="30"/>
    <n v="51"/>
    <x v="1"/>
    <x v="0"/>
    <n v="5"/>
    <s v="No"/>
    <n v="4.7300000000000004"/>
    <x v="1"/>
    <x v="2"/>
    <x v="1"/>
  </r>
  <r>
    <s v="AIJ-100245"/>
    <x v="16"/>
    <x v="4"/>
    <x v="9"/>
    <x v="3"/>
    <x v="17"/>
    <x v="63"/>
    <x v="33"/>
    <x v="1"/>
    <n v="173032"/>
    <s v="Medium"/>
    <x v="16"/>
    <n v="30"/>
    <x v="0"/>
    <x v="2"/>
    <n v="4.95"/>
    <s v="Yes"/>
    <n v="3.07"/>
    <x v="1"/>
    <x v="3"/>
    <x v="3"/>
  </r>
  <r>
    <s v="AIJ-100246"/>
    <x v="5"/>
    <x v="5"/>
    <x v="9"/>
    <x v="1"/>
    <x v="19"/>
    <x v="80"/>
    <x v="21"/>
    <x v="0"/>
    <n v="210805"/>
    <s v="Medium"/>
    <x v="41"/>
    <n v="34"/>
    <x v="1"/>
    <x v="1"/>
    <n v="3.1"/>
    <s v="Yes"/>
    <n v="1.93"/>
    <x v="1"/>
    <x v="1"/>
    <x v="2"/>
  </r>
  <r>
    <s v="AIJ-100247"/>
    <x v="12"/>
    <x v="3"/>
    <x v="2"/>
    <x v="3"/>
    <x v="0"/>
    <x v="64"/>
    <x v="64"/>
    <x v="2"/>
    <n v="75325"/>
    <s v="High"/>
    <x v="52"/>
    <n v="32"/>
    <x v="1"/>
    <x v="1"/>
    <n v="3.04"/>
    <s v="No"/>
    <n v="2.67"/>
    <x v="2"/>
    <x v="3"/>
    <x v="0"/>
  </r>
  <r>
    <s v="AIJ-100248"/>
    <x v="17"/>
    <x v="7"/>
    <x v="9"/>
    <x v="1"/>
    <x v="22"/>
    <x v="70"/>
    <x v="76"/>
    <x v="0"/>
    <n v="178088"/>
    <s v="High"/>
    <x v="8"/>
    <n v="42"/>
    <x v="2"/>
    <x v="0"/>
    <n v="3.73"/>
    <s v="Yes"/>
    <n v="1.89"/>
    <x v="1"/>
    <x v="2"/>
    <x v="2"/>
  </r>
  <r>
    <s v="AIJ-100249"/>
    <x v="3"/>
    <x v="4"/>
    <x v="9"/>
    <x v="0"/>
    <x v="1"/>
    <x v="47"/>
    <x v="10"/>
    <x v="2"/>
    <n v="98827"/>
    <s v="Low"/>
    <x v="23"/>
    <n v="34"/>
    <x v="2"/>
    <x v="0"/>
    <n v="2.59"/>
    <s v="No"/>
    <n v="3.61"/>
    <x v="2"/>
    <x v="2"/>
    <x v="1"/>
  </r>
  <r>
    <s v="AIJ-100250"/>
    <x v="3"/>
    <x v="0"/>
    <x v="7"/>
    <x v="0"/>
    <x v="17"/>
    <x v="81"/>
    <x v="8"/>
    <x v="1"/>
    <n v="180999"/>
    <s v="Low"/>
    <x v="31"/>
    <n v="41"/>
    <x v="0"/>
    <x v="0"/>
    <n v="2.0699999999999998"/>
    <s v="No"/>
    <n v="1.68"/>
    <x v="1"/>
    <x v="3"/>
    <x v="3"/>
  </r>
  <r>
    <s v="AIJ-100251"/>
    <x v="9"/>
    <x v="6"/>
    <x v="4"/>
    <x v="1"/>
    <x v="16"/>
    <x v="16"/>
    <x v="34"/>
    <x v="0"/>
    <n v="52495"/>
    <s v="Medium"/>
    <x v="38"/>
    <n v="55"/>
    <x v="1"/>
    <x v="1"/>
    <n v="3.35"/>
    <s v="Yes"/>
    <n v="2.33"/>
    <x v="0"/>
    <x v="3"/>
    <x v="3"/>
  </r>
  <r>
    <s v="AIJ-100252"/>
    <x v="19"/>
    <x v="4"/>
    <x v="0"/>
    <x v="2"/>
    <x v="14"/>
    <x v="21"/>
    <x v="0"/>
    <x v="0"/>
    <n v="67053"/>
    <s v="Low"/>
    <x v="46"/>
    <n v="36"/>
    <x v="0"/>
    <x v="0"/>
    <n v="2.81"/>
    <s v="No"/>
    <n v="3.62"/>
    <x v="2"/>
    <x v="3"/>
    <x v="2"/>
  </r>
  <r>
    <s v="AIJ-100253"/>
    <x v="15"/>
    <x v="2"/>
    <x v="7"/>
    <x v="2"/>
    <x v="23"/>
    <x v="53"/>
    <x v="21"/>
    <x v="1"/>
    <n v="200239"/>
    <s v="High"/>
    <x v="20"/>
    <n v="32"/>
    <x v="1"/>
    <x v="2"/>
    <n v="3.5"/>
    <s v="No"/>
    <n v="3.24"/>
    <x v="0"/>
    <x v="1"/>
    <x v="3"/>
  </r>
  <r>
    <s v="AIJ-100254"/>
    <x v="19"/>
    <x v="7"/>
    <x v="5"/>
    <x v="3"/>
    <x v="4"/>
    <x v="82"/>
    <x v="25"/>
    <x v="1"/>
    <n v="71157"/>
    <s v="Low"/>
    <x v="5"/>
    <n v="38"/>
    <x v="1"/>
    <x v="0"/>
    <n v="2.77"/>
    <s v="No"/>
    <n v="4.5599999999999996"/>
    <x v="2"/>
    <x v="3"/>
    <x v="1"/>
  </r>
  <r>
    <s v="AIJ-100255"/>
    <x v="8"/>
    <x v="3"/>
    <x v="4"/>
    <x v="0"/>
    <x v="20"/>
    <x v="9"/>
    <x v="59"/>
    <x v="2"/>
    <n v="130193"/>
    <s v="Low"/>
    <x v="15"/>
    <n v="39"/>
    <x v="0"/>
    <x v="1"/>
    <n v="3.35"/>
    <s v="Yes"/>
    <n v="1.83"/>
    <x v="2"/>
    <x v="2"/>
    <x v="2"/>
  </r>
  <r>
    <s v="AIJ-100256"/>
    <x v="2"/>
    <x v="8"/>
    <x v="5"/>
    <x v="2"/>
    <x v="13"/>
    <x v="83"/>
    <x v="42"/>
    <x v="2"/>
    <n v="68050"/>
    <s v="High"/>
    <x v="51"/>
    <n v="35"/>
    <x v="2"/>
    <x v="2"/>
    <n v="4.18"/>
    <s v="No"/>
    <n v="4.5199999999999996"/>
    <x v="1"/>
    <x v="3"/>
    <x v="1"/>
  </r>
  <r>
    <s v="AIJ-100257"/>
    <x v="11"/>
    <x v="1"/>
    <x v="0"/>
    <x v="1"/>
    <x v="15"/>
    <x v="6"/>
    <x v="70"/>
    <x v="0"/>
    <n v="190427"/>
    <s v="Low"/>
    <x v="50"/>
    <n v="30"/>
    <x v="2"/>
    <x v="2"/>
    <n v="4.0599999999999996"/>
    <s v="No"/>
    <n v="1.54"/>
    <x v="0"/>
    <x v="3"/>
    <x v="1"/>
  </r>
  <r>
    <s v="AIJ-100258"/>
    <x v="19"/>
    <x v="1"/>
    <x v="7"/>
    <x v="1"/>
    <x v="24"/>
    <x v="79"/>
    <x v="38"/>
    <x v="2"/>
    <n v="137109"/>
    <s v="Low"/>
    <x v="23"/>
    <n v="36"/>
    <x v="1"/>
    <x v="2"/>
    <n v="4.78"/>
    <s v="No"/>
    <n v="4.47"/>
    <x v="1"/>
    <x v="3"/>
    <x v="1"/>
  </r>
  <r>
    <s v="AIJ-100259"/>
    <x v="1"/>
    <x v="4"/>
    <x v="0"/>
    <x v="2"/>
    <x v="7"/>
    <x v="12"/>
    <x v="0"/>
    <x v="0"/>
    <n v="129712"/>
    <s v="Medium"/>
    <x v="4"/>
    <n v="56"/>
    <x v="1"/>
    <x v="2"/>
    <n v="3.56"/>
    <s v="No"/>
    <n v="4.9400000000000004"/>
    <x v="2"/>
    <x v="0"/>
    <x v="1"/>
  </r>
  <r>
    <s v="AIJ-100260"/>
    <x v="13"/>
    <x v="8"/>
    <x v="7"/>
    <x v="3"/>
    <x v="15"/>
    <x v="36"/>
    <x v="53"/>
    <x v="0"/>
    <n v="104950"/>
    <s v="High"/>
    <x v="28"/>
    <n v="58"/>
    <x v="1"/>
    <x v="1"/>
    <n v="4.49"/>
    <s v="No"/>
    <n v="1.36"/>
    <x v="0"/>
    <x v="2"/>
    <x v="1"/>
  </r>
  <r>
    <s v="AIJ-100261"/>
    <x v="13"/>
    <x v="3"/>
    <x v="4"/>
    <x v="0"/>
    <x v="6"/>
    <x v="43"/>
    <x v="41"/>
    <x v="1"/>
    <n v="76891"/>
    <s v="Medium"/>
    <x v="38"/>
    <n v="50"/>
    <x v="0"/>
    <x v="2"/>
    <n v="4.16"/>
    <s v="Yes"/>
    <n v="1.36"/>
    <x v="0"/>
    <x v="3"/>
    <x v="0"/>
  </r>
  <r>
    <s v="AIJ-100262"/>
    <x v="15"/>
    <x v="6"/>
    <x v="1"/>
    <x v="3"/>
    <x v="11"/>
    <x v="84"/>
    <x v="1"/>
    <x v="2"/>
    <n v="174269"/>
    <s v="Low"/>
    <x v="43"/>
    <n v="57"/>
    <x v="1"/>
    <x v="2"/>
    <n v="4.3099999999999996"/>
    <s v="Yes"/>
    <n v="2.68"/>
    <x v="1"/>
    <x v="2"/>
    <x v="1"/>
  </r>
  <r>
    <s v="AIJ-100263"/>
    <x v="13"/>
    <x v="9"/>
    <x v="3"/>
    <x v="2"/>
    <x v="15"/>
    <x v="85"/>
    <x v="43"/>
    <x v="1"/>
    <n v="33200"/>
    <s v="Low"/>
    <x v="0"/>
    <n v="48"/>
    <x v="0"/>
    <x v="1"/>
    <n v="3.36"/>
    <s v="No"/>
    <n v="1.32"/>
    <x v="0"/>
    <x v="0"/>
    <x v="1"/>
  </r>
  <r>
    <s v="AIJ-100264"/>
    <x v="18"/>
    <x v="6"/>
    <x v="1"/>
    <x v="2"/>
    <x v="2"/>
    <x v="12"/>
    <x v="72"/>
    <x v="2"/>
    <n v="201252"/>
    <s v="High"/>
    <x v="33"/>
    <n v="40"/>
    <x v="1"/>
    <x v="2"/>
    <n v="2.33"/>
    <s v="Yes"/>
    <n v="1.65"/>
    <x v="1"/>
    <x v="3"/>
    <x v="1"/>
  </r>
  <r>
    <s v="AIJ-100265"/>
    <x v="3"/>
    <x v="4"/>
    <x v="9"/>
    <x v="2"/>
    <x v="16"/>
    <x v="34"/>
    <x v="15"/>
    <x v="1"/>
    <n v="129336"/>
    <s v="Low"/>
    <x v="51"/>
    <n v="52"/>
    <x v="2"/>
    <x v="1"/>
    <n v="3.58"/>
    <s v="Yes"/>
    <n v="3.78"/>
    <x v="0"/>
    <x v="1"/>
    <x v="3"/>
  </r>
  <r>
    <s v="AIJ-100266"/>
    <x v="7"/>
    <x v="4"/>
    <x v="0"/>
    <x v="3"/>
    <x v="14"/>
    <x v="19"/>
    <x v="8"/>
    <x v="2"/>
    <n v="215284"/>
    <s v="High"/>
    <x v="32"/>
    <n v="41"/>
    <x v="1"/>
    <x v="0"/>
    <n v="3.69"/>
    <s v="No"/>
    <n v="2.97"/>
    <x v="2"/>
    <x v="3"/>
    <x v="2"/>
  </r>
  <r>
    <s v="AIJ-100267"/>
    <x v="16"/>
    <x v="3"/>
    <x v="7"/>
    <x v="0"/>
    <x v="0"/>
    <x v="86"/>
    <x v="2"/>
    <x v="1"/>
    <n v="60913"/>
    <s v="Medium"/>
    <x v="24"/>
    <n v="55"/>
    <x v="0"/>
    <x v="2"/>
    <n v="2.0299999999999998"/>
    <s v="Yes"/>
    <n v="3.76"/>
    <x v="1"/>
    <x v="3"/>
    <x v="0"/>
  </r>
  <r>
    <s v="AIJ-100268"/>
    <x v="1"/>
    <x v="4"/>
    <x v="0"/>
    <x v="2"/>
    <x v="3"/>
    <x v="34"/>
    <x v="26"/>
    <x v="0"/>
    <n v="117368"/>
    <s v="Medium"/>
    <x v="34"/>
    <n v="40"/>
    <x v="0"/>
    <x v="1"/>
    <n v="4.75"/>
    <s v="Yes"/>
    <n v="3.58"/>
    <x v="1"/>
    <x v="1"/>
    <x v="2"/>
  </r>
  <r>
    <s v="AIJ-100269"/>
    <x v="8"/>
    <x v="1"/>
    <x v="0"/>
    <x v="3"/>
    <x v="13"/>
    <x v="57"/>
    <x v="19"/>
    <x v="2"/>
    <n v="44685"/>
    <s v="Low"/>
    <x v="0"/>
    <n v="48"/>
    <x v="0"/>
    <x v="1"/>
    <n v="4.4000000000000004"/>
    <s v="No"/>
    <n v="1.26"/>
    <x v="2"/>
    <x v="3"/>
    <x v="1"/>
  </r>
  <r>
    <s v="AIJ-100270"/>
    <x v="4"/>
    <x v="3"/>
    <x v="2"/>
    <x v="3"/>
    <x v="25"/>
    <x v="44"/>
    <x v="12"/>
    <x v="1"/>
    <n v="132122"/>
    <s v="High"/>
    <x v="39"/>
    <n v="38"/>
    <x v="2"/>
    <x v="2"/>
    <n v="3.49"/>
    <s v="Yes"/>
    <n v="2.4900000000000002"/>
    <x v="1"/>
    <x v="2"/>
    <x v="1"/>
  </r>
  <r>
    <s v="AIJ-100271"/>
    <x v="3"/>
    <x v="9"/>
    <x v="9"/>
    <x v="2"/>
    <x v="9"/>
    <x v="13"/>
    <x v="17"/>
    <x v="1"/>
    <n v="82978"/>
    <s v="High"/>
    <x v="25"/>
    <n v="36"/>
    <x v="2"/>
    <x v="1"/>
    <n v="4.2"/>
    <s v="No"/>
    <n v="4.0999999999999996"/>
    <x v="2"/>
    <x v="2"/>
    <x v="1"/>
  </r>
  <r>
    <s v="AIJ-100272"/>
    <x v="8"/>
    <x v="0"/>
    <x v="8"/>
    <x v="3"/>
    <x v="0"/>
    <x v="64"/>
    <x v="41"/>
    <x v="2"/>
    <n v="217086"/>
    <s v="High"/>
    <x v="10"/>
    <n v="32"/>
    <x v="2"/>
    <x v="1"/>
    <n v="4.67"/>
    <s v="Yes"/>
    <n v="3.08"/>
    <x v="0"/>
    <x v="2"/>
    <x v="0"/>
  </r>
  <r>
    <s v="AIJ-100273"/>
    <x v="13"/>
    <x v="0"/>
    <x v="6"/>
    <x v="1"/>
    <x v="3"/>
    <x v="25"/>
    <x v="40"/>
    <x v="1"/>
    <n v="113663"/>
    <s v="Low"/>
    <x v="53"/>
    <n v="60"/>
    <x v="0"/>
    <x v="0"/>
    <n v="3.54"/>
    <s v="Yes"/>
    <n v="3.17"/>
    <x v="0"/>
    <x v="3"/>
    <x v="2"/>
  </r>
  <r>
    <s v="AIJ-100274"/>
    <x v="0"/>
    <x v="9"/>
    <x v="8"/>
    <x v="1"/>
    <x v="21"/>
    <x v="79"/>
    <x v="76"/>
    <x v="1"/>
    <n v="118798"/>
    <s v="High"/>
    <x v="37"/>
    <n v="33"/>
    <x v="2"/>
    <x v="2"/>
    <n v="2.2599999999999998"/>
    <s v="No"/>
    <n v="1.72"/>
    <x v="0"/>
    <x v="3"/>
    <x v="0"/>
  </r>
  <r>
    <s v="AIJ-100275"/>
    <x v="13"/>
    <x v="3"/>
    <x v="1"/>
    <x v="2"/>
    <x v="9"/>
    <x v="1"/>
    <x v="56"/>
    <x v="2"/>
    <n v="50590"/>
    <s v="Medium"/>
    <x v="47"/>
    <n v="44"/>
    <x v="2"/>
    <x v="0"/>
    <n v="3.93"/>
    <s v="No"/>
    <n v="2.88"/>
    <x v="2"/>
    <x v="3"/>
    <x v="1"/>
  </r>
  <r>
    <s v="AIJ-100276"/>
    <x v="13"/>
    <x v="9"/>
    <x v="8"/>
    <x v="2"/>
    <x v="10"/>
    <x v="29"/>
    <x v="62"/>
    <x v="0"/>
    <n v="115134"/>
    <s v="Medium"/>
    <x v="19"/>
    <n v="44"/>
    <x v="1"/>
    <x v="1"/>
    <n v="4.3"/>
    <s v="Yes"/>
    <n v="3.03"/>
    <x v="1"/>
    <x v="3"/>
    <x v="3"/>
  </r>
  <r>
    <s v="AIJ-100277"/>
    <x v="6"/>
    <x v="3"/>
    <x v="4"/>
    <x v="1"/>
    <x v="10"/>
    <x v="87"/>
    <x v="77"/>
    <x v="1"/>
    <n v="138381"/>
    <s v="Low"/>
    <x v="30"/>
    <n v="36"/>
    <x v="0"/>
    <x v="0"/>
    <n v="3.29"/>
    <s v="No"/>
    <n v="3.27"/>
    <x v="1"/>
    <x v="2"/>
    <x v="3"/>
  </r>
  <r>
    <s v="AIJ-100278"/>
    <x v="9"/>
    <x v="9"/>
    <x v="1"/>
    <x v="3"/>
    <x v="5"/>
    <x v="72"/>
    <x v="9"/>
    <x v="0"/>
    <n v="175512"/>
    <s v="High"/>
    <x v="47"/>
    <n v="51"/>
    <x v="0"/>
    <x v="1"/>
    <n v="2.98"/>
    <s v="Yes"/>
    <n v="1.36"/>
    <x v="2"/>
    <x v="2"/>
    <x v="3"/>
  </r>
  <r>
    <s v="AIJ-100279"/>
    <x v="13"/>
    <x v="2"/>
    <x v="4"/>
    <x v="3"/>
    <x v="16"/>
    <x v="87"/>
    <x v="25"/>
    <x v="2"/>
    <n v="181501"/>
    <s v="High"/>
    <x v="33"/>
    <n v="59"/>
    <x v="2"/>
    <x v="0"/>
    <n v="4.95"/>
    <s v="No"/>
    <n v="4.96"/>
    <x v="0"/>
    <x v="2"/>
    <x v="3"/>
  </r>
  <r>
    <s v="AIJ-100280"/>
    <x v="10"/>
    <x v="6"/>
    <x v="9"/>
    <x v="3"/>
    <x v="19"/>
    <x v="80"/>
    <x v="11"/>
    <x v="1"/>
    <n v="173886"/>
    <s v="Low"/>
    <x v="7"/>
    <n v="43"/>
    <x v="0"/>
    <x v="0"/>
    <n v="3.18"/>
    <s v="No"/>
    <n v="3.85"/>
    <x v="1"/>
    <x v="1"/>
    <x v="2"/>
  </r>
  <r>
    <s v="AIJ-100281"/>
    <x v="14"/>
    <x v="8"/>
    <x v="6"/>
    <x v="1"/>
    <x v="22"/>
    <x v="46"/>
    <x v="71"/>
    <x v="0"/>
    <n v="124447"/>
    <s v="Low"/>
    <x v="54"/>
    <n v="30"/>
    <x v="1"/>
    <x v="0"/>
    <n v="4.6500000000000004"/>
    <s v="No"/>
    <n v="4.9000000000000004"/>
    <x v="2"/>
    <x v="3"/>
    <x v="2"/>
  </r>
  <r>
    <s v="AIJ-100282"/>
    <x v="11"/>
    <x v="8"/>
    <x v="3"/>
    <x v="0"/>
    <x v="13"/>
    <x v="36"/>
    <x v="27"/>
    <x v="1"/>
    <n v="141595"/>
    <s v="Medium"/>
    <x v="41"/>
    <n v="37"/>
    <x v="1"/>
    <x v="1"/>
    <n v="3.81"/>
    <s v="No"/>
    <n v="4.3899999999999997"/>
    <x v="2"/>
    <x v="2"/>
    <x v="1"/>
  </r>
  <r>
    <s v="AIJ-100283"/>
    <x v="12"/>
    <x v="0"/>
    <x v="1"/>
    <x v="3"/>
    <x v="18"/>
    <x v="21"/>
    <x v="7"/>
    <x v="2"/>
    <n v="182113"/>
    <s v="Low"/>
    <x v="28"/>
    <n v="58"/>
    <x v="0"/>
    <x v="2"/>
    <n v="2.74"/>
    <s v="Yes"/>
    <n v="3.74"/>
    <x v="0"/>
    <x v="3"/>
    <x v="3"/>
  </r>
  <r>
    <s v="AIJ-100284"/>
    <x v="14"/>
    <x v="7"/>
    <x v="6"/>
    <x v="3"/>
    <x v="3"/>
    <x v="41"/>
    <x v="9"/>
    <x v="0"/>
    <n v="116904"/>
    <s v="High"/>
    <x v="44"/>
    <n v="53"/>
    <x v="2"/>
    <x v="0"/>
    <n v="4.3600000000000003"/>
    <s v="No"/>
    <n v="1.25"/>
    <x v="1"/>
    <x v="3"/>
    <x v="2"/>
  </r>
  <r>
    <s v="AIJ-100285"/>
    <x v="5"/>
    <x v="1"/>
    <x v="1"/>
    <x v="3"/>
    <x v="14"/>
    <x v="19"/>
    <x v="68"/>
    <x v="1"/>
    <n v="50148"/>
    <s v="Low"/>
    <x v="26"/>
    <n v="33"/>
    <x v="0"/>
    <x v="2"/>
    <n v="4.7300000000000004"/>
    <s v="Yes"/>
    <n v="3.64"/>
    <x v="1"/>
    <x v="2"/>
    <x v="2"/>
  </r>
  <r>
    <s v="AIJ-100286"/>
    <x v="3"/>
    <x v="8"/>
    <x v="0"/>
    <x v="1"/>
    <x v="10"/>
    <x v="71"/>
    <x v="5"/>
    <x v="1"/>
    <n v="119875"/>
    <s v="Medium"/>
    <x v="7"/>
    <n v="51"/>
    <x v="2"/>
    <x v="0"/>
    <n v="3.91"/>
    <s v="Yes"/>
    <n v="3.31"/>
    <x v="1"/>
    <x v="3"/>
    <x v="3"/>
  </r>
  <r>
    <s v="AIJ-100287"/>
    <x v="12"/>
    <x v="5"/>
    <x v="4"/>
    <x v="0"/>
    <x v="2"/>
    <x v="79"/>
    <x v="77"/>
    <x v="2"/>
    <n v="109001"/>
    <s v="Medium"/>
    <x v="19"/>
    <n v="38"/>
    <x v="1"/>
    <x v="0"/>
    <n v="4.6100000000000003"/>
    <s v="Yes"/>
    <n v="2.16"/>
    <x v="1"/>
    <x v="3"/>
    <x v="1"/>
  </r>
  <r>
    <s v="AIJ-100288"/>
    <x v="5"/>
    <x v="7"/>
    <x v="6"/>
    <x v="3"/>
    <x v="9"/>
    <x v="52"/>
    <x v="71"/>
    <x v="0"/>
    <n v="190035"/>
    <s v="Medium"/>
    <x v="54"/>
    <n v="48"/>
    <x v="2"/>
    <x v="1"/>
    <n v="4.32"/>
    <s v="Yes"/>
    <n v="3.94"/>
    <x v="0"/>
    <x v="0"/>
    <x v="1"/>
  </r>
  <r>
    <s v="AIJ-100289"/>
    <x v="19"/>
    <x v="4"/>
    <x v="2"/>
    <x v="2"/>
    <x v="2"/>
    <x v="18"/>
    <x v="62"/>
    <x v="1"/>
    <n v="47813"/>
    <s v="Medium"/>
    <x v="29"/>
    <n v="53"/>
    <x v="2"/>
    <x v="1"/>
    <n v="2.58"/>
    <s v="Yes"/>
    <n v="3.48"/>
    <x v="2"/>
    <x v="3"/>
    <x v="1"/>
  </r>
  <r>
    <s v="AIJ-100290"/>
    <x v="2"/>
    <x v="8"/>
    <x v="2"/>
    <x v="1"/>
    <x v="14"/>
    <x v="88"/>
    <x v="34"/>
    <x v="1"/>
    <n v="199844"/>
    <s v="Medium"/>
    <x v="21"/>
    <n v="59"/>
    <x v="1"/>
    <x v="0"/>
    <n v="3.36"/>
    <s v="No"/>
    <n v="4.08"/>
    <x v="0"/>
    <x v="2"/>
    <x v="2"/>
  </r>
  <r>
    <s v="AIJ-100291"/>
    <x v="5"/>
    <x v="1"/>
    <x v="1"/>
    <x v="0"/>
    <x v="6"/>
    <x v="4"/>
    <x v="25"/>
    <x v="1"/>
    <n v="45744"/>
    <s v="Low"/>
    <x v="32"/>
    <n v="42"/>
    <x v="1"/>
    <x v="0"/>
    <n v="3.48"/>
    <s v="Yes"/>
    <n v="3.16"/>
    <x v="1"/>
    <x v="3"/>
    <x v="0"/>
  </r>
  <r>
    <s v="AIJ-100292"/>
    <x v="13"/>
    <x v="6"/>
    <x v="3"/>
    <x v="1"/>
    <x v="4"/>
    <x v="32"/>
    <x v="13"/>
    <x v="2"/>
    <n v="95692"/>
    <s v="Low"/>
    <x v="39"/>
    <n v="51"/>
    <x v="2"/>
    <x v="1"/>
    <n v="2.4500000000000002"/>
    <s v="No"/>
    <n v="4.62"/>
    <x v="0"/>
    <x v="3"/>
    <x v="1"/>
  </r>
  <r>
    <s v="AIJ-100293"/>
    <x v="0"/>
    <x v="2"/>
    <x v="8"/>
    <x v="0"/>
    <x v="25"/>
    <x v="81"/>
    <x v="71"/>
    <x v="1"/>
    <n v="48376"/>
    <s v="Low"/>
    <x v="12"/>
    <n v="47"/>
    <x v="2"/>
    <x v="1"/>
    <n v="4.05"/>
    <s v="No"/>
    <n v="1.22"/>
    <x v="0"/>
    <x v="3"/>
    <x v="1"/>
  </r>
  <r>
    <s v="AIJ-100294"/>
    <x v="16"/>
    <x v="8"/>
    <x v="9"/>
    <x v="2"/>
    <x v="5"/>
    <x v="44"/>
    <x v="43"/>
    <x v="2"/>
    <n v="106010"/>
    <s v="Low"/>
    <x v="33"/>
    <n v="52"/>
    <x v="2"/>
    <x v="2"/>
    <n v="3.89"/>
    <s v="No"/>
    <n v="2.95"/>
    <x v="0"/>
    <x v="2"/>
    <x v="3"/>
  </r>
  <r>
    <s v="AIJ-100295"/>
    <x v="3"/>
    <x v="5"/>
    <x v="6"/>
    <x v="0"/>
    <x v="13"/>
    <x v="83"/>
    <x v="33"/>
    <x v="1"/>
    <n v="131913"/>
    <s v="Low"/>
    <x v="39"/>
    <n v="40"/>
    <x v="1"/>
    <x v="1"/>
    <n v="4.3600000000000003"/>
    <s v="Yes"/>
    <n v="2.62"/>
    <x v="2"/>
    <x v="1"/>
    <x v="1"/>
  </r>
  <r>
    <s v="AIJ-100296"/>
    <x v="12"/>
    <x v="3"/>
    <x v="8"/>
    <x v="1"/>
    <x v="25"/>
    <x v="78"/>
    <x v="35"/>
    <x v="2"/>
    <n v="34997"/>
    <s v="Low"/>
    <x v="53"/>
    <n v="35"/>
    <x v="0"/>
    <x v="2"/>
    <n v="4.71"/>
    <s v="Yes"/>
    <n v="2.82"/>
    <x v="2"/>
    <x v="2"/>
    <x v="1"/>
  </r>
  <r>
    <s v="AIJ-100297"/>
    <x v="16"/>
    <x v="4"/>
    <x v="5"/>
    <x v="0"/>
    <x v="23"/>
    <x v="88"/>
    <x v="2"/>
    <x v="0"/>
    <n v="46543"/>
    <s v="High"/>
    <x v="12"/>
    <n v="47"/>
    <x v="1"/>
    <x v="1"/>
    <n v="4.51"/>
    <s v="Yes"/>
    <n v="4.0599999999999996"/>
    <x v="0"/>
    <x v="3"/>
    <x v="3"/>
  </r>
  <r>
    <s v="AIJ-100298"/>
    <x v="18"/>
    <x v="5"/>
    <x v="1"/>
    <x v="0"/>
    <x v="20"/>
    <x v="66"/>
    <x v="24"/>
    <x v="2"/>
    <n v="212529"/>
    <s v="Low"/>
    <x v="36"/>
    <n v="33"/>
    <x v="0"/>
    <x v="0"/>
    <n v="3.13"/>
    <s v="Yes"/>
    <n v="1.06"/>
    <x v="1"/>
    <x v="3"/>
    <x v="2"/>
  </r>
  <r>
    <s v="AIJ-100299"/>
    <x v="7"/>
    <x v="4"/>
    <x v="3"/>
    <x v="1"/>
    <x v="8"/>
    <x v="28"/>
    <x v="52"/>
    <x v="0"/>
    <n v="185642"/>
    <s v="High"/>
    <x v="2"/>
    <n v="46"/>
    <x v="2"/>
    <x v="1"/>
    <n v="2.72"/>
    <s v="Yes"/>
    <n v="3.44"/>
    <x v="2"/>
    <x v="2"/>
    <x v="2"/>
  </r>
  <r>
    <s v="AIJ-100300"/>
    <x v="9"/>
    <x v="5"/>
    <x v="2"/>
    <x v="3"/>
    <x v="1"/>
    <x v="8"/>
    <x v="39"/>
    <x v="2"/>
    <n v="80306"/>
    <s v="High"/>
    <x v="29"/>
    <n v="44"/>
    <x v="0"/>
    <x v="0"/>
    <n v="2.62"/>
    <s v="Yes"/>
    <n v="1.77"/>
    <x v="2"/>
    <x v="3"/>
    <x v="1"/>
  </r>
  <r>
    <s v="AIJ-100301"/>
    <x v="5"/>
    <x v="7"/>
    <x v="0"/>
    <x v="0"/>
    <x v="0"/>
    <x v="51"/>
    <x v="78"/>
    <x v="0"/>
    <n v="143946"/>
    <s v="High"/>
    <x v="37"/>
    <n v="59"/>
    <x v="0"/>
    <x v="2"/>
    <n v="2.4700000000000002"/>
    <s v="Yes"/>
    <n v="2.94"/>
    <x v="2"/>
    <x v="2"/>
    <x v="0"/>
  </r>
  <r>
    <s v="AIJ-100302"/>
    <x v="6"/>
    <x v="0"/>
    <x v="5"/>
    <x v="1"/>
    <x v="19"/>
    <x v="8"/>
    <x v="23"/>
    <x v="0"/>
    <n v="115376"/>
    <s v="High"/>
    <x v="27"/>
    <n v="57"/>
    <x v="1"/>
    <x v="1"/>
    <n v="4.67"/>
    <s v="Yes"/>
    <n v="2.88"/>
    <x v="1"/>
    <x v="3"/>
    <x v="2"/>
  </r>
  <r>
    <s v="AIJ-100303"/>
    <x v="18"/>
    <x v="8"/>
    <x v="3"/>
    <x v="1"/>
    <x v="4"/>
    <x v="89"/>
    <x v="41"/>
    <x v="1"/>
    <n v="131536"/>
    <s v="Medium"/>
    <x v="9"/>
    <n v="40"/>
    <x v="1"/>
    <x v="2"/>
    <n v="4.08"/>
    <s v="Yes"/>
    <n v="2.12"/>
    <x v="2"/>
    <x v="2"/>
    <x v="1"/>
  </r>
  <r>
    <s v="AIJ-100304"/>
    <x v="11"/>
    <x v="8"/>
    <x v="0"/>
    <x v="1"/>
    <x v="6"/>
    <x v="36"/>
    <x v="50"/>
    <x v="1"/>
    <n v="197247"/>
    <s v="High"/>
    <x v="55"/>
    <n v="57"/>
    <x v="1"/>
    <x v="0"/>
    <n v="3.42"/>
    <s v="No"/>
    <n v="2.12"/>
    <x v="0"/>
    <x v="2"/>
    <x v="0"/>
  </r>
  <r>
    <s v="AIJ-100305"/>
    <x v="2"/>
    <x v="6"/>
    <x v="7"/>
    <x v="2"/>
    <x v="0"/>
    <x v="36"/>
    <x v="60"/>
    <x v="1"/>
    <n v="69051"/>
    <s v="High"/>
    <x v="45"/>
    <n v="46"/>
    <x v="1"/>
    <x v="1"/>
    <n v="3.59"/>
    <s v="No"/>
    <n v="4.24"/>
    <x v="0"/>
    <x v="2"/>
    <x v="0"/>
  </r>
  <r>
    <s v="AIJ-100306"/>
    <x v="14"/>
    <x v="2"/>
    <x v="1"/>
    <x v="3"/>
    <x v="16"/>
    <x v="26"/>
    <x v="23"/>
    <x v="0"/>
    <n v="211707"/>
    <s v="High"/>
    <x v="1"/>
    <n v="30"/>
    <x v="2"/>
    <x v="0"/>
    <n v="2.91"/>
    <s v="No"/>
    <n v="4.43"/>
    <x v="0"/>
    <x v="0"/>
    <x v="3"/>
  </r>
  <r>
    <s v="AIJ-100307"/>
    <x v="13"/>
    <x v="6"/>
    <x v="2"/>
    <x v="0"/>
    <x v="25"/>
    <x v="14"/>
    <x v="77"/>
    <x v="1"/>
    <n v="127103"/>
    <s v="High"/>
    <x v="39"/>
    <n v="39"/>
    <x v="2"/>
    <x v="1"/>
    <n v="4.09"/>
    <s v="Yes"/>
    <n v="4.1500000000000004"/>
    <x v="2"/>
    <x v="2"/>
    <x v="1"/>
  </r>
  <r>
    <s v="AIJ-100308"/>
    <x v="10"/>
    <x v="7"/>
    <x v="5"/>
    <x v="1"/>
    <x v="4"/>
    <x v="6"/>
    <x v="7"/>
    <x v="2"/>
    <n v="192302"/>
    <s v="High"/>
    <x v="13"/>
    <n v="47"/>
    <x v="0"/>
    <x v="2"/>
    <n v="2.42"/>
    <s v="No"/>
    <n v="1.95"/>
    <x v="2"/>
    <x v="3"/>
    <x v="1"/>
  </r>
  <r>
    <s v="AIJ-100309"/>
    <x v="18"/>
    <x v="7"/>
    <x v="3"/>
    <x v="0"/>
    <x v="7"/>
    <x v="50"/>
    <x v="40"/>
    <x v="2"/>
    <n v="46611"/>
    <s v="Low"/>
    <x v="19"/>
    <n v="52"/>
    <x v="0"/>
    <x v="0"/>
    <n v="4.4800000000000004"/>
    <s v="No"/>
    <n v="2.81"/>
    <x v="1"/>
    <x v="2"/>
    <x v="1"/>
  </r>
  <r>
    <s v="AIJ-100310"/>
    <x v="3"/>
    <x v="0"/>
    <x v="1"/>
    <x v="3"/>
    <x v="19"/>
    <x v="26"/>
    <x v="36"/>
    <x v="2"/>
    <n v="105595"/>
    <s v="Low"/>
    <x v="55"/>
    <n v="34"/>
    <x v="1"/>
    <x v="0"/>
    <n v="4.8600000000000003"/>
    <s v="Yes"/>
    <n v="2.17"/>
    <x v="0"/>
    <x v="0"/>
    <x v="2"/>
  </r>
  <r>
    <s v="AIJ-100311"/>
    <x v="3"/>
    <x v="6"/>
    <x v="4"/>
    <x v="3"/>
    <x v="12"/>
    <x v="78"/>
    <x v="21"/>
    <x v="2"/>
    <n v="79561"/>
    <s v="Medium"/>
    <x v="54"/>
    <n v="50"/>
    <x v="2"/>
    <x v="1"/>
    <n v="3.78"/>
    <s v="No"/>
    <n v="2.83"/>
    <x v="0"/>
    <x v="1"/>
    <x v="3"/>
  </r>
  <r>
    <s v="AIJ-100312"/>
    <x v="17"/>
    <x v="7"/>
    <x v="6"/>
    <x v="0"/>
    <x v="3"/>
    <x v="19"/>
    <x v="42"/>
    <x v="2"/>
    <n v="42404"/>
    <s v="Low"/>
    <x v="18"/>
    <n v="47"/>
    <x v="2"/>
    <x v="2"/>
    <n v="4.92"/>
    <s v="Yes"/>
    <n v="1.65"/>
    <x v="2"/>
    <x v="3"/>
    <x v="2"/>
  </r>
  <r>
    <s v="AIJ-100313"/>
    <x v="10"/>
    <x v="7"/>
    <x v="5"/>
    <x v="1"/>
    <x v="17"/>
    <x v="31"/>
    <x v="70"/>
    <x v="1"/>
    <n v="177452"/>
    <s v="High"/>
    <x v="43"/>
    <n v="47"/>
    <x v="2"/>
    <x v="2"/>
    <n v="4.76"/>
    <s v="No"/>
    <n v="4.72"/>
    <x v="2"/>
    <x v="3"/>
    <x v="3"/>
  </r>
  <r>
    <s v="AIJ-100314"/>
    <x v="7"/>
    <x v="3"/>
    <x v="1"/>
    <x v="0"/>
    <x v="23"/>
    <x v="82"/>
    <x v="52"/>
    <x v="2"/>
    <n v="154232"/>
    <s v="Low"/>
    <x v="8"/>
    <n v="45"/>
    <x v="1"/>
    <x v="2"/>
    <n v="4.03"/>
    <s v="Yes"/>
    <n v="2.23"/>
    <x v="1"/>
    <x v="0"/>
    <x v="3"/>
  </r>
  <r>
    <s v="AIJ-100315"/>
    <x v="8"/>
    <x v="2"/>
    <x v="6"/>
    <x v="1"/>
    <x v="21"/>
    <x v="27"/>
    <x v="32"/>
    <x v="0"/>
    <n v="182943"/>
    <s v="High"/>
    <x v="11"/>
    <n v="44"/>
    <x v="0"/>
    <x v="0"/>
    <n v="4.87"/>
    <s v="No"/>
    <n v="1.78"/>
    <x v="1"/>
    <x v="0"/>
    <x v="0"/>
  </r>
  <r>
    <s v="AIJ-100316"/>
    <x v="18"/>
    <x v="6"/>
    <x v="6"/>
    <x v="3"/>
    <x v="17"/>
    <x v="23"/>
    <x v="20"/>
    <x v="1"/>
    <n v="131217"/>
    <s v="Medium"/>
    <x v="10"/>
    <n v="47"/>
    <x v="1"/>
    <x v="2"/>
    <n v="4.18"/>
    <s v="No"/>
    <n v="3.97"/>
    <x v="1"/>
    <x v="2"/>
    <x v="3"/>
  </r>
  <r>
    <s v="AIJ-100317"/>
    <x v="16"/>
    <x v="1"/>
    <x v="3"/>
    <x v="3"/>
    <x v="6"/>
    <x v="2"/>
    <x v="60"/>
    <x v="2"/>
    <n v="67654"/>
    <s v="Medium"/>
    <x v="1"/>
    <n v="30"/>
    <x v="2"/>
    <x v="0"/>
    <n v="4.74"/>
    <s v="No"/>
    <n v="1.7"/>
    <x v="1"/>
    <x v="2"/>
    <x v="0"/>
  </r>
  <r>
    <s v="AIJ-100318"/>
    <x v="2"/>
    <x v="1"/>
    <x v="3"/>
    <x v="0"/>
    <x v="20"/>
    <x v="46"/>
    <x v="17"/>
    <x v="0"/>
    <n v="109165"/>
    <s v="Low"/>
    <x v="25"/>
    <n v="38"/>
    <x v="2"/>
    <x v="0"/>
    <n v="4.5"/>
    <s v="No"/>
    <n v="1.5"/>
    <x v="0"/>
    <x v="2"/>
    <x v="2"/>
  </r>
  <r>
    <s v="AIJ-100319"/>
    <x v="12"/>
    <x v="0"/>
    <x v="0"/>
    <x v="3"/>
    <x v="11"/>
    <x v="51"/>
    <x v="21"/>
    <x v="1"/>
    <n v="102670"/>
    <s v="High"/>
    <x v="15"/>
    <n v="57"/>
    <x v="2"/>
    <x v="0"/>
    <n v="4.0599999999999996"/>
    <s v="Yes"/>
    <n v="2.4900000000000002"/>
    <x v="0"/>
    <x v="2"/>
    <x v="1"/>
  </r>
  <r>
    <s v="AIJ-100320"/>
    <x v="17"/>
    <x v="7"/>
    <x v="1"/>
    <x v="2"/>
    <x v="14"/>
    <x v="66"/>
    <x v="41"/>
    <x v="1"/>
    <n v="211739"/>
    <s v="Medium"/>
    <x v="48"/>
    <n v="59"/>
    <x v="2"/>
    <x v="2"/>
    <n v="2.87"/>
    <s v="Yes"/>
    <n v="3.06"/>
    <x v="0"/>
    <x v="3"/>
    <x v="2"/>
  </r>
  <r>
    <s v="AIJ-100321"/>
    <x v="5"/>
    <x v="7"/>
    <x v="2"/>
    <x v="3"/>
    <x v="22"/>
    <x v="49"/>
    <x v="71"/>
    <x v="0"/>
    <n v="108924"/>
    <s v="Low"/>
    <x v="28"/>
    <n v="39"/>
    <x v="2"/>
    <x v="1"/>
    <n v="3.24"/>
    <s v="Yes"/>
    <n v="1.41"/>
    <x v="2"/>
    <x v="0"/>
    <x v="2"/>
  </r>
  <r>
    <s v="AIJ-100322"/>
    <x v="19"/>
    <x v="9"/>
    <x v="5"/>
    <x v="3"/>
    <x v="25"/>
    <x v="5"/>
    <x v="13"/>
    <x v="1"/>
    <n v="64401"/>
    <s v="Low"/>
    <x v="6"/>
    <n v="44"/>
    <x v="0"/>
    <x v="0"/>
    <n v="4.29"/>
    <s v="No"/>
    <n v="1.69"/>
    <x v="1"/>
    <x v="2"/>
    <x v="1"/>
  </r>
  <r>
    <s v="AIJ-100323"/>
    <x v="7"/>
    <x v="8"/>
    <x v="4"/>
    <x v="1"/>
    <x v="6"/>
    <x v="80"/>
    <x v="66"/>
    <x v="1"/>
    <n v="89395"/>
    <s v="High"/>
    <x v="23"/>
    <n v="55"/>
    <x v="1"/>
    <x v="2"/>
    <n v="2.06"/>
    <s v="No"/>
    <n v="4.03"/>
    <x v="2"/>
    <x v="1"/>
    <x v="0"/>
  </r>
  <r>
    <s v="AIJ-100324"/>
    <x v="7"/>
    <x v="6"/>
    <x v="2"/>
    <x v="2"/>
    <x v="15"/>
    <x v="73"/>
    <x v="51"/>
    <x v="0"/>
    <n v="47366"/>
    <s v="High"/>
    <x v="9"/>
    <n v="35"/>
    <x v="0"/>
    <x v="1"/>
    <n v="2.09"/>
    <s v="Yes"/>
    <n v="4.38"/>
    <x v="1"/>
    <x v="3"/>
    <x v="1"/>
  </r>
  <r>
    <s v="AIJ-100325"/>
    <x v="8"/>
    <x v="2"/>
    <x v="4"/>
    <x v="3"/>
    <x v="3"/>
    <x v="4"/>
    <x v="45"/>
    <x v="2"/>
    <n v="33665"/>
    <s v="Low"/>
    <x v="8"/>
    <n v="33"/>
    <x v="1"/>
    <x v="0"/>
    <n v="4.55"/>
    <s v="No"/>
    <n v="2.4700000000000002"/>
    <x v="0"/>
    <x v="0"/>
    <x v="2"/>
  </r>
  <r>
    <s v="AIJ-100326"/>
    <x v="8"/>
    <x v="2"/>
    <x v="7"/>
    <x v="2"/>
    <x v="1"/>
    <x v="52"/>
    <x v="34"/>
    <x v="1"/>
    <n v="86170"/>
    <s v="Low"/>
    <x v="4"/>
    <n v="33"/>
    <x v="0"/>
    <x v="2"/>
    <n v="3.49"/>
    <s v="No"/>
    <n v="3.82"/>
    <x v="0"/>
    <x v="3"/>
    <x v="1"/>
  </r>
  <r>
    <s v="AIJ-100327"/>
    <x v="7"/>
    <x v="9"/>
    <x v="4"/>
    <x v="0"/>
    <x v="16"/>
    <x v="6"/>
    <x v="40"/>
    <x v="1"/>
    <n v="187388"/>
    <s v="Low"/>
    <x v="11"/>
    <n v="32"/>
    <x v="2"/>
    <x v="0"/>
    <n v="3.1"/>
    <s v="Yes"/>
    <n v="4.99"/>
    <x v="1"/>
    <x v="3"/>
    <x v="3"/>
  </r>
  <r>
    <s v="AIJ-100328"/>
    <x v="2"/>
    <x v="0"/>
    <x v="1"/>
    <x v="2"/>
    <x v="17"/>
    <x v="73"/>
    <x v="25"/>
    <x v="0"/>
    <n v="212199"/>
    <s v="Medium"/>
    <x v="9"/>
    <n v="49"/>
    <x v="2"/>
    <x v="2"/>
    <n v="2.7"/>
    <s v="No"/>
    <n v="3.9"/>
    <x v="1"/>
    <x v="3"/>
    <x v="3"/>
  </r>
  <r>
    <s v="AIJ-100329"/>
    <x v="5"/>
    <x v="8"/>
    <x v="3"/>
    <x v="2"/>
    <x v="19"/>
    <x v="60"/>
    <x v="73"/>
    <x v="1"/>
    <n v="164064"/>
    <s v="Medium"/>
    <x v="55"/>
    <n v="37"/>
    <x v="0"/>
    <x v="2"/>
    <n v="2.09"/>
    <s v="Yes"/>
    <n v="4.32"/>
    <x v="1"/>
    <x v="3"/>
    <x v="2"/>
  </r>
  <r>
    <s v="AIJ-100330"/>
    <x v="3"/>
    <x v="5"/>
    <x v="3"/>
    <x v="0"/>
    <x v="8"/>
    <x v="75"/>
    <x v="2"/>
    <x v="1"/>
    <n v="55253"/>
    <s v="High"/>
    <x v="55"/>
    <n v="45"/>
    <x v="0"/>
    <x v="1"/>
    <n v="3.63"/>
    <s v="Yes"/>
    <n v="4.8099999999999996"/>
    <x v="2"/>
    <x v="3"/>
    <x v="2"/>
  </r>
  <r>
    <s v="AIJ-100331"/>
    <x v="0"/>
    <x v="1"/>
    <x v="1"/>
    <x v="0"/>
    <x v="12"/>
    <x v="24"/>
    <x v="17"/>
    <x v="0"/>
    <n v="76365"/>
    <s v="Medium"/>
    <x v="18"/>
    <n v="42"/>
    <x v="2"/>
    <x v="2"/>
    <n v="3.71"/>
    <s v="No"/>
    <n v="3.64"/>
    <x v="0"/>
    <x v="2"/>
    <x v="3"/>
  </r>
  <r>
    <s v="AIJ-100332"/>
    <x v="18"/>
    <x v="1"/>
    <x v="5"/>
    <x v="2"/>
    <x v="21"/>
    <x v="72"/>
    <x v="34"/>
    <x v="2"/>
    <n v="207337"/>
    <s v="Low"/>
    <x v="36"/>
    <n v="56"/>
    <x v="2"/>
    <x v="1"/>
    <n v="4.43"/>
    <s v="Yes"/>
    <n v="4.0599999999999996"/>
    <x v="0"/>
    <x v="2"/>
    <x v="0"/>
  </r>
  <r>
    <s v="AIJ-100333"/>
    <x v="6"/>
    <x v="2"/>
    <x v="6"/>
    <x v="2"/>
    <x v="25"/>
    <x v="43"/>
    <x v="29"/>
    <x v="0"/>
    <n v="94023"/>
    <s v="Medium"/>
    <x v="51"/>
    <n v="40"/>
    <x v="1"/>
    <x v="2"/>
    <n v="3.62"/>
    <s v="Yes"/>
    <n v="2.84"/>
    <x v="1"/>
    <x v="2"/>
    <x v="1"/>
  </r>
  <r>
    <s v="AIJ-100334"/>
    <x v="9"/>
    <x v="9"/>
    <x v="2"/>
    <x v="1"/>
    <x v="23"/>
    <x v="13"/>
    <x v="25"/>
    <x v="1"/>
    <n v="180087"/>
    <s v="High"/>
    <x v="17"/>
    <n v="54"/>
    <x v="0"/>
    <x v="1"/>
    <n v="2.5"/>
    <s v="No"/>
    <n v="2.4500000000000002"/>
    <x v="1"/>
    <x v="3"/>
    <x v="3"/>
  </r>
  <r>
    <s v="AIJ-100335"/>
    <x v="15"/>
    <x v="2"/>
    <x v="0"/>
    <x v="2"/>
    <x v="25"/>
    <x v="3"/>
    <x v="78"/>
    <x v="2"/>
    <n v="180345"/>
    <s v="Low"/>
    <x v="22"/>
    <n v="40"/>
    <x v="2"/>
    <x v="2"/>
    <n v="3.7"/>
    <s v="No"/>
    <n v="2.71"/>
    <x v="1"/>
    <x v="3"/>
    <x v="1"/>
  </r>
  <r>
    <s v="AIJ-100336"/>
    <x v="14"/>
    <x v="4"/>
    <x v="6"/>
    <x v="0"/>
    <x v="2"/>
    <x v="81"/>
    <x v="10"/>
    <x v="2"/>
    <n v="82448"/>
    <s v="Low"/>
    <x v="14"/>
    <n v="50"/>
    <x v="0"/>
    <x v="0"/>
    <n v="4.59"/>
    <s v="No"/>
    <n v="1.85"/>
    <x v="0"/>
    <x v="3"/>
    <x v="1"/>
  </r>
  <r>
    <s v="AIJ-100337"/>
    <x v="7"/>
    <x v="4"/>
    <x v="7"/>
    <x v="3"/>
    <x v="6"/>
    <x v="30"/>
    <x v="33"/>
    <x v="2"/>
    <n v="209649"/>
    <s v="Low"/>
    <x v="11"/>
    <n v="43"/>
    <x v="2"/>
    <x v="1"/>
    <n v="3.94"/>
    <s v="No"/>
    <n v="3.75"/>
    <x v="2"/>
    <x v="2"/>
    <x v="0"/>
  </r>
  <r>
    <s v="AIJ-100338"/>
    <x v="0"/>
    <x v="4"/>
    <x v="7"/>
    <x v="2"/>
    <x v="8"/>
    <x v="71"/>
    <x v="76"/>
    <x v="0"/>
    <n v="157240"/>
    <s v="Medium"/>
    <x v="36"/>
    <n v="30"/>
    <x v="2"/>
    <x v="1"/>
    <n v="3.98"/>
    <s v="Yes"/>
    <n v="3.58"/>
    <x v="2"/>
    <x v="1"/>
    <x v="2"/>
  </r>
  <r>
    <s v="AIJ-100339"/>
    <x v="18"/>
    <x v="0"/>
    <x v="7"/>
    <x v="1"/>
    <x v="20"/>
    <x v="53"/>
    <x v="36"/>
    <x v="0"/>
    <n v="136694"/>
    <s v="High"/>
    <x v="26"/>
    <n v="46"/>
    <x v="1"/>
    <x v="0"/>
    <n v="3.99"/>
    <s v="No"/>
    <n v="2.99"/>
    <x v="2"/>
    <x v="3"/>
    <x v="2"/>
  </r>
  <r>
    <s v="AIJ-100340"/>
    <x v="14"/>
    <x v="2"/>
    <x v="1"/>
    <x v="2"/>
    <x v="3"/>
    <x v="72"/>
    <x v="25"/>
    <x v="0"/>
    <n v="91849"/>
    <s v="Medium"/>
    <x v="40"/>
    <n v="43"/>
    <x v="2"/>
    <x v="0"/>
    <n v="2.17"/>
    <s v="No"/>
    <n v="3.8"/>
    <x v="2"/>
    <x v="2"/>
    <x v="2"/>
  </r>
  <r>
    <s v="AIJ-100341"/>
    <x v="18"/>
    <x v="9"/>
    <x v="5"/>
    <x v="3"/>
    <x v="21"/>
    <x v="35"/>
    <x v="14"/>
    <x v="2"/>
    <n v="67987"/>
    <s v="High"/>
    <x v="39"/>
    <n v="56"/>
    <x v="0"/>
    <x v="0"/>
    <n v="4.4000000000000004"/>
    <s v="Yes"/>
    <n v="3.76"/>
    <x v="0"/>
    <x v="2"/>
    <x v="0"/>
  </r>
  <r>
    <s v="AIJ-100342"/>
    <x v="9"/>
    <x v="5"/>
    <x v="4"/>
    <x v="0"/>
    <x v="5"/>
    <x v="60"/>
    <x v="7"/>
    <x v="0"/>
    <n v="209633"/>
    <s v="Medium"/>
    <x v="3"/>
    <n v="39"/>
    <x v="1"/>
    <x v="2"/>
    <n v="2.89"/>
    <s v="Yes"/>
    <n v="4.66"/>
    <x v="0"/>
    <x v="1"/>
    <x v="3"/>
  </r>
  <r>
    <s v="AIJ-100343"/>
    <x v="14"/>
    <x v="7"/>
    <x v="7"/>
    <x v="2"/>
    <x v="3"/>
    <x v="55"/>
    <x v="3"/>
    <x v="2"/>
    <n v="153493"/>
    <s v="Medium"/>
    <x v="5"/>
    <n v="32"/>
    <x v="2"/>
    <x v="1"/>
    <n v="3.81"/>
    <s v="No"/>
    <n v="2.81"/>
    <x v="2"/>
    <x v="3"/>
    <x v="2"/>
  </r>
  <r>
    <s v="AIJ-100344"/>
    <x v="1"/>
    <x v="3"/>
    <x v="2"/>
    <x v="2"/>
    <x v="3"/>
    <x v="85"/>
    <x v="54"/>
    <x v="0"/>
    <n v="110097"/>
    <s v="High"/>
    <x v="18"/>
    <n v="54"/>
    <x v="0"/>
    <x v="2"/>
    <n v="4.54"/>
    <s v="No"/>
    <n v="4.17"/>
    <x v="1"/>
    <x v="3"/>
    <x v="2"/>
  </r>
  <r>
    <s v="AIJ-100345"/>
    <x v="3"/>
    <x v="4"/>
    <x v="5"/>
    <x v="1"/>
    <x v="5"/>
    <x v="55"/>
    <x v="64"/>
    <x v="1"/>
    <n v="82078"/>
    <s v="High"/>
    <x v="29"/>
    <n v="30"/>
    <x v="1"/>
    <x v="0"/>
    <n v="3.94"/>
    <s v="Yes"/>
    <n v="4.63"/>
    <x v="1"/>
    <x v="3"/>
    <x v="3"/>
  </r>
  <r>
    <s v="AIJ-100346"/>
    <x v="3"/>
    <x v="7"/>
    <x v="1"/>
    <x v="2"/>
    <x v="21"/>
    <x v="68"/>
    <x v="60"/>
    <x v="2"/>
    <n v="69125"/>
    <s v="High"/>
    <x v="15"/>
    <n v="54"/>
    <x v="2"/>
    <x v="0"/>
    <n v="3.48"/>
    <s v="Yes"/>
    <n v="3.85"/>
    <x v="2"/>
    <x v="3"/>
    <x v="0"/>
  </r>
  <r>
    <s v="AIJ-100347"/>
    <x v="16"/>
    <x v="4"/>
    <x v="1"/>
    <x v="0"/>
    <x v="9"/>
    <x v="80"/>
    <x v="60"/>
    <x v="0"/>
    <n v="104178"/>
    <s v="Low"/>
    <x v="46"/>
    <n v="38"/>
    <x v="1"/>
    <x v="0"/>
    <n v="3.35"/>
    <s v="Yes"/>
    <n v="2.48"/>
    <x v="0"/>
    <x v="2"/>
    <x v="1"/>
  </r>
  <r>
    <s v="AIJ-100348"/>
    <x v="15"/>
    <x v="4"/>
    <x v="0"/>
    <x v="3"/>
    <x v="6"/>
    <x v="33"/>
    <x v="25"/>
    <x v="0"/>
    <n v="85631"/>
    <s v="High"/>
    <x v="37"/>
    <n v="31"/>
    <x v="2"/>
    <x v="2"/>
    <n v="3.41"/>
    <s v="No"/>
    <n v="4.99"/>
    <x v="0"/>
    <x v="2"/>
    <x v="0"/>
  </r>
  <r>
    <s v="AIJ-100349"/>
    <x v="17"/>
    <x v="5"/>
    <x v="8"/>
    <x v="1"/>
    <x v="14"/>
    <x v="38"/>
    <x v="25"/>
    <x v="0"/>
    <n v="127229"/>
    <s v="High"/>
    <x v="55"/>
    <n v="59"/>
    <x v="2"/>
    <x v="1"/>
    <n v="2.4"/>
    <s v="No"/>
    <n v="3.84"/>
    <x v="1"/>
    <x v="3"/>
    <x v="2"/>
  </r>
  <r>
    <s v="AIJ-100350"/>
    <x v="18"/>
    <x v="4"/>
    <x v="6"/>
    <x v="3"/>
    <x v="15"/>
    <x v="33"/>
    <x v="35"/>
    <x v="1"/>
    <n v="103662"/>
    <s v="High"/>
    <x v="31"/>
    <n v="43"/>
    <x v="1"/>
    <x v="1"/>
    <n v="4.21"/>
    <s v="No"/>
    <n v="4.05"/>
    <x v="2"/>
    <x v="2"/>
    <x v="1"/>
  </r>
  <r>
    <s v="AIJ-100351"/>
    <x v="13"/>
    <x v="4"/>
    <x v="2"/>
    <x v="0"/>
    <x v="0"/>
    <x v="32"/>
    <x v="18"/>
    <x v="1"/>
    <n v="215063"/>
    <s v="Medium"/>
    <x v="18"/>
    <n v="47"/>
    <x v="2"/>
    <x v="1"/>
    <n v="3.48"/>
    <s v="Yes"/>
    <n v="1.49"/>
    <x v="2"/>
    <x v="3"/>
    <x v="0"/>
  </r>
  <r>
    <s v="AIJ-100352"/>
    <x v="2"/>
    <x v="2"/>
    <x v="0"/>
    <x v="2"/>
    <x v="7"/>
    <x v="41"/>
    <x v="40"/>
    <x v="2"/>
    <n v="203837"/>
    <s v="Low"/>
    <x v="27"/>
    <n v="59"/>
    <x v="1"/>
    <x v="2"/>
    <n v="4.3"/>
    <s v="Yes"/>
    <n v="4.55"/>
    <x v="2"/>
    <x v="2"/>
    <x v="1"/>
  </r>
  <r>
    <s v="AIJ-100353"/>
    <x v="13"/>
    <x v="9"/>
    <x v="3"/>
    <x v="3"/>
    <x v="15"/>
    <x v="2"/>
    <x v="72"/>
    <x v="2"/>
    <n v="51250"/>
    <s v="Low"/>
    <x v="30"/>
    <n v="31"/>
    <x v="0"/>
    <x v="0"/>
    <n v="4.8499999999999996"/>
    <s v="No"/>
    <n v="4.79"/>
    <x v="0"/>
    <x v="1"/>
    <x v="1"/>
  </r>
  <r>
    <s v="AIJ-100354"/>
    <x v="11"/>
    <x v="4"/>
    <x v="2"/>
    <x v="0"/>
    <x v="14"/>
    <x v="71"/>
    <x v="23"/>
    <x v="0"/>
    <n v="173433"/>
    <s v="Low"/>
    <x v="45"/>
    <n v="57"/>
    <x v="2"/>
    <x v="2"/>
    <n v="2.06"/>
    <s v="Yes"/>
    <n v="1.65"/>
    <x v="1"/>
    <x v="3"/>
    <x v="2"/>
  </r>
  <r>
    <s v="AIJ-100355"/>
    <x v="11"/>
    <x v="8"/>
    <x v="5"/>
    <x v="2"/>
    <x v="17"/>
    <x v="81"/>
    <x v="56"/>
    <x v="2"/>
    <n v="111291"/>
    <s v="Low"/>
    <x v="55"/>
    <n v="44"/>
    <x v="2"/>
    <x v="1"/>
    <n v="2.81"/>
    <s v="No"/>
    <n v="1.36"/>
    <x v="1"/>
    <x v="3"/>
    <x v="3"/>
  </r>
  <r>
    <s v="AIJ-100356"/>
    <x v="6"/>
    <x v="8"/>
    <x v="3"/>
    <x v="2"/>
    <x v="16"/>
    <x v="41"/>
    <x v="42"/>
    <x v="1"/>
    <n v="207324"/>
    <s v="Medium"/>
    <x v="1"/>
    <n v="59"/>
    <x v="2"/>
    <x v="1"/>
    <n v="2.4500000000000002"/>
    <s v="Yes"/>
    <n v="3.74"/>
    <x v="1"/>
    <x v="3"/>
    <x v="3"/>
  </r>
  <r>
    <s v="AIJ-100357"/>
    <x v="8"/>
    <x v="0"/>
    <x v="9"/>
    <x v="0"/>
    <x v="12"/>
    <x v="12"/>
    <x v="13"/>
    <x v="0"/>
    <n v="41821"/>
    <s v="Medium"/>
    <x v="21"/>
    <n v="53"/>
    <x v="0"/>
    <x v="1"/>
    <n v="3.07"/>
    <s v="Yes"/>
    <n v="4.07"/>
    <x v="2"/>
    <x v="3"/>
    <x v="3"/>
  </r>
  <r>
    <s v="AIJ-100358"/>
    <x v="7"/>
    <x v="7"/>
    <x v="0"/>
    <x v="0"/>
    <x v="1"/>
    <x v="44"/>
    <x v="29"/>
    <x v="2"/>
    <n v="139117"/>
    <s v="Medium"/>
    <x v="32"/>
    <n v="55"/>
    <x v="2"/>
    <x v="1"/>
    <n v="4.9000000000000004"/>
    <s v="Yes"/>
    <n v="1.84"/>
    <x v="2"/>
    <x v="1"/>
    <x v="1"/>
  </r>
  <r>
    <s v="AIJ-100359"/>
    <x v="13"/>
    <x v="4"/>
    <x v="0"/>
    <x v="0"/>
    <x v="16"/>
    <x v="73"/>
    <x v="74"/>
    <x v="2"/>
    <n v="155074"/>
    <s v="High"/>
    <x v="49"/>
    <n v="52"/>
    <x v="0"/>
    <x v="0"/>
    <n v="4.03"/>
    <s v="No"/>
    <n v="1.35"/>
    <x v="2"/>
    <x v="3"/>
    <x v="3"/>
  </r>
  <r>
    <s v="AIJ-100360"/>
    <x v="16"/>
    <x v="9"/>
    <x v="1"/>
    <x v="1"/>
    <x v="12"/>
    <x v="29"/>
    <x v="70"/>
    <x v="2"/>
    <n v="37029"/>
    <s v="High"/>
    <x v="9"/>
    <n v="32"/>
    <x v="2"/>
    <x v="1"/>
    <n v="2.44"/>
    <s v="No"/>
    <n v="1.0900000000000001"/>
    <x v="2"/>
    <x v="2"/>
    <x v="3"/>
  </r>
  <r>
    <s v="AIJ-100361"/>
    <x v="7"/>
    <x v="3"/>
    <x v="7"/>
    <x v="2"/>
    <x v="23"/>
    <x v="80"/>
    <x v="37"/>
    <x v="0"/>
    <n v="82779"/>
    <s v="Low"/>
    <x v="48"/>
    <n v="57"/>
    <x v="0"/>
    <x v="1"/>
    <n v="4.9400000000000004"/>
    <s v="No"/>
    <n v="3.95"/>
    <x v="0"/>
    <x v="2"/>
    <x v="3"/>
  </r>
  <r>
    <s v="AIJ-100362"/>
    <x v="12"/>
    <x v="2"/>
    <x v="8"/>
    <x v="2"/>
    <x v="12"/>
    <x v="72"/>
    <x v="50"/>
    <x v="2"/>
    <n v="207908"/>
    <s v="Medium"/>
    <x v="24"/>
    <n v="32"/>
    <x v="2"/>
    <x v="0"/>
    <n v="3.25"/>
    <s v="No"/>
    <n v="1.47"/>
    <x v="0"/>
    <x v="3"/>
    <x v="3"/>
  </r>
  <r>
    <s v="AIJ-100363"/>
    <x v="6"/>
    <x v="5"/>
    <x v="4"/>
    <x v="3"/>
    <x v="15"/>
    <x v="64"/>
    <x v="9"/>
    <x v="2"/>
    <n v="144848"/>
    <s v="High"/>
    <x v="4"/>
    <n v="34"/>
    <x v="2"/>
    <x v="0"/>
    <n v="4.13"/>
    <s v="No"/>
    <n v="4.33"/>
    <x v="0"/>
    <x v="2"/>
    <x v="1"/>
  </r>
  <r>
    <s v="AIJ-100364"/>
    <x v="4"/>
    <x v="2"/>
    <x v="1"/>
    <x v="0"/>
    <x v="19"/>
    <x v="47"/>
    <x v="62"/>
    <x v="1"/>
    <n v="63841"/>
    <s v="Medium"/>
    <x v="33"/>
    <n v="37"/>
    <x v="1"/>
    <x v="0"/>
    <n v="2.14"/>
    <s v="Yes"/>
    <n v="2.44"/>
    <x v="1"/>
    <x v="3"/>
    <x v="2"/>
  </r>
  <r>
    <s v="AIJ-100365"/>
    <x v="9"/>
    <x v="5"/>
    <x v="4"/>
    <x v="0"/>
    <x v="14"/>
    <x v="82"/>
    <x v="26"/>
    <x v="1"/>
    <n v="89425"/>
    <s v="Medium"/>
    <x v="45"/>
    <n v="31"/>
    <x v="0"/>
    <x v="1"/>
    <n v="4.6900000000000004"/>
    <s v="Yes"/>
    <n v="3.83"/>
    <x v="1"/>
    <x v="2"/>
    <x v="2"/>
  </r>
  <r>
    <s v="AIJ-100366"/>
    <x v="16"/>
    <x v="7"/>
    <x v="1"/>
    <x v="3"/>
    <x v="25"/>
    <x v="41"/>
    <x v="1"/>
    <x v="1"/>
    <n v="60948"/>
    <s v="High"/>
    <x v="55"/>
    <n v="53"/>
    <x v="1"/>
    <x v="2"/>
    <n v="3.94"/>
    <s v="No"/>
    <n v="4.28"/>
    <x v="2"/>
    <x v="2"/>
    <x v="1"/>
  </r>
  <r>
    <s v="AIJ-100367"/>
    <x v="8"/>
    <x v="8"/>
    <x v="2"/>
    <x v="3"/>
    <x v="17"/>
    <x v="2"/>
    <x v="9"/>
    <x v="2"/>
    <n v="105171"/>
    <s v="Medium"/>
    <x v="49"/>
    <n v="50"/>
    <x v="0"/>
    <x v="2"/>
    <n v="2.4500000000000002"/>
    <s v="No"/>
    <n v="4.1500000000000004"/>
    <x v="2"/>
    <x v="2"/>
    <x v="3"/>
  </r>
  <r>
    <s v="AIJ-100368"/>
    <x v="17"/>
    <x v="6"/>
    <x v="9"/>
    <x v="2"/>
    <x v="6"/>
    <x v="50"/>
    <x v="6"/>
    <x v="1"/>
    <n v="146019"/>
    <s v="Medium"/>
    <x v="16"/>
    <n v="54"/>
    <x v="1"/>
    <x v="1"/>
    <n v="2.1800000000000002"/>
    <s v="Yes"/>
    <n v="3.64"/>
    <x v="0"/>
    <x v="3"/>
    <x v="0"/>
  </r>
  <r>
    <s v="AIJ-100369"/>
    <x v="7"/>
    <x v="7"/>
    <x v="5"/>
    <x v="2"/>
    <x v="14"/>
    <x v="74"/>
    <x v="8"/>
    <x v="2"/>
    <n v="175125"/>
    <s v="High"/>
    <x v="25"/>
    <n v="52"/>
    <x v="2"/>
    <x v="1"/>
    <n v="3.93"/>
    <s v="No"/>
    <n v="3.79"/>
    <x v="0"/>
    <x v="3"/>
    <x v="2"/>
  </r>
  <r>
    <s v="AIJ-100370"/>
    <x v="8"/>
    <x v="5"/>
    <x v="6"/>
    <x v="1"/>
    <x v="6"/>
    <x v="59"/>
    <x v="57"/>
    <x v="2"/>
    <n v="63031"/>
    <s v="High"/>
    <x v="33"/>
    <n v="46"/>
    <x v="2"/>
    <x v="0"/>
    <n v="2.48"/>
    <s v="Yes"/>
    <n v="4.5599999999999996"/>
    <x v="0"/>
    <x v="3"/>
    <x v="0"/>
  </r>
  <r>
    <s v="AIJ-100371"/>
    <x v="8"/>
    <x v="7"/>
    <x v="2"/>
    <x v="2"/>
    <x v="1"/>
    <x v="78"/>
    <x v="46"/>
    <x v="2"/>
    <n v="98093"/>
    <s v="Low"/>
    <x v="40"/>
    <n v="39"/>
    <x v="0"/>
    <x v="0"/>
    <n v="2.02"/>
    <s v="No"/>
    <n v="4.93"/>
    <x v="0"/>
    <x v="3"/>
    <x v="1"/>
  </r>
  <r>
    <s v="AIJ-100372"/>
    <x v="17"/>
    <x v="4"/>
    <x v="9"/>
    <x v="1"/>
    <x v="19"/>
    <x v="62"/>
    <x v="52"/>
    <x v="1"/>
    <n v="206274"/>
    <s v="High"/>
    <x v="22"/>
    <n v="36"/>
    <x v="2"/>
    <x v="1"/>
    <n v="2.29"/>
    <s v="No"/>
    <n v="4.3099999999999996"/>
    <x v="2"/>
    <x v="2"/>
    <x v="2"/>
  </r>
  <r>
    <s v="AIJ-100373"/>
    <x v="8"/>
    <x v="4"/>
    <x v="0"/>
    <x v="0"/>
    <x v="14"/>
    <x v="21"/>
    <x v="47"/>
    <x v="2"/>
    <n v="126808"/>
    <s v="Medium"/>
    <x v="48"/>
    <n v="43"/>
    <x v="2"/>
    <x v="0"/>
    <n v="4.79"/>
    <s v="No"/>
    <n v="3.93"/>
    <x v="1"/>
    <x v="3"/>
    <x v="2"/>
  </r>
  <r>
    <s v="AIJ-100374"/>
    <x v="8"/>
    <x v="5"/>
    <x v="2"/>
    <x v="1"/>
    <x v="18"/>
    <x v="23"/>
    <x v="68"/>
    <x v="1"/>
    <n v="214686"/>
    <s v="Low"/>
    <x v="26"/>
    <n v="35"/>
    <x v="0"/>
    <x v="1"/>
    <n v="4.7699999999999996"/>
    <s v="Yes"/>
    <n v="3.41"/>
    <x v="1"/>
    <x v="2"/>
    <x v="3"/>
  </r>
  <r>
    <s v="AIJ-100375"/>
    <x v="7"/>
    <x v="7"/>
    <x v="6"/>
    <x v="3"/>
    <x v="10"/>
    <x v="12"/>
    <x v="72"/>
    <x v="0"/>
    <n v="127377"/>
    <s v="Low"/>
    <x v="25"/>
    <n v="55"/>
    <x v="0"/>
    <x v="1"/>
    <n v="2.15"/>
    <s v="No"/>
    <n v="4.5599999999999996"/>
    <x v="2"/>
    <x v="3"/>
    <x v="3"/>
  </r>
  <r>
    <s v="AIJ-100376"/>
    <x v="12"/>
    <x v="3"/>
    <x v="6"/>
    <x v="0"/>
    <x v="23"/>
    <x v="42"/>
    <x v="14"/>
    <x v="1"/>
    <n v="139464"/>
    <s v="Medium"/>
    <x v="34"/>
    <n v="53"/>
    <x v="0"/>
    <x v="2"/>
    <n v="4.29"/>
    <s v="No"/>
    <n v="4.05"/>
    <x v="0"/>
    <x v="0"/>
    <x v="3"/>
  </r>
  <r>
    <s v="AIJ-100377"/>
    <x v="1"/>
    <x v="5"/>
    <x v="8"/>
    <x v="0"/>
    <x v="24"/>
    <x v="68"/>
    <x v="25"/>
    <x v="1"/>
    <n v="133650"/>
    <s v="High"/>
    <x v="1"/>
    <n v="57"/>
    <x v="1"/>
    <x v="0"/>
    <n v="2.0699999999999998"/>
    <s v="No"/>
    <n v="3.24"/>
    <x v="2"/>
    <x v="2"/>
    <x v="1"/>
  </r>
  <r>
    <s v="AIJ-100378"/>
    <x v="9"/>
    <x v="5"/>
    <x v="1"/>
    <x v="2"/>
    <x v="14"/>
    <x v="1"/>
    <x v="61"/>
    <x v="0"/>
    <n v="34892"/>
    <s v="Low"/>
    <x v="34"/>
    <n v="52"/>
    <x v="0"/>
    <x v="1"/>
    <n v="2.25"/>
    <s v="No"/>
    <n v="2.61"/>
    <x v="2"/>
    <x v="2"/>
    <x v="2"/>
  </r>
  <r>
    <s v="AIJ-100379"/>
    <x v="3"/>
    <x v="0"/>
    <x v="2"/>
    <x v="1"/>
    <x v="16"/>
    <x v="80"/>
    <x v="76"/>
    <x v="0"/>
    <n v="97417"/>
    <s v="Low"/>
    <x v="3"/>
    <n v="54"/>
    <x v="1"/>
    <x v="2"/>
    <n v="2.92"/>
    <s v="No"/>
    <n v="3.71"/>
    <x v="2"/>
    <x v="1"/>
    <x v="3"/>
  </r>
  <r>
    <s v="AIJ-100380"/>
    <x v="5"/>
    <x v="4"/>
    <x v="2"/>
    <x v="2"/>
    <x v="8"/>
    <x v="11"/>
    <x v="66"/>
    <x v="0"/>
    <n v="114991"/>
    <s v="High"/>
    <x v="22"/>
    <n v="37"/>
    <x v="2"/>
    <x v="0"/>
    <n v="4.26"/>
    <s v="No"/>
    <n v="4.8"/>
    <x v="1"/>
    <x v="3"/>
    <x v="2"/>
  </r>
  <r>
    <s v="AIJ-100381"/>
    <x v="6"/>
    <x v="6"/>
    <x v="6"/>
    <x v="2"/>
    <x v="20"/>
    <x v="4"/>
    <x v="21"/>
    <x v="2"/>
    <n v="196079"/>
    <s v="High"/>
    <x v="35"/>
    <n v="34"/>
    <x v="2"/>
    <x v="0"/>
    <n v="3.22"/>
    <s v="Yes"/>
    <n v="4.3899999999999997"/>
    <x v="0"/>
    <x v="3"/>
    <x v="2"/>
  </r>
  <r>
    <s v="AIJ-100382"/>
    <x v="13"/>
    <x v="6"/>
    <x v="8"/>
    <x v="0"/>
    <x v="15"/>
    <x v="22"/>
    <x v="6"/>
    <x v="1"/>
    <n v="175529"/>
    <s v="High"/>
    <x v="43"/>
    <n v="30"/>
    <x v="1"/>
    <x v="1"/>
    <n v="2.82"/>
    <s v="No"/>
    <n v="4.3600000000000003"/>
    <x v="1"/>
    <x v="0"/>
    <x v="1"/>
  </r>
  <r>
    <s v="AIJ-100383"/>
    <x v="3"/>
    <x v="4"/>
    <x v="2"/>
    <x v="1"/>
    <x v="24"/>
    <x v="47"/>
    <x v="39"/>
    <x v="2"/>
    <n v="108810"/>
    <s v="Medium"/>
    <x v="15"/>
    <n v="36"/>
    <x v="0"/>
    <x v="0"/>
    <n v="4.87"/>
    <s v="No"/>
    <n v="4.54"/>
    <x v="1"/>
    <x v="2"/>
    <x v="1"/>
  </r>
  <r>
    <s v="AIJ-100384"/>
    <x v="1"/>
    <x v="6"/>
    <x v="1"/>
    <x v="2"/>
    <x v="15"/>
    <x v="42"/>
    <x v="41"/>
    <x v="1"/>
    <n v="187158"/>
    <s v="Low"/>
    <x v="53"/>
    <n v="51"/>
    <x v="1"/>
    <x v="1"/>
    <n v="3.67"/>
    <s v="No"/>
    <n v="4.05"/>
    <x v="0"/>
    <x v="3"/>
    <x v="1"/>
  </r>
  <r>
    <s v="AIJ-100385"/>
    <x v="11"/>
    <x v="7"/>
    <x v="7"/>
    <x v="1"/>
    <x v="1"/>
    <x v="50"/>
    <x v="49"/>
    <x v="2"/>
    <n v="128664"/>
    <s v="Low"/>
    <x v="51"/>
    <n v="44"/>
    <x v="2"/>
    <x v="2"/>
    <n v="3.33"/>
    <s v="Yes"/>
    <n v="3.97"/>
    <x v="1"/>
    <x v="2"/>
    <x v="1"/>
  </r>
  <r>
    <s v="AIJ-100386"/>
    <x v="10"/>
    <x v="1"/>
    <x v="3"/>
    <x v="1"/>
    <x v="21"/>
    <x v="0"/>
    <x v="42"/>
    <x v="0"/>
    <n v="125158"/>
    <s v="High"/>
    <x v="16"/>
    <n v="33"/>
    <x v="2"/>
    <x v="0"/>
    <n v="3.5"/>
    <s v="Yes"/>
    <n v="3.21"/>
    <x v="0"/>
    <x v="0"/>
    <x v="0"/>
  </r>
  <r>
    <s v="AIJ-100387"/>
    <x v="8"/>
    <x v="1"/>
    <x v="4"/>
    <x v="2"/>
    <x v="25"/>
    <x v="31"/>
    <x v="12"/>
    <x v="2"/>
    <n v="89759"/>
    <s v="High"/>
    <x v="32"/>
    <n v="38"/>
    <x v="0"/>
    <x v="0"/>
    <n v="4.6500000000000004"/>
    <s v="Yes"/>
    <n v="4.75"/>
    <x v="0"/>
    <x v="3"/>
    <x v="1"/>
  </r>
  <r>
    <s v="AIJ-100388"/>
    <x v="12"/>
    <x v="7"/>
    <x v="9"/>
    <x v="2"/>
    <x v="24"/>
    <x v="39"/>
    <x v="8"/>
    <x v="0"/>
    <n v="152312"/>
    <s v="Low"/>
    <x v="2"/>
    <n v="59"/>
    <x v="2"/>
    <x v="0"/>
    <n v="3.35"/>
    <s v="Yes"/>
    <n v="2.57"/>
    <x v="1"/>
    <x v="0"/>
    <x v="1"/>
  </r>
  <r>
    <s v="AIJ-100389"/>
    <x v="4"/>
    <x v="7"/>
    <x v="6"/>
    <x v="2"/>
    <x v="4"/>
    <x v="60"/>
    <x v="4"/>
    <x v="2"/>
    <n v="81610"/>
    <s v="Low"/>
    <x v="14"/>
    <n v="45"/>
    <x v="2"/>
    <x v="2"/>
    <n v="3.78"/>
    <s v="No"/>
    <n v="4.3600000000000003"/>
    <x v="2"/>
    <x v="3"/>
    <x v="1"/>
  </r>
  <r>
    <s v="AIJ-100390"/>
    <x v="6"/>
    <x v="0"/>
    <x v="0"/>
    <x v="0"/>
    <x v="1"/>
    <x v="2"/>
    <x v="45"/>
    <x v="0"/>
    <n v="166229"/>
    <s v="High"/>
    <x v="40"/>
    <n v="48"/>
    <x v="1"/>
    <x v="2"/>
    <n v="4.92"/>
    <s v="Yes"/>
    <n v="2.5099999999999998"/>
    <x v="0"/>
    <x v="3"/>
    <x v="1"/>
  </r>
  <r>
    <s v="AIJ-100391"/>
    <x v="3"/>
    <x v="0"/>
    <x v="8"/>
    <x v="2"/>
    <x v="16"/>
    <x v="27"/>
    <x v="50"/>
    <x v="1"/>
    <n v="143204"/>
    <s v="Medium"/>
    <x v="47"/>
    <n v="49"/>
    <x v="2"/>
    <x v="2"/>
    <n v="4.59"/>
    <s v="Yes"/>
    <n v="2.81"/>
    <x v="1"/>
    <x v="3"/>
    <x v="3"/>
  </r>
  <r>
    <s v="AIJ-100392"/>
    <x v="11"/>
    <x v="0"/>
    <x v="0"/>
    <x v="1"/>
    <x v="11"/>
    <x v="72"/>
    <x v="26"/>
    <x v="0"/>
    <n v="33221"/>
    <s v="High"/>
    <x v="5"/>
    <n v="38"/>
    <x v="2"/>
    <x v="1"/>
    <n v="3.44"/>
    <s v="No"/>
    <n v="1.74"/>
    <x v="2"/>
    <x v="2"/>
    <x v="1"/>
  </r>
  <r>
    <s v="AIJ-100393"/>
    <x v="18"/>
    <x v="1"/>
    <x v="0"/>
    <x v="1"/>
    <x v="22"/>
    <x v="72"/>
    <x v="75"/>
    <x v="1"/>
    <n v="200840"/>
    <s v="Medium"/>
    <x v="44"/>
    <n v="40"/>
    <x v="2"/>
    <x v="1"/>
    <n v="4.91"/>
    <s v="Yes"/>
    <n v="1.23"/>
    <x v="0"/>
    <x v="3"/>
    <x v="2"/>
  </r>
  <r>
    <s v="AIJ-100394"/>
    <x v="3"/>
    <x v="7"/>
    <x v="4"/>
    <x v="0"/>
    <x v="25"/>
    <x v="33"/>
    <x v="32"/>
    <x v="2"/>
    <n v="82759"/>
    <s v="Medium"/>
    <x v="44"/>
    <n v="52"/>
    <x v="2"/>
    <x v="0"/>
    <n v="3.7"/>
    <s v="No"/>
    <n v="3.46"/>
    <x v="1"/>
    <x v="2"/>
    <x v="1"/>
  </r>
  <r>
    <s v="AIJ-100395"/>
    <x v="6"/>
    <x v="2"/>
    <x v="3"/>
    <x v="1"/>
    <x v="20"/>
    <x v="56"/>
    <x v="35"/>
    <x v="1"/>
    <n v="30969"/>
    <s v="High"/>
    <x v="45"/>
    <n v="60"/>
    <x v="2"/>
    <x v="0"/>
    <n v="3.13"/>
    <s v="No"/>
    <n v="1.74"/>
    <x v="2"/>
    <x v="2"/>
    <x v="2"/>
  </r>
  <r>
    <s v="AIJ-100396"/>
    <x v="2"/>
    <x v="7"/>
    <x v="8"/>
    <x v="2"/>
    <x v="8"/>
    <x v="6"/>
    <x v="78"/>
    <x v="0"/>
    <n v="80961"/>
    <s v="Medium"/>
    <x v="42"/>
    <n v="37"/>
    <x v="2"/>
    <x v="0"/>
    <n v="2.52"/>
    <s v="Yes"/>
    <n v="1.71"/>
    <x v="2"/>
    <x v="3"/>
    <x v="2"/>
  </r>
  <r>
    <s v="AIJ-100397"/>
    <x v="1"/>
    <x v="2"/>
    <x v="6"/>
    <x v="0"/>
    <x v="20"/>
    <x v="50"/>
    <x v="34"/>
    <x v="1"/>
    <n v="59089"/>
    <s v="Medium"/>
    <x v="21"/>
    <n v="35"/>
    <x v="0"/>
    <x v="0"/>
    <n v="4.6399999999999997"/>
    <s v="Yes"/>
    <n v="1.47"/>
    <x v="2"/>
    <x v="2"/>
    <x v="2"/>
  </r>
  <r>
    <s v="AIJ-100398"/>
    <x v="10"/>
    <x v="3"/>
    <x v="0"/>
    <x v="1"/>
    <x v="13"/>
    <x v="88"/>
    <x v="42"/>
    <x v="1"/>
    <n v="94107"/>
    <s v="Low"/>
    <x v="31"/>
    <n v="37"/>
    <x v="1"/>
    <x v="0"/>
    <n v="4.3899999999999997"/>
    <s v="Yes"/>
    <n v="4.41"/>
    <x v="0"/>
    <x v="3"/>
    <x v="1"/>
  </r>
  <r>
    <s v="AIJ-100399"/>
    <x v="8"/>
    <x v="7"/>
    <x v="3"/>
    <x v="0"/>
    <x v="3"/>
    <x v="4"/>
    <x v="61"/>
    <x v="1"/>
    <n v="199101"/>
    <s v="High"/>
    <x v="49"/>
    <n v="46"/>
    <x v="0"/>
    <x v="1"/>
    <n v="4.1500000000000004"/>
    <s v="No"/>
    <n v="2.9"/>
    <x v="0"/>
    <x v="3"/>
    <x v="2"/>
  </r>
  <r>
    <s v="AIJ-100400"/>
    <x v="14"/>
    <x v="4"/>
    <x v="0"/>
    <x v="1"/>
    <x v="17"/>
    <x v="53"/>
    <x v="25"/>
    <x v="1"/>
    <n v="110215"/>
    <s v="High"/>
    <x v="1"/>
    <n v="34"/>
    <x v="1"/>
    <x v="1"/>
    <n v="3.33"/>
    <s v="No"/>
    <n v="1.92"/>
    <x v="2"/>
    <x v="2"/>
    <x v="3"/>
  </r>
  <r>
    <s v="AIJ-100401"/>
    <x v="5"/>
    <x v="4"/>
    <x v="8"/>
    <x v="1"/>
    <x v="18"/>
    <x v="43"/>
    <x v="56"/>
    <x v="0"/>
    <n v="113105"/>
    <s v="Medium"/>
    <x v="54"/>
    <n v="32"/>
    <x v="2"/>
    <x v="2"/>
    <n v="2.88"/>
    <s v="Yes"/>
    <n v="4.1399999999999997"/>
    <x v="2"/>
    <x v="3"/>
    <x v="3"/>
  </r>
  <r>
    <s v="AIJ-100402"/>
    <x v="1"/>
    <x v="1"/>
    <x v="6"/>
    <x v="3"/>
    <x v="8"/>
    <x v="32"/>
    <x v="54"/>
    <x v="2"/>
    <n v="81549"/>
    <s v="High"/>
    <x v="36"/>
    <n v="57"/>
    <x v="0"/>
    <x v="0"/>
    <n v="3.63"/>
    <s v="No"/>
    <n v="1.03"/>
    <x v="1"/>
    <x v="3"/>
    <x v="2"/>
  </r>
  <r>
    <s v="AIJ-100403"/>
    <x v="8"/>
    <x v="8"/>
    <x v="7"/>
    <x v="1"/>
    <x v="20"/>
    <x v="1"/>
    <x v="28"/>
    <x v="2"/>
    <n v="201466"/>
    <s v="High"/>
    <x v="0"/>
    <n v="45"/>
    <x v="1"/>
    <x v="0"/>
    <n v="3.76"/>
    <s v="No"/>
    <n v="3.89"/>
    <x v="1"/>
    <x v="1"/>
    <x v="2"/>
  </r>
  <r>
    <s v="AIJ-100404"/>
    <x v="13"/>
    <x v="5"/>
    <x v="8"/>
    <x v="3"/>
    <x v="22"/>
    <x v="10"/>
    <x v="24"/>
    <x v="2"/>
    <n v="144997"/>
    <s v="Low"/>
    <x v="33"/>
    <n v="60"/>
    <x v="0"/>
    <x v="2"/>
    <n v="3.5"/>
    <s v="No"/>
    <n v="2.36"/>
    <x v="1"/>
    <x v="2"/>
    <x v="2"/>
  </r>
  <r>
    <s v="AIJ-100405"/>
    <x v="1"/>
    <x v="3"/>
    <x v="0"/>
    <x v="0"/>
    <x v="5"/>
    <x v="62"/>
    <x v="19"/>
    <x v="0"/>
    <n v="70289"/>
    <s v="Medium"/>
    <x v="13"/>
    <n v="47"/>
    <x v="2"/>
    <x v="2"/>
    <n v="3.42"/>
    <s v="No"/>
    <n v="3.28"/>
    <x v="1"/>
    <x v="3"/>
    <x v="3"/>
  </r>
  <r>
    <s v="AIJ-100406"/>
    <x v="12"/>
    <x v="6"/>
    <x v="1"/>
    <x v="1"/>
    <x v="6"/>
    <x v="17"/>
    <x v="45"/>
    <x v="1"/>
    <n v="188168"/>
    <s v="Medium"/>
    <x v="0"/>
    <n v="37"/>
    <x v="2"/>
    <x v="0"/>
    <n v="3.57"/>
    <s v="No"/>
    <n v="1.23"/>
    <x v="0"/>
    <x v="0"/>
    <x v="0"/>
  </r>
  <r>
    <s v="AIJ-100407"/>
    <x v="0"/>
    <x v="4"/>
    <x v="3"/>
    <x v="2"/>
    <x v="5"/>
    <x v="59"/>
    <x v="73"/>
    <x v="0"/>
    <n v="63852"/>
    <s v="Low"/>
    <x v="10"/>
    <n v="36"/>
    <x v="2"/>
    <x v="1"/>
    <n v="4.45"/>
    <s v="No"/>
    <n v="1.64"/>
    <x v="0"/>
    <x v="3"/>
    <x v="3"/>
  </r>
  <r>
    <s v="AIJ-100408"/>
    <x v="15"/>
    <x v="3"/>
    <x v="4"/>
    <x v="3"/>
    <x v="11"/>
    <x v="45"/>
    <x v="66"/>
    <x v="1"/>
    <n v="46769"/>
    <s v="Medium"/>
    <x v="4"/>
    <n v="48"/>
    <x v="1"/>
    <x v="0"/>
    <n v="2.27"/>
    <s v="No"/>
    <n v="2.39"/>
    <x v="0"/>
    <x v="3"/>
    <x v="1"/>
  </r>
  <r>
    <s v="AIJ-100409"/>
    <x v="15"/>
    <x v="8"/>
    <x v="0"/>
    <x v="2"/>
    <x v="5"/>
    <x v="7"/>
    <x v="0"/>
    <x v="2"/>
    <n v="150016"/>
    <s v="Low"/>
    <x v="7"/>
    <n v="58"/>
    <x v="1"/>
    <x v="1"/>
    <n v="4.6500000000000004"/>
    <s v="No"/>
    <n v="3.67"/>
    <x v="2"/>
    <x v="2"/>
    <x v="3"/>
  </r>
  <r>
    <s v="AIJ-100410"/>
    <x v="14"/>
    <x v="9"/>
    <x v="1"/>
    <x v="3"/>
    <x v="8"/>
    <x v="26"/>
    <x v="63"/>
    <x v="2"/>
    <n v="115462"/>
    <s v="Low"/>
    <x v="4"/>
    <n v="30"/>
    <x v="1"/>
    <x v="0"/>
    <n v="4.08"/>
    <s v="No"/>
    <n v="2.52"/>
    <x v="0"/>
    <x v="3"/>
    <x v="2"/>
  </r>
  <r>
    <s v="AIJ-100411"/>
    <x v="13"/>
    <x v="9"/>
    <x v="3"/>
    <x v="2"/>
    <x v="6"/>
    <x v="23"/>
    <x v="66"/>
    <x v="2"/>
    <n v="205713"/>
    <s v="High"/>
    <x v="7"/>
    <n v="52"/>
    <x v="2"/>
    <x v="2"/>
    <n v="3.41"/>
    <s v="No"/>
    <n v="4.37"/>
    <x v="2"/>
    <x v="2"/>
    <x v="0"/>
  </r>
  <r>
    <s v="AIJ-100412"/>
    <x v="3"/>
    <x v="6"/>
    <x v="6"/>
    <x v="1"/>
    <x v="18"/>
    <x v="73"/>
    <x v="23"/>
    <x v="1"/>
    <n v="74159"/>
    <s v="Low"/>
    <x v="0"/>
    <n v="52"/>
    <x v="1"/>
    <x v="0"/>
    <n v="3.6"/>
    <s v="No"/>
    <n v="3.79"/>
    <x v="0"/>
    <x v="0"/>
    <x v="3"/>
  </r>
  <r>
    <s v="AIJ-100413"/>
    <x v="16"/>
    <x v="2"/>
    <x v="5"/>
    <x v="1"/>
    <x v="8"/>
    <x v="27"/>
    <x v="48"/>
    <x v="0"/>
    <n v="128931"/>
    <s v="Low"/>
    <x v="27"/>
    <n v="30"/>
    <x v="1"/>
    <x v="1"/>
    <n v="4.46"/>
    <s v="Yes"/>
    <n v="1.88"/>
    <x v="2"/>
    <x v="3"/>
    <x v="2"/>
  </r>
  <r>
    <s v="AIJ-100414"/>
    <x v="16"/>
    <x v="3"/>
    <x v="4"/>
    <x v="0"/>
    <x v="12"/>
    <x v="6"/>
    <x v="15"/>
    <x v="0"/>
    <n v="177339"/>
    <s v="Low"/>
    <x v="0"/>
    <n v="33"/>
    <x v="2"/>
    <x v="1"/>
    <n v="2.52"/>
    <s v="No"/>
    <n v="3.62"/>
    <x v="2"/>
    <x v="3"/>
    <x v="3"/>
  </r>
  <r>
    <s v="AIJ-100415"/>
    <x v="16"/>
    <x v="4"/>
    <x v="6"/>
    <x v="0"/>
    <x v="19"/>
    <x v="51"/>
    <x v="7"/>
    <x v="2"/>
    <n v="47650"/>
    <s v="High"/>
    <x v="35"/>
    <n v="59"/>
    <x v="0"/>
    <x v="2"/>
    <n v="2.76"/>
    <s v="Yes"/>
    <n v="3.4"/>
    <x v="0"/>
    <x v="2"/>
    <x v="2"/>
  </r>
  <r>
    <s v="AIJ-100416"/>
    <x v="3"/>
    <x v="7"/>
    <x v="8"/>
    <x v="0"/>
    <x v="5"/>
    <x v="63"/>
    <x v="71"/>
    <x v="2"/>
    <n v="156387"/>
    <s v="High"/>
    <x v="26"/>
    <n v="37"/>
    <x v="0"/>
    <x v="0"/>
    <n v="4.1100000000000003"/>
    <s v="Yes"/>
    <n v="1.93"/>
    <x v="0"/>
    <x v="0"/>
    <x v="3"/>
  </r>
  <r>
    <s v="AIJ-100417"/>
    <x v="17"/>
    <x v="7"/>
    <x v="3"/>
    <x v="3"/>
    <x v="8"/>
    <x v="1"/>
    <x v="2"/>
    <x v="0"/>
    <n v="45708"/>
    <s v="Medium"/>
    <x v="0"/>
    <n v="50"/>
    <x v="1"/>
    <x v="2"/>
    <n v="4.7699999999999996"/>
    <s v="No"/>
    <n v="3.96"/>
    <x v="1"/>
    <x v="2"/>
    <x v="2"/>
  </r>
  <r>
    <s v="AIJ-100418"/>
    <x v="19"/>
    <x v="2"/>
    <x v="5"/>
    <x v="3"/>
    <x v="20"/>
    <x v="62"/>
    <x v="24"/>
    <x v="0"/>
    <n v="105616"/>
    <s v="High"/>
    <x v="37"/>
    <n v="59"/>
    <x v="0"/>
    <x v="2"/>
    <n v="4.4000000000000004"/>
    <s v="Yes"/>
    <n v="3.43"/>
    <x v="1"/>
    <x v="2"/>
    <x v="2"/>
  </r>
  <r>
    <s v="AIJ-100419"/>
    <x v="17"/>
    <x v="2"/>
    <x v="1"/>
    <x v="2"/>
    <x v="3"/>
    <x v="19"/>
    <x v="6"/>
    <x v="2"/>
    <n v="43659"/>
    <s v="High"/>
    <x v="34"/>
    <n v="55"/>
    <x v="1"/>
    <x v="2"/>
    <n v="3.52"/>
    <s v="No"/>
    <n v="3.9"/>
    <x v="1"/>
    <x v="3"/>
    <x v="2"/>
  </r>
  <r>
    <s v="AIJ-100420"/>
    <x v="13"/>
    <x v="2"/>
    <x v="6"/>
    <x v="0"/>
    <x v="6"/>
    <x v="84"/>
    <x v="65"/>
    <x v="1"/>
    <n v="181105"/>
    <s v="Medium"/>
    <x v="52"/>
    <n v="35"/>
    <x v="2"/>
    <x v="1"/>
    <n v="3.27"/>
    <s v="No"/>
    <n v="4.04"/>
    <x v="1"/>
    <x v="2"/>
    <x v="0"/>
  </r>
  <r>
    <s v="AIJ-100421"/>
    <x v="0"/>
    <x v="8"/>
    <x v="9"/>
    <x v="1"/>
    <x v="14"/>
    <x v="1"/>
    <x v="19"/>
    <x v="1"/>
    <n v="186023"/>
    <s v="Medium"/>
    <x v="33"/>
    <n v="44"/>
    <x v="2"/>
    <x v="1"/>
    <n v="3.69"/>
    <s v="No"/>
    <n v="1.29"/>
    <x v="2"/>
    <x v="3"/>
    <x v="2"/>
  </r>
  <r>
    <s v="AIJ-100422"/>
    <x v="14"/>
    <x v="4"/>
    <x v="5"/>
    <x v="0"/>
    <x v="10"/>
    <x v="78"/>
    <x v="34"/>
    <x v="1"/>
    <n v="136051"/>
    <s v="High"/>
    <x v="22"/>
    <n v="32"/>
    <x v="2"/>
    <x v="2"/>
    <n v="4.9800000000000004"/>
    <s v="Yes"/>
    <n v="2.54"/>
    <x v="0"/>
    <x v="2"/>
    <x v="3"/>
  </r>
  <r>
    <s v="AIJ-100423"/>
    <x v="12"/>
    <x v="7"/>
    <x v="8"/>
    <x v="0"/>
    <x v="12"/>
    <x v="56"/>
    <x v="57"/>
    <x v="2"/>
    <n v="163590"/>
    <s v="Low"/>
    <x v="7"/>
    <n v="45"/>
    <x v="1"/>
    <x v="1"/>
    <n v="3.89"/>
    <s v="Yes"/>
    <n v="3.79"/>
    <x v="0"/>
    <x v="2"/>
    <x v="3"/>
  </r>
  <r>
    <s v="AIJ-100424"/>
    <x v="4"/>
    <x v="6"/>
    <x v="2"/>
    <x v="2"/>
    <x v="4"/>
    <x v="22"/>
    <x v="37"/>
    <x v="2"/>
    <n v="203697"/>
    <s v="Medium"/>
    <x v="16"/>
    <n v="52"/>
    <x v="0"/>
    <x v="2"/>
    <n v="3.56"/>
    <s v="Yes"/>
    <n v="4.5"/>
    <x v="2"/>
    <x v="3"/>
    <x v="1"/>
  </r>
  <r>
    <s v="AIJ-100425"/>
    <x v="9"/>
    <x v="3"/>
    <x v="5"/>
    <x v="1"/>
    <x v="14"/>
    <x v="43"/>
    <x v="14"/>
    <x v="2"/>
    <n v="53297"/>
    <s v="Low"/>
    <x v="26"/>
    <n v="42"/>
    <x v="0"/>
    <x v="1"/>
    <n v="2.02"/>
    <s v="Yes"/>
    <n v="4.2699999999999996"/>
    <x v="2"/>
    <x v="3"/>
    <x v="2"/>
  </r>
  <r>
    <s v="AIJ-100426"/>
    <x v="4"/>
    <x v="7"/>
    <x v="1"/>
    <x v="1"/>
    <x v="8"/>
    <x v="9"/>
    <x v="0"/>
    <x v="1"/>
    <n v="74730"/>
    <s v="Low"/>
    <x v="5"/>
    <n v="60"/>
    <x v="1"/>
    <x v="1"/>
    <n v="3.7"/>
    <s v="Yes"/>
    <n v="1.74"/>
    <x v="2"/>
    <x v="3"/>
    <x v="2"/>
  </r>
  <r>
    <s v="AIJ-100427"/>
    <x v="4"/>
    <x v="0"/>
    <x v="6"/>
    <x v="2"/>
    <x v="5"/>
    <x v="68"/>
    <x v="2"/>
    <x v="0"/>
    <n v="196837"/>
    <s v="Medium"/>
    <x v="13"/>
    <n v="40"/>
    <x v="1"/>
    <x v="0"/>
    <n v="2.7"/>
    <s v="No"/>
    <n v="3.69"/>
    <x v="2"/>
    <x v="3"/>
    <x v="3"/>
  </r>
  <r>
    <s v="AIJ-100428"/>
    <x v="9"/>
    <x v="2"/>
    <x v="9"/>
    <x v="2"/>
    <x v="5"/>
    <x v="37"/>
    <x v="31"/>
    <x v="2"/>
    <n v="40973"/>
    <s v="High"/>
    <x v="23"/>
    <n v="38"/>
    <x v="2"/>
    <x v="1"/>
    <n v="4.2699999999999996"/>
    <s v="No"/>
    <n v="2.35"/>
    <x v="0"/>
    <x v="3"/>
    <x v="3"/>
  </r>
  <r>
    <s v="AIJ-100429"/>
    <x v="1"/>
    <x v="0"/>
    <x v="8"/>
    <x v="0"/>
    <x v="25"/>
    <x v="13"/>
    <x v="11"/>
    <x v="1"/>
    <n v="123330"/>
    <s v="High"/>
    <x v="34"/>
    <n v="58"/>
    <x v="1"/>
    <x v="2"/>
    <n v="3.81"/>
    <s v="No"/>
    <n v="4.8"/>
    <x v="2"/>
    <x v="2"/>
    <x v="1"/>
  </r>
  <r>
    <s v="AIJ-100430"/>
    <x v="19"/>
    <x v="7"/>
    <x v="8"/>
    <x v="3"/>
    <x v="2"/>
    <x v="85"/>
    <x v="30"/>
    <x v="1"/>
    <n v="114458"/>
    <s v="Low"/>
    <x v="44"/>
    <n v="45"/>
    <x v="2"/>
    <x v="0"/>
    <n v="3.84"/>
    <s v="Yes"/>
    <n v="2.39"/>
    <x v="1"/>
    <x v="0"/>
    <x v="1"/>
  </r>
  <r>
    <s v="AIJ-100431"/>
    <x v="8"/>
    <x v="6"/>
    <x v="1"/>
    <x v="0"/>
    <x v="9"/>
    <x v="23"/>
    <x v="14"/>
    <x v="0"/>
    <n v="179918"/>
    <s v="Medium"/>
    <x v="34"/>
    <n v="51"/>
    <x v="0"/>
    <x v="1"/>
    <n v="2.5"/>
    <s v="No"/>
    <n v="4.82"/>
    <x v="1"/>
    <x v="3"/>
    <x v="1"/>
  </r>
  <r>
    <s v="AIJ-100432"/>
    <x v="14"/>
    <x v="6"/>
    <x v="1"/>
    <x v="3"/>
    <x v="5"/>
    <x v="10"/>
    <x v="27"/>
    <x v="1"/>
    <n v="57648"/>
    <s v="Low"/>
    <x v="8"/>
    <n v="38"/>
    <x v="0"/>
    <x v="1"/>
    <n v="4.8499999999999996"/>
    <s v="Yes"/>
    <n v="3.66"/>
    <x v="0"/>
    <x v="2"/>
    <x v="3"/>
  </r>
  <r>
    <s v="AIJ-100433"/>
    <x v="15"/>
    <x v="4"/>
    <x v="9"/>
    <x v="0"/>
    <x v="9"/>
    <x v="28"/>
    <x v="11"/>
    <x v="0"/>
    <n v="119974"/>
    <s v="Low"/>
    <x v="3"/>
    <n v="33"/>
    <x v="2"/>
    <x v="2"/>
    <n v="2.33"/>
    <s v="No"/>
    <n v="3.96"/>
    <x v="2"/>
    <x v="1"/>
    <x v="1"/>
  </r>
  <r>
    <s v="AIJ-100434"/>
    <x v="7"/>
    <x v="6"/>
    <x v="0"/>
    <x v="1"/>
    <x v="5"/>
    <x v="60"/>
    <x v="37"/>
    <x v="1"/>
    <n v="30440"/>
    <s v="Medium"/>
    <x v="45"/>
    <n v="41"/>
    <x v="0"/>
    <x v="2"/>
    <n v="3.56"/>
    <s v="Yes"/>
    <n v="1.43"/>
    <x v="2"/>
    <x v="2"/>
    <x v="3"/>
  </r>
  <r>
    <s v="AIJ-100435"/>
    <x v="17"/>
    <x v="6"/>
    <x v="0"/>
    <x v="3"/>
    <x v="16"/>
    <x v="50"/>
    <x v="72"/>
    <x v="2"/>
    <n v="104289"/>
    <s v="High"/>
    <x v="51"/>
    <n v="38"/>
    <x v="0"/>
    <x v="0"/>
    <n v="3.43"/>
    <s v="Yes"/>
    <n v="2.98"/>
    <x v="0"/>
    <x v="2"/>
    <x v="3"/>
  </r>
  <r>
    <s v="AIJ-100436"/>
    <x v="10"/>
    <x v="8"/>
    <x v="3"/>
    <x v="0"/>
    <x v="16"/>
    <x v="44"/>
    <x v="3"/>
    <x v="2"/>
    <n v="89001"/>
    <s v="Low"/>
    <x v="14"/>
    <n v="47"/>
    <x v="2"/>
    <x v="1"/>
    <n v="3.27"/>
    <s v="No"/>
    <n v="4.96"/>
    <x v="1"/>
    <x v="3"/>
    <x v="3"/>
  </r>
  <r>
    <s v="AIJ-100437"/>
    <x v="17"/>
    <x v="7"/>
    <x v="0"/>
    <x v="2"/>
    <x v="25"/>
    <x v="29"/>
    <x v="10"/>
    <x v="1"/>
    <n v="55511"/>
    <s v="Medium"/>
    <x v="54"/>
    <n v="35"/>
    <x v="0"/>
    <x v="2"/>
    <n v="3.33"/>
    <s v="No"/>
    <n v="2.16"/>
    <x v="2"/>
    <x v="2"/>
    <x v="1"/>
  </r>
  <r>
    <s v="AIJ-100438"/>
    <x v="17"/>
    <x v="4"/>
    <x v="7"/>
    <x v="1"/>
    <x v="0"/>
    <x v="64"/>
    <x v="12"/>
    <x v="0"/>
    <n v="207816"/>
    <s v="Medium"/>
    <x v="19"/>
    <n v="35"/>
    <x v="1"/>
    <x v="2"/>
    <n v="4.9400000000000004"/>
    <s v="No"/>
    <n v="3.37"/>
    <x v="2"/>
    <x v="2"/>
    <x v="0"/>
  </r>
  <r>
    <s v="AIJ-100439"/>
    <x v="15"/>
    <x v="0"/>
    <x v="3"/>
    <x v="0"/>
    <x v="14"/>
    <x v="38"/>
    <x v="60"/>
    <x v="2"/>
    <n v="75216"/>
    <s v="High"/>
    <x v="40"/>
    <n v="41"/>
    <x v="1"/>
    <x v="2"/>
    <n v="2.35"/>
    <s v="Yes"/>
    <n v="2.96"/>
    <x v="0"/>
    <x v="3"/>
    <x v="2"/>
  </r>
  <r>
    <s v="AIJ-100440"/>
    <x v="15"/>
    <x v="9"/>
    <x v="7"/>
    <x v="3"/>
    <x v="11"/>
    <x v="47"/>
    <x v="64"/>
    <x v="0"/>
    <n v="77473"/>
    <s v="Low"/>
    <x v="31"/>
    <n v="32"/>
    <x v="0"/>
    <x v="0"/>
    <n v="2.5499999999999998"/>
    <s v="Yes"/>
    <n v="2.58"/>
    <x v="0"/>
    <x v="3"/>
    <x v="1"/>
  </r>
  <r>
    <s v="AIJ-100441"/>
    <x v="11"/>
    <x v="8"/>
    <x v="8"/>
    <x v="0"/>
    <x v="9"/>
    <x v="35"/>
    <x v="36"/>
    <x v="1"/>
    <n v="77360"/>
    <s v="Low"/>
    <x v="39"/>
    <n v="34"/>
    <x v="0"/>
    <x v="2"/>
    <n v="3.96"/>
    <s v="Yes"/>
    <n v="3.25"/>
    <x v="2"/>
    <x v="2"/>
    <x v="1"/>
  </r>
  <r>
    <s v="AIJ-100442"/>
    <x v="19"/>
    <x v="2"/>
    <x v="6"/>
    <x v="2"/>
    <x v="7"/>
    <x v="48"/>
    <x v="10"/>
    <x v="1"/>
    <n v="140900"/>
    <s v="High"/>
    <x v="20"/>
    <n v="44"/>
    <x v="1"/>
    <x v="0"/>
    <n v="3.47"/>
    <s v="No"/>
    <n v="3.09"/>
    <x v="1"/>
    <x v="3"/>
    <x v="1"/>
  </r>
  <r>
    <s v="AIJ-100443"/>
    <x v="17"/>
    <x v="3"/>
    <x v="9"/>
    <x v="1"/>
    <x v="11"/>
    <x v="25"/>
    <x v="65"/>
    <x v="1"/>
    <n v="86416"/>
    <s v="Medium"/>
    <x v="36"/>
    <n v="53"/>
    <x v="0"/>
    <x v="1"/>
    <n v="2.2200000000000002"/>
    <s v="No"/>
    <n v="2.04"/>
    <x v="0"/>
    <x v="3"/>
    <x v="1"/>
  </r>
  <r>
    <s v="AIJ-100444"/>
    <x v="0"/>
    <x v="2"/>
    <x v="2"/>
    <x v="3"/>
    <x v="4"/>
    <x v="50"/>
    <x v="3"/>
    <x v="2"/>
    <n v="67550"/>
    <s v="High"/>
    <x v="9"/>
    <n v="52"/>
    <x v="2"/>
    <x v="0"/>
    <n v="3.97"/>
    <s v="Yes"/>
    <n v="2.68"/>
    <x v="2"/>
    <x v="3"/>
    <x v="1"/>
  </r>
  <r>
    <s v="AIJ-100445"/>
    <x v="0"/>
    <x v="4"/>
    <x v="2"/>
    <x v="3"/>
    <x v="4"/>
    <x v="26"/>
    <x v="68"/>
    <x v="0"/>
    <n v="58833"/>
    <s v="Medium"/>
    <x v="30"/>
    <n v="54"/>
    <x v="2"/>
    <x v="2"/>
    <n v="4.6100000000000003"/>
    <s v="Yes"/>
    <n v="2.09"/>
    <x v="2"/>
    <x v="3"/>
    <x v="1"/>
  </r>
  <r>
    <s v="AIJ-100446"/>
    <x v="12"/>
    <x v="0"/>
    <x v="9"/>
    <x v="3"/>
    <x v="25"/>
    <x v="70"/>
    <x v="14"/>
    <x v="2"/>
    <n v="184357"/>
    <s v="Medium"/>
    <x v="24"/>
    <n v="38"/>
    <x v="0"/>
    <x v="2"/>
    <n v="4.6900000000000004"/>
    <s v="Yes"/>
    <n v="2.27"/>
    <x v="1"/>
    <x v="3"/>
    <x v="1"/>
  </r>
  <r>
    <s v="AIJ-100447"/>
    <x v="17"/>
    <x v="8"/>
    <x v="1"/>
    <x v="0"/>
    <x v="11"/>
    <x v="73"/>
    <x v="28"/>
    <x v="2"/>
    <n v="164628"/>
    <s v="Medium"/>
    <x v="37"/>
    <n v="59"/>
    <x v="0"/>
    <x v="0"/>
    <n v="4.92"/>
    <s v="Yes"/>
    <n v="3.71"/>
    <x v="1"/>
    <x v="3"/>
    <x v="1"/>
  </r>
  <r>
    <s v="AIJ-100448"/>
    <x v="6"/>
    <x v="1"/>
    <x v="2"/>
    <x v="3"/>
    <x v="12"/>
    <x v="15"/>
    <x v="6"/>
    <x v="1"/>
    <n v="166470"/>
    <s v="Low"/>
    <x v="48"/>
    <n v="32"/>
    <x v="1"/>
    <x v="0"/>
    <n v="2.72"/>
    <s v="Yes"/>
    <n v="1.66"/>
    <x v="2"/>
    <x v="0"/>
    <x v="3"/>
  </r>
  <r>
    <s v="AIJ-100449"/>
    <x v="17"/>
    <x v="9"/>
    <x v="3"/>
    <x v="2"/>
    <x v="5"/>
    <x v="35"/>
    <x v="24"/>
    <x v="0"/>
    <n v="163348"/>
    <s v="High"/>
    <x v="9"/>
    <n v="59"/>
    <x v="0"/>
    <x v="2"/>
    <n v="4.1399999999999997"/>
    <s v="No"/>
    <n v="1.98"/>
    <x v="0"/>
    <x v="2"/>
    <x v="3"/>
  </r>
  <r>
    <s v="AIJ-100450"/>
    <x v="8"/>
    <x v="7"/>
    <x v="8"/>
    <x v="0"/>
    <x v="10"/>
    <x v="17"/>
    <x v="7"/>
    <x v="1"/>
    <n v="64948"/>
    <s v="Low"/>
    <x v="49"/>
    <n v="33"/>
    <x v="2"/>
    <x v="0"/>
    <n v="2.75"/>
    <s v="Yes"/>
    <n v="2.16"/>
    <x v="1"/>
    <x v="3"/>
    <x v="3"/>
  </r>
  <r>
    <s v="AIJ-100451"/>
    <x v="8"/>
    <x v="6"/>
    <x v="3"/>
    <x v="0"/>
    <x v="0"/>
    <x v="61"/>
    <x v="16"/>
    <x v="1"/>
    <n v="109906"/>
    <s v="Low"/>
    <x v="32"/>
    <n v="44"/>
    <x v="2"/>
    <x v="1"/>
    <n v="3.06"/>
    <s v="Yes"/>
    <n v="2.4"/>
    <x v="0"/>
    <x v="2"/>
    <x v="0"/>
  </r>
  <r>
    <s v="AIJ-100452"/>
    <x v="8"/>
    <x v="8"/>
    <x v="7"/>
    <x v="2"/>
    <x v="10"/>
    <x v="81"/>
    <x v="54"/>
    <x v="0"/>
    <n v="168699"/>
    <s v="Low"/>
    <x v="45"/>
    <n v="51"/>
    <x v="2"/>
    <x v="2"/>
    <n v="3.41"/>
    <s v="No"/>
    <n v="2.2000000000000002"/>
    <x v="1"/>
    <x v="2"/>
    <x v="3"/>
  </r>
  <r>
    <s v="AIJ-100453"/>
    <x v="18"/>
    <x v="4"/>
    <x v="8"/>
    <x v="3"/>
    <x v="25"/>
    <x v="9"/>
    <x v="47"/>
    <x v="0"/>
    <n v="66667"/>
    <s v="Low"/>
    <x v="9"/>
    <n v="39"/>
    <x v="1"/>
    <x v="2"/>
    <n v="3.18"/>
    <s v="No"/>
    <n v="4.5999999999999996"/>
    <x v="2"/>
    <x v="2"/>
    <x v="1"/>
  </r>
  <r>
    <s v="AIJ-100454"/>
    <x v="17"/>
    <x v="7"/>
    <x v="7"/>
    <x v="0"/>
    <x v="22"/>
    <x v="19"/>
    <x v="35"/>
    <x v="0"/>
    <n v="208713"/>
    <s v="Low"/>
    <x v="35"/>
    <n v="30"/>
    <x v="1"/>
    <x v="2"/>
    <n v="3.03"/>
    <s v="Yes"/>
    <n v="4.07"/>
    <x v="2"/>
    <x v="3"/>
    <x v="2"/>
  </r>
  <r>
    <s v="AIJ-100455"/>
    <x v="3"/>
    <x v="4"/>
    <x v="4"/>
    <x v="1"/>
    <x v="24"/>
    <x v="81"/>
    <x v="78"/>
    <x v="2"/>
    <n v="157383"/>
    <s v="Low"/>
    <x v="7"/>
    <n v="38"/>
    <x v="1"/>
    <x v="1"/>
    <n v="4.9800000000000004"/>
    <s v="Yes"/>
    <n v="3.67"/>
    <x v="1"/>
    <x v="2"/>
    <x v="1"/>
  </r>
  <r>
    <s v="AIJ-100456"/>
    <x v="17"/>
    <x v="2"/>
    <x v="2"/>
    <x v="1"/>
    <x v="5"/>
    <x v="40"/>
    <x v="60"/>
    <x v="0"/>
    <n v="196324"/>
    <s v="Medium"/>
    <x v="9"/>
    <n v="59"/>
    <x v="1"/>
    <x v="1"/>
    <n v="2.0499999999999998"/>
    <s v="Yes"/>
    <n v="1.36"/>
    <x v="2"/>
    <x v="2"/>
    <x v="3"/>
  </r>
  <r>
    <s v="AIJ-100457"/>
    <x v="8"/>
    <x v="4"/>
    <x v="8"/>
    <x v="3"/>
    <x v="19"/>
    <x v="0"/>
    <x v="20"/>
    <x v="1"/>
    <n v="46082"/>
    <s v="Medium"/>
    <x v="2"/>
    <n v="60"/>
    <x v="2"/>
    <x v="0"/>
    <n v="3.25"/>
    <s v="No"/>
    <n v="4.58"/>
    <x v="2"/>
    <x v="3"/>
    <x v="2"/>
  </r>
  <r>
    <s v="AIJ-100458"/>
    <x v="9"/>
    <x v="4"/>
    <x v="1"/>
    <x v="3"/>
    <x v="10"/>
    <x v="20"/>
    <x v="9"/>
    <x v="1"/>
    <n v="188996"/>
    <s v="Medium"/>
    <x v="33"/>
    <n v="33"/>
    <x v="1"/>
    <x v="0"/>
    <n v="2.04"/>
    <s v="Yes"/>
    <n v="2.3199999999999998"/>
    <x v="0"/>
    <x v="3"/>
    <x v="3"/>
  </r>
  <r>
    <s v="AIJ-100459"/>
    <x v="17"/>
    <x v="3"/>
    <x v="2"/>
    <x v="2"/>
    <x v="11"/>
    <x v="20"/>
    <x v="34"/>
    <x v="2"/>
    <n v="57883"/>
    <s v="Low"/>
    <x v="9"/>
    <n v="52"/>
    <x v="2"/>
    <x v="2"/>
    <n v="2.2200000000000002"/>
    <s v="No"/>
    <n v="2.21"/>
    <x v="1"/>
    <x v="3"/>
    <x v="1"/>
  </r>
  <r>
    <s v="AIJ-100460"/>
    <x v="0"/>
    <x v="7"/>
    <x v="5"/>
    <x v="0"/>
    <x v="4"/>
    <x v="25"/>
    <x v="10"/>
    <x v="2"/>
    <n v="96198"/>
    <s v="Low"/>
    <x v="15"/>
    <n v="32"/>
    <x v="2"/>
    <x v="1"/>
    <n v="3.57"/>
    <s v="Yes"/>
    <n v="1.67"/>
    <x v="1"/>
    <x v="3"/>
    <x v="1"/>
  </r>
  <r>
    <s v="AIJ-100461"/>
    <x v="12"/>
    <x v="5"/>
    <x v="9"/>
    <x v="2"/>
    <x v="3"/>
    <x v="33"/>
    <x v="70"/>
    <x v="1"/>
    <n v="134200"/>
    <s v="High"/>
    <x v="52"/>
    <n v="47"/>
    <x v="2"/>
    <x v="1"/>
    <n v="3.82"/>
    <s v="Yes"/>
    <n v="1.74"/>
    <x v="2"/>
    <x v="1"/>
    <x v="2"/>
  </r>
  <r>
    <s v="AIJ-100462"/>
    <x v="6"/>
    <x v="1"/>
    <x v="6"/>
    <x v="2"/>
    <x v="3"/>
    <x v="23"/>
    <x v="75"/>
    <x v="0"/>
    <n v="109537"/>
    <s v="Low"/>
    <x v="20"/>
    <n v="37"/>
    <x v="2"/>
    <x v="2"/>
    <n v="3.92"/>
    <s v="No"/>
    <n v="4.71"/>
    <x v="1"/>
    <x v="2"/>
    <x v="2"/>
  </r>
  <r>
    <s v="AIJ-100463"/>
    <x v="18"/>
    <x v="7"/>
    <x v="2"/>
    <x v="3"/>
    <x v="24"/>
    <x v="85"/>
    <x v="44"/>
    <x v="0"/>
    <n v="188638"/>
    <s v="Medium"/>
    <x v="32"/>
    <n v="39"/>
    <x v="2"/>
    <x v="2"/>
    <n v="3.88"/>
    <s v="Yes"/>
    <n v="4.3"/>
    <x v="2"/>
    <x v="3"/>
    <x v="1"/>
  </r>
  <r>
    <s v="AIJ-100464"/>
    <x v="9"/>
    <x v="4"/>
    <x v="6"/>
    <x v="1"/>
    <x v="18"/>
    <x v="33"/>
    <x v="53"/>
    <x v="0"/>
    <n v="182898"/>
    <s v="Medium"/>
    <x v="2"/>
    <n v="36"/>
    <x v="0"/>
    <x v="0"/>
    <n v="4.42"/>
    <s v="No"/>
    <n v="1.62"/>
    <x v="2"/>
    <x v="2"/>
    <x v="3"/>
  </r>
  <r>
    <s v="AIJ-100465"/>
    <x v="16"/>
    <x v="3"/>
    <x v="3"/>
    <x v="1"/>
    <x v="4"/>
    <x v="5"/>
    <x v="56"/>
    <x v="1"/>
    <n v="76166"/>
    <s v="Low"/>
    <x v="33"/>
    <n v="35"/>
    <x v="1"/>
    <x v="1"/>
    <n v="4.0599999999999996"/>
    <s v="Yes"/>
    <n v="1.28"/>
    <x v="2"/>
    <x v="3"/>
    <x v="1"/>
  </r>
  <r>
    <s v="AIJ-100466"/>
    <x v="11"/>
    <x v="0"/>
    <x v="7"/>
    <x v="0"/>
    <x v="21"/>
    <x v="58"/>
    <x v="23"/>
    <x v="0"/>
    <n v="33090"/>
    <s v="Low"/>
    <x v="23"/>
    <n v="56"/>
    <x v="0"/>
    <x v="2"/>
    <n v="2.4"/>
    <s v="Yes"/>
    <n v="2.0699999999999998"/>
    <x v="0"/>
    <x v="0"/>
    <x v="0"/>
  </r>
  <r>
    <s v="AIJ-100467"/>
    <x v="12"/>
    <x v="3"/>
    <x v="3"/>
    <x v="1"/>
    <x v="16"/>
    <x v="80"/>
    <x v="59"/>
    <x v="1"/>
    <n v="66498"/>
    <s v="Medium"/>
    <x v="25"/>
    <n v="37"/>
    <x v="1"/>
    <x v="0"/>
    <n v="4.08"/>
    <s v="Yes"/>
    <n v="1.08"/>
    <x v="2"/>
    <x v="1"/>
    <x v="3"/>
  </r>
  <r>
    <s v="AIJ-100468"/>
    <x v="19"/>
    <x v="2"/>
    <x v="8"/>
    <x v="1"/>
    <x v="12"/>
    <x v="41"/>
    <x v="46"/>
    <x v="1"/>
    <n v="67181"/>
    <s v="Low"/>
    <x v="41"/>
    <n v="50"/>
    <x v="2"/>
    <x v="2"/>
    <n v="4.7699999999999996"/>
    <s v="No"/>
    <n v="3.75"/>
    <x v="0"/>
    <x v="3"/>
    <x v="3"/>
  </r>
  <r>
    <s v="AIJ-100469"/>
    <x v="18"/>
    <x v="0"/>
    <x v="0"/>
    <x v="3"/>
    <x v="19"/>
    <x v="0"/>
    <x v="22"/>
    <x v="1"/>
    <n v="103875"/>
    <s v="Low"/>
    <x v="39"/>
    <n v="49"/>
    <x v="1"/>
    <x v="2"/>
    <n v="3.29"/>
    <s v="No"/>
    <n v="3.4"/>
    <x v="0"/>
    <x v="0"/>
    <x v="2"/>
  </r>
  <r>
    <s v="AIJ-100470"/>
    <x v="3"/>
    <x v="6"/>
    <x v="1"/>
    <x v="1"/>
    <x v="23"/>
    <x v="56"/>
    <x v="69"/>
    <x v="0"/>
    <n v="99573"/>
    <s v="Medium"/>
    <x v="40"/>
    <n v="53"/>
    <x v="2"/>
    <x v="2"/>
    <n v="2.34"/>
    <s v="No"/>
    <n v="4.84"/>
    <x v="1"/>
    <x v="2"/>
    <x v="3"/>
  </r>
  <r>
    <s v="AIJ-100471"/>
    <x v="14"/>
    <x v="9"/>
    <x v="7"/>
    <x v="3"/>
    <x v="22"/>
    <x v="34"/>
    <x v="49"/>
    <x v="2"/>
    <n v="159553"/>
    <s v="Low"/>
    <x v="52"/>
    <n v="43"/>
    <x v="0"/>
    <x v="1"/>
    <n v="3.62"/>
    <s v="No"/>
    <n v="3.13"/>
    <x v="2"/>
    <x v="1"/>
    <x v="2"/>
  </r>
  <r>
    <s v="AIJ-100472"/>
    <x v="18"/>
    <x v="5"/>
    <x v="3"/>
    <x v="1"/>
    <x v="19"/>
    <x v="48"/>
    <x v="54"/>
    <x v="0"/>
    <n v="34496"/>
    <s v="Medium"/>
    <x v="49"/>
    <n v="57"/>
    <x v="1"/>
    <x v="1"/>
    <n v="3.38"/>
    <s v="No"/>
    <n v="1.97"/>
    <x v="2"/>
    <x v="2"/>
    <x v="2"/>
  </r>
  <r>
    <s v="AIJ-100473"/>
    <x v="18"/>
    <x v="6"/>
    <x v="2"/>
    <x v="2"/>
    <x v="10"/>
    <x v="13"/>
    <x v="21"/>
    <x v="2"/>
    <n v="141334"/>
    <s v="Low"/>
    <x v="14"/>
    <n v="34"/>
    <x v="2"/>
    <x v="2"/>
    <n v="2.2400000000000002"/>
    <s v="Yes"/>
    <n v="1.05"/>
    <x v="1"/>
    <x v="2"/>
    <x v="3"/>
  </r>
  <r>
    <s v="AIJ-100474"/>
    <x v="14"/>
    <x v="7"/>
    <x v="3"/>
    <x v="2"/>
    <x v="16"/>
    <x v="70"/>
    <x v="6"/>
    <x v="0"/>
    <n v="153256"/>
    <s v="Low"/>
    <x v="37"/>
    <n v="58"/>
    <x v="0"/>
    <x v="2"/>
    <n v="3.81"/>
    <s v="Yes"/>
    <n v="3.01"/>
    <x v="2"/>
    <x v="3"/>
    <x v="3"/>
  </r>
  <r>
    <s v="AIJ-100475"/>
    <x v="5"/>
    <x v="0"/>
    <x v="9"/>
    <x v="0"/>
    <x v="22"/>
    <x v="49"/>
    <x v="38"/>
    <x v="2"/>
    <n v="71104"/>
    <s v="Low"/>
    <x v="16"/>
    <n v="49"/>
    <x v="1"/>
    <x v="2"/>
    <n v="3.18"/>
    <s v="Yes"/>
    <n v="4.2699999999999996"/>
    <x v="1"/>
    <x v="3"/>
    <x v="2"/>
  </r>
  <r>
    <s v="AIJ-100476"/>
    <x v="9"/>
    <x v="0"/>
    <x v="2"/>
    <x v="3"/>
    <x v="15"/>
    <x v="48"/>
    <x v="20"/>
    <x v="1"/>
    <n v="100757"/>
    <s v="Low"/>
    <x v="7"/>
    <n v="39"/>
    <x v="1"/>
    <x v="0"/>
    <n v="2.3199999999999998"/>
    <s v="Yes"/>
    <n v="3.39"/>
    <x v="1"/>
    <x v="3"/>
    <x v="1"/>
  </r>
  <r>
    <s v="AIJ-100477"/>
    <x v="10"/>
    <x v="3"/>
    <x v="3"/>
    <x v="2"/>
    <x v="0"/>
    <x v="3"/>
    <x v="42"/>
    <x v="1"/>
    <n v="178058"/>
    <s v="Low"/>
    <x v="33"/>
    <n v="30"/>
    <x v="2"/>
    <x v="1"/>
    <n v="4.88"/>
    <s v="Yes"/>
    <n v="2.2599999999999998"/>
    <x v="1"/>
    <x v="0"/>
    <x v="0"/>
  </r>
  <r>
    <s v="AIJ-100478"/>
    <x v="19"/>
    <x v="3"/>
    <x v="7"/>
    <x v="0"/>
    <x v="11"/>
    <x v="54"/>
    <x v="61"/>
    <x v="0"/>
    <n v="69370"/>
    <s v="Medium"/>
    <x v="43"/>
    <n v="34"/>
    <x v="0"/>
    <x v="1"/>
    <n v="2.2400000000000002"/>
    <s v="Yes"/>
    <n v="4.8099999999999996"/>
    <x v="2"/>
    <x v="3"/>
    <x v="1"/>
  </r>
  <r>
    <s v="AIJ-100479"/>
    <x v="11"/>
    <x v="4"/>
    <x v="8"/>
    <x v="0"/>
    <x v="20"/>
    <x v="62"/>
    <x v="44"/>
    <x v="0"/>
    <n v="124454"/>
    <s v="High"/>
    <x v="44"/>
    <n v="32"/>
    <x v="1"/>
    <x v="0"/>
    <n v="3.88"/>
    <s v="No"/>
    <n v="1.39"/>
    <x v="2"/>
    <x v="1"/>
    <x v="2"/>
  </r>
  <r>
    <s v="AIJ-100480"/>
    <x v="4"/>
    <x v="0"/>
    <x v="6"/>
    <x v="3"/>
    <x v="17"/>
    <x v="5"/>
    <x v="1"/>
    <x v="0"/>
    <n v="107491"/>
    <s v="Low"/>
    <x v="42"/>
    <n v="52"/>
    <x v="2"/>
    <x v="1"/>
    <n v="4.96"/>
    <s v="No"/>
    <n v="4.05"/>
    <x v="1"/>
    <x v="2"/>
    <x v="3"/>
  </r>
  <r>
    <s v="AIJ-100481"/>
    <x v="17"/>
    <x v="9"/>
    <x v="5"/>
    <x v="3"/>
    <x v="17"/>
    <x v="80"/>
    <x v="77"/>
    <x v="0"/>
    <n v="192446"/>
    <s v="High"/>
    <x v="27"/>
    <n v="46"/>
    <x v="2"/>
    <x v="1"/>
    <n v="4.63"/>
    <s v="Yes"/>
    <n v="3.48"/>
    <x v="0"/>
    <x v="2"/>
    <x v="3"/>
  </r>
  <r>
    <s v="AIJ-100482"/>
    <x v="2"/>
    <x v="4"/>
    <x v="2"/>
    <x v="1"/>
    <x v="5"/>
    <x v="80"/>
    <x v="78"/>
    <x v="1"/>
    <n v="71472"/>
    <s v="High"/>
    <x v="1"/>
    <n v="41"/>
    <x v="2"/>
    <x v="1"/>
    <n v="3.93"/>
    <s v="No"/>
    <n v="1.44"/>
    <x v="2"/>
    <x v="1"/>
    <x v="3"/>
  </r>
  <r>
    <s v="AIJ-100483"/>
    <x v="11"/>
    <x v="9"/>
    <x v="4"/>
    <x v="0"/>
    <x v="19"/>
    <x v="74"/>
    <x v="11"/>
    <x v="1"/>
    <n v="119764"/>
    <s v="Medium"/>
    <x v="39"/>
    <n v="47"/>
    <x v="1"/>
    <x v="1"/>
    <n v="2.44"/>
    <s v="Yes"/>
    <n v="2.2799999999999998"/>
    <x v="2"/>
    <x v="2"/>
    <x v="2"/>
  </r>
  <r>
    <s v="AIJ-100484"/>
    <x v="14"/>
    <x v="1"/>
    <x v="6"/>
    <x v="1"/>
    <x v="6"/>
    <x v="20"/>
    <x v="21"/>
    <x v="0"/>
    <n v="209220"/>
    <s v="Low"/>
    <x v="2"/>
    <n v="42"/>
    <x v="1"/>
    <x v="1"/>
    <n v="4.62"/>
    <s v="No"/>
    <n v="4.49"/>
    <x v="0"/>
    <x v="2"/>
    <x v="0"/>
  </r>
  <r>
    <s v="AIJ-100485"/>
    <x v="4"/>
    <x v="2"/>
    <x v="5"/>
    <x v="0"/>
    <x v="10"/>
    <x v="7"/>
    <x v="20"/>
    <x v="1"/>
    <n v="107831"/>
    <s v="High"/>
    <x v="38"/>
    <n v="55"/>
    <x v="1"/>
    <x v="0"/>
    <n v="3.31"/>
    <s v="No"/>
    <n v="4.29"/>
    <x v="0"/>
    <x v="2"/>
    <x v="3"/>
  </r>
  <r>
    <s v="AIJ-100486"/>
    <x v="19"/>
    <x v="8"/>
    <x v="3"/>
    <x v="1"/>
    <x v="10"/>
    <x v="40"/>
    <x v="3"/>
    <x v="1"/>
    <n v="112972"/>
    <s v="Low"/>
    <x v="35"/>
    <n v="51"/>
    <x v="2"/>
    <x v="1"/>
    <n v="3.56"/>
    <s v="Yes"/>
    <n v="4.95"/>
    <x v="2"/>
    <x v="2"/>
    <x v="3"/>
  </r>
  <r>
    <s v="AIJ-100487"/>
    <x v="15"/>
    <x v="2"/>
    <x v="5"/>
    <x v="1"/>
    <x v="8"/>
    <x v="29"/>
    <x v="53"/>
    <x v="2"/>
    <n v="187533"/>
    <s v="High"/>
    <x v="53"/>
    <n v="41"/>
    <x v="2"/>
    <x v="2"/>
    <n v="2.91"/>
    <s v="No"/>
    <n v="3.01"/>
    <x v="2"/>
    <x v="3"/>
    <x v="2"/>
  </r>
  <r>
    <s v="AIJ-100488"/>
    <x v="9"/>
    <x v="8"/>
    <x v="3"/>
    <x v="0"/>
    <x v="17"/>
    <x v="8"/>
    <x v="42"/>
    <x v="0"/>
    <n v="118034"/>
    <s v="High"/>
    <x v="44"/>
    <n v="35"/>
    <x v="0"/>
    <x v="1"/>
    <n v="3.14"/>
    <s v="No"/>
    <n v="3.54"/>
    <x v="0"/>
    <x v="3"/>
    <x v="3"/>
  </r>
  <r>
    <s v="AIJ-100489"/>
    <x v="9"/>
    <x v="9"/>
    <x v="0"/>
    <x v="2"/>
    <x v="4"/>
    <x v="51"/>
    <x v="2"/>
    <x v="1"/>
    <n v="137814"/>
    <s v="High"/>
    <x v="22"/>
    <n v="55"/>
    <x v="1"/>
    <x v="0"/>
    <n v="2.87"/>
    <s v="No"/>
    <n v="1.85"/>
    <x v="1"/>
    <x v="3"/>
    <x v="1"/>
  </r>
  <r>
    <s v="AIJ-100490"/>
    <x v="15"/>
    <x v="6"/>
    <x v="5"/>
    <x v="1"/>
    <x v="7"/>
    <x v="56"/>
    <x v="24"/>
    <x v="1"/>
    <n v="199046"/>
    <s v="Medium"/>
    <x v="21"/>
    <n v="38"/>
    <x v="2"/>
    <x v="1"/>
    <n v="4.0199999999999996"/>
    <s v="Yes"/>
    <n v="4.5999999999999996"/>
    <x v="1"/>
    <x v="2"/>
    <x v="1"/>
  </r>
  <r>
    <s v="AIJ-100491"/>
    <x v="11"/>
    <x v="7"/>
    <x v="5"/>
    <x v="1"/>
    <x v="11"/>
    <x v="62"/>
    <x v="46"/>
    <x v="1"/>
    <n v="166043"/>
    <s v="Low"/>
    <x v="24"/>
    <n v="42"/>
    <x v="1"/>
    <x v="0"/>
    <n v="3.93"/>
    <s v="Yes"/>
    <n v="4.21"/>
    <x v="0"/>
    <x v="3"/>
    <x v="1"/>
  </r>
  <r>
    <s v="AIJ-100492"/>
    <x v="17"/>
    <x v="5"/>
    <x v="2"/>
    <x v="0"/>
    <x v="1"/>
    <x v="75"/>
    <x v="38"/>
    <x v="2"/>
    <n v="216128"/>
    <s v="Medium"/>
    <x v="34"/>
    <n v="47"/>
    <x v="1"/>
    <x v="1"/>
    <n v="2.61"/>
    <s v="Yes"/>
    <n v="1.1000000000000001"/>
    <x v="2"/>
    <x v="3"/>
    <x v="1"/>
  </r>
  <r>
    <s v="AIJ-100493"/>
    <x v="18"/>
    <x v="8"/>
    <x v="4"/>
    <x v="1"/>
    <x v="16"/>
    <x v="47"/>
    <x v="68"/>
    <x v="0"/>
    <n v="148936"/>
    <s v="High"/>
    <x v="34"/>
    <n v="37"/>
    <x v="0"/>
    <x v="1"/>
    <n v="4.3099999999999996"/>
    <s v="Yes"/>
    <n v="2.1"/>
    <x v="2"/>
    <x v="1"/>
    <x v="3"/>
  </r>
  <r>
    <s v="AIJ-100494"/>
    <x v="7"/>
    <x v="1"/>
    <x v="1"/>
    <x v="2"/>
    <x v="6"/>
    <x v="28"/>
    <x v="68"/>
    <x v="1"/>
    <n v="67181"/>
    <s v="Medium"/>
    <x v="34"/>
    <n v="36"/>
    <x v="2"/>
    <x v="2"/>
    <n v="3.47"/>
    <s v="Yes"/>
    <n v="2.65"/>
    <x v="1"/>
    <x v="1"/>
    <x v="0"/>
  </r>
  <r>
    <s v="AIJ-100495"/>
    <x v="4"/>
    <x v="8"/>
    <x v="6"/>
    <x v="2"/>
    <x v="3"/>
    <x v="36"/>
    <x v="30"/>
    <x v="2"/>
    <n v="148195"/>
    <s v="High"/>
    <x v="48"/>
    <n v="49"/>
    <x v="1"/>
    <x v="2"/>
    <n v="4.93"/>
    <s v="No"/>
    <n v="2.94"/>
    <x v="0"/>
    <x v="2"/>
    <x v="2"/>
  </r>
  <r>
    <s v="AIJ-100496"/>
    <x v="0"/>
    <x v="6"/>
    <x v="9"/>
    <x v="1"/>
    <x v="8"/>
    <x v="28"/>
    <x v="70"/>
    <x v="1"/>
    <n v="37747"/>
    <s v="Low"/>
    <x v="0"/>
    <n v="30"/>
    <x v="2"/>
    <x v="2"/>
    <n v="2.66"/>
    <s v="Yes"/>
    <n v="2.0699999999999998"/>
    <x v="1"/>
    <x v="1"/>
    <x v="2"/>
  </r>
  <r>
    <s v="AIJ-100497"/>
    <x v="15"/>
    <x v="2"/>
    <x v="6"/>
    <x v="1"/>
    <x v="8"/>
    <x v="47"/>
    <x v="35"/>
    <x v="2"/>
    <n v="164389"/>
    <s v="High"/>
    <x v="2"/>
    <n v="60"/>
    <x v="2"/>
    <x v="2"/>
    <n v="3.75"/>
    <s v="No"/>
    <n v="1.66"/>
    <x v="2"/>
    <x v="2"/>
    <x v="2"/>
  </r>
  <r>
    <s v="AIJ-100498"/>
    <x v="15"/>
    <x v="4"/>
    <x v="4"/>
    <x v="3"/>
    <x v="17"/>
    <x v="57"/>
    <x v="2"/>
    <x v="2"/>
    <n v="189198"/>
    <s v="Low"/>
    <x v="40"/>
    <n v="35"/>
    <x v="1"/>
    <x v="0"/>
    <n v="2.76"/>
    <s v="No"/>
    <n v="2.17"/>
    <x v="0"/>
    <x v="2"/>
    <x v="3"/>
  </r>
  <r>
    <s v="AIJ-100499"/>
    <x v="6"/>
    <x v="0"/>
    <x v="4"/>
    <x v="3"/>
    <x v="17"/>
    <x v="63"/>
    <x v="31"/>
    <x v="0"/>
    <n v="123780"/>
    <s v="Medium"/>
    <x v="51"/>
    <n v="30"/>
    <x v="2"/>
    <x v="0"/>
    <n v="2.0299999999999998"/>
    <s v="No"/>
    <n v="1.86"/>
    <x v="0"/>
    <x v="0"/>
    <x v="3"/>
  </r>
  <r>
    <s v="AIJ-100500"/>
    <x v="5"/>
    <x v="3"/>
    <x v="2"/>
    <x v="0"/>
    <x v="2"/>
    <x v="20"/>
    <x v="16"/>
    <x v="1"/>
    <n v="177051"/>
    <s v="Medium"/>
    <x v="6"/>
    <n v="40"/>
    <x v="1"/>
    <x v="2"/>
    <n v="2.15"/>
    <s v="No"/>
    <n v="2.99"/>
    <x v="1"/>
    <x v="3"/>
    <x v="1"/>
  </r>
  <r>
    <s v="AIJ-100501"/>
    <x v="7"/>
    <x v="6"/>
    <x v="0"/>
    <x v="2"/>
    <x v="18"/>
    <x v="72"/>
    <x v="33"/>
    <x v="1"/>
    <n v="35575"/>
    <s v="Low"/>
    <x v="34"/>
    <n v="60"/>
    <x v="2"/>
    <x v="2"/>
    <n v="4.6900000000000004"/>
    <s v="Yes"/>
    <n v="2.35"/>
    <x v="2"/>
    <x v="2"/>
    <x v="3"/>
  </r>
  <r>
    <s v="AIJ-100502"/>
    <x v="15"/>
    <x v="0"/>
    <x v="9"/>
    <x v="3"/>
    <x v="10"/>
    <x v="64"/>
    <x v="40"/>
    <x v="2"/>
    <n v="120655"/>
    <s v="Low"/>
    <x v="16"/>
    <n v="39"/>
    <x v="0"/>
    <x v="1"/>
    <n v="3.48"/>
    <s v="Yes"/>
    <n v="4.37"/>
    <x v="0"/>
    <x v="1"/>
    <x v="3"/>
  </r>
  <r>
    <s v="AIJ-100503"/>
    <x v="14"/>
    <x v="2"/>
    <x v="1"/>
    <x v="2"/>
    <x v="8"/>
    <x v="55"/>
    <x v="66"/>
    <x v="2"/>
    <n v="114635"/>
    <s v="Medium"/>
    <x v="6"/>
    <n v="58"/>
    <x v="0"/>
    <x v="2"/>
    <n v="4.8"/>
    <s v="Yes"/>
    <n v="2.04"/>
    <x v="2"/>
    <x v="1"/>
    <x v="2"/>
  </r>
  <r>
    <s v="AIJ-100504"/>
    <x v="5"/>
    <x v="8"/>
    <x v="1"/>
    <x v="0"/>
    <x v="19"/>
    <x v="3"/>
    <x v="8"/>
    <x v="0"/>
    <n v="129498"/>
    <s v="Medium"/>
    <x v="10"/>
    <n v="34"/>
    <x v="0"/>
    <x v="1"/>
    <n v="3.91"/>
    <s v="Yes"/>
    <n v="3.09"/>
    <x v="2"/>
    <x v="0"/>
    <x v="2"/>
  </r>
  <r>
    <s v="AIJ-100505"/>
    <x v="3"/>
    <x v="7"/>
    <x v="9"/>
    <x v="1"/>
    <x v="2"/>
    <x v="0"/>
    <x v="18"/>
    <x v="2"/>
    <n v="107656"/>
    <s v="High"/>
    <x v="11"/>
    <n v="36"/>
    <x v="0"/>
    <x v="2"/>
    <n v="2.23"/>
    <s v="No"/>
    <n v="1.24"/>
    <x v="2"/>
    <x v="3"/>
    <x v="1"/>
  </r>
  <r>
    <s v="AIJ-100506"/>
    <x v="8"/>
    <x v="5"/>
    <x v="5"/>
    <x v="3"/>
    <x v="25"/>
    <x v="11"/>
    <x v="54"/>
    <x v="1"/>
    <n v="184802"/>
    <s v="High"/>
    <x v="25"/>
    <n v="57"/>
    <x v="0"/>
    <x v="2"/>
    <n v="4.74"/>
    <s v="Yes"/>
    <n v="4.67"/>
    <x v="1"/>
    <x v="3"/>
    <x v="1"/>
  </r>
  <r>
    <s v="AIJ-100507"/>
    <x v="9"/>
    <x v="8"/>
    <x v="3"/>
    <x v="2"/>
    <x v="24"/>
    <x v="8"/>
    <x v="8"/>
    <x v="0"/>
    <n v="181320"/>
    <s v="Low"/>
    <x v="14"/>
    <n v="58"/>
    <x v="2"/>
    <x v="2"/>
    <n v="2.8"/>
    <s v="No"/>
    <n v="3.65"/>
    <x v="1"/>
    <x v="3"/>
    <x v="1"/>
  </r>
  <r>
    <s v="AIJ-100508"/>
    <x v="8"/>
    <x v="7"/>
    <x v="8"/>
    <x v="0"/>
    <x v="14"/>
    <x v="20"/>
    <x v="25"/>
    <x v="1"/>
    <n v="142944"/>
    <s v="Low"/>
    <x v="37"/>
    <n v="50"/>
    <x v="2"/>
    <x v="0"/>
    <n v="4.78"/>
    <s v="Yes"/>
    <n v="2.1800000000000002"/>
    <x v="1"/>
    <x v="3"/>
    <x v="2"/>
  </r>
  <r>
    <s v="AIJ-100509"/>
    <x v="6"/>
    <x v="0"/>
    <x v="4"/>
    <x v="2"/>
    <x v="0"/>
    <x v="81"/>
    <x v="8"/>
    <x v="0"/>
    <n v="199435"/>
    <s v="High"/>
    <x v="2"/>
    <n v="37"/>
    <x v="1"/>
    <x v="0"/>
    <n v="2.2999999999999998"/>
    <s v="Yes"/>
    <n v="4.53"/>
    <x v="0"/>
    <x v="3"/>
    <x v="0"/>
  </r>
  <r>
    <s v="AIJ-100510"/>
    <x v="18"/>
    <x v="1"/>
    <x v="0"/>
    <x v="3"/>
    <x v="24"/>
    <x v="3"/>
    <x v="54"/>
    <x v="0"/>
    <n v="83366"/>
    <s v="Low"/>
    <x v="42"/>
    <n v="46"/>
    <x v="0"/>
    <x v="0"/>
    <n v="3.43"/>
    <s v="No"/>
    <n v="4.41"/>
    <x v="0"/>
    <x v="3"/>
    <x v="1"/>
  </r>
  <r>
    <s v="AIJ-100511"/>
    <x v="19"/>
    <x v="9"/>
    <x v="7"/>
    <x v="3"/>
    <x v="21"/>
    <x v="25"/>
    <x v="36"/>
    <x v="0"/>
    <n v="67180"/>
    <s v="Medium"/>
    <x v="13"/>
    <n v="35"/>
    <x v="0"/>
    <x v="2"/>
    <n v="3.78"/>
    <s v="No"/>
    <n v="3.33"/>
    <x v="1"/>
    <x v="0"/>
    <x v="0"/>
  </r>
  <r>
    <s v="AIJ-100512"/>
    <x v="6"/>
    <x v="5"/>
    <x v="9"/>
    <x v="1"/>
    <x v="1"/>
    <x v="86"/>
    <x v="8"/>
    <x v="0"/>
    <n v="106194"/>
    <s v="Low"/>
    <x v="47"/>
    <n v="39"/>
    <x v="0"/>
    <x v="1"/>
    <n v="3.36"/>
    <s v="No"/>
    <n v="4.96"/>
    <x v="1"/>
    <x v="0"/>
    <x v="1"/>
  </r>
  <r>
    <s v="AIJ-100513"/>
    <x v="11"/>
    <x v="9"/>
    <x v="2"/>
    <x v="3"/>
    <x v="2"/>
    <x v="38"/>
    <x v="15"/>
    <x v="2"/>
    <n v="165746"/>
    <s v="High"/>
    <x v="48"/>
    <n v="30"/>
    <x v="1"/>
    <x v="1"/>
    <n v="4.57"/>
    <s v="Yes"/>
    <n v="2.4300000000000002"/>
    <x v="2"/>
    <x v="3"/>
    <x v="1"/>
  </r>
  <r>
    <s v="AIJ-100514"/>
    <x v="9"/>
    <x v="1"/>
    <x v="9"/>
    <x v="0"/>
    <x v="7"/>
    <x v="77"/>
    <x v="19"/>
    <x v="0"/>
    <n v="129032"/>
    <s v="Medium"/>
    <x v="50"/>
    <n v="41"/>
    <x v="2"/>
    <x v="1"/>
    <n v="3.77"/>
    <s v="No"/>
    <n v="2.2400000000000002"/>
    <x v="2"/>
    <x v="0"/>
    <x v="1"/>
  </r>
  <r>
    <s v="AIJ-100515"/>
    <x v="12"/>
    <x v="8"/>
    <x v="3"/>
    <x v="1"/>
    <x v="7"/>
    <x v="62"/>
    <x v="78"/>
    <x v="1"/>
    <n v="32184"/>
    <s v="High"/>
    <x v="24"/>
    <n v="51"/>
    <x v="1"/>
    <x v="1"/>
    <n v="3.46"/>
    <s v="Yes"/>
    <n v="4.2"/>
    <x v="2"/>
    <x v="1"/>
    <x v="1"/>
  </r>
  <r>
    <s v="AIJ-100516"/>
    <x v="18"/>
    <x v="6"/>
    <x v="8"/>
    <x v="3"/>
    <x v="22"/>
    <x v="27"/>
    <x v="65"/>
    <x v="1"/>
    <n v="142806"/>
    <s v="Medium"/>
    <x v="35"/>
    <n v="57"/>
    <x v="0"/>
    <x v="0"/>
    <n v="4.88"/>
    <s v="Yes"/>
    <n v="4.8099999999999996"/>
    <x v="0"/>
    <x v="3"/>
    <x v="2"/>
  </r>
  <r>
    <s v="AIJ-100517"/>
    <x v="6"/>
    <x v="4"/>
    <x v="7"/>
    <x v="0"/>
    <x v="19"/>
    <x v="15"/>
    <x v="17"/>
    <x v="1"/>
    <n v="122964"/>
    <s v="Medium"/>
    <x v="44"/>
    <n v="39"/>
    <x v="1"/>
    <x v="0"/>
    <n v="3.31"/>
    <s v="No"/>
    <n v="4.22"/>
    <x v="2"/>
    <x v="2"/>
    <x v="2"/>
  </r>
  <r>
    <s v="AIJ-100518"/>
    <x v="2"/>
    <x v="9"/>
    <x v="9"/>
    <x v="1"/>
    <x v="5"/>
    <x v="16"/>
    <x v="65"/>
    <x v="1"/>
    <n v="107944"/>
    <s v="Low"/>
    <x v="36"/>
    <n v="46"/>
    <x v="2"/>
    <x v="0"/>
    <n v="2.94"/>
    <s v="No"/>
    <n v="2.87"/>
    <x v="1"/>
    <x v="3"/>
    <x v="3"/>
  </r>
  <r>
    <s v="AIJ-100519"/>
    <x v="11"/>
    <x v="1"/>
    <x v="4"/>
    <x v="3"/>
    <x v="22"/>
    <x v="60"/>
    <x v="24"/>
    <x v="2"/>
    <n v="66853"/>
    <s v="High"/>
    <x v="12"/>
    <n v="58"/>
    <x v="2"/>
    <x v="2"/>
    <n v="4.2699999999999996"/>
    <s v="No"/>
    <n v="1.5"/>
    <x v="0"/>
    <x v="2"/>
    <x v="2"/>
  </r>
  <r>
    <s v="AIJ-100520"/>
    <x v="9"/>
    <x v="7"/>
    <x v="0"/>
    <x v="2"/>
    <x v="16"/>
    <x v="44"/>
    <x v="59"/>
    <x v="2"/>
    <n v="100824"/>
    <s v="Medium"/>
    <x v="38"/>
    <n v="40"/>
    <x v="1"/>
    <x v="2"/>
    <n v="4.22"/>
    <s v="Yes"/>
    <n v="3.81"/>
    <x v="0"/>
    <x v="1"/>
    <x v="3"/>
  </r>
  <r>
    <s v="AIJ-100521"/>
    <x v="7"/>
    <x v="1"/>
    <x v="8"/>
    <x v="0"/>
    <x v="15"/>
    <x v="7"/>
    <x v="32"/>
    <x v="2"/>
    <n v="70573"/>
    <s v="Low"/>
    <x v="51"/>
    <n v="32"/>
    <x v="1"/>
    <x v="2"/>
    <n v="3.81"/>
    <s v="Yes"/>
    <n v="3.08"/>
    <x v="2"/>
    <x v="2"/>
    <x v="1"/>
  </r>
  <r>
    <s v="AIJ-100522"/>
    <x v="7"/>
    <x v="4"/>
    <x v="3"/>
    <x v="1"/>
    <x v="20"/>
    <x v="41"/>
    <x v="25"/>
    <x v="2"/>
    <n v="61932"/>
    <s v="Medium"/>
    <x v="6"/>
    <n v="49"/>
    <x v="0"/>
    <x v="1"/>
    <n v="4.58"/>
    <s v="Yes"/>
    <n v="2.73"/>
    <x v="0"/>
    <x v="2"/>
    <x v="2"/>
  </r>
  <r>
    <s v="AIJ-100523"/>
    <x v="16"/>
    <x v="9"/>
    <x v="3"/>
    <x v="3"/>
    <x v="16"/>
    <x v="79"/>
    <x v="23"/>
    <x v="2"/>
    <n v="173309"/>
    <s v="Low"/>
    <x v="22"/>
    <n v="45"/>
    <x v="2"/>
    <x v="0"/>
    <n v="2.83"/>
    <s v="No"/>
    <n v="3.79"/>
    <x v="2"/>
    <x v="0"/>
    <x v="3"/>
  </r>
  <r>
    <s v="AIJ-100524"/>
    <x v="7"/>
    <x v="6"/>
    <x v="0"/>
    <x v="0"/>
    <x v="0"/>
    <x v="73"/>
    <x v="25"/>
    <x v="1"/>
    <n v="182184"/>
    <s v="Low"/>
    <x v="4"/>
    <n v="58"/>
    <x v="0"/>
    <x v="1"/>
    <n v="2.83"/>
    <s v="Yes"/>
    <n v="2.4300000000000002"/>
    <x v="0"/>
    <x v="3"/>
    <x v="0"/>
  </r>
  <r>
    <s v="AIJ-100525"/>
    <x v="2"/>
    <x v="7"/>
    <x v="3"/>
    <x v="1"/>
    <x v="14"/>
    <x v="4"/>
    <x v="69"/>
    <x v="2"/>
    <n v="122239"/>
    <s v="Medium"/>
    <x v="16"/>
    <n v="32"/>
    <x v="0"/>
    <x v="1"/>
    <n v="3.13"/>
    <s v="No"/>
    <n v="3.42"/>
    <x v="2"/>
    <x v="0"/>
    <x v="2"/>
  </r>
  <r>
    <s v="AIJ-100526"/>
    <x v="4"/>
    <x v="2"/>
    <x v="2"/>
    <x v="2"/>
    <x v="10"/>
    <x v="2"/>
    <x v="11"/>
    <x v="2"/>
    <n v="37738"/>
    <s v="Medium"/>
    <x v="31"/>
    <n v="54"/>
    <x v="1"/>
    <x v="0"/>
    <n v="4.3899999999999997"/>
    <s v="Yes"/>
    <n v="4.5999999999999996"/>
    <x v="2"/>
    <x v="1"/>
    <x v="3"/>
  </r>
  <r>
    <s v="AIJ-100527"/>
    <x v="18"/>
    <x v="3"/>
    <x v="8"/>
    <x v="1"/>
    <x v="23"/>
    <x v="32"/>
    <x v="23"/>
    <x v="0"/>
    <n v="145744"/>
    <s v="High"/>
    <x v="40"/>
    <n v="42"/>
    <x v="1"/>
    <x v="0"/>
    <n v="3.72"/>
    <s v="Yes"/>
    <n v="1.78"/>
    <x v="1"/>
    <x v="0"/>
    <x v="3"/>
  </r>
  <r>
    <s v="AIJ-100528"/>
    <x v="3"/>
    <x v="3"/>
    <x v="8"/>
    <x v="2"/>
    <x v="8"/>
    <x v="57"/>
    <x v="56"/>
    <x v="0"/>
    <n v="80409"/>
    <s v="Low"/>
    <x v="53"/>
    <n v="41"/>
    <x v="2"/>
    <x v="0"/>
    <n v="3.64"/>
    <s v="Yes"/>
    <n v="2.36"/>
    <x v="0"/>
    <x v="3"/>
    <x v="2"/>
  </r>
  <r>
    <s v="AIJ-100529"/>
    <x v="3"/>
    <x v="9"/>
    <x v="7"/>
    <x v="0"/>
    <x v="6"/>
    <x v="68"/>
    <x v="39"/>
    <x v="2"/>
    <n v="66142"/>
    <s v="Low"/>
    <x v="36"/>
    <n v="55"/>
    <x v="0"/>
    <x v="1"/>
    <n v="2.2999999999999998"/>
    <s v="No"/>
    <n v="1.92"/>
    <x v="0"/>
    <x v="3"/>
    <x v="0"/>
  </r>
  <r>
    <s v="AIJ-100530"/>
    <x v="4"/>
    <x v="1"/>
    <x v="2"/>
    <x v="1"/>
    <x v="7"/>
    <x v="31"/>
    <x v="52"/>
    <x v="2"/>
    <n v="47813"/>
    <s v="High"/>
    <x v="33"/>
    <n v="42"/>
    <x v="0"/>
    <x v="2"/>
    <n v="3.64"/>
    <s v="Yes"/>
    <n v="3.33"/>
    <x v="1"/>
    <x v="0"/>
    <x v="1"/>
  </r>
  <r>
    <s v="AIJ-100531"/>
    <x v="17"/>
    <x v="2"/>
    <x v="9"/>
    <x v="3"/>
    <x v="1"/>
    <x v="31"/>
    <x v="15"/>
    <x v="2"/>
    <n v="45569"/>
    <s v="Low"/>
    <x v="7"/>
    <n v="45"/>
    <x v="1"/>
    <x v="0"/>
    <n v="4.71"/>
    <s v="Yes"/>
    <n v="2.38"/>
    <x v="2"/>
    <x v="3"/>
    <x v="1"/>
  </r>
  <r>
    <s v="AIJ-100532"/>
    <x v="18"/>
    <x v="4"/>
    <x v="3"/>
    <x v="3"/>
    <x v="9"/>
    <x v="11"/>
    <x v="35"/>
    <x v="0"/>
    <n v="89046"/>
    <s v="Low"/>
    <x v="37"/>
    <n v="30"/>
    <x v="1"/>
    <x v="0"/>
    <n v="3.82"/>
    <s v="No"/>
    <n v="3.73"/>
    <x v="0"/>
    <x v="3"/>
    <x v="1"/>
  </r>
  <r>
    <s v="AIJ-100533"/>
    <x v="14"/>
    <x v="4"/>
    <x v="9"/>
    <x v="1"/>
    <x v="19"/>
    <x v="59"/>
    <x v="34"/>
    <x v="1"/>
    <n v="62830"/>
    <s v="Low"/>
    <x v="32"/>
    <n v="58"/>
    <x v="2"/>
    <x v="1"/>
    <n v="2.58"/>
    <s v="No"/>
    <n v="4.67"/>
    <x v="2"/>
    <x v="3"/>
    <x v="2"/>
  </r>
  <r>
    <s v="AIJ-100534"/>
    <x v="2"/>
    <x v="6"/>
    <x v="8"/>
    <x v="1"/>
    <x v="0"/>
    <x v="47"/>
    <x v="55"/>
    <x v="0"/>
    <n v="170566"/>
    <s v="Low"/>
    <x v="36"/>
    <n v="44"/>
    <x v="1"/>
    <x v="1"/>
    <n v="2.13"/>
    <s v="No"/>
    <n v="3.41"/>
    <x v="2"/>
    <x v="3"/>
    <x v="0"/>
  </r>
  <r>
    <s v="AIJ-100535"/>
    <x v="16"/>
    <x v="9"/>
    <x v="5"/>
    <x v="1"/>
    <x v="18"/>
    <x v="9"/>
    <x v="13"/>
    <x v="2"/>
    <n v="172513"/>
    <s v="Medium"/>
    <x v="49"/>
    <n v="54"/>
    <x v="0"/>
    <x v="1"/>
    <n v="4.6100000000000003"/>
    <s v="Yes"/>
    <n v="3.11"/>
    <x v="1"/>
    <x v="2"/>
    <x v="3"/>
  </r>
  <r>
    <s v="AIJ-100536"/>
    <x v="12"/>
    <x v="1"/>
    <x v="2"/>
    <x v="1"/>
    <x v="22"/>
    <x v="7"/>
    <x v="52"/>
    <x v="2"/>
    <n v="193019"/>
    <s v="Low"/>
    <x v="33"/>
    <n v="53"/>
    <x v="0"/>
    <x v="2"/>
    <n v="2.37"/>
    <s v="Yes"/>
    <n v="1.1399999999999999"/>
    <x v="2"/>
    <x v="2"/>
    <x v="2"/>
  </r>
  <r>
    <s v="AIJ-100537"/>
    <x v="3"/>
    <x v="6"/>
    <x v="6"/>
    <x v="0"/>
    <x v="10"/>
    <x v="3"/>
    <x v="37"/>
    <x v="0"/>
    <n v="108751"/>
    <s v="Medium"/>
    <x v="52"/>
    <n v="44"/>
    <x v="1"/>
    <x v="2"/>
    <n v="2.62"/>
    <s v="Yes"/>
    <n v="3.64"/>
    <x v="0"/>
    <x v="3"/>
    <x v="3"/>
  </r>
  <r>
    <s v="AIJ-100538"/>
    <x v="5"/>
    <x v="3"/>
    <x v="4"/>
    <x v="2"/>
    <x v="23"/>
    <x v="89"/>
    <x v="4"/>
    <x v="2"/>
    <n v="118137"/>
    <s v="High"/>
    <x v="15"/>
    <n v="57"/>
    <x v="2"/>
    <x v="0"/>
    <n v="4.79"/>
    <s v="Yes"/>
    <n v="4.2300000000000004"/>
    <x v="0"/>
    <x v="3"/>
    <x v="3"/>
  </r>
  <r>
    <s v="AIJ-100539"/>
    <x v="13"/>
    <x v="2"/>
    <x v="1"/>
    <x v="2"/>
    <x v="14"/>
    <x v="34"/>
    <x v="18"/>
    <x v="2"/>
    <n v="129953"/>
    <s v="Medium"/>
    <x v="1"/>
    <n v="37"/>
    <x v="0"/>
    <x v="1"/>
    <n v="3.01"/>
    <s v="No"/>
    <n v="1.1499999999999999"/>
    <x v="1"/>
    <x v="1"/>
    <x v="2"/>
  </r>
  <r>
    <s v="AIJ-100540"/>
    <x v="4"/>
    <x v="9"/>
    <x v="3"/>
    <x v="2"/>
    <x v="18"/>
    <x v="61"/>
    <x v="76"/>
    <x v="0"/>
    <n v="99341"/>
    <s v="Medium"/>
    <x v="39"/>
    <n v="60"/>
    <x v="2"/>
    <x v="1"/>
    <n v="3.91"/>
    <s v="Yes"/>
    <n v="2.63"/>
    <x v="0"/>
    <x v="2"/>
    <x v="3"/>
  </r>
  <r>
    <s v="AIJ-100541"/>
    <x v="5"/>
    <x v="9"/>
    <x v="1"/>
    <x v="1"/>
    <x v="4"/>
    <x v="24"/>
    <x v="51"/>
    <x v="0"/>
    <n v="102389"/>
    <s v="Low"/>
    <x v="10"/>
    <n v="49"/>
    <x v="0"/>
    <x v="2"/>
    <n v="2.7"/>
    <s v="Yes"/>
    <n v="1.74"/>
    <x v="0"/>
    <x v="2"/>
    <x v="1"/>
  </r>
  <r>
    <s v="AIJ-100542"/>
    <x v="0"/>
    <x v="6"/>
    <x v="0"/>
    <x v="1"/>
    <x v="17"/>
    <x v="33"/>
    <x v="28"/>
    <x v="0"/>
    <n v="122624"/>
    <s v="Low"/>
    <x v="5"/>
    <n v="44"/>
    <x v="1"/>
    <x v="0"/>
    <n v="2.23"/>
    <s v="Yes"/>
    <n v="2.2999999999999998"/>
    <x v="1"/>
    <x v="1"/>
    <x v="3"/>
  </r>
  <r>
    <s v="AIJ-100543"/>
    <x v="18"/>
    <x v="9"/>
    <x v="6"/>
    <x v="2"/>
    <x v="3"/>
    <x v="84"/>
    <x v="49"/>
    <x v="1"/>
    <n v="136990"/>
    <s v="Low"/>
    <x v="46"/>
    <n v="59"/>
    <x v="1"/>
    <x v="0"/>
    <n v="2.08"/>
    <s v="Yes"/>
    <n v="4.2300000000000004"/>
    <x v="0"/>
    <x v="2"/>
    <x v="2"/>
  </r>
  <r>
    <s v="AIJ-100544"/>
    <x v="3"/>
    <x v="0"/>
    <x v="4"/>
    <x v="0"/>
    <x v="13"/>
    <x v="75"/>
    <x v="43"/>
    <x v="2"/>
    <n v="200187"/>
    <s v="Low"/>
    <x v="11"/>
    <n v="58"/>
    <x v="0"/>
    <x v="2"/>
    <n v="3.82"/>
    <s v="No"/>
    <n v="2.27"/>
    <x v="2"/>
    <x v="0"/>
    <x v="1"/>
  </r>
  <r>
    <s v="AIJ-100545"/>
    <x v="9"/>
    <x v="2"/>
    <x v="3"/>
    <x v="0"/>
    <x v="17"/>
    <x v="33"/>
    <x v="38"/>
    <x v="0"/>
    <n v="112527"/>
    <s v="Medium"/>
    <x v="24"/>
    <n v="46"/>
    <x v="1"/>
    <x v="1"/>
    <n v="3.96"/>
    <s v="Yes"/>
    <n v="2.8"/>
    <x v="1"/>
    <x v="1"/>
    <x v="3"/>
  </r>
  <r>
    <s v="AIJ-100546"/>
    <x v="7"/>
    <x v="7"/>
    <x v="5"/>
    <x v="2"/>
    <x v="6"/>
    <x v="72"/>
    <x v="66"/>
    <x v="1"/>
    <n v="98230"/>
    <s v="Medium"/>
    <x v="5"/>
    <n v="34"/>
    <x v="0"/>
    <x v="1"/>
    <n v="3.9"/>
    <s v="Yes"/>
    <n v="4.5999999999999996"/>
    <x v="1"/>
    <x v="2"/>
    <x v="0"/>
  </r>
  <r>
    <s v="AIJ-100547"/>
    <x v="9"/>
    <x v="8"/>
    <x v="8"/>
    <x v="0"/>
    <x v="21"/>
    <x v="3"/>
    <x v="39"/>
    <x v="2"/>
    <n v="153171"/>
    <s v="Low"/>
    <x v="13"/>
    <n v="34"/>
    <x v="0"/>
    <x v="0"/>
    <n v="4.76"/>
    <s v="No"/>
    <n v="2.42"/>
    <x v="1"/>
    <x v="3"/>
    <x v="0"/>
  </r>
  <r>
    <s v="AIJ-100548"/>
    <x v="11"/>
    <x v="0"/>
    <x v="8"/>
    <x v="2"/>
    <x v="24"/>
    <x v="55"/>
    <x v="44"/>
    <x v="1"/>
    <n v="189582"/>
    <s v="Medium"/>
    <x v="27"/>
    <n v="50"/>
    <x v="2"/>
    <x v="0"/>
    <n v="4.5"/>
    <s v="No"/>
    <n v="4.03"/>
    <x v="0"/>
    <x v="1"/>
    <x v="1"/>
  </r>
  <r>
    <s v="AIJ-100549"/>
    <x v="13"/>
    <x v="4"/>
    <x v="5"/>
    <x v="0"/>
    <x v="3"/>
    <x v="7"/>
    <x v="60"/>
    <x v="2"/>
    <n v="126960"/>
    <s v="High"/>
    <x v="22"/>
    <n v="38"/>
    <x v="1"/>
    <x v="2"/>
    <n v="2.89"/>
    <s v="No"/>
    <n v="1.19"/>
    <x v="0"/>
    <x v="2"/>
    <x v="2"/>
  </r>
  <r>
    <s v="AIJ-100550"/>
    <x v="14"/>
    <x v="5"/>
    <x v="6"/>
    <x v="3"/>
    <x v="19"/>
    <x v="60"/>
    <x v="17"/>
    <x v="1"/>
    <n v="85228"/>
    <s v="Medium"/>
    <x v="43"/>
    <n v="33"/>
    <x v="2"/>
    <x v="1"/>
    <n v="3.46"/>
    <s v="Yes"/>
    <n v="4.54"/>
    <x v="1"/>
    <x v="1"/>
    <x v="2"/>
  </r>
  <r>
    <s v="AIJ-100551"/>
    <x v="19"/>
    <x v="3"/>
    <x v="8"/>
    <x v="1"/>
    <x v="21"/>
    <x v="20"/>
    <x v="46"/>
    <x v="1"/>
    <n v="74263"/>
    <s v="Low"/>
    <x v="49"/>
    <n v="36"/>
    <x v="2"/>
    <x v="0"/>
    <n v="3.28"/>
    <s v="No"/>
    <n v="3.08"/>
    <x v="1"/>
    <x v="0"/>
    <x v="0"/>
  </r>
  <r>
    <s v="AIJ-100552"/>
    <x v="5"/>
    <x v="0"/>
    <x v="5"/>
    <x v="2"/>
    <x v="24"/>
    <x v="19"/>
    <x v="59"/>
    <x v="0"/>
    <n v="65866"/>
    <s v="High"/>
    <x v="13"/>
    <n v="40"/>
    <x v="1"/>
    <x v="0"/>
    <n v="3.01"/>
    <s v="No"/>
    <n v="3.52"/>
    <x v="0"/>
    <x v="2"/>
    <x v="1"/>
  </r>
  <r>
    <s v="AIJ-100553"/>
    <x v="1"/>
    <x v="2"/>
    <x v="9"/>
    <x v="2"/>
    <x v="4"/>
    <x v="11"/>
    <x v="52"/>
    <x v="2"/>
    <n v="166654"/>
    <s v="Low"/>
    <x v="7"/>
    <n v="34"/>
    <x v="0"/>
    <x v="1"/>
    <n v="4.62"/>
    <s v="Yes"/>
    <n v="3.69"/>
    <x v="1"/>
    <x v="0"/>
    <x v="1"/>
  </r>
  <r>
    <s v="AIJ-100554"/>
    <x v="8"/>
    <x v="2"/>
    <x v="8"/>
    <x v="0"/>
    <x v="6"/>
    <x v="58"/>
    <x v="30"/>
    <x v="1"/>
    <n v="53255"/>
    <s v="High"/>
    <x v="32"/>
    <n v="36"/>
    <x v="0"/>
    <x v="2"/>
    <n v="2.12"/>
    <s v="No"/>
    <n v="3.45"/>
    <x v="0"/>
    <x v="0"/>
    <x v="0"/>
  </r>
  <r>
    <s v="AIJ-100555"/>
    <x v="12"/>
    <x v="9"/>
    <x v="7"/>
    <x v="3"/>
    <x v="13"/>
    <x v="38"/>
    <x v="38"/>
    <x v="1"/>
    <n v="106576"/>
    <s v="Medium"/>
    <x v="47"/>
    <n v="37"/>
    <x v="1"/>
    <x v="1"/>
    <n v="3.26"/>
    <s v="No"/>
    <n v="2.2999999999999998"/>
    <x v="0"/>
    <x v="3"/>
    <x v="1"/>
  </r>
  <r>
    <s v="AIJ-100556"/>
    <x v="12"/>
    <x v="9"/>
    <x v="0"/>
    <x v="0"/>
    <x v="2"/>
    <x v="42"/>
    <x v="25"/>
    <x v="0"/>
    <n v="63569"/>
    <s v="Low"/>
    <x v="46"/>
    <n v="38"/>
    <x v="0"/>
    <x v="2"/>
    <n v="4.67"/>
    <s v="No"/>
    <n v="1.24"/>
    <x v="1"/>
    <x v="3"/>
    <x v="1"/>
  </r>
  <r>
    <s v="AIJ-100557"/>
    <x v="5"/>
    <x v="9"/>
    <x v="4"/>
    <x v="3"/>
    <x v="4"/>
    <x v="8"/>
    <x v="18"/>
    <x v="0"/>
    <n v="44321"/>
    <s v="Medium"/>
    <x v="40"/>
    <n v="43"/>
    <x v="1"/>
    <x v="0"/>
    <n v="4.63"/>
    <s v="Yes"/>
    <n v="4.12"/>
    <x v="2"/>
    <x v="2"/>
    <x v="1"/>
  </r>
  <r>
    <s v="AIJ-100558"/>
    <x v="0"/>
    <x v="0"/>
    <x v="8"/>
    <x v="1"/>
    <x v="17"/>
    <x v="77"/>
    <x v="52"/>
    <x v="2"/>
    <n v="122458"/>
    <s v="Low"/>
    <x v="43"/>
    <n v="56"/>
    <x v="0"/>
    <x v="1"/>
    <n v="4.58"/>
    <s v="Yes"/>
    <n v="2.16"/>
    <x v="2"/>
    <x v="0"/>
    <x v="3"/>
  </r>
  <r>
    <s v="AIJ-100559"/>
    <x v="8"/>
    <x v="0"/>
    <x v="9"/>
    <x v="0"/>
    <x v="9"/>
    <x v="22"/>
    <x v="28"/>
    <x v="1"/>
    <n v="35250"/>
    <s v="Low"/>
    <x v="43"/>
    <n v="39"/>
    <x v="2"/>
    <x v="2"/>
    <n v="2.69"/>
    <s v="Yes"/>
    <n v="1.1399999999999999"/>
    <x v="0"/>
    <x v="2"/>
    <x v="1"/>
  </r>
  <r>
    <s v="AIJ-100560"/>
    <x v="3"/>
    <x v="0"/>
    <x v="9"/>
    <x v="0"/>
    <x v="21"/>
    <x v="55"/>
    <x v="14"/>
    <x v="0"/>
    <n v="52260"/>
    <s v="High"/>
    <x v="34"/>
    <n v="47"/>
    <x v="0"/>
    <x v="2"/>
    <n v="2.29"/>
    <s v="No"/>
    <n v="1.78"/>
    <x v="0"/>
    <x v="3"/>
    <x v="0"/>
  </r>
  <r>
    <s v="AIJ-100561"/>
    <x v="2"/>
    <x v="9"/>
    <x v="7"/>
    <x v="3"/>
    <x v="12"/>
    <x v="5"/>
    <x v="63"/>
    <x v="0"/>
    <n v="201979"/>
    <s v="Low"/>
    <x v="27"/>
    <n v="47"/>
    <x v="2"/>
    <x v="1"/>
    <n v="2.85"/>
    <s v="Yes"/>
    <n v="2.5299999999999998"/>
    <x v="1"/>
    <x v="2"/>
    <x v="3"/>
  </r>
  <r>
    <s v="AIJ-100562"/>
    <x v="12"/>
    <x v="3"/>
    <x v="2"/>
    <x v="3"/>
    <x v="23"/>
    <x v="74"/>
    <x v="38"/>
    <x v="0"/>
    <n v="126946"/>
    <s v="High"/>
    <x v="1"/>
    <n v="33"/>
    <x v="0"/>
    <x v="2"/>
    <n v="2.62"/>
    <s v="No"/>
    <n v="3.37"/>
    <x v="2"/>
    <x v="2"/>
    <x v="3"/>
  </r>
  <r>
    <s v="AIJ-100563"/>
    <x v="1"/>
    <x v="8"/>
    <x v="8"/>
    <x v="3"/>
    <x v="25"/>
    <x v="34"/>
    <x v="51"/>
    <x v="2"/>
    <n v="111646"/>
    <s v="High"/>
    <x v="27"/>
    <n v="57"/>
    <x v="1"/>
    <x v="1"/>
    <n v="4.07"/>
    <s v="No"/>
    <n v="3.18"/>
    <x v="1"/>
    <x v="1"/>
    <x v="1"/>
  </r>
  <r>
    <s v="AIJ-100564"/>
    <x v="9"/>
    <x v="4"/>
    <x v="2"/>
    <x v="0"/>
    <x v="22"/>
    <x v="46"/>
    <x v="0"/>
    <x v="0"/>
    <n v="51347"/>
    <s v="Low"/>
    <x v="28"/>
    <n v="53"/>
    <x v="1"/>
    <x v="2"/>
    <n v="2.59"/>
    <s v="Yes"/>
    <n v="1.1599999999999999"/>
    <x v="1"/>
    <x v="3"/>
    <x v="2"/>
  </r>
  <r>
    <s v="AIJ-100565"/>
    <x v="14"/>
    <x v="1"/>
    <x v="6"/>
    <x v="3"/>
    <x v="15"/>
    <x v="8"/>
    <x v="28"/>
    <x v="1"/>
    <n v="60823"/>
    <s v="High"/>
    <x v="54"/>
    <n v="35"/>
    <x v="1"/>
    <x v="1"/>
    <n v="3.57"/>
    <s v="Yes"/>
    <n v="4.21"/>
    <x v="0"/>
    <x v="2"/>
    <x v="1"/>
  </r>
  <r>
    <s v="AIJ-100566"/>
    <x v="17"/>
    <x v="8"/>
    <x v="9"/>
    <x v="0"/>
    <x v="21"/>
    <x v="89"/>
    <x v="19"/>
    <x v="1"/>
    <n v="218777"/>
    <s v="Medium"/>
    <x v="42"/>
    <n v="34"/>
    <x v="2"/>
    <x v="2"/>
    <n v="4.9800000000000004"/>
    <s v="Yes"/>
    <n v="2.25"/>
    <x v="2"/>
    <x v="3"/>
    <x v="0"/>
  </r>
  <r>
    <s v="AIJ-100567"/>
    <x v="3"/>
    <x v="7"/>
    <x v="9"/>
    <x v="1"/>
    <x v="17"/>
    <x v="27"/>
    <x v="9"/>
    <x v="2"/>
    <n v="71013"/>
    <s v="Low"/>
    <x v="9"/>
    <n v="38"/>
    <x v="2"/>
    <x v="1"/>
    <n v="3.75"/>
    <s v="No"/>
    <n v="2.4700000000000002"/>
    <x v="1"/>
    <x v="3"/>
    <x v="3"/>
  </r>
  <r>
    <s v="AIJ-100568"/>
    <x v="5"/>
    <x v="3"/>
    <x v="2"/>
    <x v="1"/>
    <x v="9"/>
    <x v="11"/>
    <x v="16"/>
    <x v="2"/>
    <n v="76746"/>
    <s v="High"/>
    <x v="54"/>
    <n v="54"/>
    <x v="2"/>
    <x v="1"/>
    <n v="3.73"/>
    <s v="No"/>
    <n v="4.87"/>
    <x v="0"/>
    <x v="3"/>
    <x v="1"/>
  </r>
  <r>
    <s v="AIJ-100569"/>
    <x v="17"/>
    <x v="8"/>
    <x v="3"/>
    <x v="2"/>
    <x v="23"/>
    <x v="77"/>
    <x v="64"/>
    <x v="0"/>
    <n v="68401"/>
    <s v="Low"/>
    <x v="36"/>
    <n v="46"/>
    <x v="2"/>
    <x v="1"/>
    <n v="3.99"/>
    <s v="No"/>
    <n v="2.21"/>
    <x v="2"/>
    <x v="0"/>
    <x v="3"/>
  </r>
  <r>
    <s v="AIJ-100570"/>
    <x v="8"/>
    <x v="7"/>
    <x v="9"/>
    <x v="2"/>
    <x v="15"/>
    <x v="59"/>
    <x v="9"/>
    <x v="0"/>
    <n v="111726"/>
    <s v="Low"/>
    <x v="48"/>
    <n v="56"/>
    <x v="2"/>
    <x v="0"/>
    <n v="2.4300000000000002"/>
    <s v="No"/>
    <n v="3.24"/>
    <x v="1"/>
    <x v="3"/>
    <x v="1"/>
  </r>
  <r>
    <s v="AIJ-100571"/>
    <x v="18"/>
    <x v="4"/>
    <x v="4"/>
    <x v="1"/>
    <x v="5"/>
    <x v="53"/>
    <x v="5"/>
    <x v="1"/>
    <n v="205646"/>
    <s v="Low"/>
    <x v="26"/>
    <n v="30"/>
    <x v="1"/>
    <x v="1"/>
    <n v="3.08"/>
    <s v="Yes"/>
    <n v="1.02"/>
    <x v="1"/>
    <x v="3"/>
    <x v="3"/>
  </r>
  <r>
    <s v="AIJ-100572"/>
    <x v="12"/>
    <x v="4"/>
    <x v="8"/>
    <x v="3"/>
    <x v="14"/>
    <x v="84"/>
    <x v="17"/>
    <x v="2"/>
    <n v="102076"/>
    <s v="Low"/>
    <x v="12"/>
    <n v="56"/>
    <x v="1"/>
    <x v="0"/>
    <n v="4.78"/>
    <s v="No"/>
    <n v="2.96"/>
    <x v="1"/>
    <x v="2"/>
    <x v="2"/>
  </r>
  <r>
    <s v="AIJ-100573"/>
    <x v="4"/>
    <x v="8"/>
    <x v="2"/>
    <x v="0"/>
    <x v="19"/>
    <x v="84"/>
    <x v="52"/>
    <x v="0"/>
    <n v="214979"/>
    <s v="Medium"/>
    <x v="48"/>
    <n v="52"/>
    <x v="1"/>
    <x v="1"/>
    <n v="2.29"/>
    <s v="No"/>
    <n v="4.93"/>
    <x v="2"/>
    <x v="3"/>
    <x v="2"/>
  </r>
  <r>
    <s v="AIJ-100574"/>
    <x v="8"/>
    <x v="6"/>
    <x v="7"/>
    <x v="0"/>
    <x v="2"/>
    <x v="56"/>
    <x v="37"/>
    <x v="2"/>
    <n v="126011"/>
    <s v="Low"/>
    <x v="13"/>
    <n v="36"/>
    <x v="0"/>
    <x v="2"/>
    <n v="4.1900000000000004"/>
    <s v="Yes"/>
    <n v="1.69"/>
    <x v="2"/>
    <x v="2"/>
    <x v="1"/>
  </r>
  <r>
    <s v="AIJ-100575"/>
    <x v="7"/>
    <x v="1"/>
    <x v="9"/>
    <x v="3"/>
    <x v="19"/>
    <x v="47"/>
    <x v="46"/>
    <x v="1"/>
    <n v="30845"/>
    <s v="Medium"/>
    <x v="12"/>
    <n v="56"/>
    <x v="0"/>
    <x v="2"/>
    <n v="3.7"/>
    <s v="No"/>
    <n v="1.35"/>
    <x v="2"/>
    <x v="3"/>
    <x v="2"/>
  </r>
  <r>
    <s v="AIJ-100576"/>
    <x v="19"/>
    <x v="2"/>
    <x v="5"/>
    <x v="0"/>
    <x v="6"/>
    <x v="68"/>
    <x v="21"/>
    <x v="2"/>
    <n v="74390"/>
    <s v="Low"/>
    <x v="33"/>
    <n v="56"/>
    <x v="0"/>
    <x v="0"/>
    <n v="4.83"/>
    <s v="Yes"/>
    <n v="3.99"/>
    <x v="0"/>
    <x v="2"/>
    <x v="0"/>
  </r>
  <r>
    <s v="AIJ-100577"/>
    <x v="1"/>
    <x v="4"/>
    <x v="4"/>
    <x v="1"/>
    <x v="14"/>
    <x v="15"/>
    <x v="40"/>
    <x v="0"/>
    <n v="178121"/>
    <s v="Low"/>
    <x v="46"/>
    <n v="38"/>
    <x v="0"/>
    <x v="1"/>
    <n v="2.79"/>
    <s v="No"/>
    <n v="2.42"/>
    <x v="1"/>
    <x v="3"/>
    <x v="2"/>
  </r>
  <r>
    <s v="AIJ-100578"/>
    <x v="16"/>
    <x v="4"/>
    <x v="5"/>
    <x v="3"/>
    <x v="8"/>
    <x v="72"/>
    <x v="72"/>
    <x v="1"/>
    <n v="179084"/>
    <s v="High"/>
    <x v="5"/>
    <n v="47"/>
    <x v="0"/>
    <x v="1"/>
    <n v="2.27"/>
    <s v="Yes"/>
    <n v="2.0299999999999998"/>
    <x v="1"/>
    <x v="2"/>
    <x v="2"/>
  </r>
  <r>
    <s v="AIJ-100579"/>
    <x v="15"/>
    <x v="3"/>
    <x v="8"/>
    <x v="3"/>
    <x v="25"/>
    <x v="30"/>
    <x v="15"/>
    <x v="0"/>
    <n v="177788"/>
    <s v="High"/>
    <x v="41"/>
    <n v="57"/>
    <x v="1"/>
    <x v="2"/>
    <n v="3.26"/>
    <s v="No"/>
    <n v="2.35"/>
    <x v="2"/>
    <x v="2"/>
    <x v="1"/>
  </r>
  <r>
    <s v="AIJ-100580"/>
    <x v="11"/>
    <x v="9"/>
    <x v="0"/>
    <x v="0"/>
    <x v="24"/>
    <x v="18"/>
    <x v="23"/>
    <x v="1"/>
    <n v="145083"/>
    <s v="Medium"/>
    <x v="34"/>
    <n v="37"/>
    <x v="2"/>
    <x v="0"/>
    <n v="3.12"/>
    <s v="No"/>
    <n v="2.93"/>
    <x v="1"/>
    <x v="3"/>
    <x v="1"/>
  </r>
  <r>
    <s v="AIJ-100581"/>
    <x v="2"/>
    <x v="6"/>
    <x v="1"/>
    <x v="1"/>
    <x v="16"/>
    <x v="90"/>
    <x v="6"/>
    <x v="2"/>
    <n v="135054"/>
    <s v="High"/>
    <x v="28"/>
    <n v="36"/>
    <x v="0"/>
    <x v="2"/>
    <n v="2.39"/>
    <s v="No"/>
    <n v="4.1500000000000004"/>
    <x v="2"/>
    <x v="3"/>
    <x v="3"/>
  </r>
  <r>
    <s v="AIJ-100582"/>
    <x v="17"/>
    <x v="2"/>
    <x v="1"/>
    <x v="3"/>
    <x v="16"/>
    <x v="5"/>
    <x v="1"/>
    <x v="0"/>
    <n v="30221"/>
    <s v="Low"/>
    <x v="7"/>
    <n v="57"/>
    <x v="1"/>
    <x v="1"/>
    <n v="2.27"/>
    <s v="Yes"/>
    <n v="1.62"/>
    <x v="0"/>
    <x v="2"/>
    <x v="3"/>
  </r>
  <r>
    <s v="AIJ-100583"/>
    <x v="16"/>
    <x v="9"/>
    <x v="7"/>
    <x v="0"/>
    <x v="25"/>
    <x v="30"/>
    <x v="8"/>
    <x v="0"/>
    <n v="213180"/>
    <s v="Low"/>
    <x v="52"/>
    <n v="34"/>
    <x v="2"/>
    <x v="2"/>
    <n v="3.2"/>
    <s v="No"/>
    <n v="4.59"/>
    <x v="0"/>
    <x v="3"/>
    <x v="1"/>
  </r>
  <r>
    <s v="AIJ-100584"/>
    <x v="4"/>
    <x v="2"/>
    <x v="5"/>
    <x v="3"/>
    <x v="23"/>
    <x v="35"/>
    <x v="21"/>
    <x v="2"/>
    <n v="189520"/>
    <s v="Low"/>
    <x v="32"/>
    <n v="49"/>
    <x v="2"/>
    <x v="2"/>
    <n v="3.94"/>
    <s v="Yes"/>
    <n v="3"/>
    <x v="2"/>
    <x v="1"/>
    <x v="3"/>
  </r>
  <r>
    <s v="AIJ-100585"/>
    <x v="7"/>
    <x v="1"/>
    <x v="7"/>
    <x v="0"/>
    <x v="0"/>
    <x v="59"/>
    <x v="74"/>
    <x v="1"/>
    <n v="69517"/>
    <s v="Medium"/>
    <x v="42"/>
    <n v="35"/>
    <x v="2"/>
    <x v="0"/>
    <n v="3.55"/>
    <s v="Yes"/>
    <n v="2.86"/>
    <x v="2"/>
    <x v="2"/>
    <x v="0"/>
  </r>
  <r>
    <s v="AIJ-100586"/>
    <x v="13"/>
    <x v="6"/>
    <x v="3"/>
    <x v="0"/>
    <x v="12"/>
    <x v="58"/>
    <x v="61"/>
    <x v="0"/>
    <n v="209909"/>
    <s v="Medium"/>
    <x v="15"/>
    <n v="38"/>
    <x v="0"/>
    <x v="0"/>
    <n v="2.35"/>
    <s v="No"/>
    <n v="3.01"/>
    <x v="1"/>
    <x v="3"/>
    <x v="3"/>
  </r>
  <r>
    <s v="AIJ-100587"/>
    <x v="3"/>
    <x v="8"/>
    <x v="8"/>
    <x v="3"/>
    <x v="25"/>
    <x v="33"/>
    <x v="58"/>
    <x v="2"/>
    <n v="130524"/>
    <s v="Medium"/>
    <x v="9"/>
    <n v="46"/>
    <x v="0"/>
    <x v="0"/>
    <n v="4.62"/>
    <s v="No"/>
    <n v="1.19"/>
    <x v="1"/>
    <x v="2"/>
    <x v="1"/>
  </r>
  <r>
    <s v="AIJ-100588"/>
    <x v="18"/>
    <x v="1"/>
    <x v="7"/>
    <x v="3"/>
    <x v="2"/>
    <x v="48"/>
    <x v="55"/>
    <x v="1"/>
    <n v="209932"/>
    <s v="Low"/>
    <x v="20"/>
    <n v="38"/>
    <x v="1"/>
    <x v="1"/>
    <n v="3.07"/>
    <s v="Yes"/>
    <n v="2.79"/>
    <x v="1"/>
    <x v="0"/>
    <x v="1"/>
  </r>
  <r>
    <s v="AIJ-100589"/>
    <x v="3"/>
    <x v="5"/>
    <x v="2"/>
    <x v="1"/>
    <x v="24"/>
    <x v="87"/>
    <x v="25"/>
    <x v="0"/>
    <n v="75936"/>
    <s v="High"/>
    <x v="55"/>
    <n v="43"/>
    <x v="2"/>
    <x v="1"/>
    <n v="4.92"/>
    <s v="Yes"/>
    <n v="4.68"/>
    <x v="0"/>
    <x v="2"/>
    <x v="1"/>
  </r>
  <r>
    <s v="AIJ-100590"/>
    <x v="15"/>
    <x v="5"/>
    <x v="2"/>
    <x v="3"/>
    <x v="4"/>
    <x v="84"/>
    <x v="57"/>
    <x v="2"/>
    <n v="56508"/>
    <s v="Medium"/>
    <x v="15"/>
    <n v="42"/>
    <x v="1"/>
    <x v="2"/>
    <n v="4.8499999999999996"/>
    <s v="No"/>
    <n v="3.89"/>
    <x v="0"/>
    <x v="3"/>
    <x v="1"/>
  </r>
  <r>
    <s v="AIJ-100591"/>
    <x v="8"/>
    <x v="5"/>
    <x v="4"/>
    <x v="2"/>
    <x v="17"/>
    <x v="61"/>
    <x v="79"/>
    <x v="2"/>
    <n v="191370"/>
    <s v="Medium"/>
    <x v="0"/>
    <n v="54"/>
    <x v="2"/>
    <x v="1"/>
    <n v="4.24"/>
    <s v="Yes"/>
    <n v="2.11"/>
    <x v="0"/>
    <x v="3"/>
    <x v="3"/>
  </r>
  <r>
    <s v="AIJ-100592"/>
    <x v="14"/>
    <x v="8"/>
    <x v="6"/>
    <x v="3"/>
    <x v="18"/>
    <x v="39"/>
    <x v="77"/>
    <x v="2"/>
    <n v="34907"/>
    <s v="High"/>
    <x v="31"/>
    <n v="33"/>
    <x v="1"/>
    <x v="2"/>
    <n v="2.0499999999999998"/>
    <s v="No"/>
    <n v="1.88"/>
    <x v="0"/>
    <x v="3"/>
    <x v="3"/>
  </r>
  <r>
    <s v="AIJ-100593"/>
    <x v="1"/>
    <x v="7"/>
    <x v="5"/>
    <x v="0"/>
    <x v="22"/>
    <x v="21"/>
    <x v="39"/>
    <x v="1"/>
    <n v="119902"/>
    <s v="High"/>
    <x v="55"/>
    <n v="36"/>
    <x v="0"/>
    <x v="0"/>
    <n v="2.5099999999999998"/>
    <s v="No"/>
    <n v="2.02"/>
    <x v="2"/>
    <x v="3"/>
    <x v="2"/>
  </r>
  <r>
    <s v="AIJ-100594"/>
    <x v="7"/>
    <x v="1"/>
    <x v="5"/>
    <x v="0"/>
    <x v="2"/>
    <x v="20"/>
    <x v="73"/>
    <x v="1"/>
    <n v="126781"/>
    <s v="Low"/>
    <x v="25"/>
    <n v="49"/>
    <x v="0"/>
    <x v="2"/>
    <n v="3.87"/>
    <s v="No"/>
    <n v="2.66"/>
    <x v="2"/>
    <x v="0"/>
    <x v="1"/>
  </r>
  <r>
    <s v="AIJ-100595"/>
    <x v="9"/>
    <x v="4"/>
    <x v="4"/>
    <x v="1"/>
    <x v="19"/>
    <x v="58"/>
    <x v="50"/>
    <x v="2"/>
    <n v="62373"/>
    <s v="Medium"/>
    <x v="42"/>
    <n v="57"/>
    <x v="1"/>
    <x v="0"/>
    <n v="4.9400000000000004"/>
    <s v="No"/>
    <n v="2.41"/>
    <x v="2"/>
    <x v="3"/>
    <x v="2"/>
  </r>
  <r>
    <s v="AIJ-100596"/>
    <x v="1"/>
    <x v="5"/>
    <x v="9"/>
    <x v="0"/>
    <x v="20"/>
    <x v="36"/>
    <x v="22"/>
    <x v="1"/>
    <n v="196779"/>
    <s v="Medium"/>
    <x v="23"/>
    <n v="44"/>
    <x v="2"/>
    <x v="1"/>
    <n v="2.4700000000000002"/>
    <s v="Yes"/>
    <n v="2.6"/>
    <x v="2"/>
    <x v="3"/>
    <x v="2"/>
  </r>
  <r>
    <s v="AIJ-100597"/>
    <x v="16"/>
    <x v="6"/>
    <x v="0"/>
    <x v="1"/>
    <x v="22"/>
    <x v="9"/>
    <x v="42"/>
    <x v="2"/>
    <n v="137556"/>
    <s v="High"/>
    <x v="5"/>
    <n v="32"/>
    <x v="0"/>
    <x v="0"/>
    <n v="4.2"/>
    <s v="Yes"/>
    <n v="2.2999999999999998"/>
    <x v="2"/>
    <x v="3"/>
    <x v="2"/>
  </r>
  <r>
    <s v="AIJ-100598"/>
    <x v="15"/>
    <x v="5"/>
    <x v="9"/>
    <x v="1"/>
    <x v="3"/>
    <x v="47"/>
    <x v="55"/>
    <x v="1"/>
    <n v="201472"/>
    <s v="Medium"/>
    <x v="8"/>
    <n v="57"/>
    <x v="1"/>
    <x v="2"/>
    <n v="3.42"/>
    <s v="Yes"/>
    <n v="2.29"/>
    <x v="1"/>
    <x v="3"/>
    <x v="2"/>
  </r>
  <r>
    <s v="AIJ-100599"/>
    <x v="6"/>
    <x v="8"/>
    <x v="3"/>
    <x v="2"/>
    <x v="9"/>
    <x v="5"/>
    <x v="8"/>
    <x v="2"/>
    <n v="146301"/>
    <s v="Medium"/>
    <x v="10"/>
    <n v="59"/>
    <x v="1"/>
    <x v="2"/>
    <n v="3.39"/>
    <s v="Yes"/>
    <n v="1.03"/>
    <x v="2"/>
    <x v="3"/>
    <x v="1"/>
  </r>
  <r>
    <s v="AIJ-100600"/>
    <x v="9"/>
    <x v="3"/>
    <x v="9"/>
    <x v="2"/>
    <x v="18"/>
    <x v="60"/>
    <x v="55"/>
    <x v="1"/>
    <n v="170860"/>
    <s v="High"/>
    <x v="37"/>
    <n v="39"/>
    <x v="2"/>
    <x v="0"/>
    <n v="4.3099999999999996"/>
    <s v="No"/>
    <n v="2.6"/>
    <x v="0"/>
    <x v="2"/>
    <x v="3"/>
  </r>
  <r>
    <s v="AIJ-100601"/>
    <x v="4"/>
    <x v="7"/>
    <x v="7"/>
    <x v="3"/>
    <x v="22"/>
    <x v="1"/>
    <x v="37"/>
    <x v="0"/>
    <n v="59303"/>
    <s v="Medium"/>
    <x v="0"/>
    <n v="38"/>
    <x v="1"/>
    <x v="1"/>
    <n v="3.93"/>
    <s v="Yes"/>
    <n v="2.83"/>
    <x v="0"/>
    <x v="2"/>
    <x v="2"/>
  </r>
  <r>
    <s v="AIJ-100602"/>
    <x v="2"/>
    <x v="1"/>
    <x v="0"/>
    <x v="2"/>
    <x v="1"/>
    <x v="82"/>
    <x v="41"/>
    <x v="0"/>
    <n v="97612"/>
    <s v="Low"/>
    <x v="28"/>
    <n v="39"/>
    <x v="1"/>
    <x v="2"/>
    <n v="4.6399999999999997"/>
    <s v="No"/>
    <n v="3.86"/>
    <x v="1"/>
    <x v="3"/>
    <x v="1"/>
  </r>
  <r>
    <s v="AIJ-100603"/>
    <x v="17"/>
    <x v="8"/>
    <x v="0"/>
    <x v="3"/>
    <x v="5"/>
    <x v="38"/>
    <x v="23"/>
    <x v="1"/>
    <n v="212211"/>
    <s v="High"/>
    <x v="29"/>
    <n v="30"/>
    <x v="1"/>
    <x v="0"/>
    <n v="2.91"/>
    <s v="Yes"/>
    <n v="2.04"/>
    <x v="0"/>
    <x v="0"/>
    <x v="3"/>
  </r>
  <r>
    <s v="AIJ-100604"/>
    <x v="15"/>
    <x v="9"/>
    <x v="1"/>
    <x v="0"/>
    <x v="3"/>
    <x v="80"/>
    <x v="76"/>
    <x v="1"/>
    <n v="128136"/>
    <s v="Medium"/>
    <x v="53"/>
    <n v="51"/>
    <x v="1"/>
    <x v="1"/>
    <n v="2.67"/>
    <s v="Yes"/>
    <n v="1.9"/>
    <x v="1"/>
    <x v="1"/>
    <x v="2"/>
  </r>
  <r>
    <s v="AIJ-100605"/>
    <x v="8"/>
    <x v="2"/>
    <x v="4"/>
    <x v="3"/>
    <x v="2"/>
    <x v="5"/>
    <x v="4"/>
    <x v="0"/>
    <n v="33198"/>
    <s v="Medium"/>
    <x v="48"/>
    <n v="33"/>
    <x v="2"/>
    <x v="0"/>
    <n v="2.2000000000000002"/>
    <s v="Yes"/>
    <n v="4.88"/>
    <x v="2"/>
    <x v="3"/>
    <x v="1"/>
  </r>
  <r>
    <s v="AIJ-100606"/>
    <x v="6"/>
    <x v="9"/>
    <x v="1"/>
    <x v="2"/>
    <x v="15"/>
    <x v="17"/>
    <x v="3"/>
    <x v="1"/>
    <n v="94248"/>
    <s v="High"/>
    <x v="2"/>
    <n v="32"/>
    <x v="0"/>
    <x v="2"/>
    <n v="4.2"/>
    <s v="Yes"/>
    <n v="4.62"/>
    <x v="2"/>
    <x v="0"/>
    <x v="1"/>
  </r>
  <r>
    <s v="AIJ-100607"/>
    <x v="0"/>
    <x v="6"/>
    <x v="5"/>
    <x v="2"/>
    <x v="8"/>
    <x v="34"/>
    <x v="67"/>
    <x v="1"/>
    <n v="55760"/>
    <s v="Low"/>
    <x v="40"/>
    <n v="32"/>
    <x v="2"/>
    <x v="2"/>
    <n v="2.2999999999999998"/>
    <s v="Yes"/>
    <n v="3.39"/>
    <x v="1"/>
    <x v="2"/>
    <x v="2"/>
  </r>
  <r>
    <s v="AIJ-100608"/>
    <x v="11"/>
    <x v="9"/>
    <x v="8"/>
    <x v="3"/>
    <x v="1"/>
    <x v="90"/>
    <x v="70"/>
    <x v="1"/>
    <n v="196443"/>
    <s v="High"/>
    <x v="2"/>
    <n v="45"/>
    <x v="0"/>
    <x v="2"/>
    <n v="2.99"/>
    <s v="No"/>
    <n v="3.06"/>
    <x v="0"/>
    <x v="1"/>
    <x v="1"/>
  </r>
  <r>
    <s v="AIJ-100609"/>
    <x v="9"/>
    <x v="8"/>
    <x v="3"/>
    <x v="2"/>
    <x v="23"/>
    <x v="61"/>
    <x v="65"/>
    <x v="2"/>
    <n v="145354"/>
    <s v="Medium"/>
    <x v="55"/>
    <n v="35"/>
    <x v="1"/>
    <x v="2"/>
    <n v="4.28"/>
    <s v="No"/>
    <n v="1.38"/>
    <x v="1"/>
    <x v="2"/>
    <x v="3"/>
  </r>
  <r>
    <s v="AIJ-100610"/>
    <x v="7"/>
    <x v="7"/>
    <x v="9"/>
    <x v="0"/>
    <x v="19"/>
    <x v="34"/>
    <x v="16"/>
    <x v="2"/>
    <n v="161538"/>
    <s v="Medium"/>
    <x v="32"/>
    <n v="36"/>
    <x v="0"/>
    <x v="0"/>
    <n v="2.46"/>
    <s v="Yes"/>
    <n v="1.77"/>
    <x v="1"/>
    <x v="1"/>
    <x v="2"/>
  </r>
  <r>
    <s v="AIJ-100611"/>
    <x v="5"/>
    <x v="2"/>
    <x v="6"/>
    <x v="0"/>
    <x v="16"/>
    <x v="33"/>
    <x v="69"/>
    <x v="1"/>
    <n v="139290"/>
    <s v="Low"/>
    <x v="33"/>
    <n v="40"/>
    <x v="0"/>
    <x v="1"/>
    <n v="4.49"/>
    <s v="No"/>
    <n v="2.8"/>
    <x v="1"/>
    <x v="2"/>
    <x v="3"/>
  </r>
  <r>
    <s v="AIJ-100612"/>
    <x v="5"/>
    <x v="6"/>
    <x v="4"/>
    <x v="1"/>
    <x v="2"/>
    <x v="51"/>
    <x v="66"/>
    <x v="2"/>
    <n v="149770"/>
    <s v="Medium"/>
    <x v="46"/>
    <n v="56"/>
    <x v="2"/>
    <x v="2"/>
    <n v="2.97"/>
    <s v="No"/>
    <n v="2.2999999999999998"/>
    <x v="0"/>
    <x v="2"/>
    <x v="1"/>
  </r>
  <r>
    <s v="AIJ-100613"/>
    <x v="1"/>
    <x v="9"/>
    <x v="0"/>
    <x v="0"/>
    <x v="0"/>
    <x v="39"/>
    <x v="13"/>
    <x v="2"/>
    <n v="72052"/>
    <s v="Medium"/>
    <x v="38"/>
    <n v="60"/>
    <x v="0"/>
    <x v="1"/>
    <n v="2.75"/>
    <s v="No"/>
    <n v="1.24"/>
    <x v="2"/>
    <x v="2"/>
    <x v="0"/>
  </r>
  <r>
    <s v="AIJ-100614"/>
    <x v="1"/>
    <x v="4"/>
    <x v="1"/>
    <x v="1"/>
    <x v="11"/>
    <x v="6"/>
    <x v="66"/>
    <x v="1"/>
    <n v="49395"/>
    <s v="High"/>
    <x v="9"/>
    <n v="47"/>
    <x v="1"/>
    <x v="1"/>
    <n v="2.74"/>
    <s v="No"/>
    <n v="3.23"/>
    <x v="1"/>
    <x v="3"/>
    <x v="1"/>
  </r>
  <r>
    <s v="AIJ-100615"/>
    <x v="16"/>
    <x v="8"/>
    <x v="5"/>
    <x v="0"/>
    <x v="20"/>
    <x v="60"/>
    <x v="7"/>
    <x v="1"/>
    <n v="146874"/>
    <s v="Medium"/>
    <x v="30"/>
    <n v="36"/>
    <x v="0"/>
    <x v="0"/>
    <n v="2.78"/>
    <s v="Yes"/>
    <n v="1.56"/>
    <x v="0"/>
    <x v="1"/>
    <x v="2"/>
  </r>
  <r>
    <s v="AIJ-100616"/>
    <x v="19"/>
    <x v="3"/>
    <x v="7"/>
    <x v="2"/>
    <x v="7"/>
    <x v="27"/>
    <x v="73"/>
    <x v="1"/>
    <n v="127904"/>
    <s v="High"/>
    <x v="55"/>
    <n v="39"/>
    <x v="0"/>
    <x v="1"/>
    <n v="3.9"/>
    <s v="Yes"/>
    <n v="3.26"/>
    <x v="0"/>
    <x v="0"/>
    <x v="1"/>
  </r>
  <r>
    <s v="AIJ-100617"/>
    <x v="16"/>
    <x v="0"/>
    <x v="7"/>
    <x v="3"/>
    <x v="18"/>
    <x v="76"/>
    <x v="9"/>
    <x v="1"/>
    <n v="200439"/>
    <s v="High"/>
    <x v="25"/>
    <n v="50"/>
    <x v="2"/>
    <x v="2"/>
    <n v="2.5499999999999998"/>
    <s v="No"/>
    <n v="2.82"/>
    <x v="0"/>
    <x v="2"/>
    <x v="3"/>
  </r>
  <r>
    <s v="AIJ-100618"/>
    <x v="17"/>
    <x v="1"/>
    <x v="4"/>
    <x v="3"/>
    <x v="13"/>
    <x v="86"/>
    <x v="38"/>
    <x v="1"/>
    <n v="141974"/>
    <s v="High"/>
    <x v="21"/>
    <n v="36"/>
    <x v="0"/>
    <x v="1"/>
    <n v="4.68"/>
    <s v="Yes"/>
    <n v="1.76"/>
    <x v="2"/>
    <x v="3"/>
    <x v="1"/>
  </r>
  <r>
    <s v="AIJ-100619"/>
    <x v="17"/>
    <x v="5"/>
    <x v="5"/>
    <x v="2"/>
    <x v="23"/>
    <x v="87"/>
    <x v="6"/>
    <x v="1"/>
    <n v="40342"/>
    <s v="Low"/>
    <x v="21"/>
    <n v="36"/>
    <x v="1"/>
    <x v="1"/>
    <n v="2.4900000000000002"/>
    <s v="No"/>
    <n v="1.93"/>
    <x v="2"/>
    <x v="3"/>
    <x v="3"/>
  </r>
  <r>
    <s v="AIJ-100620"/>
    <x v="15"/>
    <x v="6"/>
    <x v="3"/>
    <x v="0"/>
    <x v="5"/>
    <x v="10"/>
    <x v="21"/>
    <x v="0"/>
    <n v="84679"/>
    <s v="Low"/>
    <x v="45"/>
    <n v="42"/>
    <x v="0"/>
    <x v="2"/>
    <n v="2.2799999999999998"/>
    <s v="Yes"/>
    <n v="3.03"/>
    <x v="0"/>
    <x v="1"/>
    <x v="3"/>
  </r>
  <r>
    <s v="AIJ-100621"/>
    <x v="1"/>
    <x v="4"/>
    <x v="4"/>
    <x v="1"/>
    <x v="6"/>
    <x v="10"/>
    <x v="23"/>
    <x v="2"/>
    <n v="123949"/>
    <s v="Medium"/>
    <x v="19"/>
    <n v="38"/>
    <x v="0"/>
    <x v="2"/>
    <n v="4.83"/>
    <s v="Yes"/>
    <n v="1.03"/>
    <x v="1"/>
    <x v="2"/>
    <x v="0"/>
  </r>
  <r>
    <s v="AIJ-100622"/>
    <x v="6"/>
    <x v="0"/>
    <x v="7"/>
    <x v="0"/>
    <x v="21"/>
    <x v="81"/>
    <x v="71"/>
    <x v="1"/>
    <n v="108825"/>
    <s v="High"/>
    <x v="54"/>
    <n v="58"/>
    <x v="2"/>
    <x v="2"/>
    <n v="2.42"/>
    <s v="Yes"/>
    <n v="1.71"/>
    <x v="2"/>
    <x v="3"/>
    <x v="0"/>
  </r>
  <r>
    <s v="AIJ-100623"/>
    <x v="16"/>
    <x v="1"/>
    <x v="5"/>
    <x v="0"/>
    <x v="3"/>
    <x v="30"/>
    <x v="17"/>
    <x v="1"/>
    <n v="186291"/>
    <s v="Low"/>
    <x v="42"/>
    <n v="59"/>
    <x v="0"/>
    <x v="2"/>
    <n v="4.2300000000000004"/>
    <s v="Yes"/>
    <n v="2.46"/>
    <x v="2"/>
    <x v="2"/>
    <x v="2"/>
  </r>
  <r>
    <s v="AIJ-100624"/>
    <x v="11"/>
    <x v="7"/>
    <x v="8"/>
    <x v="2"/>
    <x v="23"/>
    <x v="74"/>
    <x v="7"/>
    <x v="0"/>
    <n v="99515"/>
    <s v="Medium"/>
    <x v="39"/>
    <n v="53"/>
    <x v="1"/>
    <x v="1"/>
    <n v="2.14"/>
    <s v="No"/>
    <n v="4.05"/>
    <x v="0"/>
    <x v="3"/>
    <x v="3"/>
  </r>
  <r>
    <s v="AIJ-100625"/>
    <x v="9"/>
    <x v="9"/>
    <x v="3"/>
    <x v="0"/>
    <x v="13"/>
    <x v="7"/>
    <x v="59"/>
    <x v="1"/>
    <n v="47386"/>
    <s v="Low"/>
    <x v="11"/>
    <n v="49"/>
    <x v="0"/>
    <x v="2"/>
    <n v="2.93"/>
    <s v="No"/>
    <n v="4.5999999999999996"/>
    <x v="1"/>
    <x v="1"/>
    <x v="1"/>
  </r>
  <r>
    <s v="AIJ-100626"/>
    <x v="16"/>
    <x v="8"/>
    <x v="4"/>
    <x v="1"/>
    <x v="9"/>
    <x v="19"/>
    <x v="46"/>
    <x v="0"/>
    <n v="179747"/>
    <s v="Low"/>
    <x v="21"/>
    <n v="32"/>
    <x v="0"/>
    <x v="2"/>
    <n v="4.1500000000000004"/>
    <s v="No"/>
    <n v="4.55"/>
    <x v="2"/>
    <x v="3"/>
    <x v="1"/>
  </r>
  <r>
    <s v="AIJ-100627"/>
    <x v="2"/>
    <x v="5"/>
    <x v="9"/>
    <x v="3"/>
    <x v="1"/>
    <x v="9"/>
    <x v="15"/>
    <x v="0"/>
    <n v="151149"/>
    <s v="Medium"/>
    <x v="15"/>
    <n v="41"/>
    <x v="0"/>
    <x v="2"/>
    <n v="3.74"/>
    <s v="Yes"/>
    <n v="3.99"/>
    <x v="1"/>
    <x v="2"/>
    <x v="1"/>
  </r>
  <r>
    <s v="AIJ-100628"/>
    <x v="4"/>
    <x v="4"/>
    <x v="5"/>
    <x v="2"/>
    <x v="11"/>
    <x v="66"/>
    <x v="17"/>
    <x v="1"/>
    <n v="92345"/>
    <s v="Medium"/>
    <x v="11"/>
    <n v="41"/>
    <x v="1"/>
    <x v="0"/>
    <n v="4.6100000000000003"/>
    <s v="No"/>
    <n v="2.81"/>
    <x v="2"/>
    <x v="3"/>
    <x v="1"/>
  </r>
  <r>
    <s v="AIJ-100629"/>
    <x v="4"/>
    <x v="1"/>
    <x v="5"/>
    <x v="0"/>
    <x v="1"/>
    <x v="34"/>
    <x v="19"/>
    <x v="2"/>
    <n v="118409"/>
    <s v="Medium"/>
    <x v="21"/>
    <n v="33"/>
    <x v="0"/>
    <x v="1"/>
    <n v="4.29"/>
    <s v="No"/>
    <n v="1.25"/>
    <x v="1"/>
    <x v="3"/>
    <x v="1"/>
  </r>
  <r>
    <s v="AIJ-100630"/>
    <x v="18"/>
    <x v="1"/>
    <x v="3"/>
    <x v="0"/>
    <x v="13"/>
    <x v="73"/>
    <x v="52"/>
    <x v="0"/>
    <n v="63108"/>
    <s v="High"/>
    <x v="42"/>
    <n v="42"/>
    <x v="0"/>
    <x v="2"/>
    <n v="2.4300000000000002"/>
    <s v="Yes"/>
    <n v="4.0999999999999996"/>
    <x v="2"/>
    <x v="0"/>
    <x v="1"/>
  </r>
  <r>
    <s v="AIJ-100631"/>
    <x v="4"/>
    <x v="7"/>
    <x v="1"/>
    <x v="2"/>
    <x v="2"/>
    <x v="48"/>
    <x v="38"/>
    <x v="0"/>
    <n v="169164"/>
    <s v="High"/>
    <x v="48"/>
    <n v="57"/>
    <x v="0"/>
    <x v="2"/>
    <n v="4.53"/>
    <s v="Yes"/>
    <n v="3.16"/>
    <x v="0"/>
    <x v="2"/>
    <x v="1"/>
  </r>
  <r>
    <s v="AIJ-100632"/>
    <x v="13"/>
    <x v="7"/>
    <x v="1"/>
    <x v="3"/>
    <x v="21"/>
    <x v="7"/>
    <x v="42"/>
    <x v="0"/>
    <n v="154923"/>
    <s v="Medium"/>
    <x v="18"/>
    <n v="47"/>
    <x v="0"/>
    <x v="1"/>
    <n v="2.63"/>
    <s v="Yes"/>
    <n v="1.24"/>
    <x v="1"/>
    <x v="3"/>
    <x v="0"/>
  </r>
  <r>
    <s v="AIJ-100633"/>
    <x v="15"/>
    <x v="8"/>
    <x v="7"/>
    <x v="0"/>
    <x v="11"/>
    <x v="35"/>
    <x v="42"/>
    <x v="0"/>
    <n v="93560"/>
    <s v="Low"/>
    <x v="34"/>
    <n v="41"/>
    <x v="1"/>
    <x v="2"/>
    <n v="4.8899999999999997"/>
    <s v="No"/>
    <n v="1.56"/>
    <x v="1"/>
    <x v="3"/>
    <x v="1"/>
  </r>
  <r>
    <s v="AIJ-100634"/>
    <x v="19"/>
    <x v="0"/>
    <x v="9"/>
    <x v="3"/>
    <x v="7"/>
    <x v="66"/>
    <x v="40"/>
    <x v="0"/>
    <n v="115844"/>
    <s v="High"/>
    <x v="44"/>
    <n v="45"/>
    <x v="1"/>
    <x v="0"/>
    <n v="3.31"/>
    <s v="Yes"/>
    <n v="3.17"/>
    <x v="0"/>
    <x v="3"/>
    <x v="1"/>
  </r>
  <r>
    <s v="AIJ-100635"/>
    <x v="13"/>
    <x v="4"/>
    <x v="0"/>
    <x v="1"/>
    <x v="25"/>
    <x v="13"/>
    <x v="55"/>
    <x v="2"/>
    <n v="59579"/>
    <s v="Medium"/>
    <x v="23"/>
    <n v="39"/>
    <x v="1"/>
    <x v="0"/>
    <n v="2.31"/>
    <s v="No"/>
    <n v="1.97"/>
    <x v="0"/>
    <x v="0"/>
    <x v="1"/>
  </r>
  <r>
    <s v="AIJ-100636"/>
    <x v="5"/>
    <x v="5"/>
    <x v="5"/>
    <x v="0"/>
    <x v="2"/>
    <x v="39"/>
    <x v="57"/>
    <x v="1"/>
    <n v="102316"/>
    <s v="Medium"/>
    <x v="1"/>
    <n v="30"/>
    <x v="1"/>
    <x v="0"/>
    <n v="4.42"/>
    <s v="Yes"/>
    <n v="3.34"/>
    <x v="2"/>
    <x v="0"/>
    <x v="1"/>
  </r>
  <r>
    <s v="AIJ-100637"/>
    <x v="15"/>
    <x v="6"/>
    <x v="0"/>
    <x v="2"/>
    <x v="11"/>
    <x v="13"/>
    <x v="75"/>
    <x v="2"/>
    <n v="204996"/>
    <s v="Low"/>
    <x v="12"/>
    <n v="33"/>
    <x v="1"/>
    <x v="2"/>
    <n v="3.08"/>
    <s v="No"/>
    <n v="4.26"/>
    <x v="0"/>
    <x v="3"/>
    <x v="1"/>
  </r>
  <r>
    <s v="AIJ-100638"/>
    <x v="14"/>
    <x v="6"/>
    <x v="4"/>
    <x v="1"/>
    <x v="21"/>
    <x v="76"/>
    <x v="75"/>
    <x v="2"/>
    <n v="134514"/>
    <s v="Medium"/>
    <x v="47"/>
    <n v="39"/>
    <x v="2"/>
    <x v="2"/>
    <n v="4.1900000000000004"/>
    <s v="No"/>
    <n v="2.4300000000000002"/>
    <x v="0"/>
    <x v="3"/>
    <x v="0"/>
  </r>
  <r>
    <s v="AIJ-100639"/>
    <x v="5"/>
    <x v="8"/>
    <x v="4"/>
    <x v="3"/>
    <x v="24"/>
    <x v="12"/>
    <x v="41"/>
    <x v="1"/>
    <n v="196410"/>
    <s v="Medium"/>
    <x v="45"/>
    <n v="56"/>
    <x v="1"/>
    <x v="1"/>
    <n v="4.57"/>
    <s v="No"/>
    <n v="2.41"/>
    <x v="0"/>
    <x v="3"/>
    <x v="1"/>
  </r>
  <r>
    <s v="AIJ-100640"/>
    <x v="11"/>
    <x v="9"/>
    <x v="1"/>
    <x v="0"/>
    <x v="8"/>
    <x v="64"/>
    <x v="32"/>
    <x v="1"/>
    <n v="112031"/>
    <s v="High"/>
    <x v="55"/>
    <n v="41"/>
    <x v="2"/>
    <x v="1"/>
    <n v="4.6900000000000004"/>
    <s v="Yes"/>
    <n v="4.84"/>
    <x v="1"/>
    <x v="3"/>
    <x v="2"/>
  </r>
  <r>
    <s v="AIJ-100641"/>
    <x v="7"/>
    <x v="5"/>
    <x v="9"/>
    <x v="1"/>
    <x v="5"/>
    <x v="56"/>
    <x v="27"/>
    <x v="2"/>
    <n v="176927"/>
    <s v="High"/>
    <x v="13"/>
    <n v="36"/>
    <x v="1"/>
    <x v="2"/>
    <n v="4.13"/>
    <s v="No"/>
    <n v="4.41"/>
    <x v="2"/>
    <x v="2"/>
    <x v="3"/>
  </r>
  <r>
    <s v="AIJ-100642"/>
    <x v="11"/>
    <x v="3"/>
    <x v="2"/>
    <x v="3"/>
    <x v="20"/>
    <x v="11"/>
    <x v="22"/>
    <x v="1"/>
    <n v="107047"/>
    <s v="Low"/>
    <x v="7"/>
    <n v="47"/>
    <x v="1"/>
    <x v="0"/>
    <n v="4.9800000000000004"/>
    <s v="Yes"/>
    <n v="2.98"/>
    <x v="0"/>
    <x v="0"/>
    <x v="2"/>
  </r>
  <r>
    <s v="AIJ-100643"/>
    <x v="6"/>
    <x v="6"/>
    <x v="0"/>
    <x v="0"/>
    <x v="18"/>
    <x v="57"/>
    <x v="66"/>
    <x v="1"/>
    <n v="107802"/>
    <s v="High"/>
    <x v="24"/>
    <n v="48"/>
    <x v="1"/>
    <x v="1"/>
    <n v="2.56"/>
    <s v="No"/>
    <n v="3.51"/>
    <x v="1"/>
    <x v="1"/>
    <x v="3"/>
  </r>
  <r>
    <s v="AIJ-100644"/>
    <x v="0"/>
    <x v="7"/>
    <x v="2"/>
    <x v="1"/>
    <x v="23"/>
    <x v="7"/>
    <x v="3"/>
    <x v="2"/>
    <n v="113926"/>
    <s v="Low"/>
    <x v="35"/>
    <n v="47"/>
    <x v="0"/>
    <x v="2"/>
    <n v="2.29"/>
    <s v="No"/>
    <n v="3.14"/>
    <x v="2"/>
    <x v="3"/>
    <x v="3"/>
  </r>
  <r>
    <s v="AIJ-100645"/>
    <x v="13"/>
    <x v="9"/>
    <x v="0"/>
    <x v="0"/>
    <x v="6"/>
    <x v="76"/>
    <x v="29"/>
    <x v="0"/>
    <n v="192216"/>
    <s v="Low"/>
    <x v="24"/>
    <n v="44"/>
    <x v="0"/>
    <x v="0"/>
    <n v="2.17"/>
    <s v="No"/>
    <n v="2.91"/>
    <x v="0"/>
    <x v="2"/>
    <x v="0"/>
  </r>
  <r>
    <s v="AIJ-100646"/>
    <x v="11"/>
    <x v="9"/>
    <x v="7"/>
    <x v="1"/>
    <x v="5"/>
    <x v="39"/>
    <x v="51"/>
    <x v="0"/>
    <n v="37229"/>
    <s v="High"/>
    <x v="40"/>
    <n v="39"/>
    <x v="0"/>
    <x v="0"/>
    <n v="4.0199999999999996"/>
    <s v="No"/>
    <n v="1.93"/>
    <x v="0"/>
    <x v="3"/>
    <x v="3"/>
  </r>
  <r>
    <s v="AIJ-100647"/>
    <x v="11"/>
    <x v="0"/>
    <x v="9"/>
    <x v="0"/>
    <x v="24"/>
    <x v="1"/>
    <x v="37"/>
    <x v="0"/>
    <n v="48615"/>
    <s v="High"/>
    <x v="9"/>
    <n v="37"/>
    <x v="0"/>
    <x v="2"/>
    <n v="4.51"/>
    <s v="Yes"/>
    <n v="3.6"/>
    <x v="1"/>
    <x v="2"/>
    <x v="1"/>
  </r>
  <r>
    <s v="AIJ-100648"/>
    <x v="15"/>
    <x v="4"/>
    <x v="7"/>
    <x v="0"/>
    <x v="22"/>
    <x v="10"/>
    <x v="12"/>
    <x v="1"/>
    <n v="209661"/>
    <s v="Low"/>
    <x v="47"/>
    <n v="39"/>
    <x v="2"/>
    <x v="2"/>
    <n v="4.12"/>
    <s v="No"/>
    <n v="3"/>
    <x v="2"/>
    <x v="2"/>
    <x v="2"/>
  </r>
  <r>
    <s v="AIJ-100649"/>
    <x v="8"/>
    <x v="1"/>
    <x v="8"/>
    <x v="2"/>
    <x v="13"/>
    <x v="67"/>
    <x v="44"/>
    <x v="0"/>
    <n v="54648"/>
    <s v="High"/>
    <x v="49"/>
    <n v="33"/>
    <x v="1"/>
    <x v="2"/>
    <n v="4.8899999999999997"/>
    <s v="Yes"/>
    <n v="1.02"/>
    <x v="1"/>
    <x v="2"/>
    <x v="1"/>
  </r>
  <r>
    <s v="AIJ-100650"/>
    <x v="16"/>
    <x v="7"/>
    <x v="2"/>
    <x v="1"/>
    <x v="15"/>
    <x v="67"/>
    <x v="35"/>
    <x v="1"/>
    <n v="170303"/>
    <s v="High"/>
    <x v="42"/>
    <n v="58"/>
    <x v="2"/>
    <x v="0"/>
    <n v="4.54"/>
    <s v="Yes"/>
    <n v="3.03"/>
    <x v="1"/>
    <x v="2"/>
    <x v="1"/>
  </r>
  <r>
    <s v="AIJ-100651"/>
    <x v="4"/>
    <x v="3"/>
    <x v="9"/>
    <x v="1"/>
    <x v="19"/>
    <x v="89"/>
    <x v="26"/>
    <x v="1"/>
    <n v="209052"/>
    <s v="Low"/>
    <x v="44"/>
    <n v="34"/>
    <x v="0"/>
    <x v="1"/>
    <n v="4.8099999999999996"/>
    <s v="No"/>
    <n v="4.1399999999999997"/>
    <x v="2"/>
    <x v="1"/>
    <x v="2"/>
  </r>
  <r>
    <s v="AIJ-100652"/>
    <x v="16"/>
    <x v="4"/>
    <x v="8"/>
    <x v="3"/>
    <x v="0"/>
    <x v="66"/>
    <x v="22"/>
    <x v="1"/>
    <n v="158651"/>
    <s v="High"/>
    <x v="18"/>
    <n v="54"/>
    <x v="0"/>
    <x v="2"/>
    <n v="4.54"/>
    <s v="Yes"/>
    <n v="3.65"/>
    <x v="1"/>
    <x v="0"/>
    <x v="0"/>
  </r>
  <r>
    <s v="AIJ-100653"/>
    <x v="14"/>
    <x v="4"/>
    <x v="7"/>
    <x v="0"/>
    <x v="6"/>
    <x v="34"/>
    <x v="78"/>
    <x v="1"/>
    <n v="194191"/>
    <s v="Low"/>
    <x v="55"/>
    <n v="33"/>
    <x v="2"/>
    <x v="0"/>
    <n v="3.45"/>
    <s v="No"/>
    <n v="2.2200000000000002"/>
    <x v="1"/>
    <x v="1"/>
    <x v="0"/>
  </r>
  <r>
    <s v="AIJ-100654"/>
    <x v="2"/>
    <x v="5"/>
    <x v="1"/>
    <x v="3"/>
    <x v="24"/>
    <x v="10"/>
    <x v="65"/>
    <x v="0"/>
    <n v="184001"/>
    <s v="High"/>
    <x v="14"/>
    <n v="31"/>
    <x v="2"/>
    <x v="1"/>
    <n v="2.56"/>
    <s v="Yes"/>
    <n v="4.29"/>
    <x v="0"/>
    <x v="1"/>
    <x v="1"/>
  </r>
  <r>
    <s v="AIJ-100655"/>
    <x v="13"/>
    <x v="8"/>
    <x v="4"/>
    <x v="3"/>
    <x v="6"/>
    <x v="29"/>
    <x v="4"/>
    <x v="2"/>
    <n v="55860"/>
    <s v="Low"/>
    <x v="55"/>
    <n v="36"/>
    <x v="0"/>
    <x v="0"/>
    <n v="3.84"/>
    <s v="Yes"/>
    <n v="4.6900000000000004"/>
    <x v="2"/>
    <x v="3"/>
    <x v="0"/>
  </r>
  <r>
    <s v="AIJ-100656"/>
    <x v="4"/>
    <x v="4"/>
    <x v="4"/>
    <x v="3"/>
    <x v="5"/>
    <x v="9"/>
    <x v="4"/>
    <x v="0"/>
    <n v="116704"/>
    <s v="Low"/>
    <x v="25"/>
    <n v="49"/>
    <x v="1"/>
    <x v="0"/>
    <n v="4.01"/>
    <s v="No"/>
    <n v="3.72"/>
    <x v="0"/>
    <x v="3"/>
    <x v="3"/>
  </r>
  <r>
    <s v="AIJ-100657"/>
    <x v="16"/>
    <x v="9"/>
    <x v="6"/>
    <x v="2"/>
    <x v="4"/>
    <x v="43"/>
    <x v="24"/>
    <x v="2"/>
    <n v="102898"/>
    <s v="Medium"/>
    <x v="39"/>
    <n v="52"/>
    <x v="2"/>
    <x v="2"/>
    <n v="3.99"/>
    <s v="Yes"/>
    <n v="1.28"/>
    <x v="2"/>
    <x v="3"/>
    <x v="1"/>
  </r>
  <r>
    <s v="AIJ-100658"/>
    <x v="15"/>
    <x v="1"/>
    <x v="9"/>
    <x v="3"/>
    <x v="16"/>
    <x v="25"/>
    <x v="15"/>
    <x v="2"/>
    <n v="97239"/>
    <s v="Medium"/>
    <x v="47"/>
    <n v="54"/>
    <x v="1"/>
    <x v="1"/>
    <n v="4.47"/>
    <s v="Yes"/>
    <n v="4.8"/>
    <x v="0"/>
    <x v="3"/>
    <x v="3"/>
  </r>
  <r>
    <s v="AIJ-100659"/>
    <x v="4"/>
    <x v="0"/>
    <x v="2"/>
    <x v="1"/>
    <x v="12"/>
    <x v="6"/>
    <x v="17"/>
    <x v="2"/>
    <n v="131728"/>
    <s v="Medium"/>
    <x v="40"/>
    <n v="53"/>
    <x v="1"/>
    <x v="1"/>
    <n v="3.79"/>
    <s v="Yes"/>
    <n v="3.65"/>
    <x v="0"/>
    <x v="3"/>
    <x v="3"/>
  </r>
  <r>
    <s v="AIJ-100660"/>
    <x v="4"/>
    <x v="7"/>
    <x v="3"/>
    <x v="1"/>
    <x v="4"/>
    <x v="45"/>
    <x v="72"/>
    <x v="0"/>
    <n v="95746"/>
    <s v="Medium"/>
    <x v="52"/>
    <n v="34"/>
    <x v="2"/>
    <x v="0"/>
    <n v="2.19"/>
    <s v="Yes"/>
    <n v="3.51"/>
    <x v="1"/>
    <x v="3"/>
    <x v="1"/>
  </r>
  <r>
    <s v="AIJ-100661"/>
    <x v="0"/>
    <x v="7"/>
    <x v="8"/>
    <x v="2"/>
    <x v="2"/>
    <x v="87"/>
    <x v="39"/>
    <x v="0"/>
    <n v="67581"/>
    <s v="Medium"/>
    <x v="28"/>
    <n v="47"/>
    <x v="1"/>
    <x v="0"/>
    <n v="4.16"/>
    <s v="No"/>
    <n v="2.48"/>
    <x v="2"/>
    <x v="3"/>
    <x v="1"/>
  </r>
  <r>
    <s v="AIJ-100662"/>
    <x v="2"/>
    <x v="0"/>
    <x v="4"/>
    <x v="2"/>
    <x v="11"/>
    <x v="85"/>
    <x v="11"/>
    <x v="2"/>
    <n v="131587"/>
    <s v="Low"/>
    <x v="14"/>
    <n v="50"/>
    <x v="2"/>
    <x v="0"/>
    <n v="3.93"/>
    <s v="No"/>
    <n v="3.74"/>
    <x v="1"/>
    <x v="3"/>
    <x v="1"/>
  </r>
  <r>
    <s v="AIJ-100663"/>
    <x v="0"/>
    <x v="7"/>
    <x v="4"/>
    <x v="1"/>
    <x v="16"/>
    <x v="21"/>
    <x v="36"/>
    <x v="2"/>
    <n v="149071"/>
    <s v="High"/>
    <x v="42"/>
    <n v="60"/>
    <x v="2"/>
    <x v="1"/>
    <n v="4.6500000000000004"/>
    <s v="No"/>
    <n v="3.96"/>
    <x v="1"/>
    <x v="3"/>
    <x v="3"/>
  </r>
  <r>
    <s v="AIJ-100664"/>
    <x v="17"/>
    <x v="7"/>
    <x v="4"/>
    <x v="0"/>
    <x v="12"/>
    <x v="14"/>
    <x v="71"/>
    <x v="1"/>
    <n v="135442"/>
    <s v="Medium"/>
    <x v="8"/>
    <n v="44"/>
    <x v="2"/>
    <x v="1"/>
    <n v="3.39"/>
    <s v="No"/>
    <n v="2.2999999999999998"/>
    <x v="1"/>
    <x v="3"/>
    <x v="3"/>
  </r>
  <r>
    <s v="AIJ-100665"/>
    <x v="11"/>
    <x v="7"/>
    <x v="3"/>
    <x v="0"/>
    <x v="17"/>
    <x v="23"/>
    <x v="12"/>
    <x v="2"/>
    <n v="202838"/>
    <s v="Medium"/>
    <x v="0"/>
    <n v="42"/>
    <x v="1"/>
    <x v="1"/>
    <n v="2.33"/>
    <s v="No"/>
    <n v="2.2000000000000002"/>
    <x v="0"/>
    <x v="2"/>
    <x v="3"/>
  </r>
  <r>
    <s v="AIJ-100666"/>
    <x v="4"/>
    <x v="9"/>
    <x v="8"/>
    <x v="1"/>
    <x v="5"/>
    <x v="9"/>
    <x v="3"/>
    <x v="2"/>
    <n v="143189"/>
    <s v="High"/>
    <x v="42"/>
    <n v="38"/>
    <x v="0"/>
    <x v="0"/>
    <n v="3.69"/>
    <s v="Yes"/>
    <n v="3.56"/>
    <x v="0"/>
    <x v="3"/>
    <x v="3"/>
  </r>
  <r>
    <s v="AIJ-100667"/>
    <x v="1"/>
    <x v="3"/>
    <x v="0"/>
    <x v="2"/>
    <x v="2"/>
    <x v="22"/>
    <x v="0"/>
    <x v="0"/>
    <n v="157581"/>
    <s v="Low"/>
    <x v="1"/>
    <n v="30"/>
    <x v="1"/>
    <x v="2"/>
    <n v="2.99"/>
    <s v="Yes"/>
    <n v="2.25"/>
    <x v="1"/>
    <x v="0"/>
    <x v="1"/>
  </r>
  <r>
    <s v="AIJ-100668"/>
    <x v="2"/>
    <x v="9"/>
    <x v="3"/>
    <x v="3"/>
    <x v="25"/>
    <x v="4"/>
    <x v="2"/>
    <x v="0"/>
    <n v="112706"/>
    <s v="Medium"/>
    <x v="33"/>
    <n v="33"/>
    <x v="0"/>
    <x v="2"/>
    <n v="4.7"/>
    <s v="Yes"/>
    <n v="1.65"/>
    <x v="2"/>
    <x v="3"/>
    <x v="1"/>
  </r>
  <r>
    <s v="AIJ-100669"/>
    <x v="13"/>
    <x v="0"/>
    <x v="8"/>
    <x v="1"/>
    <x v="5"/>
    <x v="33"/>
    <x v="69"/>
    <x v="1"/>
    <n v="68442"/>
    <s v="Medium"/>
    <x v="19"/>
    <n v="35"/>
    <x v="1"/>
    <x v="0"/>
    <n v="4.0599999999999996"/>
    <s v="No"/>
    <n v="4.72"/>
    <x v="0"/>
    <x v="2"/>
    <x v="3"/>
  </r>
  <r>
    <s v="AIJ-100670"/>
    <x v="18"/>
    <x v="0"/>
    <x v="1"/>
    <x v="1"/>
    <x v="15"/>
    <x v="61"/>
    <x v="55"/>
    <x v="1"/>
    <n v="52284"/>
    <s v="High"/>
    <x v="16"/>
    <n v="59"/>
    <x v="1"/>
    <x v="2"/>
    <n v="4.9800000000000004"/>
    <s v="Yes"/>
    <n v="4.8499999999999996"/>
    <x v="1"/>
    <x v="3"/>
    <x v="1"/>
  </r>
  <r>
    <s v="AIJ-100671"/>
    <x v="18"/>
    <x v="1"/>
    <x v="4"/>
    <x v="3"/>
    <x v="7"/>
    <x v="36"/>
    <x v="24"/>
    <x v="0"/>
    <n v="74318"/>
    <s v="Medium"/>
    <x v="31"/>
    <n v="58"/>
    <x v="1"/>
    <x v="2"/>
    <n v="3.95"/>
    <s v="No"/>
    <n v="2.0499999999999998"/>
    <x v="1"/>
    <x v="2"/>
    <x v="1"/>
  </r>
  <r>
    <s v="AIJ-100672"/>
    <x v="19"/>
    <x v="3"/>
    <x v="8"/>
    <x v="3"/>
    <x v="5"/>
    <x v="82"/>
    <x v="21"/>
    <x v="0"/>
    <n v="193622"/>
    <s v="Medium"/>
    <x v="52"/>
    <n v="42"/>
    <x v="1"/>
    <x v="0"/>
    <n v="4.0199999999999996"/>
    <s v="No"/>
    <n v="2.34"/>
    <x v="0"/>
    <x v="2"/>
    <x v="3"/>
  </r>
  <r>
    <s v="AIJ-100673"/>
    <x v="3"/>
    <x v="9"/>
    <x v="2"/>
    <x v="3"/>
    <x v="7"/>
    <x v="46"/>
    <x v="35"/>
    <x v="0"/>
    <n v="99906"/>
    <s v="Low"/>
    <x v="17"/>
    <n v="34"/>
    <x v="1"/>
    <x v="2"/>
    <n v="2.2200000000000002"/>
    <s v="No"/>
    <n v="1.26"/>
    <x v="0"/>
    <x v="3"/>
    <x v="1"/>
  </r>
  <r>
    <s v="AIJ-100674"/>
    <x v="3"/>
    <x v="8"/>
    <x v="0"/>
    <x v="0"/>
    <x v="4"/>
    <x v="45"/>
    <x v="56"/>
    <x v="1"/>
    <n v="191863"/>
    <s v="High"/>
    <x v="47"/>
    <n v="49"/>
    <x v="1"/>
    <x v="2"/>
    <n v="4.1100000000000003"/>
    <s v="Yes"/>
    <n v="4.67"/>
    <x v="2"/>
    <x v="0"/>
    <x v="1"/>
  </r>
  <r>
    <s v="AIJ-100675"/>
    <x v="3"/>
    <x v="4"/>
    <x v="5"/>
    <x v="1"/>
    <x v="10"/>
    <x v="62"/>
    <x v="38"/>
    <x v="0"/>
    <n v="43106"/>
    <s v="High"/>
    <x v="55"/>
    <n v="49"/>
    <x v="0"/>
    <x v="2"/>
    <n v="3.41"/>
    <s v="Yes"/>
    <n v="2.77"/>
    <x v="0"/>
    <x v="1"/>
    <x v="3"/>
  </r>
  <r>
    <s v="AIJ-100676"/>
    <x v="16"/>
    <x v="0"/>
    <x v="2"/>
    <x v="1"/>
    <x v="3"/>
    <x v="3"/>
    <x v="14"/>
    <x v="1"/>
    <n v="180846"/>
    <s v="Low"/>
    <x v="43"/>
    <n v="42"/>
    <x v="0"/>
    <x v="0"/>
    <n v="2.89"/>
    <s v="No"/>
    <n v="3.03"/>
    <x v="1"/>
    <x v="0"/>
    <x v="2"/>
  </r>
  <r>
    <s v="AIJ-100677"/>
    <x v="5"/>
    <x v="1"/>
    <x v="1"/>
    <x v="2"/>
    <x v="0"/>
    <x v="22"/>
    <x v="28"/>
    <x v="0"/>
    <n v="209183"/>
    <s v="Medium"/>
    <x v="41"/>
    <n v="58"/>
    <x v="0"/>
    <x v="2"/>
    <n v="3.86"/>
    <s v="No"/>
    <n v="1.32"/>
    <x v="0"/>
    <x v="2"/>
    <x v="0"/>
  </r>
  <r>
    <s v="AIJ-100678"/>
    <x v="2"/>
    <x v="1"/>
    <x v="5"/>
    <x v="0"/>
    <x v="17"/>
    <x v="29"/>
    <x v="50"/>
    <x v="2"/>
    <n v="47269"/>
    <s v="Medium"/>
    <x v="49"/>
    <n v="45"/>
    <x v="2"/>
    <x v="1"/>
    <n v="2.94"/>
    <s v="Yes"/>
    <n v="1.91"/>
    <x v="2"/>
    <x v="2"/>
    <x v="3"/>
  </r>
  <r>
    <s v="AIJ-100679"/>
    <x v="13"/>
    <x v="9"/>
    <x v="3"/>
    <x v="1"/>
    <x v="22"/>
    <x v="14"/>
    <x v="15"/>
    <x v="2"/>
    <n v="135707"/>
    <s v="Medium"/>
    <x v="27"/>
    <n v="60"/>
    <x v="1"/>
    <x v="2"/>
    <n v="4.3600000000000003"/>
    <s v="No"/>
    <n v="4.96"/>
    <x v="0"/>
    <x v="1"/>
    <x v="2"/>
  </r>
  <r>
    <s v="AIJ-100680"/>
    <x v="17"/>
    <x v="3"/>
    <x v="1"/>
    <x v="1"/>
    <x v="19"/>
    <x v="62"/>
    <x v="69"/>
    <x v="0"/>
    <n v="75293"/>
    <s v="Medium"/>
    <x v="19"/>
    <n v="34"/>
    <x v="2"/>
    <x v="1"/>
    <n v="2.59"/>
    <s v="No"/>
    <n v="2.57"/>
    <x v="1"/>
    <x v="2"/>
    <x v="2"/>
  </r>
  <r>
    <s v="AIJ-100681"/>
    <x v="12"/>
    <x v="6"/>
    <x v="5"/>
    <x v="2"/>
    <x v="6"/>
    <x v="54"/>
    <x v="20"/>
    <x v="1"/>
    <n v="71896"/>
    <s v="High"/>
    <x v="19"/>
    <n v="49"/>
    <x v="2"/>
    <x v="2"/>
    <n v="2.71"/>
    <s v="No"/>
    <n v="4.21"/>
    <x v="1"/>
    <x v="3"/>
    <x v="0"/>
  </r>
  <r>
    <s v="AIJ-100682"/>
    <x v="11"/>
    <x v="8"/>
    <x v="9"/>
    <x v="3"/>
    <x v="23"/>
    <x v="65"/>
    <x v="20"/>
    <x v="2"/>
    <n v="61941"/>
    <s v="Medium"/>
    <x v="17"/>
    <n v="52"/>
    <x v="1"/>
    <x v="1"/>
    <n v="3.7"/>
    <s v="No"/>
    <n v="1.25"/>
    <x v="1"/>
    <x v="2"/>
    <x v="3"/>
  </r>
  <r>
    <s v="AIJ-100683"/>
    <x v="12"/>
    <x v="1"/>
    <x v="9"/>
    <x v="3"/>
    <x v="11"/>
    <x v="69"/>
    <x v="14"/>
    <x v="1"/>
    <n v="111929"/>
    <s v="High"/>
    <x v="9"/>
    <n v="58"/>
    <x v="1"/>
    <x v="1"/>
    <n v="4.34"/>
    <s v="Yes"/>
    <n v="3.83"/>
    <x v="0"/>
    <x v="0"/>
    <x v="1"/>
  </r>
  <r>
    <s v="AIJ-100684"/>
    <x v="15"/>
    <x v="8"/>
    <x v="0"/>
    <x v="3"/>
    <x v="6"/>
    <x v="86"/>
    <x v="61"/>
    <x v="2"/>
    <n v="55056"/>
    <s v="Medium"/>
    <x v="4"/>
    <n v="49"/>
    <x v="0"/>
    <x v="1"/>
    <n v="2.2000000000000002"/>
    <s v="No"/>
    <n v="4.1100000000000003"/>
    <x v="1"/>
    <x v="3"/>
    <x v="0"/>
  </r>
  <r>
    <s v="AIJ-100685"/>
    <x v="11"/>
    <x v="9"/>
    <x v="9"/>
    <x v="1"/>
    <x v="9"/>
    <x v="0"/>
    <x v="48"/>
    <x v="1"/>
    <n v="123367"/>
    <s v="Medium"/>
    <x v="55"/>
    <n v="40"/>
    <x v="0"/>
    <x v="0"/>
    <n v="2.6"/>
    <s v="Yes"/>
    <n v="4.83"/>
    <x v="0"/>
    <x v="2"/>
    <x v="1"/>
  </r>
  <r>
    <s v="AIJ-100686"/>
    <x v="15"/>
    <x v="4"/>
    <x v="8"/>
    <x v="3"/>
    <x v="14"/>
    <x v="70"/>
    <x v="61"/>
    <x v="0"/>
    <n v="95071"/>
    <s v="Low"/>
    <x v="46"/>
    <n v="30"/>
    <x v="1"/>
    <x v="0"/>
    <n v="3.93"/>
    <s v="No"/>
    <n v="1.31"/>
    <x v="1"/>
    <x v="3"/>
    <x v="2"/>
  </r>
  <r>
    <s v="AIJ-100687"/>
    <x v="13"/>
    <x v="1"/>
    <x v="4"/>
    <x v="0"/>
    <x v="16"/>
    <x v="24"/>
    <x v="76"/>
    <x v="0"/>
    <n v="101710"/>
    <s v="High"/>
    <x v="36"/>
    <n v="40"/>
    <x v="1"/>
    <x v="2"/>
    <n v="2.16"/>
    <s v="No"/>
    <n v="3.21"/>
    <x v="1"/>
    <x v="2"/>
    <x v="3"/>
  </r>
  <r>
    <s v="AIJ-100688"/>
    <x v="1"/>
    <x v="3"/>
    <x v="8"/>
    <x v="3"/>
    <x v="23"/>
    <x v="81"/>
    <x v="15"/>
    <x v="2"/>
    <n v="76661"/>
    <s v="High"/>
    <x v="39"/>
    <n v="58"/>
    <x v="0"/>
    <x v="2"/>
    <n v="4.17"/>
    <s v="Yes"/>
    <n v="2.99"/>
    <x v="2"/>
    <x v="3"/>
    <x v="3"/>
  </r>
  <r>
    <s v="AIJ-100689"/>
    <x v="1"/>
    <x v="0"/>
    <x v="7"/>
    <x v="3"/>
    <x v="1"/>
    <x v="69"/>
    <x v="43"/>
    <x v="0"/>
    <n v="123606"/>
    <s v="Medium"/>
    <x v="16"/>
    <n v="47"/>
    <x v="1"/>
    <x v="0"/>
    <n v="3.25"/>
    <s v="No"/>
    <n v="3.78"/>
    <x v="0"/>
    <x v="0"/>
    <x v="1"/>
  </r>
  <r>
    <s v="AIJ-100690"/>
    <x v="6"/>
    <x v="2"/>
    <x v="8"/>
    <x v="2"/>
    <x v="0"/>
    <x v="6"/>
    <x v="4"/>
    <x v="2"/>
    <n v="98355"/>
    <s v="High"/>
    <x v="29"/>
    <n v="45"/>
    <x v="1"/>
    <x v="2"/>
    <n v="2.66"/>
    <s v="Yes"/>
    <n v="4.8"/>
    <x v="2"/>
    <x v="0"/>
    <x v="0"/>
  </r>
  <r>
    <s v="AIJ-100691"/>
    <x v="14"/>
    <x v="5"/>
    <x v="2"/>
    <x v="2"/>
    <x v="8"/>
    <x v="34"/>
    <x v="35"/>
    <x v="2"/>
    <n v="205542"/>
    <s v="Low"/>
    <x v="0"/>
    <n v="37"/>
    <x v="0"/>
    <x v="1"/>
    <n v="2.02"/>
    <s v="Yes"/>
    <n v="3.33"/>
    <x v="1"/>
    <x v="2"/>
    <x v="2"/>
  </r>
  <r>
    <s v="AIJ-100692"/>
    <x v="7"/>
    <x v="1"/>
    <x v="9"/>
    <x v="3"/>
    <x v="7"/>
    <x v="45"/>
    <x v="30"/>
    <x v="1"/>
    <n v="193261"/>
    <s v="Low"/>
    <x v="34"/>
    <n v="36"/>
    <x v="0"/>
    <x v="1"/>
    <n v="3"/>
    <s v="No"/>
    <n v="4.59"/>
    <x v="1"/>
    <x v="0"/>
    <x v="1"/>
  </r>
  <r>
    <s v="AIJ-100693"/>
    <x v="8"/>
    <x v="4"/>
    <x v="4"/>
    <x v="1"/>
    <x v="19"/>
    <x v="24"/>
    <x v="22"/>
    <x v="0"/>
    <n v="206120"/>
    <s v="Medium"/>
    <x v="17"/>
    <n v="33"/>
    <x v="0"/>
    <x v="2"/>
    <n v="2.6"/>
    <s v="No"/>
    <n v="4.33"/>
    <x v="0"/>
    <x v="3"/>
    <x v="2"/>
  </r>
  <r>
    <s v="AIJ-100694"/>
    <x v="16"/>
    <x v="5"/>
    <x v="8"/>
    <x v="3"/>
    <x v="21"/>
    <x v="51"/>
    <x v="38"/>
    <x v="0"/>
    <n v="96147"/>
    <s v="Low"/>
    <x v="10"/>
    <n v="40"/>
    <x v="1"/>
    <x v="1"/>
    <n v="4.84"/>
    <s v="No"/>
    <n v="3.88"/>
    <x v="1"/>
    <x v="2"/>
    <x v="0"/>
  </r>
  <r>
    <s v="AIJ-100695"/>
    <x v="3"/>
    <x v="3"/>
    <x v="2"/>
    <x v="2"/>
    <x v="21"/>
    <x v="71"/>
    <x v="62"/>
    <x v="2"/>
    <n v="95147"/>
    <s v="Low"/>
    <x v="11"/>
    <n v="30"/>
    <x v="2"/>
    <x v="2"/>
    <n v="2.91"/>
    <s v="No"/>
    <n v="3.91"/>
    <x v="2"/>
    <x v="2"/>
    <x v="0"/>
  </r>
  <r>
    <s v="AIJ-100696"/>
    <x v="3"/>
    <x v="1"/>
    <x v="7"/>
    <x v="2"/>
    <x v="16"/>
    <x v="51"/>
    <x v="42"/>
    <x v="0"/>
    <n v="127732"/>
    <s v="Low"/>
    <x v="33"/>
    <n v="34"/>
    <x v="2"/>
    <x v="1"/>
    <n v="4.79"/>
    <s v="Yes"/>
    <n v="1.48"/>
    <x v="0"/>
    <x v="3"/>
    <x v="3"/>
  </r>
  <r>
    <s v="AIJ-100697"/>
    <x v="2"/>
    <x v="5"/>
    <x v="6"/>
    <x v="3"/>
    <x v="21"/>
    <x v="6"/>
    <x v="57"/>
    <x v="2"/>
    <n v="149339"/>
    <s v="High"/>
    <x v="19"/>
    <n v="32"/>
    <x v="0"/>
    <x v="0"/>
    <n v="2.46"/>
    <s v="Yes"/>
    <n v="2.59"/>
    <x v="1"/>
    <x v="0"/>
    <x v="0"/>
  </r>
  <r>
    <s v="AIJ-100698"/>
    <x v="2"/>
    <x v="6"/>
    <x v="2"/>
    <x v="3"/>
    <x v="25"/>
    <x v="2"/>
    <x v="24"/>
    <x v="1"/>
    <n v="33478"/>
    <s v="High"/>
    <x v="19"/>
    <n v="36"/>
    <x v="2"/>
    <x v="2"/>
    <n v="4.01"/>
    <s v="Yes"/>
    <n v="1.94"/>
    <x v="1"/>
    <x v="2"/>
    <x v="1"/>
  </r>
  <r>
    <s v="AIJ-100699"/>
    <x v="7"/>
    <x v="7"/>
    <x v="2"/>
    <x v="3"/>
    <x v="18"/>
    <x v="62"/>
    <x v="57"/>
    <x v="1"/>
    <n v="42397"/>
    <s v="High"/>
    <x v="43"/>
    <n v="41"/>
    <x v="0"/>
    <x v="1"/>
    <n v="4.18"/>
    <s v="Yes"/>
    <n v="2.2799999999999998"/>
    <x v="0"/>
    <x v="3"/>
    <x v="3"/>
  </r>
  <r>
    <s v="AIJ-100700"/>
    <x v="12"/>
    <x v="5"/>
    <x v="7"/>
    <x v="3"/>
    <x v="12"/>
    <x v="40"/>
    <x v="53"/>
    <x v="0"/>
    <n v="68701"/>
    <s v="High"/>
    <x v="3"/>
    <n v="58"/>
    <x v="1"/>
    <x v="1"/>
    <n v="4.7699999999999996"/>
    <s v="No"/>
    <n v="2.8"/>
    <x v="0"/>
    <x v="2"/>
    <x v="3"/>
  </r>
  <r>
    <s v="AIJ-100701"/>
    <x v="2"/>
    <x v="8"/>
    <x v="4"/>
    <x v="0"/>
    <x v="6"/>
    <x v="42"/>
    <x v="30"/>
    <x v="1"/>
    <n v="71793"/>
    <s v="Low"/>
    <x v="5"/>
    <n v="47"/>
    <x v="1"/>
    <x v="0"/>
    <n v="2.31"/>
    <s v="Yes"/>
    <n v="2.02"/>
    <x v="0"/>
    <x v="0"/>
    <x v="0"/>
  </r>
  <r>
    <s v="AIJ-100702"/>
    <x v="0"/>
    <x v="4"/>
    <x v="9"/>
    <x v="0"/>
    <x v="20"/>
    <x v="63"/>
    <x v="46"/>
    <x v="2"/>
    <n v="127864"/>
    <s v="Medium"/>
    <x v="26"/>
    <n v="43"/>
    <x v="0"/>
    <x v="2"/>
    <n v="2.68"/>
    <s v="No"/>
    <n v="1.62"/>
    <x v="0"/>
    <x v="0"/>
    <x v="2"/>
  </r>
  <r>
    <s v="AIJ-100703"/>
    <x v="6"/>
    <x v="4"/>
    <x v="6"/>
    <x v="1"/>
    <x v="13"/>
    <x v="66"/>
    <x v="13"/>
    <x v="2"/>
    <n v="110361"/>
    <s v="Low"/>
    <x v="6"/>
    <n v="36"/>
    <x v="1"/>
    <x v="2"/>
    <n v="2.09"/>
    <s v="Yes"/>
    <n v="1.83"/>
    <x v="0"/>
    <x v="3"/>
    <x v="1"/>
  </r>
  <r>
    <s v="AIJ-100704"/>
    <x v="15"/>
    <x v="6"/>
    <x v="0"/>
    <x v="3"/>
    <x v="23"/>
    <x v="60"/>
    <x v="24"/>
    <x v="1"/>
    <n v="123720"/>
    <s v="Medium"/>
    <x v="0"/>
    <n v="39"/>
    <x v="2"/>
    <x v="0"/>
    <n v="3.77"/>
    <s v="No"/>
    <n v="3.54"/>
    <x v="0"/>
    <x v="2"/>
    <x v="3"/>
  </r>
  <r>
    <s v="AIJ-100705"/>
    <x v="12"/>
    <x v="4"/>
    <x v="9"/>
    <x v="2"/>
    <x v="12"/>
    <x v="63"/>
    <x v="21"/>
    <x v="2"/>
    <n v="213666"/>
    <s v="High"/>
    <x v="32"/>
    <n v="58"/>
    <x v="2"/>
    <x v="0"/>
    <n v="3.47"/>
    <s v="Yes"/>
    <n v="2.52"/>
    <x v="1"/>
    <x v="2"/>
    <x v="3"/>
  </r>
  <r>
    <s v="AIJ-100706"/>
    <x v="9"/>
    <x v="9"/>
    <x v="7"/>
    <x v="3"/>
    <x v="20"/>
    <x v="26"/>
    <x v="57"/>
    <x v="2"/>
    <n v="217592"/>
    <s v="Medium"/>
    <x v="39"/>
    <n v="40"/>
    <x v="2"/>
    <x v="0"/>
    <n v="4.33"/>
    <s v="No"/>
    <n v="1.87"/>
    <x v="1"/>
    <x v="0"/>
    <x v="2"/>
  </r>
  <r>
    <s v="AIJ-100707"/>
    <x v="4"/>
    <x v="9"/>
    <x v="6"/>
    <x v="0"/>
    <x v="9"/>
    <x v="89"/>
    <x v="47"/>
    <x v="2"/>
    <n v="161615"/>
    <s v="High"/>
    <x v="8"/>
    <n v="31"/>
    <x v="2"/>
    <x v="0"/>
    <n v="2.35"/>
    <s v="No"/>
    <n v="1.7"/>
    <x v="1"/>
    <x v="2"/>
    <x v="1"/>
  </r>
  <r>
    <s v="AIJ-100708"/>
    <x v="16"/>
    <x v="9"/>
    <x v="3"/>
    <x v="1"/>
    <x v="21"/>
    <x v="8"/>
    <x v="8"/>
    <x v="1"/>
    <n v="50138"/>
    <s v="High"/>
    <x v="17"/>
    <n v="50"/>
    <x v="1"/>
    <x v="1"/>
    <n v="2.13"/>
    <s v="Yes"/>
    <n v="1.89"/>
    <x v="0"/>
    <x v="3"/>
    <x v="0"/>
  </r>
  <r>
    <s v="AIJ-100709"/>
    <x v="2"/>
    <x v="6"/>
    <x v="3"/>
    <x v="0"/>
    <x v="17"/>
    <x v="58"/>
    <x v="42"/>
    <x v="2"/>
    <n v="188651"/>
    <s v="Medium"/>
    <x v="14"/>
    <n v="52"/>
    <x v="0"/>
    <x v="0"/>
    <n v="3.1"/>
    <s v="Yes"/>
    <n v="2.67"/>
    <x v="2"/>
    <x v="0"/>
    <x v="3"/>
  </r>
  <r>
    <s v="AIJ-100710"/>
    <x v="12"/>
    <x v="4"/>
    <x v="9"/>
    <x v="1"/>
    <x v="22"/>
    <x v="3"/>
    <x v="6"/>
    <x v="0"/>
    <n v="123753"/>
    <s v="Low"/>
    <x v="43"/>
    <n v="32"/>
    <x v="0"/>
    <x v="2"/>
    <n v="3.99"/>
    <s v="No"/>
    <n v="3.64"/>
    <x v="0"/>
    <x v="0"/>
    <x v="2"/>
  </r>
  <r>
    <s v="AIJ-100711"/>
    <x v="0"/>
    <x v="6"/>
    <x v="4"/>
    <x v="1"/>
    <x v="22"/>
    <x v="9"/>
    <x v="37"/>
    <x v="1"/>
    <n v="60369"/>
    <s v="Low"/>
    <x v="26"/>
    <n v="52"/>
    <x v="2"/>
    <x v="2"/>
    <n v="3.12"/>
    <s v="Yes"/>
    <n v="1.45"/>
    <x v="0"/>
    <x v="3"/>
    <x v="2"/>
  </r>
  <r>
    <s v="AIJ-100712"/>
    <x v="16"/>
    <x v="2"/>
    <x v="3"/>
    <x v="0"/>
    <x v="10"/>
    <x v="58"/>
    <x v="19"/>
    <x v="0"/>
    <n v="155931"/>
    <s v="Low"/>
    <x v="42"/>
    <n v="42"/>
    <x v="0"/>
    <x v="0"/>
    <n v="3.88"/>
    <s v="Yes"/>
    <n v="1.58"/>
    <x v="2"/>
    <x v="0"/>
    <x v="3"/>
  </r>
  <r>
    <s v="AIJ-100713"/>
    <x v="18"/>
    <x v="2"/>
    <x v="6"/>
    <x v="0"/>
    <x v="0"/>
    <x v="79"/>
    <x v="30"/>
    <x v="1"/>
    <n v="138398"/>
    <s v="Low"/>
    <x v="10"/>
    <n v="40"/>
    <x v="2"/>
    <x v="2"/>
    <n v="2.58"/>
    <s v="No"/>
    <n v="2.56"/>
    <x v="0"/>
    <x v="0"/>
    <x v="0"/>
  </r>
  <r>
    <s v="AIJ-100714"/>
    <x v="11"/>
    <x v="5"/>
    <x v="6"/>
    <x v="0"/>
    <x v="1"/>
    <x v="53"/>
    <x v="30"/>
    <x v="0"/>
    <n v="93265"/>
    <s v="Medium"/>
    <x v="44"/>
    <n v="30"/>
    <x v="2"/>
    <x v="2"/>
    <n v="3.69"/>
    <s v="Yes"/>
    <n v="4.09"/>
    <x v="2"/>
    <x v="2"/>
    <x v="1"/>
  </r>
  <r>
    <s v="AIJ-100715"/>
    <x v="0"/>
    <x v="3"/>
    <x v="5"/>
    <x v="3"/>
    <x v="10"/>
    <x v="57"/>
    <x v="4"/>
    <x v="2"/>
    <n v="109559"/>
    <s v="Medium"/>
    <x v="52"/>
    <n v="54"/>
    <x v="0"/>
    <x v="0"/>
    <n v="4.09"/>
    <s v="Yes"/>
    <n v="2.88"/>
    <x v="2"/>
    <x v="3"/>
    <x v="3"/>
  </r>
  <r>
    <s v="AIJ-100716"/>
    <x v="8"/>
    <x v="2"/>
    <x v="5"/>
    <x v="3"/>
    <x v="20"/>
    <x v="89"/>
    <x v="14"/>
    <x v="2"/>
    <n v="185827"/>
    <s v="Low"/>
    <x v="41"/>
    <n v="39"/>
    <x v="1"/>
    <x v="1"/>
    <n v="3.55"/>
    <s v="No"/>
    <n v="2.11"/>
    <x v="0"/>
    <x v="2"/>
    <x v="2"/>
  </r>
  <r>
    <s v="AIJ-100717"/>
    <x v="16"/>
    <x v="9"/>
    <x v="0"/>
    <x v="1"/>
    <x v="19"/>
    <x v="48"/>
    <x v="10"/>
    <x v="2"/>
    <n v="114185"/>
    <s v="High"/>
    <x v="46"/>
    <n v="50"/>
    <x v="1"/>
    <x v="2"/>
    <n v="3.79"/>
    <s v="No"/>
    <n v="1.73"/>
    <x v="0"/>
    <x v="3"/>
    <x v="2"/>
  </r>
  <r>
    <s v="AIJ-100718"/>
    <x v="17"/>
    <x v="1"/>
    <x v="0"/>
    <x v="2"/>
    <x v="14"/>
    <x v="89"/>
    <x v="41"/>
    <x v="0"/>
    <n v="119495"/>
    <s v="Medium"/>
    <x v="6"/>
    <n v="47"/>
    <x v="2"/>
    <x v="2"/>
    <n v="2.2000000000000002"/>
    <s v="No"/>
    <n v="4.71"/>
    <x v="1"/>
    <x v="2"/>
    <x v="2"/>
  </r>
  <r>
    <s v="AIJ-100719"/>
    <x v="11"/>
    <x v="0"/>
    <x v="3"/>
    <x v="0"/>
    <x v="5"/>
    <x v="33"/>
    <x v="30"/>
    <x v="1"/>
    <n v="158335"/>
    <s v="Low"/>
    <x v="36"/>
    <n v="35"/>
    <x v="1"/>
    <x v="1"/>
    <n v="4.28"/>
    <s v="Yes"/>
    <n v="1.1599999999999999"/>
    <x v="2"/>
    <x v="2"/>
    <x v="3"/>
  </r>
  <r>
    <s v="AIJ-100720"/>
    <x v="10"/>
    <x v="3"/>
    <x v="8"/>
    <x v="2"/>
    <x v="19"/>
    <x v="28"/>
    <x v="8"/>
    <x v="1"/>
    <n v="83711"/>
    <s v="High"/>
    <x v="8"/>
    <n v="38"/>
    <x v="2"/>
    <x v="1"/>
    <n v="2.72"/>
    <s v="Yes"/>
    <n v="3.47"/>
    <x v="0"/>
    <x v="2"/>
    <x v="2"/>
  </r>
  <r>
    <s v="AIJ-100721"/>
    <x v="4"/>
    <x v="4"/>
    <x v="4"/>
    <x v="2"/>
    <x v="3"/>
    <x v="46"/>
    <x v="76"/>
    <x v="0"/>
    <n v="87638"/>
    <s v="High"/>
    <x v="26"/>
    <n v="49"/>
    <x v="2"/>
    <x v="1"/>
    <n v="2.37"/>
    <s v="Yes"/>
    <n v="4.38"/>
    <x v="2"/>
    <x v="2"/>
    <x v="2"/>
  </r>
  <r>
    <s v="AIJ-100722"/>
    <x v="7"/>
    <x v="4"/>
    <x v="0"/>
    <x v="0"/>
    <x v="18"/>
    <x v="0"/>
    <x v="63"/>
    <x v="0"/>
    <n v="92592"/>
    <s v="Low"/>
    <x v="47"/>
    <n v="57"/>
    <x v="1"/>
    <x v="1"/>
    <n v="4.1399999999999997"/>
    <s v="No"/>
    <n v="1.6"/>
    <x v="1"/>
    <x v="3"/>
    <x v="3"/>
  </r>
  <r>
    <s v="AIJ-100723"/>
    <x v="1"/>
    <x v="6"/>
    <x v="3"/>
    <x v="0"/>
    <x v="18"/>
    <x v="81"/>
    <x v="14"/>
    <x v="2"/>
    <n v="119728"/>
    <s v="Low"/>
    <x v="49"/>
    <n v="34"/>
    <x v="0"/>
    <x v="2"/>
    <n v="3.8"/>
    <s v="No"/>
    <n v="1.67"/>
    <x v="1"/>
    <x v="3"/>
    <x v="3"/>
  </r>
  <r>
    <s v="AIJ-100724"/>
    <x v="15"/>
    <x v="3"/>
    <x v="3"/>
    <x v="2"/>
    <x v="2"/>
    <x v="39"/>
    <x v="52"/>
    <x v="2"/>
    <n v="90527"/>
    <s v="Low"/>
    <x v="54"/>
    <n v="52"/>
    <x v="1"/>
    <x v="1"/>
    <n v="4.1399999999999997"/>
    <s v="Yes"/>
    <n v="2.56"/>
    <x v="1"/>
    <x v="0"/>
    <x v="1"/>
  </r>
  <r>
    <s v="AIJ-100725"/>
    <x v="5"/>
    <x v="7"/>
    <x v="4"/>
    <x v="3"/>
    <x v="17"/>
    <x v="24"/>
    <x v="20"/>
    <x v="1"/>
    <n v="144651"/>
    <s v="Medium"/>
    <x v="43"/>
    <n v="35"/>
    <x v="1"/>
    <x v="0"/>
    <n v="3.94"/>
    <s v="Yes"/>
    <n v="4.38"/>
    <x v="1"/>
    <x v="3"/>
    <x v="3"/>
  </r>
  <r>
    <s v="AIJ-100726"/>
    <x v="5"/>
    <x v="0"/>
    <x v="9"/>
    <x v="3"/>
    <x v="18"/>
    <x v="77"/>
    <x v="27"/>
    <x v="0"/>
    <n v="43124"/>
    <s v="Medium"/>
    <x v="25"/>
    <n v="57"/>
    <x v="2"/>
    <x v="1"/>
    <n v="4.6100000000000003"/>
    <s v="Yes"/>
    <n v="1.92"/>
    <x v="1"/>
    <x v="0"/>
    <x v="3"/>
  </r>
  <r>
    <s v="AIJ-100727"/>
    <x v="4"/>
    <x v="1"/>
    <x v="9"/>
    <x v="0"/>
    <x v="12"/>
    <x v="77"/>
    <x v="29"/>
    <x v="0"/>
    <n v="201605"/>
    <s v="Low"/>
    <x v="14"/>
    <n v="55"/>
    <x v="1"/>
    <x v="0"/>
    <n v="4.1399999999999997"/>
    <s v="Yes"/>
    <n v="4.09"/>
    <x v="1"/>
    <x v="3"/>
    <x v="3"/>
  </r>
  <r>
    <s v="AIJ-100728"/>
    <x v="0"/>
    <x v="8"/>
    <x v="4"/>
    <x v="2"/>
    <x v="23"/>
    <x v="1"/>
    <x v="57"/>
    <x v="0"/>
    <n v="70034"/>
    <s v="Medium"/>
    <x v="5"/>
    <n v="56"/>
    <x v="1"/>
    <x v="0"/>
    <n v="3.51"/>
    <s v="Yes"/>
    <n v="2.58"/>
    <x v="2"/>
    <x v="3"/>
    <x v="3"/>
  </r>
  <r>
    <s v="AIJ-100729"/>
    <x v="2"/>
    <x v="1"/>
    <x v="3"/>
    <x v="1"/>
    <x v="18"/>
    <x v="22"/>
    <x v="50"/>
    <x v="0"/>
    <n v="126256"/>
    <s v="High"/>
    <x v="51"/>
    <n v="52"/>
    <x v="1"/>
    <x v="2"/>
    <n v="3.92"/>
    <s v="Yes"/>
    <n v="1.27"/>
    <x v="1"/>
    <x v="3"/>
    <x v="3"/>
  </r>
  <r>
    <s v="AIJ-100730"/>
    <x v="0"/>
    <x v="5"/>
    <x v="7"/>
    <x v="0"/>
    <x v="4"/>
    <x v="71"/>
    <x v="8"/>
    <x v="2"/>
    <n v="133551"/>
    <s v="Medium"/>
    <x v="35"/>
    <n v="49"/>
    <x v="0"/>
    <x v="0"/>
    <n v="4.51"/>
    <s v="No"/>
    <n v="4.01"/>
    <x v="0"/>
    <x v="2"/>
    <x v="1"/>
  </r>
  <r>
    <s v="AIJ-100731"/>
    <x v="7"/>
    <x v="0"/>
    <x v="0"/>
    <x v="0"/>
    <x v="5"/>
    <x v="20"/>
    <x v="60"/>
    <x v="1"/>
    <n v="126338"/>
    <s v="Medium"/>
    <x v="49"/>
    <n v="30"/>
    <x v="2"/>
    <x v="1"/>
    <n v="2.6"/>
    <s v="Yes"/>
    <n v="1.86"/>
    <x v="0"/>
    <x v="3"/>
    <x v="3"/>
  </r>
  <r>
    <s v="AIJ-100732"/>
    <x v="13"/>
    <x v="1"/>
    <x v="3"/>
    <x v="0"/>
    <x v="18"/>
    <x v="22"/>
    <x v="28"/>
    <x v="2"/>
    <n v="89525"/>
    <s v="Medium"/>
    <x v="49"/>
    <n v="58"/>
    <x v="1"/>
    <x v="1"/>
    <n v="2.39"/>
    <s v="Yes"/>
    <n v="1.98"/>
    <x v="2"/>
    <x v="2"/>
    <x v="3"/>
  </r>
  <r>
    <s v="AIJ-100733"/>
    <x v="14"/>
    <x v="0"/>
    <x v="0"/>
    <x v="3"/>
    <x v="17"/>
    <x v="52"/>
    <x v="4"/>
    <x v="2"/>
    <n v="201293"/>
    <s v="High"/>
    <x v="19"/>
    <n v="31"/>
    <x v="2"/>
    <x v="2"/>
    <n v="3.06"/>
    <s v="Yes"/>
    <n v="2.2400000000000002"/>
    <x v="0"/>
    <x v="0"/>
    <x v="3"/>
  </r>
  <r>
    <s v="AIJ-100734"/>
    <x v="8"/>
    <x v="2"/>
    <x v="9"/>
    <x v="3"/>
    <x v="21"/>
    <x v="23"/>
    <x v="18"/>
    <x v="1"/>
    <n v="36470"/>
    <s v="Medium"/>
    <x v="30"/>
    <n v="55"/>
    <x v="0"/>
    <x v="1"/>
    <n v="3.04"/>
    <s v="No"/>
    <n v="2.14"/>
    <x v="2"/>
    <x v="2"/>
    <x v="0"/>
  </r>
  <r>
    <s v="AIJ-100735"/>
    <x v="2"/>
    <x v="5"/>
    <x v="2"/>
    <x v="1"/>
    <x v="5"/>
    <x v="34"/>
    <x v="17"/>
    <x v="1"/>
    <n v="173652"/>
    <s v="High"/>
    <x v="18"/>
    <n v="44"/>
    <x v="0"/>
    <x v="0"/>
    <n v="3.91"/>
    <s v="Yes"/>
    <n v="1.57"/>
    <x v="2"/>
    <x v="1"/>
    <x v="3"/>
  </r>
  <r>
    <s v="AIJ-100736"/>
    <x v="17"/>
    <x v="2"/>
    <x v="7"/>
    <x v="1"/>
    <x v="12"/>
    <x v="0"/>
    <x v="17"/>
    <x v="0"/>
    <n v="33175"/>
    <s v="Medium"/>
    <x v="24"/>
    <n v="48"/>
    <x v="2"/>
    <x v="2"/>
    <n v="2"/>
    <s v="Yes"/>
    <n v="1.65"/>
    <x v="2"/>
    <x v="2"/>
    <x v="3"/>
  </r>
  <r>
    <s v="AIJ-100737"/>
    <x v="13"/>
    <x v="7"/>
    <x v="0"/>
    <x v="3"/>
    <x v="10"/>
    <x v="28"/>
    <x v="35"/>
    <x v="1"/>
    <n v="50963"/>
    <s v="High"/>
    <x v="24"/>
    <n v="47"/>
    <x v="0"/>
    <x v="1"/>
    <n v="3.89"/>
    <s v="No"/>
    <n v="3.11"/>
    <x v="0"/>
    <x v="2"/>
    <x v="3"/>
  </r>
  <r>
    <s v="AIJ-100738"/>
    <x v="12"/>
    <x v="4"/>
    <x v="8"/>
    <x v="3"/>
    <x v="9"/>
    <x v="3"/>
    <x v="3"/>
    <x v="1"/>
    <n v="108792"/>
    <s v="Low"/>
    <x v="6"/>
    <n v="34"/>
    <x v="0"/>
    <x v="2"/>
    <n v="4.53"/>
    <s v="Yes"/>
    <n v="4.5199999999999996"/>
    <x v="2"/>
    <x v="0"/>
    <x v="1"/>
  </r>
  <r>
    <s v="AIJ-100739"/>
    <x v="6"/>
    <x v="8"/>
    <x v="0"/>
    <x v="0"/>
    <x v="2"/>
    <x v="8"/>
    <x v="15"/>
    <x v="0"/>
    <n v="51267"/>
    <s v="Medium"/>
    <x v="37"/>
    <n v="43"/>
    <x v="2"/>
    <x v="1"/>
    <n v="2.46"/>
    <s v="No"/>
    <n v="4.91"/>
    <x v="1"/>
    <x v="3"/>
    <x v="1"/>
  </r>
  <r>
    <s v="AIJ-100740"/>
    <x v="15"/>
    <x v="4"/>
    <x v="4"/>
    <x v="3"/>
    <x v="20"/>
    <x v="89"/>
    <x v="25"/>
    <x v="2"/>
    <n v="86106"/>
    <s v="Low"/>
    <x v="30"/>
    <n v="35"/>
    <x v="0"/>
    <x v="1"/>
    <n v="3.78"/>
    <s v="Yes"/>
    <n v="1.4"/>
    <x v="2"/>
    <x v="2"/>
    <x v="2"/>
  </r>
  <r>
    <s v="AIJ-100741"/>
    <x v="17"/>
    <x v="6"/>
    <x v="8"/>
    <x v="0"/>
    <x v="3"/>
    <x v="7"/>
    <x v="3"/>
    <x v="0"/>
    <n v="212814"/>
    <s v="Low"/>
    <x v="46"/>
    <n v="56"/>
    <x v="2"/>
    <x v="0"/>
    <n v="4.0599999999999996"/>
    <s v="No"/>
    <n v="3.66"/>
    <x v="2"/>
    <x v="3"/>
    <x v="2"/>
  </r>
  <r>
    <s v="AIJ-100742"/>
    <x v="10"/>
    <x v="3"/>
    <x v="8"/>
    <x v="1"/>
    <x v="9"/>
    <x v="11"/>
    <x v="79"/>
    <x v="0"/>
    <n v="51586"/>
    <s v="Medium"/>
    <x v="6"/>
    <n v="45"/>
    <x v="1"/>
    <x v="1"/>
    <n v="3.78"/>
    <s v="Yes"/>
    <n v="4.33"/>
    <x v="1"/>
    <x v="0"/>
    <x v="1"/>
  </r>
  <r>
    <s v="AIJ-100743"/>
    <x v="12"/>
    <x v="3"/>
    <x v="4"/>
    <x v="3"/>
    <x v="0"/>
    <x v="51"/>
    <x v="27"/>
    <x v="1"/>
    <n v="55197"/>
    <s v="Medium"/>
    <x v="21"/>
    <n v="35"/>
    <x v="0"/>
    <x v="1"/>
    <n v="4.43"/>
    <s v="No"/>
    <n v="4.8099999999999996"/>
    <x v="1"/>
    <x v="3"/>
    <x v="0"/>
  </r>
  <r>
    <s v="AIJ-100744"/>
    <x v="13"/>
    <x v="8"/>
    <x v="1"/>
    <x v="2"/>
    <x v="6"/>
    <x v="49"/>
    <x v="15"/>
    <x v="0"/>
    <n v="93093"/>
    <s v="High"/>
    <x v="51"/>
    <n v="34"/>
    <x v="1"/>
    <x v="1"/>
    <n v="2.38"/>
    <s v="Yes"/>
    <n v="2.13"/>
    <x v="1"/>
    <x v="3"/>
    <x v="0"/>
  </r>
  <r>
    <s v="AIJ-100745"/>
    <x v="0"/>
    <x v="3"/>
    <x v="6"/>
    <x v="1"/>
    <x v="10"/>
    <x v="89"/>
    <x v="62"/>
    <x v="2"/>
    <n v="206066"/>
    <s v="Low"/>
    <x v="49"/>
    <n v="35"/>
    <x v="2"/>
    <x v="2"/>
    <n v="3.04"/>
    <s v="Yes"/>
    <n v="1.1299999999999999"/>
    <x v="1"/>
    <x v="2"/>
    <x v="3"/>
  </r>
  <r>
    <s v="AIJ-100746"/>
    <x v="1"/>
    <x v="4"/>
    <x v="5"/>
    <x v="1"/>
    <x v="21"/>
    <x v="23"/>
    <x v="15"/>
    <x v="0"/>
    <n v="64839"/>
    <s v="Medium"/>
    <x v="27"/>
    <n v="32"/>
    <x v="2"/>
    <x v="1"/>
    <n v="2.44"/>
    <s v="Yes"/>
    <n v="1.96"/>
    <x v="0"/>
    <x v="2"/>
    <x v="0"/>
  </r>
  <r>
    <s v="AIJ-100747"/>
    <x v="11"/>
    <x v="7"/>
    <x v="5"/>
    <x v="2"/>
    <x v="19"/>
    <x v="45"/>
    <x v="49"/>
    <x v="1"/>
    <n v="119905"/>
    <s v="High"/>
    <x v="9"/>
    <n v="36"/>
    <x v="1"/>
    <x v="1"/>
    <n v="4.04"/>
    <s v="No"/>
    <n v="3.12"/>
    <x v="0"/>
    <x v="3"/>
    <x v="2"/>
  </r>
  <r>
    <s v="AIJ-100748"/>
    <x v="10"/>
    <x v="1"/>
    <x v="5"/>
    <x v="2"/>
    <x v="12"/>
    <x v="72"/>
    <x v="78"/>
    <x v="2"/>
    <n v="149652"/>
    <s v="High"/>
    <x v="35"/>
    <n v="32"/>
    <x v="2"/>
    <x v="1"/>
    <n v="4.79"/>
    <s v="Yes"/>
    <n v="4.6900000000000004"/>
    <x v="0"/>
    <x v="2"/>
    <x v="3"/>
  </r>
  <r>
    <s v="AIJ-100749"/>
    <x v="2"/>
    <x v="1"/>
    <x v="7"/>
    <x v="3"/>
    <x v="21"/>
    <x v="9"/>
    <x v="17"/>
    <x v="2"/>
    <n v="90154"/>
    <s v="Low"/>
    <x v="39"/>
    <n v="37"/>
    <x v="2"/>
    <x v="2"/>
    <n v="3.19"/>
    <s v="No"/>
    <n v="1.19"/>
    <x v="2"/>
    <x v="2"/>
    <x v="0"/>
  </r>
  <r>
    <s v="AIJ-100750"/>
    <x v="7"/>
    <x v="3"/>
    <x v="8"/>
    <x v="0"/>
    <x v="11"/>
    <x v="60"/>
    <x v="64"/>
    <x v="0"/>
    <n v="197777"/>
    <s v="High"/>
    <x v="21"/>
    <n v="47"/>
    <x v="2"/>
    <x v="2"/>
    <n v="4.57"/>
    <s v="No"/>
    <n v="3.24"/>
    <x v="1"/>
    <x v="2"/>
    <x v="1"/>
  </r>
  <r>
    <s v="AIJ-100751"/>
    <x v="12"/>
    <x v="6"/>
    <x v="2"/>
    <x v="1"/>
    <x v="24"/>
    <x v="81"/>
    <x v="15"/>
    <x v="2"/>
    <n v="94381"/>
    <s v="Medium"/>
    <x v="43"/>
    <n v="51"/>
    <x v="2"/>
    <x v="0"/>
    <n v="2.77"/>
    <s v="Yes"/>
    <n v="4.62"/>
    <x v="2"/>
    <x v="3"/>
    <x v="1"/>
  </r>
  <r>
    <s v="AIJ-100752"/>
    <x v="3"/>
    <x v="0"/>
    <x v="1"/>
    <x v="2"/>
    <x v="21"/>
    <x v="83"/>
    <x v="27"/>
    <x v="0"/>
    <n v="197515"/>
    <s v="Low"/>
    <x v="45"/>
    <n v="54"/>
    <x v="2"/>
    <x v="2"/>
    <n v="2.34"/>
    <s v="No"/>
    <n v="2.35"/>
    <x v="0"/>
    <x v="2"/>
    <x v="0"/>
  </r>
  <r>
    <s v="AIJ-100753"/>
    <x v="18"/>
    <x v="8"/>
    <x v="7"/>
    <x v="1"/>
    <x v="13"/>
    <x v="62"/>
    <x v="49"/>
    <x v="1"/>
    <n v="54125"/>
    <s v="High"/>
    <x v="14"/>
    <n v="59"/>
    <x v="0"/>
    <x v="2"/>
    <n v="4.9800000000000004"/>
    <s v="Yes"/>
    <n v="1.58"/>
    <x v="2"/>
    <x v="1"/>
    <x v="1"/>
  </r>
  <r>
    <s v="AIJ-100754"/>
    <x v="9"/>
    <x v="5"/>
    <x v="7"/>
    <x v="1"/>
    <x v="3"/>
    <x v="80"/>
    <x v="64"/>
    <x v="0"/>
    <n v="143351"/>
    <s v="High"/>
    <x v="48"/>
    <n v="45"/>
    <x v="0"/>
    <x v="0"/>
    <n v="4.09"/>
    <s v="Yes"/>
    <n v="4.34"/>
    <x v="1"/>
    <x v="3"/>
    <x v="2"/>
  </r>
  <r>
    <s v="AIJ-100755"/>
    <x v="19"/>
    <x v="7"/>
    <x v="5"/>
    <x v="0"/>
    <x v="24"/>
    <x v="5"/>
    <x v="48"/>
    <x v="0"/>
    <n v="123171"/>
    <s v="Medium"/>
    <x v="10"/>
    <n v="44"/>
    <x v="1"/>
    <x v="2"/>
    <n v="4.53"/>
    <s v="Yes"/>
    <n v="3.37"/>
    <x v="1"/>
    <x v="2"/>
    <x v="1"/>
  </r>
  <r>
    <s v="AIJ-100756"/>
    <x v="7"/>
    <x v="5"/>
    <x v="7"/>
    <x v="3"/>
    <x v="0"/>
    <x v="62"/>
    <x v="30"/>
    <x v="0"/>
    <n v="94497"/>
    <s v="Low"/>
    <x v="33"/>
    <n v="51"/>
    <x v="1"/>
    <x v="0"/>
    <n v="2.77"/>
    <s v="No"/>
    <n v="5"/>
    <x v="1"/>
    <x v="2"/>
    <x v="0"/>
  </r>
  <r>
    <s v="AIJ-100757"/>
    <x v="19"/>
    <x v="1"/>
    <x v="5"/>
    <x v="1"/>
    <x v="25"/>
    <x v="49"/>
    <x v="65"/>
    <x v="0"/>
    <n v="35959"/>
    <s v="Low"/>
    <x v="28"/>
    <n v="49"/>
    <x v="0"/>
    <x v="2"/>
    <n v="3.09"/>
    <s v="Yes"/>
    <n v="4.9000000000000004"/>
    <x v="1"/>
    <x v="3"/>
    <x v="1"/>
  </r>
  <r>
    <s v="AIJ-100758"/>
    <x v="0"/>
    <x v="5"/>
    <x v="2"/>
    <x v="3"/>
    <x v="13"/>
    <x v="26"/>
    <x v="29"/>
    <x v="2"/>
    <n v="111654"/>
    <s v="Medium"/>
    <x v="47"/>
    <n v="58"/>
    <x v="2"/>
    <x v="2"/>
    <n v="2.94"/>
    <s v="No"/>
    <n v="1.37"/>
    <x v="1"/>
    <x v="3"/>
    <x v="1"/>
  </r>
  <r>
    <s v="AIJ-100759"/>
    <x v="12"/>
    <x v="7"/>
    <x v="7"/>
    <x v="2"/>
    <x v="14"/>
    <x v="85"/>
    <x v="55"/>
    <x v="0"/>
    <n v="41147"/>
    <s v="High"/>
    <x v="24"/>
    <n v="58"/>
    <x v="1"/>
    <x v="2"/>
    <n v="3"/>
    <s v="Yes"/>
    <n v="3.59"/>
    <x v="0"/>
    <x v="0"/>
    <x v="2"/>
  </r>
  <r>
    <s v="AIJ-100760"/>
    <x v="8"/>
    <x v="2"/>
    <x v="7"/>
    <x v="2"/>
    <x v="2"/>
    <x v="78"/>
    <x v="68"/>
    <x v="2"/>
    <n v="208899"/>
    <s v="Medium"/>
    <x v="12"/>
    <n v="55"/>
    <x v="0"/>
    <x v="2"/>
    <n v="3.48"/>
    <s v="Yes"/>
    <n v="1.24"/>
    <x v="2"/>
    <x v="1"/>
    <x v="1"/>
  </r>
  <r>
    <s v="AIJ-100761"/>
    <x v="7"/>
    <x v="1"/>
    <x v="4"/>
    <x v="2"/>
    <x v="25"/>
    <x v="33"/>
    <x v="24"/>
    <x v="1"/>
    <n v="181606"/>
    <s v="Medium"/>
    <x v="54"/>
    <n v="49"/>
    <x v="2"/>
    <x v="2"/>
    <n v="4.93"/>
    <s v="No"/>
    <n v="3.36"/>
    <x v="0"/>
    <x v="2"/>
    <x v="1"/>
  </r>
  <r>
    <s v="AIJ-100762"/>
    <x v="10"/>
    <x v="0"/>
    <x v="7"/>
    <x v="1"/>
    <x v="8"/>
    <x v="58"/>
    <x v="17"/>
    <x v="1"/>
    <n v="95534"/>
    <s v="Low"/>
    <x v="12"/>
    <n v="30"/>
    <x v="0"/>
    <x v="2"/>
    <n v="4.1500000000000004"/>
    <s v="Yes"/>
    <n v="2.65"/>
    <x v="1"/>
    <x v="3"/>
    <x v="2"/>
  </r>
  <r>
    <s v="AIJ-100763"/>
    <x v="1"/>
    <x v="4"/>
    <x v="7"/>
    <x v="3"/>
    <x v="18"/>
    <x v="51"/>
    <x v="68"/>
    <x v="2"/>
    <n v="126667"/>
    <s v="Low"/>
    <x v="11"/>
    <n v="50"/>
    <x v="1"/>
    <x v="2"/>
    <n v="3.17"/>
    <s v="Yes"/>
    <n v="4.4800000000000004"/>
    <x v="0"/>
    <x v="2"/>
    <x v="3"/>
  </r>
  <r>
    <s v="AIJ-100764"/>
    <x v="4"/>
    <x v="6"/>
    <x v="8"/>
    <x v="0"/>
    <x v="7"/>
    <x v="12"/>
    <x v="48"/>
    <x v="1"/>
    <n v="151525"/>
    <s v="Low"/>
    <x v="27"/>
    <n v="33"/>
    <x v="2"/>
    <x v="2"/>
    <n v="2.85"/>
    <s v="Yes"/>
    <n v="2.7"/>
    <x v="2"/>
    <x v="3"/>
    <x v="1"/>
  </r>
  <r>
    <s v="AIJ-100765"/>
    <x v="12"/>
    <x v="4"/>
    <x v="6"/>
    <x v="1"/>
    <x v="10"/>
    <x v="0"/>
    <x v="54"/>
    <x v="0"/>
    <n v="102250"/>
    <s v="Medium"/>
    <x v="36"/>
    <n v="30"/>
    <x v="1"/>
    <x v="0"/>
    <n v="3.46"/>
    <s v="Yes"/>
    <n v="4.95"/>
    <x v="0"/>
    <x v="3"/>
    <x v="3"/>
  </r>
  <r>
    <s v="AIJ-100766"/>
    <x v="8"/>
    <x v="1"/>
    <x v="7"/>
    <x v="2"/>
    <x v="6"/>
    <x v="31"/>
    <x v="63"/>
    <x v="2"/>
    <n v="202567"/>
    <s v="Low"/>
    <x v="7"/>
    <n v="58"/>
    <x v="2"/>
    <x v="1"/>
    <n v="4.43"/>
    <s v="Yes"/>
    <n v="3.51"/>
    <x v="0"/>
    <x v="2"/>
    <x v="0"/>
  </r>
  <r>
    <s v="AIJ-100767"/>
    <x v="2"/>
    <x v="7"/>
    <x v="8"/>
    <x v="0"/>
    <x v="8"/>
    <x v="34"/>
    <x v="53"/>
    <x v="0"/>
    <n v="140028"/>
    <s v="Low"/>
    <x v="8"/>
    <n v="39"/>
    <x v="0"/>
    <x v="1"/>
    <n v="2.75"/>
    <s v="No"/>
    <n v="3.34"/>
    <x v="0"/>
    <x v="3"/>
    <x v="2"/>
  </r>
  <r>
    <s v="AIJ-100768"/>
    <x v="18"/>
    <x v="9"/>
    <x v="4"/>
    <x v="3"/>
    <x v="10"/>
    <x v="36"/>
    <x v="15"/>
    <x v="0"/>
    <n v="118119"/>
    <s v="Medium"/>
    <x v="24"/>
    <n v="30"/>
    <x v="0"/>
    <x v="2"/>
    <n v="2.31"/>
    <s v="Yes"/>
    <n v="1.93"/>
    <x v="2"/>
    <x v="1"/>
    <x v="3"/>
  </r>
  <r>
    <s v="AIJ-100769"/>
    <x v="17"/>
    <x v="2"/>
    <x v="4"/>
    <x v="1"/>
    <x v="17"/>
    <x v="50"/>
    <x v="42"/>
    <x v="0"/>
    <n v="145679"/>
    <s v="Low"/>
    <x v="3"/>
    <n v="30"/>
    <x v="0"/>
    <x v="1"/>
    <n v="2.36"/>
    <s v="No"/>
    <n v="3.57"/>
    <x v="1"/>
    <x v="3"/>
    <x v="3"/>
  </r>
  <r>
    <s v="AIJ-100770"/>
    <x v="0"/>
    <x v="2"/>
    <x v="8"/>
    <x v="0"/>
    <x v="25"/>
    <x v="73"/>
    <x v="56"/>
    <x v="1"/>
    <n v="186846"/>
    <s v="High"/>
    <x v="43"/>
    <n v="51"/>
    <x v="0"/>
    <x v="0"/>
    <n v="2.02"/>
    <s v="No"/>
    <n v="4.2699999999999996"/>
    <x v="2"/>
    <x v="0"/>
    <x v="1"/>
  </r>
  <r>
    <s v="AIJ-100771"/>
    <x v="18"/>
    <x v="7"/>
    <x v="3"/>
    <x v="1"/>
    <x v="21"/>
    <x v="28"/>
    <x v="40"/>
    <x v="2"/>
    <n v="141963"/>
    <s v="Low"/>
    <x v="48"/>
    <n v="48"/>
    <x v="1"/>
    <x v="0"/>
    <n v="2.83"/>
    <s v="Yes"/>
    <n v="4.29"/>
    <x v="2"/>
    <x v="1"/>
    <x v="0"/>
  </r>
  <r>
    <s v="AIJ-100772"/>
    <x v="13"/>
    <x v="2"/>
    <x v="0"/>
    <x v="1"/>
    <x v="0"/>
    <x v="16"/>
    <x v="78"/>
    <x v="0"/>
    <n v="46062"/>
    <s v="High"/>
    <x v="8"/>
    <n v="36"/>
    <x v="2"/>
    <x v="0"/>
    <n v="4.2699999999999996"/>
    <s v="No"/>
    <n v="4.34"/>
    <x v="1"/>
    <x v="3"/>
    <x v="0"/>
  </r>
  <r>
    <s v="AIJ-100773"/>
    <x v="4"/>
    <x v="4"/>
    <x v="2"/>
    <x v="2"/>
    <x v="1"/>
    <x v="45"/>
    <x v="34"/>
    <x v="0"/>
    <n v="169730"/>
    <s v="Low"/>
    <x v="13"/>
    <n v="34"/>
    <x v="2"/>
    <x v="2"/>
    <n v="3.3"/>
    <s v="Yes"/>
    <n v="2.06"/>
    <x v="0"/>
    <x v="3"/>
    <x v="1"/>
  </r>
  <r>
    <s v="AIJ-100774"/>
    <x v="5"/>
    <x v="7"/>
    <x v="6"/>
    <x v="1"/>
    <x v="24"/>
    <x v="79"/>
    <x v="46"/>
    <x v="0"/>
    <n v="146673"/>
    <s v="Low"/>
    <x v="16"/>
    <n v="39"/>
    <x v="2"/>
    <x v="0"/>
    <n v="3.39"/>
    <s v="Yes"/>
    <n v="4.5"/>
    <x v="2"/>
    <x v="0"/>
    <x v="1"/>
  </r>
  <r>
    <s v="AIJ-100775"/>
    <x v="17"/>
    <x v="6"/>
    <x v="9"/>
    <x v="1"/>
    <x v="13"/>
    <x v="21"/>
    <x v="4"/>
    <x v="0"/>
    <n v="182217"/>
    <s v="Low"/>
    <x v="7"/>
    <n v="59"/>
    <x v="1"/>
    <x v="0"/>
    <n v="4.57"/>
    <s v="Yes"/>
    <n v="1.97"/>
    <x v="0"/>
    <x v="3"/>
    <x v="1"/>
  </r>
  <r>
    <s v="AIJ-100776"/>
    <x v="4"/>
    <x v="6"/>
    <x v="7"/>
    <x v="0"/>
    <x v="8"/>
    <x v="31"/>
    <x v="15"/>
    <x v="0"/>
    <n v="65698"/>
    <s v="Low"/>
    <x v="38"/>
    <n v="50"/>
    <x v="1"/>
    <x v="0"/>
    <n v="2.44"/>
    <s v="No"/>
    <n v="1.29"/>
    <x v="0"/>
    <x v="3"/>
    <x v="2"/>
  </r>
  <r>
    <s v="AIJ-100777"/>
    <x v="19"/>
    <x v="6"/>
    <x v="8"/>
    <x v="2"/>
    <x v="1"/>
    <x v="50"/>
    <x v="73"/>
    <x v="2"/>
    <n v="118521"/>
    <s v="High"/>
    <x v="14"/>
    <n v="57"/>
    <x v="0"/>
    <x v="2"/>
    <n v="2.25"/>
    <s v="Yes"/>
    <n v="4.03"/>
    <x v="0"/>
    <x v="3"/>
    <x v="1"/>
  </r>
  <r>
    <s v="AIJ-100778"/>
    <x v="18"/>
    <x v="6"/>
    <x v="0"/>
    <x v="2"/>
    <x v="24"/>
    <x v="60"/>
    <x v="63"/>
    <x v="0"/>
    <n v="171303"/>
    <s v="Medium"/>
    <x v="31"/>
    <n v="42"/>
    <x v="0"/>
    <x v="2"/>
    <n v="4.38"/>
    <s v="No"/>
    <n v="4.01"/>
    <x v="1"/>
    <x v="1"/>
    <x v="1"/>
  </r>
  <r>
    <s v="AIJ-100779"/>
    <x v="17"/>
    <x v="8"/>
    <x v="6"/>
    <x v="2"/>
    <x v="23"/>
    <x v="19"/>
    <x v="4"/>
    <x v="1"/>
    <n v="50081"/>
    <s v="Medium"/>
    <x v="39"/>
    <n v="46"/>
    <x v="2"/>
    <x v="1"/>
    <n v="2.08"/>
    <s v="Yes"/>
    <n v="1.01"/>
    <x v="1"/>
    <x v="3"/>
    <x v="3"/>
  </r>
  <r>
    <s v="AIJ-100780"/>
    <x v="17"/>
    <x v="4"/>
    <x v="7"/>
    <x v="2"/>
    <x v="20"/>
    <x v="48"/>
    <x v="75"/>
    <x v="1"/>
    <n v="168945"/>
    <s v="Low"/>
    <x v="17"/>
    <n v="38"/>
    <x v="0"/>
    <x v="2"/>
    <n v="4.97"/>
    <s v="No"/>
    <n v="3.65"/>
    <x v="1"/>
    <x v="3"/>
    <x v="2"/>
  </r>
  <r>
    <s v="AIJ-100781"/>
    <x v="16"/>
    <x v="2"/>
    <x v="7"/>
    <x v="0"/>
    <x v="15"/>
    <x v="12"/>
    <x v="9"/>
    <x v="1"/>
    <n v="136622"/>
    <s v="Low"/>
    <x v="45"/>
    <n v="49"/>
    <x v="0"/>
    <x v="0"/>
    <n v="2.5499999999999998"/>
    <s v="Yes"/>
    <n v="1.24"/>
    <x v="2"/>
    <x v="3"/>
    <x v="1"/>
  </r>
  <r>
    <s v="AIJ-100782"/>
    <x v="5"/>
    <x v="1"/>
    <x v="1"/>
    <x v="0"/>
    <x v="10"/>
    <x v="36"/>
    <x v="4"/>
    <x v="0"/>
    <n v="31303"/>
    <s v="High"/>
    <x v="9"/>
    <n v="42"/>
    <x v="0"/>
    <x v="2"/>
    <n v="3.58"/>
    <s v="Yes"/>
    <n v="2.6"/>
    <x v="2"/>
    <x v="3"/>
    <x v="3"/>
  </r>
  <r>
    <s v="AIJ-100783"/>
    <x v="2"/>
    <x v="1"/>
    <x v="7"/>
    <x v="3"/>
    <x v="3"/>
    <x v="50"/>
    <x v="57"/>
    <x v="0"/>
    <n v="166766"/>
    <s v="Low"/>
    <x v="27"/>
    <n v="54"/>
    <x v="0"/>
    <x v="2"/>
    <n v="3.1"/>
    <s v="No"/>
    <n v="1.86"/>
    <x v="1"/>
    <x v="3"/>
    <x v="2"/>
  </r>
  <r>
    <s v="AIJ-100784"/>
    <x v="4"/>
    <x v="7"/>
    <x v="5"/>
    <x v="3"/>
    <x v="0"/>
    <x v="15"/>
    <x v="73"/>
    <x v="0"/>
    <n v="132204"/>
    <s v="Medium"/>
    <x v="35"/>
    <n v="37"/>
    <x v="0"/>
    <x v="0"/>
    <n v="3.11"/>
    <s v="Yes"/>
    <n v="2.1800000000000002"/>
    <x v="0"/>
    <x v="0"/>
    <x v="0"/>
  </r>
  <r>
    <s v="AIJ-100785"/>
    <x v="8"/>
    <x v="3"/>
    <x v="9"/>
    <x v="2"/>
    <x v="1"/>
    <x v="49"/>
    <x v="64"/>
    <x v="0"/>
    <n v="106179"/>
    <s v="High"/>
    <x v="47"/>
    <n v="41"/>
    <x v="1"/>
    <x v="0"/>
    <n v="4.09"/>
    <s v="Yes"/>
    <n v="4.32"/>
    <x v="1"/>
    <x v="0"/>
    <x v="1"/>
  </r>
  <r>
    <s v="AIJ-100786"/>
    <x v="10"/>
    <x v="1"/>
    <x v="4"/>
    <x v="1"/>
    <x v="8"/>
    <x v="42"/>
    <x v="78"/>
    <x v="0"/>
    <n v="197531"/>
    <s v="Medium"/>
    <x v="9"/>
    <n v="56"/>
    <x v="0"/>
    <x v="1"/>
    <n v="3.76"/>
    <s v="Yes"/>
    <n v="2.58"/>
    <x v="2"/>
    <x v="3"/>
    <x v="2"/>
  </r>
  <r>
    <s v="AIJ-100787"/>
    <x v="9"/>
    <x v="5"/>
    <x v="8"/>
    <x v="1"/>
    <x v="20"/>
    <x v="88"/>
    <x v="58"/>
    <x v="2"/>
    <n v="219071"/>
    <s v="Low"/>
    <x v="48"/>
    <n v="51"/>
    <x v="1"/>
    <x v="1"/>
    <n v="2.65"/>
    <s v="No"/>
    <n v="3.58"/>
    <x v="2"/>
    <x v="3"/>
    <x v="2"/>
  </r>
  <r>
    <s v="AIJ-100788"/>
    <x v="8"/>
    <x v="9"/>
    <x v="5"/>
    <x v="0"/>
    <x v="19"/>
    <x v="60"/>
    <x v="19"/>
    <x v="1"/>
    <n v="190399"/>
    <s v="High"/>
    <x v="11"/>
    <n v="43"/>
    <x v="0"/>
    <x v="0"/>
    <n v="4.59"/>
    <s v="Yes"/>
    <n v="1.04"/>
    <x v="2"/>
    <x v="3"/>
    <x v="2"/>
  </r>
  <r>
    <s v="AIJ-100789"/>
    <x v="11"/>
    <x v="5"/>
    <x v="8"/>
    <x v="1"/>
    <x v="25"/>
    <x v="90"/>
    <x v="26"/>
    <x v="1"/>
    <n v="63530"/>
    <s v="Medium"/>
    <x v="19"/>
    <n v="50"/>
    <x v="0"/>
    <x v="1"/>
    <n v="2.79"/>
    <s v="No"/>
    <n v="4.29"/>
    <x v="0"/>
    <x v="1"/>
    <x v="1"/>
  </r>
  <r>
    <s v="AIJ-100790"/>
    <x v="17"/>
    <x v="6"/>
    <x v="2"/>
    <x v="3"/>
    <x v="15"/>
    <x v="59"/>
    <x v="50"/>
    <x v="0"/>
    <n v="120647"/>
    <s v="Low"/>
    <x v="10"/>
    <n v="46"/>
    <x v="0"/>
    <x v="0"/>
    <n v="2.86"/>
    <s v="No"/>
    <n v="1.9"/>
    <x v="1"/>
    <x v="3"/>
    <x v="1"/>
  </r>
  <r>
    <s v="AIJ-100791"/>
    <x v="11"/>
    <x v="3"/>
    <x v="9"/>
    <x v="1"/>
    <x v="6"/>
    <x v="79"/>
    <x v="57"/>
    <x v="0"/>
    <n v="86514"/>
    <s v="Medium"/>
    <x v="2"/>
    <n v="40"/>
    <x v="2"/>
    <x v="1"/>
    <n v="2.23"/>
    <s v="No"/>
    <n v="4.74"/>
    <x v="0"/>
    <x v="0"/>
    <x v="0"/>
  </r>
  <r>
    <s v="AIJ-100792"/>
    <x v="6"/>
    <x v="9"/>
    <x v="7"/>
    <x v="0"/>
    <x v="12"/>
    <x v="2"/>
    <x v="30"/>
    <x v="2"/>
    <n v="118471"/>
    <s v="Low"/>
    <x v="28"/>
    <n v="52"/>
    <x v="1"/>
    <x v="2"/>
    <n v="4.24"/>
    <s v="No"/>
    <n v="4.12"/>
    <x v="2"/>
    <x v="2"/>
    <x v="3"/>
  </r>
  <r>
    <s v="AIJ-100793"/>
    <x v="3"/>
    <x v="6"/>
    <x v="7"/>
    <x v="1"/>
    <x v="2"/>
    <x v="48"/>
    <x v="25"/>
    <x v="1"/>
    <n v="189233"/>
    <s v="Low"/>
    <x v="31"/>
    <n v="60"/>
    <x v="0"/>
    <x v="2"/>
    <n v="2.2999999999999998"/>
    <s v="Yes"/>
    <n v="4.07"/>
    <x v="1"/>
    <x v="3"/>
    <x v="1"/>
  </r>
  <r>
    <s v="AIJ-100794"/>
    <x v="12"/>
    <x v="4"/>
    <x v="9"/>
    <x v="1"/>
    <x v="15"/>
    <x v="25"/>
    <x v="12"/>
    <x v="0"/>
    <n v="157241"/>
    <s v="High"/>
    <x v="34"/>
    <n v="38"/>
    <x v="2"/>
    <x v="0"/>
    <n v="4.8899999999999997"/>
    <s v="Yes"/>
    <n v="1.97"/>
    <x v="0"/>
    <x v="3"/>
    <x v="1"/>
  </r>
  <r>
    <s v="AIJ-100795"/>
    <x v="0"/>
    <x v="5"/>
    <x v="1"/>
    <x v="0"/>
    <x v="0"/>
    <x v="42"/>
    <x v="33"/>
    <x v="0"/>
    <n v="204878"/>
    <s v="Low"/>
    <x v="54"/>
    <n v="41"/>
    <x v="0"/>
    <x v="0"/>
    <n v="2.37"/>
    <s v="Yes"/>
    <n v="3.67"/>
    <x v="1"/>
    <x v="3"/>
    <x v="0"/>
  </r>
  <r>
    <s v="AIJ-100796"/>
    <x v="7"/>
    <x v="1"/>
    <x v="0"/>
    <x v="1"/>
    <x v="21"/>
    <x v="40"/>
    <x v="37"/>
    <x v="2"/>
    <n v="46997"/>
    <s v="Medium"/>
    <x v="3"/>
    <n v="48"/>
    <x v="1"/>
    <x v="1"/>
    <n v="4.2699999999999996"/>
    <s v="No"/>
    <n v="4.07"/>
    <x v="0"/>
    <x v="2"/>
    <x v="0"/>
  </r>
  <r>
    <s v="AIJ-100797"/>
    <x v="15"/>
    <x v="3"/>
    <x v="4"/>
    <x v="1"/>
    <x v="23"/>
    <x v="66"/>
    <x v="31"/>
    <x v="2"/>
    <n v="181854"/>
    <s v="Low"/>
    <x v="46"/>
    <n v="30"/>
    <x v="0"/>
    <x v="1"/>
    <n v="3.71"/>
    <s v="Yes"/>
    <n v="4.8099999999999996"/>
    <x v="2"/>
    <x v="0"/>
    <x v="3"/>
  </r>
  <r>
    <s v="AIJ-100798"/>
    <x v="15"/>
    <x v="3"/>
    <x v="9"/>
    <x v="2"/>
    <x v="12"/>
    <x v="90"/>
    <x v="53"/>
    <x v="2"/>
    <n v="142689"/>
    <s v="High"/>
    <x v="14"/>
    <n v="47"/>
    <x v="2"/>
    <x v="2"/>
    <n v="3.19"/>
    <s v="Yes"/>
    <n v="2.83"/>
    <x v="1"/>
    <x v="3"/>
    <x v="3"/>
  </r>
  <r>
    <s v="AIJ-100799"/>
    <x v="6"/>
    <x v="5"/>
    <x v="0"/>
    <x v="1"/>
    <x v="23"/>
    <x v="49"/>
    <x v="3"/>
    <x v="2"/>
    <n v="219897"/>
    <s v="High"/>
    <x v="44"/>
    <n v="59"/>
    <x v="2"/>
    <x v="0"/>
    <n v="2.73"/>
    <s v="Yes"/>
    <n v="3.63"/>
    <x v="0"/>
    <x v="0"/>
    <x v="3"/>
  </r>
  <r>
    <s v="AIJ-100800"/>
    <x v="17"/>
    <x v="3"/>
    <x v="0"/>
    <x v="0"/>
    <x v="23"/>
    <x v="60"/>
    <x v="55"/>
    <x v="0"/>
    <n v="60881"/>
    <s v="High"/>
    <x v="17"/>
    <n v="57"/>
    <x v="1"/>
    <x v="1"/>
    <n v="3.77"/>
    <s v="No"/>
    <n v="3.18"/>
    <x v="2"/>
    <x v="2"/>
    <x v="3"/>
  </r>
  <r>
    <s v="AIJ-100801"/>
    <x v="19"/>
    <x v="5"/>
    <x v="3"/>
    <x v="0"/>
    <x v="19"/>
    <x v="43"/>
    <x v="13"/>
    <x v="2"/>
    <n v="86788"/>
    <s v="High"/>
    <x v="25"/>
    <n v="54"/>
    <x v="1"/>
    <x v="0"/>
    <n v="2.94"/>
    <s v="No"/>
    <n v="4.92"/>
    <x v="2"/>
    <x v="2"/>
    <x v="2"/>
  </r>
  <r>
    <s v="AIJ-100802"/>
    <x v="8"/>
    <x v="1"/>
    <x v="8"/>
    <x v="2"/>
    <x v="3"/>
    <x v="22"/>
    <x v="64"/>
    <x v="1"/>
    <n v="111459"/>
    <s v="Low"/>
    <x v="53"/>
    <n v="30"/>
    <x v="0"/>
    <x v="0"/>
    <n v="3.3"/>
    <s v="No"/>
    <n v="4.63"/>
    <x v="1"/>
    <x v="0"/>
    <x v="2"/>
  </r>
  <r>
    <s v="AIJ-100803"/>
    <x v="16"/>
    <x v="3"/>
    <x v="5"/>
    <x v="2"/>
    <x v="0"/>
    <x v="54"/>
    <x v="13"/>
    <x v="0"/>
    <n v="205194"/>
    <s v="Medium"/>
    <x v="28"/>
    <n v="31"/>
    <x v="0"/>
    <x v="0"/>
    <n v="2.84"/>
    <s v="No"/>
    <n v="3.52"/>
    <x v="2"/>
    <x v="2"/>
    <x v="0"/>
  </r>
  <r>
    <s v="AIJ-100804"/>
    <x v="13"/>
    <x v="4"/>
    <x v="1"/>
    <x v="2"/>
    <x v="24"/>
    <x v="53"/>
    <x v="75"/>
    <x v="1"/>
    <n v="182689"/>
    <s v="Low"/>
    <x v="48"/>
    <n v="38"/>
    <x v="2"/>
    <x v="2"/>
    <n v="4.6900000000000004"/>
    <s v="No"/>
    <n v="2.77"/>
    <x v="1"/>
    <x v="2"/>
    <x v="1"/>
  </r>
  <r>
    <s v="AIJ-100805"/>
    <x v="17"/>
    <x v="3"/>
    <x v="1"/>
    <x v="3"/>
    <x v="21"/>
    <x v="74"/>
    <x v="5"/>
    <x v="2"/>
    <n v="206001"/>
    <s v="Low"/>
    <x v="26"/>
    <n v="57"/>
    <x v="2"/>
    <x v="0"/>
    <n v="3.88"/>
    <s v="No"/>
    <n v="4.6900000000000004"/>
    <x v="2"/>
    <x v="3"/>
    <x v="0"/>
  </r>
  <r>
    <s v="AIJ-100806"/>
    <x v="3"/>
    <x v="2"/>
    <x v="4"/>
    <x v="1"/>
    <x v="18"/>
    <x v="89"/>
    <x v="62"/>
    <x v="0"/>
    <n v="98891"/>
    <s v="Low"/>
    <x v="36"/>
    <n v="60"/>
    <x v="2"/>
    <x v="1"/>
    <n v="4.1399999999999997"/>
    <s v="Yes"/>
    <n v="1.81"/>
    <x v="1"/>
    <x v="2"/>
    <x v="3"/>
  </r>
  <r>
    <s v="AIJ-100807"/>
    <x v="9"/>
    <x v="0"/>
    <x v="0"/>
    <x v="1"/>
    <x v="21"/>
    <x v="45"/>
    <x v="71"/>
    <x v="1"/>
    <n v="73063"/>
    <s v="Low"/>
    <x v="29"/>
    <n v="54"/>
    <x v="2"/>
    <x v="2"/>
    <n v="4.4800000000000004"/>
    <s v="No"/>
    <n v="1.53"/>
    <x v="1"/>
    <x v="0"/>
    <x v="0"/>
  </r>
  <r>
    <s v="AIJ-100808"/>
    <x v="7"/>
    <x v="1"/>
    <x v="0"/>
    <x v="2"/>
    <x v="24"/>
    <x v="26"/>
    <x v="62"/>
    <x v="0"/>
    <n v="107785"/>
    <s v="High"/>
    <x v="31"/>
    <n v="31"/>
    <x v="1"/>
    <x v="1"/>
    <n v="2.88"/>
    <s v="Yes"/>
    <n v="4.8899999999999997"/>
    <x v="2"/>
    <x v="0"/>
    <x v="1"/>
  </r>
  <r>
    <s v="AIJ-100809"/>
    <x v="12"/>
    <x v="5"/>
    <x v="2"/>
    <x v="1"/>
    <x v="18"/>
    <x v="50"/>
    <x v="46"/>
    <x v="2"/>
    <n v="134427"/>
    <s v="Medium"/>
    <x v="21"/>
    <n v="46"/>
    <x v="1"/>
    <x v="2"/>
    <n v="2.23"/>
    <s v="Yes"/>
    <n v="3.56"/>
    <x v="1"/>
    <x v="3"/>
    <x v="3"/>
  </r>
  <r>
    <s v="AIJ-100810"/>
    <x v="0"/>
    <x v="7"/>
    <x v="3"/>
    <x v="0"/>
    <x v="20"/>
    <x v="89"/>
    <x v="24"/>
    <x v="1"/>
    <n v="180082"/>
    <s v="Low"/>
    <x v="10"/>
    <n v="56"/>
    <x v="0"/>
    <x v="2"/>
    <n v="4.63"/>
    <s v="Yes"/>
    <n v="3.17"/>
    <x v="1"/>
    <x v="2"/>
    <x v="2"/>
  </r>
  <r>
    <s v="AIJ-100811"/>
    <x v="2"/>
    <x v="5"/>
    <x v="7"/>
    <x v="0"/>
    <x v="2"/>
    <x v="60"/>
    <x v="21"/>
    <x v="0"/>
    <n v="214239"/>
    <s v="Medium"/>
    <x v="19"/>
    <n v="52"/>
    <x v="1"/>
    <x v="1"/>
    <n v="4.58"/>
    <s v="No"/>
    <n v="1.94"/>
    <x v="1"/>
    <x v="1"/>
    <x v="1"/>
  </r>
  <r>
    <s v="AIJ-100812"/>
    <x v="4"/>
    <x v="2"/>
    <x v="5"/>
    <x v="3"/>
    <x v="2"/>
    <x v="18"/>
    <x v="59"/>
    <x v="0"/>
    <n v="74810"/>
    <s v="Low"/>
    <x v="16"/>
    <n v="51"/>
    <x v="0"/>
    <x v="1"/>
    <n v="2.04"/>
    <s v="No"/>
    <n v="3.16"/>
    <x v="1"/>
    <x v="2"/>
    <x v="1"/>
  </r>
  <r>
    <s v="AIJ-100813"/>
    <x v="3"/>
    <x v="3"/>
    <x v="1"/>
    <x v="3"/>
    <x v="11"/>
    <x v="78"/>
    <x v="75"/>
    <x v="1"/>
    <n v="75669"/>
    <s v="Medium"/>
    <x v="23"/>
    <n v="49"/>
    <x v="1"/>
    <x v="0"/>
    <n v="3.77"/>
    <s v="No"/>
    <n v="1.94"/>
    <x v="0"/>
    <x v="2"/>
    <x v="1"/>
  </r>
  <r>
    <s v="AIJ-100814"/>
    <x v="6"/>
    <x v="5"/>
    <x v="7"/>
    <x v="3"/>
    <x v="7"/>
    <x v="80"/>
    <x v="64"/>
    <x v="1"/>
    <n v="188640"/>
    <s v="High"/>
    <x v="36"/>
    <n v="39"/>
    <x v="0"/>
    <x v="1"/>
    <n v="4.54"/>
    <s v="Yes"/>
    <n v="3.59"/>
    <x v="1"/>
    <x v="3"/>
    <x v="1"/>
  </r>
  <r>
    <s v="AIJ-100815"/>
    <x v="3"/>
    <x v="7"/>
    <x v="1"/>
    <x v="1"/>
    <x v="13"/>
    <x v="56"/>
    <x v="27"/>
    <x v="1"/>
    <n v="145711"/>
    <s v="Medium"/>
    <x v="52"/>
    <n v="45"/>
    <x v="1"/>
    <x v="0"/>
    <n v="4.3099999999999996"/>
    <s v="Yes"/>
    <n v="1.1000000000000001"/>
    <x v="0"/>
    <x v="2"/>
    <x v="1"/>
  </r>
  <r>
    <s v="AIJ-100816"/>
    <x v="11"/>
    <x v="5"/>
    <x v="3"/>
    <x v="0"/>
    <x v="13"/>
    <x v="67"/>
    <x v="42"/>
    <x v="0"/>
    <n v="159734"/>
    <s v="High"/>
    <x v="12"/>
    <n v="59"/>
    <x v="2"/>
    <x v="0"/>
    <n v="3.49"/>
    <s v="Yes"/>
    <n v="4.3499999999999996"/>
    <x v="2"/>
    <x v="3"/>
    <x v="1"/>
  </r>
  <r>
    <s v="AIJ-100817"/>
    <x v="8"/>
    <x v="6"/>
    <x v="7"/>
    <x v="1"/>
    <x v="2"/>
    <x v="62"/>
    <x v="58"/>
    <x v="2"/>
    <n v="208667"/>
    <s v="Low"/>
    <x v="49"/>
    <n v="31"/>
    <x v="0"/>
    <x v="1"/>
    <n v="4.6500000000000004"/>
    <s v="No"/>
    <n v="4.0199999999999996"/>
    <x v="1"/>
    <x v="2"/>
    <x v="1"/>
  </r>
  <r>
    <s v="AIJ-100818"/>
    <x v="1"/>
    <x v="7"/>
    <x v="6"/>
    <x v="3"/>
    <x v="3"/>
    <x v="79"/>
    <x v="36"/>
    <x v="2"/>
    <n v="76113"/>
    <s v="Medium"/>
    <x v="4"/>
    <n v="48"/>
    <x v="2"/>
    <x v="2"/>
    <n v="2.42"/>
    <s v="No"/>
    <n v="1.74"/>
    <x v="2"/>
    <x v="0"/>
    <x v="2"/>
  </r>
  <r>
    <s v="AIJ-100819"/>
    <x v="0"/>
    <x v="3"/>
    <x v="2"/>
    <x v="3"/>
    <x v="5"/>
    <x v="53"/>
    <x v="5"/>
    <x v="0"/>
    <n v="81004"/>
    <s v="Medium"/>
    <x v="1"/>
    <n v="51"/>
    <x v="0"/>
    <x v="1"/>
    <n v="2.56"/>
    <s v="No"/>
    <n v="3.89"/>
    <x v="1"/>
    <x v="3"/>
    <x v="3"/>
  </r>
  <r>
    <s v="AIJ-100820"/>
    <x v="6"/>
    <x v="7"/>
    <x v="9"/>
    <x v="3"/>
    <x v="19"/>
    <x v="79"/>
    <x v="6"/>
    <x v="0"/>
    <n v="88104"/>
    <s v="High"/>
    <x v="47"/>
    <n v="47"/>
    <x v="0"/>
    <x v="1"/>
    <n v="3.11"/>
    <s v="Yes"/>
    <n v="4.8099999999999996"/>
    <x v="1"/>
    <x v="0"/>
    <x v="2"/>
  </r>
  <r>
    <s v="AIJ-100821"/>
    <x v="5"/>
    <x v="2"/>
    <x v="8"/>
    <x v="1"/>
    <x v="16"/>
    <x v="1"/>
    <x v="53"/>
    <x v="2"/>
    <n v="105315"/>
    <s v="High"/>
    <x v="51"/>
    <n v="58"/>
    <x v="0"/>
    <x v="0"/>
    <n v="4.47"/>
    <s v="Yes"/>
    <n v="4.71"/>
    <x v="2"/>
    <x v="3"/>
    <x v="3"/>
  </r>
  <r>
    <s v="AIJ-100822"/>
    <x v="3"/>
    <x v="7"/>
    <x v="4"/>
    <x v="0"/>
    <x v="16"/>
    <x v="82"/>
    <x v="33"/>
    <x v="0"/>
    <n v="39880"/>
    <s v="Medium"/>
    <x v="46"/>
    <n v="44"/>
    <x v="1"/>
    <x v="1"/>
    <n v="4.4800000000000004"/>
    <s v="Yes"/>
    <n v="1.43"/>
    <x v="0"/>
    <x v="3"/>
    <x v="3"/>
  </r>
  <r>
    <s v="AIJ-100823"/>
    <x v="6"/>
    <x v="4"/>
    <x v="3"/>
    <x v="3"/>
    <x v="0"/>
    <x v="78"/>
    <x v="6"/>
    <x v="0"/>
    <n v="55527"/>
    <s v="High"/>
    <x v="2"/>
    <n v="60"/>
    <x v="1"/>
    <x v="0"/>
    <n v="4.59"/>
    <s v="Yes"/>
    <n v="2.13"/>
    <x v="2"/>
    <x v="3"/>
    <x v="0"/>
  </r>
  <r>
    <s v="AIJ-100824"/>
    <x v="2"/>
    <x v="5"/>
    <x v="3"/>
    <x v="2"/>
    <x v="15"/>
    <x v="13"/>
    <x v="58"/>
    <x v="2"/>
    <n v="61985"/>
    <s v="Low"/>
    <x v="23"/>
    <n v="45"/>
    <x v="1"/>
    <x v="1"/>
    <n v="3.08"/>
    <s v="Yes"/>
    <n v="4.38"/>
    <x v="0"/>
    <x v="3"/>
    <x v="1"/>
  </r>
  <r>
    <s v="AIJ-100825"/>
    <x v="14"/>
    <x v="6"/>
    <x v="5"/>
    <x v="0"/>
    <x v="9"/>
    <x v="46"/>
    <x v="4"/>
    <x v="1"/>
    <n v="142237"/>
    <s v="High"/>
    <x v="40"/>
    <n v="38"/>
    <x v="2"/>
    <x v="2"/>
    <n v="2.41"/>
    <s v="No"/>
    <n v="3.04"/>
    <x v="0"/>
    <x v="3"/>
    <x v="1"/>
  </r>
  <r>
    <s v="AIJ-100826"/>
    <x v="7"/>
    <x v="8"/>
    <x v="9"/>
    <x v="1"/>
    <x v="16"/>
    <x v="53"/>
    <x v="31"/>
    <x v="2"/>
    <n v="190864"/>
    <s v="Low"/>
    <x v="1"/>
    <n v="55"/>
    <x v="0"/>
    <x v="1"/>
    <n v="4.96"/>
    <s v="Yes"/>
    <n v="1.54"/>
    <x v="2"/>
    <x v="2"/>
    <x v="3"/>
  </r>
  <r>
    <s v="AIJ-100827"/>
    <x v="6"/>
    <x v="0"/>
    <x v="4"/>
    <x v="1"/>
    <x v="4"/>
    <x v="13"/>
    <x v="38"/>
    <x v="0"/>
    <n v="199696"/>
    <s v="Medium"/>
    <x v="10"/>
    <n v="40"/>
    <x v="1"/>
    <x v="2"/>
    <n v="2.02"/>
    <s v="No"/>
    <n v="2.92"/>
    <x v="0"/>
    <x v="2"/>
    <x v="1"/>
  </r>
  <r>
    <s v="AIJ-100828"/>
    <x v="11"/>
    <x v="4"/>
    <x v="7"/>
    <x v="0"/>
    <x v="22"/>
    <x v="38"/>
    <x v="71"/>
    <x v="1"/>
    <n v="167571"/>
    <s v="High"/>
    <x v="29"/>
    <n v="43"/>
    <x v="2"/>
    <x v="0"/>
    <n v="4.37"/>
    <s v="No"/>
    <n v="3.57"/>
    <x v="2"/>
    <x v="0"/>
    <x v="2"/>
  </r>
  <r>
    <s v="AIJ-100829"/>
    <x v="8"/>
    <x v="2"/>
    <x v="1"/>
    <x v="2"/>
    <x v="24"/>
    <x v="28"/>
    <x v="78"/>
    <x v="0"/>
    <n v="48243"/>
    <s v="Low"/>
    <x v="34"/>
    <n v="32"/>
    <x v="1"/>
    <x v="2"/>
    <n v="3.82"/>
    <s v="Yes"/>
    <n v="3.51"/>
    <x v="0"/>
    <x v="1"/>
    <x v="1"/>
  </r>
  <r>
    <s v="AIJ-100830"/>
    <x v="5"/>
    <x v="9"/>
    <x v="1"/>
    <x v="1"/>
    <x v="25"/>
    <x v="36"/>
    <x v="75"/>
    <x v="2"/>
    <n v="138886"/>
    <s v="Medium"/>
    <x v="41"/>
    <n v="30"/>
    <x v="0"/>
    <x v="2"/>
    <n v="4.3"/>
    <s v="No"/>
    <n v="3.07"/>
    <x v="2"/>
    <x v="2"/>
    <x v="1"/>
  </r>
  <r>
    <s v="AIJ-100831"/>
    <x v="5"/>
    <x v="9"/>
    <x v="1"/>
    <x v="0"/>
    <x v="22"/>
    <x v="31"/>
    <x v="42"/>
    <x v="2"/>
    <n v="177335"/>
    <s v="Low"/>
    <x v="31"/>
    <n v="34"/>
    <x v="0"/>
    <x v="2"/>
    <n v="3.53"/>
    <s v="No"/>
    <n v="2.5299999999999998"/>
    <x v="0"/>
    <x v="0"/>
    <x v="2"/>
  </r>
  <r>
    <s v="AIJ-100832"/>
    <x v="12"/>
    <x v="8"/>
    <x v="2"/>
    <x v="0"/>
    <x v="2"/>
    <x v="53"/>
    <x v="57"/>
    <x v="0"/>
    <n v="61701"/>
    <s v="Low"/>
    <x v="40"/>
    <n v="55"/>
    <x v="0"/>
    <x v="0"/>
    <n v="2.65"/>
    <s v="Yes"/>
    <n v="4.83"/>
    <x v="2"/>
    <x v="2"/>
    <x v="1"/>
  </r>
  <r>
    <s v="AIJ-100833"/>
    <x v="4"/>
    <x v="0"/>
    <x v="7"/>
    <x v="3"/>
    <x v="2"/>
    <x v="56"/>
    <x v="16"/>
    <x v="2"/>
    <n v="137987"/>
    <s v="Low"/>
    <x v="48"/>
    <n v="39"/>
    <x v="1"/>
    <x v="0"/>
    <n v="3.65"/>
    <s v="Yes"/>
    <n v="4.59"/>
    <x v="1"/>
    <x v="1"/>
    <x v="1"/>
  </r>
  <r>
    <s v="AIJ-100834"/>
    <x v="13"/>
    <x v="9"/>
    <x v="4"/>
    <x v="1"/>
    <x v="9"/>
    <x v="3"/>
    <x v="68"/>
    <x v="1"/>
    <n v="219998"/>
    <s v="Medium"/>
    <x v="7"/>
    <n v="60"/>
    <x v="1"/>
    <x v="0"/>
    <n v="3"/>
    <s v="No"/>
    <n v="3.31"/>
    <x v="1"/>
    <x v="3"/>
    <x v="1"/>
  </r>
  <r>
    <s v="AIJ-100835"/>
    <x v="3"/>
    <x v="8"/>
    <x v="8"/>
    <x v="3"/>
    <x v="20"/>
    <x v="85"/>
    <x v="12"/>
    <x v="2"/>
    <n v="145380"/>
    <s v="High"/>
    <x v="4"/>
    <n v="54"/>
    <x v="0"/>
    <x v="1"/>
    <n v="4.16"/>
    <s v="Yes"/>
    <n v="2.96"/>
    <x v="1"/>
    <x v="3"/>
    <x v="2"/>
  </r>
  <r>
    <s v="AIJ-100836"/>
    <x v="17"/>
    <x v="7"/>
    <x v="7"/>
    <x v="2"/>
    <x v="13"/>
    <x v="66"/>
    <x v="56"/>
    <x v="0"/>
    <n v="55835"/>
    <s v="Low"/>
    <x v="39"/>
    <n v="58"/>
    <x v="1"/>
    <x v="1"/>
    <n v="4.28"/>
    <s v="No"/>
    <n v="3.43"/>
    <x v="0"/>
    <x v="0"/>
    <x v="1"/>
  </r>
  <r>
    <s v="AIJ-100837"/>
    <x v="8"/>
    <x v="7"/>
    <x v="1"/>
    <x v="1"/>
    <x v="4"/>
    <x v="65"/>
    <x v="57"/>
    <x v="2"/>
    <n v="127568"/>
    <s v="Medium"/>
    <x v="37"/>
    <n v="55"/>
    <x v="1"/>
    <x v="2"/>
    <n v="2.0499999999999998"/>
    <s v="No"/>
    <n v="1.95"/>
    <x v="1"/>
    <x v="3"/>
    <x v="1"/>
  </r>
  <r>
    <s v="AIJ-100838"/>
    <x v="16"/>
    <x v="3"/>
    <x v="2"/>
    <x v="2"/>
    <x v="1"/>
    <x v="4"/>
    <x v="46"/>
    <x v="0"/>
    <n v="72730"/>
    <s v="High"/>
    <x v="12"/>
    <n v="35"/>
    <x v="0"/>
    <x v="0"/>
    <n v="4.25"/>
    <s v="Yes"/>
    <n v="1.37"/>
    <x v="2"/>
    <x v="0"/>
    <x v="1"/>
  </r>
  <r>
    <s v="AIJ-100839"/>
    <x v="3"/>
    <x v="2"/>
    <x v="0"/>
    <x v="0"/>
    <x v="6"/>
    <x v="56"/>
    <x v="37"/>
    <x v="2"/>
    <n v="153233"/>
    <s v="Low"/>
    <x v="25"/>
    <n v="42"/>
    <x v="1"/>
    <x v="0"/>
    <n v="2.4500000000000002"/>
    <s v="Yes"/>
    <n v="1.46"/>
    <x v="2"/>
    <x v="2"/>
    <x v="0"/>
  </r>
  <r>
    <s v="AIJ-100840"/>
    <x v="11"/>
    <x v="0"/>
    <x v="2"/>
    <x v="2"/>
    <x v="5"/>
    <x v="1"/>
    <x v="66"/>
    <x v="1"/>
    <n v="60190"/>
    <s v="Low"/>
    <x v="36"/>
    <n v="59"/>
    <x v="1"/>
    <x v="2"/>
    <n v="2.36"/>
    <s v="Yes"/>
    <n v="2.79"/>
    <x v="0"/>
    <x v="1"/>
    <x v="3"/>
  </r>
  <r>
    <s v="AIJ-100841"/>
    <x v="2"/>
    <x v="2"/>
    <x v="7"/>
    <x v="0"/>
    <x v="23"/>
    <x v="47"/>
    <x v="16"/>
    <x v="0"/>
    <n v="106968"/>
    <s v="High"/>
    <x v="53"/>
    <n v="51"/>
    <x v="1"/>
    <x v="1"/>
    <n v="3.95"/>
    <s v="No"/>
    <n v="4.1100000000000003"/>
    <x v="2"/>
    <x v="1"/>
    <x v="3"/>
  </r>
  <r>
    <s v="AIJ-100842"/>
    <x v="15"/>
    <x v="5"/>
    <x v="1"/>
    <x v="3"/>
    <x v="21"/>
    <x v="15"/>
    <x v="31"/>
    <x v="2"/>
    <n v="209055"/>
    <s v="High"/>
    <x v="31"/>
    <n v="34"/>
    <x v="1"/>
    <x v="0"/>
    <n v="2.86"/>
    <s v="Yes"/>
    <n v="1.07"/>
    <x v="0"/>
    <x v="0"/>
    <x v="0"/>
  </r>
  <r>
    <s v="AIJ-100843"/>
    <x v="19"/>
    <x v="2"/>
    <x v="0"/>
    <x v="3"/>
    <x v="22"/>
    <x v="62"/>
    <x v="56"/>
    <x v="2"/>
    <n v="201745"/>
    <s v="High"/>
    <x v="55"/>
    <n v="56"/>
    <x v="1"/>
    <x v="2"/>
    <n v="2.69"/>
    <s v="No"/>
    <n v="1.47"/>
    <x v="1"/>
    <x v="3"/>
    <x v="2"/>
  </r>
  <r>
    <s v="AIJ-100844"/>
    <x v="16"/>
    <x v="6"/>
    <x v="6"/>
    <x v="2"/>
    <x v="24"/>
    <x v="48"/>
    <x v="65"/>
    <x v="0"/>
    <n v="64166"/>
    <s v="Low"/>
    <x v="25"/>
    <n v="45"/>
    <x v="1"/>
    <x v="1"/>
    <n v="2.37"/>
    <s v="Yes"/>
    <n v="2.92"/>
    <x v="0"/>
    <x v="3"/>
    <x v="1"/>
  </r>
  <r>
    <s v="AIJ-100845"/>
    <x v="14"/>
    <x v="4"/>
    <x v="0"/>
    <x v="2"/>
    <x v="12"/>
    <x v="24"/>
    <x v="57"/>
    <x v="0"/>
    <n v="52380"/>
    <s v="Low"/>
    <x v="36"/>
    <n v="57"/>
    <x v="2"/>
    <x v="0"/>
    <n v="3.95"/>
    <s v="Yes"/>
    <n v="2.37"/>
    <x v="1"/>
    <x v="3"/>
    <x v="3"/>
  </r>
  <r>
    <s v="AIJ-100846"/>
    <x v="18"/>
    <x v="4"/>
    <x v="3"/>
    <x v="0"/>
    <x v="17"/>
    <x v="22"/>
    <x v="68"/>
    <x v="1"/>
    <n v="191516"/>
    <s v="Medium"/>
    <x v="32"/>
    <n v="32"/>
    <x v="2"/>
    <x v="1"/>
    <n v="3.77"/>
    <s v="No"/>
    <n v="2.4900000000000002"/>
    <x v="1"/>
    <x v="3"/>
    <x v="3"/>
  </r>
  <r>
    <s v="AIJ-100847"/>
    <x v="13"/>
    <x v="4"/>
    <x v="8"/>
    <x v="2"/>
    <x v="0"/>
    <x v="6"/>
    <x v="46"/>
    <x v="2"/>
    <n v="95824"/>
    <s v="Low"/>
    <x v="45"/>
    <n v="33"/>
    <x v="0"/>
    <x v="2"/>
    <n v="2.12"/>
    <s v="Yes"/>
    <n v="4.22"/>
    <x v="0"/>
    <x v="0"/>
    <x v="0"/>
  </r>
  <r>
    <s v="AIJ-100848"/>
    <x v="14"/>
    <x v="5"/>
    <x v="8"/>
    <x v="2"/>
    <x v="7"/>
    <x v="34"/>
    <x v="59"/>
    <x v="0"/>
    <n v="72434"/>
    <s v="High"/>
    <x v="21"/>
    <n v="41"/>
    <x v="2"/>
    <x v="2"/>
    <n v="2.44"/>
    <s v="Yes"/>
    <n v="4.47"/>
    <x v="2"/>
    <x v="1"/>
    <x v="1"/>
  </r>
  <r>
    <s v="AIJ-100849"/>
    <x v="10"/>
    <x v="9"/>
    <x v="4"/>
    <x v="3"/>
    <x v="6"/>
    <x v="12"/>
    <x v="41"/>
    <x v="0"/>
    <n v="94619"/>
    <s v="Medium"/>
    <x v="49"/>
    <n v="46"/>
    <x v="2"/>
    <x v="1"/>
    <n v="2.9"/>
    <s v="No"/>
    <n v="1.7"/>
    <x v="0"/>
    <x v="3"/>
    <x v="0"/>
  </r>
  <r>
    <s v="AIJ-100850"/>
    <x v="18"/>
    <x v="9"/>
    <x v="7"/>
    <x v="0"/>
    <x v="15"/>
    <x v="42"/>
    <x v="5"/>
    <x v="1"/>
    <n v="207305"/>
    <s v="Medium"/>
    <x v="14"/>
    <n v="36"/>
    <x v="1"/>
    <x v="0"/>
    <n v="2.02"/>
    <s v="Yes"/>
    <n v="5"/>
    <x v="2"/>
    <x v="0"/>
    <x v="1"/>
  </r>
  <r>
    <s v="AIJ-100851"/>
    <x v="2"/>
    <x v="0"/>
    <x v="9"/>
    <x v="1"/>
    <x v="22"/>
    <x v="81"/>
    <x v="72"/>
    <x v="2"/>
    <n v="122598"/>
    <s v="Medium"/>
    <x v="14"/>
    <n v="31"/>
    <x v="1"/>
    <x v="1"/>
    <n v="3.21"/>
    <s v="No"/>
    <n v="1.4"/>
    <x v="1"/>
    <x v="2"/>
    <x v="2"/>
  </r>
  <r>
    <s v="AIJ-100852"/>
    <x v="9"/>
    <x v="1"/>
    <x v="8"/>
    <x v="2"/>
    <x v="24"/>
    <x v="24"/>
    <x v="67"/>
    <x v="2"/>
    <n v="152515"/>
    <s v="Medium"/>
    <x v="22"/>
    <n v="37"/>
    <x v="0"/>
    <x v="0"/>
    <n v="2.2000000000000002"/>
    <s v="No"/>
    <n v="3.3"/>
    <x v="1"/>
    <x v="3"/>
    <x v="1"/>
  </r>
  <r>
    <s v="AIJ-100853"/>
    <x v="2"/>
    <x v="1"/>
    <x v="0"/>
    <x v="0"/>
    <x v="5"/>
    <x v="31"/>
    <x v="50"/>
    <x v="2"/>
    <n v="39934"/>
    <s v="High"/>
    <x v="55"/>
    <n v="50"/>
    <x v="1"/>
    <x v="0"/>
    <n v="2.2000000000000002"/>
    <s v="No"/>
    <n v="3.36"/>
    <x v="0"/>
    <x v="3"/>
    <x v="3"/>
  </r>
  <r>
    <s v="AIJ-100854"/>
    <x v="17"/>
    <x v="2"/>
    <x v="3"/>
    <x v="3"/>
    <x v="0"/>
    <x v="11"/>
    <x v="4"/>
    <x v="1"/>
    <n v="56103"/>
    <s v="Medium"/>
    <x v="12"/>
    <n v="38"/>
    <x v="1"/>
    <x v="2"/>
    <n v="4.49"/>
    <s v="No"/>
    <n v="2.75"/>
    <x v="2"/>
    <x v="0"/>
    <x v="0"/>
  </r>
  <r>
    <s v="AIJ-100855"/>
    <x v="17"/>
    <x v="6"/>
    <x v="4"/>
    <x v="0"/>
    <x v="0"/>
    <x v="55"/>
    <x v="18"/>
    <x v="2"/>
    <n v="142928"/>
    <s v="Medium"/>
    <x v="6"/>
    <n v="58"/>
    <x v="0"/>
    <x v="2"/>
    <n v="2.3199999999999998"/>
    <s v="No"/>
    <n v="1.22"/>
    <x v="2"/>
    <x v="1"/>
    <x v="0"/>
  </r>
  <r>
    <s v="AIJ-100856"/>
    <x v="2"/>
    <x v="5"/>
    <x v="0"/>
    <x v="0"/>
    <x v="22"/>
    <x v="69"/>
    <x v="8"/>
    <x v="0"/>
    <n v="191273"/>
    <s v="Low"/>
    <x v="40"/>
    <n v="60"/>
    <x v="1"/>
    <x v="0"/>
    <n v="4.51"/>
    <s v="No"/>
    <n v="4.71"/>
    <x v="0"/>
    <x v="0"/>
    <x v="2"/>
  </r>
  <r>
    <s v="AIJ-100857"/>
    <x v="13"/>
    <x v="7"/>
    <x v="9"/>
    <x v="1"/>
    <x v="11"/>
    <x v="38"/>
    <x v="66"/>
    <x v="1"/>
    <n v="61520"/>
    <s v="High"/>
    <x v="49"/>
    <n v="44"/>
    <x v="1"/>
    <x v="0"/>
    <n v="2.52"/>
    <s v="Yes"/>
    <n v="2.04"/>
    <x v="2"/>
    <x v="2"/>
    <x v="1"/>
  </r>
  <r>
    <s v="AIJ-100858"/>
    <x v="7"/>
    <x v="3"/>
    <x v="7"/>
    <x v="2"/>
    <x v="1"/>
    <x v="44"/>
    <x v="34"/>
    <x v="2"/>
    <n v="52315"/>
    <s v="High"/>
    <x v="1"/>
    <n v="59"/>
    <x v="1"/>
    <x v="0"/>
    <n v="4.67"/>
    <s v="No"/>
    <n v="4.17"/>
    <x v="0"/>
    <x v="2"/>
    <x v="1"/>
  </r>
  <r>
    <s v="AIJ-100859"/>
    <x v="12"/>
    <x v="6"/>
    <x v="6"/>
    <x v="2"/>
    <x v="11"/>
    <x v="59"/>
    <x v="6"/>
    <x v="1"/>
    <n v="205708"/>
    <s v="Low"/>
    <x v="18"/>
    <n v="33"/>
    <x v="2"/>
    <x v="2"/>
    <n v="4.37"/>
    <s v="No"/>
    <n v="1.45"/>
    <x v="1"/>
    <x v="3"/>
    <x v="1"/>
  </r>
  <r>
    <s v="AIJ-100860"/>
    <x v="0"/>
    <x v="5"/>
    <x v="4"/>
    <x v="3"/>
    <x v="24"/>
    <x v="19"/>
    <x v="62"/>
    <x v="1"/>
    <n v="211123"/>
    <s v="Medium"/>
    <x v="47"/>
    <n v="54"/>
    <x v="2"/>
    <x v="0"/>
    <n v="4.3899999999999997"/>
    <s v="No"/>
    <n v="1.73"/>
    <x v="0"/>
    <x v="3"/>
    <x v="1"/>
  </r>
  <r>
    <s v="AIJ-100861"/>
    <x v="11"/>
    <x v="4"/>
    <x v="8"/>
    <x v="3"/>
    <x v="18"/>
    <x v="59"/>
    <x v="51"/>
    <x v="2"/>
    <n v="99423"/>
    <s v="Medium"/>
    <x v="25"/>
    <n v="32"/>
    <x v="2"/>
    <x v="2"/>
    <n v="2.46"/>
    <s v="No"/>
    <n v="1.41"/>
    <x v="2"/>
    <x v="2"/>
    <x v="3"/>
  </r>
  <r>
    <s v="AIJ-100862"/>
    <x v="2"/>
    <x v="2"/>
    <x v="6"/>
    <x v="0"/>
    <x v="13"/>
    <x v="18"/>
    <x v="68"/>
    <x v="2"/>
    <n v="161735"/>
    <s v="High"/>
    <x v="29"/>
    <n v="49"/>
    <x v="1"/>
    <x v="1"/>
    <n v="2.41"/>
    <s v="No"/>
    <n v="2.58"/>
    <x v="2"/>
    <x v="2"/>
    <x v="1"/>
  </r>
  <r>
    <s v="AIJ-100863"/>
    <x v="2"/>
    <x v="2"/>
    <x v="5"/>
    <x v="1"/>
    <x v="8"/>
    <x v="77"/>
    <x v="13"/>
    <x v="2"/>
    <n v="59608"/>
    <s v="Medium"/>
    <x v="47"/>
    <n v="37"/>
    <x v="1"/>
    <x v="1"/>
    <n v="4.16"/>
    <s v="Yes"/>
    <n v="2.37"/>
    <x v="2"/>
    <x v="3"/>
    <x v="2"/>
  </r>
  <r>
    <s v="AIJ-100864"/>
    <x v="19"/>
    <x v="8"/>
    <x v="5"/>
    <x v="3"/>
    <x v="1"/>
    <x v="74"/>
    <x v="31"/>
    <x v="1"/>
    <n v="213587"/>
    <s v="Medium"/>
    <x v="25"/>
    <n v="38"/>
    <x v="1"/>
    <x v="0"/>
    <n v="2.29"/>
    <s v="No"/>
    <n v="3.6"/>
    <x v="2"/>
    <x v="3"/>
    <x v="1"/>
  </r>
  <r>
    <s v="AIJ-100865"/>
    <x v="3"/>
    <x v="5"/>
    <x v="1"/>
    <x v="3"/>
    <x v="15"/>
    <x v="4"/>
    <x v="43"/>
    <x v="2"/>
    <n v="156940"/>
    <s v="High"/>
    <x v="23"/>
    <n v="47"/>
    <x v="0"/>
    <x v="2"/>
    <n v="3.64"/>
    <s v="Yes"/>
    <n v="4.47"/>
    <x v="1"/>
    <x v="0"/>
    <x v="1"/>
  </r>
  <r>
    <s v="AIJ-100866"/>
    <x v="6"/>
    <x v="7"/>
    <x v="0"/>
    <x v="1"/>
    <x v="5"/>
    <x v="3"/>
    <x v="75"/>
    <x v="2"/>
    <n v="57416"/>
    <s v="Medium"/>
    <x v="3"/>
    <n v="47"/>
    <x v="2"/>
    <x v="0"/>
    <n v="3.99"/>
    <s v="Yes"/>
    <n v="3.8"/>
    <x v="0"/>
    <x v="3"/>
    <x v="3"/>
  </r>
  <r>
    <s v="AIJ-100867"/>
    <x v="1"/>
    <x v="7"/>
    <x v="0"/>
    <x v="3"/>
    <x v="23"/>
    <x v="61"/>
    <x v="8"/>
    <x v="2"/>
    <n v="53670"/>
    <s v="Low"/>
    <x v="51"/>
    <n v="33"/>
    <x v="0"/>
    <x v="2"/>
    <n v="4.17"/>
    <s v="Yes"/>
    <n v="1.23"/>
    <x v="0"/>
    <x v="3"/>
    <x v="3"/>
  </r>
  <r>
    <s v="AIJ-100868"/>
    <x v="14"/>
    <x v="6"/>
    <x v="4"/>
    <x v="0"/>
    <x v="8"/>
    <x v="52"/>
    <x v="13"/>
    <x v="1"/>
    <n v="50606"/>
    <s v="Medium"/>
    <x v="7"/>
    <n v="43"/>
    <x v="0"/>
    <x v="0"/>
    <n v="2.38"/>
    <s v="No"/>
    <n v="2.31"/>
    <x v="0"/>
    <x v="2"/>
    <x v="2"/>
  </r>
  <r>
    <s v="AIJ-100869"/>
    <x v="2"/>
    <x v="1"/>
    <x v="1"/>
    <x v="3"/>
    <x v="7"/>
    <x v="12"/>
    <x v="60"/>
    <x v="2"/>
    <n v="200741"/>
    <s v="Medium"/>
    <x v="42"/>
    <n v="31"/>
    <x v="2"/>
    <x v="1"/>
    <n v="5"/>
    <s v="No"/>
    <n v="4.1399999999999997"/>
    <x v="0"/>
    <x v="3"/>
    <x v="1"/>
  </r>
  <r>
    <s v="AIJ-100870"/>
    <x v="1"/>
    <x v="4"/>
    <x v="5"/>
    <x v="0"/>
    <x v="1"/>
    <x v="81"/>
    <x v="1"/>
    <x v="1"/>
    <n v="111459"/>
    <s v="Medium"/>
    <x v="20"/>
    <n v="58"/>
    <x v="1"/>
    <x v="0"/>
    <n v="3.35"/>
    <s v="No"/>
    <n v="4.07"/>
    <x v="2"/>
    <x v="2"/>
    <x v="1"/>
  </r>
  <r>
    <s v="AIJ-100871"/>
    <x v="15"/>
    <x v="4"/>
    <x v="1"/>
    <x v="1"/>
    <x v="1"/>
    <x v="22"/>
    <x v="31"/>
    <x v="1"/>
    <n v="97656"/>
    <s v="Medium"/>
    <x v="38"/>
    <n v="39"/>
    <x v="1"/>
    <x v="2"/>
    <n v="3.19"/>
    <s v="No"/>
    <n v="3.41"/>
    <x v="1"/>
    <x v="0"/>
    <x v="1"/>
  </r>
  <r>
    <s v="AIJ-100872"/>
    <x v="7"/>
    <x v="8"/>
    <x v="3"/>
    <x v="0"/>
    <x v="10"/>
    <x v="80"/>
    <x v="26"/>
    <x v="2"/>
    <n v="69886"/>
    <s v="High"/>
    <x v="19"/>
    <n v="39"/>
    <x v="2"/>
    <x v="2"/>
    <n v="4.29"/>
    <s v="Yes"/>
    <n v="2.56"/>
    <x v="2"/>
    <x v="1"/>
    <x v="3"/>
  </r>
  <r>
    <s v="AIJ-100873"/>
    <x v="5"/>
    <x v="5"/>
    <x v="9"/>
    <x v="0"/>
    <x v="0"/>
    <x v="77"/>
    <x v="4"/>
    <x v="0"/>
    <n v="161952"/>
    <s v="High"/>
    <x v="53"/>
    <n v="33"/>
    <x v="2"/>
    <x v="0"/>
    <n v="3.55"/>
    <s v="No"/>
    <n v="2.92"/>
    <x v="1"/>
    <x v="0"/>
    <x v="0"/>
  </r>
  <r>
    <s v="AIJ-100874"/>
    <x v="19"/>
    <x v="1"/>
    <x v="3"/>
    <x v="1"/>
    <x v="25"/>
    <x v="88"/>
    <x v="3"/>
    <x v="1"/>
    <n v="146415"/>
    <s v="Medium"/>
    <x v="11"/>
    <n v="35"/>
    <x v="0"/>
    <x v="1"/>
    <n v="2.23"/>
    <s v="Yes"/>
    <n v="4.68"/>
    <x v="2"/>
    <x v="3"/>
    <x v="1"/>
  </r>
  <r>
    <s v="AIJ-100875"/>
    <x v="14"/>
    <x v="7"/>
    <x v="0"/>
    <x v="0"/>
    <x v="1"/>
    <x v="1"/>
    <x v="67"/>
    <x v="2"/>
    <n v="89762"/>
    <s v="Low"/>
    <x v="4"/>
    <n v="47"/>
    <x v="2"/>
    <x v="0"/>
    <n v="2.5099999999999998"/>
    <s v="No"/>
    <n v="4.79"/>
    <x v="2"/>
    <x v="2"/>
    <x v="1"/>
  </r>
  <r>
    <s v="AIJ-100876"/>
    <x v="10"/>
    <x v="6"/>
    <x v="7"/>
    <x v="3"/>
    <x v="16"/>
    <x v="14"/>
    <x v="7"/>
    <x v="2"/>
    <n v="100347"/>
    <s v="Medium"/>
    <x v="46"/>
    <n v="50"/>
    <x v="2"/>
    <x v="1"/>
    <n v="4.22"/>
    <s v="Yes"/>
    <n v="4.38"/>
    <x v="2"/>
    <x v="1"/>
    <x v="3"/>
  </r>
  <r>
    <s v="AIJ-100877"/>
    <x v="0"/>
    <x v="3"/>
    <x v="3"/>
    <x v="2"/>
    <x v="18"/>
    <x v="89"/>
    <x v="73"/>
    <x v="1"/>
    <n v="104833"/>
    <s v="Medium"/>
    <x v="23"/>
    <n v="36"/>
    <x v="1"/>
    <x v="0"/>
    <n v="2.88"/>
    <s v="Yes"/>
    <n v="2.96"/>
    <x v="2"/>
    <x v="3"/>
    <x v="3"/>
  </r>
  <r>
    <s v="AIJ-100878"/>
    <x v="19"/>
    <x v="5"/>
    <x v="8"/>
    <x v="2"/>
    <x v="15"/>
    <x v="26"/>
    <x v="67"/>
    <x v="1"/>
    <n v="217227"/>
    <s v="Low"/>
    <x v="6"/>
    <n v="31"/>
    <x v="2"/>
    <x v="1"/>
    <n v="4.1399999999999997"/>
    <s v="Yes"/>
    <n v="1.1299999999999999"/>
    <x v="0"/>
    <x v="3"/>
    <x v="1"/>
  </r>
  <r>
    <s v="AIJ-100879"/>
    <x v="7"/>
    <x v="6"/>
    <x v="8"/>
    <x v="2"/>
    <x v="7"/>
    <x v="68"/>
    <x v="38"/>
    <x v="0"/>
    <n v="90166"/>
    <s v="High"/>
    <x v="10"/>
    <n v="42"/>
    <x v="2"/>
    <x v="1"/>
    <n v="3.52"/>
    <s v="Yes"/>
    <n v="4.37"/>
    <x v="1"/>
    <x v="2"/>
    <x v="1"/>
  </r>
  <r>
    <s v="AIJ-100880"/>
    <x v="14"/>
    <x v="6"/>
    <x v="9"/>
    <x v="1"/>
    <x v="13"/>
    <x v="37"/>
    <x v="49"/>
    <x v="1"/>
    <n v="98652"/>
    <s v="High"/>
    <x v="13"/>
    <n v="45"/>
    <x v="0"/>
    <x v="0"/>
    <n v="2.65"/>
    <s v="Yes"/>
    <n v="1.06"/>
    <x v="0"/>
    <x v="2"/>
    <x v="1"/>
  </r>
  <r>
    <s v="AIJ-100881"/>
    <x v="0"/>
    <x v="4"/>
    <x v="0"/>
    <x v="0"/>
    <x v="11"/>
    <x v="60"/>
    <x v="61"/>
    <x v="2"/>
    <n v="96966"/>
    <s v="High"/>
    <x v="45"/>
    <n v="34"/>
    <x v="0"/>
    <x v="0"/>
    <n v="2.1800000000000002"/>
    <s v="No"/>
    <n v="2.92"/>
    <x v="0"/>
    <x v="2"/>
    <x v="1"/>
  </r>
  <r>
    <s v="AIJ-100882"/>
    <x v="6"/>
    <x v="6"/>
    <x v="2"/>
    <x v="0"/>
    <x v="25"/>
    <x v="24"/>
    <x v="66"/>
    <x v="1"/>
    <n v="128786"/>
    <s v="Low"/>
    <x v="2"/>
    <n v="34"/>
    <x v="1"/>
    <x v="0"/>
    <n v="3.95"/>
    <s v="No"/>
    <n v="1.65"/>
    <x v="2"/>
    <x v="2"/>
    <x v="1"/>
  </r>
  <r>
    <s v="AIJ-100883"/>
    <x v="4"/>
    <x v="3"/>
    <x v="4"/>
    <x v="1"/>
    <x v="7"/>
    <x v="9"/>
    <x v="35"/>
    <x v="2"/>
    <n v="132733"/>
    <s v="Low"/>
    <x v="18"/>
    <n v="48"/>
    <x v="0"/>
    <x v="2"/>
    <n v="2.5"/>
    <s v="Yes"/>
    <n v="1.18"/>
    <x v="2"/>
    <x v="2"/>
    <x v="1"/>
  </r>
  <r>
    <s v="AIJ-100884"/>
    <x v="8"/>
    <x v="4"/>
    <x v="3"/>
    <x v="0"/>
    <x v="5"/>
    <x v="36"/>
    <x v="28"/>
    <x v="0"/>
    <n v="211315"/>
    <s v="Low"/>
    <x v="14"/>
    <n v="46"/>
    <x v="0"/>
    <x v="0"/>
    <n v="4.01"/>
    <s v="No"/>
    <n v="3.86"/>
    <x v="2"/>
    <x v="1"/>
    <x v="3"/>
  </r>
  <r>
    <s v="AIJ-100885"/>
    <x v="7"/>
    <x v="6"/>
    <x v="4"/>
    <x v="3"/>
    <x v="23"/>
    <x v="25"/>
    <x v="34"/>
    <x v="2"/>
    <n v="54363"/>
    <s v="Low"/>
    <x v="54"/>
    <n v="60"/>
    <x v="1"/>
    <x v="0"/>
    <n v="3.53"/>
    <s v="Yes"/>
    <n v="4.1399999999999997"/>
    <x v="1"/>
    <x v="3"/>
    <x v="3"/>
  </r>
  <r>
    <s v="AIJ-100886"/>
    <x v="9"/>
    <x v="6"/>
    <x v="8"/>
    <x v="1"/>
    <x v="24"/>
    <x v="53"/>
    <x v="60"/>
    <x v="0"/>
    <n v="207283"/>
    <s v="Medium"/>
    <x v="34"/>
    <n v="54"/>
    <x v="2"/>
    <x v="2"/>
    <n v="2.0099999999999998"/>
    <s v="No"/>
    <n v="4.7699999999999996"/>
    <x v="0"/>
    <x v="2"/>
    <x v="1"/>
  </r>
  <r>
    <s v="AIJ-100887"/>
    <x v="15"/>
    <x v="4"/>
    <x v="6"/>
    <x v="2"/>
    <x v="6"/>
    <x v="81"/>
    <x v="42"/>
    <x v="0"/>
    <n v="205228"/>
    <s v="High"/>
    <x v="16"/>
    <n v="59"/>
    <x v="2"/>
    <x v="1"/>
    <n v="4.5999999999999996"/>
    <s v="Yes"/>
    <n v="3.82"/>
    <x v="2"/>
    <x v="3"/>
    <x v="0"/>
  </r>
  <r>
    <s v="AIJ-100888"/>
    <x v="5"/>
    <x v="3"/>
    <x v="3"/>
    <x v="2"/>
    <x v="7"/>
    <x v="84"/>
    <x v="19"/>
    <x v="2"/>
    <n v="185053"/>
    <s v="Low"/>
    <x v="49"/>
    <n v="54"/>
    <x v="0"/>
    <x v="2"/>
    <n v="3.29"/>
    <s v="Yes"/>
    <n v="2.1800000000000002"/>
    <x v="2"/>
    <x v="3"/>
    <x v="1"/>
  </r>
  <r>
    <s v="AIJ-100889"/>
    <x v="14"/>
    <x v="5"/>
    <x v="9"/>
    <x v="2"/>
    <x v="10"/>
    <x v="62"/>
    <x v="58"/>
    <x v="2"/>
    <n v="171540"/>
    <s v="High"/>
    <x v="21"/>
    <n v="50"/>
    <x v="2"/>
    <x v="0"/>
    <n v="2.2200000000000002"/>
    <s v="Yes"/>
    <n v="2.48"/>
    <x v="0"/>
    <x v="2"/>
    <x v="3"/>
  </r>
  <r>
    <s v="AIJ-100890"/>
    <x v="11"/>
    <x v="2"/>
    <x v="1"/>
    <x v="2"/>
    <x v="6"/>
    <x v="5"/>
    <x v="34"/>
    <x v="0"/>
    <n v="211721"/>
    <s v="Medium"/>
    <x v="38"/>
    <n v="54"/>
    <x v="2"/>
    <x v="1"/>
    <n v="4.55"/>
    <s v="Yes"/>
    <n v="2.52"/>
    <x v="1"/>
    <x v="3"/>
    <x v="0"/>
  </r>
  <r>
    <s v="AIJ-100891"/>
    <x v="18"/>
    <x v="7"/>
    <x v="9"/>
    <x v="3"/>
    <x v="19"/>
    <x v="89"/>
    <x v="3"/>
    <x v="1"/>
    <n v="150844"/>
    <s v="Medium"/>
    <x v="4"/>
    <n v="39"/>
    <x v="0"/>
    <x v="2"/>
    <n v="4.01"/>
    <s v="Yes"/>
    <n v="2.95"/>
    <x v="1"/>
    <x v="3"/>
    <x v="2"/>
  </r>
  <r>
    <s v="AIJ-100892"/>
    <x v="17"/>
    <x v="4"/>
    <x v="6"/>
    <x v="1"/>
    <x v="3"/>
    <x v="77"/>
    <x v="52"/>
    <x v="0"/>
    <n v="135594"/>
    <s v="High"/>
    <x v="19"/>
    <n v="40"/>
    <x v="0"/>
    <x v="0"/>
    <n v="2.2200000000000002"/>
    <s v="Yes"/>
    <n v="4.24"/>
    <x v="1"/>
    <x v="0"/>
    <x v="2"/>
  </r>
  <r>
    <s v="AIJ-100893"/>
    <x v="10"/>
    <x v="7"/>
    <x v="7"/>
    <x v="1"/>
    <x v="21"/>
    <x v="42"/>
    <x v="78"/>
    <x v="2"/>
    <n v="157429"/>
    <s v="Low"/>
    <x v="36"/>
    <n v="57"/>
    <x v="2"/>
    <x v="1"/>
    <n v="4.49"/>
    <s v="Yes"/>
    <n v="4.75"/>
    <x v="2"/>
    <x v="3"/>
    <x v="0"/>
  </r>
  <r>
    <s v="AIJ-100894"/>
    <x v="4"/>
    <x v="2"/>
    <x v="1"/>
    <x v="3"/>
    <x v="10"/>
    <x v="43"/>
    <x v="6"/>
    <x v="0"/>
    <n v="150417"/>
    <s v="High"/>
    <x v="43"/>
    <n v="59"/>
    <x v="0"/>
    <x v="0"/>
    <n v="2.98"/>
    <s v="No"/>
    <n v="1.02"/>
    <x v="2"/>
    <x v="3"/>
    <x v="3"/>
  </r>
  <r>
    <s v="AIJ-100895"/>
    <x v="14"/>
    <x v="0"/>
    <x v="7"/>
    <x v="3"/>
    <x v="21"/>
    <x v="64"/>
    <x v="33"/>
    <x v="1"/>
    <n v="65717"/>
    <s v="Low"/>
    <x v="37"/>
    <n v="55"/>
    <x v="2"/>
    <x v="0"/>
    <n v="3.92"/>
    <s v="Yes"/>
    <n v="1.37"/>
    <x v="0"/>
    <x v="1"/>
    <x v="0"/>
  </r>
  <r>
    <s v="AIJ-100896"/>
    <x v="1"/>
    <x v="8"/>
    <x v="7"/>
    <x v="2"/>
    <x v="24"/>
    <x v="6"/>
    <x v="56"/>
    <x v="0"/>
    <n v="52589"/>
    <s v="High"/>
    <x v="49"/>
    <n v="37"/>
    <x v="2"/>
    <x v="2"/>
    <n v="4.46"/>
    <s v="Yes"/>
    <n v="1.8"/>
    <x v="2"/>
    <x v="0"/>
    <x v="1"/>
  </r>
  <r>
    <s v="AIJ-100897"/>
    <x v="3"/>
    <x v="5"/>
    <x v="0"/>
    <x v="3"/>
    <x v="13"/>
    <x v="60"/>
    <x v="51"/>
    <x v="2"/>
    <n v="213674"/>
    <s v="Medium"/>
    <x v="38"/>
    <n v="39"/>
    <x v="1"/>
    <x v="0"/>
    <n v="2.42"/>
    <s v="No"/>
    <n v="2.65"/>
    <x v="0"/>
    <x v="1"/>
    <x v="1"/>
  </r>
  <r>
    <s v="AIJ-100898"/>
    <x v="14"/>
    <x v="0"/>
    <x v="0"/>
    <x v="1"/>
    <x v="10"/>
    <x v="31"/>
    <x v="22"/>
    <x v="0"/>
    <n v="60295"/>
    <s v="Medium"/>
    <x v="17"/>
    <n v="47"/>
    <x v="1"/>
    <x v="2"/>
    <n v="4.71"/>
    <s v="Yes"/>
    <n v="1.1399999999999999"/>
    <x v="1"/>
    <x v="0"/>
    <x v="3"/>
  </r>
  <r>
    <s v="AIJ-100899"/>
    <x v="7"/>
    <x v="2"/>
    <x v="5"/>
    <x v="0"/>
    <x v="14"/>
    <x v="0"/>
    <x v="74"/>
    <x v="2"/>
    <n v="152754"/>
    <s v="Low"/>
    <x v="30"/>
    <n v="57"/>
    <x v="1"/>
    <x v="1"/>
    <n v="3.59"/>
    <s v="No"/>
    <n v="4.45"/>
    <x v="0"/>
    <x v="3"/>
    <x v="2"/>
  </r>
  <r>
    <s v="AIJ-100900"/>
    <x v="7"/>
    <x v="5"/>
    <x v="9"/>
    <x v="1"/>
    <x v="13"/>
    <x v="0"/>
    <x v="57"/>
    <x v="1"/>
    <n v="95895"/>
    <s v="Low"/>
    <x v="31"/>
    <n v="55"/>
    <x v="1"/>
    <x v="1"/>
    <n v="4.76"/>
    <s v="No"/>
    <n v="2.62"/>
    <x v="2"/>
    <x v="0"/>
    <x v="1"/>
  </r>
  <r>
    <s v="AIJ-100901"/>
    <x v="10"/>
    <x v="4"/>
    <x v="5"/>
    <x v="0"/>
    <x v="15"/>
    <x v="24"/>
    <x v="47"/>
    <x v="1"/>
    <n v="102535"/>
    <s v="Medium"/>
    <x v="1"/>
    <n v="41"/>
    <x v="2"/>
    <x v="2"/>
    <n v="2.62"/>
    <s v="Yes"/>
    <n v="3.92"/>
    <x v="2"/>
    <x v="3"/>
    <x v="1"/>
  </r>
  <r>
    <s v="AIJ-100902"/>
    <x v="7"/>
    <x v="6"/>
    <x v="0"/>
    <x v="2"/>
    <x v="20"/>
    <x v="6"/>
    <x v="35"/>
    <x v="0"/>
    <n v="213458"/>
    <s v="Low"/>
    <x v="47"/>
    <n v="44"/>
    <x v="0"/>
    <x v="1"/>
    <n v="2.2799999999999998"/>
    <s v="Yes"/>
    <n v="1.57"/>
    <x v="1"/>
    <x v="3"/>
    <x v="2"/>
  </r>
  <r>
    <s v="AIJ-100903"/>
    <x v="1"/>
    <x v="1"/>
    <x v="2"/>
    <x v="1"/>
    <x v="21"/>
    <x v="43"/>
    <x v="2"/>
    <x v="0"/>
    <n v="91291"/>
    <s v="High"/>
    <x v="36"/>
    <n v="35"/>
    <x v="2"/>
    <x v="1"/>
    <n v="4.3499999999999996"/>
    <s v="No"/>
    <n v="4.49"/>
    <x v="2"/>
    <x v="3"/>
    <x v="0"/>
  </r>
  <r>
    <s v="AIJ-100904"/>
    <x v="4"/>
    <x v="7"/>
    <x v="0"/>
    <x v="3"/>
    <x v="18"/>
    <x v="26"/>
    <x v="26"/>
    <x v="2"/>
    <n v="86255"/>
    <s v="High"/>
    <x v="30"/>
    <n v="31"/>
    <x v="2"/>
    <x v="1"/>
    <n v="2.13"/>
    <s v="No"/>
    <n v="1.4"/>
    <x v="1"/>
    <x v="3"/>
    <x v="3"/>
  </r>
  <r>
    <s v="AIJ-100905"/>
    <x v="18"/>
    <x v="6"/>
    <x v="4"/>
    <x v="2"/>
    <x v="0"/>
    <x v="52"/>
    <x v="23"/>
    <x v="0"/>
    <n v="206703"/>
    <s v="Medium"/>
    <x v="46"/>
    <n v="60"/>
    <x v="0"/>
    <x v="0"/>
    <n v="2.65"/>
    <s v="No"/>
    <n v="4.09"/>
    <x v="2"/>
    <x v="0"/>
    <x v="0"/>
  </r>
  <r>
    <s v="AIJ-100906"/>
    <x v="14"/>
    <x v="6"/>
    <x v="9"/>
    <x v="3"/>
    <x v="6"/>
    <x v="73"/>
    <x v="21"/>
    <x v="0"/>
    <n v="86233"/>
    <s v="High"/>
    <x v="33"/>
    <n v="50"/>
    <x v="0"/>
    <x v="2"/>
    <n v="4.87"/>
    <s v="No"/>
    <n v="4.5199999999999996"/>
    <x v="0"/>
    <x v="3"/>
    <x v="0"/>
  </r>
  <r>
    <s v="AIJ-100907"/>
    <x v="2"/>
    <x v="7"/>
    <x v="1"/>
    <x v="2"/>
    <x v="17"/>
    <x v="1"/>
    <x v="4"/>
    <x v="1"/>
    <n v="209837"/>
    <s v="Low"/>
    <x v="39"/>
    <n v="31"/>
    <x v="2"/>
    <x v="1"/>
    <n v="3.71"/>
    <s v="Yes"/>
    <n v="3.58"/>
    <x v="1"/>
    <x v="3"/>
    <x v="3"/>
  </r>
  <r>
    <s v="AIJ-100908"/>
    <x v="6"/>
    <x v="9"/>
    <x v="9"/>
    <x v="3"/>
    <x v="25"/>
    <x v="24"/>
    <x v="18"/>
    <x v="2"/>
    <n v="212308"/>
    <s v="Low"/>
    <x v="18"/>
    <n v="58"/>
    <x v="1"/>
    <x v="0"/>
    <n v="2.58"/>
    <s v="No"/>
    <n v="2.23"/>
    <x v="0"/>
    <x v="2"/>
    <x v="1"/>
  </r>
  <r>
    <s v="AIJ-100909"/>
    <x v="1"/>
    <x v="7"/>
    <x v="8"/>
    <x v="1"/>
    <x v="3"/>
    <x v="5"/>
    <x v="43"/>
    <x v="2"/>
    <n v="71202"/>
    <s v="Medium"/>
    <x v="34"/>
    <n v="30"/>
    <x v="1"/>
    <x v="1"/>
    <n v="2.64"/>
    <s v="No"/>
    <n v="2.25"/>
    <x v="2"/>
    <x v="3"/>
    <x v="2"/>
  </r>
  <r>
    <s v="AIJ-100910"/>
    <x v="2"/>
    <x v="8"/>
    <x v="4"/>
    <x v="1"/>
    <x v="16"/>
    <x v="25"/>
    <x v="11"/>
    <x v="1"/>
    <n v="78960"/>
    <s v="Low"/>
    <x v="13"/>
    <n v="30"/>
    <x v="0"/>
    <x v="2"/>
    <n v="3.71"/>
    <s v="No"/>
    <n v="4.3600000000000003"/>
    <x v="2"/>
    <x v="3"/>
    <x v="3"/>
  </r>
  <r>
    <s v="AIJ-100911"/>
    <x v="3"/>
    <x v="4"/>
    <x v="7"/>
    <x v="0"/>
    <x v="20"/>
    <x v="22"/>
    <x v="72"/>
    <x v="0"/>
    <n v="60578"/>
    <s v="High"/>
    <x v="53"/>
    <n v="39"/>
    <x v="0"/>
    <x v="1"/>
    <n v="4.87"/>
    <s v="No"/>
    <n v="2.34"/>
    <x v="0"/>
    <x v="3"/>
    <x v="2"/>
  </r>
  <r>
    <s v="AIJ-100912"/>
    <x v="15"/>
    <x v="6"/>
    <x v="4"/>
    <x v="1"/>
    <x v="12"/>
    <x v="72"/>
    <x v="24"/>
    <x v="2"/>
    <n v="73905"/>
    <s v="Low"/>
    <x v="17"/>
    <n v="30"/>
    <x v="0"/>
    <x v="2"/>
    <n v="3.37"/>
    <s v="No"/>
    <n v="3.08"/>
    <x v="2"/>
    <x v="2"/>
    <x v="3"/>
  </r>
  <r>
    <s v="AIJ-100913"/>
    <x v="3"/>
    <x v="7"/>
    <x v="1"/>
    <x v="1"/>
    <x v="25"/>
    <x v="73"/>
    <x v="4"/>
    <x v="2"/>
    <n v="60024"/>
    <s v="Low"/>
    <x v="42"/>
    <n v="36"/>
    <x v="2"/>
    <x v="0"/>
    <n v="4.87"/>
    <s v="Yes"/>
    <n v="3.59"/>
    <x v="0"/>
    <x v="0"/>
    <x v="1"/>
  </r>
  <r>
    <s v="AIJ-100914"/>
    <x v="18"/>
    <x v="3"/>
    <x v="2"/>
    <x v="0"/>
    <x v="19"/>
    <x v="76"/>
    <x v="35"/>
    <x v="0"/>
    <n v="31120"/>
    <s v="High"/>
    <x v="15"/>
    <n v="36"/>
    <x v="0"/>
    <x v="1"/>
    <n v="3"/>
    <s v="Yes"/>
    <n v="3.92"/>
    <x v="1"/>
    <x v="3"/>
    <x v="2"/>
  </r>
  <r>
    <s v="AIJ-100915"/>
    <x v="6"/>
    <x v="9"/>
    <x v="9"/>
    <x v="1"/>
    <x v="6"/>
    <x v="12"/>
    <x v="29"/>
    <x v="2"/>
    <n v="119042"/>
    <s v="Medium"/>
    <x v="44"/>
    <n v="60"/>
    <x v="1"/>
    <x v="0"/>
    <n v="4.7300000000000004"/>
    <s v="No"/>
    <n v="4.5999999999999996"/>
    <x v="0"/>
    <x v="3"/>
    <x v="0"/>
  </r>
  <r>
    <s v="AIJ-100916"/>
    <x v="12"/>
    <x v="8"/>
    <x v="8"/>
    <x v="2"/>
    <x v="3"/>
    <x v="83"/>
    <x v="66"/>
    <x v="2"/>
    <n v="219368"/>
    <s v="Low"/>
    <x v="32"/>
    <n v="39"/>
    <x v="0"/>
    <x v="2"/>
    <n v="3.88"/>
    <s v="Yes"/>
    <n v="1.54"/>
    <x v="2"/>
    <x v="1"/>
    <x v="2"/>
  </r>
  <r>
    <s v="AIJ-100917"/>
    <x v="16"/>
    <x v="8"/>
    <x v="9"/>
    <x v="2"/>
    <x v="6"/>
    <x v="39"/>
    <x v="73"/>
    <x v="1"/>
    <n v="201660"/>
    <s v="Medium"/>
    <x v="12"/>
    <n v="49"/>
    <x v="0"/>
    <x v="2"/>
    <n v="4.0999999999999996"/>
    <s v="Yes"/>
    <n v="3.94"/>
    <x v="0"/>
    <x v="0"/>
    <x v="0"/>
  </r>
  <r>
    <s v="AIJ-100918"/>
    <x v="17"/>
    <x v="2"/>
    <x v="1"/>
    <x v="1"/>
    <x v="25"/>
    <x v="33"/>
    <x v="40"/>
    <x v="1"/>
    <n v="217274"/>
    <s v="Medium"/>
    <x v="41"/>
    <n v="57"/>
    <x v="1"/>
    <x v="0"/>
    <n v="4.63"/>
    <s v="Yes"/>
    <n v="2.4900000000000002"/>
    <x v="2"/>
    <x v="1"/>
    <x v="1"/>
  </r>
  <r>
    <s v="AIJ-100919"/>
    <x v="5"/>
    <x v="4"/>
    <x v="4"/>
    <x v="2"/>
    <x v="2"/>
    <x v="8"/>
    <x v="55"/>
    <x v="0"/>
    <n v="136734"/>
    <s v="Medium"/>
    <x v="18"/>
    <n v="55"/>
    <x v="0"/>
    <x v="2"/>
    <n v="4.8"/>
    <s v="No"/>
    <n v="2.83"/>
    <x v="1"/>
    <x v="3"/>
    <x v="1"/>
  </r>
  <r>
    <s v="AIJ-100920"/>
    <x v="3"/>
    <x v="4"/>
    <x v="2"/>
    <x v="0"/>
    <x v="16"/>
    <x v="86"/>
    <x v="1"/>
    <x v="1"/>
    <n v="186818"/>
    <s v="High"/>
    <x v="39"/>
    <n v="57"/>
    <x v="1"/>
    <x v="0"/>
    <n v="4.25"/>
    <s v="Yes"/>
    <n v="1.48"/>
    <x v="2"/>
    <x v="3"/>
    <x v="3"/>
  </r>
  <r>
    <s v="AIJ-100921"/>
    <x v="16"/>
    <x v="0"/>
    <x v="7"/>
    <x v="0"/>
    <x v="21"/>
    <x v="59"/>
    <x v="72"/>
    <x v="2"/>
    <n v="51275"/>
    <s v="Low"/>
    <x v="49"/>
    <n v="42"/>
    <x v="0"/>
    <x v="1"/>
    <n v="4.91"/>
    <s v="No"/>
    <n v="4.37"/>
    <x v="1"/>
    <x v="2"/>
    <x v="0"/>
  </r>
  <r>
    <s v="AIJ-100922"/>
    <x v="18"/>
    <x v="7"/>
    <x v="8"/>
    <x v="3"/>
    <x v="11"/>
    <x v="77"/>
    <x v="61"/>
    <x v="1"/>
    <n v="133210"/>
    <s v="Medium"/>
    <x v="33"/>
    <n v="50"/>
    <x v="1"/>
    <x v="1"/>
    <n v="4.9000000000000004"/>
    <s v="No"/>
    <n v="4.92"/>
    <x v="0"/>
    <x v="3"/>
    <x v="1"/>
  </r>
  <r>
    <s v="AIJ-100923"/>
    <x v="13"/>
    <x v="2"/>
    <x v="1"/>
    <x v="1"/>
    <x v="5"/>
    <x v="38"/>
    <x v="50"/>
    <x v="0"/>
    <n v="73850"/>
    <s v="Medium"/>
    <x v="34"/>
    <n v="33"/>
    <x v="1"/>
    <x v="1"/>
    <n v="4.91"/>
    <s v="No"/>
    <n v="1.87"/>
    <x v="1"/>
    <x v="3"/>
    <x v="3"/>
  </r>
  <r>
    <s v="AIJ-100924"/>
    <x v="10"/>
    <x v="5"/>
    <x v="3"/>
    <x v="2"/>
    <x v="24"/>
    <x v="75"/>
    <x v="8"/>
    <x v="2"/>
    <n v="164542"/>
    <s v="Medium"/>
    <x v="25"/>
    <n v="50"/>
    <x v="1"/>
    <x v="0"/>
    <n v="2.93"/>
    <s v="Yes"/>
    <n v="3.63"/>
    <x v="0"/>
    <x v="0"/>
    <x v="1"/>
  </r>
  <r>
    <s v="AIJ-100925"/>
    <x v="13"/>
    <x v="8"/>
    <x v="5"/>
    <x v="2"/>
    <x v="17"/>
    <x v="22"/>
    <x v="66"/>
    <x v="2"/>
    <n v="103854"/>
    <s v="Low"/>
    <x v="29"/>
    <n v="37"/>
    <x v="2"/>
    <x v="2"/>
    <n v="4.8499999999999996"/>
    <s v="Yes"/>
    <n v="4.24"/>
    <x v="2"/>
    <x v="3"/>
    <x v="3"/>
  </r>
  <r>
    <s v="AIJ-100926"/>
    <x v="5"/>
    <x v="7"/>
    <x v="3"/>
    <x v="0"/>
    <x v="25"/>
    <x v="43"/>
    <x v="34"/>
    <x v="2"/>
    <n v="218420"/>
    <s v="High"/>
    <x v="2"/>
    <n v="45"/>
    <x v="2"/>
    <x v="1"/>
    <n v="3.2"/>
    <s v="No"/>
    <n v="3.89"/>
    <x v="0"/>
    <x v="3"/>
    <x v="1"/>
  </r>
  <r>
    <s v="AIJ-100927"/>
    <x v="15"/>
    <x v="4"/>
    <x v="0"/>
    <x v="0"/>
    <x v="9"/>
    <x v="61"/>
    <x v="73"/>
    <x v="0"/>
    <n v="101002"/>
    <s v="Medium"/>
    <x v="0"/>
    <n v="58"/>
    <x v="2"/>
    <x v="2"/>
    <n v="2.2400000000000002"/>
    <s v="No"/>
    <n v="2.14"/>
    <x v="2"/>
    <x v="3"/>
    <x v="1"/>
  </r>
  <r>
    <s v="AIJ-100928"/>
    <x v="11"/>
    <x v="8"/>
    <x v="5"/>
    <x v="3"/>
    <x v="11"/>
    <x v="57"/>
    <x v="70"/>
    <x v="1"/>
    <n v="134621"/>
    <s v="Medium"/>
    <x v="33"/>
    <n v="57"/>
    <x v="2"/>
    <x v="2"/>
    <n v="2.34"/>
    <s v="Yes"/>
    <n v="1.05"/>
    <x v="1"/>
    <x v="1"/>
    <x v="1"/>
  </r>
  <r>
    <s v="AIJ-100929"/>
    <x v="10"/>
    <x v="1"/>
    <x v="9"/>
    <x v="1"/>
    <x v="20"/>
    <x v="17"/>
    <x v="68"/>
    <x v="0"/>
    <n v="104950"/>
    <s v="Medium"/>
    <x v="6"/>
    <n v="33"/>
    <x v="2"/>
    <x v="1"/>
    <n v="4.66"/>
    <s v="Yes"/>
    <n v="3.87"/>
    <x v="2"/>
    <x v="3"/>
    <x v="2"/>
  </r>
  <r>
    <s v="AIJ-100930"/>
    <x v="9"/>
    <x v="9"/>
    <x v="9"/>
    <x v="3"/>
    <x v="3"/>
    <x v="7"/>
    <x v="21"/>
    <x v="0"/>
    <n v="199244"/>
    <s v="Low"/>
    <x v="1"/>
    <n v="41"/>
    <x v="0"/>
    <x v="0"/>
    <n v="3.34"/>
    <s v="No"/>
    <n v="2.27"/>
    <x v="2"/>
    <x v="1"/>
    <x v="2"/>
  </r>
  <r>
    <s v="AIJ-100931"/>
    <x v="12"/>
    <x v="6"/>
    <x v="2"/>
    <x v="0"/>
    <x v="8"/>
    <x v="71"/>
    <x v="18"/>
    <x v="2"/>
    <n v="208330"/>
    <s v="Low"/>
    <x v="10"/>
    <n v="50"/>
    <x v="0"/>
    <x v="2"/>
    <n v="4.07"/>
    <s v="No"/>
    <n v="4.1900000000000004"/>
    <x v="0"/>
    <x v="1"/>
    <x v="2"/>
  </r>
  <r>
    <s v="AIJ-100932"/>
    <x v="1"/>
    <x v="4"/>
    <x v="4"/>
    <x v="1"/>
    <x v="18"/>
    <x v="58"/>
    <x v="20"/>
    <x v="0"/>
    <n v="208773"/>
    <s v="Low"/>
    <x v="2"/>
    <n v="59"/>
    <x v="1"/>
    <x v="0"/>
    <n v="4.4800000000000004"/>
    <s v="No"/>
    <n v="4.26"/>
    <x v="1"/>
    <x v="3"/>
    <x v="3"/>
  </r>
  <r>
    <s v="AIJ-100933"/>
    <x v="10"/>
    <x v="6"/>
    <x v="1"/>
    <x v="0"/>
    <x v="2"/>
    <x v="51"/>
    <x v="69"/>
    <x v="0"/>
    <n v="41961"/>
    <s v="High"/>
    <x v="36"/>
    <n v="32"/>
    <x v="2"/>
    <x v="2"/>
    <n v="2.96"/>
    <s v="Yes"/>
    <n v="1.48"/>
    <x v="2"/>
    <x v="3"/>
    <x v="1"/>
  </r>
  <r>
    <s v="AIJ-100934"/>
    <x v="12"/>
    <x v="8"/>
    <x v="8"/>
    <x v="1"/>
    <x v="19"/>
    <x v="87"/>
    <x v="30"/>
    <x v="0"/>
    <n v="52765"/>
    <s v="Medium"/>
    <x v="32"/>
    <n v="41"/>
    <x v="2"/>
    <x v="0"/>
    <n v="2.46"/>
    <s v="No"/>
    <n v="1.7"/>
    <x v="0"/>
    <x v="3"/>
    <x v="2"/>
  </r>
  <r>
    <s v="AIJ-100935"/>
    <x v="18"/>
    <x v="2"/>
    <x v="4"/>
    <x v="1"/>
    <x v="3"/>
    <x v="42"/>
    <x v="57"/>
    <x v="0"/>
    <n v="191315"/>
    <s v="High"/>
    <x v="38"/>
    <n v="54"/>
    <x v="2"/>
    <x v="2"/>
    <n v="4.0999999999999996"/>
    <s v="Yes"/>
    <n v="4.57"/>
    <x v="0"/>
    <x v="0"/>
    <x v="2"/>
  </r>
  <r>
    <s v="AIJ-100936"/>
    <x v="18"/>
    <x v="2"/>
    <x v="1"/>
    <x v="1"/>
    <x v="12"/>
    <x v="21"/>
    <x v="27"/>
    <x v="1"/>
    <n v="88211"/>
    <s v="Low"/>
    <x v="5"/>
    <n v="41"/>
    <x v="1"/>
    <x v="1"/>
    <n v="3.19"/>
    <s v="Yes"/>
    <n v="3.2"/>
    <x v="1"/>
    <x v="3"/>
    <x v="3"/>
  </r>
  <r>
    <s v="AIJ-100937"/>
    <x v="8"/>
    <x v="8"/>
    <x v="4"/>
    <x v="0"/>
    <x v="0"/>
    <x v="84"/>
    <x v="31"/>
    <x v="0"/>
    <n v="61665"/>
    <s v="Low"/>
    <x v="55"/>
    <n v="33"/>
    <x v="1"/>
    <x v="1"/>
    <n v="2.2999999999999998"/>
    <s v="Yes"/>
    <n v="4.57"/>
    <x v="0"/>
    <x v="3"/>
    <x v="0"/>
  </r>
  <r>
    <s v="AIJ-100938"/>
    <x v="15"/>
    <x v="9"/>
    <x v="4"/>
    <x v="3"/>
    <x v="18"/>
    <x v="23"/>
    <x v="18"/>
    <x v="1"/>
    <n v="97704"/>
    <s v="Low"/>
    <x v="25"/>
    <n v="36"/>
    <x v="1"/>
    <x v="0"/>
    <n v="4.95"/>
    <s v="Yes"/>
    <n v="4.8099999999999996"/>
    <x v="0"/>
    <x v="2"/>
    <x v="3"/>
  </r>
  <r>
    <s v="AIJ-100939"/>
    <x v="2"/>
    <x v="8"/>
    <x v="1"/>
    <x v="1"/>
    <x v="24"/>
    <x v="83"/>
    <x v="44"/>
    <x v="1"/>
    <n v="205729"/>
    <s v="Medium"/>
    <x v="37"/>
    <n v="42"/>
    <x v="1"/>
    <x v="0"/>
    <n v="4.9800000000000004"/>
    <s v="No"/>
    <n v="1.84"/>
    <x v="0"/>
    <x v="1"/>
    <x v="1"/>
  </r>
  <r>
    <s v="AIJ-100940"/>
    <x v="9"/>
    <x v="5"/>
    <x v="8"/>
    <x v="3"/>
    <x v="5"/>
    <x v="53"/>
    <x v="33"/>
    <x v="2"/>
    <n v="199804"/>
    <s v="Medium"/>
    <x v="2"/>
    <n v="33"/>
    <x v="1"/>
    <x v="2"/>
    <n v="3.46"/>
    <s v="No"/>
    <n v="1.92"/>
    <x v="0"/>
    <x v="1"/>
    <x v="3"/>
  </r>
  <r>
    <s v="AIJ-100941"/>
    <x v="15"/>
    <x v="6"/>
    <x v="9"/>
    <x v="3"/>
    <x v="2"/>
    <x v="4"/>
    <x v="53"/>
    <x v="1"/>
    <n v="75748"/>
    <s v="Low"/>
    <x v="12"/>
    <n v="56"/>
    <x v="0"/>
    <x v="1"/>
    <n v="3.97"/>
    <s v="No"/>
    <n v="1.25"/>
    <x v="0"/>
    <x v="0"/>
    <x v="1"/>
  </r>
  <r>
    <s v="AIJ-100942"/>
    <x v="3"/>
    <x v="7"/>
    <x v="2"/>
    <x v="0"/>
    <x v="24"/>
    <x v="61"/>
    <x v="64"/>
    <x v="1"/>
    <n v="194156"/>
    <s v="Low"/>
    <x v="13"/>
    <n v="48"/>
    <x v="0"/>
    <x v="1"/>
    <n v="2.99"/>
    <s v="No"/>
    <n v="1.07"/>
    <x v="0"/>
    <x v="3"/>
    <x v="1"/>
  </r>
  <r>
    <s v="AIJ-100943"/>
    <x v="10"/>
    <x v="9"/>
    <x v="8"/>
    <x v="1"/>
    <x v="21"/>
    <x v="5"/>
    <x v="35"/>
    <x v="1"/>
    <n v="78460"/>
    <s v="Low"/>
    <x v="15"/>
    <n v="35"/>
    <x v="0"/>
    <x v="2"/>
    <n v="2.21"/>
    <s v="No"/>
    <n v="1.38"/>
    <x v="0"/>
    <x v="3"/>
    <x v="0"/>
  </r>
  <r>
    <s v="AIJ-100944"/>
    <x v="14"/>
    <x v="3"/>
    <x v="7"/>
    <x v="0"/>
    <x v="13"/>
    <x v="10"/>
    <x v="12"/>
    <x v="2"/>
    <n v="217813"/>
    <s v="High"/>
    <x v="4"/>
    <n v="42"/>
    <x v="1"/>
    <x v="0"/>
    <n v="4.8600000000000003"/>
    <s v="No"/>
    <n v="1.86"/>
    <x v="2"/>
    <x v="2"/>
    <x v="1"/>
  </r>
  <r>
    <s v="AIJ-100945"/>
    <x v="15"/>
    <x v="6"/>
    <x v="3"/>
    <x v="3"/>
    <x v="25"/>
    <x v="40"/>
    <x v="70"/>
    <x v="2"/>
    <n v="144779"/>
    <s v="High"/>
    <x v="20"/>
    <n v="49"/>
    <x v="2"/>
    <x v="0"/>
    <n v="3.63"/>
    <s v="No"/>
    <n v="1.95"/>
    <x v="0"/>
    <x v="1"/>
    <x v="1"/>
  </r>
  <r>
    <s v="AIJ-100946"/>
    <x v="7"/>
    <x v="2"/>
    <x v="8"/>
    <x v="3"/>
    <x v="3"/>
    <x v="77"/>
    <x v="53"/>
    <x v="0"/>
    <n v="116197"/>
    <s v="Low"/>
    <x v="25"/>
    <n v="31"/>
    <x v="1"/>
    <x v="2"/>
    <n v="3.76"/>
    <s v="No"/>
    <n v="4.37"/>
    <x v="1"/>
    <x v="0"/>
    <x v="2"/>
  </r>
  <r>
    <s v="AIJ-100947"/>
    <x v="10"/>
    <x v="6"/>
    <x v="1"/>
    <x v="0"/>
    <x v="13"/>
    <x v="71"/>
    <x v="40"/>
    <x v="1"/>
    <n v="31805"/>
    <s v="Medium"/>
    <x v="33"/>
    <n v="39"/>
    <x v="0"/>
    <x v="0"/>
    <n v="4.29"/>
    <s v="No"/>
    <n v="2.6"/>
    <x v="0"/>
    <x v="1"/>
    <x v="1"/>
  </r>
  <r>
    <s v="AIJ-100948"/>
    <x v="10"/>
    <x v="1"/>
    <x v="5"/>
    <x v="2"/>
    <x v="21"/>
    <x v="59"/>
    <x v="44"/>
    <x v="1"/>
    <n v="211043"/>
    <s v="Low"/>
    <x v="41"/>
    <n v="40"/>
    <x v="0"/>
    <x v="2"/>
    <n v="3.41"/>
    <s v="Yes"/>
    <n v="3.36"/>
    <x v="1"/>
    <x v="3"/>
    <x v="0"/>
  </r>
  <r>
    <s v="AIJ-100949"/>
    <x v="18"/>
    <x v="8"/>
    <x v="0"/>
    <x v="0"/>
    <x v="20"/>
    <x v="6"/>
    <x v="30"/>
    <x v="1"/>
    <n v="200412"/>
    <s v="Low"/>
    <x v="37"/>
    <n v="52"/>
    <x v="2"/>
    <x v="0"/>
    <n v="3.4"/>
    <s v="Yes"/>
    <n v="1.72"/>
    <x v="1"/>
    <x v="0"/>
    <x v="2"/>
  </r>
  <r>
    <s v="AIJ-100950"/>
    <x v="7"/>
    <x v="2"/>
    <x v="2"/>
    <x v="3"/>
    <x v="15"/>
    <x v="30"/>
    <x v="62"/>
    <x v="1"/>
    <n v="141821"/>
    <s v="High"/>
    <x v="32"/>
    <n v="57"/>
    <x v="0"/>
    <x v="0"/>
    <n v="4.29"/>
    <s v="No"/>
    <n v="2.39"/>
    <x v="1"/>
    <x v="3"/>
    <x v="1"/>
  </r>
  <r>
    <s v="AIJ-100951"/>
    <x v="6"/>
    <x v="1"/>
    <x v="6"/>
    <x v="2"/>
    <x v="9"/>
    <x v="14"/>
    <x v="3"/>
    <x v="1"/>
    <n v="106587"/>
    <s v="High"/>
    <x v="51"/>
    <n v="42"/>
    <x v="0"/>
    <x v="0"/>
    <n v="3.77"/>
    <s v="Yes"/>
    <n v="4.34"/>
    <x v="1"/>
    <x v="3"/>
    <x v="1"/>
  </r>
  <r>
    <s v="AIJ-100952"/>
    <x v="0"/>
    <x v="8"/>
    <x v="1"/>
    <x v="1"/>
    <x v="0"/>
    <x v="14"/>
    <x v="18"/>
    <x v="2"/>
    <n v="167841"/>
    <s v="Medium"/>
    <x v="5"/>
    <n v="43"/>
    <x v="1"/>
    <x v="0"/>
    <n v="4.17"/>
    <s v="Yes"/>
    <n v="4.95"/>
    <x v="0"/>
    <x v="1"/>
    <x v="0"/>
  </r>
  <r>
    <s v="AIJ-100953"/>
    <x v="17"/>
    <x v="6"/>
    <x v="1"/>
    <x v="2"/>
    <x v="10"/>
    <x v="83"/>
    <x v="43"/>
    <x v="0"/>
    <n v="146796"/>
    <s v="Medium"/>
    <x v="31"/>
    <n v="39"/>
    <x v="0"/>
    <x v="1"/>
    <n v="2.58"/>
    <s v="No"/>
    <n v="2.48"/>
    <x v="1"/>
    <x v="2"/>
    <x v="3"/>
  </r>
  <r>
    <s v="AIJ-100954"/>
    <x v="7"/>
    <x v="4"/>
    <x v="2"/>
    <x v="1"/>
    <x v="24"/>
    <x v="12"/>
    <x v="40"/>
    <x v="2"/>
    <n v="143465"/>
    <s v="Low"/>
    <x v="12"/>
    <n v="31"/>
    <x v="1"/>
    <x v="2"/>
    <n v="4.6900000000000004"/>
    <s v="No"/>
    <n v="1.43"/>
    <x v="2"/>
    <x v="3"/>
    <x v="1"/>
  </r>
  <r>
    <s v="AIJ-100955"/>
    <x v="16"/>
    <x v="7"/>
    <x v="0"/>
    <x v="3"/>
    <x v="4"/>
    <x v="52"/>
    <x v="52"/>
    <x v="2"/>
    <n v="132657"/>
    <s v="Medium"/>
    <x v="53"/>
    <n v="47"/>
    <x v="2"/>
    <x v="2"/>
    <n v="4.7699999999999996"/>
    <s v="Yes"/>
    <n v="4.78"/>
    <x v="1"/>
    <x v="0"/>
    <x v="1"/>
  </r>
  <r>
    <s v="AIJ-100956"/>
    <x v="3"/>
    <x v="2"/>
    <x v="9"/>
    <x v="3"/>
    <x v="0"/>
    <x v="63"/>
    <x v="25"/>
    <x v="0"/>
    <n v="52188"/>
    <s v="Medium"/>
    <x v="42"/>
    <n v="36"/>
    <x v="2"/>
    <x v="2"/>
    <n v="4.8"/>
    <s v="Yes"/>
    <n v="1.1299999999999999"/>
    <x v="2"/>
    <x v="3"/>
    <x v="0"/>
  </r>
  <r>
    <s v="AIJ-100957"/>
    <x v="19"/>
    <x v="1"/>
    <x v="4"/>
    <x v="0"/>
    <x v="25"/>
    <x v="3"/>
    <x v="54"/>
    <x v="2"/>
    <n v="58254"/>
    <s v="Medium"/>
    <x v="5"/>
    <n v="53"/>
    <x v="0"/>
    <x v="0"/>
    <n v="4.4000000000000004"/>
    <s v="No"/>
    <n v="4.13"/>
    <x v="0"/>
    <x v="3"/>
    <x v="1"/>
  </r>
  <r>
    <s v="AIJ-100958"/>
    <x v="10"/>
    <x v="8"/>
    <x v="2"/>
    <x v="0"/>
    <x v="18"/>
    <x v="61"/>
    <x v="40"/>
    <x v="1"/>
    <n v="182716"/>
    <s v="Low"/>
    <x v="4"/>
    <n v="38"/>
    <x v="1"/>
    <x v="2"/>
    <n v="2.91"/>
    <s v="No"/>
    <n v="1.23"/>
    <x v="2"/>
    <x v="2"/>
    <x v="3"/>
  </r>
  <r>
    <s v="AIJ-100959"/>
    <x v="1"/>
    <x v="8"/>
    <x v="3"/>
    <x v="3"/>
    <x v="24"/>
    <x v="84"/>
    <x v="40"/>
    <x v="0"/>
    <n v="132457"/>
    <s v="Low"/>
    <x v="9"/>
    <n v="34"/>
    <x v="0"/>
    <x v="2"/>
    <n v="3.87"/>
    <s v="Yes"/>
    <n v="1.04"/>
    <x v="2"/>
    <x v="2"/>
    <x v="1"/>
  </r>
  <r>
    <s v="AIJ-100960"/>
    <x v="6"/>
    <x v="2"/>
    <x v="6"/>
    <x v="0"/>
    <x v="18"/>
    <x v="16"/>
    <x v="28"/>
    <x v="1"/>
    <n v="35758"/>
    <s v="Low"/>
    <x v="8"/>
    <n v="52"/>
    <x v="1"/>
    <x v="0"/>
    <n v="4.7"/>
    <s v="No"/>
    <n v="2.46"/>
    <x v="2"/>
    <x v="2"/>
    <x v="3"/>
  </r>
  <r>
    <s v="AIJ-100961"/>
    <x v="4"/>
    <x v="1"/>
    <x v="5"/>
    <x v="1"/>
    <x v="0"/>
    <x v="1"/>
    <x v="76"/>
    <x v="0"/>
    <n v="44854"/>
    <s v="Low"/>
    <x v="29"/>
    <n v="53"/>
    <x v="0"/>
    <x v="0"/>
    <n v="4.3099999999999996"/>
    <s v="No"/>
    <n v="1.68"/>
    <x v="2"/>
    <x v="1"/>
    <x v="0"/>
  </r>
  <r>
    <s v="AIJ-100962"/>
    <x v="19"/>
    <x v="0"/>
    <x v="3"/>
    <x v="1"/>
    <x v="3"/>
    <x v="18"/>
    <x v="41"/>
    <x v="2"/>
    <n v="182443"/>
    <s v="Low"/>
    <x v="46"/>
    <n v="31"/>
    <x v="2"/>
    <x v="2"/>
    <n v="3.32"/>
    <s v="No"/>
    <n v="4.67"/>
    <x v="1"/>
    <x v="3"/>
    <x v="2"/>
  </r>
  <r>
    <s v="AIJ-100963"/>
    <x v="4"/>
    <x v="1"/>
    <x v="8"/>
    <x v="0"/>
    <x v="17"/>
    <x v="43"/>
    <x v="2"/>
    <x v="2"/>
    <n v="187475"/>
    <s v="High"/>
    <x v="29"/>
    <n v="47"/>
    <x v="2"/>
    <x v="2"/>
    <n v="4.37"/>
    <s v="No"/>
    <n v="3.52"/>
    <x v="1"/>
    <x v="3"/>
    <x v="3"/>
  </r>
  <r>
    <s v="AIJ-100964"/>
    <x v="1"/>
    <x v="4"/>
    <x v="7"/>
    <x v="3"/>
    <x v="25"/>
    <x v="88"/>
    <x v="64"/>
    <x v="1"/>
    <n v="183336"/>
    <s v="High"/>
    <x v="8"/>
    <n v="53"/>
    <x v="1"/>
    <x v="2"/>
    <n v="3.46"/>
    <s v="Yes"/>
    <n v="2.81"/>
    <x v="2"/>
    <x v="3"/>
    <x v="1"/>
  </r>
  <r>
    <s v="AIJ-100965"/>
    <x v="8"/>
    <x v="6"/>
    <x v="4"/>
    <x v="3"/>
    <x v="25"/>
    <x v="33"/>
    <x v="26"/>
    <x v="2"/>
    <n v="150033"/>
    <s v="Medium"/>
    <x v="17"/>
    <n v="59"/>
    <x v="0"/>
    <x v="0"/>
    <n v="2.15"/>
    <s v="Yes"/>
    <n v="2.82"/>
    <x v="2"/>
    <x v="1"/>
    <x v="1"/>
  </r>
  <r>
    <s v="AIJ-100966"/>
    <x v="5"/>
    <x v="7"/>
    <x v="1"/>
    <x v="3"/>
    <x v="24"/>
    <x v="11"/>
    <x v="42"/>
    <x v="0"/>
    <n v="191808"/>
    <s v="Medium"/>
    <x v="47"/>
    <n v="35"/>
    <x v="1"/>
    <x v="2"/>
    <n v="4.72"/>
    <s v="No"/>
    <n v="3.99"/>
    <x v="2"/>
    <x v="0"/>
    <x v="1"/>
  </r>
  <r>
    <s v="AIJ-100967"/>
    <x v="17"/>
    <x v="0"/>
    <x v="7"/>
    <x v="1"/>
    <x v="5"/>
    <x v="86"/>
    <x v="5"/>
    <x v="2"/>
    <n v="69230"/>
    <s v="Medium"/>
    <x v="50"/>
    <n v="55"/>
    <x v="2"/>
    <x v="0"/>
    <n v="4.6399999999999997"/>
    <s v="No"/>
    <n v="4.4000000000000004"/>
    <x v="2"/>
    <x v="0"/>
    <x v="3"/>
  </r>
  <r>
    <s v="AIJ-100968"/>
    <x v="7"/>
    <x v="5"/>
    <x v="9"/>
    <x v="0"/>
    <x v="7"/>
    <x v="15"/>
    <x v="47"/>
    <x v="2"/>
    <n v="34855"/>
    <s v="High"/>
    <x v="30"/>
    <n v="30"/>
    <x v="2"/>
    <x v="1"/>
    <n v="2.06"/>
    <s v="Yes"/>
    <n v="1.04"/>
    <x v="1"/>
    <x v="3"/>
    <x v="1"/>
  </r>
  <r>
    <s v="AIJ-100969"/>
    <x v="5"/>
    <x v="3"/>
    <x v="1"/>
    <x v="0"/>
    <x v="12"/>
    <x v="25"/>
    <x v="8"/>
    <x v="2"/>
    <n v="160242"/>
    <s v="High"/>
    <x v="0"/>
    <n v="35"/>
    <x v="0"/>
    <x v="0"/>
    <n v="2.95"/>
    <s v="Yes"/>
    <n v="2.0699999999999998"/>
    <x v="1"/>
    <x v="0"/>
    <x v="3"/>
  </r>
  <r>
    <s v="AIJ-100970"/>
    <x v="18"/>
    <x v="5"/>
    <x v="2"/>
    <x v="1"/>
    <x v="9"/>
    <x v="75"/>
    <x v="24"/>
    <x v="2"/>
    <n v="134691"/>
    <s v="Low"/>
    <x v="14"/>
    <n v="50"/>
    <x v="2"/>
    <x v="0"/>
    <n v="4.18"/>
    <s v="Yes"/>
    <n v="1.6"/>
    <x v="1"/>
    <x v="3"/>
    <x v="1"/>
  </r>
  <r>
    <s v="AIJ-100971"/>
    <x v="1"/>
    <x v="3"/>
    <x v="7"/>
    <x v="1"/>
    <x v="12"/>
    <x v="0"/>
    <x v="72"/>
    <x v="0"/>
    <n v="113295"/>
    <s v="Medium"/>
    <x v="21"/>
    <n v="53"/>
    <x v="1"/>
    <x v="0"/>
    <n v="3.23"/>
    <s v="No"/>
    <n v="3.66"/>
    <x v="2"/>
    <x v="3"/>
    <x v="3"/>
  </r>
  <r>
    <s v="AIJ-100972"/>
    <x v="19"/>
    <x v="5"/>
    <x v="5"/>
    <x v="2"/>
    <x v="8"/>
    <x v="82"/>
    <x v="51"/>
    <x v="0"/>
    <n v="164839"/>
    <s v="High"/>
    <x v="47"/>
    <n v="37"/>
    <x v="0"/>
    <x v="0"/>
    <n v="4.28"/>
    <s v="Yes"/>
    <n v="1.17"/>
    <x v="0"/>
    <x v="3"/>
    <x v="2"/>
  </r>
  <r>
    <s v="AIJ-100973"/>
    <x v="3"/>
    <x v="7"/>
    <x v="6"/>
    <x v="2"/>
    <x v="25"/>
    <x v="80"/>
    <x v="59"/>
    <x v="1"/>
    <n v="75323"/>
    <s v="High"/>
    <x v="25"/>
    <n v="57"/>
    <x v="2"/>
    <x v="0"/>
    <n v="3.25"/>
    <s v="No"/>
    <n v="4.97"/>
    <x v="1"/>
    <x v="1"/>
    <x v="1"/>
  </r>
  <r>
    <s v="AIJ-100974"/>
    <x v="7"/>
    <x v="1"/>
    <x v="1"/>
    <x v="2"/>
    <x v="0"/>
    <x v="3"/>
    <x v="58"/>
    <x v="1"/>
    <n v="132095"/>
    <s v="Low"/>
    <x v="12"/>
    <n v="59"/>
    <x v="0"/>
    <x v="1"/>
    <n v="3.33"/>
    <s v="No"/>
    <n v="1.98"/>
    <x v="1"/>
    <x v="3"/>
    <x v="0"/>
  </r>
  <r>
    <s v="AIJ-100975"/>
    <x v="11"/>
    <x v="4"/>
    <x v="1"/>
    <x v="1"/>
    <x v="16"/>
    <x v="47"/>
    <x v="53"/>
    <x v="2"/>
    <n v="61130"/>
    <s v="Low"/>
    <x v="51"/>
    <n v="49"/>
    <x v="1"/>
    <x v="0"/>
    <n v="4.79"/>
    <s v="Yes"/>
    <n v="1.72"/>
    <x v="2"/>
    <x v="3"/>
    <x v="3"/>
  </r>
  <r>
    <s v="AIJ-100976"/>
    <x v="16"/>
    <x v="0"/>
    <x v="6"/>
    <x v="0"/>
    <x v="7"/>
    <x v="15"/>
    <x v="50"/>
    <x v="2"/>
    <n v="169433"/>
    <s v="High"/>
    <x v="10"/>
    <n v="33"/>
    <x v="1"/>
    <x v="1"/>
    <n v="4.59"/>
    <s v="No"/>
    <n v="1.61"/>
    <x v="1"/>
    <x v="3"/>
    <x v="1"/>
  </r>
  <r>
    <s v="AIJ-100977"/>
    <x v="10"/>
    <x v="2"/>
    <x v="7"/>
    <x v="0"/>
    <x v="12"/>
    <x v="16"/>
    <x v="0"/>
    <x v="0"/>
    <n v="35217"/>
    <s v="High"/>
    <x v="38"/>
    <n v="53"/>
    <x v="1"/>
    <x v="0"/>
    <n v="2.0099999999999998"/>
    <s v="Yes"/>
    <n v="2.39"/>
    <x v="2"/>
    <x v="0"/>
    <x v="3"/>
  </r>
  <r>
    <s v="AIJ-100978"/>
    <x v="1"/>
    <x v="6"/>
    <x v="5"/>
    <x v="1"/>
    <x v="14"/>
    <x v="74"/>
    <x v="14"/>
    <x v="0"/>
    <n v="31008"/>
    <s v="High"/>
    <x v="7"/>
    <n v="47"/>
    <x v="0"/>
    <x v="2"/>
    <n v="4.8099999999999996"/>
    <s v="Yes"/>
    <n v="4.7"/>
    <x v="0"/>
    <x v="3"/>
    <x v="2"/>
  </r>
  <r>
    <s v="AIJ-100979"/>
    <x v="14"/>
    <x v="2"/>
    <x v="4"/>
    <x v="1"/>
    <x v="13"/>
    <x v="87"/>
    <x v="20"/>
    <x v="0"/>
    <n v="149901"/>
    <s v="High"/>
    <x v="32"/>
    <n v="58"/>
    <x v="2"/>
    <x v="0"/>
    <n v="4.37"/>
    <s v="Yes"/>
    <n v="1.86"/>
    <x v="1"/>
    <x v="3"/>
    <x v="1"/>
  </r>
  <r>
    <s v="AIJ-100980"/>
    <x v="4"/>
    <x v="4"/>
    <x v="3"/>
    <x v="2"/>
    <x v="20"/>
    <x v="35"/>
    <x v="4"/>
    <x v="1"/>
    <n v="135510"/>
    <s v="High"/>
    <x v="33"/>
    <n v="60"/>
    <x v="1"/>
    <x v="2"/>
    <n v="4.92"/>
    <s v="Yes"/>
    <n v="1.62"/>
    <x v="0"/>
    <x v="2"/>
    <x v="2"/>
  </r>
  <r>
    <s v="AIJ-100981"/>
    <x v="18"/>
    <x v="8"/>
    <x v="3"/>
    <x v="2"/>
    <x v="7"/>
    <x v="50"/>
    <x v="71"/>
    <x v="1"/>
    <n v="88669"/>
    <s v="Medium"/>
    <x v="18"/>
    <n v="60"/>
    <x v="0"/>
    <x v="0"/>
    <n v="2.06"/>
    <s v="No"/>
    <n v="2.97"/>
    <x v="2"/>
    <x v="3"/>
    <x v="1"/>
  </r>
  <r>
    <s v="AIJ-100982"/>
    <x v="8"/>
    <x v="0"/>
    <x v="6"/>
    <x v="1"/>
    <x v="1"/>
    <x v="45"/>
    <x v="36"/>
    <x v="0"/>
    <n v="171092"/>
    <s v="High"/>
    <x v="36"/>
    <n v="44"/>
    <x v="0"/>
    <x v="1"/>
    <n v="4.87"/>
    <s v="Yes"/>
    <n v="2.84"/>
    <x v="0"/>
    <x v="0"/>
    <x v="1"/>
  </r>
  <r>
    <s v="AIJ-100983"/>
    <x v="12"/>
    <x v="8"/>
    <x v="8"/>
    <x v="1"/>
    <x v="25"/>
    <x v="18"/>
    <x v="65"/>
    <x v="1"/>
    <n v="203209"/>
    <s v="Medium"/>
    <x v="49"/>
    <n v="52"/>
    <x v="2"/>
    <x v="0"/>
    <n v="3.15"/>
    <s v="Yes"/>
    <n v="3.45"/>
    <x v="1"/>
    <x v="2"/>
    <x v="1"/>
  </r>
  <r>
    <s v="AIJ-100984"/>
    <x v="2"/>
    <x v="8"/>
    <x v="5"/>
    <x v="3"/>
    <x v="20"/>
    <x v="16"/>
    <x v="2"/>
    <x v="2"/>
    <n v="185497"/>
    <s v="Medium"/>
    <x v="21"/>
    <n v="43"/>
    <x v="0"/>
    <x v="0"/>
    <n v="2.0299999999999998"/>
    <s v="No"/>
    <n v="3.95"/>
    <x v="2"/>
    <x v="3"/>
    <x v="2"/>
  </r>
  <r>
    <s v="AIJ-100985"/>
    <x v="2"/>
    <x v="1"/>
    <x v="2"/>
    <x v="0"/>
    <x v="11"/>
    <x v="66"/>
    <x v="2"/>
    <x v="2"/>
    <n v="140900"/>
    <s v="Medium"/>
    <x v="55"/>
    <n v="30"/>
    <x v="0"/>
    <x v="2"/>
    <n v="3.66"/>
    <s v="No"/>
    <n v="2.23"/>
    <x v="0"/>
    <x v="3"/>
    <x v="1"/>
  </r>
  <r>
    <s v="AIJ-100986"/>
    <x v="8"/>
    <x v="1"/>
    <x v="2"/>
    <x v="0"/>
    <x v="18"/>
    <x v="60"/>
    <x v="70"/>
    <x v="0"/>
    <n v="189452"/>
    <s v="Medium"/>
    <x v="34"/>
    <n v="44"/>
    <x v="0"/>
    <x v="0"/>
    <n v="3.03"/>
    <s v="No"/>
    <n v="3.93"/>
    <x v="0"/>
    <x v="1"/>
    <x v="3"/>
  </r>
  <r>
    <s v="AIJ-100987"/>
    <x v="4"/>
    <x v="5"/>
    <x v="7"/>
    <x v="2"/>
    <x v="23"/>
    <x v="3"/>
    <x v="76"/>
    <x v="0"/>
    <n v="188578"/>
    <s v="Low"/>
    <x v="34"/>
    <n v="58"/>
    <x v="1"/>
    <x v="2"/>
    <n v="3.2"/>
    <s v="No"/>
    <n v="1.1599999999999999"/>
    <x v="1"/>
    <x v="3"/>
    <x v="3"/>
  </r>
  <r>
    <s v="AIJ-100988"/>
    <x v="18"/>
    <x v="5"/>
    <x v="2"/>
    <x v="1"/>
    <x v="21"/>
    <x v="17"/>
    <x v="58"/>
    <x v="2"/>
    <n v="96234"/>
    <s v="High"/>
    <x v="12"/>
    <n v="47"/>
    <x v="1"/>
    <x v="0"/>
    <n v="4.41"/>
    <s v="No"/>
    <n v="2.93"/>
    <x v="0"/>
    <x v="3"/>
    <x v="0"/>
  </r>
  <r>
    <s v="AIJ-100989"/>
    <x v="19"/>
    <x v="8"/>
    <x v="3"/>
    <x v="3"/>
    <x v="21"/>
    <x v="42"/>
    <x v="73"/>
    <x v="0"/>
    <n v="92013"/>
    <s v="Low"/>
    <x v="0"/>
    <n v="31"/>
    <x v="0"/>
    <x v="1"/>
    <n v="4.16"/>
    <s v="No"/>
    <n v="1.41"/>
    <x v="0"/>
    <x v="0"/>
    <x v="0"/>
  </r>
  <r>
    <s v="AIJ-100990"/>
    <x v="16"/>
    <x v="9"/>
    <x v="9"/>
    <x v="3"/>
    <x v="12"/>
    <x v="11"/>
    <x v="18"/>
    <x v="1"/>
    <n v="178198"/>
    <s v="High"/>
    <x v="37"/>
    <n v="46"/>
    <x v="2"/>
    <x v="0"/>
    <n v="4.74"/>
    <s v="Yes"/>
    <n v="3.12"/>
    <x v="2"/>
    <x v="3"/>
    <x v="3"/>
  </r>
  <r>
    <s v="AIJ-100991"/>
    <x v="10"/>
    <x v="2"/>
    <x v="6"/>
    <x v="3"/>
    <x v="16"/>
    <x v="8"/>
    <x v="55"/>
    <x v="1"/>
    <n v="62211"/>
    <s v="Low"/>
    <x v="44"/>
    <n v="49"/>
    <x v="1"/>
    <x v="1"/>
    <n v="3.45"/>
    <s v="No"/>
    <n v="4.82"/>
    <x v="0"/>
    <x v="3"/>
    <x v="3"/>
  </r>
  <r>
    <s v="AIJ-100992"/>
    <x v="18"/>
    <x v="3"/>
    <x v="0"/>
    <x v="0"/>
    <x v="10"/>
    <x v="62"/>
    <x v="68"/>
    <x v="0"/>
    <n v="114831"/>
    <s v="Medium"/>
    <x v="15"/>
    <n v="54"/>
    <x v="1"/>
    <x v="2"/>
    <n v="4.82"/>
    <s v="Yes"/>
    <n v="1.5"/>
    <x v="2"/>
    <x v="1"/>
    <x v="3"/>
  </r>
  <r>
    <s v="AIJ-100993"/>
    <x v="15"/>
    <x v="1"/>
    <x v="9"/>
    <x v="3"/>
    <x v="2"/>
    <x v="32"/>
    <x v="35"/>
    <x v="1"/>
    <n v="155934"/>
    <s v="Medium"/>
    <x v="44"/>
    <n v="37"/>
    <x v="0"/>
    <x v="1"/>
    <n v="2.98"/>
    <s v="Yes"/>
    <n v="4.3899999999999997"/>
    <x v="2"/>
    <x v="3"/>
    <x v="1"/>
  </r>
  <r>
    <s v="AIJ-100994"/>
    <x v="18"/>
    <x v="2"/>
    <x v="2"/>
    <x v="1"/>
    <x v="25"/>
    <x v="26"/>
    <x v="66"/>
    <x v="2"/>
    <n v="117298"/>
    <s v="Low"/>
    <x v="53"/>
    <n v="53"/>
    <x v="1"/>
    <x v="1"/>
    <n v="2.38"/>
    <s v="Yes"/>
    <n v="4.79"/>
    <x v="2"/>
    <x v="3"/>
    <x v="1"/>
  </r>
  <r>
    <s v="AIJ-100995"/>
    <x v="6"/>
    <x v="3"/>
    <x v="5"/>
    <x v="3"/>
    <x v="25"/>
    <x v="90"/>
    <x v="58"/>
    <x v="2"/>
    <n v="173019"/>
    <s v="Medium"/>
    <x v="24"/>
    <n v="40"/>
    <x v="1"/>
    <x v="2"/>
    <n v="3.75"/>
    <s v="No"/>
    <n v="1.68"/>
    <x v="1"/>
    <x v="2"/>
    <x v="1"/>
  </r>
  <r>
    <s v="AIJ-100996"/>
    <x v="11"/>
    <x v="0"/>
    <x v="3"/>
    <x v="2"/>
    <x v="0"/>
    <x v="33"/>
    <x v="15"/>
    <x v="1"/>
    <n v="126532"/>
    <s v="Low"/>
    <x v="28"/>
    <n v="57"/>
    <x v="0"/>
    <x v="2"/>
    <n v="3.09"/>
    <s v="Yes"/>
    <n v="2.0299999999999998"/>
    <x v="1"/>
    <x v="1"/>
    <x v="0"/>
  </r>
  <r>
    <s v="AIJ-100997"/>
    <x v="7"/>
    <x v="9"/>
    <x v="9"/>
    <x v="3"/>
    <x v="19"/>
    <x v="67"/>
    <x v="49"/>
    <x v="1"/>
    <n v="67000"/>
    <s v="Low"/>
    <x v="41"/>
    <n v="48"/>
    <x v="2"/>
    <x v="0"/>
    <n v="4.42"/>
    <s v="No"/>
    <n v="1.8"/>
    <x v="1"/>
    <x v="2"/>
    <x v="2"/>
  </r>
  <r>
    <s v="AIJ-100998"/>
    <x v="9"/>
    <x v="5"/>
    <x v="4"/>
    <x v="0"/>
    <x v="6"/>
    <x v="41"/>
    <x v="21"/>
    <x v="0"/>
    <n v="81179"/>
    <s v="High"/>
    <x v="9"/>
    <n v="37"/>
    <x v="0"/>
    <x v="0"/>
    <n v="4.76"/>
    <s v="Yes"/>
    <n v="2.71"/>
    <x v="2"/>
    <x v="2"/>
    <x v="0"/>
  </r>
  <r>
    <s v="AIJ-100999"/>
    <x v="7"/>
    <x v="5"/>
    <x v="7"/>
    <x v="1"/>
    <x v="23"/>
    <x v="21"/>
    <x v="67"/>
    <x v="2"/>
    <n v="32527"/>
    <s v="Low"/>
    <x v="31"/>
    <n v="35"/>
    <x v="1"/>
    <x v="1"/>
    <n v="4.07"/>
    <s v="No"/>
    <n v="2.31"/>
    <x v="0"/>
    <x v="3"/>
    <x v="3"/>
  </r>
  <r>
    <s v="AIJ-101000"/>
    <x v="8"/>
    <x v="3"/>
    <x v="2"/>
    <x v="3"/>
    <x v="12"/>
    <x v="57"/>
    <x v="61"/>
    <x v="2"/>
    <n v="56614"/>
    <s v="Medium"/>
    <x v="9"/>
    <n v="39"/>
    <x v="2"/>
    <x v="1"/>
    <n v="3.49"/>
    <s v="No"/>
    <n v="2.77"/>
    <x v="1"/>
    <x v="2"/>
    <x v="3"/>
  </r>
  <r>
    <s v="AIJ-101001"/>
    <x v="11"/>
    <x v="3"/>
    <x v="6"/>
    <x v="0"/>
    <x v="4"/>
    <x v="20"/>
    <x v="25"/>
    <x v="1"/>
    <n v="184051"/>
    <s v="Medium"/>
    <x v="30"/>
    <n v="31"/>
    <x v="0"/>
    <x v="0"/>
    <n v="3.73"/>
    <s v="Yes"/>
    <n v="3.76"/>
    <x v="2"/>
    <x v="3"/>
    <x v="1"/>
  </r>
  <r>
    <s v="AIJ-101002"/>
    <x v="1"/>
    <x v="8"/>
    <x v="2"/>
    <x v="2"/>
    <x v="13"/>
    <x v="69"/>
    <x v="28"/>
    <x v="2"/>
    <n v="91329"/>
    <s v="Medium"/>
    <x v="21"/>
    <n v="46"/>
    <x v="2"/>
    <x v="1"/>
    <n v="2.5099999999999998"/>
    <s v="No"/>
    <n v="2.56"/>
    <x v="0"/>
    <x v="2"/>
    <x v="1"/>
  </r>
  <r>
    <s v="AIJ-101003"/>
    <x v="1"/>
    <x v="3"/>
    <x v="5"/>
    <x v="1"/>
    <x v="7"/>
    <x v="56"/>
    <x v="7"/>
    <x v="2"/>
    <n v="158523"/>
    <s v="Low"/>
    <x v="34"/>
    <n v="48"/>
    <x v="1"/>
    <x v="2"/>
    <n v="2.4300000000000002"/>
    <s v="No"/>
    <n v="3.98"/>
    <x v="1"/>
    <x v="1"/>
    <x v="1"/>
  </r>
  <r>
    <s v="AIJ-101004"/>
    <x v="3"/>
    <x v="9"/>
    <x v="8"/>
    <x v="3"/>
    <x v="1"/>
    <x v="51"/>
    <x v="4"/>
    <x v="2"/>
    <n v="148450"/>
    <s v="High"/>
    <x v="33"/>
    <n v="59"/>
    <x v="2"/>
    <x v="1"/>
    <n v="4.43"/>
    <s v="No"/>
    <n v="4.18"/>
    <x v="2"/>
    <x v="3"/>
    <x v="1"/>
  </r>
  <r>
    <s v="AIJ-101005"/>
    <x v="16"/>
    <x v="5"/>
    <x v="9"/>
    <x v="3"/>
    <x v="1"/>
    <x v="17"/>
    <x v="16"/>
    <x v="1"/>
    <n v="37781"/>
    <s v="High"/>
    <x v="51"/>
    <n v="54"/>
    <x v="1"/>
    <x v="0"/>
    <n v="2.74"/>
    <s v="No"/>
    <n v="4.34"/>
    <x v="2"/>
    <x v="3"/>
    <x v="1"/>
  </r>
  <r>
    <s v="AIJ-101006"/>
    <x v="2"/>
    <x v="8"/>
    <x v="2"/>
    <x v="0"/>
    <x v="18"/>
    <x v="68"/>
    <x v="4"/>
    <x v="2"/>
    <n v="218779"/>
    <s v="Low"/>
    <x v="49"/>
    <n v="40"/>
    <x v="1"/>
    <x v="0"/>
    <n v="4.58"/>
    <s v="No"/>
    <n v="3.34"/>
    <x v="2"/>
    <x v="3"/>
    <x v="3"/>
  </r>
  <r>
    <s v="AIJ-101007"/>
    <x v="1"/>
    <x v="2"/>
    <x v="1"/>
    <x v="0"/>
    <x v="21"/>
    <x v="30"/>
    <x v="23"/>
    <x v="2"/>
    <n v="205357"/>
    <s v="High"/>
    <x v="51"/>
    <n v="33"/>
    <x v="0"/>
    <x v="2"/>
    <n v="4.3600000000000003"/>
    <s v="Yes"/>
    <n v="1.04"/>
    <x v="0"/>
    <x v="3"/>
    <x v="0"/>
  </r>
  <r>
    <s v="AIJ-101008"/>
    <x v="14"/>
    <x v="6"/>
    <x v="0"/>
    <x v="2"/>
    <x v="25"/>
    <x v="53"/>
    <x v="49"/>
    <x v="2"/>
    <n v="93792"/>
    <s v="Medium"/>
    <x v="6"/>
    <n v="47"/>
    <x v="1"/>
    <x v="0"/>
    <n v="4.1500000000000004"/>
    <s v="Yes"/>
    <n v="2.13"/>
    <x v="2"/>
    <x v="1"/>
    <x v="1"/>
  </r>
  <r>
    <s v="AIJ-101009"/>
    <x v="8"/>
    <x v="9"/>
    <x v="4"/>
    <x v="0"/>
    <x v="1"/>
    <x v="74"/>
    <x v="4"/>
    <x v="1"/>
    <n v="212756"/>
    <s v="Low"/>
    <x v="40"/>
    <n v="32"/>
    <x v="1"/>
    <x v="0"/>
    <n v="3.05"/>
    <s v="No"/>
    <n v="3.27"/>
    <x v="2"/>
    <x v="3"/>
    <x v="1"/>
  </r>
  <r>
    <s v="AIJ-101010"/>
    <x v="3"/>
    <x v="7"/>
    <x v="6"/>
    <x v="0"/>
    <x v="2"/>
    <x v="18"/>
    <x v="42"/>
    <x v="0"/>
    <n v="142774"/>
    <s v="Low"/>
    <x v="54"/>
    <n v="40"/>
    <x v="2"/>
    <x v="1"/>
    <n v="2.72"/>
    <s v="No"/>
    <n v="3.27"/>
    <x v="1"/>
    <x v="3"/>
    <x v="1"/>
  </r>
  <r>
    <s v="AIJ-101011"/>
    <x v="17"/>
    <x v="5"/>
    <x v="4"/>
    <x v="0"/>
    <x v="10"/>
    <x v="59"/>
    <x v="8"/>
    <x v="0"/>
    <n v="41164"/>
    <s v="Medium"/>
    <x v="14"/>
    <n v="57"/>
    <x v="1"/>
    <x v="0"/>
    <n v="3.78"/>
    <s v="No"/>
    <n v="2.64"/>
    <x v="1"/>
    <x v="3"/>
    <x v="3"/>
  </r>
  <r>
    <s v="AIJ-101012"/>
    <x v="14"/>
    <x v="0"/>
    <x v="8"/>
    <x v="2"/>
    <x v="15"/>
    <x v="57"/>
    <x v="51"/>
    <x v="2"/>
    <n v="214757"/>
    <s v="Medium"/>
    <x v="31"/>
    <n v="50"/>
    <x v="1"/>
    <x v="1"/>
    <n v="3.61"/>
    <s v="No"/>
    <n v="2.64"/>
    <x v="1"/>
    <x v="1"/>
    <x v="1"/>
  </r>
  <r>
    <s v="AIJ-101013"/>
    <x v="17"/>
    <x v="9"/>
    <x v="4"/>
    <x v="2"/>
    <x v="14"/>
    <x v="25"/>
    <x v="39"/>
    <x v="0"/>
    <n v="30320"/>
    <s v="Medium"/>
    <x v="27"/>
    <n v="36"/>
    <x v="2"/>
    <x v="2"/>
    <n v="4.8"/>
    <s v="Yes"/>
    <n v="2.0499999999999998"/>
    <x v="1"/>
    <x v="3"/>
    <x v="2"/>
  </r>
  <r>
    <s v="AIJ-101014"/>
    <x v="14"/>
    <x v="3"/>
    <x v="8"/>
    <x v="0"/>
    <x v="10"/>
    <x v="62"/>
    <x v="19"/>
    <x v="1"/>
    <n v="180823"/>
    <s v="Medium"/>
    <x v="38"/>
    <n v="54"/>
    <x v="0"/>
    <x v="0"/>
    <n v="3.88"/>
    <s v="Yes"/>
    <n v="3.28"/>
    <x v="2"/>
    <x v="3"/>
    <x v="3"/>
  </r>
  <r>
    <s v="AIJ-101015"/>
    <x v="6"/>
    <x v="7"/>
    <x v="9"/>
    <x v="0"/>
    <x v="22"/>
    <x v="1"/>
    <x v="49"/>
    <x v="1"/>
    <n v="215312"/>
    <s v="Low"/>
    <x v="4"/>
    <n v="38"/>
    <x v="1"/>
    <x v="2"/>
    <n v="3.93"/>
    <s v="No"/>
    <n v="4.22"/>
    <x v="0"/>
    <x v="1"/>
    <x v="2"/>
  </r>
  <r>
    <s v="AIJ-101016"/>
    <x v="16"/>
    <x v="1"/>
    <x v="4"/>
    <x v="2"/>
    <x v="7"/>
    <x v="90"/>
    <x v="43"/>
    <x v="1"/>
    <n v="39205"/>
    <s v="Low"/>
    <x v="24"/>
    <n v="45"/>
    <x v="2"/>
    <x v="0"/>
    <n v="4.24"/>
    <s v="Yes"/>
    <n v="3.93"/>
    <x v="2"/>
    <x v="3"/>
    <x v="1"/>
  </r>
  <r>
    <s v="AIJ-101017"/>
    <x v="19"/>
    <x v="3"/>
    <x v="2"/>
    <x v="3"/>
    <x v="8"/>
    <x v="77"/>
    <x v="57"/>
    <x v="2"/>
    <n v="188608"/>
    <s v="High"/>
    <x v="10"/>
    <n v="43"/>
    <x v="1"/>
    <x v="2"/>
    <n v="3.63"/>
    <s v="No"/>
    <n v="1.53"/>
    <x v="1"/>
    <x v="0"/>
    <x v="2"/>
  </r>
  <r>
    <s v="AIJ-101018"/>
    <x v="3"/>
    <x v="3"/>
    <x v="8"/>
    <x v="3"/>
    <x v="18"/>
    <x v="44"/>
    <x v="5"/>
    <x v="1"/>
    <n v="90986"/>
    <s v="Low"/>
    <x v="53"/>
    <n v="38"/>
    <x v="2"/>
    <x v="2"/>
    <n v="2.06"/>
    <s v="No"/>
    <n v="3.76"/>
    <x v="0"/>
    <x v="3"/>
    <x v="3"/>
  </r>
  <r>
    <s v="AIJ-101019"/>
    <x v="3"/>
    <x v="6"/>
    <x v="0"/>
    <x v="0"/>
    <x v="25"/>
    <x v="83"/>
    <x v="33"/>
    <x v="2"/>
    <n v="174398"/>
    <s v="Medium"/>
    <x v="47"/>
    <n v="60"/>
    <x v="0"/>
    <x v="2"/>
    <n v="2.4300000000000002"/>
    <s v="No"/>
    <n v="3.18"/>
    <x v="1"/>
    <x v="1"/>
    <x v="1"/>
  </r>
  <r>
    <s v="AIJ-101020"/>
    <x v="14"/>
    <x v="2"/>
    <x v="1"/>
    <x v="1"/>
    <x v="17"/>
    <x v="47"/>
    <x v="73"/>
    <x v="0"/>
    <n v="180558"/>
    <s v="Medium"/>
    <x v="34"/>
    <n v="39"/>
    <x v="1"/>
    <x v="2"/>
    <n v="2.87"/>
    <s v="No"/>
    <n v="4.33"/>
    <x v="0"/>
    <x v="3"/>
    <x v="3"/>
  </r>
  <r>
    <s v="AIJ-101021"/>
    <x v="16"/>
    <x v="1"/>
    <x v="7"/>
    <x v="0"/>
    <x v="19"/>
    <x v="87"/>
    <x v="2"/>
    <x v="2"/>
    <n v="39291"/>
    <s v="Medium"/>
    <x v="0"/>
    <n v="31"/>
    <x v="2"/>
    <x v="2"/>
    <n v="2.4500000000000002"/>
    <s v="No"/>
    <n v="2.79"/>
    <x v="0"/>
    <x v="3"/>
    <x v="2"/>
  </r>
  <r>
    <s v="AIJ-101022"/>
    <x v="15"/>
    <x v="4"/>
    <x v="1"/>
    <x v="2"/>
    <x v="11"/>
    <x v="88"/>
    <x v="31"/>
    <x v="1"/>
    <n v="91982"/>
    <s v="Low"/>
    <x v="27"/>
    <n v="60"/>
    <x v="0"/>
    <x v="0"/>
    <n v="2.09"/>
    <s v="No"/>
    <n v="2.86"/>
    <x v="0"/>
    <x v="3"/>
    <x v="1"/>
  </r>
  <r>
    <s v="AIJ-101023"/>
    <x v="19"/>
    <x v="6"/>
    <x v="3"/>
    <x v="1"/>
    <x v="15"/>
    <x v="58"/>
    <x v="6"/>
    <x v="1"/>
    <n v="177609"/>
    <s v="Low"/>
    <x v="9"/>
    <n v="54"/>
    <x v="1"/>
    <x v="0"/>
    <n v="3.35"/>
    <s v="Yes"/>
    <n v="1.37"/>
    <x v="2"/>
    <x v="0"/>
    <x v="1"/>
  </r>
  <r>
    <s v="AIJ-101024"/>
    <x v="19"/>
    <x v="1"/>
    <x v="5"/>
    <x v="3"/>
    <x v="24"/>
    <x v="59"/>
    <x v="66"/>
    <x v="1"/>
    <n v="61444"/>
    <s v="Low"/>
    <x v="55"/>
    <n v="33"/>
    <x v="0"/>
    <x v="2"/>
    <n v="3.64"/>
    <s v="Yes"/>
    <n v="2.9"/>
    <x v="2"/>
    <x v="2"/>
    <x v="1"/>
  </r>
  <r>
    <s v="AIJ-101025"/>
    <x v="17"/>
    <x v="8"/>
    <x v="5"/>
    <x v="1"/>
    <x v="6"/>
    <x v="55"/>
    <x v="43"/>
    <x v="2"/>
    <n v="106843"/>
    <s v="Medium"/>
    <x v="53"/>
    <n v="34"/>
    <x v="2"/>
    <x v="2"/>
    <n v="2.64"/>
    <s v="No"/>
    <n v="4.0199999999999996"/>
    <x v="2"/>
    <x v="3"/>
    <x v="0"/>
  </r>
  <r>
    <s v="AIJ-101026"/>
    <x v="15"/>
    <x v="3"/>
    <x v="8"/>
    <x v="1"/>
    <x v="2"/>
    <x v="71"/>
    <x v="9"/>
    <x v="0"/>
    <n v="77263"/>
    <s v="Medium"/>
    <x v="54"/>
    <n v="50"/>
    <x v="2"/>
    <x v="1"/>
    <n v="2.2799999999999998"/>
    <s v="Yes"/>
    <n v="2.88"/>
    <x v="2"/>
    <x v="2"/>
    <x v="1"/>
  </r>
  <r>
    <s v="AIJ-101027"/>
    <x v="15"/>
    <x v="6"/>
    <x v="1"/>
    <x v="2"/>
    <x v="19"/>
    <x v="52"/>
    <x v="10"/>
    <x v="2"/>
    <n v="59346"/>
    <s v="High"/>
    <x v="51"/>
    <n v="40"/>
    <x v="0"/>
    <x v="0"/>
    <n v="4.7699999999999996"/>
    <s v="Yes"/>
    <n v="1.68"/>
    <x v="1"/>
    <x v="3"/>
    <x v="2"/>
  </r>
  <r>
    <s v="AIJ-101028"/>
    <x v="14"/>
    <x v="8"/>
    <x v="4"/>
    <x v="0"/>
    <x v="5"/>
    <x v="62"/>
    <x v="4"/>
    <x v="0"/>
    <n v="164662"/>
    <s v="Low"/>
    <x v="5"/>
    <n v="46"/>
    <x v="2"/>
    <x v="1"/>
    <n v="3.37"/>
    <s v="Yes"/>
    <n v="3.04"/>
    <x v="2"/>
    <x v="3"/>
    <x v="3"/>
  </r>
  <r>
    <s v="AIJ-101029"/>
    <x v="3"/>
    <x v="4"/>
    <x v="6"/>
    <x v="2"/>
    <x v="0"/>
    <x v="15"/>
    <x v="71"/>
    <x v="1"/>
    <n v="64243"/>
    <s v="High"/>
    <x v="26"/>
    <n v="53"/>
    <x v="0"/>
    <x v="2"/>
    <n v="3.18"/>
    <s v="Yes"/>
    <n v="4.33"/>
    <x v="1"/>
    <x v="0"/>
    <x v="0"/>
  </r>
  <r>
    <s v="AIJ-101030"/>
    <x v="4"/>
    <x v="0"/>
    <x v="4"/>
    <x v="0"/>
    <x v="23"/>
    <x v="24"/>
    <x v="6"/>
    <x v="1"/>
    <n v="162165"/>
    <s v="Medium"/>
    <x v="42"/>
    <n v="34"/>
    <x v="0"/>
    <x v="2"/>
    <n v="2.5"/>
    <s v="Yes"/>
    <n v="1.8"/>
    <x v="0"/>
    <x v="3"/>
    <x v="3"/>
  </r>
  <r>
    <s v="AIJ-101031"/>
    <x v="10"/>
    <x v="6"/>
    <x v="8"/>
    <x v="0"/>
    <x v="20"/>
    <x v="14"/>
    <x v="43"/>
    <x v="1"/>
    <n v="30518"/>
    <s v="High"/>
    <x v="18"/>
    <n v="42"/>
    <x v="2"/>
    <x v="2"/>
    <n v="3.78"/>
    <s v="Yes"/>
    <n v="1.01"/>
    <x v="0"/>
    <x v="2"/>
    <x v="2"/>
  </r>
  <r>
    <s v="AIJ-101032"/>
    <x v="3"/>
    <x v="4"/>
    <x v="0"/>
    <x v="1"/>
    <x v="20"/>
    <x v="43"/>
    <x v="48"/>
    <x v="0"/>
    <n v="181950"/>
    <s v="High"/>
    <x v="55"/>
    <n v="36"/>
    <x v="2"/>
    <x v="0"/>
    <n v="4.5"/>
    <s v="No"/>
    <n v="3.96"/>
    <x v="0"/>
    <x v="2"/>
    <x v="2"/>
  </r>
  <r>
    <s v="AIJ-101033"/>
    <x v="0"/>
    <x v="4"/>
    <x v="3"/>
    <x v="3"/>
    <x v="5"/>
    <x v="38"/>
    <x v="73"/>
    <x v="0"/>
    <n v="51548"/>
    <s v="Low"/>
    <x v="37"/>
    <n v="30"/>
    <x v="0"/>
    <x v="0"/>
    <n v="3.55"/>
    <s v="Yes"/>
    <n v="2"/>
    <x v="2"/>
    <x v="0"/>
    <x v="3"/>
  </r>
  <r>
    <s v="AIJ-101034"/>
    <x v="1"/>
    <x v="0"/>
    <x v="0"/>
    <x v="3"/>
    <x v="25"/>
    <x v="89"/>
    <x v="75"/>
    <x v="1"/>
    <n v="52324"/>
    <s v="Medium"/>
    <x v="5"/>
    <n v="34"/>
    <x v="0"/>
    <x v="1"/>
    <n v="2.4500000000000002"/>
    <s v="Yes"/>
    <n v="1.76"/>
    <x v="1"/>
    <x v="2"/>
    <x v="1"/>
  </r>
  <r>
    <s v="AIJ-101035"/>
    <x v="14"/>
    <x v="6"/>
    <x v="3"/>
    <x v="3"/>
    <x v="5"/>
    <x v="63"/>
    <x v="33"/>
    <x v="2"/>
    <n v="138232"/>
    <s v="High"/>
    <x v="44"/>
    <n v="38"/>
    <x v="2"/>
    <x v="0"/>
    <n v="4.67"/>
    <s v="No"/>
    <n v="4.45"/>
    <x v="1"/>
    <x v="3"/>
    <x v="3"/>
  </r>
  <r>
    <s v="AIJ-101036"/>
    <x v="17"/>
    <x v="5"/>
    <x v="2"/>
    <x v="1"/>
    <x v="22"/>
    <x v="3"/>
    <x v="32"/>
    <x v="2"/>
    <n v="34202"/>
    <s v="Low"/>
    <x v="5"/>
    <n v="44"/>
    <x v="0"/>
    <x v="1"/>
    <n v="4.9000000000000004"/>
    <s v="Yes"/>
    <n v="4.84"/>
    <x v="1"/>
    <x v="0"/>
    <x v="2"/>
  </r>
  <r>
    <s v="AIJ-101037"/>
    <x v="1"/>
    <x v="8"/>
    <x v="3"/>
    <x v="1"/>
    <x v="9"/>
    <x v="36"/>
    <x v="35"/>
    <x v="1"/>
    <n v="210571"/>
    <s v="High"/>
    <x v="9"/>
    <n v="43"/>
    <x v="2"/>
    <x v="2"/>
    <n v="4.8499999999999996"/>
    <s v="Yes"/>
    <n v="2.38"/>
    <x v="1"/>
    <x v="2"/>
    <x v="1"/>
  </r>
  <r>
    <s v="AIJ-101038"/>
    <x v="17"/>
    <x v="5"/>
    <x v="5"/>
    <x v="2"/>
    <x v="13"/>
    <x v="75"/>
    <x v="59"/>
    <x v="0"/>
    <n v="176804"/>
    <s v="High"/>
    <x v="27"/>
    <n v="60"/>
    <x v="1"/>
    <x v="0"/>
    <n v="2.5299999999999998"/>
    <s v="No"/>
    <n v="2.38"/>
    <x v="2"/>
    <x v="3"/>
    <x v="1"/>
  </r>
  <r>
    <s v="AIJ-101039"/>
    <x v="14"/>
    <x v="4"/>
    <x v="8"/>
    <x v="2"/>
    <x v="6"/>
    <x v="88"/>
    <x v="16"/>
    <x v="0"/>
    <n v="99337"/>
    <s v="High"/>
    <x v="7"/>
    <n v="46"/>
    <x v="1"/>
    <x v="1"/>
    <n v="2.2599999999999998"/>
    <s v="Yes"/>
    <n v="3.89"/>
    <x v="0"/>
    <x v="2"/>
    <x v="0"/>
  </r>
  <r>
    <s v="AIJ-101040"/>
    <x v="5"/>
    <x v="5"/>
    <x v="5"/>
    <x v="2"/>
    <x v="10"/>
    <x v="52"/>
    <x v="68"/>
    <x v="2"/>
    <n v="201668"/>
    <s v="Medium"/>
    <x v="15"/>
    <n v="54"/>
    <x v="2"/>
    <x v="2"/>
    <n v="4.87"/>
    <s v="No"/>
    <n v="2.25"/>
    <x v="0"/>
    <x v="2"/>
    <x v="3"/>
  </r>
  <r>
    <s v="AIJ-101041"/>
    <x v="7"/>
    <x v="4"/>
    <x v="8"/>
    <x v="2"/>
    <x v="15"/>
    <x v="33"/>
    <x v="24"/>
    <x v="0"/>
    <n v="87347"/>
    <s v="Medium"/>
    <x v="7"/>
    <n v="30"/>
    <x v="2"/>
    <x v="1"/>
    <n v="4.16"/>
    <s v="Yes"/>
    <n v="4.8600000000000003"/>
    <x v="1"/>
    <x v="2"/>
    <x v="1"/>
  </r>
  <r>
    <s v="AIJ-101042"/>
    <x v="4"/>
    <x v="8"/>
    <x v="5"/>
    <x v="2"/>
    <x v="24"/>
    <x v="26"/>
    <x v="79"/>
    <x v="2"/>
    <n v="170183"/>
    <s v="Low"/>
    <x v="6"/>
    <n v="44"/>
    <x v="0"/>
    <x v="2"/>
    <n v="3.18"/>
    <s v="Yes"/>
    <n v="3.04"/>
    <x v="1"/>
    <x v="0"/>
    <x v="1"/>
  </r>
  <r>
    <s v="AIJ-101043"/>
    <x v="13"/>
    <x v="4"/>
    <x v="9"/>
    <x v="0"/>
    <x v="7"/>
    <x v="40"/>
    <x v="22"/>
    <x v="1"/>
    <n v="192896"/>
    <s v="High"/>
    <x v="46"/>
    <n v="45"/>
    <x v="2"/>
    <x v="2"/>
    <n v="3.99"/>
    <s v="Yes"/>
    <n v="3.56"/>
    <x v="1"/>
    <x v="3"/>
    <x v="1"/>
  </r>
  <r>
    <s v="AIJ-101044"/>
    <x v="12"/>
    <x v="1"/>
    <x v="1"/>
    <x v="1"/>
    <x v="20"/>
    <x v="57"/>
    <x v="65"/>
    <x v="1"/>
    <n v="178275"/>
    <s v="Medium"/>
    <x v="17"/>
    <n v="36"/>
    <x v="2"/>
    <x v="2"/>
    <n v="2.92"/>
    <s v="No"/>
    <n v="4.51"/>
    <x v="1"/>
    <x v="1"/>
    <x v="2"/>
  </r>
  <r>
    <s v="AIJ-101045"/>
    <x v="11"/>
    <x v="7"/>
    <x v="1"/>
    <x v="3"/>
    <x v="14"/>
    <x v="62"/>
    <x v="20"/>
    <x v="2"/>
    <n v="96264"/>
    <s v="Low"/>
    <x v="14"/>
    <n v="42"/>
    <x v="0"/>
    <x v="0"/>
    <n v="2.83"/>
    <s v="No"/>
    <n v="3.57"/>
    <x v="2"/>
    <x v="2"/>
    <x v="2"/>
  </r>
  <r>
    <s v="AIJ-101046"/>
    <x v="13"/>
    <x v="2"/>
    <x v="8"/>
    <x v="0"/>
    <x v="20"/>
    <x v="18"/>
    <x v="13"/>
    <x v="1"/>
    <n v="68470"/>
    <s v="Low"/>
    <x v="30"/>
    <n v="51"/>
    <x v="0"/>
    <x v="1"/>
    <n v="3.5"/>
    <s v="Yes"/>
    <n v="3.9"/>
    <x v="0"/>
    <x v="2"/>
    <x v="2"/>
  </r>
  <r>
    <s v="AIJ-101047"/>
    <x v="9"/>
    <x v="6"/>
    <x v="1"/>
    <x v="2"/>
    <x v="3"/>
    <x v="53"/>
    <x v="28"/>
    <x v="1"/>
    <n v="55779"/>
    <s v="Medium"/>
    <x v="9"/>
    <n v="51"/>
    <x v="0"/>
    <x v="1"/>
    <n v="2.25"/>
    <s v="Yes"/>
    <n v="1.99"/>
    <x v="2"/>
    <x v="1"/>
    <x v="2"/>
  </r>
  <r>
    <s v="AIJ-101048"/>
    <x v="19"/>
    <x v="2"/>
    <x v="3"/>
    <x v="1"/>
    <x v="19"/>
    <x v="84"/>
    <x v="6"/>
    <x v="2"/>
    <n v="141118"/>
    <s v="High"/>
    <x v="54"/>
    <n v="57"/>
    <x v="0"/>
    <x v="1"/>
    <n v="2.16"/>
    <s v="Yes"/>
    <n v="1.81"/>
    <x v="2"/>
    <x v="3"/>
    <x v="2"/>
  </r>
  <r>
    <s v="AIJ-101049"/>
    <x v="16"/>
    <x v="1"/>
    <x v="3"/>
    <x v="2"/>
    <x v="20"/>
    <x v="77"/>
    <x v="40"/>
    <x v="0"/>
    <n v="33461"/>
    <s v="High"/>
    <x v="55"/>
    <n v="53"/>
    <x v="1"/>
    <x v="0"/>
    <n v="4.47"/>
    <s v="No"/>
    <n v="1.18"/>
    <x v="0"/>
    <x v="3"/>
    <x v="2"/>
  </r>
  <r>
    <s v="AIJ-101050"/>
    <x v="8"/>
    <x v="1"/>
    <x v="2"/>
    <x v="3"/>
    <x v="4"/>
    <x v="65"/>
    <x v="2"/>
    <x v="1"/>
    <n v="43350"/>
    <s v="High"/>
    <x v="30"/>
    <n v="57"/>
    <x v="2"/>
    <x v="2"/>
    <n v="3.89"/>
    <s v="Yes"/>
    <n v="1.82"/>
    <x v="1"/>
    <x v="3"/>
    <x v="1"/>
  </r>
  <r>
    <s v="AIJ-101051"/>
    <x v="8"/>
    <x v="9"/>
    <x v="9"/>
    <x v="2"/>
    <x v="10"/>
    <x v="86"/>
    <x v="19"/>
    <x v="0"/>
    <n v="176305"/>
    <s v="Medium"/>
    <x v="44"/>
    <n v="54"/>
    <x v="1"/>
    <x v="0"/>
    <n v="2.68"/>
    <s v="Yes"/>
    <n v="4.78"/>
    <x v="2"/>
    <x v="0"/>
    <x v="3"/>
  </r>
  <r>
    <s v="AIJ-101052"/>
    <x v="11"/>
    <x v="3"/>
    <x v="7"/>
    <x v="3"/>
    <x v="10"/>
    <x v="33"/>
    <x v="72"/>
    <x v="1"/>
    <n v="83163"/>
    <s v="Low"/>
    <x v="20"/>
    <n v="36"/>
    <x v="2"/>
    <x v="1"/>
    <n v="4.51"/>
    <s v="Yes"/>
    <n v="2.79"/>
    <x v="1"/>
    <x v="1"/>
    <x v="3"/>
  </r>
  <r>
    <s v="AIJ-101053"/>
    <x v="0"/>
    <x v="7"/>
    <x v="5"/>
    <x v="0"/>
    <x v="7"/>
    <x v="18"/>
    <x v="62"/>
    <x v="0"/>
    <n v="217778"/>
    <s v="Low"/>
    <x v="43"/>
    <n v="50"/>
    <x v="2"/>
    <x v="0"/>
    <n v="4.5999999999999996"/>
    <s v="Yes"/>
    <n v="4.1900000000000004"/>
    <x v="2"/>
    <x v="3"/>
    <x v="1"/>
  </r>
  <r>
    <s v="AIJ-101054"/>
    <x v="11"/>
    <x v="4"/>
    <x v="9"/>
    <x v="3"/>
    <x v="18"/>
    <x v="73"/>
    <x v="37"/>
    <x v="1"/>
    <n v="130781"/>
    <s v="Medium"/>
    <x v="21"/>
    <n v="45"/>
    <x v="1"/>
    <x v="1"/>
    <n v="4.4000000000000004"/>
    <s v="No"/>
    <n v="1.27"/>
    <x v="0"/>
    <x v="3"/>
    <x v="3"/>
  </r>
  <r>
    <s v="AIJ-101055"/>
    <x v="14"/>
    <x v="1"/>
    <x v="1"/>
    <x v="0"/>
    <x v="6"/>
    <x v="77"/>
    <x v="29"/>
    <x v="0"/>
    <n v="60261"/>
    <s v="Medium"/>
    <x v="53"/>
    <n v="36"/>
    <x v="1"/>
    <x v="1"/>
    <n v="2.14"/>
    <s v="No"/>
    <n v="4.57"/>
    <x v="2"/>
    <x v="3"/>
    <x v="0"/>
  </r>
  <r>
    <s v="AIJ-101056"/>
    <x v="3"/>
    <x v="2"/>
    <x v="8"/>
    <x v="2"/>
    <x v="16"/>
    <x v="15"/>
    <x v="5"/>
    <x v="0"/>
    <n v="161960"/>
    <s v="High"/>
    <x v="15"/>
    <n v="49"/>
    <x v="1"/>
    <x v="2"/>
    <n v="2.95"/>
    <s v="Yes"/>
    <n v="1.19"/>
    <x v="2"/>
    <x v="0"/>
    <x v="3"/>
  </r>
  <r>
    <s v="AIJ-101057"/>
    <x v="7"/>
    <x v="4"/>
    <x v="4"/>
    <x v="1"/>
    <x v="2"/>
    <x v="34"/>
    <x v="52"/>
    <x v="2"/>
    <n v="131747"/>
    <s v="Medium"/>
    <x v="29"/>
    <n v="39"/>
    <x v="0"/>
    <x v="2"/>
    <n v="2.2799999999999998"/>
    <s v="No"/>
    <n v="1.07"/>
    <x v="2"/>
    <x v="3"/>
    <x v="1"/>
  </r>
  <r>
    <s v="AIJ-101058"/>
    <x v="14"/>
    <x v="0"/>
    <x v="5"/>
    <x v="0"/>
    <x v="20"/>
    <x v="19"/>
    <x v="45"/>
    <x v="2"/>
    <n v="183408"/>
    <s v="Medium"/>
    <x v="31"/>
    <n v="53"/>
    <x v="1"/>
    <x v="2"/>
    <n v="3.64"/>
    <s v="Yes"/>
    <n v="4.62"/>
    <x v="1"/>
    <x v="3"/>
    <x v="2"/>
  </r>
  <r>
    <s v="AIJ-101059"/>
    <x v="1"/>
    <x v="7"/>
    <x v="6"/>
    <x v="1"/>
    <x v="5"/>
    <x v="34"/>
    <x v="35"/>
    <x v="2"/>
    <n v="55811"/>
    <s v="Low"/>
    <x v="23"/>
    <n v="51"/>
    <x v="0"/>
    <x v="1"/>
    <n v="2.48"/>
    <s v="No"/>
    <n v="1.08"/>
    <x v="1"/>
    <x v="2"/>
    <x v="3"/>
  </r>
  <r>
    <s v="AIJ-101060"/>
    <x v="3"/>
    <x v="9"/>
    <x v="2"/>
    <x v="2"/>
    <x v="18"/>
    <x v="30"/>
    <x v="66"/>
    <x v="0"/>
    <n v="123874"/>
    <s v="Low"/>
    <x v="6"/>
    <n v="46"/>
    <x v="2"/>
    <x v="2"/>
    <n v="3.08"/>
    <s v="No"/>
    <n v="4.0199999999999996"/>
    <x v="1"/>
    <x v="2"/>
    <x v="3"/>
  </r>
  <r>
    <s v="AIJ-101061"/>
    <x v="8"/>
    <x v="6"/>
    <x v="1"/>
    <x v="0"/>
    <x v="16"/>
    <x v="19"/>
    <x v="65"/>
    <x v="0"/>
    <n v="89839"/>
    <s v="Medium"/>
    <x v="5"/>
    <n v="57"/>
    <x v="2"/>
    <x v="0"/>
    <n v="3.38"/>
    <s v="Yes"/>
    <n v="2.5299999999999998"/>
    <x v="2"/>
    <x v="2"/>
    <x v="3"/>
  </r>
  <r>
    <s v="AIJ-101062"/>
    <x v="4"/>
    <x v="5"/>
    <x v="9"/>
    <x v="3"/>
    <x v="0"/>
    <x v="87"/>
    <x v="73"/>
    <x v="1"/>
    <n v="148192"/>
    <s v="Medium"/>
    <x v="15"/>
    <n v="38"/>
    <x v="1"/>
    <x v="2"/>
    <n v="3.34"/>
    <s v="No"/>
    <n v="3.73"/>
    <x v="2"/>
    <x v="3"/>
    <x v="0"/>
  </r>
  <r>
    <s v="AIJ-101063"/>
    <x v="17"/>
    <x v="7"/>
    <x v="0"/>
    <x v="1"/>
    <x v="8"/>
    <x v="35"/>
    <x v="77"/>
    <x v="2"/>
    <n v="139463"/>
    <s v="Medium"/>
    <x v="8"/>
    <n v="46"/>
    <x v="2"/>
    <x v="0"/>
    <n v="2.16"/>
    <s v="Yes"/>
    <n v="4.1900000000000004"/>
    <x v="0"/>
    <x v="2"/>
    <x v="2"/>
  </r>
  <r>
    <s v="AIJ-101064"/>
    <x v="18"/>
    <x v="6"/>
    <x v="9"/>
    <x v="1"/>
    <x v="10"/>
    <x v="48"/>
    <x v="33"/>
    <x v="0"/>
    <n v="31579"/>
    <s v="High"/>
    <x v="27"/>
    <n v="53"/>
    <x v="1"/>
    <x v="1"/>
    <n v="3.79"/>
    <s v="No"/>
    <n v="2.72"/>
    <x v="1"/>
    <x v="3"/>
    <x v="3"/>
  </r>
  <r>
    <s v="AIJ-101065"/>
    <x v="8"/>
    <x v="3"/>
    <x v="3"/>
    <x v="0"/>
    <x v="25"/>
    <x v="43"/>
    <x v="11"/>
    <x v="1"/>
    <n v="154174"/>
    <s v="Medium"/>
    <x v="3"/>
    <n v="35"/>
    <x v="2"/>
    <x v="2"/>
    <n v="3.76"/>
    <s v="Yes"/>
    <n v="1.96"/>
    <x v="0"/>
    <x v="2"/>
    <x v="1"/>
  </r>
  <r>
    <s v="AIJ-101066"/>
    <x v="16"/>
    <x v="8"/>
    <x v="8"/>
    <x v="1"/>
    <x v="3"/>
    <x v="74"/>
    <x v="46"/>
    <x v="2"/>
    <n v="149391"/>
    <s v="Low"/>
    <x v="19"/>
    <n v="33"/>
    <x v="1"/>
    <x v="2"/>
    <n v="4.51"/>
    <s v="No"/>
    <n v="3.6"/>
    <x v="1"/>
    <x v="3"/>
    <x v="2"/>
  </r>
  <r>
    <s v="AIJ-101067"/>
    <x v="18"/>
    <x v="0"/>
    <x v="6"/>
    <x v="3"/>
    <x v="13"/>
    <x v="90"/>
    <x v="72"/>
    <x v="1"/>
    <n v="172395"/>
    <s v="High"/>
    <x v="24"/>
    <n v="37"/>
    <x v="1"/>
    <x v="1"/>
    <n v="2.5299999999999998"/>
    <s v="Yes"/>
    <n v="4.34"/>
    <x v="0"/>
    <x v="1"/>
    <x v="1"/>
  </r>
  <r>
    <s v="AIJ-101068"/>
    <x v="2"/>
    <x v="5"/>
    <x v="8"/>
    <x v="2"/>
    <x v="14"/>
    <x v="32"/>
    <x v="74"/>
    <x v="0"/>
    <n v="138320"/>
    <s v="High"/>
    <x v="16"/>
    <n v="38"/>
    <x v="2"/>
    <x v="2"/>
    <n v="2.1800000000000002"/>
    <s v="Yes"/>
    <n v="4.47"/>
    <x v="1"/>
    <x v="3"/>
    <x v="2"/>
  </r>
  <r>
    <s v="AIJ-101069"/>
    <x v="19"/>
    <x v="6"/>
    <x v="6"/>
    <x v="1"/>
    <x v="8"/>
    <x v="36"/>
    <x v="17"/>
    <x v="0"/>
    <n v="119766"/>
    <s v="Medium"/>
    <x v="34"/>
    <n v="44"/>
    <x v="1"/>
    <x v="1"/>
    <n v="4.75"/>
    <s v="No"/>
    <n v="3.31"/>
    <x v="2"/>
    <x v="1"/>
    <x v="2"/>
  </r>
  <r>
    <s v="AIJ-101070"/>
    <x v="10"/>
    <x v="4"/>
    <x v="5"/>
    <x v="3"/>
    <x v="0"/>
    <x v="85"/>
    <x v="38"/>
    <x v="0"/>
    <n v="177540"/>
    <s v="Medium"/>
    <x v="32"/>
    <n v="53"/>
    <x v="0"/>
    <x v="0"/>
    <n v="2.98"/>
    <s v="Yes"/>
    <n v="3.95"/>
    <x v="2"/>
    <x v="3"/>
    <x v="0"/>
  </r>
  <r>
    <s v="AIJ-101071"/>
    <x v="9"/>
    <x v="4"/>
    <x v="4"/>
    <x v="3"/>
    <x v="4"/>
    <x v="18"/>
    <x v="59"/>
    <x v="0"/>
    <n v="180101"/>
    <s v="Medium"/>
    <x v="45"/>
    <n v="48"/>
    <x v="2"/>
    <x v="2"/>
    <n v="2.38"/>
    <s v="No"/>
    <n v="3.87"/>
    <x v="1"/>
    <x v="2"/>
    <x v="1"/>
  </r>
  <r>
    <s v="AIJ-101072"/>
    <x v="2"/>
    <x v="9"/>
    <x v="6"/>
    <x v="3"/>
    <x v="21"/>
    <x v="51"/>
    <x v="49"/>
    <x v="1"/>
    <n v="83846"/>
    <s v="High"/>
    <x v="53"/>
    <n v="46"/>
    <x v="0"/>
    <x v="1"/>
    <n v="2.9"/>
    <s v="Yes"/>
    <n v="2.67"/>
    <x v="1"/>
    <x v="2"/>
    <x v="0"/>
  </r>
  <r>
    <s v="AIJ-101073"/>
    <x v="2"/>
    <x v="8"/>
    <x v="0"/>
    <x v="2"/>
    <x v="3"/>
    <x v="45"/>
    <x v="52"/>
    <x v="0"/>
    <n v="57074"/>
    <s v="Low"/>
    <x v="49"/>
    <n v="54"/>
    <x v="2"/>
    <x v="2"/>
    <n v="3.86"/>
    <s v="No"/>
    <n v="2.04"/>
    <x v="0"/>
    <x v="0"/>
    <x v="2"/>
  </r>
  <r>
    <s v="AIJ-101074"/>
    <x v="4"/>
    <x v="6"/>
    <x v="1"/>
    <x v="1"/>
    <x v="17"/>
    <x v="42"/>
    <x v="70"/>
    <x v="0"/>
    <n v="84077"/>
    <s v="Low"/>
    <x v="25"/>
    <n v="55"/>
    <x v="2"/>
    <x v="0"/>
    <n v="4.42"/>
    <s v="No"/>
    <n v="4.41"/>
    <x v="2"/>
    <x v="2"/>
    <x v="3"/>
  </r>
  <r>
    <s v="AIJ-101075"/>
    <x v="6"/>
    <x v="4"/>
    <x v="0"/>
    <x v="3"/>
    <x v="25"/>
    <x v="82"/>
    <x v="57"/>
    <x v="0"/>
    <n v="38753"/>
    <s v="High"/>
    <x v="9"/>
    <n v="54"/>
    <x v="1"/>
    <x v="2"/>
    <n v="4.63"/>
    <s v="No"/>
    <n v="4.4000000000000004"/>
    <x v="1"/>
    <x v="0"/>
    <x v="1"/>
  </r>
  <r>
    <s v="AIJ-101076"/>
    <x v="6"/>
    <x v="0"/>
    <x v="1"/>
    <x v="3"/>
    <x v="1"/>
    <x v="87"/>
    <x v="44"/>
    <x v="1"/>
    <n v="171129"/>
    <s v="Low"/>
    <x v="43"/>
    <n v="58"/>
    <x v="0"/>
    <x v="2"/>
    <n v="3.33"/>
    <s v="No"/>
    <n v="4.01"/>
    <x v="1"/>
    <x v="2"/>
    <x v="1"/>
  </r>
  <r>
    <s v="AIJ-101077"/>
    <x v="12"/>
    <x v="9"/>
    <x v="6"/>
    <x v="3"/>
    <x v="14"/>
    <x v="35"/>
    <x v="77"/>
    <x v="0"/>
    <n v="49727"/>
    <s v="Low"/>
    <x v="53"/>
    <n v="42"/>
    <x v="1"/>
    <x v="0"/>
    <n v="4.32"/>
    <s v="No"/>
    <n v="3.56"/>
    <x v="0"/>
    <x v="2"/>
    <x v="2"/>
  </r>
  <r>
    <s v="AIJ-101078"/>
    <x v="6"/>
    <x v="0"/>
    <x v="3"/>
    <x v="3"/>
    <x v="20"/>
    <x v="58"/>
    <x v="25"/>
    <x v="2"/>
    <n v="49926"/>
    <s v="Medium"/>
    <x v="36"/>
    <n v="60"/>
    <x v="2"/>
    <x v="1"/>
    <n v="3.42"/>
    <s v="Yes"/>
    <n v="3.67"/>
    <x v="0"/>
    <x v="3"/>
    <x v="2"/>
  </r>
  <r>
    <s v="AIJ-101079"/>
    <x v="13"/>
    <x v="2"/>
    <x v="8"/>
    <x v="2"/>
    <x v="11"/>
    <x v="86"/>
    <x v="2"/>
    <x v="2"/>
    <n v="61579"/>
    <s v="Low"/>
    <x v="21"/>
    <n v="53"/>
    <x v="0"/>
    <x v="1"/>
    <n v="2.95"/>
    <s v="Yes"/>
    <n v="2.08"/>
    <x v="2"/>
    <x v="3"/>
    <x v="1"/>
  </r>
  <r>
    <s v="AIJ-101080"/>
    <x v="1"/>
    <x v="0"/>
    <x v="6"/>
    <x v="1"/>
    <x v="24"/>
    <x v="69"/>
    <x v="15"/>
    <x v="0"/>
    <n v="32603"/>
    <s v="Low"/>
    <x v="22"/>
    <n v="50"/>
    <x v="1"/>
    <x v="1"/>
    <n v="2.71"/>
    <s v="Yes"/>
    <n v="3.07"/>
    <x v="1"/>
    <x v="3"/>
    <x v="1"/>
  </r>
  <r>
    <s v="AIJ-101081"/>
    <x v="17"/>
    <x v="0"/>
    <x v="9"/>
    <x v="1"/>
    <x v="25"/>
    <x v="13"/>
    <x v="23"/>
    <x v="1"/>
    <n v="64417"/>
    <s v="High"/>
    <x v="17"/>
    <n v="51"/>
    <x v="2"/>
    <x v="0"/>
    <n v="4.8"/>
    <s v="Yes"/>
    <n v="3.36"/>
    <x v="0"/>
    <x v="0"/>
    <x v="1"/>
  </r>
  <r>
    <s v="AIJ-101082"/>
    <x v="2"/>
    <x v="2"/>
    <x v="4"/>
    <x v="1"/>
    <x v="1"/>
    <x v="12"/>
    <x v="35"/>
    <x v="0"/>
    <n v="130192"/>
    <s v="High"/>
    <x v="22"/>
    <n v="47"/>
    <x v="2"/>
    <x v="1"/>
    <n v="2.29"/>
    <s v="Yes"/>
    <n v="1.66"/>
    <x v="1"/>
    <x v="3"/>
    <x v="1"/>
  </r>
  <r>
    <s v="AIJ-101083"/>
    <x v="8"/>
    <x v="5"/>
    <x v="4"/>
    <x v="1"/>
    <x v="1"/>
    <x v="82"/>
    <x v="61"/>
    <x v="1"/>
    <n v="124182"/>
    <s v="High"/>
    <x v="15"/>
    <n v="52"/>
    <x v="2"/>
    <x v="2"/>
    <n v="3.21"/>
    <s v="Yes"/>
    <n v="1.07"/>
    <x v="0"/>
    <x v="3"/>
    <x v="1"/>
  </r>
  <r>
    <s v="AIJ-101084"/>
    <x v="1"/>
    <x v="7"/>
    <x v="2"/>
    <x v="0"/>
    <x v="3"/>
    <x v="90"/>
    <x v="7"/>
    <x v="2"/>
    <n v="86808"/>
    <s v="Low"/>
    <x v="42"/>
    <n v="35"/>
    <x v="2"/>
    <x v="2"/>
    <n v="4.26"/>
    <s v="Yes"/>
    <n v="2.41"/>
    <x v="0"/>
    <x v="1"/>
    <x v="2"/>
  </r>
  <r>
    <s v="AIJ-101085"/>
    <x v="19"/>
    <x v="0"/>
    <x v="1"/>
    <x v="1"/>
    <x v="20"/>
    <x v="25"/>
    <x v="43"/>
    <x v="1"/>
    <n v="77259"/>
    <s v="Low"/>
    <x v="46"/>
    <n v="48"/>
    <x v="0"/>
    <x v="2"/>
    <n v="3.78"/>
    <s v="Yes"/>
    <n v="3.42"/>
    <x v="0"/>
    <x v="0"/>
    <x v="2"/>
  </r>
  <r>
    <s v="AIJ-101086"/>
    <x v="10"/>
    <x v="3"/>
    <x v="5"/>
    <x v="0"/>
    <x v="8"/>
    <x v="74"/>
    <x v="18"/>
    <x v="0"/>
    <n v="119834"/>
    <s v="Low"/>
    <x v="19"/>
    <n v="56"/>
    <x v="2"/>
    <x v="0"/>
    <n v="2.12"/>
    <s v="Yes"/>
    <n v="3.46"/>
    <x v="2"/>
    <x v="2"/>
    <x v="2"/>
  </r>
  <r>
    <s v="AIJ-101087"/>
    <x v="17"/>
    <x v="8"/>
    <x v="6"/>
    <x v="0"/>
    <x v="6"/>
    <x v="34"/>
    <x v="10"/>
    <x v="0"/>
    <n v="76566"/>
    <s v="High"/>
    <x v="29"/>
    <n v="42"/>
    <x v="1"/>
    <x v="0"/>
    <n v="2.14"/>
    <s v="Yes"/>
    <n v="4.7300000000000004"/>
    <x v="2"/>
    <x v="2"/>
    <x v="0"/>
  </r>
  <r>
    <s v="AIJ-101088"/>
    <x v="10"/>
    <x v="9"/>
    <x v="7"/>
    <x v="1"/>
    <x v="5"/>
    <x v="6"/>
    <x v="8"/>
    <x v="1"/>
    <n v="139572"/>
    <s v="Low"/>
    <x v="18"/>
    <n v="46"/>
    <x v="0"/>
    <x v="1"/>
    <n v="2.0299999999999998"/>
    <s v="No"/>
    <n v="1.91"/>
    <x v="2"/>
    <x v="0"/>
    <x v="3"/>
  </r>
  <r>
    <s v="AIJ-101089"/>
    <x v="9"/>
    <x v="2"/>
    <x v="4"/>
    <x v="0"/>
    <x v="19"/>
    <x v="55"/>
    <x v="69"/>
    <x v="0"/>
    <n v="88440"/>
    <s v="High"/>
    <x v="35"/>
    <n v="49"/>
    <x v="2"/>
    <x v="1"/>
    <n v="4.1399999999999997"/>
    <s v="No"/>
    <n v="2.2000000000000002"/>
    <x v="2"/>
    <x v="2"/>
    <x v="2"/>
  </r>
  <r>
    <s v="AIJ-101090"/>
    <x v="13"/>
    <x v="8"/>
    <x v="3"/>
    <x v="0"/>
    <x v="2"/>
    <x v="7"/>
    <x v="78"/>
    <x v="1"/>
    <n v="81544"/>
    <s v="High"/>
    <x v="49"/>
    <n v="45"/>
    <x v="2"/>
    <x v="2"/>
    <n v="3.27"/>
    <s v="Yes"/>
    <n v="4.16"/>
    <x v="0"/>
    <x v="1"/>
    <x v="1"/>
  </r>
  <r>
    <s v="AIJ-101091"/>
    <x v="9"/>
    <x v="5"/>
    <x v="9"/>
    <x v="0"/>
    <x v="21"/>
    <x v="57"/>
    <x v="9"/>
    <x v="0"/>
    <n v="119176"/>
    <s v="Medium"/>
    <x v="32"/>
    <n v="49"/>
    <x v="0"/>
    <x v="2"/>
    <n v="2.52"/>
    <s v="Yes"/>
    <n v="1.1599999999999999"/>
    <x v="2"/>
    <x v="2"/>
    <x v="0"/>
  </r>
  <r>
    <s v="AIJ-101092"/>
    <x v="4"/>
    <x v="2"/>
    <x v="6"/>
    <x v="3"/>
    <x v="12"/>
    <x v="34"/>
    <x v="13"/>
    <x v="1"/>
    <n v="160078"/>
    <s v="Low"/>
    <x v="5"/>
    <n v="56"/>
    <x v="2"/>
    <x v="0"/>
    <n v="2.77"/>
    <s v="Yes"/>
    <n v="1.66"/>
    <x v="1"/>
    <x v="1"/>
    <x v="3"/>
  </r>
  <r>
    <s v="AIJ-101093"/>
    <x v="4"/>
    <x v="2"/>
    <x v="9"/>
    <x v="0"/>
    <x v="24"/>
    <x v="61"/>
    <x v="40"/>
    <x v="2"/>
    <n v="152581"/>
    <s v="Medium"/>
    <x v="13"/>
    <n v="50"/>
    <x v="1"/>
    <x v="2"/>
    <n v="3.79"/>
    <s v="Yes"/>
    <n v="3"/>
    <x v="1"/>
    <x v="2"/>
    <x v="1"/>
  </r>
  <r>
    <s v="AIJ-101094"/>
    <x v="11"/>
    <x v="6"/>
    <x v="8"/>
    <x v="1"/>
    <x v="10"/>
    <x v="64"/>
    <x v="33"/>
    <x v="2"/>
    <n v="184656"/>
    <s v="Low"/>
    <x v="3"/>
    <n v="51"/>
    <x v="2"/>
    <x v="2"/>
    <n v="2.91"/>
    <s v="No"/>
    <n v="3.95"/>
    <x v="1"/>
    <x v="1"/>
    <x v="3"/>
  </r>
  <r>
    <s v="AIJ-101095"/>
    <x v="3"/>
    <x v="5"/>
    <x v="3"/>
    <x v="3"/>
    <x v="12"/>
    <x v="20"/>
    <x v="29"/>
    <x v="1"/>
    <n v="128350"/>
    <s v="Medium"/>
    <x v="11"/>
    <n v="44"/>
    <x v="1"/>
    <x v="0"/>
    <n v="4.63"/>
    <s v="Yes"/>
    <n v="2.62"/>
    <x v="2"/>
    <x v="2"/>
    <x v="3"/>
  </r>
  <r>
    <s v="AIJ-101096"/>
    <x v="17"/>
    <x v="9"/>
    <x v="3"/>
    <x v="1"/>
    <x v="11"/>
    <x v="47"/>
    <x v="12"/>
    <x v="0"/>
    <n v="45678"/>
    <s v="Low"/>
    <x v="45"/>
    <n v="46"/>
    <x v="2"/>
    <x v="1"/>
    <n v="2.12"/>
    <s v="No"/>
    <n v="3.6"/>
    <x v="0"/>
    <x v="2"/>
    <x v="1"/>
  </r>
  <r>
    <s v="AIJ-101097"/>
    <x v="6"/>
    <x v="2"/>
    <x v="3"/>
    <x v="3"/>
    <x v="12"/>
    <x v="14"/>
    <x v="17"/>
    <x v="2"/>
    <n v="39569"/>
    <s v="High"/>
    <x v="7"/>
    <n v="36"/>
    <x v="1"/>
    <x v="1"/>
    <n v="3.45"/>
    <s v="No"/>
    <n v="3.66"/>
    <x v="2"/>
    <x v="1"/>
    <x v="3"/>
  </r>
  <r>
    <s v="AIJ-101098"/>
    <x v="2"/>
    <x v="1"/>
    <x v="2"/>
    <x v="2"/>
    <x v="1"/>
    <x v="8"/>
    <x v="55"/>
    <x v="2"/>
    <n v="154616"/>
    <s v="Medium"/>
    <x v="5"/>
    <n v="50"/>
    <x v="0"/>
    <x v="1"/>
    <n v="2.99"/>
    <s v="No"/>
    <n v="3.71"/>
    <x v="2"/>
    <x v="3"/>
    <x v="1"/>
  </r>
  <r>
    <s v="AIJ-101099"/>
    <x v="11"/>
    <x v="5"/>
    <x v="3"/>
    <x v="0"/>
    <x v="21"/>
    <x v="57"/>
    <x v="27"/>
    <x v="2"/>
    <n v="211822"/>
    <s v="Medium"/>
    <x v="17"/>
    <n v="50"/>
    <x v="2"/>
    <x v="2"/>
    <n v="4.53"/>
    <s v="No"/>
    <n v="3.28"/>
    <x v="2"/>
    <x v="2"/>
    <x v="0"/>
  </r>
  <r>
    <s v="AIJ-101100"/>
    <x v="3"/>
    <x v="5"/>
    <x v="7"/>
    <x v="0"/>
    <x v="21"/>
    <x v="51"/>
    <x v="39"/>
    <x v="1"/>
    <n v="213542"/>
    <s v="Medium"/>
    <x v="0"/>
    <n v="35"/>
    <x v="1"/>
    <x v="2"/>
    <n v="3.21"/>
    <s v="Yes"/>
    <n v="3.31"/>
    <x v="0"/>
    <x v="3"/>
    <x v="0"/>
  </r>
  <r>
    <s v="AIJ-101101"/>
    <x v="3"/>
    <x v="3"/>
    <x v="9"/>
    <x v="1"/>
    <x v="10"/>
    <x v="34"/>
    <x v="61"/>
    <x v="0"/>
    <n v="191404"/>
    <s v="High"/>
    <x v="25"/>
    <n v="43"/>
    <x v="0"/>
    <x v="1"/>
    <n v="4.9000000000000004"/>
    <s v="Yes"/>
    <n v="4.09"/>
    <x v="2"/>
    <x v="2"/>
    <x v="3"/>
  </r>
  <r>
    <s v="AIJ-101102"/>
    <x v="7"/>
    <x v="8"/>
    <x v="8"/>
    <x v="1"/>
    <x v="25"/>
    <x v="84"/>
    <x v="74"/>
    <x v="2"/>
    <n v="183960"/>
    <s v="High"/>
    <x v="20"/>
    <n v="51"/>
    <x v="0"/>
    <x v="2"/>
    <n v="4.92"/>
    <s v="Yes"/>
    <n v="3.7"/>
    <x v="2"/>
    <x v="2"/>
    <x v="1"/>
  </r>
  <r>
    <s v="AIJ-101103"/>
    <x v="13"/>
    <x v="6"/>
    <x v="7"/>
    <x v="1"/>
    <x v="6"/>
    <x v="90"/>
    <x v="50"/>
    <x v="2"/>
    <n v="139719"/>
    <s v="Medium"/>
    <x v="6"/>
    <n v="47"/>
    <x v="2"/>
    <x v="2"/>
    <n v="2.0099999999999998"/>
    <s v="No"/>
    <n v="4.9800000000000004"/>
    <x v="0"/>
    <x v="2"/>
    <x v="0"/>
  </r>
  <r>
    <s v="AIJ-101104"/>
    <x v="17"/>
    <x v="0"/>
    <x v="3"/>
    <x v="2"/>
    <x v="12"/>
    <x v="62"/>
    <x v="56"/>
    <x v="1"/>
    <n v="212812"/>
    <s v="High"/>
    <x v="10"/>
    <n v="59"/>
    <x v="1"/>
    <x v="1"/>
    <n v="3.9"/>
    <s v="No"/>
    <n v="3.65"/>
    <x v="0"/>
    <x v="3"/>
    <x v="3"/>
  </r>
  <r>
    <s v="AIJ-101105"/>
    <x v="2"/>
    <x v="8"/>
    <x v="9"/>
    <x v="2"/>
    <x v="23"/>
    <x v="11"/>
    <x v="32"/>
    <x v="0"/>
    <n v="96216"/>
    <s v="Low"/>
    <x v="40"/>
    <n v="54"/>
    <x v="1"/>
    <x v="2"/>
    <n v="3.43"/>
    <s v="Yes"/>
    <n v="2.65"/>
    <x v="1"/>
    <x v="0"/>
    <x v="3"/>
  </r>
  <r>
    <s v="AIJ-101106"/>
    <x v="8"/>
    <x v="0"/>
    <x v="3"/>
    <x v="1"/>
    <x v="5"/>
    <x v="32"/>
    <x v="30"/>
    <x v="0"/>
    <n v="38243"/>
    <s v="High"/>
    <x v="43"/>
    <n v="49"/>
    <x v="2"/>
    <x v="0"/>
    <n v="2.52"/>
    <s v="No"/>
    <n v="4.33"/>
    <x v="0"/>
    <x v="0"/>
    <x v="3"/>
  </r>
  <r>
    <s v="AIJ-101107"/>
    <x v="2"/>
    <x v="8"/>
    <x v="3"/>
    <x v="3"/>
    <x v="6"/>
    <x v="41"/>
    <x v="37"/>
    <x v="0"/>
    <n v="118835"/>
    <s v="Medium"/>
    <x v="20"/>
    <n v="30"/>
    <x v="2"/>
    <x v="0"/>
    <n v="4.0599999999999996"/>
    <s v="No"/>
    <n v="4.43"/>
    <x v="2"/>
    <x v="3"/>
    <x v="0"/>
  </r>
  <r>
    <s v="AIJ-101108"/>
    <x v="11"/>
    <x v="0"/>
    <x v="3"/>
    <x v="2"/>
    <x v="4"/>
    <x v="87"/>
    <x v="46"/>
    <x v="0"/>
    <n v="92942"/>
    <s v="Medium"/>
    <x v="9"/>
    <n v="51"/>
    <x v="2"/>
    <x v="1"/>
    <n v="2.81"/>
    <s v="No"/>
    <n v="4.21"/>
    <x v="1"/>
    <x v="3"/>
    <x v="1"/>
  </r>
  <r>
    <s v="AIJ-101109"/>
    <x v="17"/>
    <x v="1"/>
    <x v="1"/>
    <x v="3"/>
    <x v="8"/>
    <x v="45"/>
    <x v="74"/>
    <x v="1"/>
    <n v="107394"/>
    <s v="High"/>
    <x v="14"/>
    <n v="48"/>
    <x v="1"/>
    <x v="2"/>
    <n v="4.87"/>
    <s v="No"/>
    <n v="2.46"/>
    <x v="2"/>
    <x v="3"/>
    <x v="2"/>
  </r>
  <r>
    <s v="AIJ-101110"/>
    <x v="6"/>
    <x v="3"/>
    <x v="7"/>
    <x v="0"/>
    <x v="21"/>
    <x v="55"/>
    <x v="19"/>
    <x v="0"/>
    <n v="45413"/>
    <s v="Medium"/>
    <x v="7"/>
    <n v="42"/>
    <x v="2"/>
    <x v="2"/>
    <n v="4.53"/>
    <s v="No"/>
    <n v="1.17"/>
    <x v="1"/>
    <x v="3"/>
    <x v="0"/>
  </r>
  <r>
    <s v="AIJ-101111"/>
    <x v="5"/>
    <x v="6"/>
    <x v="4"/>
    <x v="0"/>
    <x v="25"/>
    <x v="87"/>
    <x v="47"/>
    <x v="1"/>
    <n v="126263"/>
    <s v="High"/>
    <x v="20"/>
    <n v="34"/>
    <x v="1"/>
    <x v="1"/>
    <n v="4.62"/>
    <s v="No"/>
    <n v="4.99"/>
    <x v="2"/>
    <x v="3"/>
    <x v="1"/>
  </r>
  <r>
    <s v="AIJ-101112"/>
    <x v="15"/>
    <x v="4"/>
    <x v="3"/>
    <x v="0"/>
    <x v="16"/>
    <x v="60"/>
    <x v="38"/>
    <x v="2"/>
    <n v="40076"/>
    <s v="Low"/>
    <x v="36"/>
    <n v="41"/>
    <x v="0"/>
    <x v="1"/>
    <n v="3.7"/>
    <s v="No"/>
    <n v="4.87"/>
    <x v="0"/>
    <x v="1"/>
    <x v="3"/>
  </r>
  <r>
    <s v="AIJ-101113"/>
    <x v="14"/>
    <x v="3"/>
    <x v="0"/>
    <x v="1"/>
    <x v="21"/>
    <x v="88"/>
    <x v="25"/>
    <x v="1"/>
    <n v="73459"/>
    <s v="Medium"/>
    <x v="16"/>
    <n v="32"/>
    <x v="2"/>
    <x v="0"/>
    <n v="3.75"/>
    <s v="Yes"/>
    <n v="1.76"/>
    <x v="1"/>
    <x v="2"/>
    <x v="0"/>
  </r>
  <r>
    <s v="AIJ-101114"/>
    <x v="0"/>
    <x v="5"/>
    <x v="3"/>
    <x v="0"/>
    <x v="18"/>
    <x v="78"/>
    <x v="5"/>
    <x v="2"/>
    <n v="134809"/>
    <s v="Low"/>
    <x v="49"/>
    <n v="59"/>
    <x v="2"/>
    <x v="2"/>
    <n v="2.9"/>
    <s v="Yes"/>
    <n v="2.02"/>
    <x v="2"/>
    <x v="3"/>
    <x v="3"/>
  </r>
  <r>
    <s v="AIJ-101115"/>
    <x v="16"/>
    <x v="3"/>
    <x v="2"/>
    <x v="1"/>
    <x v="22"/>
    <x v="11"/>
    <x v="54"/>
    <x v="1"/>
    <n v="168380"/>
    <s v="Low"/>
    <x v="14"/>
    <n v="30"/>
    <x v="1"/>
    <x v="1"/>
    <n v="2.89"/>
    <s v="No"/>
    <n v="4.72"/>
    <x v="2"/>
    <x v="3"/>
    <x v="2"/>
  </r>
  <r>
    <s v="AIJ-101116"/>
    <x v="3"/>
    <x v="2"/>
    <x v="6"/>
    <x v="2"/>
    <x v="21"/>
    <x v="53"/>
    <x v="0"/>
    <x v="0"/>
    <n v="177855"/>
    <s v="High"/>
    <x v="17"/>
    <n v="48"/>
    <x v="2"/>
    <x v="1"/>
    <n v="2.46"/>
    <s v="No"/>
    <n v="1.53"/>
    <x v="0"/>
    <x v="2"/>
    <x v="0"/>
  </r>
  <r>
    <s v="AIJ-101117"/>
    <x v="19"/>
    <x v="7"/>
    <x v="0"/>
    <x v="1"/>
    <x v="0"/>
    <x v="37"/>
    <x v="27"/>
    <x v="2"/>
    <n v="107817"/>
    <s v="Low"/>
    <x v="29"/>
    <n v="40"/>
    <x v="1"/>
    <x v="2"/>
    <n v="3.71"/>
    <s v="No"/>
    <n v="4.97"/>
    <x v="1"/>
    <x v="3"/>
    <x v="0"/>
  </r>
  <r>
    <s v="AIJ-101118"/>
    <x v="10"/>
    <x v="7"/>
    <x v="7"/>
    <x v="1"/>
    <x v="21"/>
    <x v="56"/>
    <x v="12"/>
    <x v="0"/>
    <n v="172920"/>
    <s v="Medium"/>
    <x v="21"/>
    <n v="41"/>
    <x v="1"/>
    <x v="0"/>
    <n v="4.8099999999999996"/>
    <s v="No"/>
    <n v="3.46"/>
    <x v="1"/>
    <x v="2"/>
    <x v="0"/>
  </r>
  <r>
    <s v="AIJ-101119"/>
    <x v="7"/>
    <x v="6"/>
    <x v="6"/>
    <x v="1"/>
    <x v="9"/>
    <x v="33"/>
    <x v="72"/>
    <x v="1"/>
    <n v="200822"/>
    <s v="Medium"/>
    <x v="3"/>
    <n v="33"/>
    <x v="0"/>
    <x v="2"/>
    <n v="2.95"/>
    <s v="Yes"/>
    <n v="3.63"/>
    <x v="1"/>
    <x v="1"/>
    <x v="1"/>
  </r>
  <r>
    <s v="AIJ-101120"/>
    <x v="3"/>
    <x v="9"/>
    <x v="5"/>
    <x v="2"/>
    <x v="20"/>
    <x v="19"/>
    <x v="54"/>
    <x v="1"/>
    <n v="74448"/>
    <s v="Low"/>
    <x v="23"/>
    <n v="48"/>
    <x v="0"/>
    <x v="2"/>
    <n v="4.9000000000000004"/>
    <s v="Yes"/>
    <n v="3.78"/>
    <x v="0"/>
    <x v="2"/>
    <x v="2"/>
  </r>
  <r>
    <s v="AIJ-101121"/>
    <x v="7"/>
    <x v="8"/>
    <x v="6"/>
    <x v="3"/>
    <x v="14"/>
    <x v="25"/>
    <x v="41"/>
    <x v="1"/>
    <n v="79775"/>
    <s v="Medium"/>
    <x v="24"/>
    <n v="49"/>
    <x v="1"/>
    <x v="1"/>
    <n v="3.48"/>
    <s v="Yes"/>
    <n v="2.78"/>
    <x v="0"/>
    <x v="3"/>
    <x v="2"/>
  </r>
  <r>
    <s v="AIJ-101122"/>
    <x v="11"/>
    <x v="0"/>
    <x v="3"/>
    <x v="2"/>
    <x v="25"/>
    <x v="2"/>
    <x v="24"/>
    <x v="2"/>
    <n v="49979"/>
    <s v="Medium"/>
    <x v="1"/>
    <n v="45"/>
    <x v="0"/>
    <x v="2"/>
    <n v="4.88"/>
    <s v="Yes"/>
    <n v="4.46"/>
    <x v="0"/>
    <x v="2"/>
    <x v="1"/>
  </r>
  <r>
    <s v="AIJ-101123"/>
    <x v="0"/>
    <x v="7"/>
    <x v="9"/>
    <x v="2"/>
    <x v="17"/>
    <x v="35"/>
    <x v="17"/>
    <x v="1"/>
    <n v="49234"/>
    <s v="High"/>
    <x v="26"/>
    <n v="32"/>
    <x v="0"/>
    <x v="0"/>
    <n v="4.42"/>
    <s v="No"/>
    <n v="4.58"/>
    <x v="1"/>
    <x v="1"/>
    <x v="3"/>
  </r>
  <r>
    <s v="AIJ-101124"/>
    <x v="12"/>
    <x v="9"/>
    <x v="8"/>
    <x v="2"/>
    <x v="16"/>
    <x v="37"/>
    <x v="19"/>
    <x v="0"/>
    <n v="42292"/>
    <s v="High"/>
    <x v="7"/>
    <n v="58"/>
    <x v="1"/>
    <x v="0"/>
    <n v="2.93"/>
    <s v="No"/>
    <n v="1.47"/>
    <x v="1"/>
    <x v="3"/>
    <x v="3"/>
  </r>
  <r>
    <s v="AIJ-101125"/>
    <x v="16"/>
    <x v="3"/>
    <x v="7"/>
    <x v="0"/>
    <x v="1"/>
    <x v="26"/>
    <x v="10"/>
    <x v="0"/>
    <n v="208512"/>
    <s v="High"/>
    <x v="8"/>
    <n v="31"/>
    <x v="1"/>
    <x v="0"/>
    <n v="3.12"/>
    <s v="No"/>
    <n v="3.74"/>
    <x v="1"/>
    <x v="3"/>
    <x v="1"/>
  </r>
  <r>
    <s v="AIJ-101126"/>
    <x v="1"/>
    <x v="0"/>
    <x v="7"/>
    <x v="3"/>
    <x v="25"/>
    <x v="59"/>
    <x v="72"/>
    <x v="1"/>
    <n v="212927"/>
    <s v="High"/>
    <x v="44"/>
    <n v="36"/>
    <x v="1"/>
    <x v="0"/>
    <n v="2.71"/>
    <s v="No"/>
    <n v="1.53"/>
    <x v="2"/>
    <x v="2"/>
    <x v="1"/>
  </r>
  <r>
    <s v="AIJ-101127"/>
    <x v="14"/>
    <x v="9"/>
    <x v="8"/>
    <x v="0"/>
    <x v="0"/>
    <x v="86"/>
    <x v="4"/>
    <x v="2"/>
    <n v="44004"/>
    <s v="Low"/>
    <x v="39"/>
    <n v="51"/>
    <x v="0"/>
    <x v="2"/>
    <n v="3.8"/>
    <s v="Yes"/>
    <n v="3.16"/>
    <x v="0"/>
    <x v="0"/>
    <x v="0"/>
  </r>
  <r>
    <s v="AIJ-101128"/>
    <x v="15"/>
    <x v="0"/>
    <x v="2"/>
    <x v="3"/>
    <x v="13"/>
    <x v="80"/>
    <x v="66"/>
    <x v="1"/>
    <n v="132183"/>
    <s v="High"/>
    <x v="30"/>
    <n v="47"/>
    <x v="1"/>
    <x v="1"/>
    <n v="2.4900000000000002"/>
    <s v="No"/>
    <n v="1.96"/>
    <x v="0"/>
    <x v="1"/>
    <x v="1"/>
  </r>
  <r>
    <s v="AIJ-101129"/>
    <x v="4"/>
    <x v="8"/>
    <x v="8"/>
    <x v="3"/>
    <x v="20"/>
    <x v="38"/>
    <x v="41"/>
    <x v="2"/>
    <n v="209239"/>
    <s v="Medium"/>
    <x v="50"/>
    <n v="30"/>
    <x v="2"/>
    <x v="1"/>
    <n v="4.8600000000000003"/>
    <s v="No"/>
    <n v="3.84"/>
    <x v="1"/>
    <x v="3"/>
    <x v="2"/>
  </r>
  <r>
    <s v="AIJ-101130"/>
    <x v="11"/>
    <x v="3"/>
    <x v="5"/>
    <x v="1"/>
    <x v="11"/>
    <x v="4"/>
    <x v="25"/>
    <x v="1"/>
    <n v="49248"/>
    <s v="Medium"/>
    <x v="35"/>
    <n v="45"/>
    <x v="2"/>
    <x v="1"/>
    <n v="2.4"/>
    <s v="No"/>
    <n v="1.72"/>
    <x v="1"/>
    <x v="3"/>
    <x v="1"/>
  </r>
  <r>
    <s v="AIJ-101131"/>
    <x v="19"/>
    <x v="8"/>
    <x v="5"/>
    <x v="0"/>
    <x v="13"/>
    <x v="59"/>
    <x v="0"/>
    <x v="1"/>
    <n v="108959"/>
    <s v="Low"/>
    <x v="0"/>
    <n v="59"/>
    <x v="2"/>
    <x v="0"/>
    <n v="3.2"/>
    <s v="No"/>
    <n v="4.71"/>
    <x v="2"/>
    <x v="3"/>
    <x v="1"/>
  </r>
  <r>
    <s v="AIJ-101132"/>
    <x v="8"/>
    <x v="0"/>
    <x v="7"/>
    <x v="3"/>
    <x v="21"/>
    <x v="2"/>
    <x v="7"/>
    <x v="2"/>
    <n v="63886"/>
    <s v="High"/>
    <x v="22"/>
    <n v="33"/>
    <x v="1"/>
    <x v="2"/>
    <n v="3.76"/>
    <s v="Yes"/>
    <n v="4.95"/>
    <x v="2"/>
    <x v="1"/>
    <x v="0"/>
  </r>
  <r>
    <s v="AIJ-101133"/>
    <x v="16"/>
    <x v="9"/>
    <x v="5"/>
    <x v="0"/>
    <x v="25"/>
    <x v="86"/>
    <x v="18"/>
    <x v="2"/>
    <n v="71439"/>
    <s v="Medium"/>
    <x v="29"/>
    <n v="57"/>
    <x v="1"/>
    <x v="0"/>
    <n v="3.95"/>
    <s v="Yes"/>
    <n v="4.88"/>
    <x v="2"/>
    <x v="3"/>
    <x v="1"/>
  </r>
  <r>
    <s v="AIJ-101134"/>
    <x v="12"/>
    <x v="1"/>
    <x v="5"/>
    <x v="3"/>
    <x v="9"/>
    <x v="58"/>
    <x v="22"/>
    <x v="1"/>
    <n v="121440"/>
    <s v="High"/>
    <x v="22"/>
    <n v="60"/>
    <x v="1"/>
    <x v="2"/>
    <n v="2.96"/>
    <s v="No"/>
    <n v="3.77"/>
    <x v="1"/>
    <x v="0"/>
    <x v="1"/>
  </r>
  <r>
    <s v="AIJ-101135"/>
    <x v="0"/>
    <x v="3"/>
    <x v="7"/>
    <x v="3"/>
    <x v="4"/>
    <x v="45"/>
    <x v="39"/>
    <x v="1"/>
    <n v="218315"/>
    <s v="High"/>
    <x v="0"/>
    <n v="39"/>
    <x v="2"/>
    <x v="1"/>
    <n v="3.19"/>
    <s v="No"/>
    <n v="1.63"/>
    <x v="2"/>
    <x v="3"/>
    <x v="1"/>
  </r>
  <r>
    <s v="AIJ-101136"/>
    <x v="19"/>
    <x v="2"/>
    <x v="7"/>
    <x v="2"/>
    <x v="9"/>
    <x v="27"/>
    <x v="27"/>
    <x v="1"/>
    <n v="129584"/>
    <s v="Low"/>
    <x v="33"/>
    <n v="47"/>
    <x v="2"/>
    <x v="2"/>
    <n v="3.34"/>
    <s v="No"/>
    <n v="2.8"/>
    <x v="0"/>
    <x v="0"/>
    <x v="1"/>
  </r>
  <r>
    <s v="AIJ-101137"/>
    <x v="18"/>
    <x v="5"/>
    <x v="5"/>
    <x v="2"/>
    <x v="6"/>
    <x v="16"/>
    <x v="64"/>
    <x v="1"/>
    <n v="46485"/>
    <s v="Low"/>
    <x v="50"/>
    <n v="30"/>
    <x v="1"/>
    <x v="1"/>
    <n v="2.69"/>
    <s v="Yes"/>
    <n v="2.69"/>
    <x v="2"/>
    <x v="0"/>
    <x v="0"/>
  </r>
  <r>
    <s v="AIJ-101138"/>
    <x v="5"/>
    <x v="1"/>
    <x v="2"/>
    <x v="1"/>
    <x v="20"/>
    <x v="61"/>
    <x v="34"/>
    <x v="2"/>
    <n v="76987"/>
    <s v="Medium"/>
    <x v="33"/>
    <n v="44"/>
    <x v="0"/>
    <x v="1"/>
    <n v="2.17"/>
    <s v="No"/>
    <n v="4.87"/>
    <x v="0"/>
    <x v="2"/>
    <x v="2"/>
  </r>
  <r>
    <s v="AIJ-101139"/>
    <x v="9"/>
    <x v="3"/>
    <x v="2"/>
    <x v="0"/>
    <x v="12"/>
    <x v="72"/>
    <x v="76"/>
    <x v="2"/>
    <n v="150647"/>
    <s v="Medium"/>
    <x v="11"/>
    <n v="52"/>
    <x v="2"/>
    <x v="0"/>
    <n v="2.64"/>
    <s v="No"/>
    <n v="2.5499999999999998"/>
    <x v="2"/>
    <x v="2"/>
    <x v="3"/>
  </r>
  <r>
    <s v="AIJ-101140"/>
    <x v="0"/>
    <x v="6"/>
    <x v="5"/>
    <x v="0"/>
    <x v="0"/>
    <x v="68"/>
    <x v="39"/>
    <x v="0"/>
    <n v="133805"/>
    <s v="Low"/>
    <x v="26"/>
    <n v="52"/>
    <x v="2"/>
    <x v="1"/>
    <n v="4.4000000000000004"/>
    <s v="Yes"/>
    <n v="3.17"/>
    <x v="2"/>
    <x v="3"/>
    <x v="0"/>
  </r>
  <r>
    <s v="AIJ-101141"/>
    <x v="6"/>
    <x v="2"/>
    <x v="4"/>
    <x v="1"/>
    <x v="25"/>
    <x v="86"/>
    <x v="49"/>
    <x v="2"/>
    <n v="158154"/>
    <s v="High"/>
    <x v="38"/>
    <n v="45"/>
    <x v="1"/>
    <x v="0"/>
    <n v="2.4"/>
    <s v="No"/>
    <n v="2.16"/>
    <x v="2"/>
    <x v="3"/>
    <x v="1"/>
  </r>
  <r>
    <s v="AIJ-101142"/>
    <x v="15"/>
    <x v="3"/>
    <x v="0"/>
    <x v="1"/>
    <x v="14"/>
    <x v="34"/>
    <x v="56"/>
    <x v="0"/>
    <n v="150635"/>
    <s v="Medium"/>
    <x v="19"/>
    <n v="59"/>
    <x v="1"/>
    <x v="0"/>
    <n v="4.8"/>
    <s v="Yes"/>
    <n v="1.9"/>
    <x v="0"/>
    <x v="3"/>
    <x v="2"/>
  </r>
  <r>
    <s v="AIJ-101143"/>
    <x v="19"/>
    <x v="0"/>
    <x v="7"/>
    <x v="1"/>
    <x v="20"/>
    <x v="17"/>
    <x v="12"/>
    <x v="0"/>
    <n v="95893"/>
    <s v="High"/>
    <x v="2"/>
    <n v="39"/>
    <x v="1"/>
    <x v="2"/>
    <n v="4.88"/>
    <s v="No"/>
    <n v="3.64"/>
    <x v="0"/>
    <x v="3"/>
    <x v="2"/>
  </r>
  <r>
    <s v="AIJ-101144"/>
    <x v="1"/>
    <x v="8"/>
    <x v="7"/>
    <x v="2"/>
    <x v="18"/>
    <x v="63"/>
    <x v="59"/>
    <x v="1"/>
    <n v="100445"/>
    <s v="Medium"/>
    <x v="12"/>
    <n v="52"/>
    <x v="0"/>
    <x v="0"/>
    <n v="2.21"/>
    <s v="Yes"/>
    <n v="1.5"/>
    <x v="2"/>
    <x v="2"/>
    <x v="3"/>
  </r>
  <r>
    <s v="AIJ-101145"/>
    <x v="17"/>
    <x v="8"/>
    <x v="3"/>
    <x v="0"/>
    <x v="18"/>
    <x v="90"/>
    <x v="20"/>
    <x v="1"/>
    <n v="193949"/>
    <s v="Low"/>
    <x v="0"/>
    <n v="60"/>
    <x v="1"/>
    <x v="1"/>
    <n v="4.66"/>
    <s v="Yes"/>
    <n v="4.82"/>
    <x v="1"/>
    <x v="2"/>
    <x v="3"/>
  </r>
  <r>
    <s v="AIJ-101146"/>
    <x v="10"/>
    <x v="7"/>
    <x v="0"/>
    <x v="3"/>
    <x v="3"/>
    <x v="46"/>
    <x v="29"/>
    <x v="2"/>
    <n v="129208"/>
    <s v="High"/>
    <x v="35"/>
    <n v="39"/>
    <x v="1"/>
    <x v="0"/>
    <n v="2.86"/>
    <s v="Yes"/>
    <n v="3.56"/>
    <x v="0"/>
    <x v="2"/>
    <x v="2"/>
  </r>
  <r>
    <s v="AIJ-101147"/>
    <x v="18"/>
    <x v="5"/>
    <x v="1"/>
    <x v="0"/>
    <x v="18"/>
    <x v="50"/>
    <x v="14"/>
    <x v="1"/>
    <n v="154057"/>
    <s v="Low"/>
    <x v="49"/>
    <n v="48"/>
    <x v="1"/>
    <x v="1"/>
    <n v="4.49"/>
    <s v="Yes"/>
    <n v="4.37"/>
    <x v="2"/>
    <x v="3"/>
    <x v="3"/>
  </r>
  <r>
    <s v="AIJ-101148"/>
    <x v="14"/>
    <x v="0"/>
    <x v="6"/>
    <x v="0"/>
    <x v="14"/>
    <x v="57"/>
    <x v="77"/>
    <x v="1"/>
    <n v="98779"/>
    <s v="High"/>
    <x v="55"/>
    <n v="50"/>
    <x v="0"/>
    <x v="2"/>
    <n v="2.31"/>
    <s v="Yes"/>
    <n v="4.92"/>
    <x v="0"/>
    <x v="2"/>
    <x v="2"/>
  </r>
  <r>
    <s v="AIJ-101149"/>
    <x v="1"/>
    <x v="7"/>
    <x v="8"/>
    <x v="3"/>
    <x v="15"/>
    <x v="41"/>
    <x v="17"/>
    <x v="2"/>
    <n v="192587"/>
    <s v="High"/>
    <x v="0"/>
    <n v="34"/>
    <x v="2"/>
    <x v="1"/>
    <n v="2.89"/>
    <s v="Yes"/>
    <n v="1.53"/>
    <x v="2"/>
    <x v="2"/>
    <x v="1"/>
  </r>
  <r>
    <s v="AIJ-101150"/>
    <x v="3"/>
    <x v="0"/>
    <x v="5"/>
    <x v="3"/>
    <x v="13"/>
    <x v="64"/>
    <x v="37"/>
    <x v="1"/>
    <n v="169897"/>
    <s v="Low"/>
    <x v="3"/>
    <n v="30"/>
    <x v="1"/>
    <x v="0"/>
    <n v="2.2200000000000002"/>
    <s v="No"/>
    <n v="2.75"/>
    <x v="0"/>
    <x v="2"/>
    <x v="1"/>
  </r>
  <r>
    <s v="AIJ-101151"/>
    <x v="4"/>
    <x v="7"/>
    <x v="7"/>
    <x v="0"/>
    <x v="24"/>
    <x v="38"/>
    <x v="45"/>
    <x v="2"/>
    <n v="196979"/>
    <s v="High"/>
    <x v="55"/>
    <n v="32"/>
    <x v="0"/>
    <x v="0"/>
    <n v="3.58"/>
    <s v="Yes"/>
    <n v="1.82"/>
    <x v="0"/>
    <x v="0"/>
    <x v="1"/>
  </r>
  <r>
    <s v="AIJ-101152"/>
    <x v="5"/>
    <x v="3"/>
    <x v="5"/>
    <x v="0"/>
    <x v="16"/>
    <x v="12"/>
    <x v="27"/>
    <x v="1"/>
    <n v="82410"/>
    <s v="High"/>
    <x v="12"/>
    <n v="49"/>
    <x v="0"/>
    <x v="1"/>
    <n v="3.17"/>
    <s v="No"/>
    <n v="3.06"/>
    <x v="0"/>
    <x v="0"/>
    <x v="3"/>
  </r>
  <r>
    <s v="AIJ-101153"/>
    <x v="13"/>
    <x v="8"/>
    <x v="4"/>
    <x v="0"/>
    <x v="9"/>
    <x v="22"/>
    <x v="48"/>
    <x v="0"/>
    <n v="192764"/>
    <s v="Low"/>
    <x v="34"/>
    <n v="47"/>
    <x v="1"/>
    <x v="0"/>
    <n v="4.6399999999999997"/>
    <s v="No"/>
    <n v="1.33"/>
    <x v="1"/>
    <x v="2"/>
    <x v="1"/>
  </r>
  <r>
    <s v="AIJ-101154"/>
    <x v="8"/>
    <x v="4"/>
    <x v="6"/>
    <x v="3"/>
    <x v="10"/>
    <x v="52"/>
    <x v="76"/>
    <x v="2"/>
    <n v="147864"/>
    <s v="High"/>
    <x v="16"/>
    <n v="40"/>
    <x v="2"/>
    <x v="1"/>
    <n v="4.67"/>
    <s v="No"/>
    <n v="1.4"/>
    <x v="2"/>
    <x v="3"/>
    <x v="3"/>
  </r>
  <r>
    <s v="AIJ-101155"/>
    <x v="8"/>
    <x v="4"/>
    <x v="9"/>
    <x v="1"/>
    <x v="16"/>
    <x v="27"/>
    <x v="75"/>
    <x v="2"/>
    <n v="118494"/>
    <s v="Low"/>
    <x v="41"/>
    <n v="32"/>
    <x v="2"/>
    <x v="1"/>
    <n v="3.06"/>
    <s v="No"/>
    <n v="1.43"/>
    <x v="2"/>
    <x v="3"/>
    <x v="3"/>
  </r>
  <r>
    <s v="AIJ-101156"/>
    <x v="19"/>
    <x v="8"/>
    <x v="4"/>
    <x v="1"/>
    <x v="7"/>
    <x v="72"/>
    <x v="9"/>
    <x v="1"/>
    <n v="107622"/>
    <s v="High"/>
    <x v="15"/>
    <n v="30"/>
    <x v="0"/>
    <x v="2"/>
    <n v="4.51"/>
    <s v="No"/>
    <n v="4.47"/>
    <x v="0"/>
    <x v="2"/>
    <x v="1"/>
  </r>
  <r>
    <s v="AIJ-101157"/>
    <x v="7"/>
    <x v="1"/>
    <x v="1"/>
    <x v="1"/>
    <x v="7"/>
    <x v="43"/>
    <x v="29"/>
    <x v="2"/>
    <n v="193108"/>
    <s v="Medium"/>
    <x v="37"/>
    <n v="35"/>
    <x v="1"/>
    <x v="0"/>
    <n v="3"/>
    <s v="Yes"/>
    <n v="3.16"/>
    <x v="0"/>
    <x v="2"/>
    <x v="1"/>
  </r>
  <r>
    <s v="AIJ-101158"/>
    <x v="14"/>
    <x v="0"/>
    <x v="0"/>
    <x v="0"/>
    <x v="15"/>
    <x v="3"/>
    <x v="37"/>
    <x v="1"/>
    <n v="183061"/>
    <s v="High"/>
    <x v="55"/>
    <n v="34"/>
    <x v="2"/>
    <x v="1"/>
    <n v="4.97"/>
    <s v="No"/>
    <n v="1.44"/>
    <x v="1"/>
    <x v="3"/>
    <x v="1"/>
  </r>
  <r>
    <s v="AIJ-101159"/>
    <x v="12"/>
    <x v="1"/>
    <x v="9"/>
    <x v="2"/>
    <x v="11"/>
    <x v="30"/>
    <x v="49"/>
    <x v="1"/>
    <n v="128996"/>
    <s v="Medium"/>
    <x v="48"/>
    <n v="50"/>
    <x v="1"/>
    <x v="0"/>
    <n v="2.75"/>
    <s v="Yes"/>
    <n v="4.55"/>
    <x v="0"/>
    <x v="3"/>
    <x v="1"/>
  </r>
  <r>
    <s v="AIJ-101160"/>
    <x v="17"/>
    <x v="6"/>
    <x v="4"/>
    <x v="2"/>
    <x v="17"/>
    <x v="79"/>
    <x v="2"/>
    <x v="2"/>
    <n v="100848"/>
    <s v="High"/>
    <x v="23"/>
    <n v="34"/>
    <x v="2"/>
    <x v="0"/>
    <n v="2.84"/>
    <s v="Yes"/>
    <n v="2.87"/>
    <x v="1"/>
    <x v="3"/>
    <x v="3"/>
  </r>
  <r>
    <s v="AIJ-101161"/>
    <x v="7"/>
    <x v="5"/>
    <x v="7"/>
    <x v="0"/>
    <x v="17"/>
    <x v="47"/>
    <x v="62"/>
    <x v="2"/>
    <n v="153513"/>
    <s v="Medium"/>
    <x v="51"/>
    <n v="51"/>
    <x v="2"/>
    <x v="2"/>
    <n v="3.54"/>
    <s v="No"/>
    <n v="3.95"/>
    <x v="0"/>
    <x v="3"/>
    <x v="3"/>
  </r>
  <r>
    <s v="AIJ-101162"/>
    <x v="15"/>
    <x v="5"/>
    <x v="6"/>
    <x v="2"/>
    <x v="11"/>
    <x v="84"/>
    <x v="31"/>
    <x v="1"/>
    <n v="166314"/>
    <s v="Low"/>
    <x v="7"/>
    <n v="50"/>
    <x v="1"/>
    <x v="2"/>
    <n v="4.91"/>
    <s v="No"/>
    <n v="1.1200000000000001"/>
    <x v="0"/>
    <x v="3"/>
    <x v="1"/>
  </r>
  <r>
    <s v="AIJ-101163"/>
    <x v="16"/>
    <x v="0"/>
    <x v="3"/>
    <x v="1"/>
    <x v="25"/>
    <x v="8"/>
    <x v="67"/>
    <x v="0"/>
    <n v="165359"/>
    <s v="Medium"/>
    <x v="16"/>
    <n v="35"/>
    <x v="0"/>
    <x v="2"/>
    <n v="3.97"/>
    <s v="Yes"/>
    <n v="2.4900000000000002"/>
    <x v="0"/>
    <x v="3"/>
    <x v="1"/>
  </r>
  <r>
    <s v="AIJ-101164"/>
    <x v="18"/>
    <x v="7"/>
    <x v="0"/>
    <x v="3"/>
    <x v="12"/>
    <x v="38"/>
    <x v="72"/>
    <x v="2"/>
    <n v="130003"/>
    <s v="High"/>
    <x v="22"/>
    <n v="56"/>
    <x v="1"/>
    <x v="1"/>
    <n v="4.78"/>
    <s v="Yes"/>
    <n v="1.53"/>
    <x v="0"/>
    <x v="2"/>
    <x v="3"/>
  </r>
  <r>
    <s v="AIJ-101165"/>
    <x v="17"/>
    <x v="8"/>
    <x v="4"/>
    <x v="0"/>
    <x v="2"/>
    <x v="68"/>
    <x v="6"/>
    <x v="2"/>
    <n v="37071"/>
    <s v="Low"/>
    <x v="39"/>
    <n v="52"/>
    <x v="2"/>
    <x v="1"/>
    <n v="4.47"/>
    <s v="No"/>
    <n v="1.22"/>
    <x v="0"/>
    <x v="3"/>
    <x v="1"/>
  </r>
  <r>
    <s v="AIJ-101166"/>
    <x v="12"/>
    <x v="7"/>
    <x v="5"/>
    <x v="1"/>
    <x v="11"/>
    <x v="4"/>
    <x v="31"/>
    <x v="2"/>
    <n v="140289"/>
    <s v="Low"/>
    <x v="6"/>
    <n v="58"/>
    <x v="0"/>
    <x v="0"/>
    <n v="3.87"/>
    <s v="Yes"/>
    <n v="4.37"/>
    <x v="0"/>
    <x v="0"/>
    <x v="1"/>
  </r>
  <r>
    <s v="AIJ-101167"/>
    <x v="10"/>
    <x v="5"/>
    <x v="0"/>
    <x v="3"/>
    <x v="17"/>
    <x v="76"/>
    <x v="76"/>
    <x v="2"/>
    <n v="187949"/>
    <s v="High"/>
    <x v="23"/>
    <n v="52"/>
    <x v="0"/>
    <x v="1"/>
    <n v="2.5"/>
    <s v="Yes"/>
    <n v="3.02"/>
    <x v="0"/>
    <x v="2"/>
    <x v="3"/>
  </r>
  <r>
    <s v="AIJ-101168"/>
    <x v="6"/>
    <x v="3"/>
    <x v="7"/>
    <x v="2"/>
    <x v="3"/>
    <x v="65"/>
    <x v="25"/>
    <x v="0"/>
    <n v="69567"/>
    <s v="High"/>
    <x v="35"/>
    <n v="51"/>
    <x v="0"/>
    <x v="2"/>
    <n v="3.9"/>
    <s v="No"/>
    <n v="3.95"/>
    <x v="0"/>
    <x v="2"/>
    <x v="2"/>
  </r>
  <r>
    <s v="AIJ-101169"/>
    <x v="8"/>
    <x v="8"/>
    <x v="8"/>
    <x v="0"/>
    <x v="21"/>
    <x v="44"/>
    <x v="31"/>
    <x v="1"/>
    <n v="55766"/>
    <s v="Medium"/>
    <x v="18"/>
    <n v="54"/>
    <x v="0"/>
    <x v="2"/>
    <n v="4.62"/>
    <s v="Yes"/>
    <n v="2.82"/>
    <x v="2"/>
    <x v="3"/>
    <x v="0"/>
  </r>
  <r>
    <s v="AIJ-101170"/>
    <x v="5"/>
    <x v="5"/>
    <x v="7"/>
    <x v="3"/>
    <x v="15"/>
    <x v="46"/>
    <x v="36"/>
    <x v="1"/>
    <n v="88695"/>
    <s v="Low"/>
    <x v="7"/>
    <n v="52"/>
    <x v="2"/>
    <x v="2"/>
    <n v="3.26"/>
    <s v="No"/>
    <n v="2.84"/>
    <x v="0"/>
    <x v="3"/>
    <x v="1"/>
  </r>
  <r>
    <s v="AIJ-101171"/>
    <x v="6"/>
    <x v="0"/>
    <x v="1"/>
    <x v="1"/>
    <x v="19"/>
    <x v="24"/>
    <x v="64"/>
    <x v="1"/>
    <n v="145935"/>
    <s v="Medium"/>
    <x v="30"/>
    <n v="50"/>
    <x v="1"/>
    <x v="0"/>
    <n v="4.53"/>
    <s v="No"/>
    <n v="2.76"/>
    <x v="2"/>
    <x v="3"/>
    <x v="2"/>
  </r>
  <r>
    <s v="AIJ-101172"/>
    <x v="5"/>
    <x v="1"/>
    <x v="6"/>
    <x v="2"/>
    <x v="16"/>
    <x v="50"/>
    <x v="0"/>
    <x v="1"/>
    <n v="165417"/>
    <s v="High"/>
    <x v="20"/>
    <n v="36"/>
    <x v="1"/>
    <x v="2"/>
    <n v="2.93"/>
    <s v="No"/>
    <n v="4.55"/>
    <x v="2"/>
    <x v="3"/>
    <x v="3"/>
  </r>
  <r>
    <s v="AIJ-101173"/>
    <x v="13"/>
    <x v="0"/>
    <x v="5"/>
    <x v="0"/>
    <x v="1"/>
    <x v="80"/>
    <x v="54"/>
    <x v="2"/>
    <n v="170444"/>
    <s v="High"/>
    <x v="13"/>
    <n v="53"/>
    <x v="1"/>
    <x v="0"/>
    <n v="3.92"/>
    <s v="No"/>
    <n v="3.47"/>
    <x v="0"/>
    <x v="1"/>
    <x v="1"/>
  </r>
  <r>
    <s v="AIJ-101174"/>
    <x v="14"/>
    <x v="5"/>
    <x v="6"/>
    <x v="3"/>
    <x v="12"/>
    <x v="71"/>
    <x v="30"/>
    <x v="1"/>
    <n v="123627"/>
    <s v="High"/>
    <x v="17"/>
    <n v="39"/>
    <x v="1"/>
    <x v="2"/>
    <n v="4.46"/>
    <s v="No"/>
    <n v="3.9"/>
    <x v="1"/>
    <x v="2"/>
    <x v="3"/>
  </r>
  <r>
    <s v="AIJ-101175"/>
    <x v="8"/>
    <x v="2"/>
    <x v="2"/>
    <x v="3"/>
    <x v="11"/>
    <x v="84"/>
    <x v="67"/>
    <x v="1"/>
    <n v="160707"/>
    <s v="Medium"/>
    <x v="40"/>
    <n v="52"/>
    <x v="1"/>
    <x v="0"/>
    <n v="4.7300000000000004"/>
    <s v="Yes"/>
    <n v="3.65"/>
    <x v="2"/>
    <x v="2"/>
    <x v="1"/>
  </r>
  <r>
    <s v="AIJ-101176"/>
    <x v="1"/>
    <x v="5"/>
    <x v="5"/>
    <x v="3"/>
    <x v="4"/>
    <x v="23"/>
    <x v="66"/>
    <x v="0"/>
    <n v="53259"/>
    <s v="Low"/>
    <x v="29"/>
    <n v="35"/>
    <x v="2"/>
    <x v="2"/>
    <n v="3.13"/>
    <s v="No"/>
    <n v="1.28"/>
    <x v="1"/>
    <x v="2"/>
    <x v="1"/>
  </r>
  <r>
    <s v="AIJ-101177"/>
    <x v="7"/>
    <x v="1"/>
    <x v="7"/>
    <x v="0"/>
    <x v="25"/>
    <x v="86"/>
    <x v="9"/>
    <x v="1"/>
    <n v="84343"/>
    <s v="Medium"/>
    <x v="42"/>
    <n v="53"/>
    <x v="1"/>
    <x v="1"/>
    <n v="4.2300000000000004"/>
    <s v="No"/>
    <n v="3.18"/>
    <x v="0"/>
    <x v="3"/>
    <x v="1"/>
  </r>
  <r>
    <s v="AIJ-101178"/>
    <x v="19"/>
    <x v="8"/>
    <x v="1"/>
    <x v="2"/>
    <x v="7"/>
    <x v="8"/>
    <x v="47"/>
    <x v="2"/>
    <n v="118256"/>
    <s v="Low"/>
    <x v="16"/>
    <n v="48"/>
    <x v="0"/>
    <x v="2"/>
    <n v="3.94"/>
    <s v="No"/>
    <n v="4.5599999999999996"/>
    <x v="2"/>
    <x v="3"/>
    <x v="1"/>
  </r>
  <r>
    <s v="AIJ-101179"/>
    <x v="5"/>
    <x v="5"/>
    <x v="4"/>
    <x v="0"/>
    <x v="9"/>
    <x v="29"/>
    <x v="11"/>
    <x v="1"/>
    <n v="184874"/>
    <s v="Medium"/>
    <x v="14"/>
    <n v="53"/>
    <x v="1"/>
    <x v="0"/>
    <n v="4.43"/>
    <s v="Yes"/>
    <n v="3.14"/>
    <x v="1"/>
    <x v="2"/>
    <x v="1"/>
  </r>
  <r>
    <s v="AIJ-101180"/>
    <x v="2"/>
    <x v="3"/>
    <x v="7"/>
    <x v="1"/>
    <x v="19"/>
    <x v="35"/>
    <x v="30"/>
    <x v="2"/>
    <n v="37751"/>
    <s v="Low"/>
    <x v="27"/>
    <n v="42"/>
    <x v="2"/>
    <x v="1"/>
    <n v="2.37"/>
    <s v="No"/>
    <n v="4.96"/>
    <x v="1"/>
    <x v="2"/>
    <x v="2"/>
  </r>
  <r>
    <s v="AIJ-101181"/>
    <x v="17"/>
    <x v="8"/>
    <x v="1"/>
    <x v="1"/>
    <x v="14"/>
    <x v="56"/>
    <x v="40"/>
    <x v="2"/>
    <n v="38407"/>
    <s v="High"/>
    <x v="20"/>
    <n v="31"/>
    <x v="1"/>
    <x v="2"/>
    <n v="4.18"/>
    <s v="No"/>
    <n v="3.21"/>
    <x v="1"/>
    <x v="1"/>
    <x v="2"/>
  </r>
  <r>
    <s v="AIJ-101182"/>
    <x v="7"/>
    <x v="1"/>
    <x v="7"/>
    <x v="2"/>
    <x v="14"/>
    <x v="84"/>
    <x v="15"/>
    <x v="1"/>
    <n v="196635"/>
    <s v="Low"/>
    <x v="32"/>
    <n v="35"/>
    <x v="1"/>
    <x v="2"/>
    <n v="4.33"/>
    <s v="No"/>
    <n v="1.25"/>
    <x v="1"/>
    <x v="2"/>
    <x v="2"/>
  </r>
  <r>
    <s v="AIJ-101183"/>
    <x v="15"/>
    <x v="2"/>
    <x v="3"/>
    <x v="1"/>
    <x v="5"/>
    <x v="13"/>
    <x v="29"/>
    <x v="0"/>
    <n v="174070"/>
    <s v="Low"/>
    <x v="12"/>
    <n v="48"/>
    <x v="2"/>
    <x v="0"/>
    <n v="4.71"/>
    <s v="No"/>
    <n v="4.57"/>
    <x v="0"/>
    <x v="2"/>
    <x v="3"/>
  </r>
  <r>
    <s v="AIJ-101184"/>
    <x v="3"/>
    <x v="1"/>
    <x v="0"/>
    <x v="2"/>
    <x v="21"/>
    <x v="81"/>
    <x v="71"/>
    <x v="0"/>
    <n v="98867"/>
    <s v="High"/>
    <x v="31"/>
    <n v="30"/>
    <x v="1"/>
    <x v="0"/>
    <n v="4.4000000000000004"/>
    <s v="No"/>
    <n v="1.25"/>
    <x v="0"/>
    <x v="3"/>
    <x v="0"/>
  </r>
  <r>
    <s v="AIJ-101185"/>
    <x v="0"/>
    <x v="5"/>
    <x v="4"/>
    <x v="2"/>
    <x v="16"/>
    <x v="18"/>
    <x v="67"/>
    <x v="1"/>
    <n v="77334"/>
    <s v="Low"/>
    <x v="29"/>
    <n v="32"/>
    <x v="2"/>
    <x v="1"/>
    <n v="2.83"/>
    <s v="Yes"/>
    <n v="2.5"/>
    <x v="1"/>
    <x v="3"/>
    <x v="3"/>
  </r>
  <r>
    <s v="AIJ-101186"/>
    <x v="8"/>
    <x v="5"/>
    <x v="3"/>
    <x v="3"/>
    <x v="8"/>
    <x v="31"/>
    <x v="31"/>
    <x v="0"/>
    <n v="150058"/>
    <s v="Low"/>
    <x v="10"/>
    <n v="52"/>
    <x v="1"/>
    <x v="1"/>
    <n v="2.04"/>
    <s v="No"/>
    <n v="2.14"/>
    <x v="1"/>
    <x v="0"/>
    <x v="2"/>
  </r>
  <r>
    <s v="AIJ-101187"/>
    <x v="10"/>
    <x v="6"/>
    <x v="2"/>
    <x v="0"/>
    <x v="20"/>
    <x v="29"/>
    <x v="56"/>
    <x v="0"/>
    <n v="161608"/>
    <s v="Medium"/>
    <x v="0"/>
    <n v="48"/>
    <x v="1"/>
    <x v="1"/>
    <n v="2.2799999999999998"/>
    <s v="Yes"/>
    <n v="2"/>
    <x v="1"/>
    <x v="3"/>
    <x v="2"/>
  </r>
  <r>
    <s v="AIJ-101188"/>
    <x v="0"/>
    <x v="9"/>
    <x v="2"/>
    <x v="2"/>
    <x v="15"/>
    <x v="45"/>
    <x v="64"/>
    <x v="2"/>
    <n v="50346"/>
    <s v="Medium"/>
    <x v="48"/>
    <n v="46"/>
    <x v="2"/>
    <x v="1"/>
    <n v="2.9"/>
    <s v="No"/>
    <n v="4.04"/>
    <x v="2"/>
    <x v="0"/>
    <x v="1"/>
  </r>
  <r>
    <s v="AIJ-101189"/>
    <x v="3"/>
    <x v="7"/>
    <x v="6"/>
    <x v="1"/>
    <x v="25"/>
    <x v="9"/>
    <x v="33"/>
    <x v="2"/>
    <n v="219133"/>
    <s v="Low"/>
    <x v="53"/>
    <n v="42"/>
    <x v="1"/>
    <x v="2"/>
    <n v="2.5499999999999998"/>
    <s v="Yes"/>
    <n v="1.74"/>
    <x v="0"/>
    <x v="2"/>
    <x v="1"/>
  </r>
  <r>
    <s v="AIJ-101190"/>
    <x v="7"/>
    <x v="8"/>
    <x v="8"/>
    <x v="0"/>
    <x v="12"/>
    <x v="79"/>
    <x v="23"/>
    <x v="1"/>
    <n v="55123"/>
    <s v="Low"/>
    <x v="47"/>
    <n v="40"/>
    <x v="1"/>
    <x v="1"/>
    <n v="2.96"/>
    <s v="Yes"/>
    <n v="1.08"/>
    <x v="1"/>
    <x v="0"/>
    <x v="3"/>
  </r>
  <r>
    <s v="AIJ-101191"/>
    <x v="6"/>
    <x v="3"/>
    <x v="1"/>
    <x v="1"/>
    <x v="2"/>
    <x v="39"/>
    <x v="21"/>
    <x v="0"/>
    <n v="113759"/>
    <s v="Low"/>
    <x v="49"/>
    <n v="42"/>
    <x v="1"/>
    <x v="0"/>
    <n v="2.08"/>
    <s v="Yes"/>
    <n v="4.4000000000000004"/>
    <x v="2"/>
    <x v="2"/>
    <x v="1"/>
  </r>
  <r>
    <s v="AIJ-101192"/>
    <x v="4"/>
    <x v="7"/>
    <x v="1"/>
    <x v="0"/>
    <x v="19"/>
    <x v="76"/>
    <x v="70"/>
    <x v="0"/>
    <n v="198228"/>
    <s v="Low"/>
    <x v="7"/>
    <n v="53"/>
    <x v="0"/>
    <x v="1"/>
    <n v="3.01"/>
    <s v="No"/>
    <n v="3.72"/>
    <x v="1"/>
    <x v="2"/>
    <x v="2"/>
  </r>
  <r>
    <s v="AIJ-101193"/>
    <x v="11"/>
    <x v="9"/>
    <x v="7"/>
    <x v="2"/>
    <x v="3"/>
    <x v="74"/>
    <x v="53"/>
    <x v="1"/>
    <n v="108105"/>
    <s v="High"/>
    <x v="5"/>
    <n v="43"/>
    <x v="2"/>
    <x v="2"/>
    <n v="2.8"/>
    <s v="Yes"/>
    <n v="3.92"/>
    <x v="0"/>
    <x v="3"/>
    <x v="2"/>
  </r>
  <r>
    <s v="AIJ-101194"/>
    <x v="5"/>
    <x v="3"/>
    <x v="9"/>
    <x v="3"/>
    <x v="3"/>
    <x v="21"/>
    <x v="36"/>
    <x v="2"/>
    <n v="93570"/>
    <s v="Medium"/>
    <x v="34"/>
    <n v="37"/>
    <x v="2"/>
    <x v="1"/>
    <n v="4.5"/>
    <s v="Yes"/>
    <n v="2.34"/>
    <x v="2"/>
    <x v="3"/>
    <x v="2"/>
  </r>
  <r>
    <s v="AIJ-101195"/>
    <x v="4"/>
    <x v="7"/>
    <x v="4"/>
    <x v="2"/>
    <x v="15"/>
    <x v="3"/>
    <x v="43"/>
    <x v="1"/>
    <n v="132258"/>
    <s v="Medium"/>
    <x v="33"/>
    <n v="33"/>
    <x v="2"/>
    <x v="1"/>
    <n v="4.3499999999999996"/>
    <s v="No"/>
    <n v="1.88"/>
    <x v="1"/>
    <x v="0"/>
    <x v="1"/>
  </r>
  <r>
    <s v="AIJ-101196"/>
    <x v="1"/>
    <x v="2"/>
    <x v="5"/>
    <x v="1"/>
    <x v="13"/>
    <x v="28"/>
    <x v="25"/>
    <x v="2"/>
    <n v="218659"/>
    <s v="High"/>
    <x v="38"/>
    <n v="52"/>
    <x v="2"/>
    <x v="2"/>
    <n v="4.29"/>
    <s v="No"/>
    <n v="3.99"/>
    <x v="2"/>
    <x v="2"/>
    <x v="1"/>
  </r>
  <r>
    <s v="AIJ-101197"/>
    <x v="3"/>
    <x v="8"/>
    <x v="3"/>
    <x v="0"/>
    <x v="8"/>
    <x v="75"/>
    <x v="63"/>
    <x v="2"/>
    <n v="154471"/>
    <s v="High"/>
    <x v="24"/>
    <n v="59"/>
    <x v="1"/>
    <x v="1"/>
    <n v="2.81"/>
    <s v="No"/>
    <n v="2.64"/>
    <x v="1"/>
    <x v="3"/>
    <x v="2"/>
  </r>
  <r>
    <s v="AIJ-101198"/>
    <x v="12"/>
    <x v="3"/>
    <x v="4"/>
    <x v="2"/>
    <x v="12"/>
    <x v="78"/>
    <x v="72"/>
    <x v="0"/>
    <n v="178244"/>
    <s v="Medium"/>
    <x v="10"/>
    <n v="37"/>
    <x v="0"/>
    <x v="0"/>
    <n v="2.25"/>
    <s v="No"/>
    <n v="4.59"/>
    <x v="0"/>
    <x v="1"/>
    <x v="3"/>
  </r>
  <r>
    <s v="AIJ-101199"/>
    <x v="17"/>
    <x v="4"/>
    <x v="8"/>
    <x v="0"/>
    <x v="25"/>
    <x v="86"/>
    <x v="56"/>
    <x v="0"/>
    <n v="154252"/>
    <s v="Low"/>
    <x v="47"/>
    <n v="38"/>
    <x v="0"/>
    <x v="0"/>
    <n v="3.27"/>
    <s v="No"/>
    <n v="4.84"/>
    <x v="0"/>
    <x v="0"/>
    <x v="1"/>
  </r>
  <r>
    <s v="AIJ-101200"/>
    <x v="17"/>
    <x v="0"/>
    <x v="6"/>
    <x v="0"/>
    <x v="9"/>
    <x v="78"/>
    <x v="12"/>
    <x v="0"/>
    <n v="60887"/>
    <s v="High"/>
    <x v="45"/>
    <n v="39"/>
    <x v="2"/>
    <x v="1"/>
    <n v="2.5499999999999998"/>
    <s v="No"/>
    <n v="4.3499999999999996"/>
    <x v="0"/>
    <x v="2"/>
    <x v="1"/>
  </r>
  <r>
    <s v="AIJ-101201"/>
    <x v="11"/>
    <x v="0"/>
    <x v="3"/>
    <x v="1"/>
    <x v="24"/>
    <x v="74"/>
    <x v="4"/>
    <x v="2"/>
    <n v="80136"/>
    <s v="High"/>
    <x v="48"/>
    <n v="58"/>
    <x v="2"/>
    <x v="2"/>
    <n v="2.65"/>
    <s v="No"/>
    <n v="3.02"/>
    <x v="0"/>
    <x v="3"/>
    <x v="1"/>
  </r>
  <r>
    <s v="AIJ-101202"/>
    <x v="2"/>
    <x v="9"/>
    <x v="2"/>
    <x v="0"/>
    <x v="18"/>
    <x v="29"/>
    <x v="34"/>
    <x v="2"/>
    <n v="106580"/>
    <s v="Low"/>
    <x v="27"/>
    <n v="51"/>
    <x v="0"/>
    <x v="2"/>
    <n v="2.66"/>
    <s v="Yes"/>
    <n v="3.4"/>
    <x v="2"/>
    <x v="2"/>
    <x v="3"/>
  </r>
  <r>
    <s v="AIJ-101203"/>
    <x v="9"/>
    <x v="4"/>
    <x v="4"/>
    <x v="3"/>
    <x v="24"/>
    <x v="42"/>
    <x v="53"/>
    <x v="2"/>
    <n v="37219"/>
    <s v="Low"/>
    <x v="23"/>
    <n v="54"/>
    <x v="1"/>
    <x v="2"/>
    <n v="2.68"/>
    <s v="No"/>
    <n v="4.8899999999999997"/>
    <x v="2"/>
    <x v="0"/>
    <x v="1"/>
  </r>
  <r>
    <s v="AIJ-101204"/>
    <x v="0"/>
    <x v="1"/>
    <x v="2"/>
    <x v="2"/>
    <x v="6"/>
    <x v="71"/>
    <x v="40"/>
    <x v="1"/>
    <n v="177679"/>
    <s v="Medium"/>
    <x v="44"/>
    <n v="36"/>
    <x v="1"/>
    <x v="2"/>
    <n v="4.9800000000000004"/>
    <s v="Yes"/>
    <n v="1.41"/>
    <x v="2"/>
    <x v="1"/>
    <x v="0"/>
  </r>
  <r>
    <s v="AIJ-101205"/>
    <x v="17"/>
    <x v="5"/>
    <x v="9"/>
    <x v="0"/>
    <x v="12"/>
    <x v="9"/>
    <x v="19"/>
    <x v="0"/>
    <n v="40132"/>
    <s v="Medium"/>
    <x v="20"/>
    <n v="31"/>
    <x v="0"/>
    <x v="2"/>
    <n v="4.63"/>
    <s v="Yes"/>
    <n v="1.99"/>
    <x v="2"/>
    <x v="3"/>
    <x v="3"/>
  </r>
  <r>
    <s v="AIJ-101206"/>
    <x v="10"/>
    <x v="2"/>
    <x v="5"/>
    <x v="1"/>
    <x v="6"/>
    <x v="38"/>
    <x v="18"/>
    <x v="1"/>
    <n v="70877"/>
    <s v="Low"/>
    <x v="38"/>
    <n v="45"/>
    <x v="0"/>
    <x v="0"/>
    <n v="2.29"/>
    <s v="Yes"/>
    <n v="1.82"/>
    <x v="0"/>
    <x v="3"/>
    <x v="0"/>
  </r>
  <r>
    <s v="AIJ-101207"/>
    <x v="9"/>
    <x v="2"/>
    <x v="1"/>
    <x v="2"/>
    <x v="11"/>
    <x v="80"/>
    <x v="55"/>
    <x v="2"/>
    <n v="159895"/>
    <s v="Medium"/>
    <x v="11"/>
    <n v="56"/>
    <x v="1"/>
    <x v="2"/>
    <n v="2.91"/>
    <s v="No"/>
    <n v="3.68"/>
    <x v="2"/>
    <x v="3"/>
    <x v="1"/>
  </r>
  <r>
    <s v="AIJ-101208"/>
    <x v="7"/>
    <x v="7"/>
    <x v="1"/>
    <x v="0"/>
    <x v="25"/>
    <x v="73"/>
    <x v="46"/>
    <x v="0"/>
    <n v="150422"/>
    <s v="High"/>
    <x v="0"/>
    <n v="43"/>
    <x v="2"/>
    <x v="0"/>
    <n v="3.11"/>
    <s v="No"/>
    <n v="2.1800000000000002"/>
    <x v="1"/>
    <x v="0"/>
    <x v="1"/>
  </r>
  <r>
    <s v="AIJ-101209"/>
    <x v="9"/>
    <x v="4"/>
    <x v="2"/>
    <x v="3"/>
    <x v="3"/>
    <x v="28"/>
    <x v="35"/>
    <x v="0"/>
    <n v="191131"/>
    <s v="High"/>
    <x v="25"/>
    <n v="33"/>
    <x v="2"/>
    <x v="1"/>
    <n v="4.63"/>
    <s v="Yes"/>
    <n v="3.84"/>
    <x v="2"/>
    <x v="2"/>
    <x v="2"/>
  </r>
  <r>
    <s v="AIJ-101210"/>
    <x v="15"/>
    <x v="0"/>
    <x v="7"/>
    <x v="3"/>
    <x v="17"/>
    <x v="37"/>
    <x v="22"/>
    <x v="1"/>
    <n v="78639"/>
    <s v="Low"/>
    <x v="31"/>
    <n v="35"/>
    <x v="0"/>
    <x v="1"/>
    <n v="4.22"/>
    <s v="Yes"/>
    <n v="1.01"/>
    <x v="0"/>
    <x v="3"/>
    <x v="3"/>
  </r>
  <r>
    <s v="AIJ-101211"/>
    <x v="11"/>
    <x v="1"/>
    <x v="9"/>
    <x v="3"/>
    <x v="12"/>
    <x v="30"/>
    <x v="10"/>
    <x v="1"/>
    <n v="214755"/>
    <s v="High"/>
    <x v="46"/>
    <n v="46"/>
    <x v="0"/>
    <x v="0"/>
    <n v="2.66"/>
    <s v="Yes"/>
    <n v="1.1200000000000001"/>
    <x v="2"/>
    <x v="3"/>
    <x v="3"/>
  </r>
  <r>
    <s v="AIJ-101212"/>
    <x v="7"/>
    <x v="8"/>
    <x v="1"/>
    <x v="0"/>
    <x v="4"/>
    <x v="20"/>
    <x v="7"/>
    <x v="2"/>
    <n v="162347"/>
    <s v="Low"/>
    <x v="4"/>
    <n v="34"/>
    <x v="2"/>
    <x v="1"/>
    <n v="2.4"/>
    <s v="No"/>
    <n v="2.62"/>
    <x v="2"/>
    <x v="3"/>
    <x v="1"/>
  </r>
  <r>
    <s v="AIJ-101213"/>
    <x v="5"/>
    <x v="0"/>
    <x v="4"/>
    <x v="2"/>
    <x v="5"/>
    <x v="12"/>
    <x v="78"/>
    <x v="2"/>
    <n v="201418"/>
    <s v="High"/>
    <x v="27"/>
    <n v="57"/>
    <x v="1"/>
    <x v="1"/>
    <n v="2.12"/>
    <s v="No"/>
    <n v="4.1100000000000003"/>
    <x v="2"/>
    <x v="3"/>
    <x v="3"/>
  </r>
  <r>
    <s v="AIJ-101214"/>
    <x v="9"/>
    <x v="9"/>
    <x v="1"/>
    <x v="1"/>
    <x v="21"/>
    <x v="18"/>
    <x v="11"/>
    <x v="1"/>
    <n v="101288"/>
    <s v="Medium"/>
    <x v="43"/>
    <n v="36"/>
    <x v="0"/>
    <x v="0"/>
    <n v="2.33"/>
    <s v="No"/>
    <n v="4.4800000000000004"/>
    <x v="0"/>
    <x v="2"/>
    <x v="0"/>
  </r>
  <r>
    <s v="AIJ-101215"/>
    <x v="7"/>
    <x v="6"/>
    <x v="9"/>
    <x v="3"/>
    <x v="10"/>
    <x v="66"/>
    <x v="74"/>
    <x v="1"/>
    <n v="70638"/>
    <s v="Low"/>
    <x v="28"/>
    <n v="36"/>
    <x v="2"/>
    <x v="0"/>
    <n v="3.77"/>
    <s v="No"/>
    <n v="1.1299999999999999"/>
    <x v="1"/>
    <x v="3"/>
    <x v="3"/>
  </r>
  <r>
    <s v="AIJ-101216"/>
    <x v="9"/>
    <x v="0"/>
    <x v="4"/>
    <x v="3"/>
    <x v="2"/>
    <x v="88"/>
    <x v="26"/>
    <x v="0"/>
    <n v="127786"/>
    <s v="Medium"/>
    <x v="9"/>
    <n v="40"/>
    <x v="2"/>
    <x v="2"/>
    <n v="2.4900000000000002"/>
    <s v="Yes"/>
    <n v="4.6900000000000004"/>
    <x v="2"/>
    <x v="2"/>
    <x v="1"/>
  </r>
  <r>
    <s v="AIJ-101217"/>
    <x v="19"/>
    <x v="8"/>
    <x v="9"/>
    <x v="2"/>
    <x v="6"/>
    <x v="88"/>
    <x v="9"/>
    <x v="0"/>
    <n v="92983"/>
    <s v="Medium"/>
    <x v="47"/>
    <n v="49"/>
    <x v="2"/>
    <x v="0"/>
    <n v="4.83"/>
    <s v="Yes"/>
    <n v="2.21"/>
    <x v="0"/>
    <x v="2"/>
    <x v="0"/>
  </r>
  <r>
    <s v="AIJ-101218"/>
    <x v="13"/>
    <x v="1"/>
    <x v="1"/>
    <x v="2"/>
    <x v="3"/>
    <x v="3"/>
    <x v="9"/>
    <x v="0"/>
    <n v="137476"/>
    <s v="High"/>
    <x v="5"/>
    <n v="51"/>
    <x v="0"/>
    <x v="0"/>
    <n v="2.67"/>
    <s v="No"/>
    <n v="1.89"/>
    <x v="1"/>
    <x v="3"/>
    <x v="2"/>
  </r>
  <r>
    <s v="AIJ-101219"/>
    <x v="6"/>
    <x v="3"/>
    <x v="3"/>
    <x v="3"/>
    <x v="20"/>
    <x v="90"/>
    <x v="62"/>
    <x v="2"/>
    <n v="55518"/>
    <s v="Medium"/>
    <x v="44"/>
    <n v="48"/>
    <x v="1"/>
    <x v="1"/>
    <n v="4.4400000000000004"/>
    <s v="No"/>
    <n v="4.83"/>
    <x v="1"/>
    <x v="2"/>
    <x v="2"/>
  </r>
  <r>
    <s v="AIJ-101220"/>
    <x v="11"/>
    <x v="4"/>
    <x v="0"/>
    <x v="2"/>
    <x v="25"/>
    <x v="7"/>
    <x v="48"/>
    <x v="1"/>
    <n v="139865"/>
    <s v="Medium"/>
    <x v="25"/>
    <n v="46"/>
    <x v="0"/>
    <x v="0"/>
    <n v="3.29"/>
    <s v="No"/>
    <n v="1.27"/>
    <x v="2"/>
    <x v="1"/>
    <x v="1"/>
  </r>
  <r>
    <s v="AIJ-101221"/>
    <x v="3"/>
    <x v="4"/>
    <x v="5"/>
    <x v="1"/>
    <x v="18"/>
    <x v="1"/>
    <x v="7"/>
    <x v="1"/>
    <n v="41332"/>
    <s v="Low"/>
    <x v="29"/>
    <n v="43"/>
    <x v="0"/>
    <x v="0"/>
    <n v="2.21"/>
    <s v="Yes"/>
    <n v="1.56"/>
    <x v="2"/>
    <x v="1"/>
    <x v="3"/>
  </r>
  <r>
    <s v="AIJ-101222"/>
    <x v="4"/>
    <x v="3"/>
    <x v="7"/>
    <x v="3"/>
    <x v="14"/>
    <x v="21"/>
    <x v="25"/>
    <x v="1"/>
    <n v="190898"/>
    <s v="Medium"/>
    <x v="45"/>
    <n v="56"/>
    <x v="2"/>
    <x v="2"/>
    <n v="2.97"/>
    <s v="Yes"/>
    <n v="3.13"/>
    <x v="0"/>
    <x v="3"/>
    <x v="2"/>
  </r>
  <r>
    <s v="AIJ-101223"/>
    <x v="5"/>
    <x v="0"/>
    <x v="3"/>
    <x v="1"/>
    <x v="16"/>
    <x v="20"/>
    <x v="61"/>
    <x v="0"/>
    <n v="38364"/>
    <s v="High"/>
    <x v="30"/>
    <n v="40"/>
    <x v="1"/>
    <x v="1"/>
    <n v="3.8"/>
    <s v="No"/>
    <n v="3.14"/>
    <x v="1"/>
    <x v="3"/>
    <x v="3"/>
  </r>
  <r>
    <s v="AIJ-101224"/>
    <x v="5"/>
    <x v="8"/>
    <x v="5"/>
    <x v="0"/>
    <x v="0"/>
    <x v="61"/>
    <x v="34"/>
    <x v="0"/>
    <n v="72507"/>
    <s v="Low"/>
    <x v="29"/>
    <n v="51"/>
    <x v="1"/>
    <x v="0"/>
    <n v="4.38"/>
    <s v="No"/>
    <n v="2.44"/>
    <x v="2"/>
    <x v="2"/>
    <x v="0"/>
  </r>
  <r>
    <s v="AIJ-101225"/>
    <x v="11"/>
    <x v="4"/>
    <x v="7"/>
    <x v="1"/>
    <x v="25"/>
    <x v="0"/>
    <x v="40"/>
    <x v="2"/>
    <n v="66653"/>
    <s v="High"/>
    <x v="1"/>
    <n v="44"/>
    <x v="1"/>
    <x v="2"/>
    <n v="3.46"/>
    <s v="Yes"/>
    <n v="3.4"/>
    <x v="2"/>
    <x v="3"/>
    <x v="1"/>
  </r>
  <r>
    <s v="AIJ-101226"/>
    <x v="9"/>
    <x v="7"/>
    <x v="4"/>
    <x v="1"/>
    <x v="5"/>
    <x v="30"/>
    <x v="19"/>
    <x v="1"/>
    <n v="76355"/>
    <s v="High"/>
    <x v="0"/>
    <n v="45"/>
    <x v="1"/>
    <x v="1"/>
    <n v="2.66"/>
    <s v="Yes"/>
    <n v="4.28"/>
    <x v="2"/>
    <x v="3"/>
    <x v="3"/>
  </r>
  <r>
    <s v="AIJ-101227"/>
    <x v="19"/>
    <x v="8"/>
    <x v="1"/>
    <x v="2"/>
    <x v="12"/>
    <x v="12"/>
    <x v="58"/>
    <x v="0"/>
    <n v="123924"/>
    <s v="High"/>
    <x v="22"/>
    <n v="31"/>
    <x v="1"/>
    <x v="0"/>
    <n v="2.72"/>
    <s v="Yes"/>
    <n v="1.85"/>
    <x v="0"/>
    <x v="3"/>
    <x v="3"/>
  </r>
  <r>
    <s v="AIJ-101228"/>
    <x v="4"/>
    <x v="3"/>
    <x v="5"/>
    <x v="0"/>
    <x v="19"/>
    <x v="4"/>
    <x v="11"/>
    <x v="1"/>
    <n v="35682"/>
    <s v="Low"/>
    <x v="42"/>
    <n v="56"/>
    <x v="2"/>
    <x v="1"/>
    <n v="4.1500000000000004"/>
    <s v="No"/>
    <n v="3.8"/>
    <x v="2"/>
    <x v="3"/>
    <x v="2"/>
  </r>
  <r>
    <s v="AIJ-101229"/>
    <x v="6"/>
    <x v="6"/>
    <x v="6"/>
    <x v="3"/>
    <x v="24"/>
    <x v="76"/>
    <x v="2"/>
    <x v="0"/>
    <n v="67388"/>
    <s v="Low"/>
    <x v="26"/>
    <n v="37"/>
    <x v="1"/>
    <x v="1"/>
    <n v="3.95"/>
    <s v="No"/>
    <n v="2.86"/>
    <x v="0"/>
    <x v="3"/>
    <x v="1"/>
  </r>
  <r>
    <s v="AIJ-101230"/>
    <x v="13"/>
    <x v="6"/>
    <x v="2"/>
    <x v="3"/>
    <x v="1"/>
    <x v="15"/>
    <x v="0"/>
    <x v="1"/>
    <n v="94241"/>
    <s v="Low"/>
    <x v="50"/>
    <n v="49"/>
    <x v="0"/>
    <x v="2"/>
    <n v="4.76"/>
    <s v="No"/>
    <n v="4.9000000000000004"/>
    <x v="1"/>
    <x v="0"/>
    <x v="1"/>
  </r>
  <r>
    <s v="AIJ-101231"/>
    <x v="3"/>
    <x v="8"/>
    <x v="8"/>
    <x v="1"/>
    <x v="13"/>
    <x v="30"/>
    <x v="36"/>
    <x v="0"/>
    <n v="139599"/>
    <s v="High"/>
    <x v="54"/>
    <n v="40"/>
    <x v="2"/>
    <x v="0"/>
    <n v="2.16"/>
    <s v="Yes"/>
    <n v="4.1900000000000004"/>
    <x v="0"/>
    <x v="3"/>
    <x v="1"/>
  </r>
  <r>
    <s v="AIJ-101232"/>
    <x v="0"/>
    <x v="9"/>
    <x v="8"/>
    <x v="0"/>
    <x v="4"/>
    <x v="4"/>
    <x v="26"/>
    <x v="1"/>
    <n v="155425"/>
    <s v="High"/>
    <x v="15"/>
    <n v="36"/>
    <x v="2"/>
    <x v="2"/>
    <n v="2.41"/>
    <s v="Yes"/>
    <n v="3.74"/>
    <x v="2"/>
    <x v="3"/>
    <x v="1"/>
  </r>
  <r>
    <s v="AIJ-101233"/>
    <x v="8"/>
    <x v="7"/>
    <x v="7"/>
    <x v="1"/>
    <x v="10"/>
    <x v="67"/>
    <x v="57"/>
    <x v="0"/>
    <n v="199639"/>
    <s v="Low"/>
    <x v="46"/>
    <n v="57"/>
    <x v="1"/>
    <x v="0"/>
    <n v="2.93"/>
    <s v="Yes"/>
    <n v="1.1599999999999999"/>
    <x v="0"/>
    <x v="3"/>
    <x v="3"/>
  </r>
  <r>
    <s v="AIJ-101234"/>
    <x v="17"/>
    <x v="2"/>
    <x v="2"/>
    <x v="1"/>
    <x v="22"/>
    <x v="1"/>
    <x v="12"/>
    <x v="1"/>
    <n v="212685"/>
    <s v="Medium"/>
    <x v="41"/>
    <n v="49"/>
    <x v="0"/>
    <x v="0"/>
    <n v="3.51"/>
    <s v="No"/>
    <n v="2.52"/>
    <x v="2"/>
    <x v="2"/>
    <x v="2"/>
  </r>
  <r>
    <s v="AIJ-101235"/>
    <x v="12"/>
    <x v="4"/>
    <x v="5"/>
    <x v="2"/>
    <x v="23"/>
    <x v="9"/>
    <x v="54"/>
    <x v="0"/>
    <n v="209047"/>
    <s v="High"/>
    <x v="36"/>
    <n v="31"/>
    <x v="1"/>
    <x v="2"/>
    <n v="4.34"/>
    <s v="Yes"/>
    <n v="4.26"/>
    <x v="1"/>
    <x v="2"/>
    <x v="3"/>
  </r>
  <r>
    <s v="AIJ-101236"/>
    <x v="18"/>
    <x v="0"/>
    <x v="1"/>
    <x v="0"/>
    <x v="3"/>
    <x v="81"/>
    <x v="5"/>
    <x v="1"/>
    <n v="87757"/>
    <s v="Medium"/>
    <x v="41"/>
    <n v="37"/>
    <x v="1"/>
    <x v="1"/>
    <n v="4.8499999999999996"/>
    <s v="No"/>
    <n v="3.69"/>
    <x v="1"/>
    <x v="3"/>
    <x v="2"/>
  </r>
  <r>
    <s v="AIJ-101237"/>
    <x v="5"/>
    <x v="3"/>
    <x v="6"/>
    <x v="3"/>
    <x v="19"/>
    <x v="15"/>
    <x v="20"/>
    <x v="0"/>
    <n v="73171"/>
    <s v="Medium"/>
    <x v="27"/>
    <n v="50"/>
    <x v="1"/>
    <x v="1"/>
    <n v="2.02"/>
    <s v="No"/>
    <n v="3.31"/>
    <x v="0"/>
    <x v="3"/>
    <x v="2"/>
  </r>
  <r>
    <s v="AIJ-101238"/>
    <x v="17"/>
    <x v="9"/>
    <x v="7"/>
    <x v="0"/>
    <x v="3"/>
    <x v="55"/>
    <x v="29"/>
    <x v="2"/>
    <n v="140546"/>
    <s v="Low"/>
    <x v="26"/>
    <n v="40"/>
    <x v="0"/>
    <x v="2"/>
    <n v="3.84"/>
    <s v="Yes"/>
    <n v="2.0299999999999998"/>
    <x v="1"/>
    <x v="1"/>
    <x v="2"/>
  </r>
  <r>
    <s v="AIJ-101239"/>
    <x v="19"/>
    <x v="8"/>
    <x v="1"/>
    <x v="1"/>
    <x v="16"/>
    <x v="81"/>
    <x v="31"/>
    <x v="1"/>
    <n v="127320"/>
    <s v="Medium"/>
    <x v="24"/>
    <n v="57"/>
    <x v="0"/>
    <x v="0"/>
    <n v="4"/>
    <s v="Yes"/>
    <n v="2.15"/>
    <x v="1"/>
    <x v="3"/>
    <x v="3"/>
  </r>
  <r>
    <s v="AIJ-101240"/>
    <x v="19"/>
    <x v="2"/>
    <x v="4"/>
    <x v="1"/>
    <x v="6"/>
    <x v="15"/>
    <x v="69"/>
    <x v="1"/>
    <n v="150312"/>
    <s v="Medium"/>
    <x v="24"/>
    <n v="51"/>
    <x v="1"/>
    <x v="2"/>
    <n v="2.58"/>
    <s v="Yes"/>
    <n v="3.77"/>
    <x v="0"/>
    <x v="0"/>
    <x v="0"/>
  </r>
  <r>
    <s v="AIJ-101241"/>
    <x v="16"/>
    <x v="4"/>
    <x v="4"/>
    <x v="1"/>
    <x v="9"/>
    <x v="34"/>
    <x v="47"/>
    <x v="2"/>
    <n v="133658"/>
    <s v="Medium"/>
    <x v="9"/>
    <n v="30"/>
    <x v="1"/>
    <x v="2"/>
    <n v="4.97"/>
    <s v="Yes"/>
    <n v="1.1100000000000001"/>
    <x v="2"/>
    <x v="2"/>
    <x v="1"/>
  </r>
  <r>
    <s v="AIJ-101242"/>
    <x v="16"/>
    <x v="2"/>
    <x v="4"/>
    <x v="0"/>
    <x v="18"/>
    <x v="31"/>
    <x v="22"/>
    <x v="2"/>
    <n v="172380"/>
    <s v="High"/>
    <x v="52"/>
    <n v="30"/>
    <x v="0"/>
    <x v="2"/>
    <n v="4.82"/>
    <s v="No"/>
    <n v="3"/>
    <x v="0"/>
    <x v="0"/>
    <x v="3"/>
  </r>
  <r>
    <s v="AIJ-101243"/>
    <x v="11"/>
    <x v="1"/>
    <x v="7"/>
    <x v="1"/>
    <x v="21"/>
    <x v="80"/>
    <x v="32"/>
    <x v="2"/>
    <n v="96373"/>
    <s v="Medium"/>
    <x v="27"/>
    <n v="38"/>
    <x v="0"/>
    <x v="0"/>
    <n v="4.5"/>
    <s v="Yes"/>
    <n v="4.47"/>
    <x v="2"/>
    <x v="2"/>
    <x v="0"/>
  </r>
  <r>
    <s v="AIJ-101244"/>
    <x v="3"/>
    <x v="0"/>
    <x v="5"/>
    <x v="3"/>
    <x v="5"/>
    <x v="55"/>
    <x v="42"/>
    <x v="0"/>
    <n v="30239"/>
    <s v="Medium"/>
    <x v="41"/>
    <n v="55"/>
    <x v="0"/>
    <x v="0"/>
    <n v="4.07"/>
    <s v="Yes"/>
    <n v="3.16"/>
    <x v="2"/>
    <x v="3"/>
    <x v="3"/>
  </r>
  <r>
    <s v="AIJ-101245"/>
    <x v="10"/>
    <x v="1"/>
    <x v="4"/>
    <x v="2"/>
    <x v="17"/>
    <x v="31"/>
    <x v="11"/>
    <x v="1"/>
    <n v="103884"/>
    <s v="Medium"/>
    <x v="5"/>
    <n v="40"/>
    <x v="1"/>
    <x v="0"/>
    <n v="2.64"/>
    <s v="No"/>
    <n v="1.76"/>
    <x v="0"/>
    <x v="2"/>
    <x v="3"/>
  </r>
  <r>
    <s v="AIJ-101246"/>
    <x v="8"/>
    <x v="6"/>
    <x v="4"/>
    <x v="2"/>
    <x v="15"/>
    <x v="21"/>
    <x v="41"/>
    <x v="2"/>
    <n v="122343"/>
    <s v="Low"/>
    <x v="47"/>
    <n v="59"/>
    <x v="2"/>
    <x v="0"/>
    <n v="4.79"/>
    <s v="No"/>
    <n v="2.13"/>
    <x v="2"/>
    <x v="3"/>
    <x v="1"/>
  </r>
  <r>
    <s v="AIJ-101247"/>
    <x v="9"/>
    <x v="4"/>
    <x v="0"/>
    <x v="1"/>
    <x v="10"/>
    <x v="75"/>
    <x v="9"/>
    <x v="2"/>
    <n v="202243"/>
    <s v="Low"/>
    <x v="15"/>
    <n v="32"/>
    <x v="1"/>
    <x v="1"/>
    <n v="3.55"/>
    <s v="No"/>
    <n v="2.7"/>
    <x v="0"/>
    <x v="3"/>
    <x v="3"/>
  </r>
  <r>
    <s v="AIJ-101248"/>
    <x v="8"/>
    <x v="2"/>
    <x v="4"/>
    <x v="1"/>
    <x v="12"/>
    <x v="81"/>
    <x v="37"/>
    <x v="0"/>
    <n v="216858"/>
    <s v="Medium"/>
    <x v="10"/>
    <n v="31"/>
    <x v="0"/>
    <x v="1"/>
    <n v="4.59"/>
    <s v="No"/>
    <n v="4.88"/>
    <x v="0"/>
    <x v="3"/>
    <x v="3"/>
  </r>
  <r>
    <s v="AIJ-101249"/>
    <x v="14"/>
    <x v="7"/>
    <x v="3"/>
    <x v="1"/>
    <x v="13"/>
    <x v="51"/>
    <x v="11"/>
    <x v="1"/>
    <n v="121167"/>
    <s v="Low"/>
    <x v="49"/>
    <n v="60"/>
    <x v="1"/>
    <x v="2"/>
    <n v="3.74"/>
    <s v="Yes"/>
    <n v="2.13"/>
    <x v="1"/>
    <x v="2"/>
    <x v="1"/>
  </r>
  <r>
    <s v="AIJ-101250"/>
    <x v="1"/>
    <x v="5"/>
    <x v="6"/>
    <x v="0"/>
    <x v="12"/>
    <x v="21"/>
    <x v="39"/>
    <x v="2"/>
    <n v="47441"/>
    <s v="Medium"/>
    <x v="44"/>
    <n v="57"/>
    <x v="1"/>
    <x v="2"/>
    <n v="4.4400000000000004"/>
    <s v="Yes"/>
    <n v="1.03"/>
    <x v="0"/>
    <x v="3"/>
    <x v="3"/>
  </r>
  <r>
    <s v="AIJ-101251"/>
    <x v="6"/>
    <x v="1"/>
    <x v="5"/>
    <x v="2"/>
    <x v="4"/>
    <x v="1"/>
    <x v="20"/>
    <x v="1"/>
    <n v="176846"/>
    <s v="High"/>
    <x v="18"/>
    <n v="31"/>
    <x v="1"/>
    <x v="1"/>
    <n v="2.38"/>
    <s v="No"/>
    <n v="4.7699999999999996"/>
    <x v="1"/>
    <x v="2"/>
    <x v="1"/>
  </r>
  <r>
    <s v="AIJ-101252"/>
    <x v="0"/>
    <x v="3"/>
    <x v="3"/>
    <x v="1"/>
    <x v="24"/>
    <x v="55"/>
    <x v="3"/>
    <x v="0"/>
    <n v="32006"/>
    <s v="High"/>
    <x v="4"/>
    <n v="54"/>
    <x v="1"/>
    <x v="0"/>
    <n v="4.5999999999999996"/>
    <s v="Yes"/>
    <n v="4.8"/>
    <x v="1"/>
    <x v="3"/>
    <x v="1"/>
  </r>
  <r>
    <s v="AIJ-101253"/>
    <x v="12"/>
    <x v="5"/>
    <x v="7"/>
    <x v="1"/>
    <x v="21"/>
    <x v="15"/>
    <x v="76"/>
    <x v="2"/>
    <n v="211742"/>
    <s v="Low"/>
    <x v="53"/>
    <n v="44"/>
    <x v="1"/>
    <x v="2"/>
    <n v="2.2200000000000002"/>
    <s v="Yes"/>
    <n v="3.87"/>
    <x v="1"/>
    <x v="3"/>
    <x v="0"/>
  </r>
  <r>
    <s v="AIJ-101254"/>
    <x v="18"/>
    <x v="9"/>
    <x v="3"/>
    <x v="0"/>
    <x v="19"/>
    <x v="20"/>
    <x v="8"/>
    <x v="2"/>
    <n v="43586"/>
    <s v="High"/>
    <x v="15"/>
    <n v="59"/>
    <x v="1"/>
    <x v="0"/>
    <n v="3.74"/>
    <s v="No"/>
    <n v="1.43"/>
    <x v="1"/>
    <x v="0"/>
    <x v="2"/>
  </r>
  <r>
    <s v="AIJ-101255"/>
    <x v="15"/>
    <x v="5"/>
    <x v="4"/>
    <x v="1"/>
    <x v="16"/>
    <x v="38"/>
    <x v="50"/>
    <x v="1"/>
    <n v="219642"/>
    <s v="Low"/>
    <x v="14"/>
    <n v="49"/>
    <x v="0"/>
    <x v="1"/>
    <n v="2.46"/>
    <s v="No"/>
    <n v="4.78"/>
    <x v="0"/>
    <x v="3"/>
    <x v="3"/>
  </r>
  <r>
    <s v="AIJ-101256"/>
    <x v="3"/>
    <x v="1"/>
    <x v="4"/>
    <x v="2"/>
    <x v="18"/>
    <x v="17"/>
    <x v="46"/>
    <x v="0"/>
    <n v="181900"/>
    <s v="Medium"/>
    <x v="38"/>
    <n v="39"/>
    <x v="2"/>
    <x v="0"/>
    <n v="2.73"/>
    <s v="Yes"/>
    <n v="4.05"/>
    <x v="1"/>
    <x v="0"/>
    <x v="3"/>
  </r>
  <r>
    <s v="AIJ-101257"/>
    <x v="17"/>
    <x v="4"/>
    <x v="8"/>
    <x v="2"/>
    <x v="7"/>
    <x v="11"/>
    <x v="11"/>
    <x v="0"/>
    <n v="215817"/>
    <s v="Low"/>
    <x v="16"/>
    <n v="41"/>
    <x v="0"/>
    <x v="0"/>
    <n v="4.1500000000000004"/>
    <s v="No"/>
    <n v="4.38"/>
    <x v="1"/>
    <x v="3"/>
    <x v="1"/>
  </r>
  <r>
    <s v="AIJ-101258"/>
    <x v="3"/>
    <x v="3"/>
    <x v="1"/>
    <x v="2"/>
    <x v="16"/>
    <x v="54"/>
    <x v="54"/>
    <x v="2"/>
    <n v="158973"/>
    <s v="Medium"/>
    <x v="19"/>
    <n v="48"/>
    <x v="1"/>
    <x v="1"/>
    <n v="3.15"/>
    <s v="No"/>
    <n v="4.9400000000000004"/>
    <x v="1"/>
    <x v="2"/>
    <x v="3"/>
  </r>
  <r>
    <s v="AIJ-101259"/>
    <x v="17"/>
    <x v="4"/>
    <x v="7"/>
    <x v="3"/>
    <x v="22"/>
    <x v="77"/>
    <x v="79"/>
    <x v="2"/>
    <n v="159723"/>
    <s v="Low"/>
    <x v="33"/>
    <n v="42"/>
    <x v="0"/>
    <x v="1"/>
    <n v="2.79"/>
    <s v="Yes"/>
    <n v="4.95"/>
    <x v="1"/>
    <x v="0"/>
    <x v="2"/>
  </r>
  <r>
    <s v="AIJ-101260"/>
    <x v="17"/>
    <x v="6"/>
    <x v="9"/>
    <x v="0"/>
    <x v="2"/>
    <x v="32"/>
    <x v="55"/>
    <x v="0"/>
    <n v="207026"/>
    <s v="Low"/>
    <x v="33"/>
    <n v="51"/>
    <x v="0"/>
    <x v="1"/>
    <n v="4.37"/>
    <s v="No"/>
    <n v="1.34"/>
    <x v="2"/>
    <x v="0"/>
    <x v="1"/>
  </r>
  <r>
    <s v="AIJ-101261"/>
    <x v="16"/>
    <x v="2"/>
    <x v="5"/>
    <x v="0"/>
    <x v="4"/>
    <x v="74"/>
    <x v="32"/>
    <x v="0"/>
    <n v="44947"/>
    <s v="Medium"/>
    <x v="44"/>
    <n v="52"/>
    <x v="1"/>
    <x v="2"/>
    <n v="2.27"/>
    <s v="Yes"/>
    <n v="1.23"/>
    <x v="2"/>
    <x v="3"/>
    <x v="1"/>
  </r>
  <r>
    <s v="AIJ-101262"/>
    <x v="7"/>
    <x v="5"/>
    <x v="8"/>
    <x v="1"/>
    <x v="7"/>
    <x v="46"/>
    <x v="75"/>
    <x v="2"/>
    <n v="30931"/>
    <s v="Low"/>
    <x v="30"/>
    <n v="52"/>
    <x v="2"/>
    <x v="2"/>
    <n v="3.01"/>
    <s v="Yes"/>
    <n v="3.5"/>
    <x v="2"/>
    <x v="3"/>
    <x v="1"/>
  </r>
  <r>
    <s v="AIJ-101263"/>
    <x v="14"/>
    <x v="4"/>
    <x v="1"/>
    <x v="2"/>
    <x v="7"/>
    <x v="24"/>
    <x v="20"/>
    <x v="0"/>
    <n v="93554"/>
    <s v="Low"/>
    <x v="36"/>
    <n v="51"/>
    <x v="0"/>
    <x v="1"/>
    <n v="3.56"/>
    <s v="No"/>
    <n v="4.41"/>
    <x v="0"/>
    <x v="3"/>
    <x v="1"/>
  </r>
  <r>
    <s v="AIJ-101264"/>
    <x v="3"/>
    <x v="0"/>
    <x v="8"/>
    <x v="3"/>
    <x v="2"/>
    <x v="53"/>
    <x v="4"/>
    <x v="2"/>
    <n v="87747"/>
    <s v="Low"/>
    <x v="50"/>
    <n v="54"/>
    <x v="0"/>
    <x v="2"/>
    <n v="2.0299999999999998"/>
    <s v="No"/>
    <n v="2.99"/>
    <x v="2"/>
    <x v="3"/>
    <x v="1"/>
  </r>
  <r>
    <s v="AIJ-101265"/>
    <x v="14"/>
    <x v="3"/>
    <x v="4"/>
    <x v="0"/>
    <x v="12"/>
    <x v="40"/>
    <x v="23"/>
    <x v="2"/>
    <n v="66682"/>
    <s v="Medium"/>
    <x v="54"/>
    <n v="30"/>
    <x v="0"/>
    <x v="2"/>
    <n v="3.22"/>
    <s v="No"/>
    <n v="2.71"/>
    <x v="0"/>
    <x v="2"/>
    <x v="3"/>
  </r>
  <r>
    <s v="AIJ-101266"/>
    <x v="8"/>
    <x v="5"/>
    <x v="4"/>
    <x v="0"/>
    <x v="20"/>
    <x v="74"/>
    <x v="36"/>
    <x v="1"/>
    <n v="202543"/>
    <s v="High"/>
    <x v="28"/>
    <n v="58"/>
    <x v="0"/>
    <x v="0"/>
    <n v="3.07"/>
    <s v="Yes"/>
    <n v="3.91"/>
    <x v="1"/>
    <x v="3"/>
    <x v="2"/>
  </r>
  <r>
    <s v="AIJ-101267"/>
    <x v="13"/>
    <x v="5"/>
    <x v="9"/>
    <x v="2"/>
    <x v="11"/>
    <x v="75"/>
    <x v="20"/>
    <x v="2"/>
    <n v="144027"/>
    <s v="High"/>
    <x v="9"/>
    <n v="44"/>
    <x v="0"/>
    <x v="1"/>
    <n v="2.2599999999999998"/>
    <s v="No"/>
    <n v="4.96"/>
    <x v="1"/>
    <x v="3"/>
    <x v="1"/>
  </r>
  <r>
    <s v="AIJ-101268"/>
    <x v="2"/>
    <x v="5"/>
    <x v="2"/>
    <x v="1"/>
    <x v="23"/>
    <x v="76"/>
    <x v="33"/>
    <x v="1"/>
    <n v="113359"/>
    <s v="High"/>
    <x v="19"/>
    <n v="45"/>
    <x v="2"/>
    <x v="2"/>
    <n v="3.3"/>
    <s v="No"/>
    <n v="2.52"/>
    <x v="2"/>
    <x v="2"/>
    <x v="3"/>
  </r>
  <r>
    <s v="AIJ-101269"/>
    <x v="7"/>
    <x v="0"/>
    <x v="3"/>
    <x v="2"/>
    <x v="1"/>
    <x v="32"/>
    <x v="13"/>
    <x v="1"/>
    <n v="216274"/>
    <s v="Medium"/>
    <x v="19"/>
    <n v="47"/>
    <x v="0"/>
    <x v="2"/>
    <n v="3.71"/>
    <s v="Yes"/>
    <n v="3.36"/>
    <x v="1"/>
    <x v="3"/>
    <x v="1"/>
  </r>
  <r>
    <s v="AIJ-101270"/>
    <x v="10"/>
    <x v="6"/>
    <x v="5"/>
    <x v="2"/>
    <x v="21"/>
    <x v="44"/>
    <x v="65"/>
    <x v="2"/>
    <n v="142336"/>
    <s v="High"/>
    <x v="42"/>
    <n v="38"/>
    <x v="2"/>
    <x v="0"/>
    <n v="4.1100000000000003"/>
    <s v="Yes"/>
    <n v="3.09"/>
    <x v="1"/>
    <x v="1"/>
    <x v="0"/>
  </r>
  <r>
    <s v="AIJ-101271"/>
    <x v="19"/>
    <x v="0"/>
    <x v="2"/>
    <x v="1"/>
    <x v="23"/>
    <x v="45"/>
    <x v="66"/>
    <x v="2"/>
    <n v="81426"/>
    <s v="Low"/>
    <x v="13"/>
    <n v="50"/>
    <x v="0"/>
    <x v="1"/>
    <n v="4.51"/>
    <s v="Yes"/>
    <n v="2.97"/>
    <x v="2"/>
    <x v="3"/>
    <x v="3"/>
  </r>
  <r>
    <s v="AIJ-101272"/>
    <x v="14"/>
    <x v="3"/>
    <x v="4"/>
    <x v="2"/>
    <x v="4"/>
    <x v="83"/>
    <x v="1"/>
    <x v="2"/>
    <n v="79553"/>
    <s v="Low"/>
    <x v="52"/>
    <n v="35"/>
    <x v="1"/>
    <x v="2"/>
    <n v="4.3499999999999996"/>
    <s v="No"/>
    <n v="3.56"/>
    <x v="2"/>
    <x v="1"/>
    <x v="1"/>
  </r>
  <r>
    <s v="AIJ-101273"/>
    <x v="2"/>
    <x v="9"/>
    <x v="5"/>
    <x v="1"/>
    <x v="10"/>
    <x v="23"/>
    <x v="66"/>
    <x v="2"/>
    <n v="213959"/>
    <s v="High"/>
    <x v="46"/>
    <n v="30"/>
    <x v="0"/>
    <x v="1"/>
    <n v="3.48"/>
    <s v="Yes"/>
    <n v="4.2300000000000004"/>
    <x v="1"/>
    <x v="2"/>
    <x v="3"/>
  </r>
  <r>
    <s v="AIJ-101274"/>
    <x v="15"/>
    <x v="5"/>
    <x v="3"/>
    <x v="1"/>
    <x v="17"/>
    <x v="56"/>
    <x v="51"/>
    <x v="2"/>
    <n v="218838"/>
    <s v="Medium"/>
    <x v="3"/>
    <n v="60"/>
    <x v="2"/>
    <x v="2"/>
    <n v="2.76"/>
    <s v="Yes"/>
    <n v="2.12"/>
    <x v="0"/>
    <x v="1"/>
    <x v="3"/>
  </r>
  <r>
    <s v="AIJ-101275"/>
    <x v="8"/>
    <x v="2"/>
    <x v="6"/>
    <x v="1"/>
    <x v="2"/>
    <x v="16"/>
    <x v="23"/>
    <x v="1"/>
    <n v="100167"/>
    <s v="High"/>
    <x v="24"/>
    <n v="60"/>
    <x v="2"/>
    <x v="0"/>
    <n v="2.48"/>
    <s v="No"/>
    <n v="4.33"/>
    <x v="2"/>
    <x v="0"/>
    <x v="1"/>
  </r>
  <r>
    <s v="AIJ-101276"/>
    <x v="18"/>
    <x v="5"/>
    <x v="3"/>
    <x v="2"/>
    <x v="7"/>
    <x v="80"/>
    <x v="56"/>
    <x v="2"/>
    <n v="153931"/>
    <s v="Medium"/>
    <x v="7"/>
    <n v="35"/>
    <x v="0"/>
    <x v="1"/>
    <n v="4.3099999999999996"/>
    <s v="Yes"/>
    <n v="3.63"/>
    <x v="0"/>
    <x v="3"/>
    <x v="1"/>
  </r>
  <r>
    <s v="AIJ-101277"/>
    <x v="19"/>
    <x v="1"/>
    <x v="5"/>
    <x v="2"/>
    <x v="17"/>
    <x v="82"/>
    <x v="58"/>
    <x v="2"/>
    <n v="123331"/>
    <s v="Low"/>
    <x v="44"/>
    <n v="35"/>
    <x v="0"/>
    <x v="1"/>
    <n v="3.2"/>
    <s v="Yes"/>
    <n v="3.93"/>
    <x v="2"/>
    <x v="3"/>
    <x v="3"/>
  </r>
  <r>
    <s v="AIJ-101278"/>
    <x v="16"/>
    <x v="3"/>
    <x v="8"/>
    <x v="0"/>
    <x v="18"/>
    <x v="79"/>
    <x v="73"/>
    <x v="0"/>
    <n v="188206"/>
    <s v="High"/>
    <x v="55"/>
    <n v="59"/>
    <x v="1"/>
    <x v="0"/>
    <n v="2.94"/>
    <s v="No"/>
    <n v="3.67"/>
    <x v="0"/>
    <x v="0"/>
    <x v="3"/>
  </r>
  <r>
    <s v="AIJ-101279"/>
    <x v="9"/>
    <x v="7"/>
    <x v="8"/>
    <x v="1"/>
    <x v="25"/>
    <x v="8"/>
    <x v="15"/>
    <x v="2"/>
    <n v="122055"/>
    <s v="High"/>
    <x v="53"/>
    <n v="39"/>
    <x v="2"/>
    <x v="2"/>
    <n v="3.97"/>
    <s v="Yes"/>
    <n v="2.25"/>
    <x v="1"/>
    <x v="3"/>
    <x v="1"/>
  </r>
  <r>
    <s v="AIJ-101280"/>
    <x v="6"/>
    <x v="2"/>
    <x v="3"/>
    <x v="3"/>
    <x v="8"/>
    <x v="3"/>
    <x v="8"/>
    <x v="0"/>
    <n v="206248"/>
    <s v="High"/>
    <x v="8"/>
    <n v="58"/>
    <x v="1"/>
    <x v="2"/>
    <n v="2.4300000000000002"/>
    <s v="No"/>
    <n v="3.3"/>
    <x v="1"/>
    <x v="0"/>
    <x v="2"/>
  </r>
  <r>
    <s v="AIJ-101281"/>
    <x v="14"/>
    <x v="4"/>
    <x v="1"/>
    <x v="3"/>
    <x v="19"/>
    <x v="5"/>
    <x v="18"/>
    <x v="2"/>
    <n v="174535"/>
    <s v="Low"/>
    <x v="28"/>
    <n v="41"/>
    <x v="2"/>
    <x v="2"/>
    <n v="3.59"/>
    <s v="No"/>
    <n v="2.39"/>
    <x v="1"/>
    <x v="2"/>
    <x v="2"/>
  </r>
  <r>
    <s v="AIJ-101282"/>
    <x v="3"/>
    <x v="3"/>
    <x v="4"/>
    <x v="3"/>
    <x v="19"/>
    <x v="71"/>
    <x v="45"/>
    <x v="0"/>
    <n v="194052"/>
    <s v="Medium"/>
    <x v="21"/>
    <n v="58"/>
    <x v="2"/>
    <x v="1"/>
    <n v="4.49"/>
    <s v="No"/>
    <n v="4.0199999999999996"/>
    <x v="2"/>
    <x v="3"/>
    <x v="2"/>
  </r>
  <r>
    <s v="AIJ-101283"/>
    <x v="6"/>
    <x v="9"/>
    <x v="6"/>
    <x v="0"/>
    <x v="19"/>
    <x v="44"/>
    <x v="24"/>
    <x v="0"/>
    <n v="82375"/>
    <s v="Low"/>
    <x v="21"/>
    <n v="40"/>
    <x v="2"/>
    <x v="1"/>
    <n v="4.8899999999999997"/>
    <s v="Yes"/>
    <n v="4.04"/>
    <x v="1"/>
    <x v="2"/>
    <x v="2"/>
  </r>
  <r>
    <s v="AIJ-101284"/>
    <x v="13"/>
    <x v="4"/>
    <x v="1"/>
    <x v="2"/>
    <x v="11"/>
    <x v="41"/>
    <x v="58"/>
    <x v="2"/>
    <n v="163998"/>
    <s v="Low"/>
    <x v="15"/>
    <n v="48"/>
    <x v="1"/>
    <x v="2"/>
    <n v="3.81"/>
    <s v="No"/>
    <n v="1.96"/>
    <x v="2"/>
    <x v="3"/>
    <x v="1"/>
  </r>
  <r>
    <s v="AIJ-101285"/>
    <x v="11"/>
    <x v="3"/>
    <x v="9"/>
    <x v="1"/>
    <x v="22"/>
    <x v="82"/>
    <x v="52"/>
    <x v="2"/>
    <n v="219032"/>
    <s v="High"/>
    <x v="8"/>
    <n v="43"/>
    <x v="2"/>
    <x v="2"/>
    <n v="4.03"/>
    <s v="Yes"/>
    <n v="4.79"/>
    <x v="2"/>
    <x v="0"/>
    <x v="2"/>
  </r>
  <r>
    <s v="AIJ-101286"/>
    <x v="7"/>
    <x v="8"/>
    <x v="8"/>
    <x v="1"/>
    <x v="17"/>
    <x v="42"/>
    <x v="3"/>
    <x v="2"/>
    <n v="202378"/>
    <s v="Low"/>
    <x v="16"/>
    <n v="39"/>
    <x v="2"/>
    <x v="2"/>
    <n v="4.58"/>
    <s v="Yes"/>
    <n v="3.21"/>
    <x v="0"/>
    <x v="0"/>
    <x v="3"/>
  </r>
  <r>
    <s v="AIJ-101287"/>
    <x v="15"/>
    <x v="9"/>
    <x v="1"/>
    <x v="2"/>
    <x v="19"/>
    <x v="30"/>
    <x v="53"/>
    <x v="2"/>
    <n v="145753"/>
    <s v="Medium"/>
    <x v="46"/>
    <n v="48"/>
    <x v="1"/>
    <x v="0"/>
    <n v="2.86"/>
    <s v="No"/>
    <n v="1.78"/>
    <x v="2"/>
    <x v="3"/>
    <x v="2"/>
  </r>
  <r>
    <s v="AIJ-101288"/>
    <x v="10"/>
    <x v="8"/>
    <x v="0"/>
    <x v="0"/>
    <x v="10"/>
    <x v="84"/>
    <x v="38"/>
    <x v="0"/>
    <n v="52165"/>
    <s v="High"/>
    <x v="54"/>
    <n v="33"/>
    <x v="2"/>
    <x v="2"/>
    <n v="3.22"/>
    <s v="Yes"/>
    <n v="4.79"/>
    <x v="1"/>
    <x v="2"/>
    <x v="3"/>
  </r>
  <r>
    <s v="AIJ-101289"/>
    <x v="9"/>
    <x v="4"/>
    <x v="1"/>
    <x v="2"/>
    <x v="24"/>
    <x v="5"/>
    <x v="5"/>
    <x v="0"/>
    <n v="163492"/>
    <s v="High"/>
    <x v="5"/>
    <n v="45"/>
    <x v="1"/>
    <x v="0"/>
    <n v="2.4700000000000002"/>
    <s v="Yes"/>
    <n v="3.37"/>
    <x v="2"/>
    <x v="3"/>
    <x v="1"/>
  </r>
  <r>
    <s v="AIJ-101290"/>
    <x v="18"/>
    <x v="8"/>
    <x v="0"/>
    <x v="0"/>
    <x v="10"/>
    <x v="81"/>
    <x v="67"/>
    <x v="0"/>
    <n v="37052"/>
    <s v="Medium"/>
    <x v="54"/>
    <n v="39"/>
    <x v="2"/>
    <x v="0"/>
    <n v="4.22"/>
    <s v="Yes"/>
    <n v="2.4900000000000002"/>
    <x v="2"/>
    <x v="3"/>
    <x v="3"/>
  </r>
  <r>
    <s v="AIJ-101291"/>
    <x v="19"/>
    <x v="8"/>
    <x v="7"/>
    <x v="1"/>
    <x v="13"/>
    <x v="27"/>
    <x v="56"/>
    <x v="1"/>
    <n v="76551"/>
    <s v="High"/>
    <x v="32"/>
    <n v="31"/>
    <x v="1"/>
    <x v="0"/>
    <n v="4.82"/>
    <s v="No"/>
    <n v="4.5199999999999996"/>
    <x v="2"/>
    <x v="0"/>
    <x v="1"/>
  </r>
  <r>
    <s v="AIJ-101292"/>
    <x v="5"/>
    <x v="6"/>
    <x v="0"/>
    <x v="1"/>
    <x v="14"/>
    <x v="12"/>
    <x v="32"/>
    <x v="1"/>
    <n v="42458"/>
    <s v="High"/>
    <x v="38"/>
    <n v="44"/>
    <x v="0"/>
    <x v="1"/>
    <n v="2.89"/>
    <s v="Yes"/>
    <n v="3.15"/>
    <x v="0"/>
    <x v="0"/>
    <x v="2"/>
  </r>
  <r>
    <s v="AIJ-101293"/>
    <x v="17"/>
    <x v="9"/>
    <x v="1"/>
    <x v="2"/>
    <x v="0"/>
    <x v="26"/>
    <x v="33"/>
    <x v="1"/>
    <n v="174037"/>
    <s v="Low"/>
    <x v="7"/>
    <n v="37"/>
    <x v="2"/>
    <x v="1"/>
    <n v="2.1800000000000002"/>
    <s v="No"/>
    <n v="1.64"/>
    <x v="2"/>
    <x v="3"/>
    <x v="0"/>
  </r>
  <r>
    <s v="AIJ-101294"/>
    <x v="16"/>
    <x v="0"/>
    <x v="7"/>
    <x v="2"/>
    <x v="24"/>
    <x v="71"/>
    <x v="74"/>
    <x v="2"/>
    <n v="174224"/>
    <s v="Medium"/>
    <x v="29"/>
    <n v="43"/>
    <x v="1"/>
    <x v="2"/>
    <n v="3.61"/>
    <s v="Yes"/>
    <n v="3.59"/>
    <x v="0"/>
    <x v="1"/>
    <x v="1"/>
  </r>
  <r>
    <s v="AIJ-101295"/>
    <x v="14"/>
    <x v="9"/>
    <x v="1"/>
    <x v="2"/>
    <x v="0"/>
    <x v="72"/>
    <x v="65"/>
    <x v="0"/>
    <n v="157426"/>
    <s v="Medium"/>
    <x v="36"/>
    <n v="32"/>
    <x v="2"/>
    <x v="0"/>
    <n v="4.1500000000000004"/>
    <s v="Yes"/>
    <n v="4.87"/>
    <x v="2"/>
    <x v="2"/>
    <x v="0"/>
  </r>
  <r>
    <s v="AIJ-101296"/>
    <x v="0"/>
    <x v="3"/>
    <x v="5"/>
    <x v="2"/>
    <x v="3"/>
    <x v="53"/>
    <x v="21"/>
    <x v="0"/>
    <n v="201497"/>
    <s v="Medium"/>
    <x v="53"/>
    <n v="46"/>
    <x v="2"/>
    <x v="2"/>
    <n v="4.29"/>
    <s v="Yes"/>
    <n v="3.49"/>
    <x v="0"/>
    <x v="1"/>
    <x v="2"/>
  </r>
  <r>
    <s v="AIJ-101297"/>
    <x v="1"/>
    <x v="4"/>
    <x v="2"/>
    <x v="1"/>
    <x v="18"/>
    <x v="21"/>
    <x v="2"/>
    <x v="1"/>
    <n v="120208"/>
    <s v="Medium"/>
    <x v="1"/>
    <n v="37"/>
    <x v="2"/>
    <x v="1"/>
    <n v="4.2"/>
    <s v="Yes"/>
    <n v="3.75"/>
    <x v="0"/>
    <x v="3"/>
    <x v="3"/>
  </r>
  <r>
    <s v="AIJ-101298"/>
    <x v="13"/>
    <x v="5"/>
    <x v="4"/>
    <x v="2"/>
    <x v="17"/>
    <x v="6"/>
    <x v="23"/>
    <x v="1"/>
    <n v="130055"/>
    <s v="Medium"/>
    <x v="0"/>
    <n v="44"/>
    <x v="1"/>
    <x v="2"/>
    <n v="3.63"/>
    <s v="No"/>
    <n v="3.99"/>
    <x v="2"/>
    <x v="0"/>
    <x v="3"/>
  </r>
  <r>
    <s v="AIJ-101299"/>
    <x v="15"/>
    <x v="4"/>
    <x v="1"/>
    <x v="0"/>
    <x v="12"/>
    <x v="13"/>
    <x v="11"/>
    <x v="0"/>
    <n v="107888"/>
    <s v="High"/>
    <x v="0"/>
    <n v="30"/>
    <x v="2"/>
    <x v="0"/>
    <n v="2.33"/>
    <s v="No"/>
    <n v="2.66"/>
    <x v="2"/>
    <x v="2"/>
    <x v="3"/>
  </r>
  <r>
    <s v="AIJ-101300"/>
    <x v="0"/>
    <x v="4"/>
    <x v="4"/>
    <x v="0"/>
    <x v="14"/>
    <x v="41"/>
    <x v="26"/>
    <x v="1"/>
    <n v="134014"/>
    <s v="Low"/>
    <x v="34"/>
    <n v="38"/>
    <x v="2"/>
    <x v="1"/>
    <n v="3.13"/>
    <s v="No"/>
    <n v="3.37"/>
    <x v="1"/>
    <x v="2"/>
    <x v="2"/>
  </r>
  <r>
    <s v="AIJ-101301"/>
    <x v="12"/>
    <x v="3"/>
    <x v="4"/>
    <x v="0"/>
    <x v="24"/>
    <x v="85"/>
    <x v="40"/>
    <x v="0"/>
    <n v="87642"/>
    <s v="High"/>
    <x v="34"/>
    <n v="32"/>
    <x v="2"/>
    <x v="0"/>
    <n v="4.93"/>
    <s v="Yes"/>
    <n v="4.12"/>
    <x v="0"/>
    <x v="3"/>
    <x v="1"/>
  </r>
  <r>
    <s v="AIJ-101302"/>
    <x v="3"/>
    <x v="6"/>
    <x v="6"/>
    <x v="2"/>
    <x v="5"/>
    <x v="13"/>
    <x v="60"/>
    <x v="2"/>
    <n v="103442"/>
    <s v="High"/>
    <x v="25"/>
    <n v="48"/>
    <x v="1"/>
    <x v="2"/>
    <n v="3.63"/>
    <s v="Yes"/>
    <n v="1.51"/>
    <x v="2"/>
    <x v="3"/>
    <x v="3"/>
  </r>
  <r>
    <s v="AIJ-101303"/>
    <x v="15"/>
    <x v="6"/>
    <x v="3"/>
    <x v="3"/>
    <x v="2"/>
    <x v="87"/>
    <x v="47"/>
    <x v="1"/>
    <n v="182931"/>
    <s v="High"/>
    <x v="32"/>
    <n v="53"/>
    <x v="0"/>
    <x v="0"/>
    <n v="3.97"/>
    <s v="No"/>
    <n v="4.58"/>
    <x v="0"/>
    <x v="3"/>
    <x v="1"/>
  </r>
  <r>
    <s v="AIJ-101304"/>
    <x v="0"/>
    <x v="4"/>
    <x v="5"/>
    <x v="0"/>
    <x v="17"/>
    <x v="6"/>
    <x v="68"/>
    <x v="2"/>
    <n v="103179"/>
    <s v="High"/>
    <x v="47"/>
    <n v="47"/>
    <x v="0"/>
    <x v="0"/>
    <n v="3.99"/>
    <s v="Yes"/>
    <n v="2.73"/>
    <x v="1"/>
    <x v="3"/>
    <x v="3"/>
  </r>
  <r>
    <s v="AIJ-101305"/>
    <x v="4"/>
    <x v="3"/>
    <x v="3"/>
    <x v="3"/>
    <x v="17"/>
    <x v="40"/>
    <x v="54"/>
    <x v="1"/>
    <n v="54672"/>
    <s v="Low"/>
    <x v="26"/>
    <n v="57"/>
    <x v="2"/>
    <x v="2"/>
    <n v="3.26"/>
    <s v="No"/>
    <n v="3.44"/>
    <x v="2"/>
    <x v="1"/>
    <x v="3"/>
  </r>
  <r>
    <s v="AIJ-101306"/>
    <x v="2"/>
    <x v="3"/>
    <x v="8"/>
    <x v="0"/>
    <x v="7"/>
    <x v="70"/>
    <x v="8"/>
    <x v="0"/>
    <n v="184659"/>
    <s v="High"/>
    <x v="37"/>
    <n v="33"/>
    <x v="1"/>
    <x v="0"/>
    <n v="4.47"/>
    <s v="No"/>
    <n v="1.31"/>
    <x v="1"/>
    <x v="3"/>
    <x v="1"/>
  </r>
  <r>
    <s v="AIJ-101307"/>
    <x v="9"/>
    <x v="2"/>
    <x v="2"/>
    <x v="0"/>
    <x v="15"/>
    <x v="71"/>
    <x v="27"/>
    <x v="2"/>
    <n v="140517"/>
    <s v="Medium"/>
    <x v="2"/>
    <n v="48"/>
    <x v="1"/>
    <x v="2"/>
    <n v="2.93"/>
    <s v="Yes"/>
    <n v="1.97"/>
    <x v="0"/>
    <x v="2"/>
    <x v="1"/>
  </r>
  <r>
    <s v="AIJ-101308"/>
    <x v="14"/>
    <x v="2"/>
    <x v="0"/>
    <x v="2"/>
    <x v="22"/>
    <x v="90"/>
    <x v="61"/>
    <x v="1"/>
    <n v="119586"/>
    <s v="Medium"/>
    <x v="8"/>
    <n v="36"/>
    <x v="0"/>
    <x v="0"/>
    <n v="2.46"/>
    <s v="No"/>
    <n v="4.1100000000000003"/>
    <x v="1"/>
    <x v="2"/>
    <x v="2"/>
  </r>
  <r>
    <s v="AIJ-101309"/>
    <x v="1"/>
    <x v="5"/>
    <x v="2"/>
    <x v="3"/>
    <x v="10"/>
    <x v="2"/>
    <x v="27"/>
    <x v="1"/>
    <n v="78301"/>
    <s v="Low"/>
    <x v="47"/>
    <n v="56"/>
    <x v="0"/>
    <x v="2"/>
    <n v="4.12"/>
    <s v="No"/>
    <n v="4.24"/>
    <x v="2"/>
    <x v="2"/>
    <x v="3"/>
  </r>
  <r>
    <s v="AIJ-101310"/>
    <x v="6"/>
    <x v="0"/>
    <x v="5"/>
    <x v="0"/>
    <x v="8"/>
    <x v="64"/>
    <x v="39"/>
    <x v="0"/>
    <n v="113450"/>
    <s v="High"/>
    <x v="7"/>
    <n v="30"/>
    <x v="2"/>
    <x v="0"/>
    <n v="3.2"/>
    <s v="No"/>
    <n v="4.0999999999999996"/>
    <x v="0"/>
    <x v="2"/>
    <x v="2"/>
  </r>
  <r>
    <s v="AIJ-101311"/>
    <x v="17"/>
    <x v="1"/>
    <x v="8"/>
    <x v="1"/>
    <x v="25"/>
    <x v="14"/>
    <x v="37"/>
    <x v="0"/>
    <n v="151848"/>
    <s v="Medium"/>
    <x v="19"/>
    <n v="50"/>
    <x v="1"/>
    <x v="1"/>
    <n v="3.95"/>
    <s v="Yes"/>
    <n v="2.67"/>
    <x v="0"/>
    <x v="2"/>
    <x v="1"/>
  </r>
  <r>
    <s v="AIJ-101312"/>
    <x v="13"/>
    <x v="6"/>
    <x v="3"/>
    <x v="1"/>
    <x v="19"/>
    <x v="35"/>
    <x v="9"/>
    <x v="1"/>
    <n v="142405"/>
    <s v="High"/>
    <x v="29"/>
    <n v="52"/>
    <x v="2"/>
    <x v="2"/>
    <n v="4.12"/>
    <s v="Yes"/>
    <n v="2.2200000000000002"/>
    <x v="0"/>
    <x v="2"/>
    <x v="2"/>
  </r>
  <r>
    <s v="AIJ-101313"/>
    <x v="6"/>
    <x v="6"/>
    <x v="7"/>
    <x v="1"/>
    <x v="3"/>
    <x v="68"/>
    <x v="14"/>
    <x v="2"/>
    <n v="219227"/>
    <s v="Low"/>
    <x v="15"/>
    <n v="40"/>
    <x v="2"/>
    <x v="2"/>
    <n v="2.2799999999999998"/>
    <s v="Yes"/>
    <n v="3.6"/>
    <x v="1"/>
    <x v="3"/>
    <x v="2"/>
  </r>
  <r>
    <s v="AIJ-101314"/>
    <x v="19"/>
    <x v="8"/>
    <x v="6"/>
    <x v="1"/>
    <x v="9"/>
    <x v="14"/>
    <x v="18"/>
    <x v="1"/>
    <n v="205479"/>
    <s v="Low"/>
    <x v="38"/>
    <n v="49"/>
    <x v="2"/>
    <x v="1"/>
    <n v="3.23"/>
    <s v="Yes"/>
    <n v="1.47"/>
    <x v="0"/>
    <x v="1"/>
    <x v="1"/>
  </r>
  <r>
    <s v="AIJ-101315"/>
    <x v="12"/>
    <x v="7"/>
    <x v="4"/>
    <x v="2"/>
    <x v="8"/>
    <x v="71"/>
    <x v="78"/>
    <x v="1"/>
    <n v="110983"/>
    <s v="Low"/>
    <x v="31"/>
    <n v="39"/>
    <x v="0"/>
    <x v="2"/>
    <n v="2.9"/>
    <s v="No"/>
    <n v="4.96"/>
    <x v="0"/>
    <x v="1"/>
    <x v="2"/>
  </r>
  <r>
    <s v="AIJ-101316"/>
    <x v="19"/>
    <x v="2"/>
    <x v="5"/>
    <x v="0"/>
    <x v="23"/>
    <x v="80"/>
    <x v="62"/>
    <x v="2"/>
    <n v="48507"/>
    <s v="Medium"/>
    <x v="42"/>
    <n v="53"/>
    <x v="0"/>
    <x v="0"/>
    <n v="4.97"/>
    <s v="Yes"/>
    <n v="3.54"/>
    <x v="2"/>
    <x v="2"/>
    <x v="3"/>
  </r>
  <r>
    <s v="AIJ-101317"/>
    <x v="11"/>
    <x v="8"/>
    <x v="1"/>
    <x v="3"/>
    <x v="20"/>
    <x v="76"/>
    <x v="3"/>
    <x v="0"/>
    <n v="140998"/>
    <s v="High"/>
    <x v="52"/>
    <n v="32"/>
    <x v="0"/>
    <x v="1"/>
    <n v="2.2799999999999998"/>
    <s v="Yes"/>
    <n v="3.5"/>
    <x v="0"/>
    <x v="3"/>
    <x v="2"/>
  </r>
  <r>
    <s v="AIJ-101318"/>
    <x v="7"/>
    <x v="6"/>
    <x v="7"/>
    <x v="0"/>
    <x v="2"/>
    <x v="39"/>
    <x v="30"/>
    <x v="0"/>
    <n v="69006"/>
    <s v="High"/>
    <x v="26"/>
    <n v="36"/>
    <x v="2"/>
    <x v="1"/>
    <n v="2.57"/>
    <s v="No"/>
    <n v="3.7"/>
    <x v="0"/>
    <x v="0"/>
    <x v="1"/>
  </r>
  <r>
    <s v="AIJ-101319"/>
    <x v="15"/>
    <x v="4"/>
    <x v="0"/>
    <x v="3"/>
    <x v="24"/>
    <x v="48"/>
    <x v="3"/>
    <x v="0"/>
    <n v="168100"/>
    <s v="High"/>
    <x v="15"/>
    <n v="54"/>
    <x v="2"/>
    <x v="1"/>
    <n v="2.5299999999999998"/>
    <s v="Yes"/>
    <n v="3.91"/>
    <x v="2"/>
    <x v="0"/>
    <x v="1"/>
  </r>
  <r>
    <s v="AIJ-101320"/>
    <x v="2"/>
    <x v="7"/>
    <x v="1"/>
    <x v="3"/>
    <x v="15"/>
    <x v="16"/>
    <x v="45"/>
    <x v="1"/>
    <n v="35690"/>
    <s v="Medium"/>
    <x v="34"/>
    <n v="50"/>
    <x v="1"/>
    <x v="2"/>
    <n v="3.71"/>
    <s v="No"/>
    <n v="2.13"/>
    <x v="2"/>
    <x v="0"/>
    <x v="1"/>
  </r>
  <r>
    <s v="AIJ-101321"/>
    <x v="8"/>
    <x v="2"/>
    <x v="8"/>
    <x v="2"/>
    <x v="1"/>
    <x v="31"/>
    <x v="68"/>
    <x v="2"/>
    <n v="174034"/>
    <s v="High"/>
    <x v="30"/>
    <n v="38"/>
    <x v="1"/>
    <x v="0"/>
    <n v="3.53"/>
    <s v="No"/>
    <n v="1.85"/>
    <x v="1"/>
    <x v="3"/>
    <x v="1"/>
  </r>
  <r>
    <s v="AIJ-101322"/>
    <x v="13"/>
    <x v="6"/>
    <x v="7"/>
    <x v="2"/>
    <x v="18"/>
    <x v="72"/>
    <x v="50"/>
    <x v="2"/>
    <n v="97689"/>
    <s v="High"/>
    <x v="14"/>
    <n v="57"/>
    <x v="2"/>
    <x v="0"/>
    <n v="2.15"/>
    <s v="No"/>
    <n v="3.48"/>
    <x v="2"/>
    <x v="3"/>
    <x v="3"/>
  </r>
  <r>
    <s v="AIJ-101323"/>
    <x v="9"/>
    <x v="7"/>
    <x v="7"/>
    <x v="0"/>
    <x v="17"/>
    <x v="71"/>
    <x v="6"/>
    <x v="1"/>
    <n v="147448"/>
    <s v="Medium"/>
    <x v="8"/>
    <n v="40"/>
    <x v="1"/>
    <x v="0"/>
    <n v="3.02"/>
    <s v="No"/>
    <n v="4.7699999999999996"/>
    <x v="0"/>
    <x v="3"/>
    <x v="3"/>
  </r>
  <r>
    <s v="AIJ-101324"/>
    <x v="4"/>
    <x v="2"/>
    <x v="6"/>
    <x v="1"/>
    <x v="17"/>
    <x v="31"/>
    <x v="55"/>
    <x v="2"/>
    <n v="209068"/>
    <s v="High"/>
    <x v="15"/>
    <n v="48"/>
    <x v="0"/>
    <x v="1"/>
    <n v="2.06"/>
    <s v="No"/>
    <n v="2.2999999999999998"/>
    <x v="2"/>
    <x v="0"/>
    <x v="3"/>
  </r>
  <r>
    <s v="AIJ-101325"/>
    <x v="5"/>
    <x v="8"/>
    <x v="9"/>
    <x v="0"/>
    <x v="6"/>
    <x v="49"/>
    <x v="66"/>
    <x v="1"/>
    <n v="216628"/>
    <s v="High"/>
    <x v="20"/>
    <n v="48"/>
    <x v="1"/>
    <x v="1"/>
    <n v="4.4000000000000004"/>
    <s v="Yes"/>
    <n v="2.2000000000000002"/>
    <x v="2"/>
    <x v="2"/>
    <x v="0"/>
  </r>
  <r>
    <s v="AIJ-101326"/>
    <x v="14"/>
    <x v="8"/>
    <x v="7"/>
    <x v="3"/>
    <x v="7"/>
    <x v="63"/>
    <x v="52"/>
    <x v="0"/>
    <n v="158582"/>
    <s v="High"/>
    <x v="27"/>
    <n v="54"/>
    <x v="1"/>
    <x v="0"/>
    <n v="3.94"/>
    <s v="Yes"/>
    <n v="4.03"/>
    <x v="1"/>
    <x v="0"/>
    <x v="1"/>
  </r>
  <r>
    <s v="AIJ-101327"/>
    <x v="3"/>
    <x v="6"/>
    <x v="2"/>
    <x v="1"/>
    <x v="18"/>
    <x v="41"/>
    <x v="16"/>
    <x v="2"/>
    <n v="218767"/>
    <s v="High"/>
    <x v="52"/>
    <n v="49"/>
    <x v="2"/>
    <x v="2"/>
    <n v="4.9000000000000004"/>
    <s v="Yes"/>
    <n v="1.01"/>
    <x v="1"/>
    <x v="2"/>
    <x v="3"/>
  </r>
  <r>
    <s v="AIJ-101328"/>
    <x v="15"/>
    <x v="7"/>
    <x v="7"/>
    <x v="1"/>
    <x v="0"/>
    <x v="13"/>
    <x v="67"/>
    <x v="0"/>
    <n v="86684"/>
    <s v="High"/>
    <x v="15"/>
    <n v="36"/>
    <x v="2"/>
    <x v="1"/>
    <n v="4.04"/>
    <s v="Yes"/>
    <n v="3.52"/>
    <x v="1"/>
    <x v="3"/>
    <x v="0"/>
  </r>
  <r>
    <s v="AIJ-101329"/>
    <x v="6"/>
    <x v="7"/>
    <x v="3"/>
    <x v="0"/>
    <x v="6"/>
    <x v="4"/>
    <x v="22"/>
    <x v="1"/>
    <n v="81426"/>
    <s v="High"/>
    <x v="34"/>
    <n v="53"/>
    <x v="1"/>
    <x v="1"/>
    <n v="4.6500000000000004"/>
    <s v="Yes"/>
    <n v="4.54"/>
    <x v="1"/>
    <x v="0"/>
    <x v="0"/>
  </r>
  <r>
    <s v="AIJ-101330"/>
    <x v="15"/>
    <x v="2"/>
    <x v="7"/>
    <x v="0"/>
    <x v="13"/>
    <x v="17"/>
    <x v="24"/>
    <x v="1"/>
    <n v="65626"/>
    <s v="High"/>
    <x v="39"/>
    <n v="46"/>
    <x v="0"/>
    <x v="0"/>
    <n v="4.74"/>
    <s v="No"/>
    <n v="4.25"/>
    <x v="1"/>
    <x v="3"/>
    <x v="1"/>
  </r>
  <r>
    <s v="AIJ-101331"/>
    <x v="2"/>
    <x v="7"/>
    <x v="4"/>
    <x v="0"/>
    <x v="24"/>
    <x v="44"/>
    <x v="52"/>
    <x v="1"/>
    <n v="66264"/>
    <s v="Medium"/>
    <x v="6"/>
    <n v="57"/>
    <x v="1"/>
    <x v="2"/>
    <n v="3.43"/>
    <s v="No"/>
    <n v="2.68"/>
    <x v="1"/>
    <x v="2"/>
    <x v="1"/>
  </r>
  <r>
    <s v="AIJ-101332"/>
    <x v="7"/>
    <x v="3"/>
    <x v="3"/>
    <x v="3"/>
    <x v="8"/>
    <x v="21"/>
    <x v="9"/>
    <x v="1"/>
    <n v="51107"/>
    <s v="Low"/>
    <x v="13"/>
    <n v="40"/>
    <x v="2"/>
    <x v="2"/>
    <n v="3.96"/>
    <s v="Yes"/>
    <n v="1.24"/>
    <x v="0"/>
    <x v="3"/>
    <x v="2"/>
  </r>
  <r>
    <s v="AIJ-101333"/>
    <x v="15"/>
    <x v="7"/>
    <x v="9"/>
    <x v="1"/>
    <x v="20"/>
    <x v="78"/>
    <x v="64"/>
    <x v="2"/>
    <n v="127675"/>
    <s v="Medium"/>
    <x v="8"/>
    <n v="38"/>
    <x v="2"/>
    <x v="2"/>
    <n v="3.58"/>
    <s v="No"/>
    <n v="3.62"/>
    <x v="1"/>
    <x v="3"/>
    <x v="2"/>
  </r>
  <r>
    <s v="AIJ-101334"/>
    <x v="14"/>
    <x v="6"/>
    <x v="8"/>
    <x v="2"/>
    <x v="14"/>
    <x v="53"/>
    <x v="68"/>
    <x v="1"/>
    <n v="137903"/>
    <s v="Low"/>
    <x v="11"/>
    <n v="48"/>
    <x v="0"/>
    <x v="2"/>
    <n v="2.21"/>
    <s v="Yes"/>
    <n v="4.26"/>
    <x v="0"/>
    <x v="1"/>
    <x v="2"/>
  </r>
  <r>
    <s v="AIJ-101335"/>
    <x v="15"/>
    <x v="7"/>
    <x v="2"/>
    <x v="2"/>
    <x v="13"/>
    <x v="34"/>
    <x v="61"/>
    <x v="0"/>
    <n v="185076"/>
    <s v="High"/>
    <x v="31"/>
    <n v="46"/>
    <x v="1"/>
    <x v="0"/>
    <n v="4.88"/>
    <s v="No"/>
    <n v="2.61"/>
    <x v="2"/>
    <x v="2"/>
    <x v="1"/>
  </r>
  <r>
    <s v="AIJ-101336"/>
    <x v="8"/>
    <x v="9"/>
    <x v="8"/>
    <x v="3"/>
    <x v="24"/>
    <x v="41"/>
    <x v="43"/>
    <x v="1"/>
    <n v="137049"/>
    <s v="High"/>
    <x v="22"/>
    <n v="43"/>
    <x v="2"/>
    <x v="0"/>
    <n v="3.95"/>
    <s v="No"/>
    <n v="3.19"/>
    <x v="2"/>
    <x v="3"/>
    <x v="1"/>
  </r>
  <r>
    <s v="AIJ-101337"/>
    <x v="18"/>
    <x v="6"/>
    <x v="9"/>
    <x v="2"/>
    <x v="14"/>
    <x v="74"/>
    <x v="42"/>
    <x v="2"/>
    <n v="183660"/>
    <s v="Low"/>
    <x v="38"/>
    <n v="37"/>
    <x v="0"/>
    <x v="2"/>
    <n v="2.0099999999999998"/>
    <s v="Yes"/>
    <n v="3.3"/>
    <x v="2"/>
    <x v="3"/>
    <x v="2"/>
  </r>
  <r>
    <s v="AIJ-101338"/>
    <x v="4"/>
    <x v="8"/>
    <x v="2"/>
    <x v="3"/>
    <x v="0"/>
    <x v="50"/>
    <x v="2"/>
    <x v="1"/>
    <n v="140711"/>
    <s v="Low"/>
    <x v="0"/>
    <n v="58"/>
    <x v="1"/>
    <x v="0"/>
    <n v="3.17"/>
    <s v="Yes"/>
    <n v="2.23"/>
    <x v="1"/>
    <x v="3"/>
    <x v="0"/>
  </r>
  <r>
    <s v="AIJ-101339"/>
    <x v="13"/>
    <x v="1"/>
    <x v="6"/>
    <x v="1"/>
    <x v="21"/>
    <x v="47"/>
    <x v="44"/>
    <x v="0"/>
    <n v="98458"/>
    <s v="Medium"/>
    <x v="44"/>
    <n v="38"/>
    <x v="2"/>
    <x v="2"/>
    <n v="2.0499999999999998"/>
    <s v="Yes"/>
    <n v="4.67"/>
    <x v="2"/>
    <x v="1"/>
    <x v="0"/>
  </r>
  <r>
    <s v="AIJ-101340"/>
    <x v="7"/>
    <x v="9"/>
    <x v="3"/>
    <x v="3"/>
    <x v="19"/>
    <x v="29"/>
    <x v="5"/>
    <x v="0"/>
    <n v="138427"/>
    <s v="Low"/>
    <x v="0"/>
    <n v="59"/>
    <x v="2"/>
    <x v="2"/>
    <n v="3.52"/>
    <s v="Yes"/>
    <n v="1.03"/>
    <x v="1"/>
    <x v="3"/>
    <x v="2"/>
  </r>
  <r>
    <s v="AIJ-101341"/>
    <x v="11"/>
    <x v="5"/>
    <x v="9"/>
    <x v="3"/>
    <x v="4"/>
    <x v="87"/>
    <x v="13"/>
    <x v="0"/>
    <n v="85060"/>
    <s v="High"/>
    <x v="51"/>
    <n v="45"/>
    <x v="0"/>
    <x v="0"/>
    <n v="2.98"/>
    <s v="Yes"/>
    <n v="4.24"/>
    <x v="0"/>
    <x v="2"/>
    <x v="1"/>
  </r>
  <r>
    <s v="AIJ-101342"/>
    <x v="15"/>
    <x v="9"/>
    <x v="5"/>
    <x v="1"/>
    <x v="8"/>
    <x v="57"/>
    <x v="46"/>
    <x v="2"/>
    <n v="58993"/>
    <s v="Low"/>
    <x v="11"/>
    <n v="33"/>
    <x v="0"/>
    <x v="2"/>
    <n v="2.93"/>
    <s v="Yes"/>
    <n v="3.19"/>
    <x v="0"/>
    <x v="3"/>
    <x v="2"/>
  </r>
  <r>
    <s v="AIJ-101343"/>
    <x v="5"/>
    <x v="8"/>
    <x v="0"/>
    <x v="1"/>
    <x v="16"/>
    <x v="55"/>
    <x v="5"/>
    <x v="0"/>
    <n v="79565"/>
    <s v="Low"/>
    <x v="38"/>
    <n v="49"/>
    <x v="2"/>
    <x v="0"/>
    <n v="3.39"/>
    <s v="Yes"/>
    <n v="4.91"/>
    <x v="2"/>
    <x v="3"/>
    <x v="3"/>
  </r>
  <r>
    <s v="AIJ-101344"/>
    <x v="3"/>
    <x v="0"/>
    <x v="6"/>
    <x v="0"/>
    <x v="6"/>
    <x v="75"/>
    <x v="36"/>
    <x v="0"/>
    <n v="107382"/>
    <s v="Low"/>
    <x v="1"/>
    <n v="40"/>
    <x v="0"/>
    <x v="1"/>
    <n v="3.09"/>
    <s v="Yes"/>
    <n v="4.8099999999999996"/>
    <x v="1"/>
    <x v="0"/>
    <x v="0"/>
  </r>
  <r>
    <s v="AIJ-101345"/>
    <x v="0"/>
    <x v="0"/>
    <x v="2"/>
    <x v="2"/>
    <x v="15"/>
    <x v="49"/>
    <x v="28"/>
    <x v="2"/>
    <n v="145592"/>
    <s v="Medium"/>
    <x v="49"/>
    <n v="49"/>
    <x v="0"/>
    <x v="1"/>
    <n v="3.99"/>
    <s v="No"/>
    <n v="2.2799999999999998"/>
    <x v="1"/>
    <x v="2"/>
    <x v="1"/>
  </r>
  <r>
    <s v="AIJ-101346"/>
    <x v="11"/>
    <x v="3"/>
    <x v="2"/>
    <x v="1"/>
    <x v="12"/>
    <x v="90"/>
    <x v="23"/>
    <x v="2"/>
    <n v="78172"/>
    <s v="High"/>
    <x v="2"/>
    <n v="40"/>
    <x v="1"/>
    <x v="2"/>
    <n v="3.25"/>
    <s v="Yes"/>
    <n v="4.74"/>
    <x v="0"/>
    <x v="3"/>
    <x v="3"/>
  </r>
  <r>
    <s v="AIJ-101347"/>
    <x v="15"/>
    <x v="3"/>
    <x v="2"/>
    <x v="2"/>
    <x v="0"/>
    <x v="28"/>
    <x v="23"/>
    <x v="2"/>
    <n v="197959"/>
    <s v="High"/>
    <x v="28"/>
    <n v="50"/>
    <x v="1"/>
    <x v="2"/>
    <n v="3.99"/>
    <s v="Yes"/>
    <n v="4.2"/>
    <x v="2"/>
    <x v="2"/>
    <x v="0"/>
  </r>
  <r>
    <s v="AIJ-101348"/>
    <x v="18"/>
    <x v="4"/>
    <x v="1"/>
    <x v="0"/>
    <x v="15"/>
    <x v="75"/>
    <x v="59"/>
    <x v="2"/>
    <n v="160867"/>
    <s v="Medium"/>
    <x v="25"/>
    <n v="30"/>
    <x v="0"/>
    <x v="2"/>
    <n v="3.89"/>
    <s v="No"/>
    <n v="3.29"/>
    <x v="0"/>
    <x v="3"/>
    <x v="1"/>
  </r>
  <r>
    <s v="AIJ-101349"/>
    <x v="18"/>
    <x v="9"/>
    <x v="1"/>
    <x v="1"/>
    <x v="13"/>
    <x v="61"/>
    <x v="66"/>
    <x v="2"/>
    <n v="196237"/>
    <s v="Medium"/>
    <x v="37"/>
    <n v="52"/>
    <x v="1"/>
    <x v="2"/>
    <n v="2.44"/>
    <s v="Yes"/>
    <n v="4.84"/>
    <x v="0"/>
    <x v="2"/>
    <x v="1"/>
  </r>
  <r>
    <s v="AIJ-101350"/>
    <x v="17"/>
    <x v="3"/>
    <x v="5"/>
    <x v="2"/>
    <x v="16"/>
    <x v="71"/>
    <x v="39"/>
    <x v="1"/>
    <n v="62006"/>
    <s v="Low"/>
    <x v="18"/>
    <n v="55"/>
    <x v="1"/>
    <x v="1"/>
    <n v="4.03"/>
    <s v="Yes"/>
    <n v="3.83"/>
    <x v="2"/>
    <x v="2"/>
    <x v="3"/>
  </r>
  <r>
    <s v="AIJ-101351"/>
    <x v="5"/>
    <x v="6"/>
    <x v="7"/>
    <x v="3"/>
    <x v="16"/>
    <x v="17"/>
    <x v="3"/>
    <x v="1"/>
    <n v="77691"/>
    <s v="Medium"/>
    <x v="40"/>
    <n v="60"/>
    <x v="2"/>
    <x v="0"/>
    <n v="4.9400000000000004"/>
    <s v="No"/>
    <n v="1.17"/>
    <x v="0"/>
    <x v="0"/>
    <x v="3"/>
  </r>
  <r>
    <s v="AIJ-101352"/>
    <x v="16"/>
    <x v="6"/>
    <x v="2"/>
    <x v="0"/>
    <x v="23"/>
    <x v="81"/>
    <x v="22"/>
    <x v="2"/>
    <n v="98048"/>
    <s v="Medium"/>
    <x v="15"/>
    <n v="55"/>
    <x v="1"/>
    <x v="2"/>
    <n v="3.54"/>
    <s v="No"/>
    <n v="3.12"/>
    <x v="0"/>
    <x v="3"/>
    <x v="3"/>
  </r>
  <r>
    <s v="AIJ-101353"/>
    <x v="10"/>
    <x v="4"/>
    <x v="1"/>
    <x v="1"/>
    <x v="11"/>
    <x v="2"/>
    <x v="13"/>
    <x v="0"/>
    <n v="132066"/>
    <s v="Low"/>
    <x v="47"/>
    <n v="55"/>
    <x v="0"/>
    <x v="2"/>
    <n v="3.67"/>
    <s v="Yes"/>
    <n v="4.6900000000000004"/>
    <x v="1"/>
    <x v="1"/>
    <x v="1"/>
  </r>
  <r>
    <s v="AIJ-101354"/>
    <x v="5"/>
    <x v="5"/>
    <x v="0"/>
    <x v="3"/>
    <x v="24"/>
    <x v="86"/>
    <x v="15"/>
    <x v="0"/>
    <n v="219013"/>
    <s v="High"/>
    <x v="43"/>
    <n v="60"/>
    <x v="0"/>
    <x v="0"/>
    <n v="2.87"/>
    <s v="Yes"/>
    <n v="3.36"/>
    <x v="2"/>
    <x v="3"/>
    <x v="1"/>
  </r>
  <r>
    <s v="AIJ-101355"/>
    <x v="18"/>
    <x v="0"/>
    <x v="7"/>
    <x v="0"/>
    <x v="8"/>
    <x v="24"/>
    <x v="39"/>
    <x v="2"/>
    <n v="184278"/>
    <s v="Low"/>
    <x v="6"/>
    <n v="48"/>
    <x v="2"/>
    <x v="0"/>
    <n v="2.66"/>
    <s v="No"/>
    <n v="2.97"/>
    <x v="0"/>
    <x v="3"/>
    <x v="2"/>
  </r>
  <r>
    <s v="AIJ-101356"/>
    <x v="15"/>
    <x v="8"/>
    <x v="0"/>
    <x v="1"/>
    <x v="17"/>
    <x v="87"/>
    <x v="53"/>
    <x v="2"/>
    <n v="116960"/>
    <s v="High"/>
    <x v="20"/>
    <n v="51"/>
    <x v="1"/>
    <x v="2"/>
    <n v="3.58"/>
    <s v="Yes"/>
    <n v="3.87"/>
    <x v="2"/>
    <x v="3"/>
    <x v="3"/>
  </r>
  <r>
    <s v="AIJ-101357"/>
    <x v="8"/>
    <x v="5"/>
    <x v="5"/>
    <x v="0"/>
    <x v="13"/>
    <x v="22"/>
    <x v="16"/>
    <x v="2"/>
    <n v="144501"/>
    <s v="Medium"/>
    <x v="50"/>
    <n v="60"/>
    <x v="2"/>
    <x v="1"/>
    <n v="4.72"/>
    <s v="No"/>
    <n v="3.01"/>
    <x v="0"/>
    <x v="3"/>
    <x v="1"/>
  </r>
  <r>
    <s v="AIJ-101358"/>
    <x v="12"/>
    <x v="7"/>
    <x v="1"/>
    <x v="2"/>
    <x v="20"/>
    <x v="39"/>
    <x v="15"/>
    <x v="1"/>
    <n v="180691"/>
    <s v="High"/>
    <x v="9"/>
    <n v="32"/>
    <x v="2"/>
    <x v="1"/>
    <n v="4.6900000000000004"/>
    <s v="No"/>
    <n v="3.4"/>
    <x v="2"/>
    <x v="3"/>
    <x v="2"/>
  </r>
  <r>
    <s v="AIJ-101359"/>
    <x v="15"/>
    <x v="8"/>
    <x v="7"/>
    <x v="0"/>
    <x v="23"/>
    <x v="23"/>
    <x v="78"/>
    <x v="0"/>
    <n v="168035"/>
    <s v="High"/>
    <x v="54"/>
    <n v="33"/>
    <x v="0"/>
    <x v="0"/>
    <n v="3.48"/>
    <s v="No"/>
    <n v="2.34"/>
    <x v="1"/>
    <x v="2"/>
    <x v="3"/>
  </r>
  <r>
    <s v="AIJ-101360"/>
    <x v="11"/>
    <x v="4"/>
    <x v="3"/>
    <x v="0"/>
    <x v="20"/>
    <x v="51"/>
    <x v="76"/>
    <x v="2"/>
    <n v="59253"/>
    <s v="Low"/>
    <x v="17"/>
    <n v="31"/>
    <x v="0"/>
    <x v="2"/>
    <n v="3.05"/>
    <s v="Yes"/>
    <n v="1.24"/>
    <x v="2"/>
    <x v="2"/>
    <x v="2"/>
  </r>
  <r>
    <s v="AIJ-101361"/>
    <x v="4"/>
    <x v="1"/>
    <x v="1"/>
    <x v="1"/>
    <x v="7"/>
    <x v="76"/>
    <x v="69"/>
    <x v="1"/>
    <n v="70693"/>
    <s v="High"/>
    <x v="35"/>
    <n v="53"/>
    <x v="1"/>
    <x v="1"/>
    <n v="4.32"/>
    <s v="Yes"/>
    <n v="2.92"/>
    <x v="1"/>
    <x v="3"/>
    <x v="1"/>
  </r>
  <r>
    <s v="AIJ-101362"/>
    <x v="8"/>
    <x v="6"/>
    <x v="6"/>
    <x v="2"/>
    <x v="9"/>
    <x v="9"/>
    <x v="29"/>
    <x v="0"/>
    <n v="51708"/>
    <s v="Low"/>
    <x v="33"/>
    <n v="47"/>
    <x v="1"/>
    <x v="2"/>
    <n v="4.5199999999999996"/>
    <s v="No"/>
    <n v="4.4800000000000004"/>
    <x v="1"/>
    <x v="2"/>
    <x v="1"/>
  </r>
  <r>
    <s v="AIJ-101363"/>
    <x v="1"/>
    <x v="1"/>
    <x v="6"/>
    <x v="0"/>
    <x v="21"/>
    <x v="40"/>
    <x v="67"/>
    <x v="1"/>
    <n v="120680"/>
    <s v="Low"/>
    <x v="22"/>
    <n v="34"/>
    <x v="2"/>
    <x v="2"/>
    <n v="3.85"/>
    <s v="No"/>
    <n v="2.94"/>
    <x v="1"/>
    <x v="2"/>
    <x v="0"/>
  </r>
  <r>
    <s v="AIJ-101364"/>
    <x v="7"/>
    <x v="3"/>
    <x v="0"/>
    <x v="2"/>
    <x v="19"/>
    <x v="47"/>
    <x v="25"/>
    <x v="2"/>
    <n v="212652"/>
    <s v="High"/>
    <x v="25"/>
    <n v="52"/>
    <x v="0"/>
    <x v="1"/>
    <n v="3.23"/>
    <s v="Yes"/>
    <n v="4.21"/>
    <x v="1"/>
    <x v="2"/>
    <x v="2"/>
  </r>
  <r>
    <s v="AIJ-101365"/>
    <x v="16"/>
    <x v="5"/>
    <x v="4"/>
    <x v="2"/>
    <x v="2"/>
    <x v="35"/>
    <x v="57"/>
    <x v="1"/>
    <n v="200133"/>
    <s v="Medium"/>
    <x v="30"/>
    <n v="57"/>
    <x v="2"/>
    <x v="0"/>
    <n v="2.42"/>
    <s v="Yes"/>
    <n v="2.5499999999999998"/>
    <x v="1"/>
    <x v="2"/>
    <x v="1"/>
  </r>
  <r>
    <s v="AIJ-101366"/>
    <x v="19"/>
    <x v="9"/>
    <x v="9"/>
    <x v="2"/>
    <x v="10"/>
    <x v="41"/>
    <x v="78"/>
    <x v="1"/>
    <n v="133658"/>
    <s v="Low"/>
    <x v="21"/>
    <n v="55"/>
    <x v="0"/>
    <x v="0"/>
    <n v="3.71"/>
    <s v="Yes"/>
    <n v="3.43"/>
    <x v="2"/>
    <x v="2"/>
    <x v="3"/>
  </r>
  <r>
    <s v="AIJ-101367"/>
    <x v="7"/>
    <x v="3"/>
    <x v="1"/>
    <x v="3"/>
    <x v="8"/>
    <x v="50"/>
    <x v="40"/>
    <x v="2"/>
    <n v="55159"/>
    <s v="Low"/>
    <x v="15"/>
    <n v="59"/>
    <x v="2"/>
    <x v="0"/>
    <n v="3.62"/>
    <s v="Yes"/>
    <n v="3.07"/>
    <x v="0"/>
    <x v="2"/>
    <x v="2"/>
  </r>
  <r>
    <s v="AIJ-101368"/>
    <x v="10"/>
    <x v="9"/>
    <x v="8"/>
    <x v="3"/>
    <x v="23"/>
    <x v="52"/>
    <x v="31"/>
    <x v="1"/>
    <n v="182659"/>
    <s v="High"/>
    <x v="32"/>
    <n v="38"/>
    <x v="0"/>
    <x v="0"/>
    <n v="2.63"/>
    <s v="No"/>
    <n v="1.89"/>
    <x v="1"/>
    <x v="0"/>
    <x v="3"/>
  </r>
  <r>
    <s v="AIJ-101369"/>
    <x v="2"/>
    <x v="1"/>
    <x v="0"/>
    <x v="2"/>
    <x v="10"/>
    <x v="61"/>
    <x v="6"/>
    <x v="1"/>
    <n v="30700"/>
    <s v="High"/>
    <x v="7"/>
    <n v="39"/>
    <x v="1"/>
    <x v="1"/>
    <n v="2.63"/>
    <s v="No"/>
    <n v="2.87"/>
    <x v="2"/>
    <x v="3"/>
    <x v="3"/>
  </r>
  <r>
    <s v="AIJ-101370"/>
    <x v="7"/>
    <x v="3"/>
    <x v="6"/>
    <x v="1"/>
    <x v="2"/>
    <x v="51"/>
    <x v="9"/>
    <x v="0"/>
    <n v="89956"/>
    <s v="High"/>
    <x v="3"/>
    <n v="52"/>
    <x v="0"/>
    <x v="1"/>
    <n v="2.4"/>
    <s v="No"/>
    <n v="4.7699999999999996"/>
    <x v="1"/>
    <x v="2"/>
    <x v="1"/>
  </r>
  <r>
    <s v="AIJ-101371"/>
    <x v="12"/>
    <x v="1"/>
    <x v="2"/>
    <x v="0"/>
    <x v="13"/>
    <x v="3"/>
    <x v="22"/>
    <x v="1"/>
    <n v="196167"/>
    <s v="High"/>
    <x v="49"/>
    <n v="44"/>
    <x v="1"/>
    <x v="0"/>
    <n v="4"/>
    <s v="Yes"/>
    <n v="1.95"/>
    <x v="2"/>
    <x v="0"/>
    <x v="1"/>
  </r>
  <r>
    <s v="AIJ-101372"/>
    <x v="12"/>
    <x v="3"/>
    <x v="6"/>
    <x v="0"/>
    <x v="17"/>
    <x v="50"/>
    <x v="37"/>
    <x v="2"/>
    <n v="120180"/>
    <s v="Low"/>
    <x v="54"/>
    <n v="43"/>
    <x v="2"/>
    <x v="2"/>
    <n v="2.4700000000000002"/>
    <s v="No"/>
    <n v="3.51"/>
    <x v="2"/>
    <x v="2"/>
    <x v="3"/>
  </r>
  <r>
    <s v="AIJ-101373"/>
    <x v="7"/>
    <x v="9"/>
    <x v="8"/>
    <x v="3"/>
    <x v="21"/>
    <x v="47"/>
    <x v="69"/>
    <x v="1"/>
    <n v="197269"/>
    <s v="Low"/>
    <x v="3"/>
    <n v="42"/>
    <x v="0"/>
    <x v="1"/>
    <n v="3.9"/>
    <s v="Yes"/>
    <n v="2.02"/>
    <x v="1"/>
    <x v="2"/>
    <x v="0"/>
  </r>
  <r>
    <s v="AIJ-101374"/>
    <x v="8"/>
    <x v="2"/>
    <x v="3"/>
    <x v="3"/>
    <x v="17"/>
    <x v="63"/>
    <x v="44"/>
    <x v="2"/>
    <n v="40941"/>
    <s v="Medium"/>
    <x v="39"/>
    <n v="33"/>
    <x v="2"/>
    <x v="2"/>
    <n v="2.57"/>
    <s v="No"/>
    <n v="1.4"/>
    <x v="2"/>
    <x v="3"/>
    <x v="3"/>
  </r>
  <r>
    <s v="AIJ-101375"/>
    <x v="2"/>
    <x v="1"/>
    <x v="0"/>
    <x v="2"/>
    <x v="10"/>
    <x v="47"/>
    <x v="3"/>
    <x v="2"/>
    <n v="150589"/>
    <s v="Medium"/>
    <x v="38"/>
    <n v="49"/>
    <x v="1"/>
    <x v="0"/>
    <n v="2.94"/>
    <s v="Yes"/>
    <n v="2.59"/>
    <x v="0"/>
    <x v="3"/>
    <x v="3"/>
  </r>
  <r>
    <s v="AIJ-101376"/>
    <x v="14"/>
    <x v="9"/>
    <x v="7"/>
    <x v="1"/>
    <x v="17"/>
    <x v="18"/>
    <x v="64"/>
    <x v="0"/>
    <n v="183453"/>
    <s v="Medium"/>
    <x v="55"/>
    <n v="37"/>
    <x v="2"/>
    <x v="0"/>
    <n v="4.3899999999999997"/>
    <s v="No"/>
    <n v="1.18"/>
    <x v="2"/>
    <x v="3"/>
    <x v="3"/>
  </r>
  <r>
    <s v="AIJ-101377"/>
    <x v="9"/>
    <x v="2"/>
    <x v="0"/>
    <x v="2"/>
    <x v="6"/>
    <x v="35"/>
    <x v="38"/>
    <x v="1"/>
    <n v="120546"/>
    <s v="Low"/>
    <x v="37"/>
    <n v="49"/>
    <x v="2"/>
    <x v="1"/>
    <n v="2.4900000000000002"/>
    <s v="No"/>
    <n v="4.9000000000000004"/>
    <x v="2"/>
    <x v="1"/>
    <x v="0"/>
  </r>
  <r>
    <s v="AIJ-101378"/>
    <x v="5"/>
    <x v="5"/>
    <x v="8"/>
    <x v="1"/>
    <x v="25"/>
    <x v="64"/>
    <x v="24"/>
    <x v="2"/>
    <n v="46398"/>
    <s v="Low"/>
    <x v="21"/>
    <n v="31"/>
    <x v="2"/>
    <x v="0"/>
    <n v="4.16"/>
    <s v="No"/>
    <n v="4.0999999999999996"/>
    <x v="1"/>
    <x v="2"/>
    <x v="1"/>
  </r>
  <r>
    <s v="AIJ-101379"/>
    <x v="4"/>
    <x v="4"/>
    <x v="4"/>
    <x v="0"/>
    <x v="9"/>
    <x v="41"/>
    <x v="42"/>
    <x v="2"/>
    <n v="119838"/>
    <s v="Medium"/>
    <x v="18"/>
    <n v="54"/>
    <x v="1"/>
    <x v="2"/>
    <n v="4.66"/>
    <s v="No"/>
    <n v="2.72"/>
    <x v="0"/>
    <x v="3"/>
    <x v="1"/>
  </r>
  <r>
    <s v="AIJ-101380"/>
    <x v="3"/>
    <x v="1"/>
    <x v="1"/>
    <x v="3"/>
    <x v="3"/>
    <x v="60"/>
    <x v="64"/>
    <x v="1"/>
    <n v="73580"/>
    <s v="Low"/>
    <x v="47"/>
    <n v="48"/>
    <x v="2"/>
    <x v="0"/>
    <n v="3.64"/>
    <s v="Yes"/>
    <n v="4.37"/>
    <x v="0"/>
    <x v="2"/>
    <x v="2"/>
  </r>
  <r>
    <s v="AIJ-101381"/>
    <x v="16"/>
    <x v="8"/>
    <x v="5"/>
    <x v="3"/>
    <x v="14"/>
    <x v="67"/>
    <x v="34"/>
    <x v="1"/>
    <n v="127596"/>
    <s v="Low"/>
    <x v="51"/>
    <n v="46"/>
    <x v="1"/>
    <x v="0"/>
    <n v="3.6"/>
    <s v="No"/>
    <n v="1.34"/>
    <x v="1"/>
    <x v="2"/>
    <x v="2"/>
  </r>
  <r>
    <s v="AIJ-101382"/>
    <x v="0"/>
    <x v="0"/>
    <x v="0"/>
    <x v="1"/>
    <x v="18"/>
    <x v="27"/>
    <x v="39"/>
    <x v="2"/>
    <n v="199887"/>
    <s v="Medium"/>
    <x v="5"/>
    <n v="39"/>
    <x v="1"/>
    <x v="0"/>
    <n v="4.34"/>
    <s v="No"/>
    <n v="4.45"/>
    <x v="2"/>
    <x v="3"/>
    <x v="3"/>
  </r>
  <r>
    <s v="AIJ-101383"/>
    <x v="6"/>
    <x v="7"/>
    <x v="6"/>
    <x v="2"/>
    <x v="19"/>
    <x v="31"/>
    <x v="75"/>
    <x v="0"/>
    <n v="81990"/>
    <s v="Low"/>
    <x v="40"/>
    <n v="35"/>
    <x v="0"/>
    <x v="2"/>
    <n v="4.7300000000000004"/>
    <s v="Yes"/>
    <n v="1.78"/>
    <x v="0"/>
    <x v="3"/>
    <x v="2"/>
  </r>
  <r>
    <s v="AIJ-101384"/>
    <x v="12"/>
    <x v="4"/>
    <x v="2"/>
    <x v="1"/>
    <x v="1"/>
    <x v="78"/>
    <x v="28"/>
    <x v="1"/>
    <n v="140569"/>
    <s v="Medium"/>
    <x v="25"/>
    <n v="53"/>
    <x v="0"/>
    <x v="1"/>
    <n v="2.0099999999999998"/>
    <s v="No"/>
    <n v="3.62"/>
    <x v="0"/>
    <x v="1"/>
    <x v="1"/>
  </r>
  <r>
    <s v="AIJ-101385"/>
    <x v="8"/>
    <x v="5"/>
    <x v="7"/>
    <x v="2"/>
    <x v="2"/>
    <x v="54"/>
    <x v="17"/>
    <x v="1"/>
    <n v="173025"/>
    <s v="Low"/>
    <x v="5"/>
    <n v="42"/>
    <x v="0"/>
    <x v="2"/>
    <n v="2.13"/>
    <s v="Yes"/>
    <n v="2.5499999999999998"/>
    <x v="1"/>
    <x v="2"/>
    <x v="1"/>
  </r>
  <r>
    <s v="AIJ-101386"/>
    <x v="10"/>
    <x v="7"/>
    <x v="4"/>
    <x v="2"/>
    <x v="5"/>
    <x v="6"/>
    <x v="50"/>
    <x v="1"/>
    <n v="135192"/>
    <s v="High"/>
    <x v="39"/>
    <n v="60"/>
    <x v="0"/>
    <x v="0"/>
    <n v="4.13"/>
    <s v="No"/>
    <n v="3.58"/>
    <x v="2"/>
    <x v="3"/>
    <x v="3"/>
  </r>
  <r>
    <s v="AIJ-101387"/>
    <x v="3"/>
    <x v="7"/>
    <x v="9"/>
    <x v="2"/>
    <x v="8"/>
    <x v="5"/>
    <x v="29"/>
    <x v="1"/>
    <n v="174785"/>
    <s v="High"/>
    <x v="25"/>
    <n v="48"/>
    <x v="2"/>
    <x v="1"/>
    <n v="4.8600000000000003"/>
    <s v="No"/>
    <n v="2.11"/>
    <x v="2"/>
    <x v="2"/>
    <x v="2"/>
  </r>
  <r>
    <s v="AIJ-101388"/>
    <x v="4"/>
    <x v="4"/>
    <x v="8"/>
    <x v="1"/>
    <x v="3"/>
    <x v="78"/>
    <x v="31"/>
    <x v="0"/>
    <n v="119372"/>
    <s v="Medium"/>
    <x v="12"/>
    <n v="53"/>
    <x v="1"/>
    <x v="0"/>
    <n v="4.12"/>
    <s v="No"/>
    <n v="2.4700000000000002"/>
    <x v="1"/>
    <x v="3"/>
    <x v="2"/>
  </r>
  <r>
    <s v="AIJ-101389"/>
    <x v="8"/>
    <x v="1"/>
    <x v="4"/>
    <x v="2"/>
    <x v="21"/>
    <x v="90"/>
    <x v="7"/>
    <x v="1"/>
    <n v="90500"/>
    <s v="Medium"/>
    <x v="40"/>
    <n v="37"/>
    <x v="2"/>
    <x v="2"/>
    <n v="3.44"/>
    <s v="No"/>
    <n v="4.67"/>
    <x v="1"/>
    <x v="1"/>
    <x v="0"/>
  </r>
  <r>
    <s v="AIJ-101390"/>
    <x v="3"/>
    <x v="8"/>
    <x v="9"/>
    <x v="1"/>
    <x v="8"/>
    <x v="79"/>
    <x v="13"/>
    <x v="0"/>
    <n v="42343"/>
    <s v="High"/>
    <x v="30"/>
    <n v="41"/>
    <x v="0"/>
    <x v="0"/>
    <n v="3.75"/>
    <s v="No"/>
    <n v="3.27"/>
    <x v="2"/>
    <x v="3"/>
    <x v="2"/>
  </r>
  <r>
    <s v="AIJ-101391"/>
    <x v="19"/>
    <x v="2"/>
    <x v="8"/>
    <x v="3"/>
    <x v="12"/>
    <x v="89"/>
    <x v="13"/>
    <x v="2"/>
    <n v="157384"/>
    <s v="Medium"/>
    <x v="37"/>
    <n v="58"/>
    <x v="0"/>
    <x v="1"/>
    <n v="2.2200000000000002"/>
    <s v="No"/>
    <n v="4.6399999999999997"/>
    <x v="0"/>
    <x v="1"/>
    <x v="3"/>
  </r>
  <r>
    <s v="AIJ-101392"/>
    <x v="0"/>
    <x v="3"/>
    <x v="5"/>
    <x v="1"/>
    <x v="20"/>
    <x v="57"/>
    <x v="43"/>
    <x v="1"/>
    <n v="195464"/>
    <s v="Medium"/>
    <x v="24"/>
    <n v="38"/>
    <x v="1"/>
    <x v="0"/>
    <n v="3.36"/>
    <s v="No"/>
    <n v="2.83"/>
    <x v="0"/>
    <x v="3"/>
    <x v="2"/>
  </r>
  <r>
    <s v="AIJ-101393"/>
    <x v="2"/>
    <x v="9"/>
    <x v="4"/>
    <x v="2"/>
    <x v="4"/>
    <x v="63"/>
    <x v="6"/>
    <x v="1"/>
    <n v="217277"/>
    <s v="Low"/>
    <x v="39"/>
    <n v="37"/>
    <x v="1"/>
    <x v="2"/>
    <n v="2.79"/>
    <s v="No"/>
    <n v="3.99"/>
    <x v="0"/>
    <x v="0"/>
    <x v="1"/>
  </r>
  <r>
    <s v="AIJ-101394"/>
    <x v="0"/>
    <x v="6"/>
    <x v="0"/>
    <x v="3"/>
    <x v="25"/>
    <x v="90"/>
    <x v="65"/>
    <x v="1"/>
    <n v="103637"/>
    <s v="High"/>
    <x v="17"/>
    <n v="36"/>
    <x v="1"/>
    <x v="0"/>
    <n v="2.2799999999999998"/>
    <s v="No"/>
    <n v="2.5499999999999998"/>
    <x v="1"/>
    <x v="1"/>
    <x v="1"/>
  </r>
  <r>
    <s v="AIJ-101395"/>
    <x v="2"/>
    <x v="1"/>
    <x v="3"/>
    <x v="0"/>
    <x v="19"/>
    <x v="90"/>
    <x v="37"/>
    <x v="0"/>
    <n v="124340"/>
    <s v="Low"/>
    <x v="37"/>
    <n v="45"/>
    <x v="0"/>
    <x v="1"/>
    <n v="3.18"/>
    <s v="No"/>
    <n v="2.4500000000000002"/>
    <x v="0"/>
    <x v="2"/>
    <x v="2"/>
  </r>
  <r>
    <s v="AIJ-101396"/>
    <x v="15"/>
    <x v="3"/>
    <x v="4"/>
    <x v="3"/>
    <x v="7"/>
    <x v="61"/>
    <x v="41"/>
    <x v="1"/>
    <n v="73625"/>
    <s v="Medium"/>
    <x v="50"/>
    <n v="30"/>
    <x v="1"/>
    <x v="0"/>
    <n v="2.0299999999999998"/>
    <s v="No"/>
    <n v="4.83"/>
    <x v="1"/>
    <x v="2"/>
    <x v="1"/>
  </r>
  <r>
    <s v="AIJ-101397"/>
    <x v="14"/>
    <x v="0"/>
    <x v="4"/>
    <x v="1"/>
    <x v="12"/>
    <x v="72"/>
    <x v="60"/>
    <x v="2"/>
    <n v="200381"/>
    <s v="Medium"/>
    <x v="39"/>
    <n v="49"/>
    <x v="2"/>
    <x v="1"/>
    <n v="4.67"/>
    <s v="No"/>
    <n v="3.38"/>
    <x v="1"/>
    <x v="3"/>
    <x v="3"/>
  </r>
  <r>
    <s v="AIJ-101398"/>
    <x v="4"/>
    <x v="9"/>
    <x v="2"/>
    <x v="2"/>
    <x v="0"/>
    <x v="13"/>
    <x v="35"/>
    <x v="1"/>
    <n v="184470"/>
    <s v="Low"/>
    <x v="41"/>
    <n v="33"/>
    <x v="1"/>
    <x v="0"/>
    <n v="3.79"/>
    <s v="Yes"/>
    <n v="1.75"/>
    <x v="2"/>
    <x v="3"/>
    <x v="0"/>
  </r>
  <r>
    <s v="AIJ-101399"/>
    <x v="10"/>
    <x v="8"/>
    <x v="4"/>
    <x v="1"/>
    <x v="14"/>
    <x v="25"/>
    <x v="3"/>
    <x v="1"/>
    <n v="93401"/>
    <s v="Medium"/>
    <x v="14"/>
    <n v="55"/>
    <x v="2"/>
    <x v="0"/>
    <n v="4.67"/>
    <s v="No"/>
    <n v="3.26"/>
    <x v="1"/>
    <x v="0"/>
    <x v="2"/>
  </r>
  <r>
    <s v="AIJ-101400"/>
    <x v="15"/>
    <x v="7"/>
    <x v="1"/>
    <x v="3"/>
    <x v="6"/>
    <x v="58"/>
    <x v="44"/>
    <x v="0"/>
    <n v="170951"/>
    <s v="High"/>
    <x v="30"/>
    <n v="37"/>
    <x v="2"/>
    <x v="0"/>
    <n v="4.5"/>
    <s v="Yes"/>
    <n v="4.1399999999999997"/>
    <x v="1"/>
    <x v="3"/>
    <x v="0"/>
  </r>
  <r>
    <s v="AIJ-101401"/>
    <x v="9"/>
    <x v="3"/>
    <x v="9"/>
    <x v="2"/>
    <x v="14"/>
    <x v="90"/>
    <x v="44"/>
    <x v="0"/>
    <n v="57953"/>
    <s v="Medium"/>
    <x v="41"/>
    <n v="60"/>
    <x v="2"/>
    <x v="2"/>
    <n v="3.59"/>
    <s v="Yes"/>
    <n v="2.2999999999999998"/>
    <x v="1"/>
    <x v="1"/>
    <x v="2"/>
  </r>
  <r>
    <s v="AIJ-101402"/>
    <x v="0"/>
    <x v="5"/>
    <x v="3"/>
    <x v="0"/>
    <x v="21"/>
    <x v="21"/>
    <x v="5"/>
    <x v="2"/>
    <n v="141221"/>
    <s v="Low"/>
    <x v="39"/>
    <n v="37"/>
    <x v="0"/>
    <x v="0"/>
    <n v="4.8499999999999996"/>
    <s v="Yes"/>
    <n v="1.49"/>
    <x v="2"/>
    <x v="3"/>
    <x v="0"/>
  </r>
  <r>
    <s v="AIJ-101403"/>
    <x v="17"/>
    <x v="5"/>
    <x v="3"/>
    <x v="0"/>
    <x v="3"/>
    <x v="28"/>
    <x v="6"/>
    <x v="2"/>
    <n v="181175"/>
    <s v="Medium"/>
    <x v="9"/>
    <n v="56"/>
    <x v="0"/>
    <x v="2"/>
    <n v="2.75"/>
    <s v="Yes"/>
    <n v="4.22"/>
    <x v="0"/>
    <x v="3"/>
    <x v="2"/>
  </r>
  <r>
    <s v="AIJ-101404"/>
    <x v="14"/>
    <x v="6"/>
    <x v="4"/>
    <x v="1"/>
    <x v="1"/>
    <x v="76"/>
    <x v="65"/>
    <x v="0"/>
    <n v="60108"/>
    <s v="High"/>
    <x v="24"/>
    <n v="46"/>
    <x v="1"/>
    <x v="1"/>
    <n v="2.0099999999999998"/>
    <s v="No"/>
    <n v="1.31"/>
    <x v="2"/>
    <x v="2"/>
    <x v="1"/>
  </r>
  <r>
    <s v="AIJ-101405"/>
    <x v="17"/>
    <x v="8"/>
    <x v="8"/>
    <x v="2"/>
    <x v="24"/>
    <x v="65"/>
    <x v="72"/>
    <x v="1"/>
    <n v="35558"/>
    <s v="Medium"/>
    <x v="33"/>
    <n v="41"/>
    <x v="2"/>
    <x v="2"/>
    <n v="3.2"/>
    <s v="No"/>
    <n v="3.48"/>
    <x v="0"/>
    <x v="2"/>
    <x v="1"/>
  </r>
  <r>
    <s v="AIJ-101406"/>
    <x v="19"/>
    <x v="0"/>
    <x v="5"/>
    <x v="1"/>
    <x v="5"/>
    <x v="43"/>
    <x v="14"/>
    <x v="2"/>
    <n v="113764"/>
    <s v="High"/>
    <x v="12"/>
    <n v="44"/>
    <x v="2"/>
    <x v="1"/>
    <n v="2.5099999999999998"/>
    <s v="Yes"/>
    <n v="1.92"/>
    <x v="0"/>
    <x v="3"/>
    <x v="3"/>
  </r>
  <r>
    <s v="AIJ-101407"/>
    <x v="19"/>
    <x v="3"/>
    <x v="5"/>
    <x v="0"/>
    <x v="22"/>
    <x v="89"/>
    <x v="56"/>
    <x v="0"/>
    <n v="82864"/>
    <s v="High"/>
    <x v="24"/>
    <n v="36"/>
    <x v="2"/>
    <x v="0"/>
    <n v="4.12"/>
    <s v="Yes"/>
    <n v="2.7"/>
    <x v="2"/>
    <x v="2"/>
    <x v="2"/>
  </r>
  <r>
    <s v="AIJ-101408"/>
    <x v="0"/>
    <x v="7"/>
    <x v="9"/>
    <x v="2"/>
    <x v="15"/>
    <x v="74"/>
    <x v="13"/>
    <x v="2"/>
    <n v="203974"/>
    <s v="Medium"/>
    <x v="53"/>
    <n v="33"/>
    <x v="2"/>
    <x v="2"/>
    <n v="4.17"/>
    <s v="No"/>
    <n v="2.99"/>
    <x v="1"/>
    <x v="2"/>
    <x v="1"/>
  </r>
  <r>
    <s v="AIJ-101409"/>
    <x v="17"/>
    <x v="5"/>
    <x v="5"/>
    <x v="1"/>
    <x v="20"/>
    <x v="61"/>
    <x v="29"/>
    <x v="0"/>
    <n v="177416"/>
    <s v="High"/>
    <x v="25"/>
    <n v="48"/>
    <x v="2"/>
    <x v="2"/>
    <n v="4.49"/>
    <s v="Yes"/>
    <n v="4.0199999999999996"/>
    <x v="0"/>
    <x v="2"/>
    <x v="2"/>
  </r>
  <r>
    <s v="AIJ-101410"/>
    <x v="1"/>
    <x v="0"/>
    <x v="2"/>
    <x v="0"/>
    <x v="8"/>
    <x v="35"/>
    <x v="30"/>
    <x v="2"/>
    <n v="127505"/>
    <s v="High"/>
    <x v="40"/>
    <n v="32"/>
    <x v="2"/>
    <x v="0"/>
    <n v="2.4900000000000002"/>
    <s v="Yes"/>
    <n v="4.62"/>
    <x v="1"/>
    <x v="2"/>
    <x v="2"/>
  </r>
  <r>
    <s v="AIJ-101411"/>
    <x v="6"/>
    <x v="3"/>
    <x v="7"/>
    <x v="1"/>
    <x v="5"/>
    <x v="56"/>
    <x v="65"/>
    <x v="0"/>
    <n v="152616"/>
    <s v="Medium"/>
    <x v="44"/>
    <n v="32"/>
    <x v="0"/>
    <x v="0"/>
    <n v="2.71"/>
    <s v="Yes"/>
    <n v="1.71"/>
    <x v="0"/>
    <x v="1"/>
    <x v="3"/>
  </r>
  <r>
    <s v="AIJ-101412"/>
    <x v="7"/>
    <x v="2"/>
    <x v="6"/>
    <x v="1"/>
    <x v="4"/>
    <x v="21"/>
    <x v="55"/>
    <x v="1"/>
    <n v="97602"/>
    <s v="Medium"/>
    <x v="32"/>
    <n v="58"/>
    <x v="2"/>
    <x v="0"/>
    <n v="3.49"/>
    <s v="No"/>
    <n v="2.4500000000000002"/>
    <x v="2"/>
    <x v="3"/>
    <x v="1"/>
  </r>
  <r>
    <s v="AIJ-101413"/>
    <x v="11"/>
    <x v="3"/>
    <x v="8"/>
    <x v="1"/>
    <x v="14"/>
    <x v="53"/>
    <x v="32"/>
    <x v="2"/>
    <n v="71075"/>
    <s v="High"/>
    <x v="14"/>
    <n v="50"/>
    <x v="2"/>
    <x v="2"/>
    <n v="2.88"/>
    <s v="No"/>
    <n v="4.84"/>
    <x v="0"/>
    <x v="2"/>
    <x v="2"/>
  </r>
  <r>
    <s v="AIJ-101414"/>
    <x v="12"/>
    <x v="2"/>
    <x v="3"/>
    <x v="0"/>
    <x v="22"/>
    <x v="88"/>
    <x v="24"/>
    <x v="1"/>
    <n v="122887"/>
    <s v="Low"/>
    <x v="16"/>
    <n v="42"/>
    <x v="0"/>
    <x v="0"/>
    <n v="4.5"/>
    <s v="Yes"/>
    <n v="2.46"/>
    <x v="0"/>
    <x v="2"/>
    <x v="2"/>
  </r>
  <r>
    <s v="AIJ-101415"/>
    <x v="5"/>
    <x v="6"/>
    <x v="2"/>
    <x v="3"/>
    <x v="22"/>
    <x v="88"/>
    <x v="29"/>
    <x v="1"/>
    <n v="52158"/>
    <s v="Low"/>
    <x v="47"/>
    <n v="60"/>
    <x v="0"/>
    <x v="2"/>
    <n v="4.26"/>
    <s v="Yes"/>
    <n v="4.28"/>
    <x v="1"/>
    <x v="2"/>
    <x v="2"/>
  </r>
  <r>
    <s v="AIJ-101416"/>
    <x v="19"/>
    <x v="0"/>
    <x v="9"/>
    <x v="3"/>
    <x v="22"/>
    <x v="8"/>
    <x v="42"/>
    <x v="2"/>
    <n v="33341"/>
    <s v="Low"/>
    <x v="0"/>
    <n v="40"/>
    <x v="0"/>
    <x v="0"/>
    <n v="4.96"/>
    <s v="No"/>
    <n v="2.79"/>
    <x v="1"/>
    <x v="3"/>
    <x v="2"/>
  </r>
  <r>
    <s v="AIJ-101417"/>
    <x v="12"/>
    <x v="9"/>
    <x v="2"/>
    <x v="3"/>
    <x v="20"/>
    <x v="8"/>
    <x v="24"/>
    <x v="2"/>
    <n v="211807"/>
    <s v="Low"/>
    <x v="35"/>
    <n v="35"/>
    <x v="1"/>
    <x v="1"/>
    <n v="4.3099999999999996"/>
    <s v="Yes"/>
    <n v="3.97"/>
    <x v="1"/>
    <x v="3"/>
    <x v="2"/>
  </r>
  <r>
    <s v="AIJ-101418"/>
    <x v="19"/>
    <x v="3"/>
    <x v="8"/>
    <x v="2"/>
    <x v="12"/>
    <x v="64"/>
    <x v="66"/>
    <x v="1"/>
    <n v="177526"/>
    <s v="Medium"/>
    <x v="27"/>
    <n v="32"/>
    <x v="0"/>
    <x v="1"/>
    <n v="2.9"/>
    <s v="No"/>
    <n v="3.01"/>
    <x v="2"/>
    <x v="1"/>
    <x v="3"/>
  </r>
  <r>
    <s v="AIJ-101419"/>
    <x v="11"/>
    <x v="9"/>
    <x v="0"/>
    <x v="1"/>
    <x v="24"/>
    <x v="17"/>
    <x v="51"/>
    <x v="2"/>
    <n v="135002"/>
    <s v="High"/>
    <x v="37"/>
    <n v="53"/>
    <x v="2"/>
    <x v="1"/>
    <n v="4.8499999999999996"/>
    <s v="No"/>
    <n v="4.78"/>
    <x v="2"/>
    <x v="3"/>
    <x v="1"/>
  </r>
  <r>
    <s v="AIJ-101420"/>
    <x v="2"/>
    <x v="8"/>
    <x v="5"/>
    <x v="1"/>
    <x v="7"/>
    <x v="86"/>
    <x v="76"/>
    <x v="1"/>
    <n v="85577"/>
    <s v="High"/>
    <x v="38"/>
    <n v="37"/>
    <x v="2"/>
    <x v="1"/>
    <n v="2.59"/>
    <s v="Yes"/>
    <n v="4.57"/>
    <x v="2"/>
    <x v="3"/>
    <x v="1"/>
  </r>
  <r>
    <s v="AIJ-101421"/>
    <x v="16"/>
    <x v="6"/>
    <x v="1"/>
    <x v="1"/>
    <x v="12"/>
    <x v="42"/>
    <x v="30"/>
    <x v="1"/>
    <n v="208051"/>
    <s v="Low"/>
    <x v="11"/>
    <n v="35"/>
    <x v="1"/>
    <x v="1"/>
    <n v="4.2699999999999996"/>
    <s v="No"/>
    <n v="1.0900000000000001"/>
    <x v="0"/>
    <x v="0"/>
    <x v="3"/>
  </r>
  <r>
    <s v="AIJ-101422"/>
    <x v="15"/>
    <x v="6"/>
    <x v="1"/>
    <x v="1"/>
    <x v="22"/>
    <x v="69"/>
    <x v="29"/>
    <x v="1"/>
    <n v="49037"/>
    <s v="Low"/>
    <x v="6"/>
    <n v="30"/>
    <x v="2"/>
    <x v="0"/>
    <n v="2.27"/>
    <s v="No"/>
    <n v="2.2999999999999998"/>
    <x v="1"/>
    <x v="2"/>
    <x v="2"/>
  </r>
  <r>
    <s v="AIJ-101423"/>
    <x v="7"/>
    <x v="7"/>
    <x v="7"/>
    <x v="3"/>
    <x v="6"/>
    <x v="75"/>
    <x v="36"/>
    <x v="0"/>
    <n v="210113"/>
    <s v="High"/>
    <x v="32"/>
    <n v="35"/>
    <x v="2"/>
    <x v="1"/>
    <n v="4.57"/>
    <s v="Yes"/>
    <n v="2.2799999999999998"/>
    <x v="0"/>
    <x v="0"/>
    <x v="0"/>
  </r>
  <r>
    <s v="AIJ-101424"/>
    <x v="19"/>
    <x v="7"/>
    <x v="4"/>
    <x v="3"/>
    <x v="15"/>
    <x v="72"/>
    <x v="71"/>
    <x v="1"/>
    <n v="120507"/>
    <s v="Low"/>
    <x v="32"/>
    <n v="52"/>
    <x v="2"/>
    <x v="2"/>
    <n v="3"/>
    <s v="No"/>
    <n v="4.43"/>
    <x v="1"/>
    <x v="3"/>
    <x v="1"/>
  </r>
  <r>
    <s v="AIJ-101425"/>
    <x v="17"/>
    <x v="1"/>
    <x v="7"/>
    <x v="1"/>
    <x v="21"/>
    <x v="69"/>
    <x v="22"/>
    <x v="1"/>
    <n v="195623"/>
    <s v="Low"/>
    <x v="26"/>
    <n v="43"/>
    <x v="1"/>
    <x v="2"/>
    <n v="4.01"/>
    <s v="No"/>
    <n v="4.57"/>
    <x v="0"/>
    <x v="0"/>
    <x v="0"/>
  </r>
  <r>
    <s v="AIJ-101426"/>
    <x v="1"/>
    <x v="6"/>
    <x v="6"/>
    <x v="1"/>
    <x v="0"/>
    <x v="85"/>
    <x v="20"/>
    <x v="1"/>
    <n v="49177"/>
    <s v="High"/>
    <x v="24"/>
    <n v="51"/>
    <x v="2"/>
    <x v="0"/>
    <n v="4.43"/>
    <s v="No"/>
    <n v="3.38"/>
    <x v="1"/>
    <x v="3"/>
    <x v="0"/>
  </r>
  <r>
    <s v="AIJ-101427"/>
    <x v="10"/>
    <x v="3"/>
    <x v="8"/>
    <x v="2"/>
    <x v="0"/>
    <x v="65"/>
    <x v="24"/>
    <x v="0"/>
    <n v="162431"/>
    <s v="Medium"/>
    <x v="23"/>
    <n v="54"/>
    <x v="2"/>
    <x v="0"/>
    <n v="2.29"/>
    <s v="Yes"/>
    <n v="3.93"/>
    <x v="0"/>
    <x v="2"/>
    <x v="0"/>
  </r>
  <r>
    <s v="AIJ-101428"/>
    <x v="9"/>
    <x v="4"/>
    <x v="4"/>
    <x v="2"/>
    <x v="12"/>
    <x v="72"/>
    <x v="17"/>
    <x v="2"/>
    <n v="132429"/>
    <s v="Medium"/>
    <x v="18"/>
    <n v="47"/>
    <x v="0"/>
    <x v="1"/>
    <n v="2.27"/>
    <s v="No"/>
    <n v="4.7300000000000004"/>
    <x v="0"/>
    <x v="2"/>
    <x v="3"/>
  </r>
  <r>
    <s v="AIJ-101429"/>
    <x v="0"/>
    <x v="8"/>
    <x v="7"/>
    <x v="0"/>
    <x v="3"/>
    <x v="82"/>
    <x v="77"/>
    <x v="2"/>
    <n v="175962"/>
    <s v="Low"/>
    <x v="53"/>
    <n v="45"/>
    <x v="1"/>
    <x v="0"/>
    <n v="3.46"/>
    <s v="Yes"/>
    <n v="3.9"/>
    <x v="0"/>
    <x v="3"/>
    <x v="2"/>
  </r>
  <r>
    <s v="AIJ-101430"/>
    <x v="14"/>
    <x v="1"/>
    <x v="8"/>
    <x v="0"/>
    <x v="7"/>
    <x v="67"/>
    <x v="41"/>
    <x v="0"/>
    <n v="122197"/>
    <s v="High"/>
    <x v="8"/>
    <n v="52"/>
    <x v="1"/>
    <x v="0"/>
    <n v="2.67"/>
    <s v="No"/>
    <n v="3.41"/>
    <x v="0"/>
    <x v="2"/>
    <x v="1"/>
  </r>
  <r>
    <s v="AIJ-101431"/>
    <x v="5"/>
    <x v="4"/>
    <x v="3"/>
    <x v="3"/>
    <x v="11"/>
    <x v="18"/>
    <x v="24"/>
    <x v="0"/>
    <n v="50822"/>
    <s v="Medium"/>
    <x v="52"/>
    <n v="46"/>
    <x v="0"/>
    <x v="0"/>
    <n v="3.25"/>
    <s v="No"/>
    <n v="1.27"/>
    <x v="0"/>
    <x v="2"/>
    <x v="1"/>
  </r>
  <r>
    <s v="AIJ-101432"/>
    <x v="11"/>
    <x v="7"/>
    <x v="7"/>
    <x v="1"/>
    <x v="16"/>
    <x v="52"/>
    <x v="29"/>
    <x v="0"/>
    <n v="205331"/>
    <s v="Low"/>
    <x v="5"/>
    <n v="31"/>
    <x v="0"/>
    <x v="0"/>
    <n v="3.32"/>
    <s v="Yes"/>
    <n v="1.07"/>
    <x v="2"/>
    <x v="2"/>
    <x v="3"/>
  </r>
  <r>
    <s v="AIJ-101433"/>
    <x v="12"/>
    <x v="9"/>
    <x v="3"/>
    <x v="1"/>
    <x v="21"/>
    <x v="82"/>
    <x v="31"/>
    <x v="2"/>
    <n v="92973"/>
    <s v="Low"/>
    <x v="47"/>
    <n v="42"/>
    <x v="2"/>
    <x v="0"/>
    <n v="3.67"/>
    <s v="Yes"/>
    <n v="3.37"/>
    <x v="2"/>
    <x v="0"/>
    <x v="0"/>
  </r>
  <r>
    <s v="AIJ-101434"/>
    <x v="5"/>
    <x v="6"/>
    <x v="1"/>
    <x v="3"/>
    <x v="16"/>
    <x v="75"/>
    <x v="71"/>
    <x v="1"/>
    <n v="67637"/>
    <s v="Medium"/>
    <x v="14"/>
    <n v="51"/>
    <x v="1"/>
    <x v="1"/>
    <n v="2.89"/>
    <s v="Yes"/>
    <n v="3.03"/>
    <x v="0"/>
    <x v="0"/>
    <x v="3"/>
  </r>
  <r>
    <s v="AIJ-101435"/>
    <x v="8"/>
    <x v="9"/>
    <x v="1"/>
    <x v="3"/>
    <x v="5"/>
    <x v="74"/>
    <x v="41"/>
    <x v="0"/>
    <n v="166427"/>
    <s v="Medium"/>
    <x v="0"/>
    <n v="30"/>
    <x v="1"/>
    <x v="1"/>
    <n v="2.75"/>
    <s v="Yes"/>
    <n v="4.09"/>
    <x v="2"/>
    <x v="3"/>
    <x v="3"/>
  </r>
  <r>
    <s v="AIJ-101436"/>
    <x v="11"/>
    <x v="2"/>
    <x v="8"/>
    <x v="0"/>
    <x v="25"/>
    <x v="0"/>
    <x v="72"/>
    <x v="2"/>
    <n v="110534"/>
    <s v="Medium"/>
    <x v="47"/>
    <n v="44"/>
    <x v="0"/>
    <x v="0"/>
    <n v="4.8899999999999997"/>
    <s v="No"/>
    <n v="2.2599999999999998"/>
    <x v="1"/>
    <x v="3"/>
    <x v="1"/>
  </r>
  <r>
    <s v="AIJ-101437"/>
    <x v="4"/>
    <x v="8"/>
    <x v="5"/>
    <x v="1"/>
    <x v="18"/>
    <x v="11"/>
    <x v="50"/>
    <x v="1"/>
    <n v="128983"/>
    <s v="High"/>
    <x v="16"/>
    <n v="31"/>
    <x v="1"/>
    <x v="2"/>
    <n v="2.38"/>
    <s v="Yes"/>
    <n v="1.52"/>
    <x v="1"/>
    <x v="3"/>
    <x v="3"/>
  </r>
  <r>
    <s v="AIJ-101438"/>
    <x v="4"/>
    <x v="7"/>
    <x v="2"/>
    <x v="3"/>
    <x v="7"/>
    <x v="5"/>
    <x v="71"/>
    <x v="2"/>
    <n v="56760"/>
    <s v="High"/>
    <x v="39"/>
    <n v="56"/>
    <x v="2"/>
    <x v="2"/>
    <n v="4.7699999999999996"/>
    <s v="Yes"/>
    <n v="4.09"/>
    <x v="0"/>
    <x v="3"/>
    <x v="1"/>
  </r>
  <r>
    <s v="AIJ-101439"/>
    <x v="9"/>
    <x v="8"/>
    <x v="4"/>
    <x v="1"/>
    <x v="10"/>
    <x v="74"/>
    <x v="17"/>
    <x v="2"/>
    <n v="172151"/>
    <s v="High"/>
    <x v="46"/>
    <n v="54"/>
    <x v="2"/>
    <x v="1"/>
    <n v="3.9"/>
    <s v="Yes"/>
    <n v="3.33"/>
    <x v="1"/>
    <x v="2"/>
    <x v="3"/>
  </r>
  <r>
    <s v="AIJ-101440"/>
    <x v="7"/>
    <x v="1"/>
    <x v="6"/>
    <x v="1"/>
    <x v="21"/>
    <x v="21"/>
    <x v="50"/>
    <x v="0"/>
    <n v="174613"/>
    <s v="Low"/>
    <x v="17"/>
    <n v="38"/>
    <x v="0"/>
    <x v="0"/>
    <n v="2.4500000000000002"/>
    <s v="No"/>
    <n v="1.77"/>
    <x v="2"/>
    <x v="3"/>
    <x v="0"/>
  </r>
  <r>
    <s v="AIJ-101441"/>
    <x v="9"/>
    <x v="5"/>
    <x v="8"/>
    <x v="1"/>
    <x v="5"/>
    <x v="38"/>
    <x v="17"/>
    <x v="2"/>
    <n v="49313"/>
    <s v="Medium"/>
    <x v="48"/>
    <n v="48"/>
    <x v="1"/>
    <x v="1"/>
    <n v="4.3600000000000003"/>
    <s v="Yes"/>
    <n v="3.68"/>
    <x v="1"/>
    <x v="2"/>
    <x v="3"/>
  </r>
  <r>
    <s v="AIJ-101442"/>
    <x v="8"/>
    <x v="3"/>
    <x v="2"/>
    <x v="2"/>
    <x v="11"/>
    <x v="3"/>
    <x v="3"/>
    <x v="2"/>
    <n v="54252"/>
    <s v="Low"/>
    <x v="8"/>
    <n v="40"/>
    <x v="2"/>
    <x v="0"/>
    <n v="4.03"/>
    <s v="Yes"/>
    <n v="4.55"/>
    <x v="0"/>
    <x v="0"/>
    <x v="1"/>
  </r>
  <r>
    <s v="AIJ-101443"/>
    <x v="3"/>
    <x v="5"/>
    <x v="2"/>
    <x v="2"/>
    <x v="13"/>
    <x v="3"/>
    <x v="40"/>
    <x v="2"/>
    <n v="81905"/>
    <s v="Low"/>
    <x v="33"/>
    <n v="30"/>
    <x v="2"/>
    <x v="2"/>
    <n v="4.09"/>
    <s v="Yes"/>
    <n v="1.63"/>
    <x v="0"/>
    <x v="3"/>
    <x v="1"/>
  </r>
  <r>
    <s v="AIJ-101444"/>
    <x v="14"/>
    <x v="6"/>
    <x v="0"/>
    <x v="3"/>
    <x v="9"/>
    <x v="49"/>
    <x v="17"/>
    <x v="0"/>
    <n v="124675"/>
    <s v="Medium"/>
    <x v="4"/>
    <n v="33"/>
    <x v="2"/>
    <x v="0"/>
    <n v="4.45"/>
    <s v="No"/>
    <n v="3.11"/>
    <x v="2"/>
    <x v="2"/>
    <x v="1"/>
  </r>
  <r>
    <s v="AIJ-101445"/>
    <x v="5"/>
    <x v="7"/>
    <x v="3"/>
    <x v="1"/>
    <x v="1"/>
    <x v="57"/>
    <x v="49"/>
    <x v="0"/>
    <n v="132164"/>
    <s v="Medium"/>
    <x v="31"/>
    <n v="51"/>
    <x v="2"/>
    <x v="0"/>
    <n v="2.81"/>
    <s v="Yes"/>
    <n v="2.82"/>
    <x v="1"/>
    <x v="1"/>
    <x v="1"/>
  </r>
  <r>
    <s v="AIJ-101446"/>
    <x v="11"/>
    <x v="5"/>
    <x v="3"/>
    <x v="2"/>
    <x v="15"/>
    <x v="3"/>
    <x v="2"/>
    <x v="0"/>
    <n v="182207"/>
    <s v="Low"/>
    <x v="44"/>
    <n v="33"/>
    <x v="0"/>
    <x v="2"/>
    <n v="3.18"/>
    <s v="No"/>
    <n v="1.36"/>
    <x v="0"/>
    <x v="3"/>
    <x v="1"/>
  </r>
  <r>
    <s v="AIJ-101447"/>
    <x v="18"/>
    <x v="2"/>
    <x v="2"/>
    <x v="2"/>
    <x v="17"/>
    <x v="0"/>
    <x v="20"/>
    <x v="1"/>
    <n v="148206"/>
    <s v="Medium"/>
    <x v="7"/>
    <n v="32"/>
    <x v="0"/>
    <x v="2"/>
    <n v="2.2400000000000002"/>
    <s v="No"/>
    <n v="3.58"/>
    <x v="1"/>
    <x v="3"/>
    <x v="3"/>
  </r>
  <r>
    <s v="AIJ-101448"/>
    <x v="5"/>
    <x v="9"/>
    <x v="6"/>
    <x v="0"/>
    <x v="18"/>
    <x v="59"/>
    <x v="78"/>
    <x v="2"/>
    <n v="46104"/>
    <s v="Medium"/>
    <x v="24"/>
    <n v="42"/>
    <x v="0"/>
    <x v="0"/>
    <n v="3.75"/>
    <s v="No"/>
    <n v="3.04"/>
    <x v="0"/>
    <x v="3"/>
    <x v="3"/>
  </r>
  <r>
    <s v="AIJ-101449"/>
    <x v="13"/>
    <x v="9"/>
    <x v="8"/>
    <x v="2"/>
    <x v="18"/>
    <x v="74"/>
    <x v="63"/>
    <x v="1"/>
    <n v="44039"/>
    <s v="Low"/>
    <x v="54"/>
    <n v="45"/>
    <x v="2"/>
    <x v="0"/>
    <n v="4.72"/>
    <s v="Yes"/>
    <n v="4.24"/>
    <x v="2"/>
    <x v="2"/>
    <x v="3"/>
  </r>
  <r>
    <s v="AIJ-101450"/>
    <x v="10"/>
    <x v="6"/>
    <x v="6"/>
    <x v="2"/>
    <x v="3"/>
    <x v="6"/>
    <x v="52"/>
    <x v="0"/>
    <n v="140919"/>
    <s v="Medium"/>
    <x v="46"/>
    <n v="39"/>
    <x v="1"/>
    <x v="1"/>
    <n v="3"/>
    <s v="No"/>
    <n v="2.79"/>
    <x v="2"/>
    <x v="0"/>
    <x v="2"/>
  </r>
  <r>
    <s v="AIJ-101451"/>
    <x v="1"/>
    <x v="7"/>
    <x v="1"/>
    <x v="1"/>
    <x v="11"/>
    <x v="61"/>
    <x v="77"/>
    <x v="0"/>
    <n v="213849"/>
    <s v="Medium"/>
    <x v="45"/>
    <n v="51"/>
    <x v="1"/>
    <x v="2"/>
    <n v="4.18"/>
    <s v="No"/>
    <n v="1.98"/>
    <x v="2"/>
    <x v="2"/>
    <x v="1"/>
  </r>
  <r>
    <s v="AIJ-101452"/>
    <x v="15"/>
    <x v="0"/>
    <x v="0"/>
    <x v="0"/>
    <x v="4"/>
    <x v="68"/>
    <x v="42"/>
    <x v="1"/>
    <n v="86214"/>
    <s v="Low"/>
    <x v="47"/>
    <n v="44"/>
    <x v="1"/>
    <x v="0"/>
    <n v="4.6100000000000003"/>
    <s v="No"/>
    <n v="3.78"/>
    <x v="2"/>
    <x v="3"/>
    <x v="1"/>
  </r>
  <r>
    <s v="AIJ-101453"/>
    <x v="8"/>
    <x v="4"/>
    <x v="5"/>
    <x v="1"/>
    <x v="15"/>
    <x v="62"/>
    <x v="56"/>
    <x v="0"/>
    <n v="121487"/>
    <s v="Medium"/>
    <x v="21"/>
    <n v="55"/>
    <x v="2"/>
    <x v="0"/>
    <n v="3.36"/>
    <s v="Yes"/>
    <n v="2.04"/>
    <x v="2"/>
    <x v="3"/>
    <x v="1"/>
  </r>
  <r>
    <s v="AIJ-101454"/>
    <x v="13"/>
    <x v="6"/>
    <x v="7"/>
    <x v="2"/>
    <x v="17"/>
    <x v="34"/>
    <x v="4"/>
    <x v="1"/>
    <n v="132371"/>
    <s v="High"/>
    <x v="54"/>
    <n v="33"/>
    <x v="2"/>
    <x v="2"/>
    <n v="4.47"/>
    <s v="No"/>
    <n v="3.43"/>
    <x v="2"/>
    <x v="3"/>
    <x v="3"/>
  </r>
  <r>
    <s v="AIJ-101455"/>
    <x v="0"/>
    <x v="3"/>
    <x v="4"/>
    <x v="3"/>
    <x v="1"/>
    <x v="86"/>
    <x v="27"/>
    <x v="1"/>
    <n v="183995"/>
    <s v="Medium"/>
    <x v="33"/>
    <n v="42"/>
    <x v="1"/>
    <x v="0"/>
    <n v="3.61"/>
    <s v="No"/>
    <n v="1.06"/>
    <x v="1"/>
    <x v="0"/>
    <x v="1"/>
  </r>
  <r>
    <s v="AIJ-101456"/>
    <x v="17"/>
    <x v="9"/>
    <x v="2"/>
    <x v="0"/>
    <x v="5"/>
    <x v="69"/>
    <x v="57"/>
    <x v="2"/>
    <n v="95676"/>
    <s v="High"/>
    <x v="25"/>
    <n v="41"/>
    <x v="2"/>
    <x v="2"/>
    <n v="3.81"/>
    <s v="Yes"/>
    <n v="2.3199999999999998"/>
    <x v="0"/>
    <x v="0"/>
    <x v="3"/>
  </r>
  <r>
    <s v="AIJ-101457"/>
    <x v="10"/>
    <x v="0"/>
    <x v="5"/>
    <x v="0"/>
    <x v="6"/>
    <x v="37"/>
    <x v="31"/>
    <x v="1"/>
    <n v="59120"/>
    <s v="Low"/>
    <x v="11"/>
    <n v="48"/>
    <x v="2"/>
    <x v="2"/>
    <n v="3.69"/>
    <s v="No"/>
    <n v="4.87"/>
    <x v="0"/>
    <x v="3"/>
    <x v="0"/>
  </r>
  <r>
    <s v="AIJ-101458"/>
    <x v="8"/>
    <x v="8"/>
    <x v="4"/>
    <x v="3"/>
    <x v="2"/>
    <x v="85"/>
    <x v="62"/>
    <x v="1"/>
    <n v="175762"/>
    <s v="High"/>
    <x v="32"/>
    <n v="31"/>
    <x v="0"/>
    <x v="0"/>
    <n v="4.8499999999999996"/>
    <s v="No"/>
    <n v="2.91"/>
    <x v="2"/>
    <x v="0"/>
    <x v="1"/>
  </r>
  <r>
    <s v="AIJ-101459"/>
    <x v="13"/>
    <x v="2"/>
    <x v="7"/>
    <x v="3"/>
    <x v="23"/>
    <x v="3"/>
    <x v="68"/>
    <x v="2"/>
    <n v="207279"/>
    <s v="Medium"/>
    <x v="13"/>
    <n v="49"/>
    <x v="1"/>
    <x v="2"/>
    <n v="4.96"/>
    <s v="Yes"/>
    <n v="4.5199999999999996"/>
    <x v="2"/>
    <x v="3"/>
    <x v="3"/>
  </r>
  <r>
    <s v="AIJ-101460"/>
    <x v="6"/>
    <x v="6"/>
    <x v="1"/>
    <x v="1"/>
    <x v="12"/>
    <x v="21"/>
    <x v="11"/>
    <x v="1"/>
    <n v="195070"/>
    <s v="Low"/>
    <x v="38"/>
    <n v="50"/>
    <x v="2"/>
    <x v="0"/>
    <n v="2.72"/>
    <s v="Yes"/>
    <n v="2.27"/>
    <x v="0"/>
    <x v="2"/>
    <x v="3"/>
  </r>
  <r>
    <s v="AIJ-101461"/>
    <x v="6"/>
    <x v="3"/>
    <x v="2"/>
    <x v="1"/>
    <x v="2"/>
    <x v="39"/>
    <x v="46"/>
    <x v="0"/>
    <n v="68624"/>
    <s v="Medium"/>
    <x v="36"/>
    <n v="55"/>
    <x v="0"/>
    <x v="2"/>
    <n v="4.66"/>
    <s v="No"/>
    <n v="4.22"/>
    <x v="2"/>
    <x v="0"/>
    <x v="1"/>
  </r>
  <r>
    <s v="AIJ-101462"/>
    <x v="1"/>
    <x v="8"/>
    <x v="1"/>
    <x v="3"/>
    <x v="3"/>
    <x v="31"/>
    <x v="71"/>
    <x v="2"/>
    <n v="178811"/>
    <s v="Medium"/>
    <x v="23"/>
    <n v="38"/>
    <x v="2"/>
    <x v="1"/>
    <n v="4.05"/>
    <s v="No"/>
    <n v="4.04"/>
    <x v="2"/>
    <x v="0"/>
    <x v="2"/>
  </r>
  <r>
    <s v="AIJ-101463"/>
    <x v="10"/>
    <x v="4"/>
    <x v="6"/>
    <x v="2"/>
    <x v="15"/>
    <x v="49"/>
    <x v="42"/>
    <x v="2"/>
    <n v="87877"/>
    <s v="High"/>
    <x v="14"/>
    <n v="40"/>
    <x v="0"/>
    <x v="1"/>
    <n v="3.44"/>
    <s v="No"/>
    <n v="2.27"/>
    <x v="1"/>
    <x v="0"/>
    <x v="1"/>
  </r>
  <r>
    <s v="AIJ-101464"/>
    <x v="4"/>
    <x v="7"/>
    <x v="0"/>
    <x v="2"/>
    <x v="25"/>
    <x v="87"/>
    <x v="19"/>
    <x v="0"/>
    <n v="43665"/>
    <s v="Low"/>
    <x v="18"/>
    <n v="53"/>
    <x v="2"/>
    <x v="1"/>
    <n v="4.8600000000000003"/>
    <s v="No"/>
    <n v="1.67"/>
    <x v="1"/>
    <x v="3"/>
    <x v="1"/>
  </r>
  <r>
    <s v="AIJ-101465"/>
    <x v="3"/>
    <x v="5"/>
    <x v="8"/>
    <x v="1"/>
    <x v="15"/>
    <x v="66"/>
    <x v="15"/>
    <x v="1"/>
    <n v="107845"/>
    <s v="Medium"/>
    <x v="21"/>
    <n v="49"/>
    <x v="0"/>
    <x v="0"/>
    <n v="4.8499999999999996"/>
    <s v="No"/>
    <n v="4.08"/>
    <x v="0"/>
    <x v="3"/>
    <x v="1"/>
  </r>
  <r>
    <s v="AIJ-101466"/>
    <x v="17"/>
    <x v="1"/>
    <x v="3"/>
    <x v="3"/>
    <x v="2"/>
    <x v="34"/>
    <x v="11"/>
    <x v="0"/>
    <n v="198689"/>
    <s v="Low"/>
    <x v="13"/>
    <n v="45"/>
    <x v="0"/>
    <x v="2"/>
    <n v="4.96"/>
    <s v="No"/>
    <n v="1.05"/>
    <x v="0"/>
    <x v="1"/>
    <x v="1"/>
  </r>
  <r>
    <s v="AIJ-101467"/>
    <x v="7"/>
    <x v="8"/>
    <x v="4"/>
    <x v="1"/>
    <x v="21"/>
    <x v="11"/>
    <x v="1"/>
    <x v="0"/>
    <n v="175650"/>
    <s v="High"/>
    <x v="39"/>
    <n v="41"/>
    <x v="2"/>
    <x v="2"/>
    <n v="2.1"/>
    <s v="Yes"/>
    <n v="3.31"/>
    <x v="2"/>
    <x v="3"/>
    <x v="0"/>
  </r>
  <r>
    <s v="AIJ-101468"/>
    <x v="12"/>
    <x v="5"/>
    <x v="9"/>
    <x v="1"/>
    <x v="6"/>
    <x v="53"/>
    <x v="64"/>
    <x v="0"/>
    <n v="40306"/>
    <s v="High"/>
    <x v="40"/>
    <n v="37"/>
    <x v="0"/>
    <x v="1"/>
    <n v="4.9400000000000004"/>
    <s v="No"/>
    <n v="3.18"/>
    <x v="2"/>
    <x v="2"/>
    <x v="0"/>
  </r>
  <r>
    <s v="AIJ-101469"/>
    <x v="0"/>
    <x v="1"/>
    <x v="1"/>
    <x v="0"/>
    <x v="14"/>
    <x v="4"/>
    <x v="47"/>
    <x v="2"/>
    <n v="35899"/>
    <s v="Low"/>
    <x v="15"/>
    <n v="51"/>
    <x v="0"/>
    <x v="2"/>
    <n v="3.47"/>
    <s v="No"/>
    <n v="4.05"/>
    <x v="2"/>
    <x v="3"/>
    <x v="2"/>
  </r>
  <r>
    <s v="AIJ-101470"/>
    <x v="19"/>
    <x v="6"/>
    <x v="5"/>
    <x v="2"/>
    <x v="0"/>
    <x v="63"/>
    <x v="15"/>
    <x v="2"/>
    <n v="209419"/>
    <s v="Low"/>
    <x v="32"/>
    <n v="39"/>
    <x v="0"/>
    <x v="0"/>
    <n v="4.3099999999999996"/>
    <s v="Yes"/>
    <n v="1.52"/>
    <x v="2"/>
    <x v="3"/>
    <x v="0"/>
  </r>
  <r>
    <s v="AIJ-101471"/>
    <x v="6"/>
    <x v="7"/>
    <x v="8"/>
    <x v="1"/>
    <x v="24"/>
    <x v="45"/>
    <x v="41"/>
    <x v="2"/>
    <n v="63817"/>
    <s v="High"/>
    <x v="29"/>
    <n v="30"/>
    <x v="0"/>
    <x v="2"/>
    <n v="4.01"/>
    <s v="Yes"/>
    <n v="4.51"/>
    <x v="0"/>
    <x v="3"/>
    <x v="1"/>
  </r>
  <r>
    <s v="AIJ-101472"/>
    <x v="17"/>
    <x v="5"/>
    <x v="8"/>
    <x v="2"/>
    <x v="12"/>
    <x v="76"/>
    <x v="42"/>
    <x v="2"/>
    <n v="180241"/>
    <s v="Medium"/>
    <x v="29"/>
    <n v="33"/>
    <x v="2"/>
    <x v="1"/>
    <n v="3.84"/>
    <s v="No"/>
    <n v="3.91"/>
    <x v="1"/>
    <x v="3"/>
    <x v="3"/>
  </r>
  <r>
    <s v="AIJ-101473"/>
    <x v="3"/>
    <x v="6"/>
    <x v="7"/>
    <x v="2"/>
    <x v="12"/>
    <x v="31"/>
    <x v="40"/>
    <x v="1"/>
    <n v="96249"/>
    <s v="Medium"/>
    <x v="22"/>
    <n v="44"/>
    <x v="1"/>
    <x v="2"/>
    <n v="4.0599999999999996"/>
    <s v="No"/>
    <n v="2.16"/>
    <x v="0"/>
    <x v="3"/>
    <x v="3"/>
  </r>
  <r>
    <s v="AIJ-101474"/>
    <x v="17"/>
    <x v="3"/>
    <x v="7"/>
    <x v="1"/>
    <x v="7"/>
    <x v="9"/>
    <x v="35"/>
    <x v="0"/>
    <n v="108465"/>
    <s v="High"/>
    <x v="36"/>
    <n v="39"/>
    <x v="1"/>
    <x v="2"/>
    <n v="3.08"/>
    <s v="No"/>
    <n v="4.2699999999999996"/>
    <x v="0"/>
    <x v="2"/>
    <x v="1"/>
  </r>
  <r>
    <s v="AIJ-101475"/>
    <x v="6"/>
    <x v="8"/>
    <x v="1"/>
    <x v="2"/>
    <x v="23"/>
    <x v="23"/>
    <x v="7"/>
    <x v="2"/>
    <n v="213010"/>
    <s v="High"/>
    <x v="9"/>
    <n v="44"/>
    <x v="0"/>
    <x v="1"/>
    <n v="3.91"/>
    <s v="Yes"/>
    <n v="2.4"/>
    <x v="1"/>
    <x v="2"/>
    <x v="3"/>
  </r>
  <r>
    <s v="AIJ-101476"/>
    <x v="16"/>
    <x v="3"/>
    <x v="5"/>
    <x v="2"/>
    <x v="1"/>
    <x v="17"/>
    <x v="44"/>
    <x v="0"/>
    <n v="207304"/>
    <s v="Low"/>
    <x v="51"/>
    <n v="59"/>
    <x v="2"/>
    <x v="2"/>
    <n v="4.45"/>
    <s v="No"/>
    <n v="3.03"/>
    <x v="1"/>
    <x v="3"/>
    <x v="1"/>
  </r>
  <r>
    <s v="AIJ-101477"/>
    <x v="5"/>
    <x v="5"/>
    <x v="0"/>
    <x v="2"/>
    <x v="20"/>
    <x v="12"/>
    <x v="59"/>
    <x v="0"/>
    <n v="146691"/>
    <s v="Medium"/>
    <x v="41"/>
    <n v="55"/>
    <x v="0"/>
    <x v="0"/>
    <n v="2.02"/>
    <s v="No"/>
    <n v="1.47"/>
    <x v="0"/>
    <x v="3"/>
    <x v="2"/>
  </r>
  <r>
    <s v="AIJ-101478"/>
    <x v="7"/>
    <x v="7"/>
    <x v="0"/>
    <x v="1"/>
    <x v="0"/>
    <x v="48"/>
    <x v="27"/>
    <x v="1"/>
    <n v="211439"/>
    <s v="High"/>
    <x v="35"/>
    <n v="41"/>
    <x v="0"/>
    <x v="1"/>
    <n v="3.33"/>
    <s v="No"/>
    <n v="2.98"/>
    <x v="0"/>
    <x v="0"/>
    <x v="0"/>
  </r>
  <r>
    <s v="AIJ-101479"/>
    <x v="19"/>
    <x v="1"/>
    <x v="5"/>
    <x v="0"/>
    <x v="12"/>
    <x v="40"/>
    <x v="64"/>
    <x v="0"/>
    <n v="88589"/>
    <s v="Medium"/>
    <x v="10"/>
    <n v="38"/>
    <x v="2"/>
    <x v="0"/>
    <n v="2.31"/>
    <s v="No"/>
    <n v="1"/>
    <x v="0"/>
    <x v="2"/>
    <x v="3"/>
  </r>
  <r>
    <s v="AIJ-101480"/>
    <x v="4"/>
    <x v="0"/>
    <x v="4"/>
    <x v="1"/>
    <x v="5"/>
    <x v="6"/>
    <x v="49"/>
    <x v="2"/>
    <n v="74010"/>
    <s v="High"/>
    <x v="44"/>
    <n v="54"/>
    <x v="2"/>
    <x v="2"/>
    <n v="2.02"/>
    <s v="Yes"/>
    <n v="2.09"/>
    <x v="1"/>
    <x v="3"/>
    <x v="3"/>
  </r>
  <r>
    <s v="AIJ-101481"/>
    <x v="5"/>
    <x v="4"/>
    <x v="2"/>
    <x v="2"/>
    <x v="24"/>
    <x v="45"/>
    <x v="73"/>
    <x v="0"/>
    <n v="159982"/>
    <s v="High"/>
    <x v="34"/>
    <n v="48"/>
    <x v="0"/>
    <x v="0"/>
    <n v="3.44"/>
    <s v="Yes"/>
    <n v="2.87"/>
    <x v="0"/>
    <x v="0"/>
    <x v="1"/>
  </r>
  <r>
    <s v="AIJ-101482"/>
    <x v="18"/>
    <x v="8"/>
    <x v="9"/>
    <x v="3"/>
    <x v="24"/>
    <x v="50"/>
    <x v="23"/>
    <x v="2"/>
    <n v="166065"/>
    <s v="High"/>
    <x v="10"/>
    <n v="49"/>
    <x v="0"/>
    <x v="1"/>
    <n v="3.54"/>
    <s v="Yes"/>
    <n v="3.18"/>
    <x v="1"/>
    <x v="3"/>
    <x v="1"/>
  </r>
  <r>
    <s v="AIJ-101483"/>
    <x v="19"/>
    <x v="9"/>
    <x v="4"/>
    <x v="0"/>
    <x v="11"/>
    <x v="23"/>
    <x v="36"/>
    <x v="1"/>
    <n v="32242"/>
    <s v="High"/>
    <x v="22"/>
    <n v="49"/>
    <x v="0"/>
    <x v="0"/>
    <n v="4.47"/>
    <s v="No"/>
    <n v="2.25"/>
    <x v="0"/>
    <x v="3"/>
    <x v="1"/>
  </r>
  <r>
    <s v="AIJ-101484"/>
    <x v="14"/>
    <x v="8"/>
    <x v="7"/>
    <x v="3"/>
    <x v="16"/>
    <x v="5"/>
    <x v="37"/>
    <x v="2"/>
    <n v="74657"/>
    <s v="Low"/>
    <x v="33"/>
    <n v="54"/>
    <x v="2"/>
    <x v="1"/>
    <n v="4.9800000000000004"/>
    <s v="Yes"/>
    <n v="3.76"/>
    <x v="2"/>
    <x v="3"/>
    <x v="3"/>
  </r>
  <r>
    <s v="AIJ-101485"/>
    <x v="2"/>
    <x v="6"/>
    <x v="3"/>
    <x v="0"/>
    <x v="17"/>
    <x v="41"/>
    <x v="6"/>
    <x v="2"/>
    <n v="196941"/>
    <s v="Medium"/>
    <x v="40"/>
    <n v="46"/>
    <x v="1"/>
    <x v="0"/>
    <n v="3.49"/>
    <s v="No"/>
    <n v="3.66"/>
    <x v="0"/>
    <x v="3"/>
    <x v="3"/>
  </r>
  <r>
    <s v="AIJ-101486"/>
    <x v="10"/>
    <x v="9"/>
    <x v="4"/>
    <x v="2"/>
    <x v="18"/>
    <x v="83"/>
    <x v="16"/>
    <x v="2"/>
    <n v="110368"/>
    <s v="High"/>
    <x v="47"/>
    <n v="55"/>
    <x v="0"/>
    <x v="1"/>
    <n v="3.4"/>
    <s v="No"/>
    <n v="1.38"/>
    <x v="0"/>
    <x v="1"/>
    <x v="3"/>
  </r>
  <r>
    <s v="AIJ-101487"/>
    <x v="4"/>
    <x v="8"/>
    <x v="4"/>
    <x v="1"/>
    <x v="25"/>
    <x v="41"/>
    <x v="16"/>
    <x v="2"/>
    <n v="183057"/>
    <s v="High"/>
    <x v="31"/>
    <n v="39"/>
    <x v="1"/>
    <x v="2"/>
    <n v="4.71"/>
    <s v="No"/>
    <n v="3.33"/>
    <x v="0"/>
    <x v="2"/>
    <x v="1"/>
  </r>
  <r>
    <s v="AIJ-101488"/>
    <x v="15"/>
    <x v="7"/>
    <x v="4"/>
    <x v="1"/>
    <x v="18"/>
    <x v="0"/>
    <x v="43"/>
    <x v="0"/>
    <n v="66239"/>
    <s v="Medium"/>
    <x v="38"/>
    <n v="51"/>
    <x v="0"/>
    <x v="1"/>
    <n v="4.43"/>
    <s v="No"/>
    <n v="3.49"/>
    <x v="2"/>
    <x v="0"/>
    <x v="3"/>
  </r>
  <r>
    <s v="AIJ-101489"/>
    <x v="14"/>
    <x v="3"/>
    <x v="5"/>
    <x v="2"/>
    <x v="11"/>
    <x v="3"/>
    <x v="67"/>
    <x v="0"/>
    <n v="106551"/>
    <s v="High"/>
    <x v="41"/>
    <n v="40"/>
    <x v="2"/>
    <x v="1"/>
    <n v="4.08"/>
    <s v="Yes"/>
    <n v="4.6500000000000004"/>
    <x v="2"/>
    <x v="3"/>
    <x v="1"/>
  </r>
  <r>
    <s v="AIJ-101490"/>
    <x v="7"/>
    <x v="1"/>
    <x v="5"/>
    <x v="3"/>
    <x v="9"/>
    <x v="30"/>
    <x v="13"/>
    <x v="1"/>
    <n v="139601"/>
    <s v="Medium"/>
    <x v="51"/>
    <n v="54"/>
    <x v="1"/>
    <x v="2"/>
    <n v="3.65"/>
    <s v="Yes"/>
    <n v="4.71"/>
    <x v="0"/>
    <x v="2"/>
    <x v="1"/>
  </r>
  <r>
    <s v="AIJ-101491"/>
    <x v="15"/>
    <x v="0"/>
    <x v="1"/>
    <x v="1"/>
    <x v="22"/>
    <x v="44"/>
    <x v="15"/>
    <x v="2"/>
    <n v="144714"/>
    <s v="High"/>
    <x v="7"/>
    <n v="50"/>
    <x v="0"/>
    <x v="0"/>
    <n v="2.08"/>
    <s v="No"/>
    <n v="2.1800000000000002"/>
    <x v="1"/>
    <x v="1"/>
    <x v="2"/>
  </r>
  <r>
    <s v="AIJ-101492"/>
    <x v="1"/>
    <x v="6"/>
    <x v="1"/>
    <x v="0"/>
    <x v="8"/>
    <x v="63"/>
    <x v="3"/>
    <x v="2"/>
    <n v="182209"/>
    <s v="Medium"/>
    <x v="15"/>
    <n v="30"/>
    <x v="2"/>
    <x v="1"/>
    <n v="3.46"/>
    <s v="No"/>
    <n v="4.6900000000000004"/>
    <x v="2"/>
    <x v="0"/>
    <x v="2"/>
  </r>
  <r>
    <s v="AIJ-101493"/>
    <x v="10"/>
    <x v="1"/>
    <x v="7"/>
    <x v="2"/>
    <x v="21"/>
    <x v="40"/>
    <x v="37"/>
    <x v="2"/>
    <n v="187445"/>
    <s v="Low"/>
    <x v="38"/>
    <n v="53"/>
    <x v="1"/>
    <x v="1"/>
    <n v="3.7"/>
    <s v="Yes"/>
    <n v="4.79"/>
    <x v="1"/>
    <x v="2"/>
    <x v="0"/>
  </r>
  <r>
    <s v="AIJ-101494"/>
    <x v="19"/>
    <x v="4"/>
    <x v="2"/>
    <x v="0"/>
    <x v="1"/>
    <x v="4"/>
    <x v="47"/>
    <x v="2"/>
    <n v="118384"/>
    <s v="Low"/>
    <x v="15"/>
    <n v="50"/>
    <x v="2"/>
    <x v="2"/>
    <n v="4.75"/>
    <s v="Yes"/>
    <n v="4.82"/>
    <x v="0"/>
    <x v="3"/>
    <x v="1"/>
  </r>
  <r>
    <s v="AIJ-101495"/>
    <x v="7"/>
    <x v="3"/>
    <x v="8"/>
    <x v="0"/>
    <x v="12"/>
    <x v="20"/>
    <x v="71"/>
    <x v="2"/>
    <n v="96283"/>
    <s v="Medium"/>
    <x v="43"/>
    <n v="59"/>
    <x v="1"/>
    <x v="1"/>
    <n v="2.5499999999999998"/>
    <s v="Yes"/>
    <n v="3.2"/>
    <x v="2"/>
    <x v="0"/>
    <x v="3"/>
  </r>
  <r>
    <s v="AIJ-101496"/>
    <x v="17"/>
    <x v="0"/>
    <x v="8"/>
    <x v="3"/>
    <x v="20"/>
    <x v="28"/>
    <x v="31"/>
    <x v="0"/>
    <n v="189750"/>
    <s v="Medium"/>
    <x v="1"/>
    <n v="35"/>
    <x v="1"/>
    <x v="1"/>
    <n v="2.13"/>
    <s v="Yes"/>
    <n v="4.59"/>
    <x v="2"/>
    <x v="2"/>
    <x v="2"/>
  </r>
  <r>
    <s v="AIJ-101497"/>
    <x v="1"/>
    <x v="1"/>
    <x v="0"/>
    <x v="3"/>
    <x v="10"/>
    <x v="47"/>
    <x v="74"/>
    <x v="2"/>
    <n v="44192"/>
    <s v="High"/>
    <x v="20"/>
    <n v="58"/>
    <x v="2"/>
    <x v="2"/>
    <n v="4.67"/>
    <s v="Yes"/>
    <n v="1.25"/>
    <x v="2"/>
    <x v="1"/>
    <x v="3"/>
  </r>
  <r>
    <s v="AIJ-101498"/>
    <x v="0"/>
    <x v="6"/>
    <x v="6"/>
    <x v="3"/>
    <x v="12"/>
    <x v="33"/>
    <x v="1"/>
    <x v="2"/>
    <n v="181236"/>
    <s v="Medium"/>
    <x v="49"/>
    <n v="46"/>
    <x v="0"/>
    <x v="1"/>
    <n v="2.41"/>
    <s v="No"/>
    <n v="2.96"/>
    <x v="2"/>
    <x v="1"/>
    <x v="3"/>
  </r>
  <r>
    <s v="AIJ-101499"/>
    <x v="4"/>
    <x v="7"/>
    <x v="3"/>
    <x v="1"/>
    <x v="18"/>
    <x v="68"/>
    <x v="4"/>
    <x v="2"/>
    <n v="119821"/>
    <s v="Medium"/>
    <x v="38"/>
    <n v="38"/>
    <x v="2"/>
    <x v="1"/>
    <n v="3.64"/>
    <s v="No"/>
    <n v="1.06"/>
    <x v="2"/>
    <x v="3"/>
    <x v="3"/>
  </r>
  <r>
    <s v="AIJ-101500"/>
    <x v="3"/>
    <x v="8"/>
    <x v="0"/>
    <x v="0"/>
    <x v="22"/>
    <x v="90"/>
    <x v="29"/>
    <x v="2"/>
    <n v="143764"/>
    <s v="Medium"/>
    <x v="25"/>
    <n v="42"/>
    <x v="0"/>
    <x v="2"/>
    <n v="4.3899999999999997"/>
    <s v="Yes"/>
    <n v="3.05"/>
    <x v="2"/>
    <x v="1"/>
    <x v="2"/>
  </r>
  <r>
    <s v="AIJ-101501"/>
    <x v="3"/>
    <x v="5"/>
    <x v="7"/>
    <x v="2"/>
    <x v="23"/>
    <x v="85"/>
    <x v="70"/>
    <x v="1"/>
    <n v="159156"/>
    <s v="High"/>
    <x v="18"/>
    <n v="42"/>
    <x v="0"/>
    <x v="0"/>
    <n v="2.0299999999999998"/>
    <s v="Yes"/>
    <n v="1.3"/>
    <x v="0"/>
    <x v="3"/>
    <x v="3"/>
  </r>
  <r>
    <s v="AIJ-101502"/>
    <x v="8"/>
    <x v="2"/>
    <x v="2"/>
    <x v="1"/>
    <x v="1"/>
    <x v="67"/>
    <x v="66"/>
    <x v="1"/>
    <n v="182733"/>
    <s v="Low"/>
    <x v="24"/>
    <n v="51"/>
    <x v="2"/>
    <x v="2"/>
    <n v="4.95"/>
    <s v="No"/>
    <n v="1.33"/>
    <x v="1"/>
    <x v="2"/>
    <x v="1"/>
  </r>
  <r>
    <s v="AIJ-101503"/>
    <x v="9"/>
    <x v="9"/>
    <x v="8"/>
    <x v="0"/>
    <x v="10"/>
    <x v="46"/>
    <x v="75"/>
    <x v="0"/>
    <n v="30724"/>
    <s v="Medium"/>
    <x v="43"/>
    <n v="31"/>
    <x v="2"/>
    <x v="1"/>
    <n v="3.95"/>
    <s v="Yes"/>
    <n v="2.89"/>
    <x v="1"/>
    <x v="3"/>
    <x v="3"/>
  </r>
  <r>
    <s v="AIJ-101504"/>
    <x v="13"/>
    <x v="3"/>
    <x v="7"/>
    <x v="0"/>
    <x v="25"/>
    <x v="8"/>
    <x v="10"/>
    <x v="0"/>
    <n v="127777"/>
    <s v="High"/>
    <x v="46"/>
    <n v="43"/>
    <x v="1"/>
    <x v="0"/>
    <n v="2.16"/>
    <s v="Yes"/>
    <n v="1.37"/>
    <x v="0"/>
    <x v="3"/>
    <x v="1"/>
  </r>
  <r>
    <s v="AIJ-101505"/>
    <x v="19"/>
    <x v="8"/>
    <x v="8"/>
    <x v="3"/>
    <x v="0"/>
    <x v="57"/>
    <x v="35"/>
    <x v="0"/>
    <n v="124927"/>
    <s v="Medium"/>
    <x v="21"/>
    <n v="39"/>
    <x v="0"/>
    <x v="1"/>
    <n v="2.4900000000000002"/>
    <s v="Yes"/>
    <n v="3.81"/>
    <x v="0"/>
    <x v="2"/>
    <x v="0"/>
  </r>
  <r>
    <s v="AIJ-101506"/>
    <x v="18"/>
    <x v="3"/>
    <x v="0"/>
    <x v="0"/>
    <x v="14"/>
    <x v="79"/>
    <x v="36"/>
    <x v="2"/>
    <n v="153382"/>
    <s v="Medium"/>
    <x v="50"/>
    <n v="52"/>
    <x v="0"/>
    <x v="0"/>
    <n v="4.58"/>
    <s v="No"/>
    <n v="3.56"/>
    <x v="0"/>
    <x v="0"/>
    <x v="2"/>
  </r>
  <r>
    <s v="AIJ-101507"/>
    <x v="11"/>
    <x v="1"/>
    <x v="1"/>
    <x v="2"/>
    <x v="16"/>
    <x v="79"/>
    <x v="72"/>
    <x v="0"/>
    <n v="203829"/>
    <s v="Medium"/>
    <x v="46"/>
    <n v="33"/>
    <x v="2"/>
    <x v="0"/>
    <n v="2.63"/>
    <s v="No"/>
    <n v="1.1599999999999999"/>
    <x v="0"/>
    <x v="3"/>
    <x v="3"/>
  </r>
  <r>
    <s v="AIJ-101508"/>
    <x v="14"/>
    <x v="4"/>
    <x v="0"/>
    <x v="0"/>
    <x v="5"/>
    <x v="33"/>
    <x v="53"/>
    <x v="2"/>
    <n v="146428"/>
    <s v="Low"/>
    <x v="26"/>
    <n v="51"/>
    <x v="2"/>
    <x v="2"/>
    <n v="4.51"/>
    <s v="No"/>
    <n v="2.37"/>
    <x v="2"/>
    <x v="2"/>
    <x v="3"/>
  </r>
  <r>
    <s v="AIJ-101509"/>
    <x v="5"/>
    <x v="1"/>
    <x v="0"/>
    <x v="2"/>
    <x v="7"/>
    <x v="64"/>
    <x v="75"/>
    <x v="0"/>
    <n v="50667"/>
    <s v="Low"/>
    <x v="6"/>
    <n v="55"/>
    <x v="2"/>
    <x v="0"/>
    <n v="3.2"/>
    <s v="No"/>
    <n v="3.94"/>
    <x v="0"/>
    <x v="2"/>
    <x v="1"/>
  </r>
  <r>
    <s v="AIJ-101510"/>
    <x v="16"/>
    <x v="8"/>
    <x v="6"/>
    <x v="3"/>
    <x v="1"/>
    <x v="61"/>
    <x v="37"/>
    <x v="0"/>
    <n v="144486"/>
    <s v="Medium"/>
    <x v="25"/>
    <n v="44"/>
    <x v="0"/>
    <x v="0"/>
    <n v="2.33"/>
    <s v="Yes"/>
    <n v="1.36"/>
    <x v="2"/>
    <x v="3"/>
    <x v="1"/>
  </r>
  <r>
    <s v="AIJ-101511"/>
    <x v="1"/>
    <x v="3"/>
    <x v="4"/>
    <x v="1"/>
    <x v="6"/>
    <x v="7"/>
    <x v="50"/>
    <x v="0"/>
    <n v="205193"/>
    <s v="Medium"/>
    <x v="6"/>
    <n v="48"/>
    <x v="2"/>
    <x v="2"/>
    <n v="3.5"/>
    <s v="Yes"/>
    <n v="1.21"/>
    <x v="0"/>
    <x v="2"/>
    <x v="0"/>
  </r>
  <r>
    <s v="AIJ-101512"/>
    <x v="5"/>
    <x v="8"/>
    <x v="5"/>
    <x v="0"/>
    <x v="2"/>
    <x v="36"/>
    <x v="72"/>
    <x v="0"/>
    <n v="139731"/>
    <s v="Low"/>
    <x v="30"/>
    <n v="57"/>
    <x v="2"/>
    <x v="1"/>
    <n v="3.64"/>
    <s v="Yes"/>
    <n v="4.29"/>
    <x v="0"/>
    <x v="1"/>
    <x v="1"/>
  </r>
  <r>
    <s v="AIJ-101513"/>
    <x v="5"/>
    <x v="3"/>
    <x v="9"/>
    <x v="3"/>
    <x v="18"/>
    <x v="71"/>
    <x v="9"/>
    <x v="1"/>
    <n v="209067"/>
    <s v="Medium"/>
    <x v="53"/>
    <n v="39"/>
    <x v="1"/>
    <x v="0"/>
    <n v="2.74"/>
    <s v="No"/>
    <n v="4.83"/>
    <x v="1"/>
    <x v="2"/>
    <x v="3"/>
  </r>
  <r>
    <s v="AIJ-101514"/>
    <x v="0"/>
    <x v="6"/>
    <x v="6"/>
    <x v="3"/>
    <x v="9"/>
    <x v="26"/>
    <x v="74"/>
    <x v="0"/>
    <n v="118067"/>
    <s v="High"/>
    <x v="34"/>
    <n v="58"/>
    <x v="1"/>
    <x v="1"/>
    <n v="3.34"/>
    <s v="No"/>
    <n v="3.48"/>
    <x v="0"/>
    <x v="3"/>
    <x v="1"/>
  </r>
  <r>
    <s v="AIJ-101515"/>
    <x v="7"/>
    <x v="0"/>
    <x v="4"/>
    <x v="3"/>
    <x v="21"/>
    <x v="39"/>
    <x v="75"/>
    <x v="0"/>
    <n v="148467"/>
    <s v="High"/>
    <x v="36"/>
    <n v="53"/>
    <x v="0"/>
    <x v="0"/>
    <n v="4.95"/>
    <s v="No"/>
    <n v="4.9800000000000004"/>
    <x v="2"/>
    <x v="3"/>
    <x v="0"/>
  </r>
  <r>
    <s v="AIJ-101516"/>
    <x v="16"/>
    <x v="1"/>
    <x v="7"/>
    <x v="1"/>
    <x v="7"/>
    <x v="40"/>
    <x v="73"/>
    <x v="2"/>
    <n v="182417"/>
    <s v="Low"/>
    <x v="51"/>
    <n v="34"/>
    <x v="2"/>
    <x v="0"/>
    <n v="2.86"/>
    <s v="No"/>
    <n v="2.91"/>
    <x v="2"/>
    <x v="3"/>
    <x v="1"/>
  </r>
  <r>
    <s v="AIJ-101517"/>
    <x v="17"/>
    <x v="2"/>
    <x v="8"/>
    <x v="0"/>
    <x v="21"/>
    <x v="43"/>
    <x v="64"/>
    <x v="2"/>
    <n v="65678"/>
    <s v="Medium"/>
    <x v="30"/>
    <n v="49"/>
    <x v="2"/>
    <x v="0"/>
    <n v="2.09"/>
    <s v="No"/>
    <n v="4.87"/>
    <x v="2"/>
    <x v="3"/>
    <x v="0"/>
  </r>
  <r>
    <s v="AIJ-101518"/>
    <x v="4"/>
    <x v="9"/>
    <x v="2"/>
    <x v="0"/>
    <x v="4"/>
    <x v="22"/>
    <x v="29"/>
    <x v="2"/>
    <n v="145341"/>
    <s v="Low"/>
    <x v="46"/>
    <n v="39"/>
    <x v="2"/>
    <x v="1"/>
    <n v="3.26"/>
    <s v="Yes"/>
    <n v="4.2"/>
    <x v="2"/>
    <x v="2"/>
    <x v="1"/>
  </r>
  <r>
    <s v="AIJ-101519"/>
    <x v="0"/>
    <x v="6"/>
    <x v="7"/>
    <x v="0"/>
    <x v="6"/>
    <x v="18"/>
    <x v="70"/>
    <x v="1"/>
    <n v="157997"/>
    <s v="High"/>
    <x v="33"/>
    <n v="41"/>
    <x v="0"/>
    <x v="0"/>
    <n v="2.99"/>
    <s v="No"/>
    <n v="2.5099999999999998"/>
    <x v="1"/>
    <x v="2"/>
    <x v="0"/>
  </r>
  <r>
    <s v="AIJ-101520"/>
    <x v="4"/>
    <x v="7"/>
    <x v="1"/>
    <x v="2"/>
    <x v="3"/>
    <x v="67"/>
    <x v="39"/>
    <x v="2"/>
    <n v="166905"/>
    <s v="High"/>
    <x v="18"/>
    <n v="47"/>
    <x v="2"/>
    <x v="1"/>
    <n v="3.75"/>
    <s v="No"/>
    <n v="4.34"/>
    <x v="0"/>
    <x v="3"/>
    <x v="2"/>
  </r>
  <r>
    <s v="AIJ-101521"/>
    <x v="0"/>
    <x v="1"/>
    <x v="3"/>
    <x v="2"/>
    <x v="23"/>
    <x v="54"/>
    <x v="72"/>
    <x v="0"/>
    <n v="211581"/>
    <s v="Low"/>
    <x v="7"/>
    <n v="32"/>
    <x v="0"/>
    <x v="2"/>
    <n v="4.5199999999999996"/>
    <s v="Yes"/>
    <n v="4.26"/>
    <x v="0"/>
    <x v="2"/>
    <x v="3"/>
  </r>
  <r>
    <s v="AIJ-101522"/>
    <x v="8"/>
    <x v="4"/>
    <x v="6"/>
    <x v="1"/>
    <x v="9"/>
    <x v="20"/>
    <x v="20"/>
    <x v="1"/>
    <n v="130043"/>
    <s v="High"/>
    <x v="19"/>
    <n v="47"/>
    <x v="2"/>
    <x v="2"/>
    <n v="3.28"/>
    <s v="No"/>
    <n v="1.74"/>
    <x v="2"/>
    <x v="3"/>
    <x v="1"/>
  </r>
  <r>
    <s v="AIJ-101523"/>
    <x v="6"/>
    <x v="1"/>
    <x v="3"/>
    <x v="2"/>
    <x v="24"/>
    <x v="40"/>
    <x v="67"/>
    <x v="0"/>
    <n v="177072"/>
    <s v="Medium"/>
    <x v="42"/>
    <n v="51"/>
    <x v="0"/>
    <x v="2"/>
    <n v="4.47"/>
    <s v="No"/>
    <n v="3.55"/>
    <x v="1"/>
    <x v="2"/>
    <x v="1"/>
  </r>
  <r>
    <s v="AIJ-101524"/>
    <x v="13"/>
    <x v="9"/>
    <x v="8"/>
    <x v="2"/>
    <x v="14"/>
    <x v="17"/>
    <x v="6"/>
    <x v="1"/>
    <n v="63833"/>
    <s v="Low"/>
    <x v="30"/>
    <n v="46"/>
    <x v="2"/>
    <x v="0"/>
    <n v="3.75"/>
    <s v="Yes"/>
    <n v="1.24"/>
    <x v="2"/>
    <x v="0"/>
    <x v="2"/>
  </r>
  <r>
    <s v="AIJ-101525"/>
    <x v="4"/>
    <x v="1"/>
    <x v="8"/>
    <x v="1"/>
    <x v="23"/>
    <x v="24"/>
    <x v="4"/>
    <x v="1"/>
    <n v="111834"/>
    <s v="Medium"/>
    <x v="46"/>
    <n v="59"/>
    <x v="2"/>
    <x v="0"/>
    <n v="3.81"/>
    <s v="Yes"/>
    <n v="4.92"/>
    <x v="1"/>
    <x v="3"/>
    <x v="3"/>
  </r>
  <r>
    <s v="AIJ-101526"/>
    <x v="18"/>
    <x v="3"/>
    <x v="7"/>
    <x v="3"/>
    <x v="5"/>
    <x v="35"/>
    <x v="58"/>
    <x v="2"/>
    <n v="48127"/>
    <s v="Medium"/>
    <x v="29"/>
    <n v="46"/>
    <x v="2"/>
    <x v="1"/>
    <n v="3.14"/>
    <s v="Yes"/>
    <n v="2.19"/>
    <x v="1"/>
    <x v="2"/>
    <x v="3"/>
  </r>
  <r>
    <s v="AIJ-101527"/>
    <x v="4"/>
    <x v="1"/>
    <x v="9"/>
    <x v="3"/>
    <x v="17"/>
    <x v="23"/>
    <x v="2"/>
    <x v="2"/>
    <n v="48495"/>
    <s v="Medium"/>
    <x v="38"/>
    <n v="44"/>
    <x v="1"/>
    <x v="2"/>
    <n v="3.98"/>
    <s v="No"/>
    <n v="4.5599999999999996"/>
    <x v="2"/>
    <x v="2"/>
    <x v="3"/>
  </r>
  <r>
    <s v="AIJ-101528"/>
    <x v="0"/>
    <x v="3"/>
    <x v="5"/>
    <x v="1"/>
    <x v="0"/>
    <x v="32"/>
    <x v="24"/>
    <x v="0"/>
    <n v="196770"/>
    <s v="Low"/>
    <x v="18"/>
    <n v="31"/>
    <x v="1"/>
    <x v="2"/>
    <n v="3.73"/>
    <s v="Yes"/>
    <n v="3.78"/>
    <x v="2"/>
    <x v="3"/>
    <x v="0"/>
  </r>
  <r>
    <s v="AIJ-101529"/>
    <x v="1"/>
    <x v="5"/>
    <x v="2"/>
    <x v="2"/>
    <x v="13"/>
    <x v="52"/>
    <x v="10"/>
    <x v="2"/>
    <n v="43983"/>
    <s v="Low"/>
    <x v="51"/>
    <n v="41"/>
    <x v="1"/>
    <x v="2"/>
    <n v="3.37"/>
    <s v="Yes"/>
    <n v="2.2999999999999998"/>
    <x v="1"/>
    <x v="3"/>
    <x v="1"/>
  </r>
  <r>
    <s v="AIJ-101530"/>
    <x v="1"/>
    <x v="4"/>
    <x v="5"/>
    <x v="0"/>
    <x v="2"/>
    <x v="79"/>
    <x v="53"/>
    <x v="2"/>
    <n v="48580"/>
    <s v="Medium"/>
    <x v="4"/>
    <n v="52"/>
    <x v="0"/>
    <x v="0"/>
    <n v="4.6900000000000004"/>
    <s v="No"/>
    <n v="4.84"/>
    <x v="1"/>
    <x v="0"/>
    <x v="1"/>
  </r>
  <r>
    <s v="AIJ-101531"/>
    <x v="15"/>
    <x v="8"/>
    <x v="0"/>
    <x v="2"/>
    <x v="18"/>
    <x v="63"/>
    <x v="32"/>
    <x v="0"/>
    <n v="210441"/>
    <s v="Medium"/>
    <x v="5"/>
    <n v="41"/>
    <x v="2"/>
    <x v="2"/>
    <n v="3.68"/>
    <s v="No"/>
    <n v="4.7699999999999996"/>
    <x v="0"/>
    <x v="0"/>
    <x v="3"/>
  </r>
  <r>
    <s v="AIJ-101532"/>
    <x v="8"/>
    <x v="8"/>
    <x v="2"/>
    <x v="0"/>
    <x v="4"/>
    <x v="10"/>
    <x v="36"/>
    <x v="1"/>
    <n v="168829"/>
    <s v="Low"/>
    <x v="10"/>
    <n v="32"/>
    <x v="0"/>
    <x v="0"/>
    <n v="4.13"/>
    <s v="Yes"/>
    <n v="2.2000000000000002"/>
    <x v="1"/>
    <x v="3"/>
    <x v="1"/>
  </r>
  <r>
    <s v="AIJ-101533"/>
    <x v="17"/>
    <x v="9"/>
    <x v="7"/>
    <x v="3"/>
    <x v="18"/>
    <x v="16"/>
    <x v="31"/>
    <x v="0"/>
    <n v="204276"/>
    <s v="Low"/>
    <x v="5"/>
    <n v="53"/>
    <x v="0"/>
    <x v="2"/>
    <n v="2.9"/>
    <s v="Yes"/>
    <n v="1.75"/>
    <x v="0"/>
    <x v="0"/>
    <x v="3"/>
  </r>
  <r>
    <s v="AIJ-101534"/>
    <x v="19"/>
    <x v="8"/>
    <x v="0"/>
    <x v="1"/>
    <x v="1"/>
    <x v="78"/>
    <x v="40"/>
    <x v="1"/>
    <n v="104902"/>
    <s v="Low"/>
    <x v="46"/>
    <n v="50"/>
    <x v="1"/>
    <x v="0"/>
    <n v="2.75"/>
    <s v="Yes"/>
    <n v="4.1900000000000004"/>
    <x v="2"/>
    <x v="1"/>
    <x v="1"/>
  </r>
  <r>
    <s v="AIJ-101535"/>
    <x v="10"/>
    <x v="6"/>
    <x v="6"/>
    <x v="0"/>
    <x v="15"/>
    <x v="21"/>
    <x v="76"/>
    <x v="1"/>
    <n v="178945"/>
    <s v="Low"/>
    <x v="36"/>
    <n v="55"/>
    <x v="0"/>
    <x v="2"/>
    <n v="4.71"/>
    <s v="No"/>
    <n v="2.21"/>
    <x v="2"/>
    <x v="2"/>
    <x v="1"/>
  </r>
  <r>
    <s v="AIJ-101536"/>
    <x v="5"/>
    <x v="5"/>
    <x v="5"/>
    <x v="0"/>
    <x v="6"/>
    <x v="16"/>
    <x v="65"/>
    <x v="0"/>
    <n v="91138"/>
    <s v="Low"/>
    <x v="44"/>
    <n v="54"/>
    <x v="0"/>
    <x v="0"/>
    <n v="3.3"/>
    <s v="Yes"/>
    <n v="4.57"/>
    <x v="1"/>
    <x v="3"/>
    <x v="0"/>
  </r>
  <r>
    <s v="AIJ-101537"/>
    <x v="4"/>
    <x v="3"/>
    <x v="2"/>
    <x v="1"/>
    <x v="7"/>
    <x v="6"/>
    <x v="26"/>
    <x v="0"/>
    <n v="36794"/>
    <s v="Low"/>
    <x v="39"/>
    <n v="32"/>
    <x v="2"/>
    <x v="0"/>
    <n v="4.58"/>
    <s v="Yes"/>
    <n v="1.65"/>
    <x v="0"/>
    <x v="3"/>
    <x v="1"/>
  </r>
  <r>
    <s v="AIJ-101538"/>
    <x v="18"/>
    <x v="8"/>
    <x v="4"/>
    <x v="2"/>
    <x v="11"/>
    <x v="76"/>
    <x v="8"/>
    <x v="0"/>
    <n v="109172"/>
    <s v="High"/>
    <x v="12"/>
    <n v="57"/>
    <x v="0"/>
    <x v="2"/>
    <n v="3.54"/>
    <s v="Yes"/>
    <n v="3.68"/>
    <x v="2"/>
    <x v="3"/>
    <x v="1"/>
  </r>
  <r>
    <s v="AIJ-101539"/>
    <x v="15"/>
    <x v="9"/>
    <x v="8"/>
    <x v="3"/>
    <x v="25"/>
    <x v="69"/>
    <x v="20"/>
    <x v="2"/>
    <n v="194111"/>
    <s v="Low"/>
    <x v="19"/>
    <n v="32"/>
    <x v="1"/>
    <x v="0"/>
    <n v="2.65"/>
    <s v="Yes"/>
    <n v="3.47"/>
    <x v="0"/>
    <x v="3"/>
    <x v="1"/>
  </r>
  <r>
    <s v="AIJ-101540"/>
    <x v="19"/>
    <x v="2"/>
    <x v="6"/>
    <x v="3"/>
    <x v="11"/>
    <x v="6"/>
    <x v="57"/>
    <x v="1"/>
    <n v="71651"/>
    <s v="Medium"/>
    <x v="14"/>
    <n v="60"/>
    <x v="2"/>
    <x v="2"/>
    <n v="2.77"/>
    <s v="No"/>
    <n v="4.08"/>
    <x v="1"/>
    <x v="0"/>
    <x v="1"/>
  </r>
  <r>
    <s v="AIJ-101541"/>
    <x v="13"/>
    <x v="8"/>
    <x v="4"/>
    <x v="2"/>
    <x v="5"/>
    <x v="1"/>
    <x v="72"/>
    <x v="2"/>
    <n v="215463"/>
    <s v="Low"/>
    <x v="51"/>
    <n v="42"/>
    <x v="1"/>
    <x v="2"/>
    <n v="3.99"/>
    <s v="Yes"/>
    <n v="1.37"/>
    <x v="0"/>
    <x v="1"/>
    <x v="3"/>
  </r>
  <r>
    <s v="AIJ-101542"/>
    <x v="11"/>
    <x v="4"/>
    <x v="4"/>
    <x v="2"/>
    <x v="12"/>
    <x v="60"/>
    <x v="43"/>
    <x v="1"/>
    <n v="180295"/>
    <s v="Medium"/>
    <x v="14"/>
    <n v="30"/>
    <x v="2"/>
    <x v="0"/>
    <n v="3.82"/>
    <s v="No"/>
    <n v="4.66"/>
    <x v="1"/>
    <x v="2"/>
    <x v="3"/>
  </r>
  <r>
    <s v="AIJ-101543"/>
    <x v="1"/>
    <x v="5"/>
    <x v="8"/>
    <x v="2"/>
    <x v="11"/>
    <x v="27"/>
    <x v="35"/>
    <x v="1"/>
    <n v="208569"/>
    <s v="Low"/>
    <x v="2"/>
    <n v="50"/>
    <x v="1"/>
    <x v="0"/>
    <n v="3.26"/>
    <s v="Yes"/>
    <n v="1.73"/>
    <x v="1"/>
    <x v="3"/>
    <x v="1"/>
  </r>
  <r>
    <s v="AIJ-101544"/>
    <x v="0"/>
    <x v="5"/>
    <x v="9"/>
    <x v="1"/>
    <x v="15"/>
    <x v="87"/>
    <x v="35"/>
    <x v="2"/>
    <n v="104793"/>
    <s v="Low"/>
    <x v="7"/>
    <n v="44"/>
    <x v="2"/>
    <x v="0"/>
    <n v="4.2"/>
    <s v="No"/>
    <n v="1.75"/>
    <x v="0"/>
    <x v="3"/>
    <x v="1"/>
  </r>
  <r>
    <s v="AIJ-101545"/>
    <x v="16"/>
    <x v="3"/>
    <x v="2"/>
    <x v="0"/>
    <x v="9"/>
    <x v="47"/>
    <x v="49"/>
    <x v="0"/>
    <n v="59509"/>
    <s v="Low"/>
    <x v="33"/>
    <n v="46"/>
    <x v="1"/>
    <x v="2"/>
    <n v="3.29"/>
    <s v="Yes"/>
    <n v="3.19"/>
    <x v="1"/>
    <x v="1"/>
    <x v="1"/>
  </r>
  <r>
    <s v="AIJ-101546"/>
    <x v="6"/>
    <x v="4"/>
    <x v="6"/>
    <x v="0"/>
    <x v="17"/>
    <x v="87"/>
    <x v="17"/>
    <x v="2"/>
    <n v="212152"/>
    <s v="Medium"/>
    <x v="27"/>
    <n v="43"/>
    <x v="2"/>
    <x v="0"/>
    <n v="3.29"/>
    <s v="No"/>
    <n v="4.7699999999999996"/>
    <x v="1"/>
    <x v="2"/>
    <x v="3"/>
  </r>
  <r>
    <s v="AIJ-101547"/>
    <x v="6"/>
    <x v="0"/>
    <x v="3"/>
    <x v="3"/>
    <x v="17"/>
    <x v="34"/>
    <x v="68"/>
    <x v="0"/>
    <n v="134942"/>
    <s v="High"/>
    <x v="40"/>
    <n v="45"/>
    <x v="2"/>
    <x v="2"/>
    <n v="2.37"/>
    <s v="No"/>
    <n v="3.05"/>
    <x v="2"/>
    <x v="1"/>
    <x v="3"/>
  </r>
  <r>
    <s v="AIJ-101548"/>
    <x v="0"/>
    <x v="0"/>
    <x v="6"/>
    <x v="1"/>
    <x v="25"/>
    <x v="71"/>
    <x v="7"/>
    <x v="1"/>
    <n v="76730"/>
    <s v="Low"/>
    <x v="13"/>
    <n v="43"/>
    <x v="0"/>
    <x v="1"/>
    <n v="2.35"/>
    <s v="No"/>
    <n v="2.5499999999999998"/>
    <x v="2"/>
    <x v="1"/>
    <x v="1"/>
  </r>
  <r>
    <s v="AIJ-101549"/>
    <x v="1"/>
    <x v="7"/>
    <x v="5"/>
    <x v="3"/>
    <x v="5"/>
    <x v="84"/>
    <x v="77"/>
    <x v="1"/>
    <n v="35802"/>
    <s v="Medium"/>
    <x v="42"/>
    <n v="53"/>
    <x v="2"/>
    <x v="0"/>
    <n v="4.91"/>
    <s v="No"/>
    <n v="3.03"/>
    <x v="1"/>
    <x v="2"/>
    <x v="3"/>
  </r>
  <r>
    <s v="AIJ-101550"/>
    <x v="5"/>
    <x v="7"/>
    <x v="6"/>
    <x v="3"/>
    <x v="11"/>
    <x v="57"/>
    <x v="54"/>
    <x v="1"/>
    <n v="207381"/>
    <s v="High"/>
    <x v="27"/>
    <n v="55"/>
    <x v="2"/>
    <x v="2"/>
    <n v="2.0299999999999998"/>
    <s v="Yes"/>
    <n v="4.4000000000000004"/>
    <x v="2"/>
    <x v="1"/>
    <x v="1"/>
  </r>
  <r>
    <s v="AIJ-101551"/>
    <x v="12"/>
    <x v="1"/>
    <x v="1"/>
    <x v="2"/>
    <x v="4"/>
    <x v="35"/>
    <x v="34"/>
    <x v="2"/>
    <n v="183890"/>
    <s v="Medium"/>
    <x v="26"/>
    <n v="57"/>
    <x v="1"/>
    <x v="1"/>
    <n v="4.3899999999999997"/>
    <s v="Yes"/>
    <n v="3.14"/>
    <x v="0"/>
    <x v="2"/>
    <x v="1"/>
  </r>
  <r>
    <s v="AIJ-101552"/>
    <x v="19"/>
    <x v="3"/>
    <x v="0"/>
    <x v="2"/>
    <x v="12"/>
    <x v="33"/>
    <x v="37"/>
    <x v="2"/>
    <n v="97800"/>
    <s v="Medium"/>
    <x v="39"/>
    <n v="47"/>
    <x v="1"/>
    <x v="2"/>
    <n v="2.57"/>
    <s v="No"/>
    <n v="4.42"/>
    <x v="2"/>
    <x v="2"/>
    <x v="3"/>
  </r>
  <r>
    <s v="AIJ-101553"/>
    <x v="13"/>
    <x v="6"/>
    <x v="8"/>
    <x v="0"/>
    <x v="3"/>
    <x v="3"/>
    <x v="14"/>
    <x v="1"/>
    <n v="154219"/>
    <s v="High"/>
    <x v="30"/>
    <n v="52"/>
    <x v="0"/>
    <x v="0"/>
    <n v="3.01"/>
    <s v="Yes"/>
    <n v="2.2200000000000002"/>
    <x v="2"/>
    <x v="0"/>
    <x v="2"/>
  </r>
  <r>
    <s v="AIJ-101554"/>
    <x v="12"/>
    <x v="7"/>
    <x v="7"/>
    <x v="1"/>
    <x v="10"/>
    <x v="82"/>
    <x v="66"/>
    <x v="1"/>
    <n v="52162"/>
    <s v="Low"/>
    <x v="5"/>
    <n v="30"/>
    <x v="1"/>
    <x v="2"/>
    <n v="3.24"/>
    <s v="Yes"/>
    <n v="3.59"/>
    <x v="1"/>
    <x v="2"/>
    <x v="3"/>
  </r>
  <r>
    <s v="AIJ-101555"/>
    <x v="2"/>
    <x v="8"/>
    <x v="4"/>
    <x v="3"/>
    <x v="2"/>
    <x v="37"/>
    <x v="40"/>
    <x v="0"/>
    <n v="113604"/>
    <s v="Medium"/>
    <x v="18"/>
    <n v="36"/>
    <x v="0"/>
    <x v="2"/>
    <n v="4.47"/>
    <s v="No"/>
    <n v="2.11"/>
    <x v="0"/>
    <x v="2"/>
    <x v="1"/>
  </r>
  <r>
    <s v="AIJ-101556"/>
    <x v="17"/>
    <x v="3"/>
    <x v="6"/>
    <x v="3"/>
    <x v="18"/>
    <x v="30"/>
    <x v="22"/>
    <x v="1"/>
    <n v="57116"/>
    <s v="Low"/>
    <x v="26"/>
    <n v="53"/>
    <x v="1"/>
    <x v="2"/>
    <n v="4.57"/>
    <s v="No"/>
    <n v="3.24"/>
    <x v="2"/>
    <x v="3"/>
    <x v="3"/>
  </r>
  <r>
    <s v="AIJ-101557"/>
    <x v="16"/>
    <x v="2"/>
    <x v="3"/>
    <x v="1"/>
    <x v="2"/>
    <x v="90"/>
    <x v="31"/>
    <x v="2"/>
    <n v="172035"/>
    <s v="Medium"/>
    <x v="18"/>
    <n v="41"/>
    <x v="2"/>
    <x v="0"/>
    <n v="3.48"/>
    <s v="Yes"/>
    <n v="3.64"/>
    <x v="2"/>
    <x v="3"/>
    <x v="1"/>
  </r>
  <r>
    <s v="AIJ-101558"/>
    <x v="9"/>
    <x v="0"/>
    <x v="5"/>
    <x v="1"/>
    <x v="24"/>
    <x v="67"/>
    <x v="6"/>
    <x v="2"/>
    <n v="153824"/>
    <s v="Low"/>
    <x v="34"/>
    <n v="46"/>
    <x v="2"/>
    <x v="2"/>
    <n v="4.03"/>
    <s v="No"/>
    <n v="1.29"/>
    <x v="0"/>
    <x v="3"/>
    <x v="1"/>
  </r>
  <r>
    <s v="AIJ-101559"/>
    <x v="15"/>
    <x v="1"/>
    <x v="6"/>
    <x v="0"/>
    <x v="25"/>
    <x v="40"/>
    <x v="26"/>
    <x v="2"/>
    <n v="108825"/>
    <s v="Low"/>
    <x v="47"/>
    <n v="48"/>
    <x v="0"/>
    <x v="2"/>
    <n v="2.1800000000000002"/>
    <s v="No"/>
    <n v="2.4500000000000002"/>
    <x v="1"/>
    <x v="1"/>
    <x v="1"/>
  </r>
  <r>
    <s v="AIJ-101560"/>
    <x v="1"/>
    <x v="8"/>
    <x v="4"/>
    <x v="0"/>
    <x v="24"/>
    <x v="57"/>
    <x v="62"/>
    <x v="2"/>
    <n v="173293"/>
    <s v="Medium"/>
    <x v="46"/>
    <n v="47"/>
    <x v="0"/>
    <x v="0"/>
    <n v="3.49"/>
    <s v="Yes"/>
    <n v="1.23"/>
    <x v="0"/>
    <x v="2"/>
    <x v="1"/>
  </r>
  <r>
    <s v="AIJ-101561"/>
    <x v="3"/>
    <x v="5"/>
    <x v="8"/>
    <x v="1"/>
    <x v="1"/>
    <x v="17"/>
    <x v="3"/>
    <x v="0"/>
    <n v="71110"/>
    <s v="Medium"/>
    <x v="19"/>
    <n v="48"/>
    <x v="0"/>
    <x v="2"/>
    <n v="3.84"/>
    <s v="No"/>
    <n v="2.65"/>
    <x v="2"/>
    <x v="0"/>
    <x v="1"/>
  </r>
  <r>
    <s v="AIJ-101562"/>
    <x v="2"/>
    <x v="7"/>
    <x v="3"/>
    <x v="2"/>
    <x v="12"/>
    <x v="64"/>
    <x v="54"/>
    <x v="1"/>
    <n v="86362"/>
    <s v="Medium"/>
    <x v="23"/>
    <n v="56"/>
    <x v="0"/>
    <x v="0"/>
    <n v="2.4"/>
    <s v="Yes"/>
    <n v="4.07"/>
    <x v="2"/>
    <x v="1"/>
    <x v="3"/>
  </r>
  <r>
    <s v="AIJ-101563"/>
    <x v="13"/>
    <x v="6"/>
    <x v="4"/>
    <x v="0"/>
    <x v="7"/>
    <x v="2"/>
    <x v="23"/>
    <x v="0"/>
    <n v="35550"/>
    <s v="High"/>
    <x v="48"/>
    <n v="46"/>
    <x v="0"/>
    <x v="1"/>
    <n v="4.76"/>
    <s v="No"/>
    <n v="4.01"/>
    <x v="0"/>
    <x v="2"/>
    <x v="1"/>
  </r>
  <r>
    <s v="AIJ-101564"/>
    <x v="2"/>
    <x v="5"/>
    <x v="4"/>
    <x v="3"/>
    <x v="7"/>
    <x v="44"/>
    <x v="23"/>
    <x v="1"/>
    <n v="39207"/>
    <s v="High"/>
    <x v="25"/>
    <n v="51"/>
    <x v="0"/>
    <x v="0"/>
    <n v="3.31"/>
    <s v="No"/>
    <n v="3.16"/>
    <x v="1"/>
    <x v="2"/>
    <x v="1"/>
  </r>
  <r>
    <s v="AIJ-101565"/>
    <x v="1"/>
    <x v="4"/>
    <x v="5"/>
    <x v="0"/>
    <x v="22"/>
    <x v="21"/>
    <x v="78"/>
    <x v="1"/>
    <n v="100522"/>
    <s v="Medium"/>
    <x v="16"/>
    <n v="41"/>
    <x v="0"/>
    <x v="1"/>
    <n v="2.27"/>
    <s v="Yes"/>
    <n v="3.01"/>
    <x v="1"/>
    <x v="2"/>
    <x v="2"/>
  </r>
  <r>
    <s v="AIJ-101566"/>
    <x v="1"/>
    <x v="8"/>
    <x v="1"/>
    <x v="2"/>
    <x v="3"/>
    <x v="28"/>
    <x v="17"/>
    <x v="1"/>
    <n v="110565"/>
    <s v="Low"/>
    <x v="16"/>
    <n v="49"/>
    <x v="1"/>
    <x v="2"/>
    <n v="2.65"/>
    <s v="No"/>
    <n v="3.65"/>
    <x v="1"/>
    <x v="1"/>
    <x v="2"/>
  </r>
  <r>
    <s v="AIJ-101567"/>
    <x v="13"/>
    <x v="1"/>
    <x v="8"/>
    <x v="0"/>
    <x v="20"/>
    <x v="45"/>
    <x v="4"/>
    <x v="1"/>
    <n v="38652"/>
    <s v="Low"/>
    <x v="15"/>
    <n v="46"/>
    <x v="2"/>
    <x v="2"/>
    <n v="3.94"/>
    <s v="No"/>
    <n v="2.86"/>
    <x v="0"/>
    <x v="0"/>
    <x v="2"/>
  </r>
  <r>
    <s v="AIJ-101568"/>
    <x v="2"/>
    <x v="6"/>
    <x v="8"/>
    <x v="3"/>
    <x v="8"/>
    <x v="16"/>
    <x v="43"/>
    <x v="1"/>
    <n v="180668"/>
    <s v="High"/>
    <x v="45"/>
    <n v="43"/>
    <x v="0"/>
    <x v="2"/>
    <n v="2.58"/>
    <s v="No"/>
    <n v="2.74"/>
    <x v="2"/>
    <x v="0"/>
    <x v="2"/>
  </r>
  <r>
    <s v="AIJ-101569"/>
    <x v="6"/>
    <x v="9"/>
    <x v="1"/>
    <x v="1"/>
    <x v="10"/>
    <x v="75"/>
    <x v="6"/>
    <x v="2"/>
    <n v="166219"/>
    <s v="Low"/>
    <x v="42"/>
    <n v="40"/>
    <x v="0"/>
    <x v="2"/>
    <n v="2.31"/>
    <s v="Yes"/>
    <n v="4.24"/>
    <x v="0"/>
    <x v="0"/>
    <x v="3"/>
  </r>
  <r>
    <s v="AIJ-101570"/>
    <x v="13"/>
    <x v="6"/>
    <x v="6"/>
    <x v="1"/>
    <x v="8"/>
    <x v="31"/>
    <x v="36"/>
    <x v="0"/>
    <n v="83585"/>
    <s v="Low"/>
    <x v="50"/>
    <n v="33"/>
    <x v="0"/>
    <x v="0"/>
    <n v="3.61"/>
    <s v="Yes"/>
    <n v="3.13"/>
    <x v="1"/>
    <x v="0"/>
    <x v="2"/>
  </r>
  <r>
    <s v="AIJ-101571"/>
    <x v="6"/>
    <x v="9"/>
    <x v="2"/>
    <x v="3"/>
    <x v="1"/>
    <x v="68"/>
    <x v="28"/>
    <x v="2"/>
    <n v="151828"/>
    <s v="High"/>
    <x v="51"/>
    <n v="45"/>
    <x v="2"/>
    <x v="0"/>
    <n v="3.98"/>
    <s v="Yes"/>
    <n v="4.57"/>
    <x v="0"/>
    <x v="2"/>
    <x v="1"/>
  </r>
  <r>
    <s v="AIJ-101572"/>
    <x v="12"/>
    <x v="5"/>
    <x v="4"/>
    <x v="0"/>
    <x v="15"/>
    <x v="2"/>
    <x v="66"/>
    <x v="2"/>
    <n v="126377"/>
    <s v="Low"/>
    <x v="15"/>
    <n v="39"/>
    <x v="1"/>
    <x v="1"/>
    <n v="2.62"/>
    <s v="Yes"/>
    <n v="3.52"/>
    <x v="1"/>
    <x v="1"/>
    <x v="1"/>
  </r>
  <r>
    <s v="AIJ-101573"/>
    <x v="8"/>
    <x v="5"/>
    <x v="4"/>
    <x v="2"/>
    <x v="20"/>
    <x v="16"/>
    <x v="57"/>
    <x v="2"/>
    <n v="64809"/>
    <s v="Medium"/>
    <x v="32"/>
    <n v="59"/>
    <x v="0"/>
    <x v="1"/>
    <n v="4.74"/>
    <s v="Yes"/>
    <n v="3.71"/>
    <x v="2"/>
    <x v="0"/>
    <x v="2"/>
  </r>
  <r>
    <s v="AIJ-101574"/>
    <x v="14"/>
    <x v="7"/>
    <x v="5"/>
    <x v="2"/>
    <x v="2"/>
    <x v="41"/>
    <x v="43"/>
    <x v="2"/>
    <n v="206735"/>
    <s v="High"/>
    <x v="14"/>
    <n v="34"/>
    <x v="2"/>
    <x v="2"/>
    <n v="3.19"/>
    <s v="No"/>
    <n v="4.51"/>
    <x v="0"/>
    <x v="3"/>
    <x v="1"/>
  </r>
  <r>
    <s v="AIJ-101575"/>
    <x v="2"/>
    <x v="3"/>
    <x v="9"/>
    <x v="0"/>
    <x v="20"/>
    <x v="8"/>
    <x v="59"/>
    <x v="0"/>
    <n v="108077"/>
    <s v="High"/>
    <x v="22"/>
    <n v="41"/>
    <x v="0"/>
    <x v="0"/>
    <n v="2.27"/>
    <s v="Yes"/>
    <n v="1.92"/>
    <x v="1"/>
    <x v="2"/>
    <x v="2"/>
  </r>
  <r>
    <s v="AIJ-101576"/>
    <x v="2"/>
    <x v="4"/>
    <x v="4"/>
    <x v="0"/>
    <x v="16"/>
    <x v="79"/>
    <x v="63"/>
    <x v="0"/>
    <n v="122397"/>
    <s v="High"/>
    <x v="50"/>
    <n v="43"/>
    <x v="1"/>
    <x v="0"/>
    <n v="3.81"/>
    <s v="No"/>
    <n v="4.67"/>
    <x v="1"/>
    <x v="3"/>
    <x v="3"/>
  </r>
  <r>
    <s v="AIJ-101577"/>
    <x v="14"/>
    <x v="7"/>
    <x v="4"/>
    <x v="2"/>
    <x v="10"/>
    <x v="62"/>
    <x v="78"/>
    <x v="0"/>
    <n v="124973"/>
    <s v="High"/>
    <x v="55"/>
    <n v="36"/>
    <x v="1"/>
    <x v="2"/>
    <n v="2.4500000000000002"/>
    <s v="Yes"/>
    <n v="1.06"/>
    <x v="2"/>
    <x v="1"/>
    <x v="3"/>
  </r>
  <r>
    <s v="AIJ-101578"/>
    <x v="13"/>
    <x v="2"/>
    <x v="1"/>
    <x v="1"/>
    <x v="24"/>
    <x v="33"/>
    <x v="49"/>
    <x v="0"/>
    <n v="132372"/>
    <s v="Medium"/>
    <x v="5"/>
    <n v="44"/>
    <x v="2"/>
    <x v="0"/>
    <n v="2.64"/>
    <s v="Yes"/>
    <n v="2.7"/>
    <x v="1"/>
    <x v="1"/>
    <x v="1"/>
  </r>
  <r>
    <s v="AIJ-101579"/>
    <x v="14"/>
    <x v="4"/>
    <x v="8"/>
    <x v="0"/>
    <x v="8"/>
    <x v="88"/>
    <x v="65"/>
    <x v="2"/>
    <n v="166156"/>
    <s v="Low"/>
    <x v="27"/>
    <n v="39"/>
    <x v="2"/>
    <x v="1"/>
    <n v="4.32"/>
    <s v="Yes"/>
    <n v="3.66"/>
    <x v="0"/>
    <x v="2"/>
    <x v="2"/>
  </r>
  <r>
    <s v="AIJ-101580"/>
    <x v="19"/>
    <x v="3"/>
    <x v="4"/>
    <x v="0"/>
    <x v="19"/>
    <x v="71"/>
    <x v="31"/>
    <x v="1"/>
    <n v="191575"/>
    <s v="Medium"/>
    <x v="45"/>
    <n v="52"/>
    <x v="0"/>
    <x v="0"/>
    <n v="3.1"/>
    <s v="Yes"/>
    <n v="1.06"/>
    <x v="1"/>
    <x v="3"/>
    <x v="2"/>
  </r>
  <r>
    <s v="AIJ-101581"/>
    <x v="6"/>
    <x v="5"/>
    <x v="3"/>
    <x v="2"/>
    <x v="24"/>
    <x v="31"/>
    <x v="35"/>
    <x v="2"/>
    <n v="85943"/>
    <s v="Medium"/>
    <x v="36"/>
    <n v="46"/>
    <x v="0"/>
    <x v="2"/>
    <n v="3.98"/>
    <s v="No"/>
    <n v="2.75"/>
    <x v="2"/>
    <x v="3"/>
    <x v="1"/>
  </r>
  <r>
    <s v="AIJ-101582"/>
    <x v="8"/>
    <x v="2"/>
    <x v="3"/>
    <x v="3"/>
    <x v="20"/>
    <x v="77"/>
    <x v="58"/>
    <x v="1"/>
    <n v="171491"/>
    <s v="Medium"/>
    <x v="39"/>
    <n v="49"/>
    <x v="2"/>
    <x v="0"/>
    <n v="2.96"/>
    <s v="Yes"/>
    <n v="3.01"/>
    <x v="1"/>
    <x v="3"/>
    <x v="2"/>
  </r>
  <r>
    <s v="AIJ-101583"/>
    <x v="2"/>
    <x v="4"/>
    <x v="6"/>
    <x v="0"/>
    <x v="9"/>
    <x v="12"/>
    <x v="5"/>
    <x v="2"/>
    <n v="199063"/>
    <s v="High"/>
    <x v="43"/>
    <n v="38"/>
    <x v="1"/>
    <x v="1"/>
    <n v="4.32"/>
    <s v="Yes"/>
    <n v="2.4300000000000002"/>
    <x v="0"/>
    <x v="0"/>
    <x v="1"/>
  </r>
  <r>
    <s v="AIJ-101584"/>
    <x v="8"/>
    <x v="9"/>
    <x v="2"/>
    <x v="2"/>
    <x v="7"/>
    <x v="65"/>
    <x v="25"/>
    <x v="2"/>
    <n v="91639"/>
    <s v="Low"/>
    <x v="0"/>
    <n v="40"/>
    <x v="2"/>
    <x v="1"/>
    <n v="3.87"/>
    <s v="No"/>
    <n v="2.71"/>
    <x v="1"/>
    <x v="2"/>
    <x v="1"/>
  </r>
  <r>
    <s v="AIJ-101585"/>
    <x v="2"/>
    <x v="0"/>
    <x v="2"/>
    <x v="0"/>
    <x v="6"/>
    <x v="31"/>
    <x v="40"/>
    <x v="0"/>
    <n v="142803"/>
    <s v="Low"/>
    <x v="51"/>
    <n v="55"/>
    <x v="2"/>
    <x v="2"/>
    <n v="4.96"/>
    <s v="Yes"/>
    <n v="3.91"/>
    <x v="0"/>
    <x v="3"/>
    <x v="0"/>
  </r>
  <r>
    <s v="AIJ-101586"/>
    <x v="10"/>
    <x v="6"/>
    <x v="6"/>
    <x v="2"/>
    <x v="23"/>
    <x v="28"/>
    <x v="13"/>
    <x v="2"/>
    <n v="177594"/>
    <s v="High"/>
    <x v="29"/>
    <n v="36"/>
    <x v="1"/>
    <x v="1"/>
    <n v="2.39"/>
    <s v="No"/>
    <n v="3.86"/>
    <x v="0"/>
    <x v="1"/>
    <x v="3"/>
  </r>
  <r>
    <s v="AIJ-101587"/>
    <x v="4"/>
    <x v="3"/>
    <x v="5"/>
    <x v="0"/>
    <x v="8"/>
    <x v="47"/>
    <x v="53"/>
    <x v="2"/>
    <n v="36792"/>
    <s v="Low"/>
    <x v="47"/>
    <n v="58"/>
    <x v="1"/>
    <x v="2"/>
    <n v="2.5499999999999998"/>
    <s v="No"/>
    <n v="4.24"/>
    <x v="1"/>
    <x v="3"/>
    <x v="2"/>
  </r>
  <r>
    <s v="AIJ-101588"/>
    <x v="3"/>
    <x v="3"/>
    <x v="6"/>
    <x v="2"/>
    <x v="8"/>
    <x v="46"/>
    <x v="34"/>
    <x v="1"/>
    <n v="201461"/>
    <s v="High"/>
    <x v="35"/>
    <n v="53"/>
    <x v="2"/>
    <x v="2"/>
    <n v="4.63"/>
    <s v="No"/>
    <n v="1.48"/>
    <x v="2"/>
    <x v="2"/>
    <x v="2"/>
  </r>
  <r>
    <s v="AIJ-101589"/>
    <x v="12"/>
    <x v="6"/>
    <x v="9"/>
    <x v="2"/>
    <x v="4"/>
    <x v="81"/>
    <x v="69"/>
    <x v="1"/>
    <n v="50133"/>
    <s v="High"/>
    <x v="25"/>
    <n v="49"/>
    <x v="1"/>
    <x v="0"/>
    <n v="2.4900000000000002"/>
    <s v="No"/>
    <n v="1.07"/>
    <x v="0"/>
    <x v="3"/>
    <x v="1"/>
  </r>
  <r>
    <s v="AIJ-101590"/>
    <x v="3"/>
    <x v="2"/>
    <x v="6"/>
    <x v="3"/>
    <x v="3"/>
    <x v="35"/>
    <x v="16"/>
    <x v="0"/>
    <n v="66830"/>
    <s v="Low"/>
    <x v="12"/>
    <n v="57"/>
    <x v="2"/>
    <x v="2"/>
    <n v="4"/>
    <s v="Yes"/>
    <n v="2.91"/>
    <x v="0"/>
    <x v="1"/>
    <x v="2"/>
  </r>
  <r>
    <s v="AIJ-101591"/>
    <x v="13"/>
    <x v="1"/>
    <x v="9"/>
    <x v="2"/>
    <x v="5"/>
    <x v="70"/>
    <x v="49"/>
    <x v="1"/>
    <n v="70501"/>
    <s v="Low"/>
    <x v="13"/>
    <n v="52"/>
    <x v="1"/>
    <x v="1"/>
    <n v="4.37"/>
    <s v="Yes"/>
    <n v="3.88"/>
    <x v="0"/>
    <x v="2"/>
    <x v="3"/>
  </r>
  <r>
    <s v="AIJ-101592"/>
    <x v="4"/>
    <x v="0"/>
    <x v="2"/>
    <x v="0"/>
    <x v="0"/>
    <x v="81"/>
    <x v="35"/>
    <x v="2"/>
    <n v="54458"/>
    <s v="Low"/>
    <x v="20"/>
    <n v="32"/>
    <x v="1"/>
    <x v="0"/>
    <n v="4.1900000000000004"/>
    <s v="Yes"/>
    <n v="4.5"/>
    <x v="0"/>
    <x v="3"/>
    <x v="0"/>
  </r>
  <r>
    <s v="AIJ-101593"/>
    <x v="12"/>
    <x v="3"/>
    <x v="1"/>
    <x v="2"/>
    <x v="12"/>
    <x v="52"/>
    <x v="14"/>
    <x v="0"/>
    <n v="163160"/>
    <s v="Low"/>
    <x v="51"/>
    <n v="55"/>
    <x v="2"/>
    <x v="0"/>
    <n v="3.02"/>
    <s v="No"/>
    <n v="3.22"/>
    <x v="0"/>
    <x v="0"/>
    <x v="3"/>
  </r>
  <r>
    <s v="AIJ-101594"/>
    <x v="10"/>
    <x v="1"/>
    <x v="5"/>
    <x v="2"/>
    <x v="17"/>
    <x v="61"/>
    <x v="77"/>
    <x v="0"/>
    <n v="173542"/>
    <s v="Low"/>
    <x v="13"/>
    <n v="34"/>
    <x v="1"/>
    <x v="2"/>
    <n v="4.38"/>
    <s v="Yes"/>
    <n v="3.08"/>
    <x v="1"/>
    <x v="2"/>
    <x v="3"/>
  </r>
  <r>
    <s v="AIJ-101595"/>
    <x v="0"/>
    <x v="0"/>
    <x v="0"/>
    <x v="0"/>
    <x v="19"/>
    <x v="71"/>
    <x v="77"/>
    <x v="1"/>
    <n v="41141"/>
    <s v="Low"/>
    <x v="17"/>
    <n v="54"/>
    <x v="0"/>
    <x v="2"/>
    <n v="2.82"/>
    <s v="No"/>
    <n v="2.0499999999999998"/>
    <x v="0"/>
    <x v="2"/>
    <x v="2"/>
  </r>
  <r>
    <s v="AIJ-101596"/>
    <x v="10"/>
    <x v="4"/>
    <x v="1"/>
    <x v="0"/>
    <x v="14"/>
    <x v="57"/>
    <x v="0"/>
    <x v="1"/>
    <n v="161465"/>
    <s v="Medium"/>
    <x v="15"/>
    <n v="49"/>
    <x v="0"/>
    <x v="2"/>
    <n v="4.05"/>
    <s v="No"/>
    <n v="3.29"/>
    <x v="2"/>
    <x v="2"/>
    <x v="2"/>
  </r>
  <r>
    <s v="AIJ-101597"/>
    <x v="11"/>
    <x v="7"/>
    <x v="3"/>
    <x v="0"/>
    <x v="12"/>
    <x v="37"/>
    <x v="69"/>
    <x v="0"/>
    <n v="106115"/>
    <s v="Medium"/>
    <x v="11"/>
    <n v="36"/>
    <x v="0"/>
    <x v="0"/>
    <n v="3.6"/>
    <s v="No"/>
    <n v="2.62"/>
    <x v="1"/>
    <x v="3"/>
    <x v="3"/>
  </r>
  <r>
    <s v="AIJ-101598"/>
    <x v="12"/>
    <x v="8"/>
    <x v="9"/>
    <x v="0"/>
    <x v="19"/>
    <x v="11"/>
    <x v="3"/>
    <x v="1"/>
    <n v="104892"/>
    <s v="Medium"/>
    <x v="50"/>
    <n v="52"/>
    <x v="2"/>
    <x v="0"/>
    <n v="2.96"/>
    <s v="Yes"/>
    <n v="1.54"/>
    <x v="0"/>
    <x v="0"/>
    <x v="2"/>
  </r>
  <r>
    <s v="AIJ-101599"/>
    <x v="0"/>
    <x v="4"/>
    <x v="7"/>
    <x v="2"/>
    <x v="1"/>
    <x v="59"/>
    <x v="66"/>
    <x v="0"/>
    <n v="218523"/>
    <s v="Medium"/>
    <x v="44"/>
    <n v="46"/>
    <x v="1"/>
    <x v="1"/>
    <n v="4.42"/>
    <s v="No"/>
    <n v="4.5"/>
    <x v="0"/>
    <x v="2"/>
    <x v="1"/>
  </r>
  <r>
    <s v="AIJ-101600"/>
    <x v="7"/>
    <x v="6"/>
    <x v="1"/>
    <x v="2"/>
    <x v="17"/>
    <x v="75"/>
    <x v="35"/>
    <x v="1"/>
    <n v="158731"/>
    <s v="Low"/>
    <x v="0"/>
    <n v="32"/>
    <x v="0"/>
    <x v="2"/>
    <n v="2.97"/>
    <s v="No"/>
    <n v="1.72"/>
    <x v="2"/>
    <x v="3"/>
    <x v="3"/>
  </r>
  <r>
    <s v="AIJ-101601"/>
    <x v="11"/>
    <x v="1"/>
    <x v="0"/>
    <x v="0"/>
    <x v="6"/>
    <x v="85"/>
    <x v="76"/>
    <x v="1"/>
    <n v="166965"/>
    <s v="Low"/>
    <x v="47"/>
    <n v="41"/>
    <x v="1"/>
    <x v="1"/>
    <n v="4.32"/>
    <s v="Yes"/>
    <n v="3.5"/>
    <x v="0"/>
    <x v="3"/>
    <x v="0"/>
  </r>
  <r>
    <s v="AIJ-101602"/>
    <x v="14"/>
    <x v="6"/>
    <x v="5"/>
    <x v="1"/>
    <x v="16"/>
    <x v="64"/>
    <x v="75"/>
    <x v="2"/>
    <n v="127377"/>
    <s v="Low"/>
    <x v="7"/>
    <n v="34"/>
    <x v="1"/>
    <x v="0"/>
    <n v="4.1500000000000004"/>
    <s v="Yes"/>
    <n v="1.03"/>
    <x v="2"/>
    <x v="2"/>
    <x v="3"/>
  </r>
  <r>
    <s v="AIJ-101603"/>
    <x v="3"/>
    <x v="1"/>
    <x v="8"/>
    <x v="0"/>
    <x v="7"/>
    <x v="6"/>
    <x v="56"/>
    <x v="0"/>
    <n v="213068"/>
    <s v="Medium"/>
    <x v="38"/>
    <n v="59"/>
    <x v="1"/>
    <x v="0"/>
    <n v="4.53"/>
    <s v="No"/>
    <n v="4.5"/>
    <x v="1"/>
    <x v="0"/>
    <x v="1"/>
  </r>
  <r>
    <s v="AIJ-101604"/>
    <x v="17"/>
    <x v="2"/>
    <x v="2"/>
    <x v="1"/>
    <x v="10"/>
    <x v="89"/>
    <x v="20"/>
    <x v="2"/>
    <n v="169173"/>
    <s v="High"/>
    <x v="10"/>
    <n v="51"/>
    <x v="0"/>
    <x v="0"/>
    <n v="2.2400000000000002"/>
    <s v="Yes"/>
    <n v="3.61"/>
    <x v="2"/>
    <x v="2"/>
    <x v="3"/>
  </r>
  <r>
    <s v="AIJ-101605"/>
    <x v="16"/>
    <x v="7"/>
    <x v="5"/>
    <x v="0"/>
    <x v="18"/>
    <x v="70"/>
    <x v="2"/>
    <x v="1"/>
    <n v="144090"/>
    <s v="Medium"/>
    <x v="10"/>
    <n v="34"/>
    <x v="2"/>
    <x v="2"/>
    <n v="4.3"/>
    <s v="No"/>
    <n v="3.01"/>
    <x v="0"/>
    <x v="3"/>
    <x v="3"/>
  </r>
  <r>
    <s v="AIJ-101606"/>
    <x v="1"/>
    <x v="2"/>
    <x v="5"/>
    <x v="2"/>
    <x v="6"/>
    <x v="49"/>
    <x v="23"/>
    <x v="1"/>
    <n v="63622"/>
    <s v="High"/>
    <x v="50"/>
    <n v="47"/>
    <x v="1"/>
    <x v="0"/>
    <n v="2.08"/>
    <s v="Yes"/>
    <n v="4.9400000000000004"/>
    <x v="1"/>
    <x v="0"/>
    <x v="0"/>
  </r>
  <r>
    <s v="AIJ-101607"/>
    <x v="15"/>
    <x v="9"/>
    <x v="7"/>
    <x v="0"/>
    <x v="5"/>
    <x v="75"/>
    <x v="73"/>
    <x v="2"/>
    <n v="145705"/>
    <s v="Low"/>
    <x v="20"/>
    <n v="34"/>
    <x v="0"/>
    <x v="0"/>
    <n v="4.91"/>
    <s v="No"/>
    <n v="2.2799999999999998"/>
    <x v="0"/>
    <x v="0"/>
    <x v="3"/>
  </r>
  <r>
    <s v="AIJ-101608"/>
    <x v="15"/>
    <x v="5"/>
    <x v="5"/>
    <x v="1"/>
    <x v="19"/>
    <x v="20"/>
    <x v="8"/>
    <x v="1"/>
    <n v="86399"/>
    <s v="High"/>
    <x v="36"/>
    <n v="42"/>
    <x v="1"/>
    <x v="2"/>
    <n v="3.97"/>
    <s v="Yes"/>
    <n v="2.92"/>
    <x v="1"/>
    <x v="0"/>
    <x v="2"/>
  </r>
  <r>
    <s v="AIJ-101609"/>
    <x v="15"/>
    <x v="0"/>
    <x v="6"/>
    <x v="3"/>
    <x v="17"/>
    <x v="85"/>
    <x v="45"/>
    <x v="0"/>
    <n v="33991"/>
    <s v="High"/>
    <x v="35"/>
    <n v="57"/>
    <x v="0"/>
    <x v="1"/>
    <n v="4.79"/>
    <s v="No"/>
    <n v="3.83"/>
    <x v="1"/>
    <x v="0"/>
    <x v="3"/>
  </r>
  <r>
    <s v="AIJ-101610"/>
    <x v="18"/>
    <x v="2"/>
    <x v="4"/>
    <x v="1"/>
    <x v="14"/>
    <x v="84"/>
    <x v="67"/>
    <x v="2"/>
    <n v="62107"/>
    <s v="Medium"/>
    <x v="43"/>
    <n v="49"/>
    <x v="2"/>
    <x v="0"/>
    <n v="3.4"/>
    <s v="Yes"/>
    <n v="1.1000000000000001"/>
    <x v="2"/>
    <x v="2"/>
    <x v="2"/>
  </r>
  <r>
    <s v="AIJ-101611"/>
    <x v="0"/>
    <x v="7"/>
    <x v="9"/>
    <x v="0"/>
    <x v="4"/>
    <x v="88"/>
    <x v="35"/>
    <x v="0"/>
    <n v="216499"/>
    <s v="High"/>
    <x v="28"/>
    <n v="46"/>
    <x v="0"/>
    <x v="2"/>
    <n v="4.51"/>
    <s v="No"/>
    <n v="3.05"/>
    <x v="2"/>
    <x v="2"/>
    <x v="1"/>
  </r>
  <r>
    <s v="AIJ-101612"/>
    <x v="6"/>
    <x v="5"/>
    <x v="1"/>
    <x v="0"/>
    <x v="16"/>
    <x v="84"/>
    <x v="16"/>
    <x v="2"/>
    <n v="144584"/>
    <s v="Low"/>
    <x v="0"/>
    <n v="36"/>
    <x v="1"/>
    <x v="2"/>
    <n v="2.5"/>
    <s v="Yes"/>
    <n v="4.4800000000000004"/>
    <x v="1"/>
    <x v="2"/>
    <x v="3"/>
  </r>
  <r>
    <s v="AIJ-101613"/>
    <x v="8"/>
    <x v="2"/>
    <x v="7"/>
    <x v="0"/>
    <x v="16"/>
    <x v="5"/>
    <x v="8"/>
    <x v="1"/>
    <n v="111840"/>
    <s v="Medium"/>
    <x v="8"/>
    <n v="57"/>
    <x v="2"/>
    <x v="1"/>
    <n v="2.02"/>
    <s v="Yes"/>
    <n v="1.88"/>
    <x v="1"/>
    <x v="3"/>
    <x v="3"/>
  </r>
  <r>
    <s v="AIJ-101614"/>
    <x v="0"/>
    <x v="8"/>
    <x v="2"/>
    <x v="1"/>
    <x v="9"/>
    <x v="13"/>
    <x v="57"/>
    <x v="2"/>
    <n v="72481"/>
    <s v="High"/>
    <x v="20"/>
    <n v="34"/>
    <x v="1"/>
    <x v="0"/>
    <n v="4.49"/>
    <s v="Yes"/>
    <n v="4.43"/>
    <x v="0"/>
    <x v="0"/>
    <x v="1"/>
  </r>
  <r>
    <s v="AIJ-101615"/>
    <x v="16"/>
    <x v="3"/>
    <x v="4"/>
    <x v="1"/>
    <x v="21"/>
    <x v="34"/>
    <x v="66"/>
    <x v="1"/>
    <n v="98531"/>
    <s v="High"/>
    <x v="45"/>
    <n v="41"/>
    <x v="0"/>
    <x v="0"/>
    <n v="4.99"/>
    <s v="No"/>
    <n v="3.28"/>
    <x v="0"/>
    <x v="1"/>
    <x v="0"/>
  </r>
  <r>
    <s v="AIJ-101616"/>
    <x v="6"/>
    <x v="0"/>
    <x v="1"/>
    <x v="1"/>
    <x v="14"/>
    <x v="32"/>
    <x v="40"/>
    <x v="2"/>
    <n v="122357"/>
    <s v="Medium"/>
    <x v="0"/>
    <n v="40"/>
    <x v="0"/>
    <x v="0"/>
    <n v="2.83"/>
    <s v="Yes"/>
    <n v="1.45"/>
    <x v="0"/>
    <x v="3"/>
    <x v="2"/>
  </r>
  <r>
    <s v="AIJ-101617"/>
    <x v="6"/>
    <x v="9"/>
    <x v="9"/>
    <x v="2"/>
    <x v="10"/>
    <x v="17"/>
    <x v="21"/>
    <x v="2"/>
    <n v="131921"/>
    <s v="Low"/>
    <x v="33"/>
    <n v="47"/>
    <x v="0"/>
    <x v="0"/>
    <n v="4.8099999999999996"/>
    <s v="No"/>
    <n v="2.0099999999999998"/>
    <x v="0"/>
    <x v="3"/>
    <x v="3"/>
  </r>
  <r>
    <s v="AIJ-101618"/>
    <x v="18"/>
    <x v="3"/>
    <x v="6"/>
    <x v="1"/>
    <x v="6"/>
    <x v="76"/>
    <x v="19"/>
    <x v="2"/>
    <n v="174830"/>
    <s v="Low"/>
    <x v="55"/>
    <n v="48"/>
    <x v="1"/>
    <x v="2"/>
    <n v="2.63"/>
    <s v="No"/>
    <n v="1.77"/>
    <x v="0"/>
    <x v="3"/>
    <x v="0"/>
  </r>
  <r>
    <s v="AIJ-101619"/>
    <x v="18"/>
    <x v="3"/>
    <x v="4"/>
    <x v="3"/>
    <x v="9"/>
    <x v="8"/>
    <x v="35"/>
    <x v="2"/>
    <n v="157956"/>
    <s v="Medium"/>
    <x v="13"/>
    <n v="36"/>
    <x v="2"/>
    <x v="2"/>
    <n v="3.46"/>
    <s v="Yes"/>
    <n v="3.34"/>
    <x v="2"/>
    <x v="3"/>
    <x v="1"/>
  </r>
  <r>
    <s v="AIJ-101620"/>
    <x v="16"/>
    <x v="2"/>
    <x v="0"/>
    <x v="2"/>
    <x v="2"/>
    <x v="81"/>
    <x v="35"/>
    <x v="1"/>
    <n v="64151"/>
    <s v="Medium"/>
    <x v="51"/>
    <n v="41"/>
    <x v="1"/>
    <x v="2"/>
    <n v="2.2799999999999998"/>
    <s v="Yes"/>
    <n v="1.9"/>
    <x v="2"/>
    <x v="3"/>
    <x v="1"/>
  </r>
  <r>
    <s v="AIJ-101621"/>
    <x v="12"/>
    <x v="3"/>
    <x v="1"/>
    <x v="2"/>
    <x v="14"/>
    <x v="25"/>
    <x v="54"/>
    <x v="2"/>
    <n v="95828"/>
    <s v="High"/>
    <x v="53"/>
    <n v="32"/>
    <x v="1"/>
    <x v="0"/>
    <n v="3.57"/>
    <s v="No"/>
    <n v="1.39"/>
    <x v="1"/>
    <x v="3"/>
    <x v="2"/>
  </r>
  <r>
    <s v="AIJ-101622"/>
    <x v="3"/>
    <x v="7"/>
    <x v="3"/>
    <x v="1"/>
    <x v="7"/>
    <x v="33"/>
    <x v="69"/>
    <x v="2"/>
    <n v="179602"/>
    <s v="Low"/>
    <x v="52"/>
    <n v="44"/>
    <x v="0"/>
    <x v="0"/>
    <n v="3.14"/>
    <s v="Yes"/>
    <n v="2.5499999999999998"/>
    <x v="2"/>
    <x v="2"/>
    <x v="1"/>
  </r>
  <r>
    <s v="AIJ-101623"/>
    <x v="4"/>
    <x v="4"/>
    <x v="6"/>
    <x v="1"/>
    <x v="2"/>
    <x v="71"/>
    <x v="43"/>
    <x v="0"/>
    <n v="150080"/>
    <s v="Low"/>
    <x v="49"/>
    <n v="46"/>
    <x v="2"/>
    <x v="0"/>
    <n v="3.7"/>
    <s v="Yes"/>
    <n v="4.58"/>
    <x v="1"/>
    <x v="3"/>
    <x v="1"/>
  </r>
  <r>
    <s v="AIJ-101624"/>
    <x v="13"/>
    <x v="6"/>
    <x v="2"/>
    <x v="2"/>
    <x v="2"/>
    <x v="68"/>
    <x v="72"/>
    <x v="1"/>
    <n v="158160"/>
    <s v="Medium"/>
    <x v="50"/>
    <n v="49"/>
    <x v="1"/>
    <x v="1"/>
    <n v="4.03"/>
    <s v="Yes"/>
    <n v="3.5"/>
    <x v="2"/>
    <x v="2"/>
    <x v="1"/>
  </r>
  <r>
    <s v="AIJ-101625"/>
    <x v="0"/>
    <x v="4"/>
    <x v="2"/>
    <x v="2"/>
    <x v="1"/>
    <x v="65"/>
    <x v="14"/>
    <x v="2"/>
    <n v="210005"/>
    <s v="Medium"/>
    <x v="50"/>
    <n v="49"/>
    <x v="2"/>
    <x v="2"/>
    <n v="4.83"/>
    <s v="No"/>
    <n v="4.95"/>
    <x v="1"/>
    <x v="3"/>
    <x v="1"/>
  </r>
  <r>
    <s v="AIJ-101626"/>
    <x v="16"/>
    <x v="8"/>
    <x v="3"/>
    <x v="0"/>
    <x v="10"/>
    <x v="36"/>
    <x v="29"/>
    <x v="2"/>
    <n v="130316"/>
    <s v="Medium"/>
    <x v="17"/>
    <n v="54"/>
    <x v="2"/>
    <x v="0"/>
    <n v="3.18"/>
    <s v="No"/>
    <n v="3.94"/>
    <x v="0"/>
    <x v="1"/>
    <x v="3"/>
  </r>
  <r>
    <s v="AIJ-101627"/>
    <x v="18"/>
    <x v="7"/>
    <x v="4"/>
    <x v="3"/>
    <x v="18"/>
    <x v="3"/>
    <x v="47"/>
    <x v="1"/>
    <n v="50527"/>
    <s v="Medium"/>
    <x v="54"/>
    <n v="31"/>
    <x v="0"/>
    <x v="0"/>
    <n v="2.39"/>
    <s v="Yes"/>
    <n v="4.0999999999999996"/>
    <x v="2"/>
    <x v="3"/>
    <x v="3"/>
  </r>
  <r>
    <s v="AIJ-101628"/>
    <x v="15"/>
    <x v="7"/>
    <x v="4"/>
    <x v="3"/>
    <x v="23"/>
    <x v="50"/>
    <x v="23"/>
    <x v="0"/>
    <n v="190207"/>
    <s v="Low"/>
    <x v="40"/>
    <n v="55"/>
    <x v="2"/>
    <x v="1"/>
    <n v="3.66"/>
    <s v="Yes"/>
    <n v="4.09"/>
    <x v="1"/>
    <x v="3"/>
    <x v="3"/>
  </r>
  <r>
    <s v="AIJ-101629"/>
    <x v="2"/>
    <x v="2"/>
    <x v="1"/>
    <x v="2"/>
    <x v="20"/>
    <x v="16"/>
    <x v="58"/>
    <x v="1"/>
    <n v="135621"/>
    <s v="High"/>
    <x v="52"/>
    <n v="39"/>
    <x v="0"/>
    <x v="0"/>
    <n v="2.13"/>
    <s v="No"/>
    <n v="4.25"/>
    <x v="2"/>
    <x v="3"/>
    <x v="2"/>
  </r>
  <r>
    <s v="AIJ-101630"/>
    <x v="16"/>
    <x v="8"/>
    <x v="6"/>
    <x v="2"/>
    <x v="23"/>
    <x v="77"/>
    <x v="48"/>
    <x v="0"/>
    <n v="131272"/>
    <s v="Low"/>
    <x v="17"/>
    <n v="53"/>
    <x v="1"/>
    <x v="1"/>
    <n v="3.08"/>
    <s v="Yes"/>
    <n v="4.4800000000000004"/>
    <x v="1"/>
    <x v="3"/>
    <x v="3"/>
  </r>
  <r>
    <s v="AIJ-101631"/>
    <x v="15"/>
    <x v="4"/>
    <x v="8"/>
    <x v="1"/>
    <x v="8"/>
    <x v="39"/>
    <x v="20"/>
    <x v="0"/>
    <n v="211313"/>
    <s v="Medium"/>
    <x v="9"/>
    <n v="56"/>
    <x v="0"/>
    <x v="0"/>
    <n v="3.42"/>
    <s v="Yes"/>
    <n v="2.34"/>
    <x v="2"/>
    <x v="3"/>
    <x v="2"/>
  </r>
  <r>
    <s v="AIJ-101632"/>
    <x v="12"/>
    <x v="4"/>
    <x v="8"/>
    <x v="0"/>
    <x v="9"/>
    <x v="14"/>
    <x v="21"/>
    <x v="2"/>
    <n v="194701"/>
    <s v="Low"/>
    <x v="50"/>
    <n v="57"/>
    <x v="0"/>
    <x v="1"/>
    <n v="2.34"/>
    <s v="No"/>
    <n v="4.91"/>
    <x v="1"/>
    <x v="1"/>
    <x v="1"/>
  </r>
  <r>
    <s v="AIJ-101633"/>
    <x v="5"/>
    <x v="1"/>
    <x v="4"/>
    <x v="3"/>
    <x v="18"/>
    <x v="53"/>
    <x v="21"/>
    <x v="2"/>
    <n v="52857"/>
    <s v="Medium"/>
    <x v="2"/>
    <n v="52"/>
    <x v="2"/>
    <x v="0"/>
    <n v="3.77"/>
    <s v="No"/>
    <n v="1.0900000000000001"/>
    <x v="1"/>
    <x v="1"/>
    <x v="3"/>
  </r>
  <r>
    <s v="AIJ-101634"/>
    <x v="12"/>
    <x v="7"/>
    <x v="7"/>
    <x v="0"/>
    <x v="0"/>
    <x v="30"/>
    <x v="57"/>
    <x v="1"/>
    <n v="168374"/>
    <s v="Low"/>
    <x v="48"/>
    <n v="57"/>
    <x v="0"/>
    <x v="0"/>
    <n v="4.04"/>
    <s v="Yes"/>
    <n v="4.7699999999999996"/>
    <x v="0"/>
    <x v="3"/>
    <x v="0"/>
  </r>
  <r>
    <s v="AIJ-101635"/>
    <x v="12"/>
    <x v="9"/>
    <x v="6"/>
    <x v="3"/>
    <x v="15"/>
    <x v="0"/>
    <x v="26"/>
    <x v="2"/>
    <n v="79179"/>
    <s v="High"/>
    <x v="28"/>
    <n v="60"/>
    <x v="2"/>
    <x v="0"/>
    <n v="2.31"/>
    <s v="Yes"/>
    <n v="4.6399999999999997"/>
    <x v="2"/>
    <x v="3"/>
    <x v="1"/>
  </r>
  <r>
    <s v="AIJ-101636"/>
    <x v="2"/>
    <x v="0"/>
    <x v="8"/>
    <x v="0"/>
    <x v="4"/>
    <x v="54"/>
    <x v="42"/>
    <x v="1"/>
    <n v="158261"/>
    <s v="Low"/>
    <x v="14"/>
    <n v="56"/>
    <x v="2"/>
    <x v="1"/>
    <n v="2.12"/>
    <s v="Yes"/>
    <n v="4.8600000000000003"/>
    <x v="0"/>
    <x v="3"/>
    <x v="1"/>
  </r>
  <r>
    <s v="AIJ-101637"/>
    <x v="19"/>
    <x v="2"/>
    <x v="6"/>
    <x v="3"/>
    <x v="18"/>
    <x v="78"/>
    <x v="61"/>
    <x v="0"/>
    <n v="81453"/>
    <s v="Medium"/>
    <x v="10"/>
    <n v="40"/>
    <x v="0"/>
    <x v="1"/>
    <n v="4.07"/>
    <s v="Yes"/>
    <n v="4.47"/>
    <x v="1"/>
    <x v="2"/>
    <x v="3"/>
  </r>
  <r>
    <s v="AIJ-101638"/>
    <x v="0"/>
    <x v="5"/>
    <x v="4"/>
    <x v="0"/>
    <x v="9"/>
    <x v="45"/>
    <x v="26"/>
    <x v="1"/>
    <n v="148406"/>
    <s v="Low"/>
    <x v="26"/>
    <n v="60"/>
    <x v="1"/>
    <x v="1"/>
    <n v="3.48"/>
    <s v="No"/>
    <n v="3.98"/>
    <x v="0"/>
    <x v="3"/>
    <x v="1"/>
  </r>
  <r>
    <s v="AIJ-101639"/>
    <x v="16"/>
    <x v="6"/>
    <x v="4"/>
    <x v="1"/>
    <x v="4"/>
    <x v="9"/>
    <x v="36"/>
    <x v="0"/>
    <n v="184042"/>
    <s v="Medium"/>
    <x v="48"/>
    <n v="58"/>
    <x v="2"/>
    <x v="1"/>
    <n v="2.02"/>
    <s v="No"/>
    <n v="1.62"/>
    <x v="0"/>
    <x v="3"/>
    <x v="1"/>
  </r>
  <r>
    <s v="AIJ-101640"/>
    <x v="17"/>
    <x v="3"/>
    <x v="0"/>
    <x v="0"/>
    <x v="5"/>
    <x v="20"/>
    <x v="4"/>
    <x v="0"/>
    <n v="39899"/>
    <s v="Low"/>
    <x v="14"/>
    <n v="60"/>
    <x v="0"/>
    <x v="2"/>
    <n v="4.7300000000000004"/>
    <s v="No"/>
    <n v="4.4000000000000004"/>
    <x v="1"/>
    <x v="0"/>
    <x v="3"/>
  </r>
  <r>
    <s v="AIJ-101641"/>
    <x v="5"/>
    <x v="6"/>
    <x v="1"/>
    <x v="0"/>
    <x v="8"/>
    <x v="88"/>
    <x v="60"/>
    <x v="0"/>
    <n v="122594"/>
    <s v="Low"/>
    <x v="51"/>
    <n v="34"/>
    <x v="0"/>
    <x v="0"/>
    <n v="3.07"/>
    <s v="Yes"/>
    <n v="3.23"/>
    <x v="1"/>
    <x v="3"/>
    <x v="2"/>
  </r>
  <r>
    <s v="AIJ-101642"/>
    <x v="17"/>
    <x v="6"/>
    <x v="7"/>
    <x v="1"/>
    <x v="9"/>
    <x v="16"/>
    <x v="69"/>
    <x v="0"/>
    <n v="169381"/>
    <s v="Medium"/>
    <x v="28"/>
    <n v="57"/>
    <x v="1"/>
    <x v="0"/>
    <n v="2.1"/>
    <s v="Yes"/>
    <n v="4.6399999999999997"/>
    <x v="2"/>
    <x v="0"/>
    <x v="1"/>
  </r>
  <r>
    <s v="AIJ-101643"/>
    <x v="12"/>
    <x v="3"/>
    <x v="3"/>
    <x v="1"/>
    <x v="11"/>
    <x v="0"/>
    <x v="75"/>
    <x v="2"/>
    <n v="146251"/>
    <s v="High"/>
    <x v="25"/>
    <n v="38"/>
    <x v="0"/>
    <x v="1"/>
    <n v="3.91"/>
    <s v="No"/>
    <n v="1.95"/>
    <x v="2"/>
    <x v="3"/>
    <x v="1"/>
  </r>
  <r>
    <s v="AIJ-101644"/>
    <x v="14"/>
    <x v="1"/>
    <x v="1"/>
    <x v="3"/>
    <x v="19"/>
    <x v="50"/>
    <x v="43"/>
    <x v="2"/>
    <n v="66197"/>
    <s v="Medium"/>
    <x v="42"/>
    <n v="57"/>
    <x v="2"/>
    <x v="1"/>
    <n v="3.94"/>
    <s v="No"/>
    <n v="4.0999999999999996"/>
    <x v="0"/>
    <x v="3"/>
    <x v="2"/>
  </r>
  <r>
    <s v="AIJ-101645"/>
    <x v="2"/>
    <x v="4"/>
    <x v="0"/>
    <x v="3"/>
    <x v="16"/>
    <x v="22"/>
    <x v="3"/>
    <x v="1"/>
    <n v="62488"/>
    <s v="High"/>
    <x v="5"/>
    <n v="44"/>
    <x v="2"/>
    <x v="2"/>
    <n v="4.03"/>
    <s v="No"/>
    <n v="1.06"/>
    <x v="0"/>
    <x v="0"/>
    <x v="3"/>
  </r>
  <r>
    <s v="AIJ-101646"/>
    <x v="2"/>
    <x v="8"/>
    <x v="6"/>
    <x v="3"/>
    <x v="12"/>
    <x v="44"/>
    <x v="0"/>
    <x v="2"/>
    <n v="163803"/>
    <s v="Medium"/>
    <x v="39"/>
    <n v="37"/>
    <x v="2"/>
    <x v="2"/>
    <n v="3.33"/>
    <s v="No"/>
    <n v="3.38"/>
    <x v="1"/>
    <x v="2"/>
    <x v="3"/>
  </r>
  <r>
    <s v="AIJ-101647"/>
    <x v="8"/>
    <x v="8"/>
    <x v="1"/>
    <x v="0"/>
    <x v="18"/>
    <x v="41"/>
    <x v="13"/>
    <x v="1"/>
    <n v="46253"/>
    <s v="Medium"/>
    <x v="40"/>
    <n v="54"/>
    <x v="2"/>
    <x v="0"/>
    <n v="3.49"/>
    <s v="No"/>
    <n v="2.09"/>
    <x v="0"/>
    <x v="2"/>
    <x v="3"/>
  </r>
  <r>
    <s v="AIJ-101648"/>
    <x v="2"/>
    <x v="2"/>
    <x v="3"/>
    <x v="0"/>
    <x v="15"/>
    <x v="0"/>
    <x v="47"/>
    <x v="0"/>
    <n v="105617"/>
    <s v="Low"/>
    <x v="55"/>
    <n v="31"/>
    <x v="0"/>
    <x v="1"/>
    <n v="4.62"/>
    <s v="No"/>
    <n v="3.4"/>
    <x v="1"/>
    <x v="3"/>
    <x v="1"/>
  </r>
  <r>
    <s v="AIJ-101649"/>
    <x v="17"/>
    <x v="2"/>
    <x v="0"/>
    <x v="3"/>
    <x v="9"/>
    <x v="44"/>
    <x v="63"/>
    <x v="1"/>
    <n v="141770"/>
    <s v="High"/>
    <x v="11"/>
    <n v="45"/>
    <x v="1"/>
    <x v="2"/>
    <n v="2.99"/>
    <s v="Yes"/>
    <n v="2.37"/>
    <x v="2"/>
    <x v="1"/>
    <x v="1"/>
  </r>
  <r>
    <s v="AIJ-101650"/>
    <x v="7"/>
    <x v="0"/>
    <x v="1"/>
    <x v="1"/>
    <x v="10"/>
    <x v="68"/>
    <x v="64"/>
    <x v="0"/>
    <n v="128462"/>
    <s v="High"/>
    <x v="19"/>
    <n v="42"/>
    <x v="2"/>
    <x v="2"/>
    <n v="4.42"/>
    <s v="No"/>
    <n v="4.2699999999999996"/>
    <x v="2"/>
    <x v="3"/>
    <x v="3"/>
  </r>
  <r>
    <s v="AIJ-101651"/>
    <x v="1"/>
    <x v="1"/>
    <x v="5"/>
    <x v="3"/>
    <x v="13"/>
    <x v="89"/>
    <x v="45"/>
    <x v="0"/>
    <n v="44649"/>
    <s v="Medium"/>
    <x v="41"/>
    <n v="41"/>
    <x v="0"/>
    <x v="1"/>
    <n v="4.66"/>
    <s v="No"/>
    <n v="4.6900000000000004"/>
    <x v="2"/>
    <x v="2"/>
    <x v="1"/>
  </r>
  <r>
    <s v="AIJ-101652"/>
    <x v="12"/>
    <x v="4"/>
    <x v="7"/>
    <x v="2"/>
    <x v="13"/>
    <x v="13"/>
    <x v="42"/>
    <x v="2"/>
    <n v="202497"/>
    <s v="Medium"/>
    <x v="23"/>
    <n v="30"/>
    <x v="2"/>
    <x v="0"/>
    <n v="3.74"/>
    <s v="Yes"/>
    <n v="3.01"/>
    <x v="0"/>
    <x v="0"/>
    <x v="1"/>
  </r>
  <r>
    <s v="AIJ-101653"/>
    <x v="12"/>
    <x v="5"/>
    <x v="5"/>
    <x v="1"/>
    <x v="6"/>
    <x v="21"/>
    <x v="7"/>
    <x v="2"/>
    <n v="116410"/>
    <s v="High"/>
    <x v="22"/>
    <n v="44"/>
    <x v="0"/>
    <x v="2"/>
    <n v="2.67"/>
    <s v="No"/>
    <n v="4.55"/>
    <x v="0"/>
    <x v="3"/>
    <x v="0"/>
  </r>
  <r>
    <s v="AIJ-101654"/>
    <x v="8"/>
    <x v="5"/>
    <x v="5"/>
    <x v="2"/>
    <x v="6"/>
    <x v="76"/>
    <x v="22"/>
    <x v="0"/>
    <n v="165699"/>
    <s v="Medium"/>
    <x v="49"/>
    <n v="55"/>
    <x v="0"/>
    <x v="2"/>
    <n v="3.79"/>
    <s v="Yes"/>
    <n v="1.43"/>
    <x v="2"/>
    <x v="3"/>
    <x v="0"/>
  </r>
  <r>
    <s v="AIJ-101655"/>
    <x v="6"/>
    <x v="2"/>
    <x v="0"/>
    <x v="0"/>
    <x v="20"/>
    <x v="12"/>
    <x v="50"/>
    <x v="1"/>
    <n v="79770"/>
    <s v="High"/>
    <x v="39"/>
    <n v="35"/>
    <x v="1"/>
    <x v="0"/>
    <n v="4.01"/>
    <s v="Yes"/>
    <n v="3.17"/>
    <x v="0"/>
    <x v="3"/>
    <x v="2"/>
  </r>
  <r>
    <s v="AIJ-101656"/>
    <x v="8"/>
    <x v="0"/>
    <x v="7"/>
    <x v="0"/>
    <x v="12"/>
    <x v="20"/>
    <x v="78"/>
    <x v="1"/>
    <n v="147910"/>
    <s v="Low"/>
    <x v="26"/>
    <n v="58"/>
    <x v="2"/>
    <x v="2"/>
    <n v="4.22"/>
    <s v="Yes"/>
    <n v="2.2000000000000002"/>
    <x v="0"/>
    <x v="3"/>
    <x v="3"/>
  </r>
  <r>
    <s v="AIJ-101657"/>
    <x v="12"/>
    <x v="1"/>
    <x v="1"/>
    <x v="0"/>
    <x v="16"/>
    <x v="47"/>
    <x v="77"/>
    <x v="1"/>
    <n v="106572"/>
    <s v="Low"/>
    <x v="3"/>
    <n v="44"/>
    <x v="0"/>
    <x v="0"/>
    <n v="2.58"/>
    <s v="Yes"/>
    <n v="4.05"/>
    <x v="0"/>
    <x v="2"/>
    <x v="3"/>
  </r>
  <r>
    <s v="AIJ-101658"/>
    <x v="0"/>
    <x v="9"/>
    <x v="3"/>
    <x v="3"/>
    <x v="14"/>
    <x v="63"/>
    <x v="59"/>
    <x v="2"/>
    <n v="211680"/>
    <s v="High"/>
    <x v="43"/>
    <n v="39"/>
    <x v="2"/>
    <x v="0"/>
    <n v="3.34"/>
    <s v="Yes"/>
    <n v="2.2200000000000002"/>
    <x v="1"/>
    <x v="2"/>
    <x v="2"/>
  </r>
  <r>
    <s v="AIJ-101659"/>
    <x v="17"/>
    <x v="2"/>
    <x v="0"/>
    <x v="3"/>
    <x v="21"/>
    <x v="82"/>
    <x v="47"/>
    <x v="0"/>
    <n v="111514"/>
    <s v="High"/>
    <x v="52"/>
    <n v="55"/>
    <x v="0"/>
    <x v="2"/>
    <n v="4.54"/>
    <s v="No"/>
    <n v="2.0699999999999998"/>
    <x v="0"/>
    <x v="3"/>
    <x v="0"/>
  </r>
  <r>
    <s v="AIJ-101660"/>
    <x v="2"/>
    <x v="8"/>
    <x v="4"/>
    <x v="1"/>
    <x v="14"/>
    <x v="40"/>
    <x v="74"/>
    <x v="1"/>
    <n v="66465"/>
    <s v="High"/>
    <x v="55"/>
    <n v="34"/>
    <x v="1"/>
    <x v="2"/>
    <n v="2.68"/>
    <s v="Yes"/>
    <n v="1.92"/>
    <x v="0"/>
    <x v="1"/>
    <x v="2"/>
  </r>
  <r>
    <s v="AIJ-101661"/>
    <x v="8"/>
    <x v="7"/>
    <x v="3"/>
    <x v="1"/>
    <x v="0"/>
    <x v="43"/>
    <x v="19"/>
    <x v="1"/>
    <n v="215294"/>
    <s v="Medium"/>
    <x v="31"/>
    <n v="48"/>
    <x v="2"/>
    <x v="0"/>
    <n v="4.4000000000000004"/>
    <s v="No"/>
    <n v="3.7"/>
    <x v="1"/>
    <x v="3"/>
    <x v="0"/>
  </r>
  <r>
    <s v="AIJ-101662"/>
    <x v="17"/>
    <x v="4"/>
    <x v="3"/>
    <x v="0"/>
    <x v="14"/>
    <x v="27"/>
    <x v="49"/>
    <x v="2"/>
    <n v="47590"/>
    <s v="Medium"/>
    <x v="44"/>
    <n v="38"/>
    <x v="1"/>
    <x v="1"/>
    <n v="4.75"/>
    <s v="Yes"/>
    <n v="2.87"/>
    <x v="1"/>
    <x v="3"/>
    <x v="2"/>
  </r>
  <r>
    <s v="AIJ-101663"/>
    <x v="7"/>
    <x v="8"/>
    <x v="2"/>
    <x v="0"/>
    <x v="18"/>
    <x v="71"/>
    <x v="74"/>
    <x v="1"/>
    <n v="46109"/>
    <s v="Medium"/>
    <x v="18"/>
    <n v="33"/>
    <x v="2"/>
    <x v="2"/>
    <n v="2.15"/>
    <s v="No"/>
    <n v="1.33"/>
    <x v="0"/>
    <x v="1"/>
    <x v="3"/>
  </r>
  <r>
    <s v="AIJ-101664"/>
    <x v="9"/>
    <x v="2"/>
    <x v="4"/>
    <x v="3"/>
    <x v="13"/>
    <x v="71"/>
    <x v="77"/>
    <x v="1"/>
    <n v="194455"/>
    <s v="Low"/>
    <x v="20"/>
    <n v="32"/>
    <x v="0"/>
    <x v="1"/>
    <n v="4.97"/>
    <s v="Yes"/>
    <n v="4.33"/>
    <x v="0"/>
    <x v="2"/>
    <x v="1"/>
  </r>
  <r>
    <s v="AIJ-101665"/>
    <x v="5"/>
    <x v="8"/>
    <x v="4"/>
    <x v="1"/>
    <x v="13"/>
    <x v="37"/>
    <x v="27"/>
    <x v="0"/>
    <n v="42483"/>
    <s v="Low"/>
    <x v="16"/>
    <n v="31"/>
    <x v="0"/>
    <x v="0"/>
    <n v="3.85"/>
    <s v="Yes"/>
    <n v="3.95"/>
    <x v="1"/>
    <x v="3"/>
    <x v="1"/>
  </r>
  <r>
    <s v="AIJ-101666"/>
    <x v="18"/>
    <x v="9"/>
    <x v="6"/>
    <x v="0"/>
    <x v="17"/>
    <x v="73"/>
    <x v="13"/>
    <x v="2"/>
    <n v="100063"/>
    <s v="High"/>
    <x v="14"/>
    <n v="40"/>
    <x v="1"/>
    <x v="1"/>
    <n v="2.06"/>
    <s v="Yes"/>
    <n v="2.41"/>
    <x v="0"/>
    <x v="3"/>
    <x v="3"/>
  </r>
  <r>
    <s v="AIJ-101667"/>
    <x v="12"/>
    <x v="9"/>
    <x v="5"/>
    <x v="2"/>
    <x v="20"/>
    <x v="55"/>
    <x v="29"/>
    <x v="0"/>
    <n v="31635"/>
    <s v="Medium"/>
    <x v="13"/>
    <n v="30"/>
    <x v="0"/>
    <x v="2"/>
    <n v="4.6900000000000004"/>
    <s v="Yes"/>
    <n v="1.43"/>
    <x v="0"/>
    <x v="1"/>
    <x v="2"/>
  </r>
  <r>
    <s v="AIJ-101668"/>
    <x v="10"/>
    <x v="1"/>
    <x v="4"/>
    <x v="2"/>
    <x v="15"/>
    <x v="39"/>
    <x v="47"/>
    <x v="0"/>
    <n v="70631"/>
    <s v="Medium"/>
    <x v="46"/>
    <n v="37"/>
    <x v="1"/>
    <x v="2"/>
    <n v="3.24"/>
    <s v="No"/>
    <n v="2.41"/>
    <x v="2"/>
    <x v="3"/>
    <x v="1"/>
  </r>
  <r>
    <s v="AIJ-101669"/>
    <x v="8"/>
    <x v="6"/>
    <x v="7"/>
    <x v="1"/>
    <x v="14"/>
    <x v="7"/>
    <x v="22"/>
    <x v="1"/>
    <n v="119064"/>
    <s v="Medium"/>
    <x v="30"/>
    <n v="40"/>
    <x v="1"/>
    <x v="1"/>
    <n v="3.37"/>
    <s v="Yes"/>
    <n v="4.58"/>
    <x v="0"/>
    <x v="3"/>
    <x v="2"/>
  </r>
  <r>
    <s v="AIJ-101670"/>
    <x v="19"/>
    <x v="7"/>
    <x v="7"/>
    <x v="0"/>
    <x v="0"/>
    <x v="5"/>
    <x v="76"/>
    <x v="1"/>
    <n v="32022"/>
    <s v="High"/>
    <x v="53"/>
    <n v="40"/>
    <x v="2"/>
    <x v="2"/>
    <n v="4.32"/>
    <s v="Yes"/>
    <n v="1.33"/>
    <x v="0"/>
    <x v="2"/>
    <x v="0"/>
  </r>
  <r>
    <s v="AIJ-101671"/>
    <x v="16"/>
    <x v="3"/>
    <x v="4"/>
    <x v="1"/>
    <x v="21"/>
    <x v="57"/>
    <x v="42"/>
    <x v="2"/>
    <n v="125676"/>
    <s v="Medium"/>
    <x v="2"/>
    <n v="46"/>
    <x v="2"/>
    <x v="0"/>
    <n v="3.75"/>
    <s v="No"/>
    <n v="4.87"/>
    <x v="1"/>
    <x v="3"/>
    <x v="0"/>
  </r>
  <r>
    <s v="AIJ-101672"/>
    <x v="8"/>
    <x v="2"/>
    <x v="8"/>
    <x v="1"/>
    <x v="14"/>
    <x v="25"/>
    <x v="5"/>
    <x v="0"/>
    <n v="215142"/>
    <s v="Medium"/>
    <x v="50"/>
    <n v="38"/>
    <x v="2"/>
    <x v="0"/>
    <n v="3.58"/>
    <s v="No"/>
    <n v="3.51"/>
    <x v="0"/>
    <x v="0"/>
    <x v="2"/>
  </r>
  <r>
    <s v="AIJ-101673"/>
    <x v="3"/>
    <x v="7"/>
    <x v="6"/>
    <x v="2"/>
    <x v="1"/>
    <x v="38"/>
    <x v="5"/>
    <x v="1"/>
    <n v="201034"/>
    <s v="Low"/>
    <x v="37"/>
    <n v="49"/>
    <x v="1"/>
    <x v="2"/>
    <n v="2.85"/>
    <s v="No"/>
    <n v="3.89"/>
    <x v="2"/>
    <x v="0"/>
    <x v="1"/>
  </r>
  <r>
    <s v="AIJ-101674"/>
    <x v="13"/>
    <x v="6"/>
    <x v="8"/>
    <x v="3"/>
    <x v="19"/>
    <x v="90"/>
    <x v="27"/>
    <x v="1"/>
    <n v="80726"/>
    <s v="Medium"/>
    <x v="29"/>
    <n v="44"/>
    <x v="2"/>
    <x v="2"/>
    <n v="3.92"/>
    <s v="Yes"/>
    <n v="1.38"/>
    <x v="1"/>
    <x v="2"/>
    <x v="2"/>
  </r>
  <r>
    <s v="AIJ-101675"/>
    <x v="11"/>
    <x v="8"/>
    <x v="9"/>
    <x v="1"/>
    <x v="8"/>
    <x v="6"/>
    <x v="70"/>
    <x v="2"/>
    <n v="214487"/>
    <s v="High"/>
    <x v="26"/>
    <n v="45"/>
    <x v="1"/>
    <x v="1"/>
    <n v="3.93"/>
    <s v="No"/>
    <n v="2.52"/>
    <x v="2"/>
    <x v="3"/>
    <x v="2"/>
  </r>
  <r>
    <s v="AIJ-101676"/>
    <x v="2"/>
    <x v="2"/>
    <x v="8"/>
    <x v="2"/>
    <x v="0"/>
    <x v="77"/>
    <x v="6"/>
    <x v="2"/>
    <n v="92063"/>
    <s v="Medium"/>
    <x v="8"/>
    <n v="41"/>
    <x v="0"/>
    <x v="2"/>
    <n v="4.32"/>
    <s v="Yes"/>
    <n v="1.99"/>
    <x v="0"/>
    <x v="0"/>
    <x v="0"/>
  </r>
  <r>
    <s v="AIJ-101677"/>
    <x v="11"/>
    <x v="1"/>
    <x v="6"/>
    <x v="2"/>
    <x v="5"/>
    <x v="15"/>
    <x v="35"/>
    <x v="1"/>
    <n v="166087"/>
    <s v="High"/>
    <x v="18"/>
    <n v="55"/>
    <x v="0"/>
    <x v="1"/>
    <n v="4.78"/>
    <s v="No"/>
    <n v="4.3099999999999996"/>
    <x v="0"/>
    <x v="3"/>
    <x v="3"/>
  </r>
  <r>
    <s v="AIJ-101678"/>
    <x v="18"/>
    <x v="6"/>
    <x v="0"/>
    <x v="3"/>
    <x v="5"/>
    <x v="54"/>
    <x v="3"/>
    <x v="0"/>
    <n v="130190"/>
    <s v="Low"/>
    <x v="19"/>
    <n v="47"/>
    <x v="0"/>
    <x v="1"/>
    <n v="3.28"/>
    <s v="Yes"/>
    <n v="2.8"/>
    <x v="0"/>
    <x v="3"/>
    <x v="3"/>
  </r>
  <r>
    <s v="AIJ-101679"/>
    <x v="9"/>
    <x v="5"/>
    <x v="7"/>
    <x v="2"/>
    <x v="24"/>
    <x v="2"/>
    <x v="69"/>
    <x v="0"/>
    <n v="47001"/>
    <s v="Low"/>
    <x v="44"/>
    <n v="58"/>
    <x v="1"/>
    <x v="1"/>
    <n v="4.5199999999999996"/>
    <s v="Yes"/>
    <n v="3.36"/>
    <x v="0"/>
    <x v="2"/>
    <x v="1"/>
  </r>
  <r>
    <s v="AIJ-101680"/>
    <x v="12"/>
    <x v="4"/>
    <x v="1"/>
    <x v="2"/>
    <x v="17"/>
    <x v="12"/>
    <x v="14"/>
    <x v="2"/>
    <n v="65634"/>
    <s v="High"/>
    <x v="38"/>
    <n v="46"/>
    <x v="2"/>
    <x v="1"/>
    <n v="4.47"/>
    <s v="No"/>
    <n v="4.1399999999999997"/>
    <x v="2"/>
    <x v="0"/>
    <x v="3"/>
  </r>
  <r>
    <s v="AIJ-101681"/>
    <x v="1"/>
    <x v="4"/>
    <x v="0"/>
    <x v="0"/>
    <x v="16"/>
    <x v="14"/>
    <x v="63"/>
    <x v="1"/>
    <n v="177631"/>
    <s v="Low"/>
    <x v="55"/>
    <n v="44"/>
    <x v="1"/>
    <x v="0"/>
    <n v="2.95"/>
    <s v="No"/>
    <n v="2.56"/>
    <x v="0"/>
    <x v="1"/>
    <x v="3"/>
  </r>
  <r>
    <s v="AIJ-101682"/>
    <x v="16"/>
    <x v="7"/>
    <x v="7"/>
    <x v="1"/>
    <x v="24"/>
    <x v="52"/>
    <x v="56"/>
    <x v="2"/>
    <n v="61490"/>
    <s v="High"/>
    <x v="21"/>
    <n v="44"/>
    <x v="2"/>
    <x v="0"/>
    <n v="3.59"/>
    <s v="Yes"/>
    <n v="2.41"/>
    <x v="2"/>
    <x v="0"/>
    <x v="1"/>
  </r>
  <r>
    <s v="AIJ-101683"/>
    <x v="12"/>
    <x v="2"/>
    <x v="5"/>
    <x v="2"/>
    <x v="13"/>
    <x v="14"/>
    <x v="57"/>
    <x v="0"/>
    <n v="139069"/>
    <s v="High"/>
    <x v="51"/>
    <n v="45"/>
    <x v="0"/>
    <x v="1"/>
    <n v="2.79"/>
    <s v="No"/>
    <n v="4.78"/>
    <x v="1"/>
    <x v="2"/>
    <x v="1"/>
  </r>
  <r>
    <s v="AIJ-101684"/>
    <x v="0"/>
    <x v="1"/>
    <x v="4"/>
    <x v="1"/>
    <x v="17"/>
    <x v="37"/>
    <x v="6"/>
    <x v="1"/>
    <n v="201600"/>
    <s v="High"/>
    <x v="22"/>
    <n v="48"/>
    <x v="2"/>
    <x v="2"/>
    <n v="2.5299999999999998"/>
    <s v="Yes"/>
    <n v="4.09"/>
    <x v="2"/>
    <x v="3"/>
    <x v="3"/>
  </r>
  <r>
    <s v="AIJ-101685"/>
    <x v="12"/>
    <x v="0"/>
    <x v="0"/>
    <x v="2"/>
    <x v="11"/>
    <x v="51"/>
    <x v="68"/>
    <x v="1"/>
    <n v="130014"/>
    <s v="High"/>
    <x v="12"/>
    <n v="36"/>
    <x v="1"/>
    <x v="1"/>
    <n v="2.72"/>
    <s v="Yes"/>
    <n v="1.85"/>
    <x v="2"/>
    <x v="2"/>
    <x v="1"/>
  </r>
  <r>
    <s v="AIJ-101686"/>
    <x v="8"/>
    <x v="9"/>
    <x v="5"/>
    <x v="1"/>
    <x v="20"/>
    <x v="63"/>
    <x v="25"/>
    <x v="1"/>
    <n v="64761"/>
    <s v="Medium"/>
    <x v="42"/>
    <n v="43"/>
    <x v="0"/>
    <x v="2"/>
    <n v="2.16"/>
    <s v="No"/>
    <n v="4.0999999999999996"/>
    <x v="1"/>
    <x v="3"/>
    <x v="2"/>
  </r>
  <r>
    <s v="AIJ-101687"/>
    <x v="2"/>
    <x v="2"/>
    <x v="6"/>
    <x v="3"/>
    <x v="19"/>
    <x v="46"/>
    <x v="77"/>
    <x v="1"/>
    <n v="204182"/>
    <s v="Low"/>
    <x v="12"/>
    <n v="35"/>
    <x v="1"/>
    <x v="2"/>
    <n v="3.74"/>
    <s v="Yes"/>
    <n v="2.76"/>
    <x v="1"/>
    <x v="2"/>
    <x v="2"/>
  </r>
  <r>
    <s v="AIJ-101688"/>
    <x v="18"/>
    <x v="6"/>
    <x v="5"/>
    <x v="3"/>
    <x v="10"/>
    <x v="65"/>
    <x v="56"/>
    <x v="2"/>
    <n v="145180"/>
    <s v="High"/>
    <x v="55"/>
    <n v="53"/>
    <x v="2"/>
    <x v="0"/>
    <n v="2.2400000000000002"/>
    <s v="No"/>
    <n v="1.82"/>
    <x v="2"/>
    <x v="3"/>
    <x v="3"/>
  </r>
  <r>
    <s v="AIJ-101689"/>
    <x v="3"/>
    <x v="7"/>
    <x v="3"/>
    <x v="3"/>
    <x v="0"/>
    <x v="22"/>
    <x v="19"/>
    <x v="2"/>
    <n v="50051"/>
    <s v="Low"/>
    <x v="4"/>
    <n v="35"/>
    <x v="1"/>
    <x v="0"/>
    <n v="2.82"/>
    <s v="Yes"/>
    <n v="3.93"/>
    <x v="2"/>
    <x v="0"/>
    <x v="0"/>
  </r>
  <r>
    <s v="AIJ-101690"/>
    <x v="14"/>
    <x v="5"/>
    <x v="7"/>
    <x v="0"/>
    <x v="21"/>
    <x v="31"/>
    <x v="54"/>
    <x v="2"/>
    <n v="56324"/>
    <s v="High"/>
    <x v="31"/>
    <n v="40"/>
    <x v="1"/>
    <x v="1"/>
    <n v="3.72"/>
    <s v="No"/>
    <n v="1.91"/>
    <x v="0"/>
    <x v="3"/>
    <x v="0"/>
  </r>
  <r>
    <s v="AIJ-101691"/>
    <x v="2"/>
    <x v="9"/>
    <x v="6"/>
    <x v="1"/>
    <x v="17"/>
    <x v="4"/>
    <x v="65"/>
    <x v="1"/>
    <n v="157607"/>
    <s v="High"/>
    <x v="25"/>
    <n v="33"/>
    <x v="1"/>
    <x v="2"/>
    <n v="4.55"/>
    <s v="Yes"/>
    <n v="3.02"/>
    <x v="0"/>
    <x v="3"/>
    <x v="3"/>
  </r>
  <r>
    <s v="AIJ-101692"/>
    <x v="16"/>
    <x v="5"/>
    <x v="6"/>
    <x v="2"/>
    <x v="19"/>
    <x v="72"/>
    <x v="7"/>
    <x v="0"/>
    <n v="114137"/>
    <s v="Medium"/>
    <x v="18"/>
    <n v="45"/>
    <x v="1"/>
    <x v="2"/>
    <n v="2.9"/>
    <s v="No"/>
    <n v="2.58"/>
    <x v="0"/>
    <x v="2"/>
    <x v="2"/>
  </r>
  <r>
    <s v="AIJ-101693"/>
    <x v="1"/>
    <x v="1"/>
    <x v="7"/>
    <x v="1"/>
    <x v="21"/>
    <x v="59"/>
    <x v="65"/>
    <x v="0"/>
    <n v="117640"/>
    <s v="Low"/>
    <x v="34"/>
    <n v="37"/>
    <x v="2"/>
    <x v="0"/>
    <n v="2.75"/>
    <s v="No"/>
    <n v="3.49"/>
    <x v="0"/>
    <x v="3"/>
    <x v="0"/>
  </r>
  <r>
    <s v="AIJ-101694"/>
    <x v="6"/>
    <x v="1"/>
    <x v="4"/>
    <x v="3"/>
    <x v="5"/>
    <x v="19"/>
    <x v="5"/>
    <x v="1"/>
    <n v="146607"/>
    <s v="Low"/>
    <x v="17"/>
    <n v="49"/>
    <x v="2"/>
    <x v="1"/>
    <n v="3.42"/>
    <s v="Yes"/>
    <n v="3.88"/>
    <x v="2"/>
    <x v="3"/>
    <x v="3"/>
  </r>
  <r>
    <s v="AIJ-101695"/>
    <x v="16"/>
    <x v="7"/>
    <x v="1"/>
    <x v="2"/>
    <x v="14"/>
    <x v="83"/>
    <x v="49"/>
    <x v="2"/>
    <n v="132546"/>
    <s v="High"/>
    <x v="1"/>
    <n v="53"/>
    <x v="1"/>
    <x v="2"/>
    <n v="4.74"/>
    <s v="Yes"/>
    <n v="2.16"/>
    <x v="2"/>
    <x v="1"/>
    <x v="2"/>
  </r>
  <r>
    <s v="AIJ-101696"/>
    <x v="3"/>
    <x v="5"/>
    <x v="5"/>
    <x v="3"/>
    <x v="19"/>
    <x v="7"/>
    <x v="44"/>
    <x v="0"/>
    <n v="96346"/>
    <s v="Low"/>
    <x v="50"/>
    <n v="36"/>
    <x v="2"/>
    <x v="1"/>
    <n v="3.08"/>
    <s v="Yes"/>
    <n v="1.56"/>
    <x v="1"/>
    <x v="1"/>
    <x v="2"/>
  </r>
  <r>
    <s v="AIJ-101697"/>
    <x v="9"/>
    <x v="7"/>
    <x v="3"/>
    <x v="1"/>
    <x v="11"/>
    <x v="46"/>
    <x v="47"/>
    <x v="0"/>
    <n v="190595"/>
    <s v="High"/>
    <x v="30"/>
    <n v="35"/>
    <x v="0"/>
    <x v="1"/>
    <n v="3.78"/>
    <s v="Yes"/>
    <n v="1.34"/>
    <x v="0"/>
    <x v="2"/>
    <x v="1"/>
  </r>
  <r>
    <s v="AIJ-101698"/>
    <x v="8"/>
    <x v="0"/>
    <x v="6"/>
    <x v="2"/>
    <x v="16"/>
    <x v="61"/>
    <x v="4"/>
    <x v="0"/>
    <n v="100866"/>
    <s v="Low"/>
    <x v="0"/>
    <n v="56"/>
    <x v="0"/>
    <x v="1"/>
    <n v="4.08"/>
    <s v="No"/>
    <n v="4.6100000000000003"/>
    <x v="0"/>
    <x v="3"/>
    <x v="3"/>
  </r>
  <r>
    <s v="AIJ-101699"/>
    <x v="4"/>
    <x v="6"/>
    <x v="2"/>
    <x v="0"/>
    <x v="16"/>
    <x v="63"/>
    <x v="48"/>
    <x v="0"/>
    <n v="61642"/>
    <s v="Low"/>
    <x v="37"/>
    <n v="49"/>
    <x v="0"/>
    <x v="0"/>
    <n v="2.91"/>
    <s v="No"/>
    <n v="2.74"/>
    <x v="0"/>
    <x v="2"/>
    <x v="3"/>
  </r>
  <r>
    <s v="AIJ-101700"/>
    <x v="9"/>
    <x v="2"/>
    <x v="7"/>
    <x v="0"/>
    <x v="2"/>
    <x v="18"/>
    <x v="9"/>
    <x v="1"/>
    <n v="187249"/>
    <s v="High"/>
    <x v="47"/>
    <n v="59"/>
    <x v="2"/>
    <x v="1"/>
    <n v="4.87"/>
    <s v="Yes"/>
    <n v="4.9800000000000004"/>
    <x v="1"/>
    <x v="3"/>
    <x v="1"/>
  </r>
  <r>
    <s v="AIJ-101701"/>
    <x v="1"/>
    <x v="8"/>
    <x v="4"/>
    <x v="2"/>
    <x v="17"/>
    <x v="11"/>
    <x v="70"/>
    <x v="1"/>
    <n v="165628"/>
    <s v="High"/>
    <x v="45"/>
    <n v="35"/>
    <x v="1"/>
    <x v="1"/>
    <n v="2.5499999999999998"/>
    <s v="No"/>
    <n v="4.74"/>
    <x v="2"/>
    <x v="3"/>
    <x v="3"/>
  </r>
  <r>
    <s v="AIJ-101702"/>
    <x v="6"/>
    <x v="8"/>
    <x v="8"/>
    <x v="1"/>
    <x v="23"/>
    <x v="10"/>
    <x v="67"/>
    <x v="0"/>
    <n v="51410"/>
    <s v="Medium"/>
    <x v="43"/>
    <n v="37"/>
    <x v="0"/>
    <x v="1"/>
    <n v="3.32"/>
    <s v="Yes"/>
    <n v="4.25"/>
    <x v="1"/>
    <x v="2"/>
    <x v="3"/>
  </r>
  <r>
    <s v="AIJ-101703"/>
    <x v="2"/>
    <x v="5"/>
    <x v="3"/>
    <x v="0"/>
    <x v="25"/>
    <x v="9"/>
    <x v="30"/>
    <x v="1"/>
    <n v="203307"/>
    <s v="Medium"/>
    <x v="33"/>
    <n v="31"/>
    <x v="0"/>
    <x v="0"/>
    <n v="4.63"/>
    <s v="No"/>
    <n v="2.95"/>
    <x v="2"/>
    <x v="3"/>
    <x v="1"/>
  </r>
  <r>
    <s v="AIJ-101704"/>
    <x v="10"/>
    <x v="6"/>
    <x v="4"/>
    <x v="1"/>
    <x v="25"/>
    <x v="17"/>
    <x v="78"/>
    <x v="0"/>
    <n v="210394"/>
    <s v="Medium"/>
    <x v="11"/>
    <n v="32"/>
    <x v="1"/>
    <x v="0"/>
    <n v="4.0199999999999996"/>
    <s v="No"/>
    <n v="4.87"/>
    <x v="2"/>
    <x v="3"/>
    <x v="1"/>
  </r>
  <r>
    <s v="AIJ-101705"/>
    <x v="14"/>
    <x v="5"/>
    <x v="0"/>
    <x v="1"/>
    <x v="11"/>
    <x v="81"/>
    <x v="78"/>
    <x v="0"/>
    <n v="46968"/>
    <s v="Medium"/>
    <x v="11"/>
    <n v="43"/>
    <x v="0"/>
    <x v="0"/>
    <n v="4.1399999999999997"/>
    <s v="No"/>
    <n v="3.8"/>
    <x v="2"/>
    <x v="2"/>
    <x v="1"/>
  </r>
  <r>
    <s v="AIJ-101706"/>
    <x v="4"/>
    <x v="9"/>
    <x v="9"/>
    <x v="0"/>
    <x v="7"/>
    <x v="56"/>
    <x v="32"/>
    <x v="0"/>
    <n v="205798"/>
    <s v="Medium"/>
    <x v="26"/>
    <n v="59"/>
    <x v="1"/>
    <x v="1"/>
    <n v="2.54"/>
    <s v="Yes"/>
    <n v="2.41"/>
    <x v="1"/>
    <x v="2"/>
    <x v="1"/>
  </r>
  <r>
    <s v="AIJ-101707"/>
    <x v="2"/>
    <x v="3"/>
    <x v="1"/>
    <x v="2"/>
    <x v="4"/>
    <x v="69"/>
    <x v="45"/>
    <x v="0"/>
    <n v="141773"/>
    <s v="Medium"/>
    <x v="7"/>
    <n v="39"/>
    <x v="0"/>
    <x v="1"/>
    <n v="4.16"/>
    <s v="No"/>
    <n v="1.03"/>
    <x v="1"/>
    <x v="0"/>
    <x v="1"/>
  </r>
  <r>
    <s v="AIJ-101708"/>
    <x v="2"/>
    <x v="1"/>
    <x v="0"/>
    <x v="0"/>
    <x v="8"/>
    <x v="45"/>
    <x v="39"/>
    <x v="1"/>
    <n v="107996"/>
    <s v="Medium"/>
    <x v="52"/>
    <n v="46"/>
    <x v="2"/>
    <x v="0"/>
    <n v="4.87"/>
    <s v="Yes"/>
    <n v="4.07"/>
    <x v="2"/>
    <x v="3"/>
    <x v="2"/>
  </r>
  <r>
    <s v="AIJ-101709"/>
    <x v="5"/>
    <x v="7"/>
    <x v="6"/>
    <x v="1"/>
    <x v="3"/>
    <x v="84"/>
    <x v="45"/>
    <x v="1"/>
    <n v="174820"/>
    <s v="High"/>
    <x v="30"/>
    <n v="40"/>
    <x v="1"/>
    <x v="2"/>
    <n v="4.45"/>
    <s v="Yes"/>
    <n v="3.83"/>
    <x v="0"/>
    <x v="3"/>
    <x v="2"/>
  </r>
  <r>
    <s v="AIJ-101710"/>
    <x v="9"/>
    <x v="0"/>
    <x v="8"/>
    <x v="0"/>
    <x v="10"/>
    <x v="43"/>
    <x v="69"/>
    <x v="1"/>
    <n v="122900"/>
    <s v="Medium"/>
    <x v="47"/>
    <n v="51"/>
    <x v="1"/>
    <x v="1"/>
    <n v="2.69"/>
    <s v="No"/>
    <n v="3.94"/>
    <x v="2"/>
    <x v="3"/>
    <x v="3"/>
  </r>
  <r>
    <s v="AIJ-101711"/>
    <x v="17"/>
    <x v="2"/>
    <x v="6"/>
    <x v="1"/>
    <x v="12"/>
    <x v="54"/>
    <x v="19"/>
    <x v="2"/>
    <n v="67319"/>
    <s v="Medium"/>
    <x v="34"/>
    <n v="46"/>
    <x v="2"/>
    <x v="2"/>
    <n v="4.9800000000000004"/>
    <s v="Yes"/>
    <n v="4.53"/>
    <x v="0"/>
    <x v="3"/>
    <x v="3"/>
  </r>
  <r>
    <s v="AIJ-101712"/>
    <x v="11"/>
    <x v="3"/>
    <x v="4"/>
    <x v="3"/>
    <x v="16"/>
    <x v="26"/>
    <x v="11"/>
    <x v="2"/>
    <n v="167973"/>
    <s v="Medium"/>
    <x v="26"/>
    <n v="51"/>
    <x v="0"/>
    <x v="1"/>
    <n v="4.63"/>
    <s v="Yes"/>
    <n v="1.28"/>
    <x v="2"/>
    <x v="3"/>
    <x v="3"/>
  </r>
  <r>
    <s v="AIJ-101713"/>
    <x v="7"/>
    <x v="3"/>
    <x v="4"/>
    <x v="1"/>
    <x v="19"/>
    <x v="36"/>
    <x v="16"/>
    <x v="0"/>
    <n v="52984"/>
    <s v="High"/>
    <x v="5"/>
    <n v="42"/>
    <x v="1"/>
    <x v="2"/>
    <n v="2.16"/>
    <s v="No"/>
    <n v="3.93"/>
    <x v="1"/>
    <x v="1"/>
    <x v="2"/>
  </r>
  <r>
    <s v="AIJ-101714"/>
    <x v="14"/>
    <x v="1"/>
    <x v="9"/>
    <x v="3"/>
    <x v="25"/>
    <x v="11"/>
    <x v="64"/>
    <x v="0"/>
    <n v="93820"/>
    <s v="High"/>
    <x v="39"/>
    <n v="59"/>
    <x v="1"/>
    <x v="2"/>
    <n v="2.2000000000000002"/>
    <s v="Yes"/>
    <n v="2.2200000000000002"/>
    <x v="0"/>
    <x v="0"/>
    <x v="1"/>
  </r>
  <r>
    <s v="AIJ-101715"/>
    <x v="14"/>
    <x v="5"/>
    <x v="3"/>
    <x v="0"/>
    <x v="4"/>
    <x v="70"/>
    <x v="42"/>
    <x v="2"/>
    <n v="46431"/>
    <s v="Low"/>
    <x v="42"/>
    <n v="54"/>
    <x v="1"/>
    <x v="1"/>
    <n v="3.7"/>
    <s v="No"/>
    <n v="4.45"/>
    <x v="2"/>
    <x v="3"/>
    <x v="1"/>
  </r>
  <r>
    <s v="AIJ-101716"/>
    <x v="16"/>
    <x v="2"/>
    <x v="6"/>
    <x v="3"/>
    <x v="22"/>
    <x v="51"/>
    <x v="69"/>
    <x v="0"/>
    <n v="97059"/>
    <s v="Low"/>
    <x v="27"/>
    <n v="41"/>
    <x v="1"/>
    <x v="2"/>
    <n v="4.41"/>
    <s v="No"/>
    <n v="4.37"/>
    <x v="2"/>
    <x v="3"/>
    <x v="2"/>
  </r>
  <r>
    <s v="AIJ-101717"/>
    <x v="1"/>
    <x v="9"/>
    <x v="0"/>
    <x v="3"/>
    <x v="22"/>
    <x v="16"/>
    <x v="33"/>
    <x v="0"/>
    <n v="126046"/>
    <s v="High"/>
    <x v="19"/>
    <n v="54"/>
    <x v="1"/>
    <x v="0"/>
    <n v="4.04"/>
    <s v="Yes"/>
    <n v="3.39"/>
    <x v="1"/>
    <x v="3"/>
    <x v="2"/>
  </r>
  <r>
    <s v="AIJ-101718"/>
    <x v="0"/>
    <x v="3"/>
    <x v="9"/>
    <x v="0"/>
    <x v="25"/>
    <x v="90"/>
    <x v="52"/>
    <x v="2"/>
    <n v="187262"/>
    <s v="Medium"/>
    <x v="55"/>
    <n v="43"/>
    <x v="2"/>
    <x v="0"/>
    <n v="3.31"/>
    <s v="No"/>
    <n v="4.46"/>
    <x v="2"/>
    <x v="3"/>
    <x v="1"/>
  </r>
  <r>
    <s v="AIJ-101719"/>
    <x v="6"/>
    <x v="3"/>
    <x v="3"/>
    <x v="1"/>
    <x v="0"/>
    <x v="87"/>
    <x v="58"/>
    <x v="1"/>
    <n v="180407"/>
    <s v="High"/>
    <x v="19"/>
    <n v="37"/>
    <x v="1"/>
    <x v="1"/>
    <n v="3.08"/>
    <s v="No"/>
    <n v="2.2799999999999998"/>
    <x v="0"/>
    <x v="3"/>
    <x v="0"/>
  </r>
  <r>
    <s v="AIJ-101720"/>
    <x v="19"/>
    <x v="9"/>
    <x v="0"/>
    <x v="0"/>
    <x v="1"/>
    <x v="39"/>
    <x v="10"/>
    <x v="1"/>
    <n v="209723"/>
    <s v="High"/>
    <x v="50"/>
    <n v="31"/>
    <x v="1"/>
    <x v="0"/>
    <n v="3.9"/>
    <s v="Yes"/>
    <n v="2.39"/>
    <x v="1"/>
    <x v="3"/>
    <x v="1"/>
  </r>
  <r>
    <s v="AIJ-101721"/>
    <x v="1"/>
    <x v="2"/>
    <x v="7"/>
    <x v="1"/>
    <x v="0"/>
    <x v="6"/>
    <x v="73"/>
    <x v="1"/>
    <n v="197132"/>
    <s v="Medium"/>
    <x v="6"/>
    <n v="39"/>
    <x v="0"/>
    <x v="2"/>
    <n v="4.3"/>
    <s v="Yes"/>
    <n v="2.79"/>
    <x v="0"/>
    <x v="0"/>
    <x v="0"/>
  </r>
  <r>
    <s v="AIJ-101722"/>
    <x v="19"/>
    <x v="8"/>
    <x v="8"/>
    <x v="0"/>
    <x v="4"/>
    <x v="49"/>
    <x v="24"/>
    <x v="0"/>
    <n v="149560"/>
    <s v="Medium"/>
    <x v="9"/>
    <n v="44"/>
    <x v="0"/>
    <x v="0"/>
    <n v="2.84"/>
    <s v="Yes"/>
    <n v="3.75"/>
    <x v="1"/>
    <x v="3"/>
    <x v="1"/>
  </r>
  <r>
    <s v="AIJ-101723"/>
    <x v="13"/>
    <x v="5"/>
    <x v="0"/>
    <x v="0"/>
    <x v="18"/>
    <x v="3"/>
    <x v="3"/>
    <x v="1"/>
    <n v="39440"/>
    <s v="High"/>
    <x v="5"/>
    <n v="57"/>
    <x v="0"/>
    <x v="0"/>
    <n v="4.92"/>
    <s v="Yes"/>
    <n v="3.58"/>
    <x v="0"/>
    <x v="0"/>
    <x v="3"/>
  </r>
  <r>
    <s v="AIJ-101724"/>
    <x v="5"/>
    <x v="6"/>
    <x v="0"/>
    <x v="3"/>
    <x v="10"/>
    <x v="90"/>
    <x v="8"/>
    <x v="0"/>
    <n v="32398"/>
    <s v="Low"/>
    <x v="35"/>
    <n v="35"/>
    <x v="2"/>
    <x v="1"/>
    <n v="2.3199999999999998"/>
    <s v="No"/>
    <n v="2.4700000000000002"/>
    <x v="1"/>
    <x v="2"/>
    <x v="3"/>
  </r>
  <r>
    <s v="AIJ-101725"/>
    <x v="14"/>
    <x v="4"/>
    <x v="3"/>
    <x v="2"/>
    <x v="7"/>
    <x v="60"/>
    <x v="73"/>
    <x v="1"/>
    <n v="174690"/>
    <s v="Medium"/>
    <x v="2"/>
    <n v="34"/>
    <x v="2"/>
    <x v="2"/>
    <n v="4.3099999999999996"/>
    <s v="No"/>
    <n v="4.29"/>
    <x v="1"/>
    <x v="3"/>
    <x v="1"/>
  </r>
  <r>
    <s v="AIJ-101726"/>
    <x v="8"/>
    <x v="9"/>
    <x v="3"/>
    <x v="2"/>
    <x v="20"/>
    <x v="26"/>
    <x v="56"/>
    <x v="0"/>
    <n v="60794"/>
    <s v="Low"/>
    <x v="31"/>
    <n v="44"/>
    <x v="1"/>
    <x v="0"/>
    <n v="2.86"/>
    <s v="No"/>
    <n v="1.9"/>
    <x v="2"/>
    <x v="0"/>
    <x v="2"/>
  </r>
  <r>
    <s v="AIJ-101727"/>
    <x v="12"/>
    <x v="1"/>
    <x v="0"/>
    <x v="2"/>
    <x v="1"/>
    <x v="8"/>
    <x v="58"/>
    <x v="0"/>
    <n v="190842"/>
    <s v="High"/>
    <x v="45"/>
    <n v="31"/>
    <x v="2"/>
    <x v="2"/>
    <n v="3.54"/>
    <s v="Yes"/>
    <n v="4.21"/>
    <x v="1"/>
    <x v="3"/>
    <x v="1"/>
  </r>
  <r>
    <s v="AIJ-101728"/>
    <x v="9"/>
    <x v="0"/>
    <x v="4"/>
    <x v="2"/>
    <x v="6"/>
    <x v="30"/>
    <x v="40"/>
    <x v="2"/>
    <n v="168253"/>
    <s v="Medium"/>
    <x v="45"/>
    <n v="39"/>
    <x v="1"/>
    <x v="2"/>
    <n v="2.74"/>
    <s v="No"/>
    <n v="4.6900000000000004"/>
    <x v="0"/>
    <x v="2"/>
    <x v="0"/>
  </r>
  <r>
    <s v="AIJ-101729"/>
    <x v="10"/>
    <x v="6"/>
    <x v="4"/>
    <x v="3"/>
    <x v="20"/>
    <x v="88"/>
    <x v="36"/>
    <x v="1"/>
    <n v="154421"/>
    <s v="Medium"/>
    <x v="9"/>
    <n v="53"/>
    <x v="1"/>
    <x v="1"/>
    <n v="4.66"/>
    <s v="No"/>
    <n v="2.1800000000000002"/>
    <x v="0"/>
    <x v="3"/>
    <x v="2"/>
  </r>
  <r>
    <s v="AIJ-101730"/>
    <x v="9"/>
    <x v="0"/>
    <x v="5"/>
    <x v="3"/>
    <x v="19"/>
    <x v="14"/>
    <x v="62"/>
    <x v="2"/>
    <n v="83871"/>
    <s v="Low"/>
    <x v="51"/>
    <n v="48"/>
    <x v="1"/>
    <x v="0"/>
    <n v="2.41"/>
    <s v="No"/>
    <n v="1.05"/>
    <x v="2"/>
    <x v="2"/>
    <x v="2"/>
  </r>
  <r>
    <s v="AIJ-101731"/>
    <x v="3"/>
    <x v="1"/>
    <x v="6"/>
    <x v="1"/>
    <x v="4"/>
    <x v="32"/>
    <x v="14"/>
    <x v="1"/>
    <n v="76277"/>
    <s v="Medium"/>
    <x v="54"/>
    <n v="60"/>
    <x v="1"/>
    <x v="0"/>
    <n v="4.26"/>
    <s v="Yes"/>
    <n v="3.24"/>
    <x v="0"/>
    <x v="0"/>
    <x v="1"/>
  </r>
  <r>
    <s v="AIJ-101732"/>
    <x v="1"/>
    <x v="3"/>
    <x v="0"/>
    <x v="3"/>
    <x v="14"/>
    <x v="2"/>
    <x v="26"/>
    <x v="2"/>
    <n v="209678"/>
    <s v="Low"/>
    <x v="27"/>
    <n v="55"/>
    <x v="0"/>
    <x v="2"/>
    <n v="3.6"/>
    <s v="No"/>
    <n v="2.2599999999999998"/>
    <x v="1"/>
    <x v="1"/>
    <x v="2"/>
  </r>
  <r>
    <s v="AIJ-101733"/>
    <x v="0"/>
    <x v="0"/>
    <x v="6"/>
    <x v="3"/>
    <x v="0"/>
    <x v="64"/>
    <x v="2"/>
    <x v="0"/>
    <n v="45735"/>
    <s v="Low"/>
    <x v="36"/>
    <n v="36"/>
    <x v="2"/>
    <x v="0"/>
    <n v="3.11"/>
    <s v="Yes"/>
    <n v="4.3"/>
    <x v="0"/>
    <x v="2"/>
    <x v="0"/>
  </r>
  <r>
    <s v="AIJ-101734"/>
    <x v="12"/>
    <x v="7"/>
    <x v="8"/>
    <x v="0"/>
    <x v="25"/>
    <x v="41"/>
    <x v="21"/>
    <x v="2"/>
    <n v="37344"/>
    <s v="High"/>
    <x v="1"/>
    <n v="48"/>
    <x v="0"/>
    <x v="0"/>
    <n v="4.46"/>
    <s v="Yes"/>
    <n v="2.44"/>
    <x v="1"/>
    <x v="2"/>
    <x v="1"/>
  </r>
  <r>
    <s v="AIJ-101735"/>
    <x v="5"/>
    <x v="1"/>
    <x v="6"/>
    <x v="0"/>
    <x v="14"/>
    <x v="29"/>
    <x v="35"/>
    <x v="2"/>
    <n v="156464"/>
    <s v="Low"/>
    <x v="39"/>
    <n v="39"/>
    <x v="2"/>
    <x v="1"/>
    <n v="4.42"/>
    <s v="Yes"/>
    <n v="2.74"/>
    <x v="1"/>
    <x v="2"/>
    <x v="2"/>
  </r>
  <r>
    <s v="AIJ-101736"/>
    <x v="18"/>
    <x v="2"/>
    <x v="3"/>
    <x v="0"/>
    <x v="11"/>
    <x v="60"/>
    <x v="62"/>
    <x v="0"/>
    <n v="125460"/>
    <s v="High"/>
    <x v="41"/>
    <n v="58"/>
    <x v="0"/>
    <x v="1"/>
    <n v="3.96"/>
    <s v="No"/>
    <n v="1.08"/>
    <x v="2"/>
    <x v="2"/>
    <x v="1"/>
  </r>
  <r>
    <s v="AIJ-101737"/>
    <x v="18"/>
    <x v="2"/>
    <x v="0"/>
    <x v="0"/>
    <x v="0"/>
    <x v="30"/>
    <x v="5"/>
    <x v="0"/>
    <n v="96396"/>
    <s v="Medium"/>
    <x v="37"/>
    <n v="48"/>
    <x v="0"/>
    <x v="2"/>
    <n v="2.42"/>
    <s v="No"/>
    <n v="2.87"/>
    <x v="1"/>
    <x v="3"/>
    <x v="0"/>
  </r>
  <r>
    <s v="AIJ-101738"/>
    <x v="12"/>
    <x v="1"/>
    <x v="4"/>
    <x v="2"/>
    <x v="2"/>
    <x v="89"/>
    <x v="64"/>
    <x v="1"/>
    <n v="215247"/>
    <s v="Low"/>
    <x v="0"/>
    <n v="34"/>
    <x v="2"/>
    <x v="2"/>
    <n v="3.95"/>
    <s v="Yes"/>
    <n v="4"/>
    <x v="0"/>
    <x v="2"/>
    <x v="1"/>
  </r>
  <r>
    <s v="AIJ-101739"/>
    <x v="6"/>
    <x v="4"/>
    <x v="2"/>
    <x v="0"/>
    <x v="11"/>
    <x v="5"/>
    <x v="12"/>
    <x v="1"/>
    <n v="70709"/>
    <s v="High"/>
    <x v="27"/>
    <n v="53"/>
    <x v="2"/>
    <x v="1"/>
    <n v="4.78"/>
    <s v="No"/>
    <n v="3.42"/>
    <x v="0"/>
    <x v="3"/>
    <x v="1"/>
  </r>
  <r>
    <s v="AIJ-101740"/>
    <x v="7"/>
    <x v="8"/>
    <x v="3"/>
    <x v="2"/>
    <x v="7"/>
    <x v="64"/>
    <x v="57"/>
    <x v="0"/>
    <n v="159240"/>
    <s v="Low"/>
    <x v="11"/>
    <n v="34"/>
    <x v="0"/>
    <x v="1"/>
    <n v="4.71"/>
    <s v="Yes"/>
    <n v="1.85"/>
    <x v="2"/>
    <x v="3"/>
    <x v="1"/>
  </r>
  <r>
    <s v="AIJ-101741"/>
    <x v="5"/>
    <x v="6"/>
    <x v="6"/>
    <x v="0"/>
    <x v="23"/>
    <x v="28"/>
    <x v="18"/>
    <x v="2"/>
    <n v="37968"/>
    <s v="Medium"/>
    <x v="47"/>
    <n v="32"/>
    <x v="1"/>
    <x v="0"/>
    <n v="3.13"/>
    <s v="Yes"/>
    <n v="4.83"/>
    <x v="2"/>
    <x v="1"/>
    <x v="3"/>
  </r>
  <r>
    <s v="AIJ-101742"/>
    <x v="7"/>
    <x v="7"/>
    <x v="0"/>
    <x v="3"/>
    <x v="3"/>
    <x v="88"/>
    <x v="17"/>
    <x v="2"/>
    <n v="200354"/>
    <s v="High"/>
    <x v="36"/>
    <n v="44"/>
    <x v="2"/>
    <x v="1"/>
    <n v="3.44"/>
    <s v="No"/>
    <n v="1.73"/>
    <x v="0"/>
    <x v="2"/>
    <x v="2"/>
  </r>
  <r>
    <s v="AIJ-101743"/>
    <x v="16"/>
    <x v="8"/>
    <x v="3"/>
    <x v="1"/>
    <x v="15"/>
    <x v="1"/>
    <x v="45"/>
    <x v="1"/>
    <n v="149749"/>
    <s v="High"/>
    <x v="22"/>
    <n v="35"/>
    <x v="1"/>
    <x v="1"/>
    <n v="2.36"/>
    <s v="Yes"/>
    <n v="1.55"/>
    <x v="2"/>
    <x v="3"/>
    <x v="1"/>
  </r>
  <r>
    <s v="AIJ-101744"/>
    <x v="8"/>
    <x v="4"/>
    <x v="0"/>
    <x v="0"/>
    <x v="9"/>
    <x v="68"/>
    <x v="6"/>
    <x v="1"/>
    <n v="212690"/>
    <s v="Low"/>
    <x v="10"/>
    <n v="45"/>
    <x v="1"/>
    <x v="1"/>
    <n v="4.71"/>
    <s v="No"/>
    <n v="1.99"/>
    <x v="2"/>
    <x v="3"/>
    <x v="1"/>
  </r>
  <r>
    <s v="AIJ-101745"/>
    <x v="18"/>
    <x v="6"/>
    <x v="3"/>
    <x v="1"/>
    <x v="20"/>
    <x v="5"/>
    <x v="21"/>
    <x v="1"/>
    <n v="178988"/>
    <s v="Medium"/>
    <x v="11"/>
    <n v="56"/>
    <x v="1"/>
    <x v="2"/>
    <n v="4.95"/>
    <s v="No"/>
    <n v="4.96"/>
    <x v="1"/>
    <x v="2"/>
    <x v="2"/>
  </r>
  <r>
    <s v="AIJ-101746"/>
    <x v="13"/>
    <x v="7"/>
    <x v="0"/>
    <x v="2"/>
    <x v="7"/>
    <x v="27"/>
    <x v="42"/>
    <x v="0"/>
    <n v="71919"/>
    <s v="Medium"/>
    <x v="20"/>
    <n v="52"/>
    <x v="1"/>
    <x v="2"/>
    <n v="3.82"/>
    <s v="No"/>
    <n v="1.6"/>
    <x v="2"/>
    <x v="0"/>
    <x v="1"/>
  </r>
  <r>
    <s v="AIJ-101747"/>
    <x v="11"/>
    <x v="7"/>
    <x v="0"/>
    <x v="0"/>
    <x v="1"/>
    <x v="33"/>
    <x v="44"/>
    <x v="0"/>
    <n v="94306"/>
    <s v="Low"/>
    <x v="7"/>
    <n v="36"/>
    <x v="1"/>
    <x v="1"/>
    <n v="4.43"/>
    <s v="No"/>
    <n v="4.78"/>
    <x v="2"/>
    <x v="1"/>
    <x v="1"/>
  </r>
  <r>
    <s v="AIJ-101748"/>
    <x v="0"/>
    <x v="6"/>
    <x v="7"/>
    <x v="2"/>
    <x v="15"/>
    <x v="45"/>
    <x v="3"/>
    <x v="1"/>
    <n v="167828"/>
    <s v="Low"/>
    <x v="4"/>
    <n v="40"/>
    <x v="1"/>
    <x v="2"/>
    <n v="4.8600000000000003"/>
    <s v="No"/>
    <n v="1.49"/>
    <x v="2"/>
    <x v="0"/>
    <x v="1"/>
  </r>
  <r>
    <s v="AIJ-101749"/>
    <x v="12"/>
    <x v="7"/>
    <x v="5"/>
    <x v="3"/>
    <x v="21"/>
    <x v="19"/>
    <x v="49"/>
    <x v="2"/>
    <n v="213675"/>
    <s v="Medium"/>
    <x v="12"/>
    <n v="54"/>
    <x v="1"/>
    <x v="1"/>
    <n v="3.01"/>
    <s v="No"/>
    <n v="3.47"/>
    <x v="1"/>
    <x v="2"/>
    <x v="0"/>
  </r>
  <r>
    <s v="AIJ-101750"/>
    <x v="4"/>
    <x v="5"/>
    <x v="7"/>
    <x v="3"/>
    <x v="19"/>
    <x v="15"/>
    <x v="25"/>
    <x v="2"/>
    <n v="146736"/>
    <s v="Low"/>
    <x v="46"/>
    <n v="54"/>
    <x v="0"/>
    <x v="2"/>
    <n v="2.12"/>
    <s v="Yes"/>
    <n v="3.61"/>
    <x v="1"/>
    <x v="3"/>
    <x v="2"/>
  </r>
  <r>
    <s v="AIJ-101751"/>
    <x v="16"/>
    <x v="1"/>
    <x v="0"/>
    <x v="1"/>
    <x v="11"/>
    <x v="19"/>
    <x v="34"/>
    <x v="1"/>
    <n v="203643"/>
    <s v="Low"/>
    <x v="15"/>
    <n v="55"/>
    <x v="0"/>
    <x v="1"/>
    <n v="3.35"/>
    <s v="Yes"/>
    <n v="2.77"/>
    <x v="0"/>
    <x v="3"/>
    <x v="1"/>
  </r>
  <r>
    <s v="AIJ-101752"/>
    <x v="15"/>
    <x v="4"/>
    <x v="3"/>
    <x v="1"/>
    <x v="12"/>
    <x v="26"/>
    <x v="23"/>
    <x v="1"/>
    <n v="44313"/>
    <s v="Low"/>
    <x v="5"/>
    <n v="44"/>
    <x v="0"/>
    <x v="2"/>
    <n v="3.96"/>
    <s v="No"/>
    <n v="3.15"/>
    <x v="1"/>
    <x v="0"/>
    <x v="3"/>
  </r>
  <r>
    <s v="AIJ-101753"/>
    <x v="9"/>
    <x v="4"/>
    <x v="6"/>
    <x v="3"/>
    <x v="2"/>
    <x v="35"/>
    <x v="40"/>
    <x v="2"/>
    <n v="85774"/>
    <s v="High"/>
    <x v="28"/>
    <n v="34"/>
    <x v="2"/>
    <x v="2"/>
    <n v="4.96"/>
    <s v="No"/>
    <n v="3.19"/>
    <x v="1"/>
    <x v="1"/>
    <x v="1"/>
  </r>
  <r>
    <s v="AIJ-101754"/>
    <x v="13"/>
    <x v="7"/>
    <x v="7"/>
    <x v="1"/>
    <x v="12"/>
    <x v="16"/>
    <x v="44"/>
    <x v="2"/>
    <n v="163421"/>
    <s v="High"/>
    <x v="36"/>
    <n v="54"/>
    <x v="1"/>
    <x v="2"/>
    <n v="4"/>
    <s v="Yes"/>
    <n v="2.88"/>
    <x v="2"/>
    <x v="3"/>
    <x v="3"/>
  </r>
  <r>
    <s v="AIJ-101755"/>
    <x v="17"/>
    <x v="2"/>
    <x v="8"/>
    <x v="2"/>
    <x v="13"/>
    <x v="36"/>
    <x v="73"/>
    <x v="1"/>
    <n v="48970"/>
    <s v="Medium"/>
    <x v="21"/>
    <n v="46"/>
    <x v="0"/>
    <x v="1"/>
    <n v="4.3600000000000003"/>
    <s v="Yes"/>
    <n v="2.4700000000000002"/>
    <x v="2"/>
    <x v="3"/>
    <x v="1"/>
  </r>
  <r>
    <s v="AIJ-101756"/>
    <x v="19"/>
    <x v="7"/>
    <x v="3"/>
    <x v="1"/>
    <x v="12"/>
    <x v="45"/>
    <x v="10"/>
    <x v="2"/>
    <n v="219786"/>
    <s v="High"/>
    <x v="39"/>
    <n v="52"/>
    <x v="1"/>
    <x v="2"/>
    <n v="2.61"/>
    <s v="No"/>
    <n v="1.29"/>
    <x v="2"/>
    <x v="3"/>
    <x v="3"/>
  </r>
  <r>
    <s v="AIJ-101757"/>
    <x v="11"/>
    <x v="3"/>
    <x v="3"/>
    <x v="0"/>
    <x v="21"/>
    <x v="81"/>
    <x v="3"/>
    <x v="2"/>
    <n v="99983"/>
    <s v="Medium"/>
    <x v="17"/>
    <n v="31"/>
    <x v="2"/>
    <x v="2"/>
    <n v="2.0699999999999998"/>
    <s v="No"/>
    <n v="4.75"/>
    <x v="2"/>
    <x v="3"/>
    <x v="0"/>
  </r>
  <r>
    <s v="AIJ-101758"/>
    <x v="12"/>
    <x v="1"/>
    <x v="6"/>
    <x v="1"/>
    <x v="5"/>
    <x v="62"/>
    <x v="0"/>
    <x v="2"/>
    <n v="50799"/>
    <s v="Medium"/>
    <x v="1"/>
    <n v="51"/>
    <x v="0"/>
    <x v="0"/>
    <n v="4.4800000000000004"/>
    <s v="No"/>
    <n v="1.95"/>
    <x v="0"/>
    <x v="3"/>
    <x v="3"/>
  </r>
  <r>
    <s v="AIJ-101759"/>
    <x v="1"/>
    <x v="1"/>
    <x v="5"/>
    <x v="0"/>
    <x v="12"/>
    <x v="23"/>
    <x v="64"/>
    <x v="0"/>
    <n v="31628"/>
    <s v="High"/>
    <x v="25"/>
    <n v="39"/>
    <x v="0"/>
    <x v="0"/>
    <n v="3.5"/>
    <s v="Yes"/>
    <n v="2.1"/>
    <x v="1"/>
    <x v="3"/>
    <x v="3"/>
  </r>
  <r>
    <s v="AIJ-101760"/>
    <x v="4"/>
    <x v="4"/>
    <x v="4"/>
    <x v="3"/>
    <x v="2"/>
    <x v="78"/>
    <x v="61"/>
    <x v="2"/>
    <n v="153240"/>
    <s v="Low"/>
    <x v="1"/>
    <n v="50"/>
    <x v="1"/>
    <x v="2"/>
    <n v="2.61"/>
    <s v="Yes"/>
    <n v="3.3"/>
    <x v="0"/>
    <x v="2"/>
    <x v="1"/>
  </r>
  <r>
    <s v="AIJ-101761"/>
    <x v="17"/>
    <x v="6"/>
    <x v="6"/>
    <x v="3"/>
    <x v="7"/>
    <x v="5"/>
    <x v="45"/>
    <x v="1"/>
    <n v="85475"/>
    <s v="Medium"/>
    <x v="27"/>
    <n v="44"/>
    <x v="2"/>
    <x v="2"/>
    <n v="3.09"/>
    <s v="No"/>
    <n v="1.44"/>
    <x v="1"/>
    <x v="3"/>
    <x v="1"/>
  </r>
  <r>
    <s v="AIJ-101762"/>
    <x v="9"/>
    <x v="4"/>
    <x v="6"/>
    <x v="3"/>
    <x v="18"/>
    <x v="72"/>
    <x v="38"/>
    <x v="2"/>
    <n v="52156"/>
    <s v="Medium"/>
    <x v="55"/>
    <n v="59"/>
    <x v="0"/>
    <x v="1"/>
    <n v="4.26"/>
    <s v="No"/>
    <n v="4.7300000000000004"/>
    <x v="1"/>
    <x v="2"/>
    <x v="3"/>
  </r>
  <r>
    <s v="AIJ-101763"/>
    <x v="1"/>
    <x v="8"/>
    <x v="0"/>
    <x v="0"/>
    <x v="16"/>
    <x v="61"/>
    <x v="68"/>
    <x v="1"/>
    <n v="161107"/>
    <s v="Medium"/>
    <x v="42"/>
    <n v="32"/>
    <x v="2"/>
    <x v="1"/>
    <n v="2.19"/>
    <s v="No"/>
    <n v="3.12"/>
    <x v="0"/>
    <x v="2"/>
    <x v="3"/>
  </r>
  <r>
    <s v="AIJ-101764"/>
    <x v="0"/>
    <x v="7"/>
    <x v="8"/>
    <x v="0"/>
    <x v="15"/>
    <x v="66"/>
    <x v="48"/>
    <x v="0"/>
    <n v="50186"/>
    <s v="High"/>
    <x v="6"/>
    <n v="47"/>
    <x v="2"/>
    <x v="0"/>
    <n v="2.7"/>
    <s v="No"/>
    <n v="4.1399999999999997"/>
    <x v="1"/>
    <x v="3"/>
    <x v="1"/>
  </r>
  <r>
    <s v="AIJ-101765"/>
    <x v="16"/>
    <x v="3"/>
    <x v="8"/>
    <x v="1"/>
    <x v="3"/>
    <x v="66"/>
    <x v="24"/>
    <x v="0"/>
    <n v="143191"/>
    <s v="Medium"/>
    <x v="7"/>
    <n v="31"/>
    <x v="1"/>
    <x v="2"/>
    <n v="3.63"/>
    <s v="Yes"/>
    <n v="5"/>
    <x v="2"/>
    <x v="3"/>
    <x v="2"/>
  </r>
  <r>
    <s v="AIJ-101766"/>
    <x v="19"/>
    <x v="4"/>
    <x v="5"/>
    <x v="3"/>
    <x v="7"/>
    <x v="6"/>
    <x v="14"/>
    <x v="2"/>
    <n v="98903"/>
    <s v="Medium"/>
    <x v="30"/>
    <n v="46"/>
    <x v="2"/>
    <x v="1"/>
    <n v="3.11"/>
    <s v="No"/>
    <n v="2.42"/>
    <x v="0"/>
    <x v="0"/>
    <x v="1"/>
  </r>
  <r>
    <s v="AIJ-101767"/>
    <x v="13"/>
    <x v="5"/>
    <x v="4"/>
    <x v="3"/>
    <x v="6"/>
    <x v="84"/>
    <x v="3"/>
    <x v="1"/>
    <n v="120817"/>
    <s v="High"/>
    <x v="20"/>
    <n v="36"/>
    <x v="0"/>
    <x v="0"/>
    <n v="3.37"/>
    <s v="Yes"/>
    <n v="3.63"/>
    <x v="1"/>
    <x v="3"/>
    <x v="0"/>
  </r>
  <r>
    <s v="AIJ-101768"/>
    <x v="2"/>
    <x v="7"/>
    <x v="9"/>
    <x v="0"/>
    <x v="2"/>
    <x v="9"/>
    <x v="54"/>
    <x v="1"/>
    <n v="172241"/>
    <s v="Low"/>
    <x v="4"/>
    <n v="50"/>
    <x v="0"/>
    <x v="2"/>
    <n v="2.98"/>
    <s v="No"/>
    <n v="4.62"/>
    <x v="0"/>
    <x v="2"/>
    <x v="1"/>
  </r>
  <r>
    <s v="AIJ-101769"/>
    <x v="7"/>
    <x v="9"/>
    <x v="7"/>
    <x v="1"/>
    <x v="11"/>
    <x v="3"/>
    <x v="20"/>
    <x v="0"/>
    <n v="188009"/>
    <s v="Medium"/>
    <x v="17"/>
    <n v="58"/>
    <x v="0"/>
    <x v="0"/>
    <n v="2.85"/>
    <s v="No"/>
    <n v="3.1"/>
    <x v="1"/>
    <x v="3"/>
    <x v="1"/>
  </r>
  <r>
    <s v="AIJ-101770"/>
    <x v="10"/>
    <x v="0"/>
    <x v="8"/>
    <x v="1"/>
    <x v="4"/>
    <x v="81"/>
    <x v="12"/>
    <x v="1"/>
    <n v="188912"/>
    <s v="Low"/>
    <x v="44"/>
    <n v="54"/>
    <x v="1"/>
    <x v="0"/>
    <n v="4.3600000000000003"/>
    <s v="No"/>
    <n v="4.42"/>
    <x v="0"/>
    <x v="3"/>
    <x v="1"/>
  </r>
  <r>
    <s v="AIJ-101771"/>
    <x v="3"/>
    <x v="3"/>
    <x v="8"/>
    <x v="3"/>
    <x v="17"/>
    <x v="11"/>
    <x v="68"/>
    <x v="2"/>
    <n v="125769"/>
    <s v="Medium"/>
    <x v="43"/>
    <n v="56"/>
    <x v="2"/>
    <x v="0"/>
    <n v="2.81"/>
    <s v="Yes"/>
    <n v="1.6"/>
    <x v="2"/>
    <x v="3"/>
    <x v="3"/>
  </r>
  <r>
    <s v="AIJ-101772"/>
    <x v="18"/>
    <x v="6"/>
    <x v="9"/>
    <x v="1"/>
    <x v="16"/>
    <x v="69"/>
    <x v="16"/>
    <x v="0"/>
    <n v="207763"/>
    <s v="High"/>
    <x v="36"/>
    <n v="42"/>
    <x v="1"/>
    <x v="1"/>
    <n v="2.72"/>
    <s v="Yes"/>
    <n v="4.82"/>
    <x v="2"/>
    <x v="3"/>
    <x v="3"/>
  </r>
  <r>
    <s v="AIJ-101773"/>
    <x v="7"/>
    <x v="0"/>
    <x v="6"/>
    <x v="1"/>
    <x v="0"/>
    <x v="10"/>
    <x v="60"/>
    <x v="0"/>
    <n v="168163"/>
    <s v="Medium"/>
    <x v="28"/>
    <n v="39"/>
    <x v="1"/>
    <x v="1"/>
    <n v="2.15"/>
    <s v="No"/>
    <n v="2.48"/>
    <x v="0"/>
    <x v="2"/>
    <x v="0"/>
  </r>
  <r>
    <s v="AIJ-101774"/>
    <x v="11"/>
    <x v="9"/>
    <x v="8"/>
    <x v="1"/>
    <x v="14"/>
    <x v="72"/>
    <x v="3"/>
    <x v="1"/>
    <n v="178112"/>
    <s v="Low"/>
    <x v="33"/>
    <n v="59"/>
    <x v="1"/>
    <x v="2"/>
    <n v="2.0699999999999998"/>
    <s v="Yes"/>
    <n v="2.87"/>
    <x v="2"/>
    <x v="3"/>
    <x v="2"/>
  </r>
  <r>
    <s v="AIJ-101775"/>
    <x v="6"/>
    <x v="9"/>
    <x v="7"/>
    <x v="3"/>
    <x v="23"/>
    <x v="58"/>
    <x v="14"/>
    <x v="1"/>
    <n v="154443"/>
    <s v="Medium"/>
    <x v="16"/>
    <n v="32"/>
    <x v="2"/>
    <x v="2"/>
    <n v="3.33"/>
    <s v="No"/>
    <n v="4.79"/>
    <x v="1"/>
    <x v="0"/>
    <x v="3"/>
  </r>
  <r>
    <s v="AIJ-101776"/>
    <x v="9"/>
    <x v="7"/>
    <x v="4"/>
    <x v="1"/>
    <x v="9"/>
    <x v="17"/>
    <x v="25"/>
    <x v="2"/>
    <n v="142195"/>
    <s v="High"/>
    <x v="10"/>
    <n v="34"/>
    <x v="0"/>
    <x v="1"/>
    <n v="2.54"/>
    <s v="Yes"/>
    <n v="4.33"/>
    <x v="2"/>
    <x v="3"/>
    <x v="1"/>
  </r>
  <r>
    <s v="AIJ-101777"/>
    <x v="2"/>
    <x v="6"/>
    <x v="7"/>
    <x v="1"/>
    <x v="10"/>
    <x v="2"/>
    <x v="38"/>
    <x v="2"/>
    <n v="95420"/>
    <s v="High"/>
    <x v="20"/>
    <n v="49"/>
    <x v="0"/>
    <x v="1"/>
    <n v="3.51"/>
    <s v="No"/>
    <n v="4.25"/>
    <x v="1"/>
    <x v="1"/>
    <x v="3"/>
  </r>
  <r>
    <s v="AIJ-101778"/>
    <x v="13"/>
    <x v="0"/>
    <x v="0"/>
    <x v="2"/>
    <x v="22"/>
    <x v="53"/>
    <x v="5"/>
    <x v="1"/>
    <n v="87946"/>
    <s v="Medium"/>
    <x v="44"/>
    <n v="37"/>
    <x v="0"/>
    <x v="0"/>
    <n v="4.3600000000000003"/>
    <s v="No"/>
    <n v="2.85"/>
    <x v="2"/>
    <x v="3"/>
    <x v="2"/>
  </r>
  <r>
    <s v="AIJ-101779"/>
    <x v="15"/>
    <x v="7"/>
    <x v="0"/>
    <x v="2"/>
    <x v="0"/>
    <x v="25"/>
    <x v="74"/>
    <x v="0"/>
    <n v="215125"/>
    <s v="High"/>
    <x v="2"/>
    <n v="56"/>
    <x v="2"/>
    <x v="2"/>
    <n v="3.18"/>
    <s v="Yes"/>
    <n v="2.57"/>
    <x v="1"/>
    <x v="3"/>
    <x v="0"/>
  </r>
  <r>
    <s v="AIJ-101780"/>
    <x v="19"/>
    <x v="6"/>
    <x v="3"/>
    <x v="1"/>
    <x v="3"/>
    <x v="31"/>
    <x v="72"/>
    <x v="1"/>
    <n v="215478"/>
    <s v="Medium"/>
    <x v="18"/>
    <n v="46"/>
    <x v="1"/>
    <x v="1"/>
    <n v="2.4700000000000002"/>
    <s v="Yes"/>
    <n v="4.3899999999999997"/>
    <x v="0"/>
    <x v="3"/>
    <x v="2"/>
  </r>
  <r>
    <s v="AIJ-101781"/>
    <x v="16"/>
    <x v="6"/>
    <x v="8"/>
    <x v="2"/>
    <x v="11"/>
    <x v="56"/>
    <x v="70"/>
    <x v="0"/>
    <n v="127552"/>
    <s v="Low"/>
    <x v="21"/>
    <n v="43"/>
    <x v="1"/>
    <x v="0"/>
    <n v="4.93"/>
    <s v="No"/>
    <n v="3.06"/>
    <x v="1"/>
    <x v="1"/>
    <x v="1"/>
  </r>
  <r>
    <s v="AIJ-101782"/>
    <x v="7"/>
    <x v="9"/>
    <x v="8"/>
    <x v="1"/>
    <x v="16"/>
    <x v="43"/>
    <x v="67"/>
    <x v="1"/>
    <n v="174897"/>
    <s v="Medium"/>
    <x v="48"/>
    <n v="36"/>
    <x v="1"/>
    <x v="2"/>
    <n v="4.1399999999999997"/>
    <s v="No"/>
    <n v="2.41"/>
    <x v="0"/>
    <x v="3"/>
    <x v="3"/>
  </r>
  <r>
    <s v="AIJ-101783"/>
    <x v="13"/>
    <x v="7"/>
    <x v="3"/>
    <x v="1"/>
    <x v="23"/>
    <x v="43"/>
    <x v="54"/>
    <x v="0"/>
    <n v="61742"/>
    <s v="High"/>
    <x v="49"/>
    <n v="33"/>
    <x v="0"/>
    <x v="1"/>
    <n v="3.19"/>
    <s v="No"/>
    <n v="2.44"/>
    <x v="0"/>
    <x v="2"/>
    <x v="3"/>
  </r>
  <r>
    <s v="AIJ-101784"/>
    <x v="6"/>
    <x v="9"/>
    <x v="5"/>
    <x v="1"/>
    <x v="3"/>
    <x v="62"/>
    <x v="32"/>
    <x v="2"/>
    <n v="89943"/>
    <s v="Medium"/>
    <x v="26"/>
    <n v="38"/>
    <x v="0"/>
    <x v="1"/>
    <n v="3.91"/>
    <s v="Yes"/>
    <n v="1.03"/>
    <x v="2"/>
    <x v="2"/>
    <x v="2"/>
  </r>
  <r>
    <s v="AIJ-101785"/>
    <x v="18"/>
    <x v="2"/>
    <x v="3"/>
    <x v="1"/>
    <x v="20"/>
    <x v="3"/>
    <x v="49"/>
    <x v="1"/>
    <n v="184107"/>
    <s v="Medium"/>
    <x v="27"/>
    <n v="31"/>
    <x v="2"/>
    <x v="2"/>
    <n v="2.85"/>
    <s v="No"/>
    <n v="2.23"/>
    <x v="2"/>
    <x v="3"/>
    <x v="2"/>
  </r>
  <r>
    <s v="AIJ-101786"/>
    <x v="0"/>
    <x v="8"/>
    <x v="2"/>
    <x v="2"/>
    <x v="15"/>
    <x v="62"/>
    <x v="72"/>
    <x v="0"/>
    <n v="184753"/>
    <s v="Medium"/>
    <x v="48"/>
    <n v="54"/>
    <x v="1"/>
    <x v="1"/>
    <n v="4.68"/>
    <s v="Yes"/>
    <n v="3.42"/>
    <x v="2"/>
    <x v="1"/>
    <x v="1"/>
  </r>
  <r>
    <s v="AIJ-101787"/>
    <x v="13"/>
    <x v="4"/>
    <x v="0"/>
    <x v="3"/>
    <x v="8"/>
    <x v="7"/>
    <x v="39"/>
    <x v="2"/>
    <n v="36704"/>
    <s v="Low"/>
    <x v="20"/>
    <n v="44"/>
    <x v="0"/>
    <x v="2"/>
    <n v="3.98"/>
    <s v="No"/>
    <n v="4.01"/>
    <x v="1"/>
    <x v="2"/>
    <x v="2"/>
  </r>
  <r>
    <s v="AIJ-101788"/>
    <x v="15"/>
    <x v="3"/>
    <x v="6"/>
    <x v="1"/>
    <x v="12"/>
    <x v="38"/>
    <x v="20"/>
    <x v="2"/>
    <n v="132795"/>
    <s v="Low"/>
    <x v="50"/>
    <n v="60"/>
    <x v="0"/>
    <x v="0"/>
    <n v="2.93"/>
    <s v="No"/>
    <n v="3.02"/>
    <x v="0"/>
    <x v="3"/>
    <x v="3"/>
  </r>
  <r>
    <s v="AIJ-101789"/>
    <x v="4"/>
    <x v="3"/>
    <x v="3"/>
    <x v="1"/>
    <x v="5"/>
    <x v="17"/>
    <x v="31"/>
    <x v="1"/>
    <n v="141981"/>
    <s v="High"/>
    <x v="23"/>
    <n v="57"/>
    <x v="1"/>
    <x v="2"/>
    <n v="4.42"/>
    <s v="Yes"/>
    <n v="2.31"/>
    <x v="0"/>
    <x v="0"/>
    <x v="3"/>
  </r>
  <r>
    <s v="AIJ-101790"/>
    <x v="11"/>
    <x v="8"/>
    <x v="3"/>
    <x v="2"/>
    <x v="24"/>
    <x v="2"/>
    <x v="24"/>
    <x v="2"/>
    <n v="171635"/>
    <s v="Medium"/>
    <x v="4"/>
    <n v="35"/>
    <x v="1"/>
    <x v="0"/>
    <n v="4.04"/>
    <s v="No"/>
    <n v="3.55"/>
    <x v="1"/>
    <x v="2"/>
    <x v="1"/>
  </r>
  <r>
    <s v="AIJ-101791"/>
    <x v="0"/>
    <x v="6"/>
    <x v="7"/>
    <x v="0"/>
    <x v="3"/>
    <x v="88"/>
    <x v="23"/>
    <x v="2"/>
    <n v="52789"/>
    <s v="High"/>
    <x v="52"/>
    <n v="54"/>
    <x v="0"/>
    <x v="0"/>
    <n v="3.56"/>
    <s v="No"/>
    <n v="4.7699999999999996"/>
    <x v="0"/>
    <x v="3"/>
    <x v="2"/>
  </r>
  <r>
    <s v="AIJ-101792"/>
    <x v="11"/>
    <x v="7"/>
    <x v="2"/>
    <x v="0"/>
    <x v="15"/>
    <x v="86"/>
    <x v="33"/>
    <x v="2"/>
    <n v="200396"/>
    <s v="Medium"/>
    <x v="27"/>
    <n v="55"/>
    <x v="1"/>
    <x v="2"/>
    <n v="4"/>
    <s v="No"/>
    <n v="1.19"/>
    <x v="0"/>
    <x v="3"/>
    <x v="1"/>
  </r>
  <r>
    <s v="AIJ-101793"/>
    <x v="5"/>
    <x v="9"/>
    <x v="7"/>
    <x v="2"/>
    <x v="9"/>
    <x v="86"/>
    <x v="25"/>
    <x v="0"/>
    <n v="79968"/>
    <s v="High"/>
    <x v="34"/>
    <n v="55"/>
    <x v="1"/>
    <x v="1"/>
    <n v="4.9000000000000004"/>
    <s v="Yes"/>
    <n v="3.53"/>
    <x v="0"/>
    <x v="3"/>
    <x v="1"/>
  </r>
  <r>
    <s v="AIJ-101794"/>
    <x v="16"/>
    <x v="0"/>
    <x v="9"/>
    <x v="3"/>
    <x v="3"/>
    <x v="89"/>
    <x v="21"/>
    <x v="0"/>
    <n v="131071"/>
    <s v="Low"/>
    <x v="48"/>
    <n v="34"/>
    <x v="1"/>
    <x v="0"/>
    <n v="2.2999999999999998"/>
    <s v="Yes"/>
    <n v="1.86"/>
    <x v="2"/>
    <x v="1"/>
    <x v="2"/>
  </r>
  <r>
    <s v="AIJ-101795"/>
    <x v="3"/>
    <x v="8"/>
    <x v="3"/>
    <x v="2"/>
    <x v="3"/>
    <x v="34"/>
    <x v="60"/>
    <x v="0"/>
    <n v="76513"/>
    <s v="Low"/>
    <x v="24"/>
    <n v="49"/>
    <x v="2"/>
    <x v="1"/>
    <n v="2.56"/>
    <s v="Yes"/>
    <n v="1.73"/>
    <x v="1"/>
    <x v="2"/>
    <x v="2"/>
  </r>
  <r>
    <s v="AIJ-101796"/>
    <x v="19"/>
    <x v="6"/>
    <x v="8"/>
    <x v="2"/>
    <x v="4"/>
    <x v="19"/>
    <x v="76"/>
    <x v="2"/>
    <n v="180810"/>
    <s v="High"/>
    <x v="23"/>
    <n v="53"/>
    <x v="1"/>
    <x v="1"/>
    <n v="3.13"/>
    <s v="No"/>
    <n v="4.37"/>
    <x v="2"/>
    <x v="2"/>
    <x v="1"/>
  </r>
  <r>
    <s v="AIJ-101797"/>
    <x v="12"/>
    <x v="0"/>
    <x v="5"/>
    <x v="2"/>
    <x v="23"/>
    <x v="40"/>
    <x v="31"/>
    <x v="1"/>
    <n v="163775"/>
    <s v="High"/>
    <x v="55"/>
    <n v="39"/>
    <x v="2"/>
    <x v="0"/>
    <n v="2.35"/>
    <s v="No"/>
    <n v="4.91"/>
    <x v="2"/>
    <x v="2"/>
    <x v="3"/>
  </r>
  <r>
    <s v="AIJ-101798"/>
    <x v="10"/>
    <x v="3"/>
    <x v="4"/>
    <x v="2"/>
    <x v="13"/>
    <x v="56"/>
    <x v="71"/>
    <x v="2"/>
    <n v="43953"/>
    <s v="Low"/>
    <x v="46"/>
    <n v="50"/>
    <x v="0"/>
    <x v="0"/>
    <n v="3.92"/>
    <s v="Yes"/>
    <n v="4.3499999999999996"/>
    <x v="2"/>
    <x v="2"/>
    <x v="1"/>
  </r>
  <r>
    <s v="AIJ-101799"/>
    <x v="16"/>
    <x v="8"/>
    <x v="6"/>
    <x v="2"/>
    <x v="13"/>
    <x v="13"/>
    <x v="60"/>
    <x v="0"/>
    <n v="216171"/>
    <s v="Low"/>
    <x v="50"/>
    <n v="53"/>
    <x v="2"/>
    <x v="2"/>
    <n v="4.13"/>
    <s v="No"/>
    <n v="1.64"/>
    <x v="2"/>
    <x v="3"/>
    <x v="1"/>
  </r>
  <r>
    <s v="AIJ-101800"/>
    <x v="18"/>
    <x v="1"/>
    <x v="1"/>
    <x v="1"/>
    <x v="3"/>
    <x v="6"/>
    <x v="20"/>
    <x v="1"/>
    <n v="177849"/>
    <s v="Medium"/>
    <x v="50"/>
    <n v="30"/>
    <x v="1"/>
    <x v="0"/>
    <n v="4.2699999999999996"/>
    <s v="No"/>
    <n v="2.78"/>
    <x v="2"/>
    <x v="3"/>
    <x v="2"/>
  </r>
  <r>
    <s v="AIJ-101801"/>
    <x v="4"/>
    <x v="7"/>
    <x v="2"/>
    <x v="3"/>
    <x v="8"/>
    <x v="78"/>
    <x v="6"/>
    <x v="2"/>
    <n v="31850"/>
    <s v="Medium"/>
    <x v="10"/>
    <n v="38"/>
    <x v="1"/>
    <x v="1"/>
    <n v="3.33"/>
    <s v="Yes"/>
    <n v="1.68"/>
    <x v="2"/>
    <x v="3"/>
    <x v="2"/>
  </r>
  <r>
    <s v="AIJ-101802"/>
    <x v="19"/>
    <x v="7"/>
    <x v="4"/>
    <x v="2"/>
    <x v="15"/>
    <x v="80"/>
    <x v="40"/>
    <x v="2"/>
    <n v="206608"/>
    <s v="Medium"/>
    <x v="45"/>
    <n v="32"/>
    <x v="1"/>
    <x v="0"/>
    <n v="3.03"/>
    <s v="No"/>
    <n v="2.29"/>
    <x v="1"/>
    <x v="1"/>
    <x v="1"/>
  </r>
  <r>
    <s v="AIJ-101803"/>
    <x v="13"/>
    <x v="6"/>
    <x v="4"/>
    <x v="0"/>
    <x v="7"/>
    <x v="79"/>
    <x v="78"/>
    <x v="1"/>
    <n v="158290"/>
    <s v="Medium"/>
    <x v="40"/>
    <n v="49"/>
    <x v="2"/>
    <x v="2"/>
    <n v="4.2"/>
    <s v="Yes"/>
    <n v="4.9800000000000004"/>
    <x v="0"/>
    <x v="3"/>
    <x v="1"/>
  </r>
  <r>
    <s v="AIJ-101804"/>
    <x v="19"/>
    <x v="0"/>
    <x v="3"/>
    <x v="1"/>
    <x v="18"/>
    <x v="89"/>
    <x v="38"/>
    <x v="0"/>
    <n v="115897"/>
    <s v="Medium"/>
    <x v="54"/>
    <n v="49"/>
    <x v="2"/>
    <x v="2"/>
    <n v="4.79"/>
    <s v="Yes"/>
    <n v="3.19"/>
    <x v="0"/>
    <x v="1"/>
    <x v="3"/>
  </r>
  <r>
    <s v="AIJ-101805"/>
    <x v="3"/>
    <x v="2"/>
    <x v="6"/>
    <x v="2"/>
    <x v="12"/>
    <x v="45"/>
    <x v="26"/>
    <x v="0"/>
    <n v="71327"/>
    <s v="Medium"/>
    <x v="20"/>
    <n v="30"/>
    <x v="1"/>
    <x v="0"/>
    <n v="3.79"/>
    <s v="No"/>
    <n v="1.1200000000000001"/>
    <x v="1"/>
    <x v="3"/>
    <x v="3"/>
  </r>
  <r>
    <s v="AIJ-101806"/>
    <x v="5"/>
    <x v="9"/>
    <x v="2"/>
    <x v="2"/>
    <x v="18"/>
    <x v="4"/>
    <x v="9"/>
    <x v="0"/>
    <n v="216976"/>
    <s v="High"/>
    <x v="16"/>
    <n v="38"/>
    <x v="0"/>
    <x v="1"/>
    <n v="4.82"/>
    <s v="No"/>
    <n v="3.27"/>
    <x v="0"/>
    <x v="3"/>
    <x v="3"/>
  </r>
  <r>
    <s v="AIJ-101807"/>
    <x v="11"/>
    <x v="6"/>
    <x v="6"/>
    <x v="3"/>
    <x v="13"/>
    <x v="31"/>
    <x v="29"/>
    <x v="2"/>
    <n v="203079"/>
    <s v="Low"/>
    <x v="7"/>
    <n v="47"/>
    <x v="0"/>
    <x v="0"/>
    <n v="2.36"/>
    <s v="Yes"/>
    <n v="4.66"/>
    <x v="2"/>
    <x v="2"/>
    <x v="1"/>
  </r>
  <r>
    <s v="AIJ-101808"/>
    <x v="2"/>
    <x v="7"/>
    <x v="1"/>
    <x v="3"/>
    <x v="11"/>
    <x v="74"/>
    <x v="47"/>
    <x v="1"/>
    <n v="48671"/>
    <s v="High"/>
    <x v="14"/>
    <n v="33"/>
    <x v="2"/>
    <x v="2"/>
    <n v="3.7"/>
    <s v="Yes"/>
    <n v="2.8"/>
    <x v="1"/>
    <x v="3"/>
    <x v="1"/>
  </r>
  <r>
    <s v="AIJ-101809"/>
    <x v="16"/>
    <x v="5"/>
    <x v="8"/>
    <x v="3"/>
    <x v="25"/>
    <x v="12"/>
    <x v="55"/>
    <x v="1"/>
    <n v="204451"/>
    <s v="Low"/>
    <x v="33"/>
    <n v="44"/>
    <x v="0"/>
    <x v="2"/>
    <n v="3.32"/>
    <s v="Yes"/>
    <n v="2.29"/>
    <x v="2"/>
    <x v="0"/>
    <x v="1"/>
  </r>
  <r>
    <s v="AIJ-101810"/>
    <x v="6"/>
    <x v="7"/>
    <x v="9"/>
    <x v="0"/>
    <x v="3"/>
    <x v="3"/>
    <x v="12"/>
    <x v="1"/>
    <n v="154335"/>
    <s v="Low"/>
    <x v="32"/>
    <n v="49"/>
    <x v="1"/>
    <x v="2"/>
    <n v="3.89"/>
    <s v="No"/>
    <n v="3.8"/>
    <x v="0"/>
    <x v="3"/>
    <x v="2"/>
  </r>
  <r>
    <s v="AIJ-101811"/>
    <x v="8"/>
    <x v="4"/>
    <x v="7"/>
    <x v="1"/>
    <x v="25"/>
    <x v="36"/>
    <x v="50"/>
    <x v="2"/>
    <n v="180818"/>
    <s v="High"/>
    <x v="33"/>
    <n v="54"/>
    <x v="2"/>
    <x v="1"/>
    <n v="3.6"/>
    <s v="No"/>
    <n v="1.54"/>
    <x v="1"/>
    <x v="2"/>
    <x v="1"/>
  </r>
  <r>
    <s v="AIJ-101812"/>
    <x v="17"/>
    <x v="2"/>
    <x v="0"/>
    <x v="2"/>
    <x v="13"/>
    <x v="1"/>
    <x v="64"/>
    <x v="2"/>
    <n v="120912"/>
    <s v="High"/>
    <x v="27"/>
    <n v="51"/>
    <x v="2"/>
    <x v="1"/>
    <n v="2.5"/>
    <s v="Yes"/>
    <n v="2.89"/>
    <x v="1"/>
    <x v="3"/>
    <x v="1"/>
  </r>
  <r>
    <s v="AIJ-101813"/>
    <x v="14"/>
    <x v="4"/>
    <x v="4"/>
    <x v="1"/>
    <x v="14"/>
    <x v="67"/>
    <x v="29"/>
    <x v="0"/>
    <n v="57357"/>
    <s v="Low"/>
    <x v="3"/>
    <n v="52"/>
    <x v="1"/>
    <x v="2"/>
    <n v="3.12"/>
    <s v="Yes"/>
    <n v="2.02"/>
    <x v="0"/>
    <x v="2"/>
    <x v="2"/>
  </r>
  <r>
    <s v="AIJ-101814"/>
    <x v="4"/>
    <x v="2"/>
    <x v="4"/>
    <x v="3"/>
    <x v="18"/>
    <x v="71"/>
    <x v="58"/>
    <x v="0"/>
    <n v="139993"/>
    <s v="Medium"/>
    <x v="2"/>
    <n v="38"/>
    <x v="2"/>
    <x v="1"/>
    <n v="4.4000000000000004"/>
    <s v="Yes"/>
    <n v="3.96"/>
    <x v="0"/>
    <x v="2"/>
    <x v="3"/>
  </r>
  <r>
    <s v="AIJ-101815"/>
    <x v="5"/>
    <x v="3"/>
    <x v="6"/>
    <x v="3"/>
    <x v="11"/>
    <x v="77"/>
    <x v="63"/>
    <x v="1"/>
    <n v="119006"/>
    <s v="Medium"/>
    <x v="54"/>
    <n v="39"/>
    <x v="1"/>
    <x v="2"/>
    <n v="3.9"/>
    <s v="No"/>
    <n v="1.72"/>
    <x v="0"/>
    <x v="3"/>
    <x v="1"/>
  </r>
  <r>
    <s v="AIJ-101816"/>
    <x v="14"/>
    <x v="1"/>
    <x v="3"/>
    <x v="1"/>
    <x v="14"/>
    <x v="26"/>
    <x v="2"/>
    <x v="2"/>
    <n v="62248"/>
    <s v="Medium"/>
    <x v="46"/>
    <n v="35"/>
    <x v="0"/>
    <x v="0"/>
    <n v="4.6399999999999997"/>
    <s v="No"/>
    <n v="1.69"/>
    <x v="1"/>
    <x v="3"/>
    <x v="2"/>
  </r>
  <r>
    <s v="AIJ-101817"/>
    <x v="18"/>
    <x v="2"/>
    <x v="8"/>
    <x v="2"/>
    <x v="18"/>
    <x v="34"/>
    <x v="12"/>
    <x v="1"/>
    <n v="60999"/>
    <s v="Low"/>
    <x v="3"/>
    <n v="41"/>
    <x v="0"/>
    <x v="2"/>
    <n v="4.3899999999999997"/>
    <s v="Yes"/>
    <n v="4.43"/>
    <x v="1"/>
    <x v="2"/>
    <x v="3"/>
  </r>
  <r>
    <s v="AIJ-101818"/>
    <x v="1"/>
    <x v="2"/>
    <x v="2"/>
    <x v="2"/>
    <x v="24"/>
    <x v="57"/>
    <x v="39"/>
    <x v="2"/>
    <n v="98177"/>
    <s v="Low"/>
    <x v="36"/>
    <n v="38"/>
    <x v="2"/>
    <x v="1"/>
    <n v="4.71"/>
    <s v="Yes"/>
    <n v="3.97"/>
    <x v="0"/>
    <x v="2"/>
    <x v="1"/>
  </r>
  <r>
    <s v="AIJ-101819"/>
    <x v="19"/>
    <x v="4"/>
    <x v="7"/>
    <x v="0"/>
    <x v="19"/>
    <x v="4"/>
    <x v="18"/>
    <x v="2"/>
    <n v="138989"/>
    <s v="Low"/>
    <x v="52"/>
    <n v="55"/>
    <x v="0"/>
    <x v="0"/>
    <n v="3.24"/>
    <s v="No"/>
    <n v="4.6500000000000004"/>
    <x v="0"/>
    <x v="3"/>
    <x v="2"/>
  </r>
  <r>
    <s v="AIJ-101820"/>
    <x v="15"/>
    <x v="7"/>
    <x v="8"/>
    <x v="0"/>
    <x v="6"/>
    <x v="88"/>
    <x v="27"/>
    <x v="1"/>
    <n v="39692"/>
    <s v="Medium"/>
    <x v="1"/>
    <n v="41"/>
    <x v="0"/>
    <x v="2"/>
    <n v="2.31"/>
    <s v="Yes"/>
    <n v="2.27"/>
    <x v="2"/>
    <x v="3"/>
    <x v="0"/>
  </r>
  <r>
    <s v="AIJ-101821"/>
    <x v="12"/>
    <x v="8"/>
    <x v="9"/>
    <x v="0"/>
    <x v="9"/>
    <x v="56"/>
    <x v="43"/>
    <x v="2"/>
    <n v="79085"/>
    <s v="Low"/>
    <x v="48"/>
    <n v="34"/>
    <x v="1"/>
    <x v="2"/>
    <n v="2.1800000000000002"/>
    <s v="No"/>
    <n v="4.55"/>
    <x v="1"/>
    <x v="2"/>
    <x v="1"/>
  </r>
  <r>
    <s v="AIJ-101822"/>
    <x v="11"/>
    <x v="9"/>
    <x v="9"/>
    <x v="3"/>
    <x v="3"/>
    <x v="68"/>
    <x v="43"/>
    <x v="0"/>
    <n v="191975"/>
    <s v="Low"/>
    <x v="54"/>
    <n v="32"/>
    <x v="2"/>
    <x v="2"/>
    <n v="2.83"/>
    <s v="No"/>
    <n v="1.55"/>
    <x v="1"/>
    <x v="3"/>
    <x v="2"/>
  </r>
  <r>
    <s v="AIJ-101823"/>
    <x v="14"/>
    <x v="0"/>
    <x v="5"/>
    <x v="3"/>
    <x v="3"/>
    <x v="79"/>
    <x v="52"/>
    <x v="2"/>
    <n v="169790"/>
    <s v="High"/>
    <x v="34"/>
    <n v="40"/>
    <x v="0"/>
    <x v="0"/>
    <n v="4.13"/>
    <s v="No"/>
    <n v="2.83"/>
    <x v="1"/>
    <x v="0"/>
    <x v="2"/>
  </r>
  <r>
    <s v="AIJ-101824"/>
    <x v="1"/>
    <x v="7"/>
    <x v="3"/>
    <x v="0"/>
    <x v="11"/>
    <x v="54"/>
    <x v="60"/>
    <x v="1"/>
    <n v="37527"/>
    <s v="High"/>
    <x v="6"/>
    <n v="49"/>
    <x v="0"/>
    <x v="0"/>
    <n v="4.55"/>
    <s v="Yes"/>
    <n v="2.56"/>
    <x v="1"/>
    <x v="3"/>
    <x v="1"/>
  </r>
  <r>
    <s v="AIJ-101825"/>
    <x v="5"/>
    <x v="5"/>
    <x v="2"/>
    <x v="3"/>
    <x v="21"/>
    <x v="12"/>
    <x v="37"/>
    <x v="1"/>
    <n v="188661"/>
    <s v="Low"/>
    <x v="12"/>
    <n v="31"/>
    <x v="1"/>
    <x v="1"/>
    <n v="4.92"/>
    <s v="No"/>
    <n v="3.97"/>
    <x v="2"/>
    <x v="3"/>
    <x v="0"/>
  </r>
  <r>
    <s v="AIJ-101826"/>
    <x v="18"/>
    <x v="1"/>
    <x v="3"/>
    <x v="0"/>
    <x v="21"/>
    <x v="45"/>
    <x v="2"/>
    <x v="1"/>
    <n v="85437"/>
    <s v="Medium"/>
    <x v="11"/>
    <n v="32"/>
    <x v="1"/>
    <x v="2"/>
    <n v="2.17"/>
    <s v="No"/>
    <n v="1.52"/>
    <x v="2"/>
    <x v="3"/>
    <x v="0"/>
  </r>
  <r>
    <s v="AIJ-101827"/>
    <x v="5"/>
    <x v="7"/>
    <x v="0"/>
    <x v="3"/>
    <x v="0"/>
    <x v="11"/>
    <x v="21"/>
    <x v="2"/>
    <n v="64250"/>
    <s v="Medium"/>
    <x v="35"/>
    <n v="49"/>
    <x v="0"/>
    <x v="2"/>
    <n v="2.96"/>
    <s v="No"/>
    <n v="1.96"/>
    <x v="2"/>
    <x v="3"/>
    <x v="0"/>
  </r>
  <r>
    <s v="AIJ-101828"/>
    <x v="14"/>
    <x v="7"/>
    <x v="5"/>
    <x v="0"/>
    <x v="20"/>
    <x v="10"/>
    <x v="15"/>
    <x v="1"/>
    <n v="147247"/>
    <s v="Medium"/>
    <x v="24"/>
    <n v="55"/>
    <x v="0"/>
    <x v="0"/>
    <n v="3.06"/>
    <s v="Yes"/>
    <n v="2.3199999999999998"/>
    <x v="2"/>
    <x v="1"/>
    <x v="2"/>
  </r>
  <r>
    <s v="AIJ-101829"/>
    <x v="3"/>
    <x v="9"/>
    <x v="5"/>
    <x v="1"/>
    <x v="3"/>
    <x v="62"/>
    <x v="71"/>
    <x v="1"/>
    <n v="43468"/>
    <s v="High"/>
    <x v="23"/>
    <n v="50"/>
    <x v="1"/>
    <x v="0"/>
    <n v="2.82"/>
    <s v="No"/>
    <n v="2.31"/>
    <x v="2"/>
    <x v="3"/>
    <x v="2"/>
  </r>
  <r>
    <s v="AIJ-101830"/>
    <x v="11"/>
    <x v="6"/>
    <x v="1"/>
    <x v="2"/>
    <x v="20"/>
    <x v="14"/>
    <x v="6"/>
    <x v="2"/>
    <n v="177780"/>
    <s v="High"/>
    <x v="30"/>
    <n v="38"/>
    <x v="1"/>
    <x v="1"/>
    <n v="2"/>
    <s v="No"/>
    <n v="4.04"/>
    <x v="1"/>
    <x v="3"/>
    <x v="2"/>
  </r>
  <r>
    <s v="AIJ-101831"/>
    <x v="1"/>
    <x v="2"/>
    <x v="9"/>
    <x v="3"/>
    <x v="6"/>
    <x v="43"/>
    <x v="0"/>
    <x v="2"/>
    <n v="153151"/>
    <s v="Low"/>
    <x v="50"/>
    <n v="60"/>
    <x v="0"/>
    <x v="1"/>
    <n v="3.13"/>
    <s v="Yes"/>
    <n v="2.33"/>
    <x v="0"/>
    <x v="3"/>
    <x v="0"/>
  </r>
  <r>
    <s v="AIJ-101832"/>
    <x v="10"/>
    <x v="5"/>
    <x v="5"/>
    <x v="1"/>
    <x v="21"/>
    <x v="81"/>
    <x v="1"/>
    <x v="1"/>
    <n v="101072"/>
    <s v="Low"/>
    <x v="0"/>
    <n v="38"/>
    <x v="2"/>
    <x v="2"/>
    <n v="2.21"/>
    <s v="No"/>
    <n v="3.1"/>
    <x v="2"/>
    <x v="2"/>
    <x v="0"/>
  </r>
  <r>
    <s v="AIJ-101833"/>
    <x v="16"/>
    <x v="5"/>
    <x v="8"/>
    <x v="3"/>
    <x v="19"/>
    <x v="83"/>
    <x v="36"/>
    <x v="2"/>
    <n v="79438"/>
    <s v="High"/>
    <x v="13"/>
    <n v="45"/>
    <x v="1"/>
    <x v="1"/>
    <n v="2.14"/>
    <s v="Yes"/>
    <n v="1.81"/>
    <x v="0"/>
    <x v="2"/>
    <x v="2"/>
  </r>
  <r>
    <s v="AIJ-101834"/>
    <x v="6"/>
    <x v="4"/>
    <x v="7"/>
    <x v="2"/>
    <x v="2"/>
    <x v="39"/>
    <x v="58"/>
    <x v="0"/>
    <n v="109000"/>
    <s v="High"/>
    <x v="14"/>
    <n v="50"/>
    <x v="0"/>
    <x v="2"/>
    <n v="2.2599999999999998"/>
    <s v="No"/>
    <n v="4.6399999999999997"/>
    <x v="0"/>
    <x v="3"/>
    <x v="1"/>
  </r>
  <r>
    <s v="AIJ-101835"/>
    <x v="14"/>
    <x v="9"/>
    <x v="3"/>
    <x v="0"/>
    <x v="18"/>
    <x v="76"/>
    <x v="19"/>
    <x v="0"/>
    <n v="157276"/>
    <s v="Medium"/>
    <x v="30"/>
    <n v="54"/>
    <x v="2"/>
    <x v="1"/>
    <n v="2.93"/>
    <s v="No"/>
    <n v="2.2000000000000002"/>
    <x v="0"/>
    <x v="3"/>
    <x v="3"/>
  </r>
  <r>
    <s v="AIJ-101836"/>
    <x v="5"/>
    <x v="2"/>
    <x v="5"/>
    <x v="2"/>
    <x v="19"/>
    <x v="84"/>
    <x v="56"/>
    <x v="0"/>
    <n v="212402"/>
    <s v="Low"/>
    <x v="52"/>
    <n v="49"/>
    <x v="1"/>
    <x v="0"/>
    <n v="2.95"/>
    <s v="Yes"/>
    <n v="1.94"/>
    <x v="2"/>
    <x v="3"/>
    <x v="2"/>
  </r>
  <r>
    <s v="AIJ-101837"/>
    <x v="3"/>
    <x v="1"/>
    <x v="9"/>
    <x v="3"/>
    <x v="23"/>
    <x v="10"/>
    <x v="13"/>
    <x v="2"/>
    <n v="125741"/>
    <s v="Low"/>
    <x v="4"/>
    <n v="30"/>
    <x v="1"/>
    <x v="1"/>
    <n v="2.75"/>
    <s v="No"/>
    <n v="1.55"/>
    <x v="1"/>
    <x v="1"/>
    <x v="3"/>
  </r>
  <r>
    <s v="AIJ-101838"/>
    <x v="7"/>
    <x v="1"/>
    <x v="9"/>
    <x v="0"/>
    <x v="12"/>
    <x v="64"/>
    <x v="76"/>
    <x v="0"/>
    <n v="62321"/>
    <s v="Low"/>
    <x v="27"/>
    <n v="60"/>
    <x v="2"/>
    <x v="0"/>
    <n v="4.95"/>
    <s v="No"/>
    <n v="3.64"/>
    <x v="1"/>
    <x v="1"/>
    <x v="3"/>
  </r>
  <r>
    <s v="AIJ-101839"/>
    <x v="4"/>
    <x v="7"/>
    <x v="1"/>
    <x v="2"/>
    <x v="3"/>
    <x v="81"/>
    <x v="15"/>
    <x v="0"/>
    <n v="155301"/>
    <s v="High"/>
    <x v="17"/>
    <n v="54"/>
    <x v="2"/>
    <x v="0"/>
    <n v="3.86"/>
    <s v="No"/>
    <n v="2.85"/>
    <x v="2"/>
    <x v="3"/>
    <x v="2"/>
  </r>
  <r>
    <s v="AIJ-101840"/>
    <x v="2"/>
    <x v="3"/>
    <x v="6"/>
    <x v="3"/>
    <x v="6"/>
    <x v="40"/>
    <x v="39"/>
    <x v="1"/>
    <n v="52185"/>
    <s v="High"/>
    <x v="8"/>
    <n v="40"/>
    <x v="0"/>
    <x v="0"/>
    <n v="2.2000000000000002"/>
    <s v="No"/>
    <n v="2.25"/>
    <x v="1"/>
    <x v="2"/>
    <x v="0"/>
  </r>
  <r>
    <s v="AIJ-101841"/>
    <x v="19"/>
    <x v="1"/>
    <x v="2"/>
    <x v="3"/>
    <x v="3"/>
    <x v="66"/>
    <x v="45"/>
    <x v="1"/>
    <n v="31547"/>
    <s v="Low"/>
    <x v="11"/>
    <n v="53"/>
    <x v="0"/>
    <x v="1"/>
    <n v="3.49"/>
    <s v="No"/>
    <n v="2.3199999999999998"/>
    <x v="1"/>
    <x v="0"/>
    <x v="2"/>
  </r>
  <r>
    <s v="AIJ-101842"/>
    <x v="10"/>
    <x v="0"/>
    <x v="6"/>
    <x v="0"/>
    <x v="18"/>
    <x v="34"/>
    <x v="60"/>
    <x v="0"/>
    <n v="120872"/>
    <s v="High"/>
    <x v="32"/>
    <n v="51"/>
    <x v="1"/>
    <x v="1"/>
    <n v="3.47"/>
    <s v="No"/>
    <n v="4.6100000000000003"/>
    <x v="0"/>
    <x v="2"/>
    <x v="3"/>
  </r>
  <r>
    <s v="AIJ-101843"/>
    <x v="12"/>
    <x v="6"/>
    <x v="3"/>
    <x v="1"/>
    <x v="14"/>
    <x v="65"/>
    <x v="62"/>
    <x v="2"/>
    <n v="150960"/>
    <s v="Medium"/>
    <x v="39"/>
    <n v="51"/>
    <x v="1"/>
    <x v="2"/>
    <n v="3.24"/>
    <s v="Yes"/>
    <n v="3.65"/>
    <x v="2"/>
    <x v="3"/>
    <x v="2"/>
  </r>
  <r>
    <s v="AIJ-101844"/>
    <x v="18"/>
    <x v="1"/>
    <x v="1"/>
    <x v="1"/>
    <x v="22"/>
    <x v="21"/>
    <x v="71"/>
    <x v="2"/>
    <n v="157872"/>
    <s v="Medium"/>
    <x v="55"/>
    <n v="51"/>
    <x v="0"/>
    <x v="1"/>
    <n v="4.76"/>
    <s v="No"/>
    <n v="3.72"/>
    <x v="1"/>
    <x v="3"/>
    <x v="2"/>
  </r>
  <r>
    <s v="AIJ-101845"/>
    <x v="14"/>
    <x v="4"/>
    <x v="2"/>
    <x v="0"/>
    <x v="12"/>
    <x v="30"/>
    <x v="27"/>
    <x v="2"/>
    <n v="125631"/>
    <s v="High"/>
    <x v="33"/>
    <n v="31"/>
    <x v="0"/>
    <x v="2"/>
    <n v="3.26"/>
    <s v="Yes"/>
    <n v="2.5499999999999998"/>
    <x v="1"/>
    <x v="3"/>
    <x v="3"/>
  </r>
  <r>
    <s v="AIJ-101846"/>
    <x v="6"/>
    <x v="2"/>
    <x v="0"/>
    <x v="3"/>
    <x v="12"/>
    <x v="73"/>
    <x v="24"/>
    <x v="0"/>
    <n v="48809"/>
    <s v="Low"/>
    <x v="36"/>
    <n v="38"/>
    <x v="2"/>
    <x v="2"/>
    <n v="3.53"/>
    <s v="No"/>
    <n v="2.58"/>
    <x v="1"/>
    <x v="3"/>
    <x v="3"/>
  </r>
  <r>
    <s v="AIJ-101847"/>
    <x v="13"/>
    <x v="1"/>
    <x v="9"/>
    <x v="0"/>
    <x v="11"/>
    <x v="51"/>
    <x v="20"/>
    <x v="1"/>
    <n v="178768"/>
    <s v="High"/>
    <x v="33"/>
    <n v="46"/>
    <x v="2"/>
    <x v="0"/>
    <n v="4.26"/>
    <s v="No"/>
    <n v="3.96"/>
    <x v="2"/>
    <x v="2"/>
    <x v="1"/>
  </r>
  <r>
    <s v="AIJ-101848"/>
    <x v="2"/>
    <x v="8"/>
    <x v="1"/>
    <x v="3"/>
    <x v="11"/>
    <x v="27"/>
    <x v="52"/>
    <x v="2"/>
    <n v="131890"/>
    <s v="Low"/>
    <x v="15"/>
    <n v="38"/>
    <x v="1"/>
    <x v="2"/>
    <n v="2.0099999999999998"/>
    <s v="Yes"/>
    <n v="1.54"/>
    <x v="1"/>
    <x v="0"/>
    <x v="1"/>
  </r>
  <r>
    <s v="AIJ-101849"/>
    <x v="14"/>
    <x v="2"/>
    <x v="3"/>
    <x v="2"/>
    <x v="7"/>
    <x v="1"/>
    <x v="59"/>
    <x v="1"/>
    <n v="161703"/>
    <s v="High"/>
    <x v="41"/>
    <n v="37"/>
    <x v="2"/>
    <x v="2"/>
    <n v="3.26"/>
    <s v="Yes"/>
    <n v="1.7"/>
    <x v="2"/>
    <x v="1"/>
    <x v="1"/>
  </r>
  <r>
    <s v="AIJ-101850"/>
    <x v="15"/>
    <x v="3"/>
    <x v="6"/>
    <x v="1"/>
    <x v="1"/>
    <x v="78"/>
    <x v="35"/>
    <x v="2"/>
    <n v="127966"/>
    <s v="High"/>
    <x v="33"/>
    <n v="55"/>
    <x v="1"/>
    <x v="2"/>
    <n v="4.4000000000000004"/>
    <s v="Yes"/>
    <n v="4.3499999999999996"/>
    <x v="0"/>
    <x v="2"/>
    <x v="1"/>
  </r>
  <r>
    <s v="AIJ-101851"/>
    <x v="7"/>
    <x v="5"/>
    <x v="1"/>
    <x v="0"/>
    <x v="16"/>
    <x v="16"/>
    <x v="16"/>
    <x v="2"/>
    <n v="63413"/>
    <s v="Medium"/>
    <x v="0"/>
    <n v="53"/>
    <x v="2"/>
    <x v="2"/>
    <n v="4.05"/>
    <s v="Yes"/>
    <n v="4.1500000000000004"/>
    <x v="1"/>
    <x v="3"/>
    <x v="3"/>
  </r>
  <r>
    <s v="AIJ-101852"/>
    <x v="19"/>
    <x v="4"/>
    <x v="0"/>
    <x v="3"/>
    <x v="7"/>
    <x v="45"/>
    <x v="33"/>
    <x v="2"/>
    <n v="171568"/>
    <s v="Medium"/>
    <x v="36"/>
    <n v="51"/>
    <x v="1"/>
    <x v="0"/>
    <n v="3"/>
    <s v="Yes"/>
    <n v="3.84"/>
    <x v="2"/>
    <x v="3"/>
    <x v="1"/>
  </r>
  <r>
    <s v="AIJ-101853"/>
    <x v="15"/>
    <x v="4"/>
    <x v="7"/>
    <x v="0"/>
    <x v="20"/>
    <x v="71"/>
    <x v="21"/>
    <x v="1"/>
    <n v="84813"/>
    <s v="High"/>
    <x v="8"/>
    <n v="60"/>
    <x v="0"/>
    <x v="1"/>
    <n v="3.44"/>
    <s v="Yes"/>
    <n v="3.6"/>
    <x v="2"/>
    <x v="1"/>
    <x v="2"/>
  </r>
  <r>
    <s v="AIJ-101854"/>
    <x v="10"/>
    <x v="8"/>
    <x v="0"/>
    <x v="3"/>
    <x v="21"/>
    <x v="16"/>
    <x v="8"/>
    <x v="0"/>
    <n v="190198"/>
    <s v="Medium"/>
    <x v="49"/>
    <n v="36"/>
    <x v="2"/>
    <x v="0"/>
    <n v="4.07"/>
    <s v="Yes"/>
    <n v="3.64"/>
    <x v="2"/>
    <x v="0"/>
    <x v="0"/>
  </r>
  <r>
    <s v="AIJ-101855"/>
    <x v="1"/>
    <x v="6"/>
    <x v="4"/>
    <x v="2"/>
    <x v="17"/>
    <x v="43"/>
    <x v="46"/>
    <x v="1"/>
    <n v="182580"/>
    <s v="High"/>
    <x v="4"/>
    <n v="47"/>
    <x v="1"/>
    <x v="1"/>
    <n v="4.37"/>
    <s v="Yes"/>
    <n v="3.8"/>
    <x v="1"/>
    <x v="3"/>
    <x v="3"/>
  </r>
  <r>
    <s v="AIJ-101856"/>
    <x v="11"/>
    <x v="5"/>
    <x v="4"/>
    <x v="1"/>
    <x v="21"/>
    <x v="88"/>
    <x v="61"/>
    <x v="2"/>
    <n v="71936"/>
    <s v="Low"/>
    <x v="31"/>
    <n v="33"/>
    <x v="2"/>
    <x v="0"/>
    <n v="3.4"/>
    <s v="No"/>
    <n v="2.65"/>
    <x v="0"/>
    <x v="3"/>
    <x v="0"/>
  </r>
  <r>
    <s v="AIJ-101857"/>
    <x v="18"/>
    <x v="8"/>
    <x v="9"/>
    <x v="1"/>
    <x v="22"/>
    <x v="43"/>
    <x v="49"/>
    <x v="2"/>
    <n v="138509"/>
    <s v="Medium"/>
    <x v="47"/>
    <n v="56"/>
    <x v="0"/>
    <x v="0"/>
    <n v="2.98"/>
    <s v="No"/>
    <n v="3.83"/>
    <x v="0"/>
    <x v="3"/>
    <x v="2"/>
  </r>
  <r>
    <s v="AIJ-101858"/>
    <x v="5"/>
    <x v="7"/>
    <x v="3"/>
    <x v="0"/>
    <x v="9"/>
    <x v="76"/>
    <x v="78"/>
    <x v="1"/>
    <n v="205873"/>
    <s v="Medium"/>
    <x v="13"/>
    <n v="53"/>
    <x v="1"/>
    <x v="0"/>
    <n v="3.61"/>
    <s v="No"/>
    <n v="2.37"/>
    <x v="1"/>
    <x v="2"/>
    <x v="1"/>
  </r>
  <r>
    <s v="AIJ-101859"/>
    <x v="8"/>
    <x v="2"/>
    <x v="1"/>
    <x v="1"/>
    <x v="11"/>
    <x v="72"/>
    <x v="57"/>
    <x v="2"/>
    <n v="146287"/>
    <s v="High"/>
    <x v="26"/>
    <n v="55"/>
    <x v="2"/>
    <x v="0"/>
    <n v="4.2699999999999996"/>
    <s v="No"/>
    <n v="4.2300000000000004"/>
    <x v="2"/>
    <x v="3"/>
    <x v="1"/>
  </r>
  <r>
    <s v="AIJ-101860"/>
    <x v="6"/>
    <x v="4"/>
    <x v="8"/>
    <x v="0"/>
    <x v="13"/>
    <x v="13"/>
    <x v="39"/>
    <x v="0"/>
    <n v="115768"/>
    <s v="Medium"/>
    <x v="36"/>
    <n v="30"/>
    <x v="0"/>
    <x v="2"/>
    <n v="2.09"/>
    <s v="Yes"/>
    <n v="4.71"/>
    <x v="0"/>
    <x v="3"/>
    <x v="1"/>
  </r>
  <r>
    <s v="AIJ-101861"/>
    <x v="14"/>
    <x v="4"/>
    <x v="3"/>
    <x v="0"/>
    <x v="20"/>
    <x v="45"/>
    <x v="4"/>
    <x v="1"/>
    <n v="191953"/>
    <s v="Low"/>
    <x v="14"/>
    <n v="36"/>
    <x v="0"/>
    <x v="1"/>
    <n v="2.67"/>
    <s v="No"/>
    <n v="3.01"/>
    <x v="1"/>
    <x v="0"/>
    <x v="2"/>
  </r>
  <r>
    <s v="AIJ-101862"/>
    <x v="18"/>
    <x v="4"/>
    <x v="5"/>
    <x v="0"/>
    <x v="9"/>
    <x v="11"/>
    <x v="30"/>
    <x v="1"/>
    <n v="30658"/>
    <s v="Low"/>
    <x v="22"/>
    <n v="43"/>
    <x v="2"/>
    <x v="1"/>
    <n v="2.1"/>
    <s v="No"/>
    <n v="2.56"/>
    <x v="1"/>
    <x v="0"/>
    <x v="1"/>
  </r>
  <r>
    <s v="AIJ-101863"/>
    <x v="5"/>
    <x v="4"/>
    <x v="9"/>
    <x v="0"/>
    <x v="24"/>
    <x v="64"/>
    <x v="48"/>
    <x v="0"/>
    <n v="119579"/>
    <s v="High"/>
    <x v="21"/>
    <n v="31"/>
    <x v="2"/>
    <x v="0"/>
    <n v="4.9000000000000004"/>
    <s v="No"/>
    <n v="3.14"/>
    <x v="2"/>
    <x v="1"/>
    <x v="1"/>
  </r>
  <r>
    <s v="AIJ-101864"/>
    <x v="14"/>
    <x v="8"/>
    <x v="5"/>
    <x v="3"/>
    <x v="10"/>
    <x v="35"/>
    <x v="64"/>
    <x v="2"/>
    <n v="140735"/>
    <s v="Low"/>
    <x v="50"/>
    <n v="31"/>
    <x v="0"/>
    <x v="1"/>
    <n v="3.55"/>
    <s v="No"/>
    <n v="1.06"/>
    <x v="2"/>
    <x v="2"/>
    <x v="3"/>
  </r>
  <r>
    <s v="AIJ-101865"/>
    <x v="19"/>
    <x v="0"/>
    <x v="0"/>
    <x v="2"/>
    <x v="0"/>
    <x v="30"/>
    <x v="0"/>
    <x v="1"/>
    <n v="40717"/>
    <s v="Low"/>
    <x v="28"/>
    <n v="46"/>
    <x v="2"/>
    <x v="1"/>
    <n v="3.18"/>
    <s v="Yes"/>
    <n v="3.52"/>
    <x v="0"/>
    <x v="3"/>
    <x v="0"/>
  </r>
  <r>
    <s v="AIJ-101866"/>
    <x v="0"/>
    <x v="3"/>
    <x v="6"/>
    <x v="2"/>
    <x v="8"/>
    <x v="55"/>
    <x v="30"/>
    <x v="0"/>
    <n v="38502"/>
    <s v="High"/>
    <x v="28"/>
    <n v="40"/>
    <x v="0"/>
    <x v="1"/>
    <n v="3.49"/>
    <s v="Yes"/>
    <n v="1.57"/>
    <x v="2"/>
    <x v="2"/>
    <x v="2"/>
  </r>
  <r>
    <s v="AIJ-101867"/>
    <x v="4"/>
    <x v="7"/>
    <x v="2"/>
    <x v="2"/>
    <x v="6"/>
    <x v="89"/>
    <x v="10"/>
    <x v="2"/>
    <n v="96353"/>
    <s v="High"/>
    <x v="39"/>
    <n v="36"/>
    <x v="2"/>
    <x v="0"/>
    <n v="2.9"/>
    <s v="Yes"/>
    <n v="3.31"/>
    <x v="2"/>
    <x v="2"/>
    <x v="0"/>
  </r>
  <r>
    <s v="AIJ-101868"/>
    <x v="10"/>
    <x v="2"/>
    <x v="1"/>
    <x v="1"/>
    <x v="13"/>
    <x v="68"/>
    <x v="0"/>
    <x v="2"/>
    <n v="184567"/>
    <s v="High"/>
    <x v="40"/>
    <n v="51"/>
    <x v="2"/>
    <x v="1"/>
    <n v="3.17"/>
    <s v="No"/>
    <n v="1.1499999999999999"/>
    <x v="0"/>
    <x v="3"/>
    <x v="1"/>
  </r>
  <r>
    <s v="AIJ-101869"/>
    <x v="19"/>
    <x v="2"/>
    <x v="0"/>
    <x v="0"/>
    <x v="13"/>
    <x v="36"/>
    <x v="31"/>
    <x v="0"/>
    <n v="111197"/>
    <s v="High"/>
    <x v="4"/>
    <n v="39"/>
    <x v="2"/>
    <x v="0"/>
    <n v="4.0999999999999996"/>
    <s v="Yes"/>
    <n v="1.0900000000000001"/>
    <x v="2"/>
    <x v="2"/>
    <x v="1"/>
  </r>
  <r>
    <s v="AIJ-101870"/>
    <x v="11"/>
    <x v="9"/>
    <x v="8"/>
    <x v="1"/>
    <x v="5"/>
    <x v="1"/>
    <x v="69"/>
    <x v="1"/>
    <n v="196104"/>
    <s v="Low"/>
    <x v="5"/>
    <n v="35"/>
    <x v="1"/>
    <x v="1"/>
    <n v="2.37"/>
    <s v="No"/>
    <n v="3.24"/>
    <x v="0"/>
    <x v="2"/>
    <x v="3"/>
  </r>
  <r>
    <s v="AIJ-101871"/>
    <x v="14"/>
    <x v="6"/>
    <x v="5"/>
    <x v="0"/>
    <x v="18"/>
    <x v="11"/>
    <x v="56"/>
    <x v="1"/>
    <n v="163524"/>
    <s v="Medium"/>
    <x v="55"/>
    <n v="32"/>
    <x v="0"/>
    <x v="2"/>
    <n v="4.96"/>
    <s v="Yes"/>
    <n v="4.05"/>
    <x v="2"/>
    <x v="0"/>
    <x v="3"/>
  </r>
  <r>
    <s v="AIJ-101872"/>
    <x v="18"/>
    <x v="5"/>
    <x v="0"/>
    <x v="1"/>
    <x v="20"/>
    <x v="63"/>
    <x v="47"/>
    <x v="2"/>
    <n v="38780"/>
    <s v="Low"/>
    <x v="0"/>
    <n v="43"/>
    <x v="1"/>
    <x v="1"/>
    <n v="3.31"/>
    <s v="No"/>
    <n v="1.44"/>
    <x v="0"/>
    <x v="3"/>
    <x v="2"/>
  </r>
  <r>
    <s v="AIJ-101873"/>
    <x v="3"/>
    <x v="2"/>
    <x v="7"/>
    <x v="3"/>
    <x v="11"/>
    <x v="63"/>
    <x v="23"/>
    <x v="1"/>
    <n v="151984"/>
    <s v="Medium"/>
    <x v="3"/>
    <n v="52"/>
    <x v="2"/>
    <x v="2"/>
    <n v="4.08"/>
    <s v="No"/>
    <n v="2.27"/>
    <x v="1"/>
    <x v="0"/>
    <x v="1"/>
  </r>
  <r>
    <s v="AIJ-101874"/>
    <x v="0"/>
    <x v="8"/>
    <x v="5"/>
    <x v="1"/>
    <x v="24"/>
    <x v="33"/>
    <x v="78"/>
    <x v="1"/>
    <n v="165845"/>
    <s v="High"/>
    <x v="34"/>
    <n v="60"/>
    <x v="0"/>
    <x v="0"/>
    <n v="4.9000000000000004"/>
    <s v="Yes"/>
    <n v="4.2699999999999996"/>
    <x v="1"/>
    <x v="1"/>
    <x v="1"/>
  </r>
  <r>
    <s v="AIJ-101875"/>
    <x v="6"/>
    <x v="5"/>
    <x v="5"/>
    <x v="2"/>
    <x v="23"/>
    <x v="78"/>
    <x v="67"/>
    <x v="1"/>
    <n v="95445"/>
    <s v="Medium"/>
    <x v="46"/>
    <n v="53"/>
    <x v="2"/>
    <x v="1"/>
    <n v="4.9800000000000004"/>
    <s v="No"/>
    <n v="1.24"/>
    <x v="1"/>
    <x v="2"/>
    <x v="3"/>
  </r>
  <r>
    <s v="AIJ-101876"/>
    <x v="5"/>
    <x v="4"/>
    <x v="5"/>
    <x v="2"/>
    <x v="3"/>
    <x v="40"/>
    <x v="5"/>
    <x v="1"/>
    <n v="88547"/>
    <s v="Medium"/>
    <x v="5"/>
    <n v="60"/>
    <x v="2"/>
    <x v="2"/>
    <n v="2.75"/>
    <s v="No"/>
    <n v="3.99"/>
    <x v="1"/>
    <x v="2"/>
    <x v="2"/>
  </r>
  <r>
    <s v="AIJ-101877"/>
    <x v="17"/>
    <x v="1"/>
    <x v="5"/>
    <x v="0"/>
    <x v="0"/>
    <x v="75"/>
    <x v="65"/>
    <x v="1"/>
    <n v="124257"/>
    <s v="Low"/>
    <x v="31"/>
    <n v="57"/>
    <x v="2"/>
    <x v="0"/>
    <n v="3.41"/>
    <s v="Yes"/>
    <n v="2.61"/>
    <x v="0"/>
    <x v="3"/>
    <x v="0"/>
  </r>
  <r>
    <s v="AIJ-101878"/>
    <x v="13"/>
    <x v="0"/>
    <x v="7"/>
    <x v="2"/>
    <x v="2"/>
    <x v="83"/>
    <x v="0"/>
    <x v="2"/>
    <n v="68101"/>
    <s v="High"/>
    <x v="21"/>
    <n v="42"/>
    <x v="1"/>
    <x v="0"/>
    <n v="4.79"/>
    <s v="No"/>
    <n v="3.32"/>
    <x v="1"/>
    <x v="2"/>
    <x v="1"/>
  </r>
  <r>
    <s v="AIJ-101879"/>
    <x v="0"/>
    <x v="7"/>
    <x v="6"/>
    <x v="0"/>
    <x v="13"/>
    <x v="67"/>
    <x v="21"/>
    <x v="1"/>
    <n v="209445"/>
    <s v="High"/>
    <x v="42"/>
    <n v="43"/>
    <x v="0"/>
    <x v="2"/>
    <n v="3.71"/>
    <s v="Yes"/>
    <n v="4.67"/>
    <x v="0"/>
    <x v="2"/>
    <x v="1"/>
  </r>
  <r>
    <s v="AIJ-101880"/>
    <x v="6"/>
    <x v="8"/>
    <x v="9"/>
    <x v="2"/>
    <x v="1"/>
    <x v="62"/>
    <x v="22"/>
    <x v="1"/>
    <n v="213945"/>
    <s v="Low"/>
    <x v="41"/>
    <n v="37"/>
    <x v="0"/>
    <x v="0"/>
    <n v="2.75"/>
    <s v="Yes"/>
    <n v="4.6500000000000004"/>
    <x v="1"/>
    <x v="3"/>
    <x v="1"/>
  </r>
  <r>
    <s v="AIJ-101881"/>
    <x v="8"/>
    <x v="2"/>
    <x v="2"/>
    <x v="3"/>
    <x v="1"/>
    <x v="18"/>
    <x v="1"/>
    <x v="0"/>
    <n v="171235"/>
    <s v="Low"/>
    <x v="29"/>
    <n v="41"/>
    <x v="2"/>
    <x v="2"/>
    <n v="2.08"/>
    <s v="Yes"/>
    <n v="3.02"/>
    <x v="1"/>
    <x v="2"/>
    <x v="1"/>
  </r>
  <r>
    <s v="AIJ-101882"/>
    <x v="15"/>
    <x v="7"/>
    <x v="3"/>
    <x v="2"/>
    <x v="12"/>
    <x v="49"/>
    <x v="47"/>
    <x v="2"/>
    <n v="173304"/>
    <s v="High"/>
    <x v="18"/>
    <n v="43"/>
    <x v="0"/>
    <x v="2"/>
    <n v="2.2799999999999998"/>
    <s v="Yes"/>
    <n v="4.12"/>
    <x v="1"/>
    <x v="3"/>
    <x v="3"/>
  </r>
  <r>
    <s v="AIJ-101883"/>
    <x v="1"/>
    <x v="4"/>
    <x v="6"/>
    <x v="1"/>
    <x v="16"/>
    <x v="80"/>
    <x v="77"/>
    <x v="1"/>
    <n v="170573"/>
    <s v="Medium"/>
    <x v="37"/>
    <n v="51"/>
    <x v="0"/>
    <x v="0"/>
    <n v="4.47"/>
    <s v="Yes"/>
    <n v="1.84"/>
    <x v="0"/>
    <x v="2"/>
    <x v="3"/>
  </r>
  <r>
    <s v="AIJ-101884"/>
    <x v="15"/>
    <x v="9"/>
    <x v="4"/>
    <x v="0"/>
    <x v="8"/>
    <x v="88"/>
    <x v="32"/>
    <x v="0"/>
    <n v="105885"/>
    <s v="Medium"/>
    <x v="9"/>
    <n v="37"/>
    <x v="1"/>
    <x v="0"/>
    <n v="2.88"/>
    <s v="Yes"/>
    <n v="1.41"/>
    <x v="2"/>
    <x v="3"/>
    <x v="2"/>
  </r>
  <r>
    <s v="AIJ-101885"/>
    <x v="8"/>
    <x v="1"/>
    <x v="3"/>
    <x v="3"/>
    <x v="11"/>
    <x v="36"/>
    <x v="76"/>
    <x v="0"/>
    <n v="42871"/>
    <s v="High"/>
    <x v="1"/>
    <n v="43"/>
    <x v="1"/>
    <x v="1"/>
    <n v="4.5599999999999996"/>
    <s v="Yes"/>
    <n v="4.43"/>
    <x v="0"/>
    <x v="1"/>
    <x v="1"/>
  </r>
  <r>
    <s v="AIJ-101886"/>
    <x v="14"/>
    <x v="2"/>
    <x v="7"/>
    <x v="0"/>
    <x v="3"/>
    <x v="23"/>
    <x v="8"/>
    <x v="0"/>
    <n v="131761"/>
    <s v="High"/>
    <x v="2"/>
    <n v="41"/>
    <x v="2"/>
    <x v="1"/>
    <n v="2.2200000000000002"/>
    <s v="Yes"/>
    <n v="3.13"/>
    <x v="1"/>
    <x v="3"/>
    <x v="2"/>
  </r>
  <r>
    <s v="AIJ-101887"/>
    <x v="19"/>
    <x v="5"/>
    <x v="6"/>
    <x v="0"/>
    <x v="6"/>
    <x v="26"/>
    <x v="46"/>
    <x v="0"/>
    <n v="196161"/>
    <s v="Medium"/>
    <x v="8"/>
    <n v="54"/>
    <x v="2"/>
    <x v="0"/>
    <n v="2.13"/>
    <s v="Yes"/>
    <n v="1.73"/>
    <x v="1"/>
    <x v="0"/>
    <x v="0"/>
  </r>
  <r>
    <s v="AIJ-101888"/>
    <x v="1"/>
    <x v="2"/>
    <x v="9"/>
    <x v="2"/>
    <x v="24"/>
    <x v="67"/>
    <x v="47"/>
    <x v="1"/>
    <n v="190558"/>
    <s v="Low"/>
    <x v="33"/>
    <n v="38"/>
    <x v="1"/>
    <x v="2"/>
    <n v="3.25"/>
    <s v="No"/>
    <n v="3.18"/>
    <x v="1"/>
    <x v="2"/>
    <x v="1"/>
  </r>
  <r>
    <s v="AIJ-101889"/>
    <x v="5"/>
    <x v="8"/>
    <x v="4"/>
    <x v="1"/>
    <x v="17"/>
    <x v="81"/>
    <x v="29"/>
    <x v="1"/>
    <n v="76582"/>
    <s v="High"/>
    <x v="3"/>
    <n v="57"/>
    <x v="1"/>
    <x v="1"/>
    <n v="2.23"/>
    <s v="Yes"/>
    <n v="3.57"/>
    <x v="2"/>
    <x v="2"/>
    <x v="3"/>
  </r>
  <r>
    <s v="AIJ-101890"/>
    <x v="19"/>
    <x v="4"/>
    <x v="7"/>
    <x v="0"/>
    <x v="19"/>
    <x v="37"/>
    <x v="21"/>
    <x v="1"/>
    <n v="120716"/>
    <s v="High"/>
    <x v="30"/>
    <n v="37"/>
    <x v="1"/>
    <x v="0"/>
    <n v="2.6"/>
    <s v="Yes"/>
    <n v="3"/>
    <x v="2"/>
    <x v="2"/>
    <x v="2"/>
  </r>
  <r>
    <s v="AIJ-101891"/>
    <x v="4"/>
    <x v="1"/>
    <x v="0"/>
    <x v="1"/>
    <x v="3"/>
    <x v="57"/>
    <x v="1"/>
    <x v="0"/>
    <n v="174809"/>
    <s v="Low"/>
    <x v="5"/>
    <n v="60"/>
    <x v="0"/>
    <x v="0"/>
    <n v="2.2200000000000002"/>
    <s v="Yes"/>
    <n v="1.19"/>
    <x v="0"/>
    <x v="1"/>
    <x v="2"/>
  </r>
  <r>
    <s v="AIJ-101892"/>
    <x v="14"/>
    <x v="3"/>
    <x v="7"/>
    <x v="1"/>
    <x v="23"/>
    <x v="18"/>
    <x v="26"/>
    <x v="0"/>
    <n v="71398"/>
    <s v="Medium"/>
    <x v="23"/>
    <n v="31"/>
    <x v="2"/>
    <x v="0"/>
    <n v="2.68"/>
    <s v="Yes"/>
    <n v="2.11"/>
    <x v="0"/>
    <x v="2"/>
    <x v="3"/>
  </r>
  <r>
    <s v="AIJ-101893"/>
    <x v="4"/>
    <x v="7"/>
    <x v="8"/>
    <x v="1"/>
    <x v="10"/>
    <x v="27"/>
    <x v="45"/>
    <x v="1"/>
    <n v="210354"/>
    <s v="High"/>
    <x v="16"/>
    <n v="56"/>
    <x v="1"/>
    <x v="2"/>
    <n v="3.68"/>
    <s v="No"/>
    <n v="2.1800000000000002"/>
    <x v="0"/>
    <x v="0"/>
    <x v="3"/>
  </r>
  <r>
    <s v="AIJ-101894"/>
    <x v="17"/>
    <x v="5"/>
    <x v="5"/>
    <x v="2"/>
    <x v="8"/>
    <x v="20"/>
    <x v="37"/>
    <x v="0"/>
    <n v="99734"/>
    <s v="Low"/>
    <x v="28"/>
    <n v="43"/>
    <x v="0"/>
    <x v="1"/>
    <n v="4.46"/>
    <s v="No"/>
    <n v="3.23"/>
    <x v="0"/>
    <x v="3"/>
    <x v="2"/>
  </r>
  <r>
    <s v="AIJ-101895"/>
    <x v="8"/>
    <x v="9"/>
    <x v="2"/>
    <x v="3"/>
    <x v="11"/>
    <x v="86"/>
    <x v="42"/>
    <x v="0"/>
    <n v="101403"/>
    <s v="Medium"/>
    <x v="51"/>
    <n v="47"/>
    <x v="1"/>
    <x v="2"/>
    <n v="3.4"/>
    <s v="Yes"/>
    <n v="1.42"/>
    <x v="0"/>
    <x v="0"/>
    <x v="1"/>
  </r>
  <r>
    <s v="AIJ-101896"/>
    <x v="2"/>
    <x v="0"/>
    <x v="2"/>
    <x v="0"/>
    <x v="19"/>
    <x v="31"/>
    <x v="12"/>
    <x v="1"/>
    <n v="90687"/>
    <s v="Medium"/>
    <x v="11"/>
    <n v="52"/>
    <x v="1"/>
    <x v="2"/>
    <n v="2.6"/>
    <s v="No"/>
    <n v="2.4300000000000002"/>
    <x v="0"/>
    <x v="3"/>
    <x v="2"/>
  </r>
  <r>
    <s v="AIJ-101897"/>
    <x v="11"/>
    <x v="4"/>
    <x v="7"/>
    <x v="0"/>
    <x v="21"/>
    <x v="1"/>
    <x v="67"/>
    <x v="1"/>
    <n v="102911"/>
    <s v="Low"/>
    <x v="29"/>
    <n v="42"/>
    <x v="2"/>
    <x v="0"/>
    <n v="2.17"/>
    <s v="No"/>
    <n v="4.4000000000000004"/>
    <x v="1"/>
    <x v="2"/>
    <x v="0"/>
  </r>
  <r>
    <s v="AIJ-101898"/>
    <x v="11"/>
    <x v="2"/>
    <x v="9"/>
    <x v="1"/>
    <x v="17"/>
    <x v="18"/>
    <x v="70"/>
    <x v="0"/>
    <n v="165465"/>
    <s v="High"/>
    <x v="50"/>
    <n v="60"/>
    <x v="0"/>
    <x v="0"/>
    <n v="2.85"/>
    <s v="No"/>
    <n v="1.86"/>
    <x v="2"/>
    <x v="2"/>
    <x v="3"/>
  </r>
  <r>
    <s v="AIJ-101899"/>
    <x v="13"/>
    <x v="7"/>
    <x v="1"/>
    <x v="0"/>
    <x v="12"/>
    <x v="84"/>
    <x v="52"/>
    <x v="2"/>
    <n v="156655"/>
    <s v="Medium"/>
    <x v="24"/>
    <n v="59"/>
    <x v="1"/>
    <x v="2"/>
    <n v="4"/>
    <s v="Yes"/>
    <n v="2.71"/>
    <x v="1"/>
    <x v="3"/>
    <x v="3"/>
  </r>
  <r>
    <s v="AIJ-101900"/>
    <x v="1"/>
    <x v="2"/>
    <x v="3"/>
    <x v="0"/>
    <x v="14"/>
    <x v="2"/>
    <x v="39"/>
    <x v="0"/>
    <n v="95141"/>
    <s v="High"/>
    <x v="34"/>
    <n v="58"/>
    <x v="0"/>
    <x v="2"/>
    <n v="4.2699999999999996"/>
    <s v="Yes"/>
    <n v="1.05"/>
    <x v="0"/>
    <x v="2"/>
    <x v="2"/>
  </r>
  <r>
    <s v="AIJ-101901"/>
    <x v="0"/>
    <x v="7"/>
    <x v="4"/>
    <x v="1"/>
    <x v="15"/>
    <x v="14"/>
    <x v="25"/>
    <x v="2"/>
    <n v="166817"/>
    <s v="Medium"/>
    <x v="7"/>
    <n v="39"/>
    <x v="0"/>
    <x v="2"/>
    <n v="2.2799999999999998"/>
    <s v="No"/>
    <n v="3.48"/>
    <x v="0"/>
    <x v="2"/>
    <x v="1"/>
  </r>
  <r>
    <s v="AIJ-101902"/>
    <x v="13"/>
    <x v="6"/>
    <x v="6"/>
    <x v="2"/>
    <x v="11"/>
    <x v="16"/>
    <x v="14"/>
    <x v="1"/>
    <n v="147841"/>
    <s v="Medium"/>
    <x v="20"/>
    <n v="32"/>
    <x v="0"/>
    <x v="1"/>
    <n v="3.09"/>
    <s v="No"/>
    <n v="4.91"/>
    <x v="1"/>
    <x v="0"/>
    <x v="1"/>
  </r>
  <r>
    <s v="AIJ-101903"/>
    <x v="19"/>
    <x v="7"/>
    <x v="3"/>
    <x v="1"/>
    <x v="5"/>
    <x v="37"/>
    <x v="53"/>
    <x v="2"/>
    <n v="95750"/>
    <s v="High"/>
    <x v="22"/>
    <n v="33"/>
    <x v="1"/>
    <x v="0"/>
    <n v="4.5999999999999996"/>
    <s v="Yes"/>
    <n v="2.17"/>
    <x v="2"/>
    <x v="3"/>
    <x v="3"/>
  </r>
  <r>
    <s v="AIJ-101904"/>
    <x v="9"/>
    <x v="5"/>
    <x v="9"/>
    <x v="0"/>
    <x v="2"/>
    <x v="21"/>
    <x v="52"/>
    <x v="1"/>
    <n v="72348"/>
    <s v="Low"/>
    <x v="50"/>
    <n v="53"/>
    <x v="2"/>
    <x v="0"/>
    <n v="3.76"/>
    <s v="No"/>
    <n v="2.2799999999999998"/>
    <x v="1"/>
    <x v="3"/>
    <x v="1"/>
  </r>
  <r>
    <s v="AIJ-101905"/>
    <x v="0"/>
    <x v="7"/>
    <x v="3"/>
    <x v="0"/>
    <x v="18"/>
    <x v="34"/>
    <x v="26"/>
    <x v="0"/>
    <n v="99124"/>
    <s v="Low"/>
    <x v="52"/>
    <n v="40"/>
    <x v="2"/>
    <x v="0"/>
    <n v="2.48"/>
    <s v="Yes"/>
    <n v="3.21"/>
    <x v="2"/>
    <x v="1"/>
    <x v="3"/>
  </r>
  <r>
    <s v="AIJ-101906"/>
    <x v="2"/>
    <x v="0"/>
    <x v="0"/>
    <x v="0"/>
    <x v="21"/>
    <x v="56"/>
    <x v="1"/>
    <x v="2"/>
    <n v="181375"/>
    <s v="High"/>
    <x v="46"/>
    <n v="33"/>
    <x v="0"/>
    <x v="0"/>
    <n v="3.04"/>
    <s v="No"/>
    <n v="4.5"/>
    <x v="2"/>
    <x v="1"/>
    <x v="0"/>
  </r>
  <r>
    <s v="AIJ-101907"/>
    <x v="2"/>
    <x v="4"/>
    <x v="3"/>
    <x v="2"/>
    <x v="10"/>
    <x v="16"/>
    <x v="58"/>
    <x v="0"/>
    <n v="126576"/>
    <s v="Medium"/>
    <x v="23"/>
    <n v="49"/>
    <x v="2"/>
    <x v="1"/>
    <n v="3.64"/>
    <s v="Yes"/>
    <n v="2.08"/>
    <x v="1"/>
    <x v="3"/>
    <x v="3"/>
  </r>
  <r>
    <s v="AIJ-101908"/>
    <x v="10"/>
    <x v="8"/>
    <x v="4"/>
    <x v="2"/>
    <x v="0"/>
    <x v="32"/>
    <x v="47"/>
    <x v="2"/>
    <n v="137557"/>
    <s v="Medium"/>
    <x v="33"/>
    <n v="54"/>
    <x v="1"/>
    <x v="1"/>
    <n v="4.3099999999999996"/>
    <s v="No"/>
    <n v="1.64"/>
    <x v="1"/>
    <x v="3"/>
    <x v="0"/>
  </r>
  <r>
    <s v="AIJ-101909"/>
    <x v="5"/>
    <x v="1"/>
    <x v="0"/>
    <x v="0"/>
    <x v="11"/>
    <x v="62"/>
    <x v="72"/>
    <x v="2"/>
    <n v="84036"/>
    <s v="High"/>
    <x v="25"/>
    <n v="58"/>
    <x v="2"/>
    <x v="2"/>
    <n v="4.3899999999999997"/>
    <s v="No"/>
    <n v="3.76"/>
    <x v="1"/>
    <x v="1"/>
    <x v="1"/>
  </r>
  <r>
    <s v="AIJ-101910"/>
    <x v="6"/>
    <x v="9"/>
    <x v="2"/>
    <x v="2"/>
    <x v="25"/>
    <x v="7"/>
    <x v="41"/>
    <x v="1"/>
    <n v="176877"/>
    <s v="Low"/>
    <x v="22"/>
    <n v="53"/>
    <x v="0"/>
    <x v="2"/>
    <n v="3.06"/>
    <s v="Yes"/>
    <n v="4.18"/>
    <x v="0"/>
    <x v="2"/>
    <x v="1"/>
  </r>
  <r>
    <s v="AIJ-101911"/>
    <x v="7"/>
    <x v="2"/>
    <x v="8"/>
    <x v="3"/>
    <x v="0"/>
    <x v="85"/>
    <x v="30"/>
    <x v="0"/>
    <n v="154640"/>
    <s v="Medium"/>
    <x v="52"/>
    <n v="60"/>
    <x v="1"/>
    <x v="2"/>
    <n v="2.88"/>
    <s v="Yes"/>
    <n v="4.5999999999999996"/>
    <x v="1"/>
    <x v="0"/>
    <x v="0"/>
  </r>
  <r>
    <s v="AIJ-101912"/>
    <x v="13"/>
    <x v="3"/>
    <x v="3"/>
    <x v="2"/>
    <x v="18"/>
    <x v="83"/>
    <x v="47"/>
    <x v="1"/>
    <n v="70828"/>
    <s v="Low"/>
    <x v="26"/>
    <n v="60"/>
    <x v="2"/>
    <x v="2"/>
    <n v="3.23"/>
    <s v="No"/>
    <n v="1.71"/>
    <x v="0"/>
    <x v="2"/>
    <x v="3"/>
  </r>
  <r>
    <s v="AIJ-101913"/>
    <x v="14"/>
    <x v="9"/>
    <x v="7"/>
    <x v="1"/>
    <x v="3"/>
    <x v="67"/>
    <x v="67"/>
    <x v="1"/>
    <n v="218557"/>
    <s v="Low"/>
    <x v="25"/>
    <n v="53"/>
    <x v="2"/>
    <x v="1"/>
    <n v="2.74"/>
    <s v="Yes"/>
    <n v="2.59"/>
    <x v="2"/>
    <x v="2"/>
    <x v="2"/>
  </r>
  <r>
    <s v="AIJ-101914"/>
    <x v="17"/>
    <x v="7"/>
    <x v="7"/>
    <x v="2"/>
    <x v="16"/>
    <x v="83"/>
    <x v="40"/>
    <x v="1"/>
    <n v="156482"/>
    <s v="Medium"/>
    <x v="5"/>
    <n v="35"/>
    <x v="0"/>
    <x v="2"/>
    <n v="4.05"/>
    <s v="No"/>
    <n v="3.48"/>
    <x v="1"/>
    <x v="1"/>
    <x v="3"/>
  </r>
  <r>
    <s v="AIJ-101915"/>
    <x v="6"/>
    <x v="1"/>
    <x v="8"/>
    <x v="0"/>
    <x v="20"/>
    <x v="37"/>
    <x v="70"/>
    <x v="0"/>
    <n v="46952"/>
    <s v="Low"/>
    <x v="25"/>
    <n v="55"/>
    <x v="0"/>
    <x v="2"/>
    <n v="4.45"/>
    <s v="No"/>
    <n v="2.54"/>
    <x v="1"/>
    <x v="2"/>
    <x v="2"/>
  </r>
  <r>
    <s v="AIJ-101916"/>
    <x v="9"/>
    <x v="4"/>
    <x v="0"/>
    <x v="3"/>
    <x v="20"/>
    <x v="67"/>
    <x v="40"/>
    <x v="1"/>
    <n v="194419"/>
    <s v="Low"/>
    <x v="38"/>
    <n v="35"/>
    <x v="0"/>
    <x v="0"/>
    <n v="3.3"/>
    <s v="Yes"/>
    <n v="2.87"/>
    <x v="0"/>
    <x v="2"/>
    <x v="2"/>
  </r>
  <r>
    <s v="AIJ-101917"/>
    <x v="13"/>
    <x v="2"/>
    <x v="1"/>
    <x v="2"/>
    <x v="20"/>
    <x v="33"/>
    <x v="75"/>
    <x v="1"/>
    <n v="117275"/>
    <s v="Medium"/>
    <x v="11"/>
    <n v="47"/>
    <x v="0"/>
    <x v="0"/>
    <n v="3.15"/>
    <s v="No"/>
    <n v="2.33"/>
    <x v="1"/>
    <x v="2"/>
    <x v="2"/>
  </r>
  <r>
    <s v="AIJ-101918"/>
    <x v="18"/>
    <x v="9"/>
    <x v="8"/>
    <x v="3"/>
    <x v="3"/>
    <x v="32"/>
    <x v="28"/>
    <x v="2"/>
    <n v="121168"/>
    <s v="Medium"/>
    <x v="39"/>
    <n v="47"/>
    <x v="2"/>
    <x v="0"/>
    <n v="3.48"/>
    <s v="No"/>
    <n v="2.16"/>
    <x v="2"/>
    <x v="3"/>
    <x v="2"/>
  </r>
  <r>
    <s v="AIJ-101919"/>
    <x v="17"/>
    <x v="4"/>
    <x v="4"/>
    <x v="3"/>
    <x v="12"/>
    <x v="89"/>
    <x v="39"/>
    <x v="0"/>
    <n v="186421"/>
    <s v="Low"/>
    <x v="52"/>
    <n v="50"/>
    <x v="1"/>
    <x v="1"/>
    <n v="4"/>
    <s v="Yes"/>
    <n v="2.46"/>
    <x v="1"/>
    <x v="2"/>
    <x v="3"/>
  </r>
  <r>
    <s v="AIJ-101920"/>
    <x v="13"/>
    <x v="2"/>
    <x v="6"/>
    <x v="3"/>
    <x v="9"/>
    <x v="72"/>
    <x v="16"/>
    <x v="1"/>
    <n v="75261"/>
    <s v="High"/>
    <x v="54"/>
    <n v="30"/>
    <x v="0"/>
    <x v="2"/>
    <n v="3.87"/>
    <s v="No"/>
    <n v="2.69"/>
    <x v="2"/>
    <x v="2"/>
    <x v="1"/>
  </r>
  <r>
    <s v="AIJ-101921"/>
    <x v="15"/>
    <x v="0"/>
    <x v="5"/>
    <x v="1"/>
    <x v="25"/>
    <x v="34"/>
    <x v="25"/>
    <x v="1"/>
    <n v="209108"/>
    <s v="Medium"/>
    <x v="7"/>
    <n v="34"/>
    <x v="1"/>
    <x v="2"/>
    <n v="4.54"/>
    <s v="No"/>
    <n v="4.6100000000000003"/>
    <x v="1"/>
    <x v="2"/>
    <x v="1"/>
  </r>
  <r>
    <s v="AIJ-101922"/>
    <x v="4"/>
    <x v="3"/>
    <x v="3"/>
    <x v="2"/>
    <x v="15"/>
    <x v="6"/>
    <x v="58"/>
    <x v="2"/>
    <n v="58348"/>
    <s v="High"/>
    <x v="2"/>
    <n v="31"/>
    <x v="0"/>
    <x v="0"/>
    <n v="4.6399999999999997"/>
    <s v="No"/>
    <n v="1.99"/>
    <x v="1"/>
    <x v="3"/>
    <x v="1"/>
  </r>
  <r>
    <s v="AIJ-101923"/>
    <x v="19"/>
    <x v="6"/>
    <x v="9"/>
    <x v="2"/>
    <x v="23"/>
    <x v="19"/>
    <x v="19"/>
    <x v="2"/>
    <n v="95467"/>
    <s v="High"/>
    <x v="17"/>
    <n v="48"/>
    <x v="0"/>
    <x v="2"/>
    <n v="2.99"/>
    <s v="Yes"/>
    <n v="3.19"/>
    <x v="1"/>
    <x v="3"/>
    <x v="3"/>
  </r>
  <r>
    <s v="AIJ-101924"/>
    <x v="0"/>
    <x v="0"/>
    <x v="8"/>
    <x v="3"/>
    <x v="5"/>
    <x v="23"/>
    <x v="21"/>
    <x v="2"/>
    <n v="38737"/>
    <s v="Low"/>
    <x v="30"/>
    <n v="60"/>
    <x v="0"/>
    <x v="0"/>
    <n v="4.16"/>
    <s v="No"/>
    <n v="4.24"/>
    <x v="0"/>
    <x v="2"/>
    <x v="3"/>
  </r>
  <r>
    <s v="AIJ-101925"/>
    <x v="14"/>
    <x v="3"/>
    <x v="6"/>
    <x v="0"/>
    <x v="21"/>
    <x v="83"/>
    <x v="63"/>
    <x v="0"/>
    <n v="213934"/>
    <s v="High"/>
    <x v="13"/>
    <n v="35"/>
    <x v="2"/>
    <x v="1"/>
    <n v="4.8899999999999997"/>
    <s v="No"/>
    <n v="4.0999999999999996"/>
    <x v="2"/>
    <x v="1"/>
    <x v="0"/>
  </r>
  <r>
    <s v="AIJ-101926"/>
    <x v="5"/>
    <x v="3"/>
    <x v="9"/>
    <x v="3"/>
    <x v="11"/>
    <x v="74"/>
    <x v="1"/>
    <x v="2"/>
    <n v="149809"/>
    <s v="High"/>
    <x v="31"/>
    <n v="49"/>
    <x v="1"/>
    <x v="2"/>
    <n v="3.17"/>
    <s v="Yes"/>
    <n v="1"/>
    <x v="2"/>
    <x v="2"/>
    <x v="1"/>
  </r>
  <r>
    <s v="AIJ-101927"/>
    <x v="9"/>
    <x v="4"/>
    <x v="7"/>
    <x v="3"/>
    <x v="10"/>
    <x v="8"/>
    <x v="8"/>
    <x v="2"/>
    <n v="159875"/>
    <s v="High"/>
    <x v="47"/>
    <n v="36"/>
    <x v="1"/>
    <x v="1"/>
    <n v="4.9400000000000004"/>
    <s v="No"/>
    <n v="4.4000000000000004"/>
    <x v="1"/>
    <x v="3"/>
    <x v="3"/>
  </r>
  <r>
    <s v="AIJ-101928"/>
    <x v="8"/>
    <x v="4"/>
    <x v="1"/>
    <x v="3"/>
    <x v="8"/>
    <x v="11"/>
    <x v="18"/>
    <x v="0"/>
    <n v="40345"/>
    <s v="Low"/>
    <x v="11"/>
    <n v="37"/>
    <x v="1"/>
    <x v="1"/>
    <n v="4.99"/>
    <s v="No"/>
    <n v="4.57"/>
    <x v="0"/>
    <x v="3"/>
    <x v="2"/>
  </r>
  <r>
    <s v="AIJ-101929"/>
    <x v="18"/>
    <x v="7"/>
    <x v="3"/>
    <x v="3"/>
    <x v="23"/>
    <x v="11"/>
    <x v="16"/>
    <x v="2"/>
    <n v="179031"/>
    <s v="Medium"/>
    <x v="51"/>
    <n v="46"/>
    <x v="0"/>
    <x v="2"/>
    <n v="4.0599999999999996"/>
    <s v="Yes"/>
    <n v="3.31"/>
    <x v="1"/>
    <x v="3"/>
    <x v="3"/>
  </r>
  <r>
    <s v="AIJ-101930"/>
    <x v="17"/>
    <x v="9"/>
    <x v="9"/>
    <x v="3"/>
    <x v="11"/>
    <x v="3"/>
    <x v="56"/>
    <x v="2"/>
    <n v="103204"/>
    <s v="High"/>
    <x v="51"/>
    <n v="48"/>
    <x v="1"/>
    <x v="2"/>
    <n v="3.3"/>
    <s v="No"/>
    <n v="2.4900000000000002"/>
    <x v="0"/>
    <x v="0"/>
    <x v="1"/>
  </r>
  <r>
    <s v="AIJ-101931"/>
    <x v="4"/>
    <x v="8"/>
    <x v="4"/>
    <x v="0"/>
    <x v="13"/>
    <x v="66"/>
    <x v="41"/>
    <x v="0"/>
    <n v="210444"/>
    <s v="Low"/>
    <x v="17"/>
    <n v="35"/>
    <x v="2"/>
    <x v="1"/>
    <n v="2.69"/>
    <s v="No"/>
    <n v="1.49"/>
    <x v="2"/>
    <x v="3"/>
    <x v="1"/>
  </r>
  <r>
    <s v="AIJ-101932"/>
    <x v="8"/>
    <x v="6"/>
    <x v="2"/>
    <x v="0"/>
    <x v="10"/>
    <x v="89"/>
    <x v="71"/>
    <x v="0"/>
    <n v="65180"/>
    <s v="High"/>
    <x v="14"/>
    <n v="43"/>
    <x v="1"/>
    <x v="0"/>
    <n v="2.89"/>
    <s v="Yes"/>
    <n v="1.53"/>
    <x v="1"/>
    <x v="2"/>
    <x v="3"/>
  </r>
  <r>
    <s v="AIJ-101933"/>
    <x v="7"/>
    <x v="2"/>
    <x v="0"/>
    <x v="2"/>
    <x v="21"/>
    <x v="37"/>
    <x v="40"/>
    <x v="2"/>
    <n v="198437"/>
    <s v="Low"/>
    <x v="42"/>
    <n v="60"/>
    <x v="1"/>
    <x v="0"/>
    <n v="4.0999999999999996"/>
    <s v="No"/>
    <n v="4.3499999999999996"/>
    <x v="0"/>
    <x v="2"/>
    <x v="0"/>
  </r>
  <r>
    <s v="AIJ-101934"/>
    <x v="17"/>
    <x v="6"/>
    <x v="2"/>
    <x v="2"/>
    <x v="2"/>
    <x v="60"/>
    <x v="51"/>
    <x v="0"/>
    <n v="156371"/>
    <s v="Medium"/>
    <x v="53"/>
    <n v="47"/>
    <x v="1"/>
    <x v="0"/>
    <n v="2.75"/>
    <s v="No"/>
    <n v="4.38"/>
    <x v="2"/>
    <x v="1"/>
    <x v="1"/>
  </r>
  <r>
    <s v="AIJ-101935"/>
    <x v="6"/>
    <x v="2"/>
    <x v="6"/>
    <x v="1"/>
    <x v="22"/>
    <x v="62"/>
    <x v="23"/>
    <x v="1"/>
    <n v="198912"/>
    <s v="Low"/>
    <x v="22"/>
    <n v="37"/>
    <x v="0"/>
    <x v="2"/>
    <n v="2.4"/>
    <s v="Yes"/>
    <n v="2.44"/>
    <x v="1"/>
    <x v="3"/>
    <x v="2"/>
  </r>
  <r>
    <s v="AIJ-101936"/>
    <x v="9"/>
    <x v="5"/>
    <x v="9"/>
    <x v="3"/>
    <x v="3"/>
    <x v="24"/>
    <x v="44"/>
    <x v="0"/>
    <n v="73215"/>
    <s v="Low"/>
    <x v="46"/>
    <n v="46"/>
    <x v="2"/>
    <x v="1"/>
    <n v="4.99"/>
    <s v="Yes"/>
    <n v="3.84"/>
    <x v="2"/>
    <x v="3"/>
    <x v="2"/>
  </r>
  <r>
    <s v="AIJ-101937"/>
    <x v="7"/>
    <x v="9"/>
    <x v="5"/>
    <x v="1"/>
    <x v="17"/>
    <x v="57"/>
    <x v="28"/>
    <x v="2"/>
    <n v="204890"/>
    <s v="High"/>
    <x v="35"/>
    <n v="49"/>
    <x v="2"/>
    <x v="1"/>
    <n v="4.26"/>
    <s v="Yes"/>
    <n v="4.5199999999999996"/>
    <x v="0"/>
    <x v="1"/>
    <x v="3"/>
  </r>
  <r>
    <s v="AIJ-101938"/>
    <x v="1"/>
    <x v="1"/>
    <x v="7"/>
    <x v="2"/>
    <x v="12"/>
    <x v="58"/>
    <x v="30"/>
    <x v="2"/>
    <n v="69377"/>
    <s v="High"/>
    <x v="18"/>
    <n v="50"/>
    <x v="2"/>
    <x v="0"/>
    <n v="4.8499999999999996"/>
    <s v="No"/>
    <n v="3.98"/>
    <x v="1"/>
    <x v="0"/>
    <x v="3"/>
  </r>
  <r>
    <s v="AIJ-101939"/>
    <x v="2"/>
    <x v="7"/>
    <x v="0"/>
    <x v="3"/>
    <x v="1"/>
    <x v="47"/>
    <x v="13"/>
    <x v="2"/>
    <n v="88936"/>
    <s v="Medium"/>
    <x v="35"/>
    <n v="48"/>
    <x v="1"/>
    <x v="0"/>
    <n v="4.92"/>
    <s v="Yes"/>
    <n v="3.85"/>
    <x v="1"/>
    <x v="1"/>
    <x v="1"/>
  </r>
  <r>
    <s v="AIJ-101940"/>
    <x v="12"/>
    <x v="3"/>
    <x v="7"/>
    <x v="1"/>
    <x v="5"/>
    <x v="68"/>
    <x v="41"/>
    <x v="2"/>
    <n v="159585"/>
    <s v="Low"/>
    <x v="5"/>
    <n v="59"/>
    <x v="0"/>
    <x v="1"/>
    <n v="4.6500000000000004"/>
    <s v="No"/>
    <n v="2.17"/>
    <x v="0"/>
    <x v="2"/>
    <x v="3"/>
  </r>
  <r>
    <s v="AIJ-101941"/>
    <x v="19"/>
    <x v="6"/>
    <x v="9"/>
    <x v="2"/>
    <x v="21"/>
    <x v="75"/>
    <x v="5"/>
    <x v="0"/>
    <n v="65427"/>
    <s v="Low"/>
    <x v="26"/>
    <n v="38"/>
    <x v="1"/>
    <x v="0"/>
    <n v="4.45"/>
    <s v="No"/>
    <n v="3.38"/>
    <x v="1"/>
    <x v="0"/>
    <x v="0"/>
  </r>
  <r>
    <s v="AIJ-101942"/>
    <x v="2"/>
    <x v="6"/>
    <x v="0"/>
    <x v="0"/>
    <x v="18"/>
    <x v="63"/>
    <x v="44"/>
    <x v="0"/>
    <n v="96416"/>
    <s v="High"/>
    <x v="38"/>
    <n v="55"/>
    <x v="0"/>
    <x v="2"/>
    <n v="3.99"/>
    <s v="Yes"/>
    <n v="1.01"/>
    <x v="1"/>
    <x v="3"/>
    <x v="3"/>
  </r>
  <r>
    <s v="AIJ-101943"/>
    <x v="7"/>
    <x v="3"/>
    <x v="7"/>
    <x v="0"/>
    <x v="17"/>
    <x v="9"/>
    <x v="67"/>
    <x v="2"/>
    <n v="206524"/>
    <s v="High"/>
    <x v="36"/>
    <n v="49"/>
    <x v="2"/>
    <x v="0"/>
    <n v="2.6"/>
    <s v="Yes"/>
    <n v="4.8"/>
    <x v="1"/>
    <x v="2"/>
    <x v="3"/>
  </r>
  <r>
    <s v="AIJ-101944"/>
    <x v="16"/>
    <x v="1"/>
    <x v="4"/>
    <x v="1"/>
    <x v="23"/>
    <x v="75"/>
    <x v="15"/>
    <x v="0"/>
    <n v="77196"/>
    <s v="Medium"/>
    <x v="4"/>
    <n v="41"/>
    <x v="0"/>
    <x v="1"/>
    <n v="4.04"/>
    <s v="No"/>
    <n v="2.78"/>
    <x v="1"/>
    <x v="3"/>
    <x v="3"/>
  </r>
  <r>
    <s v="AIJ-101945"/>
    <x v="7"/>
    <x v="3"/>
    <x v="3"/>
    <x v="2"/>
    <x v="14"/>
    <x v="12"/>
    <x v="62"/>
    <x v="0"/>
    <n v="32378"/>
    <s v="Medium"/>
    <x v="19"/>
    <n v="32"/>
    <x v="0"/>
    <x v="0"/>
    <n v="3.88"/>
    <s v="Yes"/>
    <n v="4.82"/>
    <x v="1"/>
    <x v="0"/>
    <x v="2"/>
  </r>
  <r>
    <s v="AIJ-101946"/>
    <x v="14"/>
    <x v="3"/>
    <x v="3"/>
    <x v="3"/>
    <x v="10"/>
    <x v="83"/>
    <x v="25"/>
    <x v="0"/>
    <n v="215593"/>
    <s v="High"/>
    <x v="1"/>
    <n v="44"/>
    <x v="1"/>
    <x v="2"/>
    <n v="2.87"/>
    <s v="Yes"/>
    <n v="2.4700000000000002"/>
    <x v="1"/>
    <x v="2"/>
    <x v="3"/>
  </r>
  <r>
    <s v="AIJ-101947"/>
    <x v="18"/>
    <x v="8"/>
    <x v="5"/>
    <x v="3"/>
    <x v="13"/>
    <x v="1"/>
    <x v="25"/>
    <x v="1"/>
    <n v="180161"/>
    <s v="High"/>
    <x v="26"/>
    <n v="58"/>
    <x v="2"/>
    <x v="1"/>
    <n v="2.62"/>
    <s v="Yes"/>
    <n v="2.9"/>
    <x v="0"/>
    <x v="2"/>
    <x v="1"/>
  </r>
  <r>
    <s v="AIJ-101948"/>
    <x v="7"/>
    <x v="9"/>
    <x v="7"/>
    <x v="3"/>
    <x v="24"/>
    <x v="70"/>
    <x v="38"/>
    <x v="1"/>
    <n v="186077"/>
    <s v="High"/>
    <x v="50"/>
    <n v="60"/>
    <x v="1"/>
    <x v="2"/>
    <n v="4.04"/>
    <s v="Yes"/>
    <n v="2.04"/>
    <x v="0"/>
    <x v="2"/>
    <x v="1"/>
  </r>
  <r>
    <s v="AIJ-101949"/>
    <x v="1"/>
    <x v="4"/>
    <x v="6"/>
    <x v="3"/>
    <x v="20"/>
    <x v="76"/>
    <x v="74"/>
    <x v="2"/>
    <n v="145709"/>
    <s v="Low"/>
    <x v="22"/>
    <n v="40"/>
    <x v="1"/>
    <x v="0"/>
    <n v="3.82"/>
    <s v="No"/>
    <n v="2.57"/>
    <x v="1"/>
    <x v="2"/>
    <x v="2"/>
  </r>
  <r>
    <s v="AIJ-101950"/>
    <x v="10"/>
    <x v="7"/>
    <x v="2"/>
    <x v="0"/>
    <x v="14"/>
    <x v="59"/>
    <x v="52"/>
    <x v="0"/>
    <n v="60964"/>
    <s v="Medium"/>
    <x v="5"/>
    <n v="44"/>
    <x v="0"/>
    <x v="0"/>
    <n v="4.54"/>
    <s v="Yes"/>
    <n v="4.4800000000000004"/>
    <x v="0"/>
    <x v="3"/>
    <x v="2"/>
  </r>
  <r>
    <s v="AIJ-101951"/>
    <x v="12"/>
    <x v="2"/>
    <x v="0"/>
    <x v="0"/>
    <x v="17"/>
    <x v="34"/>
    <x v="55"/>
    <x v="0"/>
    <n v="81225"/>
    <s v="Medium"/>
    <x v="48"/>
    <n v="58"/>
    <x v="1"/>
    <x v="0"/>
    <n v="2.95"/>
    <s v="No"/>
    <n v="2.76"/>
    <x v="1"/>
    <x v="3"/>
    <x v="3"/>
  </r>
  <r>
    <s v="AIJ-101952"/>
    <x v="12"/>
    <x v="0"/>
    <x v="1"/>
    <x v="0"/>
    <x v="15"/>
    <x v="70"/>
    <x v="37"/>
    <x v="2"/>
    <n v="39681"/>
    <s v="Low"/>
    <x v="31"/>
    <n v="39"/>
    <x v="0"/>
    <x v="0"/>
    <n v="2.5499999999999998"/>
    <s v="No"/>
    <n v="1.04"/>
    <x v="0"/>
    <x v="3"/>
    <x v="1"/>
  </r>
  <r>
    <s v="AIJ-101953"/>
    <x v="16"/>
    <x v="9"/>
    <x v="6"/>
    <x v="0"/>
    <x v="21"/>
    <x v="33"/>
    <x v="25"/>
    <x v="0"/>
    <n v="179927"/>
    <s v="Low"/>
    <x v="7"/>
    <n v="43"/>
    <x v="0"/>
    <x v="0"/>
    <n v="2.86"/>
    <s v="No"/>
    <n v="3"/>
    <x v="2"/>
    <x v="2"/>
    <x v="0"/>
  </r>
  <r>
    <s v="AIJ-101954"/>
    <x v="2"/>
    <x v="7"/>
    <x v="7"/>
    <x v="2"/>
    <x v="10"/>
    <x v="29"/>
    <x v="32"/>
    <x v="1"/>
    <n v="46547"/>
    <s v="High"/>
    <x v="49"/>
    <n v="40"/>
    <x v="0"/>
    <x v="0"/>
    <n v="2.4700000000000002"/>
    <s v="Yes"/>
    <n v="3.77"/>
    <x v="1"/>
    <x v="3"/>
    <x v="3"/>
  </r>
  <r>
    <s v="AIJ-101955"/>
    <x v="16"/>
    <x v="6"/>
    <x v="1"/>
    <x v="1"/>
    <x v="13"/>
    <x v="86"/>
    <x v="73"/>
    <x v="2"/>
    <n v="144603"/>
    <s v="Low"/>
    <x v="44"/>
    <n v="59"/>
    <x v="1"/>
    <x v="2"/>
    <n v="3.07"/>
    <s v="Yes"/>
    <n v="3.17"/>
    <x v="1"/>
    <x v="0"/>
    <x v="1"/>
  </r>
  <r>
    <s v="AIJ-101956"/>
    <x v="14"/>
    <x v="5"/>
    <x v="6"/>
    <x v="0"/>
    <x v="14"/>
    <x v="51"/>
    <x v="65"/>
    <x v="1"/>
    <n v="71064"/>
    <s v="Medium"/>
    <x v="50"/>
    <n v="41"/>
    <x v="2"/>
    <x v="2"/>
    <n v="3.36"/>
    <s v="Yes"/>
    <n v="4.59"/>
    <x v="2"/>
    <x v="2"/>
    <x v="2"/>
  </r>
  <r>
    <s v="AIJ-101957"/>
    <x v="10"/>
    <x v="5"/>
    <x v="3"/>
    <x v="3"/>
    <x v="5"/>
    <x v="64"/>
    <x v="29"/>
    <x v="2"/>
    <n v="173217"/>
    <s v="Medium"/>
    <x v="6"/>
    <n v="59"/>
    <x v="2"/>
    <x v="2"/>
    <n v="4.24"/>
    <s v="No"/>
    <n v="3.17"/>
    <x v="0"/>
    <x v="1"/>
    <x v="3"/>
  </r>
  <r>
    <s v="AIJ-101958"/>
    <x v="0"/>
    <x v="4"/>
    <x v="3"/>
    <x v="0"/>
    <x v="9"/>
    <x v="6"/>
    <x v="39"/>
    <x v="1"/>
    <n v="198230"/>
    <s v="Medium"/>
    <x v="55"/>
    <n v="43"/>
    <x v="1"/>
    <x v="0"/>
    <n v="2.64"/>
    <s v="No"/>
    <n v="2.5099999999999998"/>
    <x v="1"/>
    <x v="3"/>
    <x v="1"/>
  </r>
  <r>
    <s v="AIJ-101959"/>
    <x v="5"/>
    <x v="3"/>
    <x v="7"/>
    <x v="1"/>
    <x v="8"/>
    <x v="69"/>
    <x v="45"/>
    <x v="1"/>
    <n v="146047"/>
    <s v="High"/>
    <x v="10"/>
    <n v="34"/>
    <x v="1"/>
    <x v="0"/>
    <n v="3.29"/>
    <s v="Yes"/>
    <n v="3.01"/>
    <x v="0"/>
    <x v="0"/>
    <x v="2"/>
  </r>
  <r>
    <s v="AIJ-101960"/>
    <x v="12"/>
    <x v="2"/>
    <x v="6"/>
    <x v="3"/>
    <x v="0"/>
    <x v="0"/>
    <x v="78"/>
    <x v="1"/>
    <n v="174025"/>
    <s v="Low"/>
    <x v="51"/>
    <n v="49"/>
    <x v="2"/>
    <x v="2"/>
    <n v="2.96"/>
    <s v="Yes"/>
    <n v="2.0099999999999998"/>
    <x v="2"/>
    <x v="3"/>
    <x v="0"/>
  </r>
  <r>
    <s v="AIJ-101961"/>
    <x v="13"/>
    <x v="2"/>
    <x v="7"/>
    <x v="0"/>
    <x v="21"/>
    <x v="3"/>
    <x v="6"/>
    <x v="2"/>
    <n v="157614"/>
    <s v="High"/>
    <x v="23"/>
    <n v="53"/>
    <x v="2"/>
    <x v="0"/>
    <n v="2.34"/>
    <s v="Yes"/>
    <n v="2.76"/>
    <x v="1"/>
    <x v="0"/>
    <x v="0"/>
  </r>
  <r>
    <s v="AIJ-101962"/>
    <x v="8"/>
    <x v="9"/>
    <x v="6"/>
    <x v="3"/>
    <x v="4"/>
    <x v="24"/>
    <x v="58"/>
    <x v="1"/>
    <n v="121769"/>
    <s v="Medium"/>
    <x v="51"/>
    <n v="37"/>
    <x v="1"/>
    <x v="0"/>
    <n v="3.84"/>
    <s v="No"/>
    <n v="4.84"/>
    <x v="1"/>
    <x v="3"/>
    <x v="1"/>
  </r>
  <r>
    <s v="AIJ-101963"/>
    <x v="12"/>
    <x v="9"/>
    <x v="6"/>
    <x v="1"/>
    <x v="18"/>
    <x v="17"/>
    <x v="67"/>
    <x v="2"/>
    <n v="155166"/>
    <s v="Low"/>
    <x v="1"/>
    <n v="34"/>
    <x v="1"/>
    <x v="0"/>
    <n v="2.82"/>
    <s v="No"/>
    <n v="2.78"/>
    <x v="1"/>
    <x v="3"/>
    <x v="3"/>
  </r>
  <r>
    <s v="AIJ-101964"/>
    <x v="0"/>
    <x v="2"/>
    <x v="1"/>
    <x v="1"/>
    <x v="15"/>
    <x v="82"/>
    <x v="35"/>
    <x v="0"/>
    <n v="205325"/>
    <s v="High"/>
    <x v="45"/>
    <n v="30"/>
    <x v="1"/>
    <x v="1"/>
    <n v="3.77"/>
    <s v="No"/>
    <n v="2.15"/>
    <x v="0"/>
    <x v="3"/>
    <x v="1"/>
  </r>
  <r>
    <s v="AIJ-101965"/>
    <x v="1"/>
    <x v="3"/>
    <x v="2"/>
    <x v="1"/>
    <x v="14"/>
    <x v="63"/>
    <x v="7"/>
    <x v="1"/>
    <n v="38497"/>
    <s v="Low"/>
    <x v="46"/>
    <n v="43"/>
    <x v="1"/>
    <x v="0"/>
    <n v="4.22"/>
    <s v="No"/>
    <n v="1.41"/>
    <x v="2"/>
    <x v="3"/>
    <x v="2"/>
  </r>
  <r>
    <s v="AIJ-101966"/>
    <x v="16"/>
    <x v="7"/>
    <x v="4"/>
    <x v="3"/>
    <x v="15"/>
    <x v="33"/>
    <x v="77"/>
    <x v="1"/>
    <n v="92061"/>
    <s v="Medium"/>
    <x v="6"/>
    <n v="48"/>
    <x v="0"/>
    <x v="0"/>
    <n v="2.06"/>
    <s v="No"/>
    <n v="4.99"/>
    <x v="2"/>
    <x v="2"/>
    <x v="1"/>
  </r>
  <r>
    <s v="AIJ-101967"/>
    <x v="1"/>
    <x v="9"/>
    <x v="9"/>
    <x v="1"/>
    <x v="1"/>
    <x v="19"/>
    <x v="35"/>
    <x v="2"/>
    <n v="194942"/>
    <s v="Medium"/>
    <x v="9"/>
    <n v="44"/>
    <x v="2"/>
    <x v="2"/>
    <n v="2.14"/>
    <s v="No"/>
    <n v="2.82"/>
    <x v="0"/>
    <x v="3"/>
    <x v="1"/>
  </r>
  <r>
    <s v="AIJ-101968"/>
    <x v="8"/>
    <x v="7"/>
    <x v="5"/>
    <x v="2"/>
    <x v="9"/>
    <x v="61"/>
    <x v="69"/>
    <x v="0"/>
    <n v="160702"/>
    <s v="High"/>
    <x v="54"/>
    <n v="39"/>
    <x v="2"/>
    <x v="1"/>
    <n v="3.99"/>
    <s v="No"/>
    <n v="3.82"/>
    <x v="0"/>
    <x v="3"/>
    <x v="1"/>
  </r>
  <r>
    <s v="AIJ-101969"/>
    <x v="15"/>
    <x v="7"/>
    <x v="1"/>
    <x v="0"/>
    <x v="7"/>
    <x v="69"/>
    <x v="74"/>
    <x v="0"/>
    <n v="68683"/>
    <s v="Medium"/>
    <x v="46"/>
    <n v="42"/>
    <x v="1"/>
    <x v="2"/>
    <n v="3"/>
    <s v="No"/>
    <n v="3.68"/>
    <x v="0"/>
    <x v="3"/>
    <x v="1"/>
  </r>
  <r>
    <s v="AIJ-101970"/>
    <x v="13"/>
    <x v="8"/>
    <x v="6"/>
    <x v="3"/>
    <x v="13"/>
    <x v="24"/>
    <x v="54"/>
    <x v="0"/>
    <n v="174479"/>
    <s v="High"/>
    <x v="22"/>
    <n v="55"/>
    <x v="0"/>
    <x v="1"/>
    <n v="4.01"/>
    <s v="No"/>
    <n v="1.03"/>
    <x v="1"/>
    <x v="2"/>
    <x v="1"/>
  </r>
  <r>
    <s v="AIJ-101971"/>
    <x v="17"/>
    <x v="4"/>
    <x v="9"/>
    <x v="1"/>
    <x v="15"/>
    <x v="59"/>
    <x v="2"/>
    <x v="1"/>
    <n v="155100"/>
    <s v="Low"/>
    <x v="45"/>
    <n v="44"/>
    <x v="0"/>
    <x v="0"/>
    <n v="4.92"/>
    <s v="No"/>
    <n v="1.33"/>
    <x v="2"/>
    <x v="3"/>
    <x v="1"/>
  </r>
  <r>
    <s v="AIJ-101972"/>
    <x v="9"/>
    <x v="7"/>
    <x v="7"/>
    <x v="1"/>
    <x v="13"/>
    <x v="17"/>
    <x v="31"/>
    <x v="1"/>
    <n v="170176"/>
    <s v="Low"/>
    <x v="6"/>
    <n v="59"/>
    <x v="1"/>
    <x v="1"/>
    <n v="4.5999999999999996"/>
    <s v="No"/>
    <n v="1.9"/>
    <x v="0"/>
    <x v="0"/>
    <x v="1"/>
  </r>
  <r>
    <s v="AIJ-101973"/>
    <x v="6"/>
    <x v="6"/>
    <x v="7"/>
    <x v="1"/>
    <x v="11"/>
    <x v="77"/>
    <x v="9"/>
    <x v="0"/>
    <n v="155683"/>
    <s v="High"/>
    <x v="49"/>
    <n v="46"/>
    <x v="1"/>
    <x v="2"/>
    <n v="3.22"/>
    <s v="No"/>
    <n v="3.73"/>
    <x v="0"/>
    <x v="3"/>
    <x v="1"/>
  </r>
  <r>
    <s v="AIJ-101974"/>
    <x v="14"/>
    <x v="7"/>
    <x v="7"/>
    <x v="2"/>
    <x v="5"/>
    <x v="24"/>
    <x v="54"/>
    <x v="1"/>
    <n v="133459"/>
    <s v="Medium"/>
    <x v="49"/>
    <n v="59"/>
    <x v="2"/>
    <x v="0"/>
    <n v="3.07"/>
    <s v="Yes"/>
    <n v="3.94"/>
    <x v="1"/>
    <x v="2"/>
    <x v="3"/>
  </r>
  <r>
    <s v="AIJ-101975"/>
    <x v="17"/>
    <x v="7"/>
    <x v="8"/>
    <x v="3"/>
    <x v="0"/>
    <x v="67"/>
    <x v="55"/>
    <x v="0"/>
    <n v="156193"/>
    <s v="Medium"/>
    <x v="38"/>
    <n v="56"/>
    <x v="0"/>
    <x v="0"/>
    <n v="3.95"/>
    <s v="Yes"/>
    <n v="1.1000000000000001"/>
    <x v="0"/>
    <x v="3"/>
    <x v="0"/>
  </r>
  <r>
    <s v="AIJ-101976"/>
    <x v="12"/>
    <x v="8"/>
    <x v="8"/>
    <x v="2"/>
    <x v="22"/>
    <x v="42"/>
    <x v="61"/>
    <x v="1"/>
    <n v="124316"/>
    <s v="Low"/>
    <x v="14"/>
    <n v="55"/>
    <x v="2"/>
    <x v="2"/>
    <n v="3.11"/>
    <s v="No"/>
    <n v="3.94"/>
    <x v="1"/>
    <x v="3"/>
    <x v="2"/>
  </r>
  <r>
    <s v="AIJ-101977"/>
    <x v="9"/>
    <x v="0"/>
    <x v="5"/>
    <x v="3"/>
    <x v="4"/>
    <x v="70"/>
    <x v="26"/>
    <x v="1"/>
    <n v="208397"/>
    <s v="Medium"/>
    <x v="1"/>
    <n v="37"/>
    <x v="0"/>
    <x v="1"/>
    <n v="2.0499999999999998"/>
    <s v="No"/>
    <n v="2.76"/>
    <x v="0"/>
    <x v="2"/>
    <x v="1"/>
  </r>
  <r>
    <s v="AIJ-101978"/>
    <x v="0"/>
    <x v="3"/>
    <x v="1"/>
    <x v="1"/>
    <x v="4"/>
    <x v="49"/>
    <x v="39"/>
    <x v="1"/>
    <n v="38891"/>
    <s v="Low"/>
    <x v="16"/>
    <n v="57"/>
    <x v="0"/>
    <x v="0"/>
    <n v="4.05"/>
    <s v="No"/>
    <n v="2.2400000000000002"/>
    <x v="1"/>
    <x v="3"/>
    <x v="1"/>
  </r>
  <r>
    <s v="AIJ-101979"/>
    <x v="10"/>
    <x v="2"/>
    <x v="7"/>
    <x v="1"/>
    <x v="13"/>
    <x v="29"/>
    <x v="36"/>
    <x v="0"/>
    <n v="162699"/>
    <s v="Medium"/>
    <x v="46"/>
    <n v="45"/>
    <x v="1"/>
    <x v="2"/>
    <n v="2.91"/>
    <s v="No"/>
    <n v="4.08"/>
    <x v="0"/>
    <x v="3"/>
    <x v="1"/>
  </r>
  <r>
    <s v="AIJ-101980"/>
    <x v="4"/>
    <x v="1"/>
    <x v="6"/>
    <x v="0"/>
    <x v="5"/>
    <x v="69"/>
    <x v="11"/>
    <x v="2"/>
    <n v="107800"/>
    <s v="Low"/>
    <x v="21"/>
    <n v="49"/>
    <x v="1"/>
    <x v="2"/>
    <n v="4.1900000000000004"/>
    <s v="No"/>
    <n v="2.4300000000000002"/>
    <x v="0"/>
    <x v="2"/>
    <x v="3"/>
  </r>
  <r>
    <s v="AIJ-101981"/>
    <x v="7"/>
    <x v="6"/>
    <x v="0"/>
    <x v="0"/>
    <x v="19"/>
    <x v="67"/>
    <x v="71"/>
    <x v="2"/>
    <n v="57391"/>
    <s v="Medium"/>
    <x v="37"/>
    <n v="48"/>
    <x v="0"/>
    <x v="0"/>
    <n v="4.84"/>
    <s v="Yes"/>
    <n v="1.29"/>
    <x v="2"/>
    <x v="3"/>
    <x v="2"/>
  </r>
  <r>
    <s v="AIJ-101982"/>
    <x v="0"/>
    <x v="1"/>
    <x v="7"/>
    <x v="2"/>
    <x v="2"/>
    <x v="0"/>
    <x v="28"/>
    <x v="0"/>
    <n v="194287"/>
    <s v="High"/>
    <x v="47"/>
    <n v="41"/>
    <x v="1"/>
    <x v="2"/>
    <n v="3.14"/>
    <s v="No"/>
    <n v="2.04"/>
    <x v="1"/>
    <x v="2"/>
    <x v="1"/>
  </r>
  <r>
    <s v="AIJ-101983"/>
    <x v="17"/>
    <x v="9"/>
    <x v="7"/>
    <x v="0"/>
    <x v="5"/>
    <x v="53"/>
    <x v="16"/>
    <x v="0"/>
    <n v="58312"/>
    <s v="Low"/>
    <x v="35"/>
    <n v="54"/>
    <x v="0"/>
    <x v="1"/>
    <n v="4.78"/>
    <s v="No"/>
    <n v="2.95"/>
    <x v="1"/>
    <x v="1"/>
    <x v="3"/>
  </r>
  <r>
    <s v="AIJ-101984"/>
    <x v="6"/>
    <x v="0"/>
    <x v="5"/>
    <x v="0"/>
    <x v="19"/>
    <x v="73"/>
    <x v="36"/>
    <x v="1"/>
    <n v="200925"/>
    <s v="Low"/>
    <x v="2"/>
    <n v="35"/>
    <x v="2"/>
    <x v="2"/>
    <n v="2.8"/>
    <s v="No"/>
    <n v="2.79"/>
    <x v="1"/>
    <x v="0"/>
    <x v="2"/>
  </r>
  <r>
    <s v="AIJ-101985"/>
    <x v="18"/>
    <x v="5"/>
    <x v="1"/>
    <x v="0"/>
    <x v="24"/>
    <x v="48"/>
    <x v="20"/>
    <x v="2"/>
    <n v="104430"/>
    <s v="Medium"/>
    <x v="8"/>
    <n v="41"/>
    <x v="2"/>
    <x v="2"/>
    <n v="3.98"/>
    <s v="Yes"/>
    <n v="4.34"/>
    <x v="0"/>
    <x v="3"/>
    <x v="1"/>
  </r>
  <r>
    <s v="AIJ-101986"/>
    <x v="16"/>
    <x v="5"/>
    <x v="4"/>
    <x v="0"/>
    <x v="20"/>
    <x v="2"/>
    <x v="66"/>
    <x v="2"/>
    <n v="188057"/>
    <s v="Medium"/>
    <x v="31"/>
    <n v="53"/>
    <x v="1"/>
    <x v="1"/>
    <n v="4.7"/>
    <s v="No"/>
    <n v="3.68"/>
    <x v="2"/>
    <x v="1"/>
    <x v="2"/>
  </r>
  <r>
    <s v="AIJ-101987"/>
    <x v="14"/>
    <x v="0"/>
    <x v="4"/>
    <x v="3"/>
    <x v="8"/>
    <x v="36"/>
    <x v="48"/>
    <x v="1"/>
    <n v="74658"/>
    <s v="Low"/>
    <x v="31"/>
    <n v="41"/>
    <x v="2"/>
    <x v="1"/>
    <n v="2.2599999999999998"/>
    <s v="Yes"/>
    <n v="1.57"/>
    <x v="1"/>
    <x v="1"/>
    <x v="2"/>
  </r>
  <r>
    <s v="AIJ-101988"/>
    <x v="19"/>
    <x v="3"/>
    <x v="5"/>
    <x v="3"/>
    <x v="22"/>
    <x v="53"/>
    <x v="49"/>
    <x v="2"/>
    <n v="48977"/>
    <s v="Medium"/>
    <x v="45"/>
    <n v="34"/>
    <x v="2"/>
    <x v="1"/>
    <n v="2.02"/>
    <s v="No"/>
    <n v="4.6100000000000003"/>
    <x v="0"/>
    <x v="1"/>
    <x v="2"/>
  </r>
  <r>
    <s v="AIJ-101989"/>
    <x v="3"/>
    <x v="8"/>
    <x v="7"/>
    <x v="1"/>
    <x v="8"/>
    <x v="29"/>
    <x v="47"/>
    <x v="1"/>
    <n v="153420"/>
    <s v="Low"/>
    <x v="38"/>
    <n v="51"/>
    <x v="1"/>
    <x v="0"/>
    <n v="3.85"/>
    <s v="No"/>
    <n v="3.12"/>
    <x v="2"/>
    <x v="2"/>
    <x v="2"/>
  </r>
  <r>
    <s v="AIJ-101990"/>
    <x v="17"/>
    <x v="9"/>
    <x v="3"/>
    <x v="0"/>
    <x v="18"/>
    <x v="5"/>
    <x v="33"/>
    <x v="1"/>
    <n v="137328"/>
    <s v="Medium"/>
    <x v="32"/>
    <n v="40"/>
    <x v="0"/>
    <x v="0"/>
    <n v="4.58"/>
    <s v="No"/>
    <n v="4.05"/>
    <x v="0"/>
    <x v="2"/>
    <x v="3"/>
  </r>
  <r>
    <s v="AIJ-101991"/>
    <x v="16"/>
    <x v="4"/>
    <x v="3"/>
    <x v="3"/>
    <x v="4"/>
    <x v="84"/>
    <x v="70"/>
    <x v="1"/>
    <n v="49116"/>
    <s v="Low"/>
    <x v="10"/>
    <n v="56"/>
    <x v="0"/>
    <x v="1"/>
    <n v="3.23"/>
    <s v="No"/>
    <n v="3.84"/>
    <x v="0"/>
    <x v="2"/>
    <x v="1"/>
  </r>
  <r>
    <s v="AIJ-101992"/>
    <x v="8"/>
    <x v="2"/>
    <x v="1"/>
    <x v="2"/>
    <x v="8"/>
    <x v="51"/>
    <x v="36"/>
    <x v="0"/>
    <n v="199388"/>
    <s v="Medium"/>
    <x v="51"/>
    <n v="58"/>
    <x v="0"/>
    <x v="0"/>
    <n v="4.33"/>
    <s v="Yes"/>
    <n v="2.93"/>
    <x v="0"/>
    <x v="3"/>
    <x v="2"/>
  </r>
  <r>
    <s v="AIJ-101993"/>
    <x v="0"/>
    <x v="2"/>
    <x v="4"/>
    <x v="1"/>
    <x v="19"/>
    <x v="12"/>
    <x v="54"/>
    <x v="2"/>
    <n v="208412"/>
    <s v="Medium"/>
    <x v="35"/>
    <n v="51"/>
    <x v="0"/>
    <x v="2"/>
    <n v="3.54"/>
    <s v="Yes"/>
    <n v="2.59"/>
    <x v="1"/>
    <x v="3"/>
    <x v="2"/>
  </r>
  <r>
    <s v="AIJ-101994"/>
    <x v="11"/>
    <x v="2"/>
    <x v="9"/>
    <x v="3"/>
    <x v="8"/>
    <x v="58"/>
    <x v="11"/>
    <x v="0"/>
    <n v="61256"/>
    <s v="Low"/>
    <x v="41"/>
    <n v="38"/>
    <x v="0"/>
    <x v="2"/>
    <n v="3.69"/>
    <s v="Yes"/>
    <n v="2.44"/>
    <x v="2"/>
    <x v="3"/>
    <x v="2"/>
  </r>
  <r>
    <s v="AIJ-101995"/>
    <x v="14"/>
    <x v="8"/>
    <x v="4"/>
    <x v="0"/>
    <x v="17"/>
    <x v="13"/>
    <x v="20"/>
    <x v="0"/>
    <n v="161100"/>
    <s v="Medium"/>
    <x v="16"/>
    <n v="31"/>
    <x v="1"/>
    <x v="1"/>
    <n v="4.74"/>
    <s v="Yes"/>
    <n v="4.24"/>
    <x v="1"/>
    <x v="3"/>
    <x v="3"/>
  </r>
  <r>
    <s v="AIJ-101996"/>
    <x v="17"/>
    <x v="4"/>
    <x v="2"/>
    <x v="1"/>
    <x v="23"/>
    <x v="67"/>
    <x v="10"/>
    <x v="0"/>
    <n v="212533"/>
    <s v="Medium"/>
    <x v="36"/>
    <n v="32"/>
    <x v="1"/>
    <x v="0"/>
    <n v="2.87"/>
    <s v="Yes"/>
    <n v="2.29"/>
    <x v="1"/>
    <x v="3"/>
    <x v="3"/>
  </r>
  <r>
    <s v="AIJ-101997"/>
    <x v="12"/>
    <x v="7"/>
    <x v="1"/>
    <x v="0"/>
    <x v="7"/>
    <x v="4"/>
    <x v="12"/>
    <x v="1"/>
    <n v="190376"/>
    <s v="Medium"/>
    <x v="49"/>
    <n v="31"/>
    <x v="0"/>
    <x v="2"/>
    <n v="3.26"/>
    <s v="Yes"/>
    <n v="4.05"/>
    <x v="0"/>
    <x v="3"/>
    <x v="1"/>
  </r>
  <r>
    <s v="AIJ-101998"/>
    <x v="10"/>
    <x v="5"/>
    <x v="3"/>
    <x v="2"/>
    <x v="14"/>
    <x v="60"/>
    <x v="9"/>
    <x v="0"/>
    <n v="81370"/>
    <s v="High"/>
    <x v="14"/>
    <n v="36"/>
    <x v="0"/>
    <x v="2"/>
    <n v="3.81"/>
    <s v="Yes"/>
    <n v="1.1000000000000001"/>
    <x v="2"/>
    <x v="2"/>
    <x v="2"/>
  </r>
  <r>
    <s v="AIJ-101999"/>
    <x v="7"/>
    <x v="9"/>
    <x v="6"/>
    <x v="3"/>
    <x v="4"/>
    <x v="21"/>
    <x v="30"/>
    <x v="1"/>
    <n v="200910"/>
    <s v="High"/>
    <x v="28"/>
    <n v="52"/>
    <x v="0"/>
    <x v="0"/>
    <n v="3.85"/>
    <s v="Yes"/>
    <n v="1.92"/>
    <x v="1"/>
    <x v="3"/>
    <x v="1"/>
  </r>
  <r>
    <s v="AIJ-102000"/>
    <x v="4"/>
    <x v="8"/>
    <x v="0"/>
    <x v="0"/>
    <x v="2"/>
    <x v="75"/>
    <x v="31"/>
    <x v="2"/>
    <n v="84319"/>
    <s v="Low"/>
    <x v="45"/>
    <n v="40"/>
    <x v="2"/>
    <x v="2"/>
    <n v="2.34"/>
    <s v="Yes"/>
    <n v="3.2"/>
    <x v="1"/>
    <x v="0"/>
    <x v="1"/>
  </r>
  <r>
    <s v="AIJ-102001"/>
    <x v="11"/>
    <x v="1"/>
    <x v="3"/>
    <x v="2"/>
    <x v="0"/>
    <x v="87"/>
    <x v="31"/>
    <x v="1"/>
    <n v="124635"/>
    <s v="High"/>
    <x v="34"/>
    <n v="56"/>
    <x v="0"/>
    <x v="2"/>
    <n v="4.21"/>
    <s v="No"/>
    <n v="4.01"/>
    <x v="2"/>
    <x v="3"/>
    <x v="0"/>
  </r>
  <r>
    <s v="AIJ-102002"/>
    <x v="19"/>
    <x v="1"/>
    <x v="5"/>
    <x v="1"/>
    <x v="13"/>
    <x v="52"/>
    <x v="30"/>
    <x v="1"/>
    <n v="125814"/>
    <s v="Medium"/>
    <x v="39"/>
    <n v="30"/>
    <x v="0"/>
    <x v="1"/>
    <n v="4.24"/>
    <s v="Yes"/>
    <n v="3.47"/>
    <x v="2"/>
    <x v="0"/>
    <x v="1"/>
  </r>
  <r>
    <s v="AIJ-102003"/>
    <x v="18"/>
    <x v="3"/>
    <x v="9"/>
    <x v="2"/>
    <x v="16"/>
    <x v="67"/>
    <x v="13"/>
    <x v="0"/>
    <n v="89512"/>
    <s v="Low"/>
    <x v="7"/>
    <n v="33"/>
    <x v="2"/>
    <x v="0"/>
    <n v="3.26"/>
    <s v="No"/>
    <n v="2.06"/>
    <x v="2"/>
    <x v="2"/>
    <x v="3"/>
  </r>
  <r>
    <s v="AIJ-102004"/>
    <x v="16"/>
    <x v="2"/>
    <x v="5"/>
    <x v="1"/>
    <x v="21"/>
    <x v="32"/>
    <x v="55"/>
    <x v="1"/>
    <n v="207518"/>
    <s v="Low"/>
    <x v="42"/>
    <n v="55"/>
    <x v="2"/>
    <x v="2"/>
    <n v="4.0599999999999996"/>
    <s v="Yes"/>
    <n v="1.31"/>
    <x v="1"/>
    <x v="0"/>
    <x v="0"/>
  </r>
  <r>
    <s v="AIJ-102005"/>
    <x v="10"/>
    <x v="5"/>
    <x v="1"/>
    <x v="1"/>
    <x v="19"/>
    <x v="69"/>
    <x v="34"/>
    <x v="0"/>
    <n v="106764"/>
    <s v="Low"/>
    <x v="19"/>
    <n v="32"/>
    <x v="0"/>
    <x v="1"/>
    <n v="2.36"/>
    <s v="No"/>
    <n v="2.27"/>
    <x v="0"/>
    <x v="3"/>
    <x v="2"/>
  </r>
  <r>
    <s v="AIJ-102006"/>
    <x v="3"/>
    <x v="3"/>
    <x v="8"/>
    <x v="2"/>
    <x v="1"/>
    <x v="67"/>
    <x v="7"/>
    <x v="1"/>
    <n v="175248"/>
    <s v="Medium"/>
    <x v="45"/>
    <n v="44"/>
    <x v="1"/>
    <x v="0"/>
    <n v="3.07"/>
    <s v="No"/>
    <n v="4.99"/>
    <x v="1"/>
    <x v="2"/>
    <x v="1"/>
  </r>
  <r>
    <s v="AIJ-102007"/>
    <x v="19"/>
    <x v="8"/>
    <x v="1"/>
    <x v="0"/>
    <x v="10"/>
    <x v="17"/>
    <x v="26"/>
    <x v="0"/>
    <n v="200959"/>
    <s v="Low"/>
    <x v="16"/>
    <n v="43"/>
    <x v="2"/>
    <x v="0"/>
    <n v="3.27"/>
    <s v="Yes"/>
    <n v="2.1800000000000002"/>
    <x v="2"/>
    <x v="3"/>
    <x v="3"/>
  </r>
  <r>
    <s v="AIJ-102008"/>
    <x v="10"/>
    <x v="7"/>
    <x v="3"/>
    <x v="2"/>
    <x v="10"/>
    <x v="15"/>
    <x v="69"/>
    <x v="1"/>
    <n v="182037"/>
    <s v="Low"/>
    <x v="25"/>
    <n v="34"/>
    <x v="0"/>
    <x v="1"/>
    <n v="4.59"/>
    <s v="No"/>
    <n v="3.78"/>
    <x v="0"/>
    <x v="0"/>
    <x v="3"/>
  </r>
  <r>
    <s v="AIJ-102009"/>
    <x v="8"/>
    <x v="3"/>
    <x v="2"/>
    <x v="0"/>
    <x v="24"/>
    <x v="30"/>
    <x v="4"/>
    <x v="2"/>
    <n v="193694"/>
    <s v="Low"/>
    <x v="47"/>
    <n v="45"/>
    <x v="1"/>
    <x v="1"/>
    <n v="4.5999999999999996"/>
    <s v="Yes"/>
    <n v="1.37"/>
    <x v="1"/>
    <x v="3"/>
    <x v="1"/>
  </r>
  <r>
    <s v="AIJ-102010"/>
    <x v="7"/>
    <x v="4"/>
    <x v="3"/>
    <x v="1"/>
    <x v="6"/>
    <x v="29"/>
    <x v="61"/>
    <x v="2"/>
    <n v="125488"/>
    <s v="Low"/>
    <x v="40"/>
    <n v="32"/>
    <x v="0"/>
    <x v="1"/>
    <n v="4.6900000000000004"/>
    <s v="No"/>
    <n v="1.37"/>
    <x v="2"/>
    <x v="2"/>
    <x v="0"/>
  </r>
  <r>
    <s v="AIJ-102011"/>
    <x v="16"/>
    <x v="1"/>
    <x v="8"/>
    <x v="2"/>
    <x v="4"/>
    <x v="27"/>
    <x v="49"/>
    <x v="0"/>
    <n v="31288"/>
    <s v="Medium"/>
    <x v="16"/>
    <n v="58"/>
    <x v="1"/>
    <x v="1"/>
    <n v="2.09"/>
    <s v="Yes"/>
    <n v="1.83"/>
    <x v="2"/>
    <x v="3"/>
    <x v="1"/>
  </r>
  <r>
    <s v="AIJ-102012"/>
    <x v="8"/>
    <x v="0"/>
    <x v="3"/>
    <x v="1"/>
    <x v="21"/>
    <x v="20"/>
    <x v="38"/>
    <x v="0"/>
    <n v="53717"/>
    <s v="Medium"/>
    <x v="19"/>
    <n v="48"/>
    <x v="2"/>
    <x v="1"/>
    <n v="4.87"/>
    <s v="No"/>
    <n v="2.04"/>
    <x v="2"/>
    <x v="3"/>
    <x v="0"/>
  </r>
  <r>
    <s v="AIJ-102013"/>
    <x v="10"/>
    <x v="9"/>
    <x v="9"/>
    <x v="1"/>
    <x v="16"/>
    <x v="80"/>
    <x v="31"/>
    <x v="0"/>
    <n v="219477"/>
    <s v="Low"/>
    <x v="27"/>
    <n v="57"/>
    <x v="2"/>
    <x v="2"/>
    <n v="2.81"/>
    <s v="Yes"/>
    <n v="2.21"/>
    <x v="0"/>
    <x v="2"/>
    <x v="3"/>
  </r>
  <r>
    <s v="AIJ-102014"/>
    <x v="14"/>
    <x v="8"/>
    <x v="6"/>
    <x v="1"/>
    <x v="22"/>
    <x v="63"/>
    <x v="78"/>
    <x v="0"/>
    <n v="133744"/>
    <s v="Low"/>
    <x v="54"/>
    <n v="43"/>
    <x v="2"/>
    <x v="2"/>
    <n v="4.2300000000000004"/>
    <s v="Yes"/>
    <n v="2.69"/>
    <x v="0"/>
    <x v="3"/>
    <x v="2"/>
  </r>
  <r>
    <s v="AIJ-102015"/>
    <x v="9"/>
    <x v="7"/>
    <x v="0"/>
    <x v="1"/>
    <x v="20"/>
    <x v="10"/>
    <x v="60"/>
    <x v="1"/>
    <n v="121149"/>
    <s v="High"/>
    <x v="15"/>
    <n v="42"/>
    <x v="2"/>
    <x v="2"/>
    <n v="2.19"/>
    <s v="No"/>
    <n v="2.15"/>
    <x v="1"/>
    <x v="2"/>
    <x v="2"/>
  </r>
  <r>
    <s v="AIJ-102016"/>
    <x v="19"/>
    <x v="4"/>
    <x v="8"/>
    <x v="3"/>
    <x v="4"/>
    <x v="53"/>
    <x v="37"/>
    <x v="1"/>
    <n v="112437"/>
    <s v="Low"/>
    <x v="47"/>
    <n v="52"/>
    <x v="1"/>
    <x v="1"/>
    <n v="4.9400000000000004"/>
    <s v="Yes"/>
    <n v="4.7300000000000004"/>
    <x v="0"/>
    <x v="2"/>
    <x v="1"/>
  </r>
  <r>
    <s v="AIJ-102017"/>
    <x v="10"/>
    <x v="9"/>
    <x v="9"/>
    <x v="0"/>
    <x v="11"/>
    <x v="45"/>
    <x v="35"/>
    <x v="2"/>
    <n v="186925"/>
    <s v="High"/>
    <x v="31"/>
    <n v="44"/>
    <x v="0"/>
    <x v="1"/>
    <n v="2.16"/>
    <s v="Yes"/>
    <n v="4.9400000000000004"/>
    <x v="1"/>
    <x v="3"/>
    <x v="1"/>
  </r>
  <r>
    <s v="AIJ-102018"/>
    <x v="6"/>
    <x v="1"/>
    <x v="4"/>
    <x v="3"/>
    <x v="4"/>
    <x v="19"/>
    <x v="46"/>
    <x v="2"/>
    <n v="93031"/>
    <s v="High"/>
    <x v="19"/>
    <n v="37"/>
    <x v="2"/>
    <x v="0"/>
    <n v="3.43"/>
    <s v="Yes"/>
    <n v="3.66"/>
    <x v="0"/>
    <x v="3"/>
    <x v="1"/>
  </r>
  <r>
    <s v="AIJ-102019"/>
    <x v="10"/>
    <x v="1"/>
    <x v="8"/>
    <x v="1"/>
    <x v="10"/>
    <x v="57"/>
    <x v="27"/>
    <x v="0"/>
    <n v="113825"/>
    <s v="Low"/>
    <x v="26"/>
    <n v="33"/>
    <x v="0"/>
    <x v="1"/>
    <n v="3.86"/>
    <s v="No"/>
    <n v="2.0699999999999998"/>
    <x v="2"/>
    <x v="2"/>
    <x v="3"/>
  </r>
  <r>
    <s v="AIJ-102020"/>
    <x v="18"/>
    <x v="9"/>
    <x v="0"/>
    <x v="1"/>
    <x v="7"/>
    <x v="9"/>
    <x v="49"/>
    <x v="0"/>
    <n v="187014"/>
    <s v="High"/>
    <x v="2"/>
    <n v="44"/>
    <x v="0"/>
    <x v="2"/>
    <n v="3.17"/>
    <s v="Yes"/>
    <n v="2.59"/>
    <x v="2"/>
    <x v="2"/>
    <x v="1"/>
  </r>
  <r>
    <s v="AIJ-102021"/>
    <x v="10"/>
    <x v="4"/>
    <x v="1"/>
    <x v="0"/>
    <x v="7"/>
    <x v="11"/>
    <x v="60"/>
    <x v="2"/>
    <n v="100623"/>
    <s v="High"/>
    <x v="14"/>
    <n v="46"/>
    <x v="0"/>
    <x v="0"/>
    <n v="4.24"/>
    <s v="Yes"/>
    <n v="2.58"/>
    <x v="2"/>
    <x v="3"/>
    <x v="1"/>
  </r>
  <r>
    <s v="AIJ-102022"/>
    <x v="17"/>
    <x v="5"/>
    <x v="1"/>
    <x v="1"/>
    <x v="8"/>
    <x v="5"/>
    <x v="37"/>
    <x v="0"/>
    <n v="187987"/>
    <s v="Low"/>
    <x v="42"/>
    <n v="40"/>
    <x v="2"/>
    <x v="1"/>
    <n v="3.5"/>
    <s v="No"/>
    <n v="1.01"/>
    <x v="0"/>
    <x v="3"/>
    <x v="2"/>
  </r>
  <r>
    <s v="AIJ-102023"/>
    <x v="9"/>
    <x v="1"/>
    <x v="2"/>
    <x v="1"/>
    <x v="14"/>
    <x v="8"/>
    <x v="8"/>
    <x v="0"/>
    <n v="213318"/>
    <s v="Medium"/>
    <x v="54"/>
    <n v="52"/>
    <x v="2"/>
    <x v="2"/>
    <n v="2.4300000000000002"/>
    <s v="No"/>
    <n v="3.6"/>
    <x v="2"/>
    <x v="3"/>
    <x v="2"/>
  </r>
  <r>
    <s v="AIJ-102024"/>
    <x v="10"/>
    <x v="9"/>
    <x v="0"/>
    <x v="1"/>
    <x v="10"/>
    <x v="75"/>
    <x v="50"/>
    <x v="1"/>
    <n v="78532"/>
    <s v="Low"/>
    <x v="49"/>
    <n v="50"/>
    <x v="0"/>
    <x v="1"/>
    <n v="2.2000000000000002"/>
    <s v="No"/>
    <n v="1.57"/>
    <x v="2"/>
    <x v="3"/>
    <x v="3"/>
  </r>
  <r>
    <s v="AIJ-102025"/>
    <x v="18"/>
    <x v="7"/>
    <x v="9"/>
    <x v="0"/>
    <x v="10"/>
    <x v="57"/>
    <x v="48"/>
    <x v="2"/>
    <n v="180648"/>
    <s v="High"/>
    <x v="44"/>
    <n v="37"/>
    <x v="2"/>
    <x v="1"/>
    <n v="4.01"/>
    <s v="Yes"/>
    <n v="2.95"/>
    <x v="1"/>
    <x v="1"/>
    <x v="3"/>
  </r>
  <r>
    <s v="AIJ-102026"/>
    <x v="3"/>
    <x v="8"/>
    <x v="0"/>
    <x v="1"/>
    <x v="6"/>
    <x v="68"/>
    <x v="24"/>
    <x v="0"/>
    <n v="208524"/>
    <s v="Medium"/>
    <x v="47"/>
    <n v="33"/>
    <x v="0"/>
    <x v="0"/>
    <n v="2.2200000000000002"/>
    <s v="Yes"/>
    <n v="1.2"/>
    <x v="2"/>
    <x v="2"/>
    <x v="0"/>
  </r>
  <r>
    <s v="AIJ-102027"/>
    <x v="5"/>
    <x v="5"/>
    <x v="6"/>
    <x v="2"/>
    <x v="3"/>
    <x v="17"/>
    <x v="18"/>
    <x v="0"/>
    <n v="181197"/>
    <s v="Low"/>
    <x v="6"/>
    <n v="53"/>
    <x v="1"/>
    <x v="2"/>
    <n v="2.68"/>
    <s v="Yes"/>
    <n v="4.63"/>
    <x v="0"/>
    <x v="3"/>
    <x v="2"/>
  </r>
  <r>
    <s v="AIJ-102028"/>
    <x v="2"/>
    <x v="1"/>
    <x v="4"/>
    <x v="2"/>
    <x v="20"/>
    <x v="21"/>
    <x v="3"/>
    <x v="1"/>
    <n v="218622"/>
    <s v="Low"/>
    <x v="28"/>
    <n v="41"/>
    <x v="0"/>
    <x v="1"/>
    <n v="4.88"/>
    <s v="Yes"/>
    <n v="2.92"/>
    <x v="2"/>
    <x v="3"/>
    <x v="2"/>
  </r>
  <r>
    <s v="AIJ-102029"/>
    <x v="17"/>
    <x v="4"/>
    <x v="8"/>
    <x v="2"/>
    <x v="15"/>
    <x v="57"/>
    <x v="23"/>
    <x v="2"/>
    <n v="78707"/>
    <s v="Low"/>
    <x v="40"/>
    <n v="32"/>
    <x v="2"/>
    <x v="2"/>
    <n v="3.87"/>
    <s v="Yes"/>
    <n v="4.7"/>
    <x v="0"/>
    <x v="3"/>
    <x v="1"/>
  </r>
  <r>
    <s v="AIJ-102030"/>
    <x v="6"/>
    <x v="5"/>
    <x v="2"/>
    <x v="2"/>
    <x v="20"/>
    <x v="67"/>
    <x v="73"/>
    <x v="0"/>
    <n v="144732"/>
    <s v="Medium"/>
    <x v="37"/>
    <n v="51"/>
    <x v="2"/>
    <x v="0"/>
    <n v="2.8"/>
    <s v="Yes"/>
    <n v="2.2200000000000002"/>
    <x v="1"/>
    <x v="3"/>
    <x v="2"/>
  </r>
  <r>
    <s v="AIJ-102031"/>
    <x v="6"/>
    <x v="7"/>
    <x v="5"/>
    <x v="1"/>
    <x v="8"/>
    <x v="14"/>
    <x v="28"/>
    <x v="1"/>
    <n v="114114"/>
    <s v="High"/>
    <x v="8"/>
    <n v="33"/>
    <x v="0"/>
    <x v="2"/>
    <n v="4.34"/>
    <s v="Yes"/>
    <n v="3.67"/>
    <x v="2"/>
    <x v="1"/>
    <x v="2"/>
  </r>
  <r>
    <s v="AIJ-102032"/>
    <x v="5"/>
    <x v="9"/>
    <x v="3"/>
    <x v="1"/>
    <x v="23"/>
    <x v="89"/>
    <x v="0"/>
    <x v="2"/>
    <n v="170231"/>
    <s v="Medium"/>
    <x v="26"/>
    <n v="41"/>
    <x v="1"/>
    <x v="1"/>
    <n v="2.21"/>
    <s v="No"/>
    <n v="2.7"/>
    <x v="1"/>
    <x v="2"/>
    <x v="3"/>
  </r>
  <r>
    <s v="AIJ-102033"/>
    <x v="15"/>
    <x v="4"/>
    <x v="7"/>
    <x v="0"/>
    <x v="0"/>
    <x v="47"/>
    <x v="47"/>
    <x v="2"/>
    <n v="34230"/>
    <s v="High"/>
    <x v="38"/>
    <n v="42"/>
    <x v="1"/>
    <x v="2"/>
    <n v="2.27"/>
    <s v="Yes"/>
    <n v="3.87"/>
    <x v="0"/>
    <x v="2"/>
    <x v="0"/>
  </r>
  <r>
    <s v="AIJ-102034"/>
    <x v="12"/>
    <x v="2"/>
    <x v="2"/>
    <x v="1"/>
    <x v="14"/>
    <x v="47"/>
    <x v="21"/>
    <x v="2"/>
    <n v="94199"/>
    <s v="Low"/>
    <x v="29"/>
    <n v="45"/>
    <x v="2"/>
    <x v="0"/>
    <n v="2.23"/>
    <s v="No"/>
    <n v="1.03"/>
    <x v="2"/>
    <x v="1"/>
    <x v="2"/>
  </r>
  <r>
    <s v="AIJ-102035"/>
    <x v="7"/>
    <x v="7"/>
    <x v="9"/>
    <x v="1"/>
    <x v="0"/>
    <x v="76"/>
    <x v="14"/>
    <x v="1"/>
    <n v="33818"/>
    <s v="Low"/>
    <x v="17"/>
    <n v="33"/>
    <x v="2"/>
    <x v="2"/>
    <n v="4.4800000000000004"/>
    <s v="No"/>
    <n v="4.9000000000000004"/>
    <x v="1"/>
    <x v="3"/>
    <x v="0"/>
  </r>
  <r>
    <s v="AIJ-102036"/>
    <x v="10"/>
    <x v="4"/>
    <x v="5"/>
    <x v="1"/>
    <x v="11"/>
    <x v="21"/>
    <x v="72"/>
    <x v="2"/>
    <n v="114218"/>
    <s v="High"/>
    <x v="14"/>
    <n v="40"/>
    <x v="0"/>
    <x v="2"/>
    <n v="3.15"/>
    <s v="No"/>
    <n v="3.5"/>
    <x v="2"/>
    <x v="2"/>
    <x v="1"/>
  </r>
  <r>
    <s v="AIJ-102037"/>
    <x v="18"/>
    <x v="9"/>
    <x v="9"/>
    <x v="2"/>
    <x v="20"/>
    <x v="7"/>
    <x v="0"/>
    <x v="1"/>
    <n v="192895"/>
    <s v="High"/>
    <x v="38"/>
    <n v="40"/>
    <x v="1"/>
    <x v="0"/>
    <n v="2.2999999999999998"/>
    <s v="No"/>
    <n v="3.16"/>
    <x v="0"/>
    <x v="2"/>
    <x v="2"/>
  </r>
  <r>
    <s v="AIJ-102038"/>
    <x v="0"/>
    <x v="0"/>
    <x v="3"/>
    <x v="3"/>
    <x v="16"/>
    <x v="24"/>
    <x v="79"/>
    <x v="0"/>
    <n v="212720"/>
    <s v="Low"/>
    <x v="31"/>
    <n v="38"/>
    <x v="1"/>
    <x v="0"/>
    <n v="3.08"/>
    <s v="Yes"/>
    <n v="4.8899999999999997"/>
    <x v="1"/>
    <x v="3"/>
    <x v="3"/>
  </r>
  <r>
    <s v="AIJ-102039"/>
    <x v="12"/>
    <x v="7"/>
    <x v="0"/>
    <x v="1"/>
    <x v="0"/>
    <x v="62"/>
    <x v="29"/>
    <x v="0"/>
    <n v="133168"/>
    <s v="Low"/>
    <x v="29"/>
    <n v="58"/>
    <x v="2"/>
    <x v="0"/>
    <n v="2.2400000000000002"/>
    <s v="Yes"/>
    <n v="2.4"/>
    <x v="0"/>
    <x v="1"/>
    <x v="0"/>
  </r>
  <r>
    <s v="AIJ-102040"/>
    <x v="14"/>
    <x v="7"/>
    <x v="6"/>
    <x v="3"/>
    <x v="21"/>
    <x v="61"/>
    <x v="71"/>
    <x v="0"/>
    <n v="101242"/>
    <s v="Low"/>
    <x v="39"/>
    <n v="58"/>
    <x v="2"/>
    <x v="2"/>
    <n v="2.0699999999999998"/>
    <s v="No"/>
    <n v="2.02"/>
    <x v="1"/>
    <x v="3"/>
    <x v="0"/>
  </r>
  <r>
    <s v="AIJ-102041"/>
    <x v="4"/>
    <x v="7"/>
    <x v="7"/>
    <x v="2"/>
    <x v="16"/>
    <x v="35"/>
    <x v="56"/>
    <x v="2"/>
    <n v="122014"/>
    <s v="High"/>
    <x v="44"/>
    <n v="34"/>
    <x v="2"/>
    <x v="1"/>
    <n v="3.27"/>
    <s v="No"/>
    <n v="2.77"/>
    <x v="2"/>
    <x v="2"/>
    <x v="3"/>
  </r>
  <r>
    <s v="AIJ-102042"/>
    <x v="3"/>
    <x v="5"/>
    <x v="2"/>
    <x v="1"/>
    <x v="2"/>
    <x v="29"/>
    <x v="50"/>
    <x v="0"/>
    <n v="50740"/>
    <s v="Medium"/>
    <x v="41"/>
    <n v="35"/>
    <x v="0"/>
    <x v="0"/>
    <n v="3.12"/>
    <s v="Yes"/>
    <n v="2.4700000000000002"/>
    <x v="1"/>
    <x v="2"/>
    <x v="1"/>
  </r>
  <r>
    <s v="AIJ-102043"/>
    <x v="12"/>
    <x v="1"/>
    <x v="2"/>
    <x v="0"/>
    <x v="2"/>
    <x v="82"/>
    <x v="21"/>
    <x v="1"/>
    <n v="48517"/>
    <s v="Medium"/>
    <x v="17"/>
    <n v="45"/>
    <x v="0"/>
    <x v="0"/>
    <n v="3.16"/>
    <s v="Yes"/>
    <n v="4.2699999999999996"/>
    <x v="2"/>
    <x v="2"/>
    <x v="1"/>
  </r>
  <r>
    <s v="AIJ-102044"/>
    <x v="10"/>
    <x v="8"/>
    <x v="5"/>
    <x v="3"/>
    <x v="5"/>
    <x v="73"/>
    <x v="41"/>
    <x v="0"/>
    <n v="153682"/>
    <s v="Medium"/>
    <x v="5"/>
    <n v="38"/>
    <x v="2"/>
    <x v="1"/>
    <n v="3.14"/>
    <s v="No"/>
    <n v="2.13"/>
    <x v="0"/>
    <x v="3"/>
    <x v="3"/>
  </r>
  <r>
    <s v="AIJ-102045"/>
    <x v="3"/>
    <x v="2"/>
    <x v="3"/>
    <x v="1"/>
    <x v="14"/>
    <x v="18"/>
    <x v="70"/>
    <x v="2"/>
    <n v="47645"/>
    <s v="High"/>
    <x v="50"/>
    <n v="38"/>
    <x v="2"/>
    <x v="0"/>
    <n v="3.79"/>
    <s v="Yes"/>
    <n v="4.12"/>
    <x v="1"/>
    <x v="2"/>
    <x v="2"/>
  </r>
  <r>
    <s v="AIJ-102046"/>
    <x v="2"/>
    <x v="1"/>
    <x v="7"/>
    <x v="3"/>
    <x v="1"/>
    <x v="40"/>
    <x v="21"/>
    <x v="2"/>
    <n v="31301"/>
    <s v="Medium"/>
    <x v="16"/>
    <n v="37"/>
    <x v="0"/>
    <x v="2"/>
    <n v="3.93"/>
    <s v="No"/>
    <n v="3.24"/>
    <x v="0"/>
    <x v="1"/>
    <x v="1"/>
  </r>
  <r>
    <s v="AIJ-102047"/>
    <x v="14"/>
    <x v="1"/>
    <x v="0"/>
    <x v="0"/>
    <x v="8"/>
    <x v="74"/>
    <x v="30"/>
    <x v="1"/>
    <n v="155132"/>
    <s v="High"/>
    <x v="39"/>
    <n v="40"/>
    <x v="1"/>
    <x v="1"/>
    <n v="4.57"/>
    <s v="No"/>
    <n v="1.45"/>
    <x v="2"/>
    <x v="3"/>
    <x v="2"/>
  </r>
  <r>
    <s v="AIJ-102048"/>
    <x v="14"/>
    <x v="4"/>
    <x v="7"/>
    <x v="2"/>
    <x v="25"/>
    <x v="24"/>
    <x v="47"/>
    <x v="2"/>
    <n v="149991"/>
    <s v="Low"/>
    <x v="22"/>
    <n v="33"/>
    <x v="0"/>
    <x v="2"/>
    <n v="4.68"/>
    <s v="Yes"/>
    <n v="2.52"/>
    <x v="1"/>
    <x v="3"/>
    <x v="1"/>
  </r>
  <r>
    <s v="AIJ-102049"/>
    <x v="8"/>
    <x v="7"/>
    <x v="7"/>
    <x v="0"/>
    <x v="23"/>
    <x v="81"/>
    <x v="37"/>
    <x v="2"/>
    <n v="34062"/>
    <s v="Low"/>
    <x v="14"/>
    <n v="50"/>
    <x v="2"/>
    <x v="0"/>
    <n v="3.31"/>
    <s v="Yes"/>
    <n v="4.1900000000000004"/>
    <x v="0"/>
    <x v="3"/>
    <x v="3"/>
  </r>
  <r>
    <s v="AIJ-102050"/>
    <x v="5"/>
    <x v="6"/>
    <x v="5"/>
    <x v="0"/>
    <x v="18"/>
    <x v="24"/>
    <x v="22"/>
    <x v="0"/>
    <n v="59093"/>
    <s v="Low"/>
    <x v="49"/>
    <n v="60"/>
    <x v="0"/>
    <x v="2"/>
    <n v="4.09"/>
    <s v="No"/>
    <n v="2.4700000000000002"/>
    <x v="1"/>
    <x v="3"/>
    <x v="3"/>
  </r>
  <r>
    <s v="AIJ-102051"/>
    <x v="16"/>
    <x v="9"/>
    <x v="6"/>
    <x v="3"/>
    <x v="24"/>
    <x v="63"/>
    <x v="7"/>
    <x v="2"/>
    <n v="195132"/>
    <s v="Medium"/>
    <x v="41"/>
    <n v="40"/>
    <x v="0"/>
    <x v="1"/>
    <n v="4.13"/>
    <s v="No"/>
    <n v="2.56"/>
    <x v="0"/>
    <x v="3"/>
    <x v="1"/>
  </r>
  <r>
    <s v="AIJ-102052"/>
    <x v="19"/>
    <x v="3"/>
    <x v="5"/>
    <x v="1"/>
    <x v="1"/>
    <x v="85"/>
    <x v="36"/>
    <x v="0"/>
    <n v="117546"/>
    <s v="High"/>
    <x v="40"/>
    <n v="35"/>
    <x v="2"/>
    <x v="0"/>
    <n v="3.41"/>
    <s v="Yes"/>
    <n v="2.9"/>
    <x v="0"/>
    <x v="0"/>
    <x v="1"/>
  </r>
  <r>
    <s v="AIJ-102053"/>
    <x v="14"/>
    <x v="4"/>
    <x v="8"/>
    <x v="1"/>
    <x v="12"/>
    <x v="76"/>
    <x v="40"/>
    <x v="1"/>
    <n v="71311"/>
    <s v="High"/>
    <x v="20"/>
    <n v="30"/>
    <x v="0"/>
    <x v="2"/>
    <n v="4.33"/>
    <s v="No"/>
    <n v="3.73"/>
    <x v="1"/>
    <x v="2"/>
    <x v="3"/>
  </r>
  <r>
    <s v="AIJ-102054"/>
    <x v="11"/>
    <x v="4"/>
    <x v="2"/>
    <x v="0"/>
    <x v="17"/>
    <x v="52"/>
    <x v="29"/>
    <x v="0"/>
    <n v="156339"/>
    <s v="Medium"/>
    <x v="55"/>
    <n v="57"/>
    <x v="2"/>
    <x v="0"/>
    <n v="3.58"/>
    <s v="Yes"/>
    <n v="2.11"/>
    <x v="2"/>
    <x v="2"/>
    <x v="3"/>
  </r>
  <r>
    <s v="AIJ-102055"/>
    <x v="12"/>
    <x v="8"/>
    <x v="5"/>
    <x v="1"/>
    <x v="17"/>
    <x v="81"/>
    <x v="15"/>
    <x v="0"/>
    <n v="209986"/>
    <s v="Low"/>
    <x v="52"/>
    <n v="49"/>
    <x v="1"/>
    <x v="1"/>
    <n v="3.28"/>
    <s v="No"/>
    <n v="3.12"/>
    <x v="1"/>
    <x v="3"/>
    <x v="3"/>
  </r>
  <r>
    <s v="AIJ-102056"/>
    <x v="16"/>
    <x v="1"/>
    <x v="0"/>
    <x v="2"/>
    <x v="22"/>
    <x v="12"/>
    <x v="75"/>
    <x v="0"/>
    <n v="81557"/>
    <s v="Medium"/>
    <x v="33"/>
    <n v="37"/>
    <x v="1"/>
    <x v="1"/>
    <n v="3.72"/>
    <s v="Yes"/>
    <n v="4.03"/>
    <x v="1"/>
    <x v="3"/>
    <x v="2"/>
  </r>
  <r>
    <s v="AIJ-102057"/>
    <x v="11"/>
    <x v="0"/>
    <x v="2"/>
    <x v="1"/>
    <x v="11"/>
    <x v="50"/>
    <x v="30"/>
    <x v="1"/>
    <n v="190117"/>
    <s v="Medium"/>
    <x v="3"/>
    <n v="31"/>
    <x v="1"/>
    <x v="2"/>
    <n v="4.97"/>
    <s v="Yes"/>
    <n v="3.21"/>
    <x v="0"/>
    <x v="3"/>
    <x v="1"/>
  </r>
  <r>
    <s v="AIJ-102058"/>
    <x v="17"/>
    <x v="6"/>
    <x v="4"/>
    <x v="1"/>
    <x v="11"/>
    <x v="72"/>
    <x v="63"/>
    <x v="2"/>
    <n v="51524"/>
    <s v="Low"/>
    <x v="49"/>
    <n v="49"/>
    <x v="2"/>
    <x v="1"/>
    <n v="4.04"/>
    <s v="No"/>
    <n v="1.62"/>
    <x v="0"/>
    <x v="2"/>
    <x v="1"/>
  </r>
  <r>
    <s v="AIJ-102059"/>
    <x v="4"/>
    <x v="5"/>
    <x v="9"/>
    <x v="3"/>
    <x v="5"/>
    <x v="50"/>
    <x v="55"/>
    <x v="0"/>
    <n v="105233"/>
    <s v="Medium"/>
    <x v="8"/>
    <n v="45"/>
    <x v="1"/>
    <x v="1"/>
    <n v="3.88"/>
    <s v="No"/>
    <n v="1.21"/>
    <x v="2"/>
    <x v="3"/>
    <x v="3"/>
  </r>
  <r>
    <s v="AIJ-102060"/>
    <x v="13"/>
    <x v="3"/>
    <x v="4"/>
    <x v="2"/>
    <x v="5"/>
    <x v="62"/>
    <x v="8"/>
    <x v="0"/>
    <n v="50793"/>
    <s v="Medium"/>
    <x v="39"/>
    <n v="60"/>
    <x v="2"/>
    <x v="1"/>
    <n v="2.59"/>
    <s v="No"/>
    <n v="2.77"/>
    <x v="0"/>
    <x v="2"/>
    <x v="3"/>
  </r>
  <r>
    <s v="AIJ-102061"/>
    <x v="13"/>
    <x v="9"/>
    <x v="0"/>
    <x v="1"/>
    <x v="24"/>
    <x v="30"/>
    <x v="25"/>
    <x v="2"/>
    <n v="176368"/>
    <s v="High"/>
    <x v="28"/>
    <n v="48"/>
    <x v="2"/>
    <x v="0"/>
    <n v="2.2400000000000002"/>
    <s v="Yes"/>
    <n v="4.42"/>
    <x v="1"/>
    <x v="3"/>
    <x v="1"/>
  </r>
  <r>
    <s v="AIJ-102062"/>
    <x v="3"/>
    <x v="6"/>
    <x v="6"/>
    <x v="2"/>
    <x v="18"/>
    <x v="62"/>
    <x v="34"/>
    <x v="1"/>
    <n v="191631"/>
    <s v="High"/>
    <x v="10"/>
    <n v="57"/>
    <x v="1"/>
    <x v="0"/>
    <n v="3.13"/>
    <s v="No"/>
    <n v="2.25"/>
    <x v="0"/>
    <x v="2"/>
    <x v="3"/>
  </r>
  <r>
    <s v="AIJ-102063"/>
    <x v="7"/>
    <x v="6"/>
    <x v="6"/>
    <x v="2"/>
    <x v="25"/>
    <x v="37"/>
    <x v="29"/>
    <x v="0"/>
    <n v="34784"/>
    <s v="Medium"/>
    <x v="17"/>
    <n v="33"/>
    <x v="0"/>
    <x v="2"/>
    <n v="2.4"/>
    <s v="No"/>
    <n v="2"/>
    <x v="0"/>
    <x v="2"/>
    <x v="1"/>
  </r>
  <r>
    <s v="AIJ-102064"/>
    <x v="7"/>
    <x v="3"/>
    <x v="7"/>
    <x v="1"/>
    <x v="9"/>
    <x v="48"/>
    <x v="58"/>
    <x v="1"/>
    <n v="56133"/>
    <s v="Medium"/>
    <x v="14"/>
    <n v="32"/>
    <x v="0"/>
    <x v="2"/>
    <n v="3.11"/>
    <s v="Yes"/>
    <n v="3.65"/>
    <x v="2"/>
    <x v="3"/>
    <x v="1"/>
  </r>
  <r>
    <s v="AIJ-102065"/>
    <x v="3"/>
    <x v="2"/>
    <x v="3"/>
    <x v="2"/>
    <x v="25"/>
    <x v="48"/>
    <x v="47"/>
    <x v="0"/>
    <n v="89047"/>
    <s v="High"/>
    <x v="38"/>
    <n v="52"/>
    <x v="1"/>
    <x v="0"/>
    <n v="4.08"/>
    <s v="No"/>
    <n v="3.27"/>
    <x v="2"/>
    <x v="3"/>
    <x v="1"/>
  </r>
  <r>
    <s v="AIJ-102066"/>
    <x v="13"/>
    <x v="2"/>
    <x v="3"/>
    <x v="1"/>
    <x v="20"/>
    <x v="45"/>
    <x v="6"/>
    <x v="2"/>
    <n v="214980"/>
    <s v="Medium"/>
    <x v="17"/>
    <n v="50"/>
    <x v="0"/>
    <x v="2"/>
    <n v="2.25"/>
    <s v="Yes"/>
    <n v="1.39"/>
    <x v="1"/>
    <x v="0"/>
    <x v="2"/>
  </r>
  <r>
    <s v="AIJ-102067"/>
    <x v="4"/>
    <x v="1"/>
    <x v="8"/>
    <x v="2"/>
    <x v="12"/>
    <x v="71"/>
    <x v="39"/>
    <x v="0"/>
    <n v="71435"/>
    <s v="Low"/>
    <x v="28"/>
    <n v="42"/>
    <x v="2"/>
    <x v="1"/>
    <n v="4.54"/>
    <s v="No"/>
    <n v="4.71"/>
    <x v="2"/>
    <x v="2"/>
    <x v="3"/>
  </r>
  <r>
    <s v="AIJ-102068"/>
    <x v="12"/>
    <x v="0"/>
    <x v="2"/>
    <x v="2"/>
    <x v="9"/>
    <x v="42"/>
    <x v="57"/>
    <x v="0"/>
    <n v="102547"/>
    <s v="Medium"/>
    <x v="30"/>
    <n v="31"/>
    <x v="1"/>
    <x v="1"/>
    <n v="4.24"/>
    <s v="Yes"/>
    <n v="3.83"/>
    <x v="0"/>
    <x v="0"/>
    <x v="1"/>
  </r>
  <r>
    <s v="AIJ-102069"/>
    <x v="5"/>
    <x v="9"/>
    <x v="3"/>
    <x v="0"/>
    <x v="12"/>
    <x v="88"/>
    <x v="70"/>
    <x v="0"/>
    <n v="214230"/>
    <s v="Medium"/>
    <x v="3"/>
    <n v="59"/>
    <x v="0"/>
    <x v="1"/>
    <n v="3.13"/>
    <s v="No"/>
    <n v="2.89"/>
    <x v="2"/>
    <x v="2"/>
    <x v="3"/>
  </r>
  <r>
    <s v="AIJ-102070"/>
    <x v="5"/>
    <x v="5"/>
    <x v="7"/>
    <x v="2"/>
    <x v="1"/>
    <x v="31"/>
    <x v="29"/>
    <x v="2"/>
    <n v="184838"/>
    <s v="Medium"/>
    <x v="30"/>
    <n v="57"/>
    <x v="2"/>
    <x v="2"/>
    <n v="4.22"/>
    <s v="Yes"/>
    <n v="2.99"/>
    <x v="1"/>
    <x v="2"/>
    <x v="1"/>
  </r>
  <r>
    <s v="AIJ-102071"/>
    <x v="19"/>
    <x v="0"/>
    <x v="0"/>
    <x v="0"/>
    <x v="2"/>
    <x v="13"/>
    <x v="7"/>
    <x v="1"/>
    <n v="175840"/>
    <s v="Medium"/>
    <x v="55"/>
    <n v="31"/>
    <x v="0"/>
    <x v="2"/>
    <n v="3.2"/>
    <s v="No"/>
    <n v="4.4000000000000004"/>
    <x v="1"/>
    <x v="3"/>
    <x v="1"/>
  </r>
  <r>
    <s v="AIJ-102072"/>
    <x v="17"/>
    <x v="3"/>
    <x v="6"/>
    <x v="1"/>
    <x v="24"/>
    <x v="77"/>
    <x v="65"/>
    <x v="1"/>
    <n v="103136"/>
    <s v="Medium"/>
    <x v="35"/>
    <n v="50"/>
    <x v="1"/>
    <x v="0"/>
    <n v="3.62"/>
    <s v="No"/>
    <n v="4.3899999999999997"/>
    <x v="2"/>
    <x v="3"/>
    <x v="1"/>
  </r>
  <r>
    <s v="AIJ-102073"/>
    <x v="14"/>
    <x v="5"/>
    <x v="6"/>
    <x v="0"/>
    <x v="0"/>
    <x v="9"/>
    <x v="42"/>
    <x v="1"/>
    <n v="76341"/>
    <s v="Low"/>
    <x v="3"/>
    <n v="32"/>
    <x v="2"/>
    <x v="0"/>
    <n v="3.69"/>
    <s v="Yes"/>
    <n v="2.1800000000000002"/>
    <x v="2"/>
    <x v="3"/>
    <x v="0"/>
  </r>
  <r>
    <s v="AIJ-102074"/>
    <x v="6"/>
    <x v="4"/>
    <x v="5"/>
    <x v="0"/>
    <x v="22"/>
    <x v="81"/>
    <x v="13"/>
    <x v="2"/>
    <n v="99383"/>
    <s v="Low"/>
    <x v="44"/>
    <n v="53"/>
    <x v="0"/>
    <x v="1"/>
    <n v="3.17"/>
    <s v="Yes"/>
    <n v="3.73"/>
    <x v="1"/>
    <x v="2"/>
    <x v="2"/>
  </r>
  <r>
    <s v="AIJ-102075"/>
    <x v="3"/>
    <x v="9"/>
    <x v="5"/>
    <x v="2"/>
    <x v="25"/>
    <x v="32"/>
    <x v="35"/>
    <x v="2"/>
    <n v="33644"/>
    <s v="High"/>
    <x v="53"/>
    <n v="30"/>
    <x v="2"/>
    <x v="1"/>
    <n v="3.66"/>
    <s v="Yes"/>
    <n v="3.03"/>
    <x v="1"/>
    <x v="3"/>
    <x v="1"/>
  </r>
  <r>
    <s v="AIJ-102076"/>
    <x v="14"/>
    <x v="4"/>
    <x v="3"/>
    <x v="1"/>
    <x v="25"/>
    <x v="81"/>
    <x v="67"/>
    <x v="0"/>
    <n v="41990"/>
    <s v="High"/>
    <x v="8"/>
    <n v="35"/>
    <x v="1"/>
    <x v="0"/>
    <n v="4.28"/>
    <s v="No"/>
    <n v="3.34"/>
    <x v="2"/>
    <x v="3"/>
    <x v="1"/>
  </r>
  <r>
    <s v="AIJ-102077"/>
    <x v="11"/>
    <x v="9"/>
    <x v="9"/>
    <x v="1"/>
    <x v="8"/>
    <x v="75"/>
    <x v="6"/>
    <x v="1"/>
    <n v="125300"/>
    <s v="Medium"/>
    <x v="2"/>
    <n v="55"/>
    <x v="0"/>
    <x v="2"/>
    <n v="4.6900000000000004"/>
    <s v="Yes"/>
    <n v="1.68"/>
    <x v="2"/>
    <x v="0"/>
    <x v="2"/>
  </r>
  <r>
    <s v="AIJ-102078"/>
    <x v="0"/>
    <x v="6"/>
    <x v="2"/>
    <x v="1"/>
    <x v="2"/>
    <x v="59"/>
    <x v="0"/>
    <x v="0"/>
    <n v="169828"/>
    <s v="Medium"/>
    <x v="23"/>
    <n v="42"/>
    <x v="1"/>
    <x v="2"/>
    <n v="3.6"/>
    <s v="No"/>
    <n v="1.38"/>
    <x v="2"/>
    <x v="3"/>
    <x v="1"/>
  </r>
  <r>
    <s v="AIJ-102079"/>
    <x v="15"/>
    <x v="8"/>
    <x v="8"/>
    <x v="0"/>
    <x v="25"/>
    <x v="55"/>
    <x v="17"/>
    <x v="0"/>
    <n v="48314"/>
    <s v="Medium"/>
    <x v="37"/>
    <n v="37"/>
    <x v="2"/>
    <x v="1"/>
    <n v="3.86"/>
    <s v="Yes"/>
    <n v="2.27"/>
    <x v="1"/>
    <x v="1"/>
    <x v="1"/>
  </r>
  <r>
    <s v="AIJ-102080"/>
    <x v="0"/>
    <x v="4"/>
    <x v="4"/>
    <x v="0"/>
    <x v="0"/>
    <x v="33"/>
    <x v="77"/>
    <x v="0"/>
    <n v="121021"/>
    <s v="Medium"/>
    <x v="7"/>
    <n v="57"/>
    <x v="2"/>
    <x v="0"/>
    <n v="3.46"/>
    <s v="Yes"/>
    <n v="4.24"/>
    <x v="0"/>
    <x v="2"/>
    <x v="0"/>
  </r>
  <r>
    <s v="AIJ-102081"/>
    <x v="15"/>
    <x v="3"/>
    <x v="6"/>
    <x v="2"/>
    <x v="15"/>
    <x v="12"/>
    <x v="10"/>
    <x v="1"/>
    <n v="35143"/>
    <s v="High"/>
    <x v="17"/>
    <n v="59"/>
    <x v="2"/>
    <x v="2"/>
    <n v="4.47"/>
    <s v="No"/>
    <n v="4.6500000000000004"/>
    <x v="0"/>
    <x v="3"/>
    <x v="1"/>
  </r>
  <r>
    <s v="AIJ-102082"/>
    <x v="0"/>
    <x v="1"/>
    <x v="9"/>
    <x v="3"/>
    <x v="20"/>
    <x v="51"/>
    <x v="47"/>
    <x v="2"/>
    <n v="114571"/>
    <s v="High"/>
    <x v="29"/>
    <n v="60"/>
    <x v="1"/>
    <x v="2"/>
    <n v="2.83"/>
    <s v="Yes"/>
    <n v="1.9"/>
    <x v="1"/>
    <x v="2"/>
    <x v="2"/>
  </r>
  <r>
    <s v="AIJ-102083"/>
    <x v="18"/>
    <x v="3"/>
    <x v="8"/>
    <x v="3"/>
    <x v="16"/>
    <x v="53"/>
    <x v="8"/>
    <x v="1"/>
    <n v="153289"/>
    <s v="High"/>
    <x v="37"/>
    <n v="50"/>
    <x v="2"/>
    <x v="0"/>
    <n v="3.66"/>
    <s v="Yes"/>
    <n v="1.23"/>
    <x v="1"/>
    <x v="2"/>
    <x v="3"/>
  </r>
  <r>
    <s v="AIJ-102084"/>
    <x v="18"/>
    <x v="0"/>
    <x v="4"/>
    <x v="2"/>
    <x v="2"/>
    <x v="75"/>
    <x v="41"/>
    <x v="0"/>
    <n v="98913"/>
    <s v="Medium"/>
    <x v="48"/>
    <n v="55"/>
    <x v="1"/>
    <x v="2"/>
    <n v="4.6900000000000004"/>
    <s v="No"/>
    <n v="4.66"/>
    <x v="1"/>
    <x v="3"/>
    <x v="1"/>
  </r>
  <r>
    <s v="AIJ-102085"/>
    <x v="4"/>
    <x v="5"/>
    <x v="1"/>
    <x v="3"/>
    <x v="9"/>
    <x v="17"/>
    <x v="65"/>
    <x v="0"/>
    <n v="130351"/>
    <s v="Medium"/>
    <x v="43"/>
    <n v="41"/>
    <x v="2"/>
    <x v="2"/>
    <n v="2.5499999999999998"/>
    <s v="No"/>
    <n v="3.77"/>
    <x v="0"/>
    <x v="3"/>
    <x v="1"/>
  </r>
  <r>
    <s v="AIJ-102086"/>
    <x v="13"/>
    <x v="0"/>
    <x v="2"/>
    <x v="0"/>
    <x v="13"/>
    <x v="73"/>
    <x v="15"/>
    <x v="2"/>
    <n v="96294"/>
    <s v="Medium"/>
    <x v="50"/>
    <n v="54"/>
    <x v="2"/>
    <x v="2"/>
    <n v="4.16"/>
    <s v="Yes"/>
    <n v="1.83"/>
    <x v="0"/>
    <x v="3"/>
    <x v="1"/>
  </r>
  <r>
    <s v="AIJ-102087"/>
    <x v="7"/>
    <x v="0"/>
    <x v="1"/>
    <x v="2"/>
    <x v="25"/>
    <x v="41"/>
    <x v="49"/>
    <x v="0"/>
    <n v="54271"/>
    <s v="Medium"/>
    <x v="3"/>
    <n v="50"/>
    <x v="1"/>
    <x v="1"/>
    <n v="4.2"/>
    <s v="No"/>
    <n v="1.27"/>
    <x v="1"/>
    <x v="2"/>
    <x v="1"/>
  </r>
  <r>
    <s v="AIJ-102088"/>
    <x v="0"/>
    <x v="3"/>
    <x v="0"/>
    <x v="3"/>
    <x v="18"/>
    <x v="29"/>
    <x v="66"/>
    <x v="0"/>
    <n v="130315"/>
    <s v="High"/>
    <x v="4"/>
    <n v="56"/>
    <x v="0"/>
    <x v="2"/>
    <n v="2.13"/>
    <s v="Yes"/>
    <n v="3.7"/>
    <x v="2"/>
    <x v="2"/>
    <x v="3"/>
  </r>
  <r>
    <s v="AIJ-102089"/>
    <x v="13"/>
    <x v="0"/>
    <x v="1"/>
    <x v="3"/>
    <x v="19"/>
    <x v="43"/>
    <x v="24"/>
    <x v="0"/>
    <n v="41892"/>
    <s v="Medium"/>
    <x v="0"/>
    <n v="49"/>
    <x v="2"/>
    <x v="0"/>
    <n v="2.2599999999999998"/>
    <s v="No"/>
    <n v="3.14"/>
    <x v="2"/>
    <x v="3"/>
    <x v="2"/>
  </r>
  <r>
    <s v="AIJ-102090"/>
    <x v="18"/>
    <x v="2"/>
    <x v="2"/>
    <x v="3"/>
    <x v="24"/>
    <x v="25"/>
    <x v="65"/>
    <x v="1"/>
    <n v="142072"/>
    <s v="High"/>
    <x v="44"/>
    <n v="55"/>
    <x v="2"/>
    <x v="1"/>
    <n v="4.8600000000000003"/>
    <s v="Yes"/>
    <n v="2.4700000000000002"/>
    <x v="0"/>
    <x v="3"/>
    <x v="1"/>
  </r>
  <r>
    <s v="AIJ-102091"/>
    <x v="0"/>
    <x v="9"/>
    <x v="0"/>
    <x v="0"/>
    <x v="12"/>
    <x v="62"/>
    <x v="19"/>
    <x v="0"/>
    <n v="58256"/>
    <s v="Low"/>
    <x v="50"/>
    <n v="54"/>
    <x v="1"/>
    <x v="2"/>
    <n v="2.6"/>
    <s v="No"/>
    <n v="1.62"/>
    <x v="2"/>
    <x v="3"/>
    <x v="3"/>
  </r>
  <r>
    <s v="AIJ-102092"/>
    <x v="1"/>
    <x v="6"/>
    <x v="0"/>
    <x v="1"/>
    <x v="10"/>
    <x v="37"/>
    <x v="25"/>
    <x v="0"/>
    <n v="68056"/>
    <s v="Medium"/>
    <x v="53"/>
    <n v="30"/>
    <x v="2"/>
    <x v="2"/>
    <n v="4.32"/>
    <s v="No"/>
    <n v="4.72"/>
    <x v="1"/>
    <x v="2"/>
    <x v="3"/>
  </r>
  <r>
    <s v="AIJ-102093"/>
    <x v="1"/>
    <x v="9"/>
    <x v="9"/>
    <x v="0"/>
    <x v="12"/>
    <x v="59"/>
    <x v="0"/>
    <x v="0"/>
    <n v="151663"/>
    <s v="Medium"/>
    <x v="5"/>
    <n v="30"/>
    <x v="2"/>
    <x v="2"/>
    <n v="4.91"/>
    <s v="No"/>
    <n v="1.77"/>
    <x v="2"/>
    <x v="3"/>
    <x v="3"/>
  </r>
  <r>
    <s v="AIJ-102094"/>
    <x v="0"/>
    <x v="8"/>
    <x v="6"/>
    <x v="0"/>
    <x v="10"/>
    <x v="5"/>
    <x v="59"/>
    <x v="0"/>
    <n v="182250"/>
    <s v="High"/>
    <x v="50"/>
    <n v="44"/>
    <x v="2"/>
    <x v="2"/>
    <n v="3.57"/>
    <s v="No"/>
    <n v="1.55"/>
    <x v="2"/>
    <x v="2"/>
    <x v="3"/>
  </r>
  <r>
    <s v="AIJ-102095"/>
    <x v="0"/>
    <x v="3"/>
    <x v="7"/>
    <x v="2"/>
    <x v="21"/>
    <x v="54"/>
    <x v="32"/>
    <x v="1"/>
    <n v="141048"/>
    <s v="Medium"/>
    <x v="11"/>
    <n v="55"/>
    <x v="0"/>
    <x v="0"/>
    <n v="4.72"/>
    <s v="Yes"/>
    <n v="4.5"/>
    <x v="2"/>
    <x v="3"/>
    <x v="0"/>
  </r>
  <r>
    <s v="AIJ-102096"/>
    <x v="19"/>
    <x v="4"/>
    <x v="9"/>
    <x v="2"/>
    <x v="2"/>
    <x v="37"/>
    <x v="34"/>
    <x v="1"/>
    <n v="162010"/>
    <s v="High"/>
    <x v="36"/>
    <n v="35"/>
    <x v="0"/>
    <x v="1"/>
    <n v="2.2999999999999998"/>
    <s v="No"/>
    <n v="4.97"/>
    <x v="1"/>
    <x v="2"/>
    <x v="1"/>
  </r>
  <r>
    <s v="AIJ-102097"/>
    <x v="0"/>
    <x v="6"/>
    <x v="0"/>
    <x v="3"/>
    <x v="24"/>
    <x v="46"/>
    <x v="58"/>
    <x v="1"/>
    <n v="99311"/>
    <s v="Medium"/>
    <x v="28"/>
    <n v="44"/>
    <x v="0"/>
    <x v="0"/>
    <n v="2.13"/>
    <s v="No"/>
    <n v="4.59"/>
    <x v="0"/>
    <x v="3"/>
    <x v="1"/>
  </r>
  <r>
    <s v="AIJ-102098"/>
    <x v="13"/>
    <x v="8"/>
    <x v="7"/>
    <x v="2"/>
    <x v="3"/>
    <x v="71"/>
    <x v="10"/>
    <x v="0"/>
    <n v="211416"/>
    <s v="Low"/>
    <x v="13"/>
    <n v="51"/>
    <x v="0"/>
    <x v="0"/>
    <n v="2.09"/>
    <s v="No"/>
    <n v="3.99"/>
    <x v="1"/>
    <x v="2"/>
    <x v="2"/>
  </r>
  <r>
    <s v="AIJ-102099"/>
    <x v="12"/>
    <x v="5"/>
    <x v="8"/>
    <x v="1"/>
    <x v="18"/>
    <x v="38"/>
    <x v="32"/>
    <x v="2"/>
    <n v="169252"/>
    <s v="Low"/>
    <x v="54"/>
    <n v="54"/>
    <x v="2"/>
    <x v="0"/>
    <n v="4.7699999999999996"/>
    <s v="Yes"/>
    <n v="2.76"/>
    <x v="2"/>
    <x v="0"/>
    <x v="3"/>
  </r>
  <r>
    <s v="AIJ-102100"/>
    <x v="0"/>
    <x v="0"/>
    <x v="4"/>
    <x v="0"/>
    <x v="8"/>
    <x v="82"/>
    <x v="6"/>
    <x v="2"/>
    <n v="157562"/>
    <s v="Low"/>
    <x v="46"/>
    <n v="56"/>
    <x v="1"/>
    <x v="2"/>
    <n v="4.5199999999999996"/>
    <s v="No"/>
    <n v="2.5499999999999998"/>
    <x v="2"/>
    <x v="0"/>
    <x v="2"/>
  </r>
  <r>
    <s v="AIJ-102101"/>
    <x v="4"/>
    <x v="9"/>
    <x v="4"/>
    <x v="2"/>
    <x v="17"/>
    <x v="2"/>
    <x v="35"/>
    <x v="2"/>
    <n v="172768"/>
    <s v="High"/>
    <x v="19"/>
    <n v="43"/>
    <x v="2"/>
    <x v="2"/>
    <n v="2.1"/>
    <s v="No"/>
    <n v="4.3"/>
    <x v="1"/>
    <x v="2"/>
    <x v="3"/>
  </r>
  <r>
    <s v="AIJ-102102"/>
    <x v="15"/>
    <x v="8"/>
    <x v="2"/>
    <x v="0"/>
    <x v="7"/>
    <x v="82"/>
    <x v="47"/>
    <x v="2"/>
    <n v="136504"/>
    <s v="Medium"/>
    <x v="34"/>
    <n v="43"/>
    <x v="2"/>
    <x v="0"/>
    <n v="2.38"/>
    <s v="No"/>
    <n v="3.66"/>
    <x v="1"/>
    <x v="3"/>
    <x v="1"/>
  </r>
  <r>
    <s v="AIJ-102103"/>
    <x v="11"/>
    <x v="6"/>
    <x v="3"/>
    <x v="1"/>
    <x v="22"/>
    <x v="5"/>
    <x v="50"/>
    <x v="2"/>
    <n v="180091"/>
    <s v="Medium"/>
    <x v="19"/>
    <n v="49"/>
    <x v="2"/>
    <x v="2"/>
    <n v="3.3"/>
    <s v="Yes"/>
    <n v="1.4"/>
    <x v="1"/>
    <x v="3"/>
    <x v="2"/>
  </r>
  <r>
    <s v="AIJ-102104"/>
    <x v="0"/>
    <x v="4"/>
    <x v="9"/>
    <x v="1"/>
    <x v="20"/>
    <x v="81"/>
    <x v="19"/>
    <x v="2"/>
    <n v="91180"/>
    <s v="Low"/>
    <x v="17"/>
    <n v="36"/>
    <x v="0"/>
    <x v="0"/>
    <n v="4.25"/>
    <s v="No"/>
    <n v="1.55"/>
    <x v="1"/>
    <x v="3"/>
    <x v="2"/>
  </r>
  <r>
    <s v="AIJ-102105"/>
    <x v="10"/>
    <x v="2"/>
    <x v="5"/>
    <x v="0"/>
    <x v="17"/>
    <x v="43"/>
    <x v="20"/>
    <x v="1"/>
    <n v="52774"/>
    <s v="Medium"/>
    <x v="54"/>
    <n v="47"/>
    <x v="1"/>
    <x v="0"/>
    <n v="4.74"/>
    <s v="Yes"/>
    <n v="2.96"/>
    <x v="2"/>
    <x v="3"/>
    <x v="3"/>
  </r>
  <r>
    <s v="AIJ-102106"/>
    <x v="10"/>
    <x v="6"/>
    <x v="2"/>
    <x v="1"/>
    <x v="12"/>
    <x v="68"/>
    <x v="48"/>
    <x v="1"/>
    <n v="134540"/>
    <s v="Medium"/>
    <x v="11"/>
    <n v="42"/>
    <x v="0"/>
    <x v="2"/>
    <n v="3.76"/>
    <s v="No"/>
    <n v="1.3"/>
    <x v="0"/>
    <x v="2"/>
    <x v="3"/>
  </r>
  <r>
    <s v="AIJ-102107"/>
    <x v="2"/>
    <x v="7"/>
    <x v="6"/>
    <x v="3"/>
    <x v="16"/>
    <x v="88"/>
    <x v="20"/>
    <x v="2"/>
    <n v="123223"/>
    <s v="Low"/>
    <x v="39"/>
    <n v="31"/>
    <x v="1"/>
    <x v="1"/>
    <n v="4.66"/>
    <s v="No"/>
    <n v="4.42"/>
    <x v="2"/>
    <x v="2"/>
    <x v="3"/>
  </r>
  <r>
    <s v="AIJ-102108"/>
    <x v="0"/>
    <x v="3"/>
    <x v="9"/>
    <x v="0"/>
    <x v="2"/>
    <x v="17"/>
    <x v="52"/>
    <x v="0"/>
    <n v="119096"/>
    <s v="Low"/>
    <x v="55"/>
    <n v="54"/>
    <x v="1"/>
    <x v="2"/>
    <n v="2.33"/>
    <s v="No"/>
    <n v="2.4900000000000002"/>
    <x v="1"/>
    <x v="0"/>
    <x v="1"/>
  </r>
  <r>
    <s v="AIJ-102109"/>
    <x v="3"/>
    <x v="0"/>
    <x v="3"/>
    <x v="2"/>
    <x v="8"/>
    <x v="68"/>
    <x v="8"/>
    <x v="2"/>
    <n v="135910"/>
    <s v="Medium"/>
    <x v="53"/>
    <n v="50"/>
    <x v="1"/>
    <x v="1"/>
    <n v="2.1"/>
    <s v="Yes"/>
    <n v="2.63"/>
    <x v="2"/>
    <x v="3"/>
    <x v="2"/>
  </r>
  <r>
    <s v="AIJ-102110"/>
    <x v="14"/>
    <x v="7"/>
    <x v="1"/>
    <x v="0"/>
    <x v="2"/>
    <x v="49"/>
    <x v="12"/>
    <x v="2"/>
    <n v="110374"/>
    <s v="Medium"/>
    <x v="37"/>
    <n v="57"/>
    <x v="2"/>
    <x v="2"/>
    <n v="2.85"/>
    <s v="No"/>
    <n v="3.69"/>
    <x v="1"/>
    <x v="3"/>
    <x v="1"/>
  </r>
  <r>
    <s v="AIJ-102111"/>
    <x v="18"/>
    <x v="2"/>
    <x v="9"/>
    <x v="0"/>
    <x v="23"/>
    <x v="75"/>
    <x v="34"/>
    <x v="1"/>
    <n v="180212"/>
    <s v="High"/>
    <x v="48"/>
    <n v="58"/>
    <x v="0"/>
    <x v="1"/>
    <n v="4.7699999999999996"/>
    <s v="Yes"/>
    <n v="1.24"/>
    <x v="0"/>
    <x v="3"/>
    <x v="3"/>
  </r>
  <r>
    <s v="AIJ-102112"/>
    <x v="6"/>
    <x v="6"/>
    <x v="2"/>
    <x v="0"/>
    <x v="14"/>
    <x v="35"/>
    <x v="22"/>
    <x v="2"/>
    <n v="73172"/>
    <s v="Low"/>
    <x v="14"/>
    <n v="59"/>
    <x v="0"/>
    <x v="2"/>
    <n v="3.88"/>
    <s v="Yes"/>
    <n v="3.41"/>
    <x v="1"/>
    <x v="3"/>
    <x v="2"/>
  </r>
  <r>
    <s v="AIJ-102113"/>
    <x v="7"/>
    <x v="7"/>
    <x v="3"/>
    <x v="0"/>
    <x v="10"/>
    <x v="64"/>
    <x v="66"/>
    <x v="2"/>
    <n v="214083"/>
    <s v="High"/>
    <x v="8"/>
    <n v="39"/>
    <x v="0"/>
    <x v="2"/>
    <n v="2.88"/>
    <s v="No"/>
    <n v="4.7699999999999996"/>
    <x v="2"/>
    <x v="1"/>
    <x v="3"/>
  </r>
  <r>
    <s v="AIJ-102114"/>
    <x v="16"/>
    <x v="1"/>
    <x v="2"/>
    <x v="2"/>
    <x v="12"/>
    <x v="53"/>
    <x v="0"/>
    <x v="1"/>
    <n v="163676"/>
    <s v="High"/>
    <x v="35"/>
    <n v="51"/>
    <x v="1"/>
    <x v="2"/>
    <n v="2.1"/>
    <s v="No"/>
    <n v="3.24"/>
    <x v="1"/>
    <x v="2"/>
    <x v="3"/>
  </r>
  <r>
    <s v="AIJ-102115"/>
    <x v="17"/>
    <x v="5"/>
    <x v="1"/>
    <x v="0"/>
    <x v="17"/>
    <x v="13"/>
    <x v="18"/>
    <x v="2"/>
    <n v="61746"/>
    <s v="Medium"/>
    <x v="44"/>
    <n v="45"/>
    <x v="1"/>
    <x v="2"/>
    <n v="2.85"/>
    <s v="Yes"/>
    <n v="1.01"/>
    <x v="0"/>
    <x v="3"/>
    <x v="3"/>
  </r>
  <r>
    <s v="AIJ-102116"/>
    <x v="5"/>
    <x v="7"/>
    <x v="7"/>
    <x v="3"/>
    <x v="19"/>
    <x v="2"/>
    <x v="23"/>
    <x v="2"/>
    <n v="89924"/>
    <s v="Low"/>
    <x v="45"/>
    <n v="37"/>
    <x v="2"/>
    <x v="2"/>
    <n v="4.76"/>
    <s v="No"/>
    <n v="1.22"/>
    <x v="1"/>
    <x v="2"/>
    <x v="2"/>
  </r>
  <r>
    <s v="AIJ-102117"/>
    <x v="2"/>
    <x v="7"/>
    <x v="0"/>
    <x v="3"/>
    <x v="20"/>
    <x v="80"/>
    <x v="16"/>
    <x v="1"/>
    <n v="92741"/>
    <s v="Medium"/>
    <x v="20"/>
    <n v="53"/>
    <x v="0"/>
    <x v="1"/>
    <n v="4.57"/>
    <s v="Yes"/>
    <n v="3.97"/>
    <x v="2"/>
    <x v="1"/>
    <x v="2"/>
  </r>
  <r>
    <s v="AIJ-102118"/>
    <x v="4"/>
    <x v="4"/>
    <x v="6"/>
    <x v="1"/>
    <x v="19"/>
    <x v="26"/>
    <x v="63"/>
    <x v="2"/>
    <n v="48709"/>
    <s v="High"/>
    <x v="1"/>
    <n v="40"/>
    <x v="2"/>
    <x v="1"/>
    <n v="4.3"/>
    <s v="Yes"/>
    <n v="4.07"/>
    <x v="0"/>
    <x v="3"/>
    <x v="2"/>
  </r>
  <r>
    <s v="AIJ-102119"/>
    <x v="19"/>
    <x v="4"/>
    <x v="1"/>
    <x v="0"/>
    <x v="2"/>
    <x v="24"/>
    <x v="2"/>
    <x v="0"/>
    <n v="199165"/>
    <s v="Low"/>
    <x v="40"/>
    <n v="42"/>
    <x v="1"/>
    <x v="1"/>
    <n v="4.1399999999999997"/>
    <s v="Yes"/>
    <n v="1.52"/>
    <x v="1"/>
    <x v="3"/>
    <x v="1"/>
  </r>
  <r>
    <s v="AIJ-102120"/>
    <x v="8"/>
    <x v="3"/>
    <x v="4"/>
    <x v="0"/>
    <x v="15"/>
    <x v="31"/>
    <x v="35"/>
    <x v="2"/>
    <n v="156160"/>
    <s v="Medium"/>
    <x v="55"/>
    <n v="51"/>
    <x v="2"/>
    <x v="2"/>
    <n v="4.0999999999999996"/>
    <s v="Yes"/>
    <n v="3.48"/>
    <x v="0"/>
    <x v="3"/>
    <x v="1"/>
  </r>
  <r>
    <s v="AIJ-102121"/>
    <x v="2"/>
    <x v="5"/>
    <x v="4"/>
    <x v="3"/>
    <x v="18"/>
    <x v="48"/>
    <x v="18"/>
    <x v="2"/>
    <n v="207959"/>
    <s v="High"/>
    <x v="25"/>
    <n v="46"/>
    <x v="1"/>
    <x v="1"/>
    <n v="4.43"/>
    <s v="Yes"/>
    <n v="1.4"/>
    <x v="1"/>
    <x v="3"/>
    <x v="3"/>
  </r>
  <r>
    <s v="AIJ-102122"/>
    <x v="12"/>
    <x v="0"/>
    <x v="5"/>
    <x v="3"/>
    <x v="24"/>
    <x v="21"/>
    <x v="40"/>
    <x v="0"/>
    <n v="172447"/>
    <s v="Low"/>
    <x v="0"/>
    <n v="32"/>
    <x v="0"/>
    <x v="1"/>
    <n v="3.72"/>
    <s v="Yes"/>
    <n v="1.28"/>
    <x v="0"/>
    <x v="2"/>
    <x v="1"/>
  </r>
  <r>
    <s v="AIJ-102123"/>
    <x v="9"/>
    <x v="9"/>
    <x v="7"/>
    <x v="3"/>
    <x v="4"/>
    <x v="13"/>
    <x v="11"/>
    <x v="0"/>
    <n v="140892"/>
    <s v="Low"/>
    <x v="51"/>
    <n v="55"/>
    <x v="1"/>
    <x v="2"/>
    <n v="4.3600000000000003"/>
    <s v="Yes"/>
    <n v="2.99"/>
    <x v="1"/>
    <x v="2"/>
    <x v="1"/>
  </r>
  <r>
    <s v="AIJ-102124"/>
    <x v="1"/>
    <x v="2"/>
    <x v="9"/>
    <x v="2"/>
    <x v="4"/>
    <x v="85"/>
    <x v="68"/>
    <x v="1"/>
    <n v="62829"/>
    <s v="Low"/>
    <x v="47"/>
    <n v="49"/>
    <x v="0"/>
    <x v="2"/>
    <n v="2.99"/>
    <s v="Yes"/>
    <n v="4.55"/>
    <x v="1"/>
    <x v="3"/>
    <x v="1"/>
  </r>
  <r>
    <s v="AIJ-102125"/>
    <x v="15"/>
    <x v="8"/>
    <x v="1"/>
    <x v="0"/>
    <x v="7"/>
    <x v="53"/>
    <x v="6"/>
    <x v="2"/>
    <n v="105231"/>
    <s v="High"/>
    <x v="19"/>
    <n v="40"/>
    <x v="1"/>
    <x v="2"/>
    <n v="2.23"/>
    <s v="No"/>
    <n v="1.65"/>
    <x v="1"/>
    <x v="3"/>
    <x v="1"/>
  </r>
  <r>
    <s v="AIJ-102126"/>
    <x v="11"/>
    <x v="2"/>
    <x v="2"/>
    <x v="3"/>
    <x v="4"/>
    <x v="9"/>
    <x v="47"/>
    <x v="1"/>
    <n v="146933"/>
    <s v="Medium"/>
    <x v="54"/>
    <n v="49"/>
    <x v="2"/>
    <x v="2"/>
    <n v="3.78"/>
    <s v="No"/>
    <n v="3.64"/>
    <x v="1"/>
    <x v="2"/>
    <x v="1"/>
  </r>
  <r>
    <s v="AIJ-102127"/>
    <x v="17"/>
    <x v="9"/>
    <x v="3"/>
    <x v="2"/>
    <x v="17"/>
    <x v="35"/>
    <x v="6"/>
    <x v="1"/>
    <n v="217845"/>
    <s v="Low"/>
    <x v="21"/>
    <n v="50"/>
    <x v="2"/>
    <x v="0"/>
    <n v="2.99"/>
    <s v="No"/>
    <n v="1.24"/>
    <x v="0"/>
    <x v="3"/>
    <x v="3"/>
  </r>
  <r>
    <s v="AIJ-102128"/>
    <x v="16"/>
    <x v="0"/>
    <x v="9"/>
    <x v="0"/>
    <x v="18"/>
    <x v="77"/>
    <x v="4"/>
    <x v="0"/>
    <n v="38000"/>
    <s v="Low"/>
    <x v="19"/>
    <n v="41"/>
    <x v="0"/>
    <x v="2"/>
    <n v="2.82"/>
    <s v="No"/>
    <n v="2.66"/>
    <x v="2"/>
    <x v="0"/>
    <x v="3"/>
  </r>
  <r>
    <s v="AIJ-102129"/>
    <x v="6"/>
    <x v="1"/>
    <x v="8"/>
    <x v="2"/>
    <x v="21"/>
    <x v="64"/>
    <x v="29"/>
    <x v="0"/>
    <n v="100862"/>
    <s v="Medium"/>
    <x v="54"/>
    <n v="41"/>
    <x v="2"/>
    <x v="1"/>
    <n v="3.14"/>
    <s v="No"/>
    <n v="2.85"/>
    <x v="1"/>
    <x v="1"/>
    <x v="0"/>
  </r>
  <r>
    <s v="AIJ-102130"/>
    <x v="3"/>
    <x v="6"/>
    <x v="5"/>
    <x v="2"/>
    <x v="12"/>
    <x v="51"/>
    <x v="67"/>
    <x v="2"/>
    <n v="108868"/>
    <s v="Medium"/>
    <x v="32"/>
    <n v="30"/>
    <x v="0"/>
    <x v="2"/>
    <n v="2.72"/>
    <s v="Yes"/>
    <n v="3.45"/>
    <x v="1"/>
    <x v="2"/>
    <x v="3"/>
  </r>
  <r>
    <s v="AIJ-102131"/>
    <x v="15"/>
    <x v="7"/>
    <x v="4"/>
    <x v="0"/>
    <x v="20"/>
    <x v="86"/>
    <x v="24"/>
    <x v="0"/>
    <n v="55605"/>
    <s v="Medium"/>
    <x v="0"/>
    <n v="54"/>
    <x v="2"/>
    <x v="2"/>
    <n v="3.63"/>
    <s v="Yes"/>
    <n v="4.8"/>
    <x v="0"/>
    <x v="3"/>
    <x v="2"/>
  </r>
  <r>
    <s v="AIJ-102132"/>
    <x v="15"/>
    <x v="0"/>
    <x v="5"/>
    <x v="2"/>
    <x v="10"/>
    <x v="4"/>
    <x v="12"/>
    <x v="0"/>
    <n v="200221"/>
    <s v="Low"/>
    <x v="15"/>
    <n v="42"/>
    <x v="1"/>
    <x v="1"/>
    <n v="3.81"/>
    <s v="Yes"/>
    <n v="2.73"/>
    <x v="1"/>
    <x v="3"/>
    <x v="3"/>
  </r>
  <r>
    <s v="AIJ-102133"/>
    <x v="12"/>
    <x v="9"/>
    <x v="0"/>
    <x v="0"/>
    <x v="2"/>
    <x v="73"/>
    <x v="41"/>
    <x v="0"/>
    <n v="180502"/>
    <s v="Low"/>
    <x v="44"/>
    <n v="48"/>
    <x v="2"/>
    <x v="1"/>
    <n v="3.33"/>
    <s v="No"/>
    <n v="3.69"/>
    <x v="0"/>
    <x v="3"/>
    <x v="1"/>
  </r>
  <r>
    <s v="AIJ-102134"/>
    <x v="19"/>
    <x v="5"/>
    <x v="3"/>
    <x v="3"/>
    <x v="25"/>
    <x v="88"/>
    <x v="19"/>
    <x v="1"/>
    <n v="87406"/>
    <s v="Medium"/>
    <x v="11"/>
    <n v="48"/>
    <x v="0"/>
    <x v="0"/>
    <n v="4.72"/>
    <s v="Yes"/>
    <n v="2.02"/>
    <x v="2"/>
    <x v="3"/>
    <x v="1"/>
  </r>
  <r>
    <s v="AIJ-102135"/>
    <x v="8"/>
    <x v="8"/>
    <x v="4"/>
    <x v="2"/>
    <x v="1"/>
    <x v="83"/>
    <x v="47"/>
    <x v="0"/>
    <n v="96489"/>
    <s v="High"/>
    <x v="18"/>
    <n v="44"/>
    <x v="1"/>
    <x v="1"/>
    <n v="2.77"/>
    <s v="No"/>
    <n v="3.36"/>
    <x v="1"/>
    <x v="2"/>
    <x v="1"/>
  </r>
  <r>
    <s v="AIJ-102136"/>
    <x v="3"/>
    <x v="0"/>
    <x v="5"/>
    <x v="0"/>
    <x v="18"/>
    <x v="59"/>
    <x v="5"/>
    <x v="2"/>
    <n v="202456"/>
    <s v="High"/>
    <x v="13"/>
    <n v="38"/>
    <x v="1"/>
    <x v="0"/>
    <n v="2.48"/>
    <s v="Yes"/>
    <n v="4.79"/>
    <x v="1"/>
    <x v="3"/>
    <x v="3"/>
  </r>
  <r>
    <s v="AIJ-102137"/>
    <x v="4"/>
    <x v="2"/>
    <x v="2"/>
    <x v="3"/>
    <x v="11"/>
    <x v="62"/>
    <x v="29"/>
    <x v="1"/>
    <n v="103021"/>
    <s v="High"/>
    <x v="7"/>
    <n v="45"/>
    <x v="0"/>
    <x v="2"/>
    <n v="4.3899999999999997"/>
    <s v="Yes"/>
    <n v="4.53"/>
    <x v="0"/>
    <x v="1"/>
    <x v="1"/>
  </r>
  <r>
    <s v="AIJ-102138"/>
    <x v="19"/>
    <x v="6"/>
    <x v="6"/>
    <x v="0"/>
    <x v="15"/>
    <x v="23"/>
    <x v="34"/>
    <x v="0"/>
    <n v="182099"/>
    <s v="Medium"/>
    <x v="15"/>
    <n v="53"/>
    <x v="2"/>
    <x v="1"/>
    <n v="3.8"/>
    <s v="Yes"/>
    <n v="4.08"/>
    <x v="0"/>
    <x v="2"/>
    <x v="1"/>
  </r>
  <r>
    <s v="AIJ-102139"/>
    <x v="0"/>
    <x v="3"/>
    <x v="2"/>
    <x v="2"/>
    <x v="15"/>
    <x v="84"/>
    <x v="4"/>
    <x v="2"/>
    <n v="159633"/>
    <s v="Low"/>
    <x v="15"/>
    <n v="55"/>
    <x v="0"/>
    <x v="0"/>
    <n v="2.16"/>
    <s v="No"/>
    <n v="4.83"/>
    <x v="2"/>
    <x v="3"/>
    <x v="1"/>
  </r>
  <r>
    <s v="AIJ-102140"/>
    <x v="15"/>
    <x v="0"/>
    <x v="2"/>
    <x v="0"/>
    <x v="1"/>
    <x v="81"/>
    <x v="30"/>
    <x v="1"/>
    <n v="219402"/>
    <s v="High"/>
    <x v="25"/>
    <n v="56"/>
    <x v="0"/>
    <x v="1"/>
    <n v="2.4900000000000002"/>
    <s v="Yes"/>
    <n v="2.64"/>
    <x v="1"/>
    <x v="3"/>
    <x v="1"/>
  </r>
  <r>
    <s v="AIJ-102141"/>
    <x v="0"/>
    <x v="8"/>
    <x v="6"/>
    <x v="2"/>
    <x v="14"/>
    <x v="47"/>
    <x v="23"/>
    <x v="2"/>
    <n v="120345"/>
    <s v="High"/>
    <x v="19"/>
    <n v="45"/>
    <x v="0"/>
    <x v="0"/>
    <n v="3.77"/>
    <s v="No"/>
    <n v="3.81"/>
    <x v="2"/>
    <x v="3"/>
    <x v="2"/>
  </r>
  <r>
    <s v="AIJ-102142"/>
    <x v="14"/>
    <x v="0"/>
    <x v="3"/>
    <x v="3"/>
    <x v="11"/>
    <x v="77"/>
    <x v="11"/>
    <x v="2"/>
    <n v="166295"/>
    <s v="High"/>
    <x v="15"/>
    <n v="35"/>
    <x v="1"/>
    <x v="0"/>
    <n v="2.93"/>
    <s v="No"/>
    <n v="3.53"/>
    <x v="1"/>
    <x v="3"/>
    <x v="1"/>
  </r>
  <r>
    <s v="AIJ-102143"/>
    <x v="18"/>
    <x v="0"/>
    <x v="0"/>
    <x v="2"/>
    <x v="6"/>
    <x v="53"/>
    <x v="3"/>
    <x v="0"/>
    <n v="77487"/>
    <s v="Low"/>
    <x v="10"/>
    <n v="57"/>
    <x v="2"/>
    <x v="2"/>
    <n v="2.64"/>
    <s v="Yes"/>
    <n v="4.93"/>
    <x v="1"/>
    <x v="3"/>
    <x v="0"/>
  </r>
  <r>
    <s v="AIJ-102144"/>
    <x v="11"/>
    <x v="7"/>
    <x v="5"/>
    <x v="3"/>
    <x v="8"/>
    <x v="79"/>
    <x v="61"/>
    <x v="2"/>
    <n v="91548"/>
    <s v="Medium"/>
    <x v="3"/>
    <n v="47"/>
    <x v="1"/>
    <x v="2"/>
    <n v="2.72"/>
    <s v="Yes"/>
    <n v="1.47"/>
    <x v="1"/>
    <x v="3"/>
    <x v="2"/>
  </r>
  <r>
    <s v="AIJ-102145"/>
    <x v="16"/>
    <x v="3"/>
    <x v="9"/>
    <x v="3"/>
    <x v="17"/>
    <x v="37"/>
    <x v="7"/>
    <x v="0"/>
    <n v="56911"/>
    <s v="Low"/>
    <x v="0"/>
    <n v="45"/>
    <x v="2"/>
    <x v="2"/>
    <n v="3.51"/>
    <s v="Yes"/>
    <n v="3.44"/>
    <x v="2"/>
    <x v="2"/>
    <x v="3"/>
  </r>
  <r>
    <s v="AIJ-102146"/>
    <x v="6"/>
    <x v="8"/>
    <x v="6"/>
    <x v="1"/>
    <x v="14"/>
    <x v="57"/>
    <x v="72"/>
    <x v="2"/>
    <n v="218053"/>
    <s v="Low"/>
    <x v="47"/>
    <n v="53"/>
    <x v="1"/>
    <x v="0"/>
    <n v="3.05"/>
    <s v="No"/>
    <n v="4.17"/>
    <x v="1"/>
    <x v="1"/>
    <x v="2"/>
  </r>
  <r>
    <s v="AIJ-102147"/>
    <x v="14"/>
    <x v="1"/>
    <x v="5"/>
    <x v="3"/>
    <x v="24"/>
    <x v="36"/>
    <x v="34"/>
    <x v="2"/>
    <n v="33228"/>
    <s v="Low"/>
    <x v="33"/>
    <n v="55"/>
    <x v="0"/>
    <x v="2"/>
    <n v="3.84"/>
    <s v="No"/>
    <n v="1.17"/>
    <x v="0"/>
    <x v="2"/>
    <x v="1"/>
  </r>
  <r>
    <s v="AIJ-102148"/>
    <x v="2"/>
    <x v="2"/>
    <x v="3"/>
    <x v="2"/>
    <x v="1"/>
    <x v="78"/>
    <x v="75"/>
    <x v="1"/>
    <n v="77107"/>
    <s v="Low"/>
    <x v="48"/>
    <n v="50"/>
    <x v="2"/>
    <x v="0"/>
    <n v="4.8600000000000003"/>
    <s v="Yes"/>
    <n v="2.52"/>
    <x v="0"/>
    <x v="2"/>
    <x v="1"/>
  </r>
  <r>
    <s v="AIJ-102149"/>
    <x v="16"/>
    <x v="0"/>
    <x v="7"/>
    <x v="0"/>
    <x v="17"/>
    <x v="55"/>
    <x v="66"/>
    <x v="0"/>
    <n v="67645"/>
    <s v="Low"/>
    <x v="1"/>
    <n v="41"/>
    <x v="1"/>
    <x v="2"/>
    <n v="3.91"/>
    <s v="No"/>
    <n v="3.99"/>
    <x v="2"/>
    <x v="1"/>
    <x v="3"/>
  </r>
  <r>
    <s v="AIJ-102150"/>
    <x v="8"/>
    <x v="4"/>
    <x v="4"/>
    <x v="0"/>
    <x v="6"/>
    <x v="1"/>
    <x v="71"/>
    <x v="0"/>
    <n v="172821"/>
    <s v="Medium"/>
    <x v="22"/>
    <n v="48"/>
    <x v="0"/>
    <x v="1"/>
    <n v="2.02"/>
    <s v="Yes"/>
    <n v="4.45"/>
    <x v="0"/>
    <x v="3"/>
    <x v="0"/>
  </r>
  <r>
    <s v="AIJ-102151"/>
    <x v="17"/>
    <x v="2"/>
    <x v="0"/>
    <x v="0"/>
    <x v="9"/>
    <x v="46"/>
    <x v="79"/>
    <x v="1"/>
    <n v="76094"/>
    <s v="Medium"/>
    <x v="38"/>
    <n v="53"/>
    <x v="2"/>
    <x v="2"/>
    <n v="4.28"/>
    <s v="No"/>
    <n v="4.17"/>
    <x v="1"/>
    <x v="3"/>
    <x v="1"/>
  </r>
  <r>
    <s v="AIJ-102152"/>
    <x v="17"/>
    <x v="6"/>
    <x v="9"/>
    <x v="1"/>
    <x v="9"/>
    <x v="63"/>
    <x v="34"/>
    <x v="1"/>
    <n v="74310"/>
    <s v="Medium"/>
    <x v="34"/>
    <n v="38"/>
    <x v="0"/>
    <x v="1"/>
    <n v="4.4000000000000004"/>
    <s v="Yes"/>
    <n v="3.35"/>
    <x v="0"/>
    <x v="3"/>
    <x v="1"/>
  </r>
  <r>
    <s v="AIJ-102153"/>
    <x v="14"/>
    <x v="3"/>
    <x v="0"/>
    <x v="1"/>
    <x v="15"/>
    <x v="50"/>
    <x v="3"/>
    <x v="2"/>
    <n v="41629"/>
    <s v="Medium"/>
    <x v="30"/>
    <n v="32"/>
    <x v="1"/>
    <x v="1"/>
    <n v="3.97"/>
    <s v="Yes"/>
    <n v="3.07"/>
    <x v="2"/>
    <x v="3"/>
    <x v="1"/>
  </r>
  <r>
    <s v="AIJ-102154"/>
    <x v="7"/>
    <x v="8"/>
    <x v="3"/>
    <x v="3"/>
    <x v="25"/>
    <x v="41"/>
    <x v="0"/>
    <x v="1"/>
    <n v="33856"/>
    <s v="Low"/>
    <x v="23"/>
    <n v="31"/>
    <x v="1"/>
    <x v="1"/>
    <n v="3.95"/>
    <s v="Yes"/>
    <n v="2.44"/>
    <x v="0"/>
    <x v="3"/>
    <x v="1"/>
  </r>
  <r>
    <s v="AIJ-102155"/>
    <x v="3"/>
    <x v="8"/>
    <x v="4"/>
    <x v="3"/>
    <x v="3"/>
    <x v="65"/>
    <x v="34"/>
    <x v="2"/>
    <n v="108664"/>
    <s v="High"/>
    <x v="20"/>
    <n v="49"/>
    <x v="0"/>
    <x v="0"/>
    <n v="4.38"/>
    <s v="Yes"/>
    <n v="3.71"/>
    <x v="0"/>
    <x v="2"/>
    <x v="2"/>
  </r>
  <r>
    <s v="AIJ-102156"/>
    <x v="16"/>
    <x v="4"/>
    <x v="8"/>
    <x v="1"/>
    <x v="1"/>
    <x v="11"/>
    <x v="60"/>
    <x v="1"/>
    <n v="75723"/>
    <s v="High"/>
    <x v="14"/>
    <n v="46"/>
    <x v="0"/>
    <x v="1"/>
    <n v="4.9400000000000004"/>
    <s v="No"/>
    <n v="2.04"/>
    <x v="1"/>
    <x v="3"/>
    <x v="1"/>
  </r>
  <r>
    <s v="AIJ-102157"/>
    <x v="12"/>
    <x v="9"/>
    <x v="7"/>
    <x v="1"/>
    <x v="13"/>
    <x v="16"/>
    <x v="20"/>
    <x v="0"/>
    <n v="217159"/>
    <s v="Low"/>
    <x v="18"/>
    <n v="48"/>
    <x v="1"/>
    <x v="0"/>
    <n v="4.7699999999999996"/>
    <s v="Yes"/>
    <n v="4.2"/>
    <x v="2"/>
    <x v="3"/>
    <x v="1"/>
  </r>
  <r>
    <s v="AIJ-102158"/>
    <x v="5"/>
    <x v="8"/>
    <x v="2"/>
    <x v="2"/>
    <x v="13"/>
    <x v="82"/>
    <x v="53"/>
    <x v="0"/>
    <n v="164378"/>
    <s v="Low"/>
    <x v="17"/>
    <n v="46"/>
    <x v="0"/>
    <x v="1"/>
    <n v="2.84"/>
    <s v="Yes"/>
    <n v="3.39"/>
    <x v="0"/>
    <x v="0"/>
    <x v="1"/>
  </r>
  <r>
    <s v="AIJ-102159"/>
    <x v="15"/>
    <x v="6"/>
    <x v="4"/>
    <x v="2"/>
    <x v="22"/>
    <x v="52"/>
    <x v="27"/>
    <x v="2"/>
    <n v="111046"/>
    <s v="Low"/>
    <x v="47"/>
    <n v="34"/>
    <x v="1"/>
    <x v="1"/>
    <n v="3.58"/>
    <s v="No"/>
    <n v="4.1500000000000004"/>
    <x v="2"/>
    <x v="0"/>
    <x v="2"/>
  </r>
  <r>
    <s v="AIJ-102160"/>
    <x v="3"/>
    <x v="5"/>
    <x v="5"/>
    <x v="1"/>
    <x v="21"/>
    <x v="49"/>
    <x v="10"/>
    <x v="1"/>
    <n v="54089"/>
    <s v="Low"/>
    <x v="14"/>
    <n v="57"/>
    <x v="2"/>
    <x v="2"/>
    <n v="3.14"/>
    <s v="Yes"/>
    <n v="4.46"/>
    <x v="2"/>
    <x v="3"/>
    <x v="0"/>
  </r>
  <r>
    <s v="AIJ-102161"/>
    <x v="13"/>
    <x v="3"/>
    <x v="1"/>
    <x v="3"/>
    <x v="6"/>
    <x v="11"/>
    <x v="17"/>
    <x v="0"/>
    <n v="48204"/>
    <s v="Medium"/>
    <x v="10"/>
    <n v="50"/>
    <x v="1"/>
    <x v="2"/>
    <n v="2.58"/>
    <s v="Yes"/>
    <n v="1.3"/>
    <x v="0"/>
    <x v="3"/>
    <x v="0"/>
  </r>
  <r>
    <s v="AIJ-102162"/>
    <x v="11"/>
    <x v="1"/>
    <x v="8"/>
    <x v="2"/>
    <x v="1"/>
    <x v="36"/>
    <x v="55"/>
    <x v="1"/>
    <n v="53847"/>
    <s v="Medium"/>
    <x v="32"/>
    <n v="42"/>
    <x v="1"/>
    <x v="0"/>
    <n v="2.71"/>
    <s v="No"/>
    <n v="1.1399999999999999"/>
    <x v="1"/>
    <x v="3"/>
    <x v="1"/>
  </r>
  <r>
    <s v="AIJ-102163"/>
    <x v="2"/>
    <x v="5"/>
    <x v="8"/>
    <x v="0"/>
    <x v="24"/>
    <x v="39"/>
    <x v="29"/>
    <x v="0"/>
    <n v="216909"/>
    <s v="High"/>
    <x v="50"/>
    <n v="58"/>
    <x v="2"/>
    <x v="2"/>
    <n v="2.72"/>
    <s v="Yes"/>
    <n v="2.4500000000000002"/>
    <x v="2"/>
    <x v="2"/>
    <x v="1"/>
  </r>
  <r>
    <s v="AIJ-102164"/>
    <x v="15"/>
    <x v="0"/>
    <x v="3"/>
    <x v="1"/>
    <x v="0"/>
    <x v="49"/>
    <x v="46"/>
    <x v="1"/>
    <n v="101330"/>
    <s v="High"/>
    <x v="13"/>
    <n v="55"/>
    <x v="0"/>
    <x v="1"/>
    <n v="2.2999999999999998"/>
    <s v="Yes"/>
    <n v="3.63"/>
    <x v="2"/>
    <x v="0"/>
    <x v="0"/>
  </r>
  <r>
    <s v="AIJ-102165"/>
    <x v="7"/>
    <x v="6"/>
    <x v="3"/>
    <x v="3"/>
    <x v="6"/>
    <x v="2"/>
    <x v="45"/>
    <x v="2"/>
    <n v="69276"/>
    <s v="Low"/>
    <x v="30"/>
    <n v="48"/>
    <x v="0"/>
    <x v="0"/>
    <n v="3.26"/>
    <s v="No"/>
    <n v="1.96"/>
    <x v="0"/>
    <x v="3"/>
    <x v="0"/>
  </r>
  <r>
    <s v="AIJ-102166"/>
    <x v="12"/>
    <x v="1"/>
    <x v="4"/>
    <x v="1"/>
    <x v="15"/>
    <x v="9"/>
    <x v="75"/>
    <x v="0"/>
    <n v="124870"/>
    <s v="High"/>
    <x v="31"/>
    <n v="57"/>
    <x v="0"/>
    <x v="2"/>
    <n v="4.1100000000000003"/>
    <s v="Yes"/>
    <n v="4.18"/>
    <x v="1"/>
    <x v="2"/>
    <x v="1"/>
  </r>
  <r>
    <s v="AIJ-102167"/>
    <x v="7"/>
    <x v="4"/>
    <x v="9"/>
    <x v="1"/>
    <x v="4"/>
    <x v="19"/>
    <x v="17"/>
    <x v="0"/>
    <n v="217005"/>
    <s v="Medium"/>
    <x v="16"/>
    <n v="41"/>
    <x v="1"/>
    <x v="2"/>
    <n v="2.68"/>
    <s v="No"/>
    <n v="4.07"/>
    <x v="1"/>
    <x v="2"/>
    <x v="1"/>
  </r>
  <r>
    <s v="AIJ-102168"/>
    <x v="8"/>
    <x v="0"/>
    <x v="0"/>
    <x v="2"/>
    <x v="22"/>
    <x v="15"/>
    <x v="1"/>
    <x v="0"/>
    <n v="55606"/>
    <s v="Low"/>
    <x v="53"/>
    <n v="33"/>
    <x v="2"/>
    <x v="1"/>
    <n v="2.3199999999999998"/>
    <s v="Yes"/>
    <n v="2.62"/>
    <x v="2"/>
    <x v="3"/>
    <x v="2"/>
  </r>
  <r>
    <s v="AIJ-102169"/>
    <x v="4"/>
    <x v="4"/>
    <x v="3"/>
    <x v="0"/>
    <x v="4"/>
    <x v="5"/>
    <x v="44"/>
    <x v="1"/>
    <n v="181616"/>
    <s v="Low"/>
    <x v="2"/>
    <n v="42"/>
    <x v="1"/>
    <x v="1"/>
    <n v="3.94"/>
    <s v="Yes"/>
    <n v="3.69"/>
    <x v="0"/>
    <x v="3"/>
    <x v="1"/>
  </r>
  <r>
    <s v="AIJ-102170"/>
    <x v="12"/>
    <x v="8"/>
    <x v="8"/>
    <x v="1"/>
    <x v="21"/>
    <x v="14"/>
    <x v="14"/>
    <x v="1"/>
    <n v="176302"/>
    <s v="High"/>
    <x v="55"/>
    <n v="32"/>
    <x v="1"/>
    <x v="2"/>
    <n v="3.15"/>
    <s v="No"/>
    <n v="1.91"/>
    <x v="1"/>
    <x v="3"/>
    <x v="0"/>
  </r>
  <r>
    <s v="AIJ-102171"/>
    <x v="9"/>
    <x v="3"/>
    <x v="3"/>
    <x v="3"/>
    <x v="23"/>
    <x v="64"/>
    <x v="52"/>
    <x v="0"/>
    <n v="152949"/>
    <s v="Low"/>
    <x v="10"/>
    <n v="39"/>
    <x v="2"/>
    <x v="0"/>
    <n v="3.1"/>
    <s v="Yes"/>
    <n v="4.83"/>
    <x v="2"/>
    <x v="3"/>
    <x v="3"/>
  </r>
  <r>
    <s v="AIJ-102172"/>
    <x v="16"/>
    <x v="7"/>
    <x v="7"/>
    <x v="3"/>
    <x v="22"/>
    <x v="64"/>
    <x v="49"/>
    <x v="1"/>
    <n v="153331"/>
    <s v="High"/>
    <x v="36"/>
    <n v="48"/>
    <x v="2"/>
    <x v="2"/>
    <n v="3.24"/>
    <s v="Yes"/>
    <n v="1.1499999999999999"/>
    <x v="0"/>
    <x v="1"/>
    <x v="2"/>
  </r>
  <r>
    <s v="AIJ-102173"/>
    <x v="5"/>
    <x v="4"/>
    <x v="6"/>
    <x v="0"/>
    <x v="0"/>
    <x v="63"/>
    <x v="32"/>
    <x v="0"/>
    <n v="60520"/>
    <s v="Low"/>
    <x v="27"/>
    <n v="30"/>
    <x v="2"/>
    <x v="1"/>
    <n v="2.34"/>
    <s v="Yes"/>
    <n v="4.1399999999999997"/>
    <x v="2"/>
    <x v="0"/>
    <x v="0"/>
  </r>
  <r>
    <s v="AIJ-102174"/>
    <x v="3"/>
    <x v="2"/>
    <x v="6"/>
    <x v="2"/>
    <x v="18"/>
    <x v="63"/>
    <x v="4"/>
    <x v="1"/>
    <n v="203209"/>
    <s v="Low"/>
    <x v="42"/>
    <n v="47"/>
    <x v="1"/>
    <x v="0"/>
    <n v="3.04"/>
    <s v="Yes"/>
    <n v="2.97"/>
    <x v="1"/>
    <x v="0"/>
    <x v="3"/>
  </r>
  <r>
    <s v="AIJ-102175"/>
    <x v="18"/>
    <x v="5"/>
    <x v="6"/>
    <x v="1"/>
    <x v="13"/>
    <x v="33"/>
    <x v="47"/>
    <x v="0"/>
    <n v="39482"/>
    <s v="Medium"/>
    <x v="9"/>
    <n v="49"/>
    <x v="1"/>
    <x v="2"/>
    <n v="4.2699999999999996"/>
    <s v="No"/>
    <n v="3.47"/>
    <x v="2"/>
    <x v="2"/>
    <x v="1"/>
  </r>
  <r>
    <s v="AIJ-102176"/>
    <x v="9"/>
    <x v="8"/>
    <x v="8"/>
    <x v="0"/>
    <x v="16"/>
    <x v="9"/>
    <x v="42"/>
    <x v="1"/>
    <n v="143788"/>
    <s v="Medium"/>
    <x v="8"/>
    <n v="43"/>
    <x v="2"/>
    <x v="1"/>
    <n v="2.78"/>
    <s v="No"/>
    <n v="2.5299999999999998"/>
    <x v="1"/>
    <x v="3"/>
    <x v="3"/>
  </r>
  <r>
    <s v="AIJ-102177"/>
    <x v="7"/>
    <x v="2"/>
    <x v="0"/>
    <x v="1"/>
    <x v="17"/>
    <x v="27"/>
    <x v="8"/>
    <x v="1"/>
    <n v="200071"/>
    <s v="Low"/>
    <x v="22"/>
    <n v="48"/>
    <x v="1"/>
    <x v="0"/>
    <n v="3.3"/>
    <s v="Yes"/>
    <n v="1.58"/>
    <x v="1"/>
    <x v="0"/>
    <x v="3"/>
  </r>
  <r>
    <s v="AIJ-102178"/>
    <x v="17"/>
    <x v="6"/>
    <x v="4"/>
    <x v="1"/>
    <x v="2"/>
    <x v="80"/>
    <x v="76"/>
    <x v="2"/>
    <n v="117441"/>
    <s v="High"/>
    <x v="23"/>
    <n v="43"/>
    <x v="2"/>
    <x v="0"/>
    <n v="2.35"/>
    <s v="Yes"/>
    <n v="4.4400000000000004"/>
    <x v="0"/>
    <x v="1"/>
    <x v="1"/>
  </r>
  <r>
    <s v="AIJ-102179"/>
    <x v="1"/>
    <x v="2"/>
    <x v="8"/>
    <x v="0"/>
    <x v="10"/>
    <x v="57"/>
    <x v="53"/>
    <x v="0"/>
    <n v="41195"/>
    <s v="Low"/>
    <x v="8"/>
    <n v="51"/>
    <x v="0"/>
    <x v="2"/>
    <n v="4.4400000000000004"/>
    <s v="Yes"/>
    <n v="3.25"/>
    <x v="0"/>
    <x v="3"/>
    <x v="3"/>
  </r>
  <r>
    <s v="AIJ-102180"/>
    <x v="3"/>
    <x v="3"/>
    <x v="2"/>
    <x v="2"/>
    <x v="23"/>
    <x v="30"/>
    <x v="77"/>
    <x v="0"/>
    <n v="67308"/>
    <s v="Medium"/>
    <x v="47"/>
    <n v="48"/>
    <x v="2"/>
    <x v="2"/>
    <n v="3.81"/>
    <s v="No"/>
    <n v="2.17"/>
    <x v="1"/>
    <x v="3"/>
    <x v="3"/>
  </r>
  <r>
    <s v="AIJ-102181"/>
    <x v="14"/>
    <x v="9"/>
    <x v="4"/>
    <x v="3"/>
    <x v="20"/>
    <x v="36"/>
    <x v="51"/>
    <x v="0"/>
    <n v="149170"/>
    <s v="High"/>
    <x v="48"/>
    <n v="40"/>
    <x v="0"/>
    <x v="1"/>
    <n v="3.24"/>
    <s v="No"/>
    <n v="3.43"/>
    <x v="0"/>
    <x v="1"/>
    <x v="2"/>
  </r>
  <r>
    <s v="AIJ-102182"/>
    <x v="5"/>
    <x v="2"/>
    <x v="3"/>
    <x v="2"/>
    <x v="8"/>
    <x v="79"/>
    <x v="67"/>
    <x v="2"/>
    <n v="73882"/>
    <s v="High"/>
    <x v="32"/>
    <n v="32"/>
    <x v="0"/>
    <x v="0"/>
    <n v="4.96"/>
    <s v="No"/>
    <n v="2.64"/>
    <x v="1"/>
    <x v="3"/>
    <x v="2"/>
  </r>
  <r>
    <s v="AIJ-102183"/>
    <x v="15"/>
    <x v="5"/>
    <x v="4"/>
    <x v="1"/>
    <x v="11"/>
    <x v="49"/>
    <x v="21"/>
    <x v="2"/>
    <n v="147527"/>
    <s v="Medium"/>
    <x v="52"/>
    <n v="55"/>
    <x v="0"/>
    <x v="0"/>
    <n v="2.2599999999999998"/>
    <s v="No"/>
    <n v="1.1299999999999999"/>
    <x v="1"/>
    <x v="2"/>
    <x v="1"/>
  </r>
  <r>
    <s v="AIJ-102184"/>
    <x v="14"/>
    <x v="2"/>
    <x v="3"/>
    <x v="3"/>
    <x v="24"/>
    <x v="75"/>
    <x v="18"/>
    <x v="2"/>
    <n v="92322"/>
    <s v="Low"/>
    <x v="4"/>
    <n v="37"/>
    <x v="0"/>
    <x v="2"/>
    <n v="2.2000000000000002"/>
    <s v="Yes"/>
    <n v="3.1"/>
    <x v="1"/>
    <x v="3"/>
    <x v="1"/>
  </r>
  <r>
    <s v="AIJ-102185"/>
    <x v="14"/>
    <x v="5"/>
    <x v="1"/>
    <x v="0"/>
    <x v="19"/>
    <x v="80"/>
    <x v="67"/>
    <x v="0"/>
    <n v="61278"/>
    <s v="Low"/>
    <x v="26"/>
    <n v="39"/>
    <x v="2"/>
    <x v="1"/>
    <n v="4.78"/>
    <s v="Yes"/>
    <n v="1.1000000000000001"/>
    <x v="2"/>
    <x v="2"/>
    <x v="2"/>
  </r>
  <r>
    <s v="AIJ-102186"/>
    <x v="18"/>
    <x v="4"/>
    <x v="6"/>
    <x v="0"/>
    <x v="8"/>
    <x v="49"/>
    <x v="40"/>
    <x v="0"/>
    <n v="114835"/>
    <s v="High"/>
    <x v="47"/>
    <n v="54"/>
    <x v="2"/>
    <x v="0"/>
    <n v="3.6"/>
    <s v="Yes"/>
    <n v="2.62"/>
    <x v="2"/>
    <x v="3"/>
    <x v="2"/>
  </r>
  <r>
    <s v="AIJ-102187"/>
    <x v="18"/>
    <x v="9"/>
    <x v="9"/>
    <x v="2"/>
    <x v="5"/>
    <x v="12"/>
    <x v="65"/>
    <x v="1"/>
    <n v="205084"/>
    <s v="Medium"/>
    <x v="53"/>
    <n v="46"/>
    <x v="0"/>
    <x v="2"/>
    <n v="4.67"/>
    <s v="No"/>
    <n v="4.59"/>
    <x v="0"/>
    <x v="3"/>
    <x v="3"/>
  </r>
  <r>
    <s v="AIJ-102188"/>
    <x v="0"/>
    <x v="5"/>
    <x v="1"/>
    <x v="0"/>
    <x v="6"/>
    <x v="10"/>
    <x v="56"/>
    <x v="1"/>
    <n v="78387"/>
    <s v="Low"/>
    <x v="3"/>
    <n v="52"/>
    <x v="2"/>
    <x v="2"/>
    <n v="4.78"/>
    <s v="No"/>
    <n v="1.87"/>
    <x v="1"/>
    <x v="2"/>
    <x v="0"/>
  </r>
  <r>
    <s v="AIJ-102189"/>
    <x v="17"/>
    <x v="8"/>
    <x v="0"/>
    <x v="1"/>
    <x v="7"/>
    <x v="77"/>
    <x v="59"/>
    <x v="2"/>
    <n v="148337"/>
    <s v="Low"/>
    <x v="33"/>
    <n v="40"/>
    <x v="1"/>
    <x v="0"/>
    <n v="2.69"/>
    <s v="Yes"/>
    <n v="2.11"/>
    <x v="2"/>
    <x v="3"/>
    <x v="1"/>
  </r>
  <r>
    <s v="AIJ-102190"/>
    <x v="16"/>
    <x v="5"/>
    <x v="7"/>
    <x v="2"/>
    <x v="8"/>
    <x v="43"/>
    <x v="37"/>
    <x v="0"/>
    <n v="155115"/>
    <s v="High"/>
    <x v="19"/>
    <n v="50"/>
    <x v="1"/>
    <x v="0"/>
    <n v="2.48"/>
    <s v="No"/>
    <n v="4.24"/>
    <x v="0"/>
    <x v="3"/>
    <x v="2"/>
  </r>
  <r>
    <s v="AIJ-102191"/>
    <x v="4"/>
    <x v="7"/>
    <x v="9"/>
    <x v="1"/>
    <x v="0"/>
    <x v="42"/>
    <x v="54"/>
    <x v="0"/>
    <n v="181949"/>
    <s v="Low"/>
    <x v="9"/>
    <n v="42"/>
    <x v="2"/>
    <x v="2"/>
    <n v="3.22"/>
    <s v="Yes"/>
    <n v="1.98"/>
    <x v="1"/>
    <x v="2"/>
    <x v="0"/>
  </r>
  <r>
    <s v="AIJ-102192"/>
    <x v="7"/>
    <x v="3"/>
    <x v="8"/>
    <x v="0"/>
    <x v="3"/>
    <x v="74"/>
    <x v="72"/>
    <x v="1"/>
    <n v="159267"/>
    <s v="High"/>
    <x v="50"/>
    <n v="38"/>
    <x v="0"/>
    <x v="0"/>
    <n v="2.21"/>
    <s v="No"/>
    <n v="3.78"/>
    <x v="2"/>
    <x v="2"/>
    <x v="2"/>
  </r>
  <r>
    <s v="AIJ-102193"/>
    <x v="13"/>
    <x v="3"/>
    <x v="4"/>
    <x v="3"/>
    <x v="4"/>
    <x v="17"/>
    <x v="61"/>
    <x v="2"/>
    <n v="93791"/>
    <s v="Low"/>
    <x v="23"/>
    <n v="31"/>
    <x v="0"/>
    <x v="2"/>
    <n v="4.9000000000000004"/>
    <s v="Yes"/>
    <n v="4.1500000000000004"/>
    <x v="0"/>
    <x v="3"/>
    <x v="1"/>
  </r>
  <r>
    <s v="AIJ-102194"/>
    <x v="2"/>
    <x v="5"/>
    <x v="1"/>
    <x v="1"/>
    <x v="1"/>
    <x v="22"/>
    <x v="76"/>
    <x v="0"/>
    <n v="140557"/>
    <s v="Low"/>
    <x v="40"/>
    <n v="35"/>
    <x v="0"/>
    <x v="1"/>
    <n v="4.4400000000000004"/>
    <s v="No"/>
    <n v="1.4"/>
    <x v="0"/>
    <x v="3"/>
    <x v="1"/>
  </r>
  <r>
    <s v="AIJ-102195"/>
    <x v="15"/>
    <x v="9"/>
    <x v="9"/>
    <x v="2"/>
    <x v="6"/>
    <x v="69"/>
    <x v="29"/>
    <x v="2"/>
    <n v="212195"/>
    <s v="High"/>
    <x v="2"/>
    <n v="42"/>
    <x v="2"/>
    <x v="2"/>
    <n v="4.9800000000000004"/>
    <s v="No"/>
    <n v="3.82"/>
    <x v="2"/>
    <x v="2"/>
    <x v="0"/>
  </r>
  <r>
    <s v="AIJ-102196"/>
    <x v="10"/>
    <x v="5"/>
    <x v="4"/>
    <x v="0"/>
    <x v="22"/>
    <x v="81"/>
    <x v="73"/>
    <x v="1"/>
    <n v="71539"/>
    <s v="High"/>
    <x v="40"/>
    <n v="39"/>
    <x v="0"/>
    <x v="1"/>
    <n v="3.21"/>
    <s v="Yes"/>
    <n v="4.2699999999999996"/>
    <x v="0"/>
    <x v="3"/>
    <x v="2"/>
  </r>
  <r>
    <s v="AIJ-102197"/>
    <x v="19"/>
    <x v="4"/>
    <x v="4"/>
    <x v="3"/>
    <x v="4"/>
    <x v="71"/>
    <x v="41"/>
    <x v="0"/>
    <n v="136752"/>
    <s v="High"/>
    <x v="7"/>
    <n v="43"/>
    <x v="0"/>
    <x v="0"/>
    <n v="4.58"/>
    <s v="Yes"/>
    <n v="2.71"/>
    <x v="1"/>
    <x v="2"/>
    <x v="1"/>
  </r>
  <r>
    <s v="AIJ-102198"/>
    <x v="6"/>
    <x v="2"/>
    <x v="3"/>
    <x v="3"/>
    <x v="12"/>
    <x v="60"/>
    <x v="24"/>
    <x v="0"/>
    <n v="215693"/>
    <s v="High"/>
    <x v="2"/>
    <n v="41"/>
    <x v="1"/>
    <x v="1"/>
    <n v="3.45"/>
    <s v="No"/>
    <n v="3.86"/>
    <x v="0"/>
    <x v="2"/>
    <x v="3"/>
  </r>
  <r>
    <s v="AIJ-102199"/>
    <x v="8"/>
    <x v="2"/>
    <x v="3"/>
    <x v="3"/>
    <x v="16"/>
    <x v="43"/>
    <x v="58"/>
    <x v="2"/>
    <n v="208556"/>
    <s v="High"/>
    <x v="43"/>
    <n v="36"/>
    <x v="0"/>
    <x v="1"/>
    <n v="2.11"/>
    <s v="Yes"/>
    <n v="2.0699999999999998"/>
    <x v="1"/>
    <x v="3"/>
    <x v="3"/>
  </r>
  <r>
    <s v="AIJ-102200"/>
    <x v="12"/>
    <x v="5"/>
    <x v="1"/>
    <x v="3"/>
    <x v="9"/>
    <x v="54"/>
    <x v="11"/>
    <x v="2"/>
    <n v="61599"/>
    <s v="High"/>
    <x v="20"/>
    <n v="59"/>
    <x v="1"/>
    <x v="1"/>
    <n v="4.28"/>
    <s v="Yes"/>
    <n v="4.8499999999999996"/>
    <x v="1"/>
    <x v="2"/>
    <x v="1"/>
  </r>
  <r>
    <s v="AIJ-102201"/>
    <x v="7"/>
    <x v="2"/>
    <x v="3"/>
    <x v="3"/>
    <x v="6"/>
    <x v="41"/>
    <x v="45"/>
    <x v="2"/>
    <n v="38113"/>
    <s v="Low"/>
    <x v="15"/>
    <n v="49"/>
    <x v="0"/>
    <x v="2"/>
    <n v="3.54"/>
    <s v="No"/>
    <n v="2.2799999999999998"/>
    <x v="2"/>
    <x v="3"/>
    <x v="0"/>
  </r>
  <r>
    <s v="AIJ-102202"/>
    <x v="12"/>
    <x v="5"/>
    <x v="4"/>
    <x v="1"/>
    <x v="2"/>
    <x v="84"/>
    <x v="60"/>
    <x v="0"/>
    <n v="30807"/>
    <s v="Low"/>
    <x v="36"/>
    <n v="49"/>
    <x v="2"/>
    <x v="2"/>
    <n v="2.5"/>
    <s v="No"/>
    <n v="4.18"/>
    <x v="0"/>
    <x v="3"/>
    <x v="1"/>
  </r>
  <r>
    <s v="AIJ-102203"/>
    <x v="12"/>
    <x v="1"/>
    <x v="9"/>
    <x v="0"/>
    <x v="8"/>
    <x v="13"/>
    <x v="7"/>
    <x v="2"/>
    <n v="113713"/>
    <s v="Low"/>
    <x v="24"/>
    <n v="32"/>
    <x v="1"/>
    <x v="0"/>
    <n v="4.72"/>
    <s v="No"/>
    <n v="3.68"/>
    <x v="2"/>
    <x v="3"/>
    <x v="2"/>
  </r>
  <r>
    <s v="AIJ-102204"/>
    <x v="9"/>
    <x v="6"/>
    <x v="0"/>
    <x v="0"/>
    <x v="21"/>
    <x v="20"/>
    <x v="57"/>
    <x v="0"/>
    <n v="104409"/>
    <s v="High"/>
    <x v="15"/>
    <n v="59"/>
    <x v="2"/>
    <x v="2"/>
    <n v="3.22"/>
    <s v="Yes"/>
    <n v="3.64"/>
    <x v="2"/>
    <x v="0"/>
    <x v="0"/>
  </r>
  <r>
    <s v="AIJ-102205"/>
    <x v="7"/>
    <x v="7"/>
    <x v="7"/>
    <x v="0"/>
    <x v="25"/>
    <x v="86"/>
    <x v="27"/>
    <x v="2"/>
    <n v="106882"/>
    <s v="Low"/>
    <x v="5"/>
    <n v="32"/>
    <x v="2"/>
    <x v="2"/>
    <n v="2.69"/>
    <s v="No"/>
    <n v="4.47"/>
    <x v="1"/>
    <x v="0"/>
    <x v="1"/>
  </r>
  <r>
    <s v="AIJ-102206"/>
    <x v="5"/>
    <x v="8"/>
    <x v="7"/>
    <x v="2"/>
    <x v="17"/>
    <x v="62"/>
    <x v="34"/>
    <x v="0"/>
    <n v="79948"/>
    <s v="Low"/>
    <x v="10"/>
    <n v="46"/>
    <x v="0"/>
    <x v="2"/>
    <n v="4.4400000000000004"/>
    <s v="No"/>
    <n v="3.43"/>
    <x v="0"/>
    <x v="2"/>
    <x v="3"/>
  </r>
  <r>
    <s v="AIJ-102207"/>
    <x v="9"/>
    <x v="5"/>
    <x v="3"/>
    <x v="3"/>
    <x v="7"/>
    <x v="80"/>
    <x v="57"/>
    <x v="2"/>
    <n v="209701"/>
    <s v="Low"/>
    <x v="46"/>
    <n v="33"/>
    <x v="2"/>
    <x v="0"/>
    <n v="2.06"/>
    <s v="No"/>
    <n v="4.92"/>
    <x v="1"/>
    <x v="2"/>
    <x v="1"/>
  </r>
  <r>
    <s v="AIJ-102208"/>
    <x v="13"/>
    <x v="3"/>
    <x v="8"/>
    <x v="1"/>
    <x v="3"/>
    <x v="59"/>
    <x v="4"/>
    <x v="2"/>
    <n v="93211"/>
    <s v="High"/>
    <x v="44"/>
    <n v="36"/>
    <x v="1"/>
    <x v="0"/>
    <n v="3.94"/>
    <s v="No"/>
    <n v="2.1800000000000002"/>
    <x v="2"/>
    <x v="3"/>
    <x v="2"/>
  </r>
  <r>
    <s v="AIJ-102209"/>
    <x v="11"/>
    <x v="3"/>
    <x v="0"/>
    <x v="2"/>
    <x v="0"/>
    <x v="23"/>
    <x v="15"/>
    <x v="1"/>
    <n v="145219"/>
    <s v="Low"/>
    <x v="30"/>
    <n v="42"/>
    <x v="2"/>
    <x v="0"/>
    <n v="3.46"/>
    <s v="Yes"/>
    <n v="1.23"/>
    <x v="0"/>
    <x v="2"/>
    <x v="0"/>
  </r>
  <r>
    <s v="AIJ-102210"/>
    <x v="3"/>
    <x v="7"/>
    <x v="2"/>
    <x v="2"/>
    <x v="16"/>
    <x v="70"/>
    <x v="54"/>
    <x v="0"/>
    <n v="212921"/>
    <s v="Low"/>
    <x v="16"/>
    <n v="45"/>
    <x v="2"/>
    <x v="1"/>
    <n v="4.8600000000000003"/>
    <s v="No"/>
    <n v="3.42"/>
    <x v="0"/>
    <x v="2"/>
    <x v="3"/>
  </r>
  <r>
    <s v="AIJ-102211"/>
    <x v="3"/>
    <x v="3"/>
    <x v="7"/>
    <x v="0"/>
    <x v="23"/>
    <x v="88"/>
    <x v="67"/>
    <x v="1"/>
    <n v="152660"/>
    <s v="Medium"/>
    <x v="22"/>
    <n v="33"/>
    <x v="1"/>
    <x v="2"/>
    <n v="4.51"/>
    <s v="No"/>
    <n v="2.34"/>
    <x v="0"/>
    <x v="2"/>
    <x v="3"/>
  </r>
  <r>
    <s v="AIJ-102212"/>
    <x v="17"/>
    <x v="4"/>
    <x v="0"/>
    <x v="0"/>
    <x v="5"/>
    <x v="16"/>
    <x v="19"/>
    <x v="2"/>
    <n v="168496"/>
    <s v="Medium"/>
    <x v="51"/>
    <n v="37"/>
    <x v="0"/>
    <x v="1"/>
    <n v="3.16"/>
    <s v="No"/>
    <n v="4.07"/>
    <x v="0"/>
    <x v="0"/>
    <x v="3"/>
  </r>
  <r>
    <s v="AIJ-102213"/>
    <x v="7"/>
    <x v="0"/>
    <x v="9"/>
    <x v="1"/>
    <x v="23"/>
    <x v="70"/>
    <x v="38"/>
    <x v="2"/>
    <n v="50635"/>
    <s v="Low"/>
    <x v="26"/>
    <n v="53"/>
    <x v="0"/>
    <x v="1"/>
    <n v="3.83"/>
    <s v="No"/>
    <n v="4.16"/>
    <x v="1"/>
    <x v="2"/>
    <x v="3"/>
  </r>
  <r>
    <s v="AIJ-102214"/>
    <x v="12"/>
    <x v="5"/>
    <x v="7"/>
    <x v="2"/>
    <x v="0"/>
    <x v="48"/>
    <x v="40"/>
    <x v="2"/>
    <n v="69468"/>
    <s v="Medium"/>
    <x v="3"/>
    <n v="44"/>
    <x v="0"/>
    <x v="2"/>
    <n v="3.65"/>
    <s v="No"/>
    <n v="4.62"/>
    <x v="1"/>
    <x v="3"/>
    <x v="0"/>
  </r>
  <r>
    <s v="AIJ-102215"/>
    <x v="0"/>
    <x v="8"/>
    <x v="9"/>
    <x v="2"/>
    <x v="20"/>
    <x v="13"/>
    <x v="28"/>
    <x v="1"/>
    <n v="147659"/>
    <s v="Medium"/>
    <x v="28"/>
    <n v="60"/>
    <x v="0"/>
    <x v="0"/>
    <n v="4.07"/>
    <s v="Yes"/>
    <n v="3.24"/>
    <x v="0"/>
    <x v="2"/>
    <x v="2"/>
  </r>
  <r>
    <s v="AIJ-102216"/>
    <x v="9"/>
    <x v="2"/>
    <x v="0"/>
    <x v="1"/>
    <x v="9"/>
    <x v="36"/>
    <x v="9"/>
    <x v="2"/>
    <n v="37707"/>
    <s v="High"/>
    <x v="42"/>
    <n v="40"/>
    <x v="2"/>
    <x v="1"/>
    <n v="4.51"/>
    <s v="No"/>
    <n v="3.77"/>
    <x v="1"/>
    <x v="2"/>
    <x v="1"/>
  </r>
  <r>
    <s v="AIJ-102217"/>
    <x v="13"/>
    <x v="5"/>
    <x v="7"/>
    <x v="2"/>
    <x v="5"/>
    <x v="70"/>
    <x v="74"/>
    <x v="0"/>
    <n v="136531"/>
    <s v="Low"/>
    <x v="23"/>
    <n v="47"/>
    <x v="2"/>
    <x v="2"/>
    <n v="4.37"/>
    <s v="Yes"/>
    <n v="1.97"/>
    <x v="2"/>
    <x v="2"/>
    <x v="3"/>
  </r>
  <r>
    <s v="AIJ-102218"/>
    <x v="19"/>
    <x v="3"/>
    <x v="6"/>
    <x v="0"/>
    <x v="5"/>
    <x v="55"/>
    <x v="75"/>
    <x v="1"/>
    <n v="109471"/>
    <s v="Medium"/>
    <x v="12"/>
    <n v="45"/>
    <x v="2"/>
    <x v="2"/>
    <n v="4.33"/>
    <s v="Yes"/>
    <n v="2.58"/>
    <x v="1"/>
    <x v="2"/>
    <x v="3"/>
  </r>
  <r>
    <s v="AIJ-102219"/>
    <x v="4"/>
    <x v="6"/>
    <x v="9"/>
    <x v="2"/>
    <x v="6"/>
    <x v="58"/>
    <x v="69"/>
    <x v="2"/>
    <n v="129690"/>
    <s v="Low"/>
    <x v="10"/>
    <n v="46"/>
    <x v="0"/>
    <x v="2"/>
    <n v="4.6900000000000004"/>
    <s v="Yes"/>
    <n v="3.13"/>
    <x v="2"/>
    <x v="0"/>
    <x v="0"/>
  </r>
  <r>
    <s v="AIJ-102220"/>
    <x v="18"/>
    <x v="4"/>
    <x v="9"/>
    <x v="0"/>
    <x v="15"/>
    <x v="59"/>
    <x v="21"/>
    <x v="1"/>
    <n v="195933"/>
    <s v="High"/>
    <x v="39"/>
    <n v="31"/>
    <x v="1"/>
    <x v="0"/>
    <n v="2.5099999999999998"/>
    <s v="Yes"/>
    <n v="1.75"/>
    <x v="1"/>
    <x v="2"/>
    <x v="1"/>
  </r>
  <r>
    <s v="AIJ-102221"/>
    <x v="13"/>
    <x v="7"/>
    <x v="9"/>
    <x v="3"/>
    <x v="25"/>
    <x v="60"/>
    <x v="19"/>
    <x v="0"/>
    <n v="197055"/>
    <s v="Medium"/>
    <x v="15"/>
    <n v="46"/>
    <x v="2"/>
    <x v="2"/>
    <n v="3.95"/>
    <s v="Yes"/>
    <n v="2.92"/>
    <x v="0"/>
    <x v="3"/>
    <x v="1"/>
  </r>
  <r>
    <s v="AIJ-102222"/>
    <x v="7"/>
    <x v="8"/>
    <x v="8"/>
    <x v="2"/>
    <x v="13"/>
    <x v="82"/>
    <x v="3"/>
    <x v="1"/>
    <n v="191363"/>
    <s v="Medium"/>
    <x v="35"/>
    <n v="40"/>
    <x v="2"/>
    <x v="1"/>
    <n v="4.8899999999999997"/>
    <s v="Yes"/>
    <n v="2.66"/>
    <x v="0"/>
    <x v="0"/>
    <x v="1"/>
  </r>
  <r>
    <s v="AIJ-102223"/>
    <x v="7"/>
    <x v="0"/>
    <x v="3"/>
    <x v="1"/>
    <x v="2"/>
    <x v="4"/>
    <x v="16"/>
    <x v="0"/>
    <n v="170151"/>
    <s v="High"/>
    <x v="27"/>
    <n v="41"/>
    <x v="1"/>
    <x v="2"/>
    <n v="2.77"/>
    <s v="No"/>
    <n v="2.48"/>
    <x v="1"/>
    <x v="3"/>
    <x v="1"/>
  </r>
  <r>
    <s v="AIJ-102224"/>
    <x v="5"/>
    <x v="4"/>
    <x v="3"/>
    <x v="1"/>
    <x v="12"/>
    <x v="71"/>
    <x v="16"/>
    <x v="1"/>
    <n v="171988"/>
    <s v="Medium"/>
    <x v="50"/>
    <n v="31"/>
    <x v="1"/>
    <x v="0"/>
    <n v="4.83"/>
    <s v="Yes"/>
    <n v="3.82"/>
    <x v="0"/>
    <x v="1"/>
    <x v="3"/>
  </r>
  <r>
    <s v="AIJ-102225"/>
    <x v="5"/>
    <x v="8"/>
    <x v="5"/>
    <x v="0"/>
    <x v="22"/>
    <x v="33"/>
    <x v="44"/>
    <x v="2"/>
    <n v="197935"/>
    <s v="High"/>
    <x v="10"/>
    <n v="43"/>
    <x v="0"/>
    <x v="0"/>
    <n v="2.0099999999999998"/>
    <s v="Yes"/>
    <n v="4.34"/>
    <x v="2"/>
    <x v="1"/>
    <x v="2"/>
  </r>
  <r>
    <s v="AIJ-102226"/>
    <x v="5"/>
    <x v="3"/>
    <x v="2"/>
    <x v="3"/>
    <x v="21"/>
    <x v="34"/>
    <x v="53"/>
    <x v="1"/>
    <n v="151424"/>
    <s v="High"/>
    <x v="20"/>
    <n v="58"/>
    <x v="1"/>
    <x v="0"/>
    <n v="2.78"/>
    <s v="No"/>
    <n v="3.69"/>
    <x v="1"/>
    <x v="3"/>
    <x v="0"/>
  </r>
  <r>
    <s v="AIJ-102227"/>
    <x v="14"/>
    <x v="0"/>
    <x v="2"/>
    <x v="3"/>
    <x v="1"/>
    <x v="74"/>
    <x v="21"/>
    <x v="2"/>
    <n v="194451"/>
    <s v="Medium"/>
    <x v="0"/>
    <n v="50"/>
    <x v="2"/>
    <x v="2"/>
    <n v="2.98"/>
    <s v="Yes"/>
    <n v="1.93"/>
    <x v="1"/>
    <x v="2"/>
    <x v="1"/>
  </r>
  <r>
    <s v="AIJ-102228"/>
    <x v="0"/>
    <x v="6"/>
    <x v="5"/>
    <x v="3"/>
    <x v="2"/>
    <x v="90"/>
    <x v="18"/>
    <x v="0"/>
    <n v="63479"/>
    <s v="Low"/>
    <x v="22"/>
    <n v="35"/>
    <x v="0"/>
    <x v="2"/>
    <n v="2.3199999999999998"/>
    <s v="No"/>
    <n v="4.74"/>
    <x v="2"/>
    <x v="1"/>
    <x v="1"/>
  </r>
  <r>
    <s v="AIJ-102229"/>
    <x v="6"/>
    <x v="1"/>
    <x v="4"/>
    <x v="1"/>
    <x v="24"/>
    <x v="65"/>
    <x v="37"/>
    <x v="2"/>
    <n v="39947"/>
    <s v="Low"/>
    <x v="52"/>
    <n v="34"/>
    <x v="1"/>
    <x v="1"/>
    <n v="4.04"/>
    <s v="No"/>
    <n v="3.83"/>
    <x v="0"/>
    <x v="2"/>
    <x v="1"/>
  </r>
  <r>
    <s v="AIJ-102230"/>
    <x v="0"/>
    <x v="2"/>
    <x v="4"/>
    <x v="1"/>
    <x v="15"/>
    <x v="59"/>
    <x v="44"/>
    <x v="2"/>
    <n v="146017"/>
    <s v="Medium"/>
    <x v="0"/>
    <n v="32"/>
    <x v="1"/>
    <x v="0"/>
    <n v="4.05"/>
    <s v="Yes"/>
    <n v="4.88"/>
    <x v="0"/>
    <x v="3"/>
    <x v="1"/>
  </r>
  <r>
    <s v="AIJ-102231"/>
    <x v="1"/>
    <x v="9"/>
    <x v="1"/>
    <x v="1"/>
    <x v="15"/>
    <x v="10"/>
    <x v="28"/>
    <x v="1"/>
    <n v="178338"/>
    <s v="High"/>
    <x v="9"/>
    <n v="30"/>
    <x v="0"/>
    <x v="2"/>
    <n v="3.68"/>
    <s v="No"/>
    <n v="4.25"/>
    <x v="0"/>
    <x v="1"/>
    <x v="1"/>
  </r>
  <r>
    <s v="AIJ-102232"/>
    <x v="1"/>
    <x v="4"/>
    <x v="3"/>
    <x v="2"/>
    <x v="8"/>
    <x v="42"/>
    <x v="24"/>
    <x v="0"/>
    <n v="205456"/>
    <s v="Medium"/>
    <x v="47"/>
    <n v="60"/>
    <x v="0"/>
    <x v="0"/>
    <n v="3.52"/>
    <s v="No"/>
    <n v="3.08"/>
    <x v="1"/>
    <x v="3"/>
    <x v="2"/>
  </r>
  <r>
    <s v="AIJ-102233"/>
    <x v="17"/>
    <x v="6"/>
    <x v="6"/>
    <x v="0"/>
    <x v="9"/>
    <x v="32"/>
    <x v="44"/>
    <x v="2"/>
    <n v="203804"/>
    <s v="Low"/>
    <x v="4"/>
    <n v="39"/>
    <x v="1"/>
    <x v="0"/>
    <n v="2.06"/>
    <s v="No"/>
    <n v="4.3"/>
    <x v="0"/>
    <x v="3"/>
    <x v="1"/>
  </r>
  <r>
    <s v="AIJ-102234"/>
    <x v="5"/>
    <x v="6"/>
    <x v="3"/>
    <x v="1"/>
    <x v="4"/>
    <x v="12"/>
    <x v="65"/>
    <x v="0"/>
    <n v="96951"/>
    <s v="High"/>
    <x v="19"/>
    <n v="32"/>
    <x v="0"/>
    <x v="0"/>
    <n v="3.87"/>
    <s v="Yes"/>
    <n v="1.48"/>
    <x v="2"/>
    <x v="3"/>
    <x v="1"/>
  </r>
  <r>
    <s v="AIJ-102235"/>
    <x v="3"/>
    <x v="4"/>
    <x v="0"/>
    <x v="3"/>
    <x v="22"/>
    <x v="56"/>
    <x v="50"/>
    <x v="1"/>
    <n v="200120"/>
    <s v="Low"/>
    <x v="48"/>
    <n v="54"/>
    <x v="2"/>
    <x v="1"/>
    <n v="3.99"/>
    <s v="No"/>
    <n v="2.93"/>
    <x v="2"/>
    <x v="2"/>
    <x v="2"/>
  </r>
  <r>
    <s v="AIJ-102236"/>
    <x v="19"/>
    <x v="5"/>
    <x v="4"/>
    <x v="2"/>
    <x v="2"/>
    <x v="48"/>
    <x v="73"/>
    <x v="0"/>
    <n v="215400"/>
    <s v="Low"/>
    <x v="54"/>
    <n v="30"/>
    <x v="1"/>
    <x v="0"/>
    <n v="3.16"/>
    <s v="Yes"/>
    <n v="1.71"/>
    <x v="1"/>
    <x v="0"/>
    <x v="1"/>
  </r>
  <r>
    <s v="AIJ-102237"/>
    <x v="5"/>
    <x v="2"/>
    <x v="8"/>
    <x v="0"/>
    <x v="21"/>
    <x v="4"/>
    <x v="0"/>
    <x v="1"/>
    <n v="128972"/>
    <s v="Low"/>
    <x v="24"/>
    <n v="57"/>
    <x v="0"/>
    <x v="2"/>
    <n v="2.29"/>
    <s v="No"/>
    <n v="1.56"/>
    <x v="2"/>
    <x v="0"/>
    <x v="0"/>
  </r>
  <r>
    <s v="AIJ-102238"/>
    <x v="10"/>
    <x v="4"/>
    <x v="3"/>
    <x v="1"/>
    <x v="10"/>
    <x v="32"/>
    <x v="29"/>
    <x v="1"/>
    <n v="133141"/>
    <s v="High"/>
    <x v="20"/>
    <n v="58"/>
    <x v="0"/>
    <x v="2"/>
    <n v="2.2200000000000002"/>
    <s v="Yes"/>
    <n v="3.17"/>
    <x v="2"/>
    <x v="3"/>
    <x v="3"/>
  </r>
  <r>
    <s v="AIJ-102239"/>
    <x v="0"/>
    <x v="6"/>
    <x v="2"/>
    <x v="2"/>
    <x v="18"/>
    <x v="54"/>
    <x v="51"/>
    <x v="0"/>
    <n v="192700"/>
    <s v="High"/>
    <x v="41"/>
    <n v="54"/>
    <x v="2"/>
    <x v="1"/>
    <n v="3.39"/>
    <s v="No"/>
    <n v="3.96"/>
    <x v="0"/>
    <x v="2"/>
    <x v="3"/>
  </r>
  <r>
    <s v="AIJ-102240"/>
    <x v="15"/>
    <x v="9"/>
    <x v="5"/>
    <x v="3"/>
    <x v="1"/>
    <x v="36"/>
    <x v="56"/>
    <x v="1"/>
    <n v="88961"/>
    <s v="High"/>
    <x v="1"/>
    <n v="56"/>
    <x v="1"/>
    <x v="0"/>
    <n v="4.28"/>
    <s v="Yes"/>
    <n v="3.97"/>
    <x v="1"/>
    <x v="2"/>
    <x v="1"/>
  </r>
  <r>
    <s v="AIJ-102241"/>
    <x v="1"/>
    <x v="2"/>
    <x v="4"/>
    <x v="3"/>
    <x v="8"/>
    <x v="34"/>
    <x v="10"/>
    <x v="0"/>
    <n v="105762"/>
    <s v="Medium"/>
    <x v="32"/>
    <n v="56"/>
    <x v="0"/>
    <x v="2"/>
    <n v="2.08"/>
    <s v="No"/>
    <n v="4.3899999999999997"/>
    <x v="2"/>
    <x v="2"/>
    <x v="2"/>
  </r>
  <r>
    <s v="AIJ-102242"/>
    <x v="16"/>
    <x v="3"/>
    <x v="7"/>
    <x v="3"/>
    <x v="9"/>
    <x v="42"/>
    <x v="18"/>
    <x v="2"/>
    <n v="121020"/>
    <s v="Low"/>
    <x v="15"/>
    <n v="36"/>
    <x v="0"/>
    <x v="2"/>
    <n v="3.02"/>
    <s v="Yes"/>
    <n v="2.88"/>
    <x v="2"/>
    <x v="3"/>
    <x v="1"/>
  </r>
  <r>
    <s v="AIJ-102243"/>
    <x v="15"/>
    <x v="2"/>
    <x v="4"/>
    <x v="2"/>
    <x v="13"/>
    <x v="79"/>
    <x v="67"/>
    <x v="0"/>
    <n v="75948"/>
    <s v="High"/>
    <x v="3"/>
    <n v="47"/>
    <x v="0"/>
    <x v="0"/>
    <n v="2.04"/>
    <s v="No"/>
    <n v="4.5199999999999996"/>
    <x v="2"/>
    <x v="3"/>
    <x v="1"/>
  </r>
  <r>
    <s v="AIJ-102244"/>
    <x v="10"/>
    <x v="4"/>
    <x v="5"/>
    <x v="0"/>
    <x v="10"/>
    <x v="38"/>
    <x v="27"/>
    <x v="0"/>
    <n v="90729"/>
    <s v="Low"/>
    <x v="47"/>
    <n v="34"/>
    <x v="2"/>
    <x v="2"/>
    <n v="4.1100000000000003"/>
    <s v="Yes"/>
    <n v="1"/>
    <x v="0"/>
    <x v="0"/>
    <x v="3"/>
  </r>
  <r>
    <s v="AIJ-102245"/>
    <x v="3"/>
    <x v="7"/>
    <x v="1"/>
    <x v="0"/>
    <x v="10"/>
    <x v="33"/>
    <x v="4"/>
    <x v="0"/>
    <n v="63736"/>
    <s v="High"/>
    <x v="40"/>
    <n v="33"/>
    <x v="1"/>
    <x v="2"/>
    <n v="3.36"/>
    <s v="Yes"/>
    <n v="4.74"/>
    <x v="0"/>
    <x v="2"/>
    <x v="3"/>
  </r>
  <r>
    <s v="AIJ-102246"/>
    <x v="18"/>
    <x v="3"/>
    <x v="6"/>
    <x v="0"/>
    <x v="13"/>
    <x v="11"/>
    <x v="9"/>
    <x v="2"/>
    <n v="91663"/>
    <s v="Medium"/>
    <x v="9"/>
    <n v="50"/>
    <x v="2"/>
    <x v="1"/>
    <n v="4.93"/>
    <s v="No"/>
    <n v="1.69"/>
    <x v="1"/>
    <x v="3"/>
    <x v="1"/>
  </r>
  <r>
    <s v="AIJ-102247"/>
    <x v="15"/>
    <x v="4"/>
    <x v="8"/>
    <x v="1"/>
    <x v="24"/>
    <x v="50"/>
    <x v="12"/>
    <x v="0"/>
    <n v="53183"/>
    <s v="High"/>
    <x v="54"/>
    <n v="37"/>
    <x v="0"/>
    <x v="1"/>
    <n v="4.22"/>
    <s v="Yes"/>
    <n v="1.4"/>
    <x v="0"/>
    <x v="2"/>
    <x v="1"/>
  </r>
  <r>
    <s v="AIJ-102248"/>
    <x v="9"/>
    <x v="3"/>
    <x v="0"/>
    <x v="0"/>
    <x v="24"/>
    <x v="71"/>
    <x v="56"/>
    <x v="2"/>
    <n v="122051"/>
    <s v="High"/>
    <x v="26"/>
    <n v="37"/>
    <x v="1"/>
    <x v="2"/>
    <n v="2.17"/>
    <s v="No"/>
    <n v="2.95"/>
    <x v="1"/>
    <x v="3"/>
    <x v="1"/>
  </r>
  <r>
    <s v="AIJ-102249"/>
    <x v="11"/>
    <x v="7"/>
    <x v="4"/>
    <x v="1"/>
    <x v="9"/>
    <x v="77"/>
    <x v="30"/>
    <x v="2"/>
    <n v="198412"/>
    <s v="Medium"/>
    <x v="1"/>
    <n v="42"/>
    <x v="1"/>
    <x v="0"/>
    <n v="4.45"/>
    <s v="Yes"/>
    <n v="2.74"/>
    <x v="0"/>
    <x v="0"/>
    <x v="1"/>
  </r>
  <r>
    <s v="AIJ-102250"/>
    <x v="19"/>
    <x v="3"/>
    <x v="9"/>
    <x v="2"/>
    <x v="17"/>
    <x v="27"/>
    <x v="45"/>
    <x v="0"/>
    <n v="80597"/>
    <s v="High"/>
    <x v="28"/>
    <n v="36"/>
    <x v="2"/>
    <x v="2"/>
    <n v="2.82"/>
    <s v="Yes"/>
    <n v="2.63"/>
    <x v="1"/>
    <x v="0"/>
    <x v="3"/>
  </r>
  <r>
    <s v="AIJ-102251"/>
    <x v="7"/>
    <x v="9"/>
    <x v="1"/>
    <x v="3"/>
    <x v="25"/>
    <x v="28"/>
    <x v="22"/>
    <x v="1"/>
    <n v="95228"/>
    <s v="Low"/>
    <x v="18"/>
    <n v="43"/>
    <x v="2"/>
    <x v="1"/>
    <n v="2.4300000000000002"/>
    <s v="No"/>
    <n v="3.98"/>
    <x v="2"/>
    <x v="3"/>
    <x v="1"/>
  </r>
  <r>
    <s v="AIJ-102252"/>
    <x v="17"/>
    <x v="4"/>
    <x v="9"/>
    <x v="1"/>
    <x v="24"/>
    <x v="38"/>
    <x v="50"/>
    <x v="1"/>
    <n v="82701"/>
    <s v="High"/>
    <x v="19"/>
    <n v="30"/>
    <x v="0"/>
    <x v="0"/>
    <n v="4.8499999999999996"/>
    <s v="Yes"/>
    <n v="3.33"/>
    <x v="1"/>
    <x v="3"/>
    <x v="1"/>
  </r>
  <r>
    <s v="AIJ-102253"/>
    <x v="17"/>
    <x v="4"/>
    <x v="1"/>
    <x v="0"/>
    <x v="10"/>
    <x v="46"/>
    <x v="49"/>
    <x v="0"/>
    <n v="167943"/>
    <s v="Low"/>
    <x v="47"/>
    <n v="57"/>
    <x v="1"/>
    <x v="1"/>
    <n v="3.56"/>
    <s v="Yes"/>
    <n v="3.68"/>
    <x v="0"/>
    <x v="2"/>
    <x v="3"/>
  </r>
  <r>
    <s v="AIJ-102254"/>
    <x v="5"/>
    <x v="9"/>
    <x v="7"/>
    <x v="3"/>
    <x v="25"/>
    <x v="71"/>
    <x v="2"/>
    <x v="0"/>
    <n v="96141"/>
    <s v="Low"/>
    <x v="33"/>
    <n v="42"/>
    <x v="0"/>
    <x v="1"/>
    <n v="3.55"/>
    <s v="No"/>
    <n v="4.76"/>
    <x v="2"/>
    <x v="2"/>
    <x v="1"/>
  </r>
  <r>
    <s v="AIJ-102255"/>
    <x v="17"/>
    <x v="5"/>
    <x v="6"/>
    <x v="3"/>
    <x v="14"/>
    <x v="11"/>
    <x v="7"/>
    <x v="2"/>
    <n v="202241"/>
    <s v="Medium"/>
    <x v="14"/>
    <n v="52"/>
    <x v="0"/>
    <x v="1"/>
    <n v="2.02"/>
    <s v="Yes"/>
    <n v="2.42"/>
    <x v="1"/>
    <x v="3"/>
    <x v="2"/>
  </r>
  <r>
    <s v="AIJ-102256"/>
    <x v="7"/>
    <x v="0"/>
    <x v="4"/>
    <x v="1"/>
    <x v="19"/>
    <x v="8"/>
    <x v="58"/>
    <x v="0"/>
    <n v="165700"/>
    <s v="Medium"/>
    <x v="15"/>
    <n v="31"/>
    <x v="2"/>
    <x v="0"/>
    <n v="4.32"/>
    <s v="Yes"/>
    <n v="2.4"/>
    <x v="1"/>
    <x v="3"/>
    <x v="2"/>
  </r>
  <r>
    <s v="AIJ-102257"/>
    <x v="0"/>
    <x v="0"/>
    <x v="7"/>
    <x v="2"/>
    <x v="2"/>
    <x v="15"/>
    <x v="6"/>
    <x v="0"/>
    <n v="171841"/>
    <s v="Medium"/>
    <x v="17"/>
    <n v="37"/>
    <x v="2"/>
    <x v="2"/>
    <n v="3.46"/>
    <s v="No"/>
    <n v="2.25"/>
    <x v="2"/>
    <x v="0"/>
    <x v="1"/>
  </r>
  <r>
    <s v="AIJ-102258"/>
    <x v="6"/>
    <x v="3"/>
    <x v="2"/>
    <x v="1"/>
    <x v="11"/>
    <x v="11"/>
    <x v="62"/>
    <x v="2"/>
    <n v="151235"/>
    <s v="High"/>
    <x v="7"/>
    <n v="60"/>
    <x v="2"/>
    <x v="0"/>
    <n v="2.75"/>
    <s v="Yes"/>
    <n v="3.7"/>
    <x v="2"/>
    <x v="0"/>
    <x v="1"/>
  </r>
  <r>
    <s v="AIJ-102259"/>
    <x v="8"/>
    <x v="7"/>
    <x v="4"/>
    <x v="2"/>
    <x v="11"/>
    <x v="29"/>
    <x v="4"/>
    <x v="0"/>
    <n v="130971"/>
    <s v="High"/>
    <x v="40"/>
    <n v="39"/>
    <x v="2"/>
    <x v="1"/>
    <n v="3.71"/>
    <s v="No"/>
    <n v="1.06"/>
    <x v="0"/>
    <x v="3"/>
    <x v="1"/>
  </r>
  <r>
    <s v="AIJ-102260"/>
    <x v="5"/>
    <x v="0"/>
    <x v="0"/>
    <x v="0"/>
    <x v="23"/>
    <x v="79"/>
    <x v="30"/>
    <x v="2"/>
    <n v="135475"/>
    <s v="High"/>
    <x v="46"/>
    <n v="31"/>
    <x v="1"/>
    <x v="0"/>
    <n v="3.7"/>
    <s v="No"/>
    <n v="2.68"/>
    <x v="1"/>
    <x v="0"/>
    <x v="3"/>
  </r>
  <r>
    <s v="AIJ-102261"/>
    <x v="0"/>
    <x v="4"/>
    <x v="5"/>
    <x v="0"/>
    <x v="3"/>
    <x v="70"/>
    <x v="19"/>
    <x v="1"/>
    <n v="92390"/>
    <s v="Low"/>
    <x v="53"/>
    <n v="47"/>
    <x v="1"/>
    <x v="1"/>
    <n v="3.74"/>
    <s v="Yes"/>
    <n v="3.68"/>
    <x v="2"/>
    <x v="3"/>
    <x v="2"/>
  </r>
  <r>
    <s v="AIJ-102262"/>
    <x v="0"/>
    <x v="8"/>
    <x v="9"/>
    <x v="0"/>
    <x v="7"/>
    <x v="85"/>
    <x v="19"/>
    <x v="2"/>
    <n v="149554"/>
    <s v="Medium"/>
    <x v="48"/>
    <n v="35"/>
    <x v="0"/>
    <x v="0"/>
    <n v="4.54"/>
    <s v="Yes"/>
    <n v="1.2"/>
    <x v="2"/>
    <x v="0"/>
    <x v="1"/>
  </r>
  <r>
    <s v="AIJ-102263"/>
    <x v="2"/>
    <x v="8"/>
    <x v="1"/>
    <x v="1"/>
    <x v="25"/>
    <x v="40"/>
    <x v="10"/>
    <x v="2"/>
    <n v="141175"/>
    <s v="Medium"/>
    <x v="52"/>
    <n v="60"/>
    <x v="0"/>
    <x v="1"/>
    <n v="2.5"/>
    <s v="No"/>
    <n v="2.08"/>
    <x v="1"/>
    <x v="2"/>
    <x v="1"/>
  </r>
  <r>
    <s v="AIJ-102264"/>
    <x v="13"/>
    <x v="8"/>
    <x v="0"/>
    <x v="1"/>
    <x v="25"/>
    <x v="85"/>
    <x v="31"/>
    <x v="2"/>
    <n v="63263"/>
    <s v="Medium"/>
    <x v="11"/>
    <n v="56"/>
    <x v="1"/>
    <x v="0"/>
    <n v="3.68"/>
    <s v="Yes"/>
    <n v="2.33"/>
    <x v="2"/>
    <x v="0"/>
    <x v="1"/>
  </r>
  <r>
    <s v="AIJ-102265"/>
    <x v="12"/>
    <x v="1"/>
    <x v="0"/>
    <x v="3"/>
    <x v="17"/>
    <x v="34"/>
    <x v="30"/>
    <x v="2"/>
    <n v="171717"/>
    <s v="Low"/>
    <x v="37"/>
    <n v="49"/>
    <x v="1"/>
    <x v="0"/>
    <n v="2.69"/>
    <s v="Yes"/>
    <n v="2.44"/>
    <x v="0"/>
    <x v="2"/>
    <x v="3"/>
  </r>
  <r>
    <s v="AIJ-102266"/>
    <x v="9"/>
    <x v="4"/>
    <x v="2"/>
    <x v="2"/>
    <x v="17"/>
    <x v="9"/>
    <x v="32"/>
    <x v="1"/>
    <n v="189640"/>
    <s v="High"/>
    <x v="55"/>
    <n v="41"/>
    <x v="1"/>
    <x v="2"/>
    <n v="4.09"/>
    <s v="Yes"/>
    <n v="3.35"/>
    <x v="2"/>
    <x v="3"/>
    <x v="3"/>
  </r>
  <r>
    <s v="AIJ-102267"/>
    <x v="10"/>
    <x v="8"/>
    <x v="3"/>
    <x v="2"/>
    <x v="14"/>
    <x v="61"/>
    <x v="30"/>
    <x v="1"/>
    <n v="71111"/>
    <s v="Medium"/>
    <x v="20"/>
    <n v="32"/>
    <x v="1"/>
    <x v="0"/>
    <n v="4.8600000000000003"/>
    <s v="Yes"/>
    <n v="2.89"/>
    <x v="2"/>
    <x v="3"/>
    <x v="2"/>
  </r>
  <r>
    <s v="AIJ-102268"/>
    <x v="10"/>
    <x v="3"/>
    <x v="1"/>
    <x v="0"/>
    <x v="3"/>
    <x v="19"/>
    <x v="37"/>
    <x v="2"/>
    <n v="41252"/>
    <s v="High"/>
    <x v="16"/>
    <n v="41"/>
    <x v="0"/>
    <x v="0"/>
    <n v="4.5199999999999996"/>
    <s v="No"/>
    <n v="3.63"/>
    <x v="2"/>
    <x v="3"/>
    <x v="2"/>
  </r>
  <r>
    <s v="AIJ-102269"/>
    <x v="12"/>
    <x v="1"/>
    <x v="4"/>
    <x v="3"/>
    <x v="18"/>
    <x v="5"/>
    <x v="21"/>
    <x v="1"/>
    <n v="179381"/>
    <s v="High"/>
    <x v="25"/>
    <n v="51"/>
    <x v="0"/>
    <x v="2"/>
    <n v="2.99"/>
    <s v="No"/>
    <n v="4.49"/>
    <x v="1"/>
    <x v="2"/>
    <x v="3"/>
  </r>
  <r>
    <s v="AIJ-102270"/>
    <x v="9"/>
    <x v="7"/>
    <x v="9"/>
    <x v="2"/>
    <x v="22"/>
    <x v="55"/>
    <x v="0"/>
    <x v="0"/>
    <n v="30376"/>
    <s v="Medium"/>
    <x v="11"/>
    <n v="34"/>
    <x v="2"/>
    <x v="0"/>
    <n v="2.56"/>
    <s v="No"/>
    <n v="4.1399999999999997"/>
    <x v="0"/>
    <x v="2"/>
    <x v="2"/>
  </r>
  <r>
    <s v="AIJ-102271"/>
    <x v="13"/>
    <x v="8"/>
    <x v="6"/>
    <x v="3"/>
    <x v="1"/>
    <x v="6"/>
    <x v="27"/>
    <x v="1"/>
    <n v="133060"/>
    <s v="Low"/>
    <x v="32"/>
    <n v="60"/>
    <x v="2"/>
    <x v="1"/>
    <n v="4.07"/>
    <s v="Yes"/>
    <n v="4.3499999999999996"/>
    <x v="0"/>
    <x v="0"/>
    <x v="1"/>
  </r>
  <r>
    <s v="AIJ-102272"/>
    <x v="13"/>
    <x v="8"/>
    <x v="9"/>
    <x v="2"/>
    <x v="15"/>
    <x v="10"/>
    <x v="58"/>
    <x v="0"/>
    <n v="117372"/>
    <s v="High"/>
    <x v="37"/>
    <n v="31"/>
    <x v="0"/>
    <x v="0"/>
    <n v="4.49"/>
    <s v="Yes"/>
    <n v="2.0699999999999998"/>
    <x v="1"/>
    <x v="2"/>
    <x v="1"/>
  </r>
  <r>
    <s v="AIJ-102273"/>
    <x v="17"/>
    <x v="8"/>
    <x v="4"/>
    <x v="2"/>
    <x v="23"/>
    <x v="36"/>
    <x v="66"/>
    <x v="2"/>
    <n v="207722"/>
    <s v="Medium"/>
    <x v="41"/>
    <n v="44"/>
    <x v="1"/>
    <x v="2"/>
    <n v="4.95"/>
    <s v="No"/>
    <n v="4.97"/>
    <x v="0"/>
    <x v="1"/>
    <x v="3"/>
  </r>
  <r>
    <s v="AIJ-102274"/>
    <x v="18"/>
    <x v="8"/>
    <x v="5"/>
    <x v="0"/>
    <x v="13"/>
    <x v="60"/>
    <x v="49"/>
    <x v="1"/>
    <n v="123645"/>
    <s v="Medium"/>
    <x v="20"/>
    <n v="41"/>
    <x v="1"/>
    <x v="0"/>
    <n v="4.87"/>
    <s v="No"/>
    <n v="2.0699999999999998"/>
    <x v="0"/>
    <x v="1"/>
    <x v="1"/>
  </r>
  <r>
    <s v="AIJ-102275"/>
    <x v="10"/>
    <x v="8"/>
    <x v="5"/>
    <x v="3"/>
    <x v="14"/>
    <x v="21"/>
    <x v="38"/>
    <x v="1"/>
    <n v="43440"/>
    <s v="High"/>
    <x v="3"/>
    <n v="40"/>
    <x v="1"/>
    <x v="2"/>
    <n v="2.86"/>
    <s v="No"/>
    <n v="1.54"/>
    <x v="1"/>
    <x v="2"/>
    <x v="2"/>
  </r>
  <r>
    <s v="AIJ-102276"/>
    <x v="10"/>
    <x v="7"/>
    <x v="7"/>
    <x v="1"/>
    <x v="1"/>
    <x v="73"/>
    <x v="27"/>
    <x v="0"/>
    <n v="127485"/>
    <s v="Medium"/>
    <x v="39"/>
    <n v="43"/>
    <x v="0"/>
    <x v="1"/>
    <n v="3.95"/>
    <s v="Yes"/>
    <n v="3.09"/>
    <x v="0"/>
    <x v="0"/>
    <x v="1"/>
  </r>
  <r>
    <s v="AIJ-102277"/>
    <x v="5"/>
    <x v="8"/>
    <x v="1"/>
    <x v="2"/>
    <x v="2"/>
    <x v="9"/>
    <x v="49"/>
    <x v="0"/>
    <n v="177809"/>
    <s v="Low"/>
    <x v="54"/>
    <n v="34"/>
    <x v="2"/>
    <x v="2"/>
    <n v="3.85"/>
    <s v="No"/>
    <n v="4.3899999999999997"/>
    <x v="1"/>
    <x v="2"/>
    <x v="1"/>
  </r>
  <r>
    <s v="AIJ-102278"/>
    <x v="13"/>
    <x v="9"/>
    <x v="6"/>
    <x v="1"/>
    <x v="5"/>
    <x v="80"/>
    <x v="52"/>
    <x v="0"/>
    <n v="128940"/>
    <s v="Medium"/>
    <x v="20"/>
    <n v="49"/>
    <x v="1"/>
    <x v="0"/>
    <n v="3.56"/>
    <s v="Yes"/>
    <n v="2.75"/>
    <x v="1"/>
    <x v="2"/>
    <x v="3"/>
  </r>
  <r>
    <s v="AIJ-102279"/>
    <x v="7"/>
    <x v="9"/>
    <x v="7"/>
    <x v="1"/>
    <x v="25"/>
    <x v="83"/>
    <x v="54"/>
    <x v="2"/>
    <n v="196688"/>
    <s v="Medium"/>
    <x v="1"/>
    <n v="42"/>
    <x v="0"/>
    <x v="0"/>
    <n v="2.27"/>
    <s v="No"/>
    <n v="4.22"/>
    <x v="1"/>
    <x v="1"/>
    <x v="1"/>
  </r>
  <r>
    <s v="AIJ-102280"/>
    <x v="1"/>
    <x v="8"/>
    <x v="2"/>
    <x v="0"/>
    <x v="11"/>
    <x v="25"/>
    <x v="31"/>
    <x v="2"/>
    <n v="138595"/>
    <s v="Low"/>
    <x v="48"/>
    <n v="55"/>
    <x v="1"/>
    <x v="1"/>
    <n v="2.58"/>
    <s v="Yes"/>
    <n v="1.54"/>
    <x v="1"/>
    <x v="0"/>
    <x v="1"/>
  </r>
  <r>
    <s v="AIJ-102281"/>
    <x v="0"/>
    <x v="1"/>
    <x v="5"/>
    <x v="3"/>
    <x v="13"/>
    <x v="38"/>
    <x v="66"/>
    <x v="1"/>
    <n v="194683"/>
    <s v="Medium"/>
    <x v="12"/>
    <n v="40"/>
    <x v="2"/>
    <x v="0"/>
    <n v="4.6100000000000003"/>
    <s v="Yes"/>
    <n v="3.56"/>
    <x v="1"/>
    <x v="2"/>
    <x v="1"/>
  </r>
  <r>
    <s v="AIJ-102282"/>
    <x v="9"/>
    <x v="5"/>
    <x v="4"/>
    <x v="3"/>
    <x v="11"/>
    <x v="70"/>
    <x v="41"/>
    <x v="1"/>
    <n v="84972"/>
    <s v="Low"/>
    <x v="43"/>
    <n v="53"/>
    <x v="1"/>
    <x v="0"/>
    <n v="4.97"/>
    <s v="No"/>
    <n v="3.33"/>
    <x v="2"/>
    <x v="3"/>
    <x v="1"/>
  </r>
  <r>
    <s v="AIJ-102283"/>
    <x v="3"/>
    <x v="0"/>
    <x v="7"/>
    <x v="1"/>
    <x v="9"/>
    <x v="17"/>
    <x v="44"/>
    <x v="2"/>
    <n v="161056"/>
    <s v="Medium"/>
    <x v="2"/>
    <n v="54"/>
    <x v="1"/>
    <x v="1"/>
    <n v="2.31"/>
    <s v="No"/>
    <n v="3.39"/>
    <x v="0"/>
    <x v="3"/>
    <x v="1"/>
  </r>
  <r>
    <s v="AIJ-102284"/>
    <x v="10"/>
    <x v="8"/>
    <x v="9"/>
    <x v="2"/>
    <x v="0"/>
    <x v="16"/>
    <x v="9"/>
    <x v="1"/>
    <n v="196185"/>
    <s v="Low"/>
    <x v="45"/>
    <n v="50"/>
    <x v="2"/>
    <x v="1"/>
    <n v="2.7"/>
    <s v="No"/>
    <n v="2.1"/>
    <x v="2"/>
    <x v="3"/>
    <x v="0"/>
  </r>
  <r>
    <s v="AIJ-102285"/>
    <x v="18"/>
    <x v="4"/>
    <x v="6"/>
    <x v="2"/>
    <x v="25"/>
    <x v="13"/>
    <x v="22"/>
    <x v="1"/>
    <n v="94392"/>
    <s v="High"/>
    <x v="42"/>
    <n v="48"/>
    <x v="0"/>
    <x v="0"/>
    <n v="4.83"/>
    <s v="Yes"/>
    <n v="4.25"/>
    <x v="1"/>
    <x v="0"/>
    <x v="1"/>
  </r>
  <r>
    <s v="AIJ-102286"/>
    <x v="18"/>
    <x v="0"/>
    <x v="3"/>
    <x v="1"/>
    <x v="4"/>
    <x v="50"/>
    <x v="22"/>
    <x v="0"/>
    <n v="89706"/>
    <s v="High"/>
    <x v="52"/>
    <n v="59"/>
    <x v="0"/>
    <x v="1"/>
    <n v="2.13"/>
    <s v="No"/>
    <n v="3.14"/>
    <x v="2"/>
    <x v="3"/>
    <x v="1"/>
  </r>
  <r>
    <s v="AIJ-102287"/>
    <x v="10"/>
    <x v="7"/>
    <x v="5"/>
    <x v="1"/>
    <x v="0"/>
    <x v="30"/>
    <x v="14"/>
    <x v="1"/>
    <n v="97232"/>
    <s v="Low"/>
    <x v="51"/>
    <n v="37"/>
    <x v="0"/>
    <x v="2"/>
    <n v="2.0099999999999998"/>
    <s v="No"/>
    <n v="3.62"/>
    <x v="0"/>
    <x v="3"/>
    <x v="0"/>
  </r>
  <r>
    <s v="AIJ-102288"/>
    <x v="18"/>
    <x v="4"/>
    <x v="9"/>
    <x v="1"/>
    <x v="20"/>
    <x v="3"/>
    <x v="61"/>
    <x v="1"/>
    <n v="39374"/>
    <s v="Medium"/>
    <x v="41"/>
    <n v="42"/>
    <x v="1"/>
    <x v="0"/>
    <n v="3.11"/>
    <s v="Yes"/>
    <n v="3.1"/>
    <x v="2"/>
    <x v="3"/>
    <x v="2"/>
  </r>
  <r>
    <s v="AIJ-102289"/>
    <x v="18"/>
    <x v="7"/>
    <x v="3"/>
    <x v="1"/>
    <x v="8"/>
    <x v="59"/>
    <x v="39"/>
    <x v="2"/>
    <n v="41480"/>
    <s v="Low"/>
    <x v="4"/>
    <n v="49"/>
    <x v="0"/>
    <x v="2"/>
    <n v="3.22"/>
    <s v="No"/>
    <n v="1"/>
    <x v="0"/>
    <x v="3"/>
    <x v="2"/>
  </r>
  <r>
    <s v="AIJ-102290"/>
    <x v="19"/>
    <x v="7"/>
    <x v="7"/>
    <x v="0"/>
    <x v="17"/>
    <x v="86"/>
    <x v="41"/>
    <x v="1"/>
    <n v="112479"/>
    <s v="High"/>
    <x v="44"/>
    <n v="54"/>
    <x v="0"/>
    <x v="0"/>
    <n v="4.9000000000000004"/>
    <s v="Yes"/>
    <n v="3.58"/>
    <x v="1"/>
    <x v="3"/>
    <x v="3"/>
  </r>
  <r>
    <s v="AIJ-102291"/>
    <x v="10"/>
    <x v="4"/>
    <x v="4"/>
    <x v="2"/>
    <x v="11"/>
    <x v="17"/>
    <x v="51"/>
    <x v="0"/>
    <n v="34756"/>
    <s v="Low"/>
    <x v="6"/>
    <n v="43"/>
    <x v="0"/>
    <x v="1"/>
    <n v="4.51"/>
    <s v="Yes"/>
    <n v="3.96"/>
    <x v="2"/>
    <x v="3"/>
    <x v="1"/>
  </r>
  <r>
    <s v="AIJ-102292"/>
    <x v="17"/>
    <x v="6"/>
    <x v="1"/>
    <x v="0"/>
    <x v="19"/>
    <x v="71"/>
    <x v="71"/>
    <x v="0"/>
    <n v="218413"/>
    <s v="Low"/>
    <x v="0"/>
    <n v="35"/>
    <x v="0"/>
    <x v="1"/>
    <n v="4.04"/>
    <s v="Yes"/>
    <n v="2.08"/>
    <x v="0"/>
    <x v="3"/>
    <x v="2"/>
  </r>
  <r>
    <s v="AIJ-102293"/>
    <x v="4"/>
    <x v="1"/>
    <x v="4"/>
    <x v="2"/>
    <x v="22"/>
    <x v="66"/>
    <x v="0"/>
    <x v="0"/>
    <n v="70946"/>
    <s v="High"/>
    <x v="36"/>
    <n v="54"/>
    <x v="0"/>
    <x v="2"/>
    <n v="2.0499999999999998"/>
    <s v="Yes"/>
    <n v="1.76"/>
    <x v="1"/>
    <x v="0"/>
    <x v="2"/>
  </r>
  <r>
    <s v="AIJ-102294"/>
    <x v="12"/>
    <x v="3"/>
    <x v="2"/>
    <x v="1"/>
    <x v="23"/>
    <x v="69"/>
    <x v="11"/>
    <x v="0"/>
    <n v="183629"/>
    <s v="Low"/>
    <x v="44"/>
    <n v="40"/>
    <x v="2"/>
    <x v="2"/>
    <n v="3.91"/>
    <s v="No"/>
    <n v="4.99"/>
    <x v="2"/>
    <x v="2"/>
    <x v="3"/>
  </r>
  <r>
    <s v="AIJ-102295"/>
    <x v="11"/>
    <x v="9"/>
    <x v="3"/>
    <x v="3"/>
    <x v="8"/>
    <x v="71"/>
    <x v="78"/>
    <x v="1"/>
    <n v="170864"/>
    <s v="Low"/>
    <x v="2"/>
    <n v="30"/>
    <x v="0"/>
    <x v="2"/>
    <n v="2"/>
    <s v="No"/>
    <n v="1.1599999999999999"/>
    <x v="2"/>
    <x v="1"/>
    <x v="2"/>
  </r>
  <r>
    <s v="AIJ-102296"/>
    <x v="1"/>
    <x v="4"/>
    <x v="3"/>
    <x v="1"/>
    <x v="12"/>
    <x v="10"/>
    <x v="4"/>
    <x v="0"/>
    <n v="219089"/>
    <s v="Medium"/>
    <x v="26"/>
    <n v="59"/>
    <x v="1"/>
    <x v="1"/>
    <n v="2.56"/>
    <s v="Yes"/>
    <n v="2.17"/>
    <x v="0"/>
    <x v="3"/>
    <x v="3"/>
  </r>
  <r>
    <s v="AIJ-102297"/>
    <x v="17"/>
    <x v="0"/>
    <x v="6"/>
    <x v="0"/>
    <x v="3"/>
    <x v="17"/>
    <x v="65"/>
    <x v="2"/>
    <n v="161714"/>
    <s v="Low"/>
    <x v="43"/>
    <n v="35"/>
    <x v="1"/>
    <x v="0"/>
    <n v="4.5599999999999996"/>
    <s v="Yes"/>
    <n v="3.09"/>
    <x v="2"/>
    <x v="3"/>
    <x v="2"/>
  </r>
  <r>
    <s v="AIJ-102298"/>
    <x v="15"/>
    <x v="8"/>
    <x v="3"/>
    <x v="2"/>
    <x v="1"/>
    <x v="79"/>
    <x v="44"/>
    <x v="2"/>
    <n v="37326"/>
    <s v="High"/>
    <x v="46"/>
    <n v="59"/>
    <x v="1"/>
    <x v="0"/>
    <n v="4.0599999999999996"/>
    <s v="No"/>
    <n v="2.2000000000000002"/>
    <x v="2"/>
    <x v="3"/>
    <x v="1"/>
  </r>
  <r>
    <s v="AIJ-102299"/>
    <x v="19"/>
    <x v="5"/>
    <x v="0"/>
    <x v="1"/>
    <x v="11"/>
    <x v="31"/>
    <x v="7"/>
    <x v="2"/>
    <n v="146070"/>
    <s v="Low"/>
    <x v="10"/>
    <n v="52"/>
    <x v="0"/>
    <x v="1"/>
    <n v="2.1"/>
    <s v="No"/>
    <n v="4.6399999999999997"/>
    <x v="0"/>
    <x v="3"/>
    <x v="1"/>
  </r>
  <r>
    <s v="AIJ-102300"/>
    <x v="0"/>
    <x v="2"/>
    <x v="4"/>
    <x v="0"/>
    <x v="7"/>
    <x v="52"/>
    <x v="54"/>
    <x v="2"/>
    <n v="119654"/>
    <s v="High"/>
    <x v="49"/>
    <n v="55"/>
    <x v="0"/>
    <x v="2"/>
    <n v="4.1900000000000004"/>
    <s v="Yes"/>
    <n v="2.36"/>
    <x v="2"/>
    <x v="2"/>
    <x v="1"/>
  </r>
  <r>
    <s v="AIJ-102301"/>
    <x v="18"/>
    <x v="9"/>
    <x v="1"/>
    <x v="1"/>
    <x v="3"/>
    <x v="27"/>
    <x v="27"/>
    <x v="2"/>
    <n v="78540"/>
    <s v="High"/>
    <x v="50"/>
    <n v="36"/>
    <x v="1"/>
    <x v="2"/>
    <n v="3.45"/>
    <s v="No"/>
    <n v="4.5"/>
    <x v="2"/>
    <x v="0"/>
    <x v="2"/>
  </r>
  <r>
    <s v="AIJ-102302"/>
    <x v="4"/>
    <x v="3"/>
    <x v="2"/>
    <x v="3"/>
    <x v="13"/>
    <x v="15"/>
    <x v="57"/>
    <x v="0"/>
    <n v="121771"/>
    <s v="High"/>
    <x v="49"/>
    <n v="60"/>
    <x v="0"/>
    <x v="1"/>
    <n v="4.6100000000000003"/>
    <s v="Yes"/>
    <n v="3.22"/>
    <x v="1"/>
    <x v="0"/>
    <x v="1"/>
  </r>
  <r>
    <s v="AIJ-102303"/>
    <x v="18"/>
    <x v="1"/>
    <x v="2"/>
    <x v="2"/>
    <x v="24"/>
    <x v="17"/>
    <x v="45"/>
    <x v="2"/>
    <n v="207599"/>
    <s v="Low"/>
    <x v="23"/>
    <n v="57"/>
    <x v="2"/>
    <x v="1"/>
    <n v="4.22"/>
    <s v="Yes"/>
    <n v="3.61"/>
    <x v="2"/>
    <x v="0"/>
    <x v="1"/>
  </r>
  <r>
    <s v="AIJ-102304"/>
    <x v="2"/>
    <x v="1"/>
    <x v="8"/>
    <x v="3"/>
    <x v="11"/>
    <x v="7"/>
    <x v="61"/>
    <x v="1"/>
    <n v="199702"/>
    <s v="Medium"/>
    <x v="19"/>
    <n v="31"/>
    <x v="1"/>
    <x v="2"/>
    <n v="3.27"/>
    <s v="No"/>
    <n v="1.68"/>
    <x v="1"/>
    <x v="2"/>
    <x v="1"/>
  </r>
  <r>
    <s v="AIJ-102305"/>
    <x v="17"/>
    <x v="4"/>
    <x v="2"/>
    <x v="3"/>
    <x v="20"/>
    <x v="3"/>
    <x v="57"/>
    <x v="1"/>
    <n v="88961"/>
    <s v="Low"/>
    <x v="38"/>
    <n v="51"/>
    <x v="1"/>
    <x v="1"/>
    <n v="2.21"/>
    <s v="Yes"/>
    <n v="4.5599999999999996"/>
    <x v="0"/>
    <x v="0"/>
    <x v="2"/>
  </r>
  <r>
    <s v="AIJ-102306"/>
    <x v="0"/>
    <x v="2"/>
    <x v="8"/>
    <x v="3"/>
    <x v="20"/>
    <x v="82"/>
    <x v="71"/>
    <x v="2"/>
    <n v="137809"/>
    <s v="Low"/>
    <x v="26"/>
    <n v="35"/>
    <x v="1"/>
    <x v="1"/>
    <n v="2.4900000000000002"/>
    <s v="No"/>
    <n v="2.1"/>
    <x v="1"/>
    <x v="0"/>
    <x v="2"/>
  </r>
  <r>
    <s v="AIJ-102307"/>
    <x v="7"/>
    <x v="8"/>
    <x v="9"/>
    <x v="0"/>
    <x v="4"/>
    <x v="9"/>
    <x v="62"/>
    <x v="0"/>
    <n v="106145"/>
    <s v="Low"/>
    <x v="4"/>
    <n v="51"/>
    <x v="0"/>
    <x v="2"/>
    <n v="3.38"/>
    <s v="Yes"/>
    <n v="3.94"/>
    <x v="0"/>
    <x v="3"/>
    <x v="1"/>
  </r>
  <r>
    <s v="AIJ-102308"/>
    <x v="8"/>
    <x v="6"/>
    <x v="5"/>
    <x v="0"/>
    <x v="15"/>
    <x v="15"/>
    <x v="46"/>
    <x v="2"/>
    <n v="106020"/>
    <s v="Medium"/>
    <x v="36"/>
    <n v="33"/>
    <x v="1"/>
    <x v="0"/>
    <n v="3.53"/>
    <s v="No"/>
    <n v="3.87"/>
    <x v="0"/>
    <x v="0"/>
    <x v="1"/>
  </r>
  <r>
    <s v="AIJ-102309"/>
    <x v="10"/>
    <x v="9"/>
    <x v="1"/>
    <x v="1"/>
    <x v="25"/>
    <x v="72"/>
    <x v="45"/>
    <x v="0"/>
    <n v="202462"/>
    <s v="High"/>
    <x v="34"/>
    <n v="55"/>
    <x v="2"/>
    <x v="0"/>
    <n v="2.52"/>
    <s v="Yes"/>
    <n v="2.13"/>
    <x v="0"/>
    <x v="3"/>
    <x v="1"/>
  </r>
  <r>
    <s v="AIJ-102310"/>
    <x v="10"/>
    <x v="9"/>
    <x v="8"/>
    <x v="3"/>
    <x v="2"/>
    <x v="36"/>
    <x v="59"/>
    <x v="0"/>
    <n v="49237"/>
    <s v="Low"/>
    <x v="14"/>
    <n v="55"/>
    <x v="2"/>
    <x v="1"/>
    <n v="4.3600000000000003"/>
    <s v="Yes"/>
    <n v="1.35"/>
    <x v="0"/>
    <x v="1"/>
    <x v="1"/>
  </r>
  <r>
    <s v="AIJ-102311"/>
    <x v="9"/>
    <x v="1"/>
    <x v="2"/>
    <x v="3"/>
    <x v="7"/>
    <x v="34"/>
    <x v="47"/>
    <x v="0"/>
    <n v="123775"/>
    <s v="Medium"/>
    <x v="13"/>
    <n v="40"/>
    <x v="2"/>
    <x v="2"/>
    <n v="3.7"/>
    <s v="Yes"/>
    <n v="2.06"/>
    <x v="2"/>
    <x v="2"/>
    <x v="1"/>
  </r>
  <r>
    <s v="AIJ-102312"/>
    <x v="1"/>
    <x v="0"/>
    <x v="2"/>
    <x v="2"/>
    <x v="25"/>
    <x v="69"/>
    <x v="25"/>
    <x v="1"/>
    <n v="57451"/>
    <s v="Low"/>
    <x v="10"/>
    <n v="53"/>
    <x v="2"/>
    <x v="2"/>
    <n v="2.77"/>
    <s v="No"/>
    <n v="3.47"/>
    <x v="1"/>
    <x v="3"/>
    <x v="1"/>
  </r>
  <r>
    <s v="AIJ-102313"/>
    <x v="19"/>
    <x v="1"/>
    <x v="3"/>
    <x v="1"/>
    <x v="23"/>
    <x v="51"/>
    <x v="24"/>
    <x v="1"/>
    <n v="115358"/>
    <s v="Low"/>
    <x v="51"/>
    <n v="57"/>
    <x v="0"/>
    <x v="2"/>
    <n v="3.49"/>
    <s v="No"/>
    <n v="4.59"/>
    <x v="2"/>
    <x v="2"/>
    <x v="3"/>
  </r>
  <r>
    <s v="AIJ-102314"/>
    <x v="1"/>
    <x v="8"/>
    <x v="6"/>
    <x v="2"/>
    <x v="13"/>
    <x v="78"/>
    <x v="10"/>
    <x v="2"/>
    <n v="110263"/>
    <s v="Medium"/>
    <x v="8"/>
    <n v="55"/>
    <x v="1"/>
    <x v="0"/>
    <n v="3.83"/>
    <s v="Yes"/>
    <n v="2.27"/>
    <x v="2"/>
    <x v="2"/>
    <x v="1"/>
  </r>
  <r>
    <s v="AIJ-102315"/>
    <x v="11"/>
    <x v="3"/>
    <x v="4"/>
    <x v="2"/>
    <x v="11"/>
    <x v="45"/>
    <x v="3"/>
    <x v="0"/>
    <n v="201674"/>
    <s v="High"/>
    <x v="34"/>
    <n v="38"/>
    <x v="1"/>
    <x v="2"/>
    <n v="4.43"/>
    <s v="Yes"/>
    <n v="1.66"/>
    <x v="0"/>
    <x v="0"/>
    <x v="1"/>
  </r>
  <r>
    <s v="AIJ-102316"/>
    <x v="1"/>
    <x v="3"/>
    <x v="6"/>
    <x v="1"/>
    <x v="9"/>
    <x v="80"/>
    <x v="65"/>
    <x v="1"/>
    <n v="50152"/>
    <s v="Medium"/>
    <x v="48"/>
    <n v="36"/>
    <x v="2"/>
    <x v="0"/>
    <n v="2.99"/>
    <s v="Yes"/>
    <n v="1.59"/>
    <x v="1"/>
    <x v="1"/>
    <x v="1"/>
  </r>
  <r>
    <s v="AIJ-102317"/>
    <x v="14"/>
    <x v="1"/>
    <x v="9"/>
    <x v="2"/>
    <x v="6"/>
    <x v="81"/>
    <x v="60"/>
    <x v="0"/>
    <n v="133209"/>
    <s v="Medium"/>
    <x v="13"/>
    <n v="60"/>
    <x v="1"/>
    <x v="0"/>
    <n v="3.92"/>
    <s v="Yes"/>
    <n v="3.8"/>
    <x v="1"/>
    <x v="3"/>
    <x v="0"/>
  </r>
  <r>
    <s v="AIJ-102318"/>
    <x v="8"/>
    <x v="2"/>
    <x v="7"/>
    <x v="0"/>
    <x v="18"/>
    <x v="8"/>
    <x v="9"/>
    <x v="2"/>
    <n v="191881"/>
    <s v="Low"/>
    <x v="53"/>
    <n v="45"/>
    <x v="1"/>
    <x v="0"/>
    <n v="4.07"/>
    <s v="Yes"/>
    <n v="2.0099999999999998"/>
    <x v="2"/>
    <x v="3"/>
    <x v="3"/>
  </r>
  <r>
    <s v="AIJ-102319"/>
    <x v="13"/>
    <x v="3"/>
    <x v="1"/>
    <x v="2"/>
    <x v="13"/>
    <x v="47"/>
    <x v="63"/>
    <x v="0"/>
    <n v="123183"/>
    <s v="High"/>
    <x v="7"/>
    <n v="55"/>
    <x v="2"/>
    <x v="1"/>
    <n v="2.25"/>
    <s v="No"/>
    <n v="3.57"/>
    <x v="2"/>
    <x v="1"/>
    <x v="1"/>
  </r>
  <r>
    <s v="AIJ-102320"/>
    <x v="15"/>
    <x v="6"/>
    <x v="9"/>
    <x v="0"/>
    <x v="11"/>
    <x v="78"/>
    <x v="8"/>
    <x v="1"/>
    <n v="129970"/>
    <s v="Low"/>
    <x v="1"/>
    <n v="57"/>
    <x v="1"/>
    <x v="0"/>
    <n v="2.81"/>
    <s v="Yes"/>
    <n v="3.5"/>
    <x v="0"/>
    <x v="3"/>
    <x v="1"/>
  </r>
  <r>
    <s v="AIJ-102321"/>
    <x v="14"/>
    <x v="2"/>
    <x v="4"/>
    <x v="1"/>
    <x v="11"/>
    <x v="1"/>
    <x v="21"/>
    <x v="2"/>
    <n v="168577"/>
    <s v="High"/>
    <x v="41"/>
    <n v="31"/>
    <x v="2"/>
    <x v="1"/>
    <n v="4.1100000000000003"/>
    <s v="No"/>
    <n v="2.71"/>
    <x v="0"/>
    <x v="1"/>
    <x v="1"/>
  </r>
  <r>
    <s v="AIJ-102322"/>
    <x v="11"/>
    <x v="6"/>
    <x v="9"/>
    <x v="1"/>
    <x v="0"/>
    <x v="42"/>
    <x v="19"/>
    <x v="1"/>
    <n v="207937"/>
    <s v="High"/>
    <x v="32"/>
    <n v="35"/>
    <x v="2"/>
    <x v="2"/>
    <n v="4.08"/>
    <s v="Yes"/>
    <n v="2.41"/>
    <x v="1"/>
    <x v="0"/>
    <x v="0"/>
  </r>
  <r>
    <s v="AIJ-102323"/>
    <x v="5"/>
    <x v="2"/>
    <x v="7"/>
    <x v="2"/>
    <x v="5"/>
    <x v="15"/>
    <x v="11"/>
    <x v="0"/>
    <n v="63240"/>
    <s v="Medium"/>
    <x v="53"/>
    <n v="52"/>
    <x v="1"/>
    <x v="0"/>
    <n v="3.91"/>
    <s v="Yes"/>
    <n v="2.76"/>
    <x v="2"/>
    <x v="2"/>
    <x v="3"/>
  </r>
  <r>
    <s v="AIJ-102324"/>
    <x v="12"/>
    <x v="5"/>
    <x v="6"/>
    <x v="2"/>
    <x v="20"/>
    <x v="84"/>
    <x v="58"/>
    <x v="0"/>
    <n v="138280"/>
    <s v="Low"/>
    <x v="40"/>
    <n v="44"/>
    <x v="2"/>
    <x v="0"/>
    <n v="4.5"/>
    <s v="Yes"/>
    <n v="4.9000000000000004"/>
    <x v="1"/>
    <x v="3"/>
    <x v="2"/>
  </r>
  <r>
    <s v="AIJ-102325"/>
    <x v="1"/>
    <x v="2"/>
    <x v="2"/>
    <x v="3"/>
    <x v="18"/>
    <x v="62"/>
    <x v="40"/>
    <x v="1"/>
    <n v="159422"/>
    <s v="High"/>
    <x v="21"/>
    <n v="57"/>
    <x v="1"/>
    <x v="2"/>
    <n v="3.86"/>
    <s v="Yes"/>
    <n v="3.86"/>
    <x v="2"/>
    <x v="1"/>
    <x v="3"/>
  </r>
  <r>
    <s v="AIJ-102326"/>
    <x v="15"/>
    <x v="9"/>
    <x v="5"/>
    <x v="1"/>
    <x v="1"/>
    <x v="15"/>
    <x v="20"/>
    <x v="1"/>
    <n v="124389"/>
    <s v="Low"/>
    <x v="31"/>
    <n v="37"/>
    <x v="2"/>
    <x v="0"/>
    <n v="4.0999999999999996"/>
    <s v="No"/>
    <n v="2.14"/>
    <x v="0"/>
    <x v="3"/>
    <x v="1"/>
  </r>
  <r>
    <s v="AIJ-102327"/>
    <x v="19"/>
    <x v="2"/>
    <x v="3"/>
    <x v="2"/>
    <x v="21"/>
    <x v="27"/>
    <x v="10"/>
    <x v="0"/>
    <n v="217487"/>
    <s v="Low"/>
    <x v="7"/>
    <n v="50"/>
    <x v="1"/>
    <x v="2"/>
    <n v="3.51"/>
    <s v="Yes"/>
    <n v="2.0299999999999998"/>
    <x v="2"/>
    <x v="3"/>
    <x v="0"/>
  </r>
  <r>
    <s v="AIJ-102328"/>
    <x v="9"/>
    <x v="4"/>
    <x v="7"/>
    <x v="2"/>
    <x v="11"/>
    <x v="70"/>
    <x v="56"/>
    <x v="0"/>
    <n v="122680"/>
    <s v="Medium"/>
    <x v="16"/>
    <n v="38"/>
    <x v="2"/>
    <x v="1"/>
    <n v="4.6900000000000004"/>
    <s v="Yes"/>
    <n v="2.12"/>
    <x v="0"/>
    <x v="3"/>
    <x v="1"/>
  </r>
  <r>
    <s v="AIJ-102329"/>
    <x v="13"/>
    <x v="8"/>
    <x v="7"/>
    <x v="2"/>
    <x v="21"/>
    <x v="73"/>
    <x v="1"/>
    <x v="1"/>
    <n v="152221"/>
    <s v="Medium"/>
    <x v="45"/>
    <n v="50"/>
    <x v="1"/>
    <x v="2"/>
    <n v="4.17"/>
    <s v="Yes"/>
    <n v="3.98"/>
    <x v="2"/>
    <x v="3"/>
    <x v="0"/>
  </r>
  <r>
    <s v="AIJ-102330"/>
    <x v="1"/>
    <x v="4"/>
    <x v="9"/>
    <x v="0"/>
    <x v="14"/>
    <x v="7"/>
    <x v="52"/>
    <x v="2"/>
    <n v="184075"/>
    <s v="High"/>
    <x v="0"/>
    <n v="57"/>
    <x v="1"/>
    <x v="0"/>
    <n v="3.75"/>
    <s v="No"/>
    <n v="2.41"/>
    <x v="0"/>
    <x v="2"/>
    <x v="2"/>
  </r>
  <r>
    <s v="AIJ-102331"/>
    <x v="14"/>
    <x v="0"/>
    <x v="6"/>
    <x v="3"/>
    <x v="14"/>
    <x v="69"/>
    <x v="78"/>
    <x v="0"/>
    <n v="145577"/>
    <s v="High"/>
    <x v="18"/>
    <n v="57"/>
    <x v="1"/>
    <x v="0"/>
    <n v="4.03"/>
    <s v="No"/>
    <n v="4.62"/>
    <x v="1"/>
    <x v="3"/>
    <x v="2"/>
  </r>
  <r>
    <s v="AIJ-102332"/>
    <x v="11"/>
    <x v="1"/>
    <x v="3"/>
    <x v="0"/>
    <x v="1"/>
    <x v="81"/>
    <x v="38"/>
    <x v="0"/>
    <n v="152642"/>
    <s v="Low"/>
    <x v="28"/>
    <n v="52"/>
    <x v="1"/>
    <x v="0"/>
    <n v="2.76"/>
    <s v="Yes"/>
    <n v="1.05"/>
    <x v="1"/>
    <x v="2"/>
    <x v="1"/>
  </r>
  <r>
    <s v="AIJ-102333"/>
    <x v="3"/>
    <x v="7"/>
    <x v="2"/>
    <x v="1"/>
    <x v="19"/>
    <x v="16"/>
    <x v="77"/>
    <x v="1"/>
    <n v="202617"/>
    <s v="Medium"/>
    <x v="16"/>
    <n v="53"/>
    <x v="1"/>
    <x v="0"/>
    <n v="4.79"/>
    <s v="No"/>
    <n v="1.18"/>
    <x v="2"/>
    <x v="3"/>
    <x v="2"/>
  </r>
  <r>
    <s v="AIJ-102334"/>
    <x v="14"/>
    <x v="7"/>
    <x v="9"/>
    <x v="1"/>
    <x v="1"/>
    <x v="23"/>
    <x v="68"/>
    <x v="2"/>
    <n v="126867"/>
    <s v="Low"/>
    <x v="24"/>
    <n v="56"/>
    <x v="2"/>
    <x v="1"/>
    <n v="4.1100000000000003"/>
    <s v="Yes"/>
    <n v="3.51"/>
    <x v="1"/>
    <x v="2"/>
    <x v="1"/>
  </r>
  <r>
    <s v="AIJ-102335"/>
    <x v="5"/>
    <x v="4"/>
    <x v="7"/>
    <x v="2"/>
    <x v="7"/>
    <x v="46"/>
    <x v="70"/>
    <x v="0"/>
    <n v="82032"/>
    <s v="Medium"/>
    <x v="46"/>
    <n v="49"/>
    <x v="0"/>
    <x v="1"/>
    <n v="4.99"/>
    <s v="Yes"/>
    <n v="3.42"/>
    <x v="1"/>
    <x v="2"/>
    <x v="1"/>
  </r>
  <r>
    <s v="AIJ-102336"/>
    <x v="12"/>
    <x v="6"/>
    <x v="3"/>
    <x v="2"/>
    <x v="15"/>
    <x v="42"/>
    <x v="3"/>
    <x v="0"/>
    <n v="35808"/>
    <s v="Medium"/>
    <x v="18"/>
    <n v="46"/>
    <x v="0"/>
    <x v="1"/>
    <n v="3.55"/>
    <s v="Yes"/>
    <n v="1.3"/>
    <x v="2"/>
    <x v="0"/>
    <x v="1"/>
  </r>
  <r>
    <s v="AIJ-102337"/>
    <x v="5"/>
    <x v="7"/>
    <x v="6"/>
    <x v="2"/>
    <x v="7"/>
    <x v="17"/>
    <x v="58"/>
    <x v="0"/>
    <n v="188046"/>
    <s v="Low"/>
    <x v="45"/>
    <n v="45"/>
    <x v="0"/>
    <x v="0"/>
    <n v="2.3199999999999998"/>
    <s v="No"/>
    <n v="4.01"/>
    <x v="0"/>
    <x v="3"/>
    <x v="1"/>
  </r>
  <r>
    <s v="AIJ-102338"/>
    <x v="10"/>
    <x v="2"/>
    <x v="0"/>
    <x v="3"/>
    <x v="2"/>
    <x v="56"/>
    <x v="38"/>
    <x v="0"/>
    <n v="64833"/>
    <s v="High"/>
    <x v="18"/>
    <n v="55"/>
    <x v="1"/>
    <x v="1"/>
    <n v="3.53"/>
    <s v="No"/>
    <n v="2.79"/>
    <x v="1"/>
    <x v="1"/>
    <x v="1"/>
  </r>
  <r>
    <s v="AIJ-102339"/>
    <x v="15"/>
    <x v="6"/>
    <x v="4"/>
    <x v="0"/>
    <x v="18"/>
    <x v="63"/>
    <x v="64"/>
    <x v="0"/>
    <n v="196994"/>
    <s v="Low"/>
    <x v="52"/>
    <n v="32"/>
    <x v="2"/>
    <x v="2"/>
    <n v="4.92"/>
    <s v="No"/>
    <n v="2.12"/>
    <x v="1"/>
    <x v="0"/>
    <x v="3"/>
  </r>
  <r>
    <s v="AIJ-102340"/>
    <x v="3"/>
    <x v="1"/>
    <x v="9"/>
    <x v="1"/>
    <x v="25"/>
    <x v="84"/>
    <x v="47"/>
    <x v="1"/>
    <n v="215803"/>
    <s v="High"/>
    <x v="7"/>
    <n v="43"/>
    <x v="2"/>
    <x v="0"/>
    <n v="3.03"/>
    <s v="No"/>
    <n v="3.11"/>
    <x v="0"/>
    <x v="2"/>
    <x v="1"/>
  </r>
  <r>
    <s v="AIJ-102341"/>
    <x v="19"/>
    <x v="0"/>
    <x v="3"/>
    <x v="3"/>
    <x v="1"/>
    <x v="59"/>
    <x v="18"/>
    <x v="0"/>
    <n v="132502"/>
    <s v="High"/>
    <x v="52"/>
    <n v="39"/>
    <x v="1"/>
    <x v="0"/>
    <n v="2.1800000000000002"/>
    <s v="Yes"/>
    <n v="2.31"/>
    <x v="0"/>
    <x v="3"/>
    <x v="1"/>
  </r>
  <r>
    <s v="AIJ-102342"/>
    <x v="12"/>
    <x v="9"/>
    <x v="3"/>
    <x v="0"/>
    <x v="23"/>
    <x v="70"/>
    <x v="2"/>
    <x v="1"/>
    <n v="175977"/>
    <s v="Low"/>
    <x v="36"/>
    <n v="37"/>
    <x v="2"/>
    <x v="1"/>
    <n v="4.29"/>
    <s v="No"/>
    <n v="2.38"/>
    <x v="2"/>
    <x v="3"/>
    <x v="3"/>
  </r>
  <r>
    <s v="AIJ-102343"/>
    <x v="14"/>
    <x v="7"/>
    <x v="1"/>
    <x v="1"/>
    <x v="2"/>
    <x v="79"/>
    <x v="45"/>
    <x v="1"/>
    <n v="199048"/>
    <s v="Medium"/>
    <x v="49"/>
    <n v="42"/>
    <x v="1"/>
    <x v="1"/>
    <n v="3.11"/>
    <s v="No"/>
    <n v="2.36"/>
    <x v="1"/>
    <x v="0"/>
    <x v="1"/>
  </r>
  <r>
    <s v="AIJ-102344"/>
    <x v="1"/>
    <x v="2"/>
    <x v="7"/>
    <x v="3"/>
    <x v="4"/>
    <x v="88"/>
    <x v="7"/>
    <x v="0"/>
    <n v="123855"/>
    <s v="Low"/>
    <x v="50"/>
    <n v="31"/>
    <x v="0"/>
    <x v="1"/>
    <n v="3.31"/>
    <s v="No"/>
    <n v="2.0299999999999998"/>
    <x v="1"/>
    <x v="2"/>
    <x v="1"/>
  </r>
  <r>
    <s v="AIJ-102345"/>
    <x v="0"/>
    <x v="9"/>
    <x v="7"/>
    <x v="1"/>
    <x v="18"/>
    <x v="23"/>
    <x v="22"/>
    <x v="0"/>
    <n v="47842"/>
    <s v="Medium"/>
    <x v="11"/>
    <n v="37"/>
    <x v="0"/>
    <x v="0"/>
    <n v="2.99"/>
    <s v="Yes"/>
    <n v="4.46"/>
    <x v="0"/>
    <x v="3"/>
    <x v="3"/>
  </r>
  <r>
    <s v="AIJ-102346"/>
    <x v="2"/>
    <x v="3"/>
    <x v="3"/>
    <x v="1"/>
    <x v="13"/>
    <x v="90"/>
    <x v="38"/>
    <x v="1"/>
    <n v="64459"/>
    <s v="Medium"/>
    <x v="2"/>
    <n v="57"/>
    <x v="1"/>
    <x v="1"/>
    <n v="2.1800000000000002"/>
    <s v="No"/>
    <n v="4.28"/>
    <x v="0"/>
    <x v="1"/>
    <x v="1"/>
  </r>
  <r>
    <s v="AIJ-102347"/>
    <x v="0"/>
    <x v="3"/>
    <x v="8"/>
    <x v="0"/>
    <x v="5"/>
    <x v="29"/>
    <x v="55"/>
    <x v="0"/>
    <n v="192555"/>
    <s v="Medium"/>
    <x v="21"/>
    <n v="35"/>
    <x v="2"/>
    <x v="2"/>
    <n v="2.92"/>
    <s v="No"/>
    <n v="1.41"/>
    <x v="1"/>
    <x v="3"/>
    <x v="3"/>
  </r>
  <r>
    <s v="AIJ-102348"/>
    <x v="15"/>
    <x v="8"/>
    <x v="2"/>
    <x v="0"/>
    <x v="8"/>
    <x v="77"/>
    <x v="55"/>
    <x v="1"/>
    <n v="62137"/>
    <s v="Medium"/>
    <x v="11"/>
    <n v="32"/>
    <x v="1"/>
    <x v="0"/>
    <n v="3.58"/>
    <s v="No"/>
    <n v="1.79"/>
    <x v="1"/>
    <x v="0"/>
    <x v="2"/>
  </r>
  <r>
    <s v="AIJ-102349"/>
    <x v="9"/>
    <x v="4"/>
    <x v="1"/>
    <x v="3"/>
    <x v="24"/>
    <x v="74"/>
    <x v="24"/>
    <x v="2"/>
    <n v="218304"/>
    <s v="High"/>
    <x v="16"/>
    <n v="49"/>
    <x v="0"/>
    <x v="0"/>
    <n v="3.57"/>
    <s v="No"/>
    <n v="2.92"/>
    <x v="1"/>
    <x v="3"/>
    <x v="1"/>
  </r>
  <r>
    <s v="AIJ-102350"/>
    <x v="4"/>
    <x v="8"/>
    <x v="6"/>
    <x v="0"/>
    <x v="5"/>
    <x v="49"/>
    <x v="12"/>
    <x v="2"/>
    <n v="194933"/>
    <s v="High"/>
    <x v="15"/>
    <n v="44"/>
    <x v="1"/>
    <x v="0"/>
    <n v="3.37"/>
    <s v="No"/>
    <n v="4.37"/>
    <x v="2"/>
    <x v="3"/>
    <x v="3"/>
  </r>
  <r>
    <s v="AIJ-102351"/>
    <x v="4"/>
    <x v="2"/>
    <x v="5"/>
    <x v="1"/>
    <x v="15"/>
    <x v="82"/>
    <x v="58"/>
    <x v="2"/>
    <n v="211365"/>
    <s v="Low"/>
    <x v="14"/>
    <n v="55"/>
    <x v="0"/>
    <x v="2"/>
    <n v="2.88"/>
    <s v="Yes"/>
    <n v="1.89"/>
    <x v="1"/>
    <x v="3"/>
    <x v="1"/>
  </r>
  <r>
    <s v="AIJ-102352"/>
    <x v="3"/>
    <x v="7"/>
    <x v="5"/>
    <x v="1"/>
    <x v="3"/>
    <x v="83"/>
    <x v="67"/>
    <x v="0"/>
    <n v="55135"/>
    <s v="High"/>
    <x v="51"/>
    <n v="56"/>
    <x v="0"/>
    <x v="1"/>
    <n v="2.25"/>
    <s v="Yes"/>
    <n v="4.13"/>
    <x v="2"/>
    <x v="2"/>
    <x v="2"/>
  </r>
  <r>
    <s v="AIJ-102353"/>
    <x v="16"/>
    <x v="0"/>
    <x v="7"/>
    <x v="3"/>
    <x v="23"/>
    <x v="33"/>
    <x v="50"/>
    <x v="0"/>
    <n v="60662"/>
    <s v="High"/>
    <x v="9"/>
    <n v="36"/>
    <x v="2"/>
    <x v="1"/>
    <n v="2.48"/>
    <s v="No"/>
    <n v="4.95"/>
    <x v="2"/>
    <x v="2"/>
    <x v="3"/>
  </r>
  <r>
    <s v="AIJ-102354"/>
    <x v="7"/>
    <x v="4"/>
    <x v="3"/>
    <x v="3"/>
    <x v="1"/>
    <x v="77"/>
    <x v="63"/>
    <x v="2"/>
    <n v="118420"/>
    <s v="Low"/>
    <x v="46"/>
    <n v="48"/>
    <x v="0"/>
    <x v="0"/>
    <n v="3.82"/>
    <s v="No"/>
    <n v="2.88"/>
    <x v="2"/>
    <x v="3"/>
    <x v="1"/>
  </r>
  <r>
    <s v="AIJ-102355"/>
    <x v="18"/>
    <x v="5"/>
    <x v="4"/>
    <x v="1"/>
    <x v="0"/>
    <x v="81"/>
    <x v="69"/>
    <x v="0"/>
    <n v="63016"/>
    <s v="Medium"/>
    <x v="17"/>
    <n v="59"/>
    <x v="1"/>
    <x v="1"/>
    <n v="2.92"/>
    <s v="No"/>
    <n v="4.22"/>
    <x v="2"/>
    <x v="3"/>
    <x v="0"/>
  </r>
  <r>
    <s v="AIJ-102356"/>
    <x v="7"/>
    <x v="1"/>
    <x v="0"/>
    <x v="2"/>
    <x v="21"/>
    <x v="69"/>
    <x v="30"/>
    <x v="2"/>
    <n v="108721"/>
    <s v="Medium"/>
    <x v="9"/>
    <n v="54"/>
    <x v="1"/>
    <x v="1"/>
    <n v="4.58"/>
    <s v="Yes"/>
    <n v="3.26"/>
    <x v="0"/>
    <x v="0"/>
    <x v="0"/>
  </r>
  <r>
    <s v="AIJ-102357"/>
    <x v="17"/>
    <x v="3"/>
    <x v="0"/>
    <x v="1"/>
    <x v="1"/>
    <x v="66"/>
    <x v="73"/>
    <x v="0"/>
    <n v="107208"/>
    <s v="Low"/>
    <x v="32"/>
    <n v="56"/>
    <x v="1"/>
    <x v="1"/>
    <n v="3.34"/>
    <s v="Yes"/>
    <n v="3.57"/>
    <x v="0"/>
    <x v="0"/>
    <x v="1"/>
  </r>
  <r>
    <s v="AIJ-102358"/>
    <x v="8"/>
    <x v="9"/>
    <x v="1"/>
    <x v="2"/>
    <x v="19"/>
    <x v="27"/>
    <x v="37"/>
    <x v="0"/>
    <n v="84276"/>
    <s v="Low"/>
    <x v="0"/>
    <n v="46"/>
    <x v="1"/>
    <x v="0"/>
    <n v="3.78"/>
    <s v="Yes"/>
    <n v="3.35"/>
    <x v="0"/>
    <x v="3"/>
    <x v="2"/>
  </r>
  <r>
    <s v="AIJ-102359"/>
    <x v="18"/>
    <x v="3"/>
    <x v="5"/>
    <x v="3"/>
    <x v="10"/>
    <x v="90"/>
    <x v="6"/>
    <x v="1"/>
    <n v="207619"/>
    <s v="Low"/>
    <x v="15"/>
    <n v="47"/>
    <x v="1"/>
    <x v="0"/>
    <n v="3.88"/>
    <s v="No"/>
    <n v="3.05"/>
    <x v="2"/>
    <x v="3"/>
    <x v="3"/>
  </r>
  <r>
    <s v="AIJ-102360"/>
    <x v="5"/>
    <x v="4"/>
    <x v="9"/>
    <x v="2"/>
    <x v="6"/>
    <x v="53"/>
    <x v="15"/>
    <x v="2"/>
    <n v="212710"/>
    <s v="Low"/>
    <x v="51"/>
    <n v="56"/>
    <x v="2"/>
    <x v="2"/>
    <n v="4.75"/>
    <s v="No"/>
    <n v="1"/>
    <x v="1"/>
    <x v="1"/>
    <x v="0"/>
  </r>
  <r>
    <s v="AIJ-102361"/>
    <x v="2"/>
    <x v="7"/>
    <x v="0"/>
    <x v="1"/>
    <x v="11"/>
    <x v="73"/>
    <x v="73"/>
    <x v="0"/>
    <n v="99747"/>
    <s v="High"/>
    <x v="19"/>
    <n v="49"/>
    <x v="0"/>
    <x v="2"/>
    <n v="3.79"/>
    <s v="Yes"/>
    <n v="3.41"/>
    <x v="2"/>
    <x v="0"/>
    <x v="1"/>
  </r>
  <r>
    <s v="AIJ-102362"/>
    <x v="2"/>
    <x v="8"/>
    <x v="8"/>
    <x v="3"/>
    <x v="11"/>
    <x v="51"/>
    <x v="76"/>
    <x v="1"/>
    <n v="213332"/>
    <s v="High"/>
    <x v="48"/>
    <n v="36"/>
    <x v="2"/>
    <x v="2"/>
    <n v="4.7"/>
    <s v="Yes"/>
    <n v="4.5599999999999996"/>
    <x v="2"/>
    <x v="2"/>
    <x v="1"/>
  </r>
  <r>
    <s v="AIJ-102363"/>
    <x v="14"/>
    <x v="6"/>
    <x v="0"/>
    <x v="0"/>
    <x v="16"/>
    <x v="36"/>
    <x v="45"/>
    <x v="0"/>
    <n v="86803"/>
    <s v="High"/>
    <x v="33"/>
    <n v="41"/>
    <x v="0"/>
    <x v="2"/>
    <n v="3.97"/>
    <s v="No"/>
    <n v="1.83"/>
    <x v="2"/>
    <x v="2"/>
    <x v="3"/>
  </r>
  <r>
    <s v="AIJ-102364"/>
    <x v="19"/>
    <x v="7"/>
    <x v="4"/>
    <x v="1"/>
    <x v="9"/>
    <x v="48"/>
    <x v="15"/>
    <x v="1"/>
    <n v="195336"/>
    <s v="Medium"/>
    <x v="26"/>
    <n v="35"/>
    <x v="2"/>
    <x v="0"/>
    <n v="4.97"/>
    <s v="Yes"/>
    <n v="4.46"/>
    <x v="1"/>
    <x v="3"/>
    <x v="1"/>
  </r>
  <r>
    <s v="AIJ-102365"/>
    <x v="15"/>
    <x v="3"/>
    <x v="4"/>
    <x v="1"/>
    <x v="25"/>
    <x v="82"/>
    <x v="49"/>
    <x v="1"/>
    <n v="55498"/>
    <s v="Low"/>
    <x v="34"/>
    <n v="40"/>
    <x v="0"/>
    <x v="1"/>
    <n v="4.2699999999999996"/>
    <s v="No"/>
    <n v="1.4"/>
    <x v="0"/>
    <x v="3"/>
    <x v="1"/>
  </r>
  <r>
    <s v="AIJ-102366"/>
    <x v="3"/>
    <x v="4"/>
    <x v="7"/>
    <x v="0"/>
    <x v="18"/>
    <x v="85"/>
    <x v="75"/>
    <x v="2"/>
    <n v="181823"/>
    <s v="Low"/>
    <x v="32"/>
    <n v="57"/>
    <x v="0"/>
    <x v="1"/>
    <n v="2.4700000000000002"/>
    <s v="No"/>
    <n v="3.71"/>
    <x v="1"/>
    <x v="3"/>
    <x v="3"/>
  </r>
  <r>
    <s v="AIJ-102367"/>
    <x v="8"/>
    <x v="3"/>
    <x v="1"/>
    <x v="3"/>
    <x v="1"/>
    <x v="66"/>
    <x v="28"/>
    <x v="2"/>
    <n v="164945"/>
    <s v="High"/>
    <x v="31"/>
    <n v="45"/>
    <x v="0"/>
    <x v="2"/>
    <n v="3.83"/>
    <s v="Yes"/>
    <n v="1.77"/>
    <x v="2"/>
    <x v="3"/>
    <x v="1"/>
  </r>
  <r>
    <s v="AIJ-102368"/>
    <x v="0"/>
    <x v="4"/>
    <x v="0"/>
    <x v="3"/>
    <x v="7"/>
    <x v="26"/>
    <x v="29"/>
    <x v="1"/>
    <n v="174645"/>
    <s v="Low"/>
    <x v="38"/>
    <n v="31"/>
    <x v="2"/>
    <x v="1"/>
    <n v="3.56"/>
    <s v="Yes"/>
    <n v="4.22"/>
    <x v="1"/>
    <x v="3"/>
    <x v="1"/>
  </r>
  <r>
    <s v="AIJ-102369"/>
    <x v="0"/>
    <x v="0"/>
    <x v="4"/>
    <x v="0"/>
    <x v="6"/>
    <x v="45"/>
    <x v="11"/>
    <x v="1"/>
    <n v="48847"/>
    <s v="Low"/>
    <x v="53"/>
    <n v="31"/>
    <x v="2"/>
    <x v="0"/>
    <n v="4.46"/>
    <s v="No"/>
    <n v="3.91"/>
    <x v="2"/>
    <x v="3"/>
    <x v="0"/>
  </r>
  <r>
    <s v="AIJ-102370"/>
    <x v="1"/>
    <x v="8"/>
    <x v="5"/>
    <x v="3"/>
    <x v="20"/>
    <x v="14"/>
    <x v="37"/>
    <x v="2"/>
    <n v="207834"/>
    <s v="High"/>
    <x v="52"/>
    <n v="34"/>
    <x v="2"/>
    <x v="1"/>
    <n v="3.29"/>
    <s v="No"/>
    <n v="2.08"/>
    <x v="2"/>
    <x v="2"/>
    <x v="2"/>
  </r>
  <r>
    <s v="AIJ-102371"/>
    <x v="5"/>
    <x v="0"/>
    <x v="3"/>
    <x v="0"/>
    <x v="19"/>
    <x v="58"/>
    <x v="15"/>
    <x v="0"/>
    <n v="184353"/>
    <s v="Low"/>
    <x v="11"/>
    <n v="39"/>
    <x v="0"/>
    <x v="2"/>
    <n v="2.4700000000000002"/>
    <s v="Yes"/>
    <n v="3.4"/>
    <x v="0"/>
    <x v="3"/>
    <x v="2"/>
  </r>
  <r>
    <s v="AIJ-102372"/>
    <x v="2"/>
    <x v="1"/>
    <x v="9"/>
    <x v="2"/>
    <x v="25"/>
    <x v="59"/>
    <x v="31"/>
    <x v="2"/>
    <n v="217263"/>
    <s v="Low"/>
    <x v="53"/>
    <n v="32"/>
    <x v="1"/>
    <x v="2"/>
    <n v="4.13"/>
    <s v="Yes"/>
    <n v="4.91"/>
    <x v="2"/>
    <x v="3"/>
    <x v="1"/>
  </r>
  <r>
    <s v="AIJ-102373"/>
    <x v="13"/>
    <x v="2"/>
    <x v="1"/>
    <x v="1"/>
    <x v="13"/>
    <x v="82"/>
    <x v="7"/>
    <x v="2"/>
    <n v="132287"/>
    <s v="High"/>
    <x v="17"/>
    <n v="36"/>
    <x v="2"/>
    <x v="0"/>
    <n v="2.92"/>
    <s v="No"/>
    <n v="1.96"/>
    <x v="1"/>
    <x v="3"/>
    <x v="1"/>
  </r>
  <r>
    <s v="AIJ-102374"/>
    <x v="16"/>
    <x v="5"/>
    <x v="0"/>
    <x v="2"/>
    <x v="23"/>
    <x v="37"/>
    <x v="32"/>
    <x v="2"/>
    <n v="112256"/>
    <s v="High"/>
    <x v="49"/>
    <n v="30"/>
    <x v="0"/>
    <x v="0"/>
    <n v="4.91"/>
    <s v="Yes"/>
    <n v="3.1"/>
    <x v="2"/>
    <x v="3"/>
    <x v="3"/>
  </r>
  <r>
    <s v="AIJ-102375"/>
    <x v="8"/>
    <x v="9"/>
    <x v="1"/>
    <x v="0"/>
    <x v="16"/>
    <x v="19"/>
    <x v="59"/>
    <x v="0"/>
    <n v="213538"/>
    <s v="Low"/>
    <x v="34"/>
    <n v="60"/>
    <x v="2"/>
    <x v="0"/>
    <n v="2.2400000000000002"/>
    <s v="No"/>
    <n v="3.96"/>
    <x v="0"/>
    <x v="2"/>
    <x v="3"/>
  </r>
  <r>
    <s v="AIJ-102376"/>
    <x v="18"/>
    <x v="8"/>
    <x v="0"/>
    <x v="0"/>
    <x v="14"/>
    <x v="77"/>
    <x v="76"/>
    <x v="0"/>
    <n v="123661"/>
    <s v="High"/>
    <x v="31"/>
    <n v="34"/>
    <x v="1"/>
    <x v="2"/>
    <n v="3.45"/>
    <s v="Yes"/>
    <n v="3.21"/>
    <x v="2"/>
    <x v="3"/>
    <x v="2"/>
  </r>
  <r>
    <s v="AIJ-102377"/>
    <x v="11"/>
    <x v="0"/>
    <x v="3"/>
    <x v="1"/>
    <x v="5"/>
    <x v="27"/>
    <x v="1"/>
    <x v="1"/>
    <n v="70610"/>
    <s v="Low"/>
    <x v="54"/>
    <n v="50"/>
    <x v="1"/>
    <x v="0"/>
    <n v="2.79"/>
    <s v="Yes"/>
    <n v="2.25"/>
    <x v="1"/>
    <x v="3"/>
    <x v="3"/>
  </r>
  <r>
    <s v="AIJ-102378"/>
    <x v="18"/>
    <x v="2"/>
    <x v="8"/>
    <x v="1"/>
    <x v="0"/>
    <x v="60"/>
    <x v="5"/>
    <x v="0"/>
    <n v="65962"/>
    <s v="Medium"/>
    <x v="11"/>
    <n v="32"/>
    <x v="1"/>
    <x v="2"/>
    <n v="2.0499999999999998"/>
    <s v="Yes"/>
    <n v="1.84"/>
    <x v="1"/>
    <x v="2"/>
    <x v="0"/>
  </r>
  <r>
    <s v="AIJ-102379"/>
    <x v="19"/>
    <x v="7"/>
    <x v="5"/>
    <x v="1"/>
    <x v="24"/>
    <x v="30"/>
    <x v="67"/>
    <x v="0"/>
    <n v="207704"/>
    <s v="Medium"/>
    <x v="19"/>
    <n v="30"/>
    <x v="0"/>
    <x v="2"/>
    <n v="3.28"/>
    <s v="No"/>
    <n v="3.25"/>
    <x v="1"/>
    <x v="3"/>
    <x v="1"/>
  </r>
  <r>
    <s v="AIJ-102380"/>
    <x v="3"/>
    <x v="0"/>
    <x v="4"/>
    <x v="3"/>
    <x v="21"/>
    <x v="72"/>
    <x v="32"/>
    <x v="1"/>
    <n v="110142"/>
    <s v="High"/>
    <x v="15"/>
    <n v="55"/>
    <x v="2"/>
    <x v="0"/>
    <n v="3.87"/>
    <s v="No"/>
    <n v="1.67"/>
    <x v="1"/>
    <x v="3"/>
    <x v="0"/>
  </r>
  <r>
    <s v="AIJ-102381"/>
    <x v="7"/>
    <x v="9"/>
    <x v="5"/>
    <x v="2"/>
    <x v="2"/>
    <x v="24"/>
    <x v="4"/>
    <x v="1"/>
    <n v="191469"/>
    <s v="High"/>
    <x v="42"/>
    <n v="34"/>
    <x v="1"/>
    <x v="2"/>
    <n v="2.2000000000000002"/>
    <s v="No"/>
    <n v="4.26"/>
    <x v="2"/>
    <x v="3"/>
    <x v="1"/>
  </r>
  <r>
    <s v="AIJ-102382"/>
    <x v="17"/>
    <x v="2"/>
    <x v="9"/>
    <x v="2"/>
    <x v="9"/>
    <x v="64"/>
    <x v="33"/>
    <x v="1"/>
    <n v="218150"/>
    <s v="Low"/>
    <x v="0"/>
    <n v="33"/>
    <x v="2"/>
    <x v="2"/>
    <n v="3.29"/>
    <s v="No"/>
    <n v="3.95"/>
    <x v="0"/>
    <x v="1"/>
    <x v="1"/>
  </r>
  <r>
    <s v="AIJ-102383"/>
    <x v="2"/>
    <x v="7"/>
    <x v="2"/>
    <x v="2"/>
    <x v="19"/>
    <x v="19"/>
    <x v="26"/>
    <x v="1"/>
    <n v="168163"/>
    <s v="Medium"/>
    <x v="20"/>
    <n v="58"/>
    <x v="2"/>
    <x v="2"/>
    <n v="2.72"/>
    <s v="Yes"/>
    <n v="4.6500000000000004"/>
    <x v="1"/>
    <x v="2"/>
    <x v="2"/>
  </r>
  <r>
    <s v="AIJ-102384"/>
    <x v="16"/>
    <x v="4"/>
    <x v="1"/>
    <x v="3"/>
    <x v="23"/>
    <x v="45"/>
    <x v="77"/>
    <x v="2"/>
    <n v="64138"/>
    <s v="High"/>
    <x v="8"/>
    <n v="39"/>
    <x v="0"/>
    <x v="1"/>
    <n v="4.22"/>
    <s v="Yes"/>
    <n v="2.78"/>
    <x v="1"/>
    <x v="3"/>
    <x v="3"/>
  </r>
  <r>
    <s v="AIJ-102385"/>
    <x v="13"/>
    <x v="0"/>
    <x v="2"/>
    <x v="0"/>
    <x v="7"/>
    <x v="37"/>
    <x v="49"/>
    <x v="1"/>
    <n v="211852"/>
    <s v="High"/>
    <x v="33"/>
    <n v="38"/>
    <x v="1"/>
    <x v="2"/>
    <n v="2.4700000000000002"/>
    <s v="No"/>
    <n v="4.3"/>
    <x v="0"/>
    <x v="2"/>
    <x v="1"/>
  </r>
  <r>
    <s v="AIJ-102386"/>
    <x v="15"/>
    <x v="4"/>
    <x v="8"/>
    <x v="3"/>
    <x v="16"/>
    <x v="24"/>
    <x v="45"/>
    <x v="2"/>
    <n v="136434"/>
    <s v="Medium"/>
    <x v="35"/>
    <n v="53"/>
    <x v="2"/>
    <x v="2"/>
    <n v="2.36"/>
    <s v="Yes"/>
    <n v="2.63"/>
    <x v="0"/>
    <x v="3"/>
    <x v="3"/>
  </r>
  <r>
    <s v="AIJ-102387"/>
    <x v="14"/>
    <x v="9"/>
    <x v="9"/>
    <x v="3"/>
    <x v="17"/>
    <x v="55"/>
    <x v="9"/>
    <x v="2"/>
    <n v="184172"/>
    <s v="Low"/>
    <x v="4"/>
    <n v="58"/>
    <x v="1"/>
    <x v="0"/>
    <n v="4.96"/>
    <s v="Yes"/>
    <n v="3.56"/>
    <x v="0"/>
    <x v="2"/>
    <x v="3"/>
  </r>
  <r>
    <s v="AIJ-102388"/>
    <x v="1"/>
    <x v="1"/>
    <x v="5"/>
    <x v="3"/>
    <x v="2"/>
    <x v="63"/>
    <x v="78"/>
    <x v="1"/>
    <n v="85999"/>
    <s v="High"/>
    <x v="4"/>
    <n v="50"/>
    <x v="1"/>
    <x v="0"/>
    <n v="3.38"/>
    <s v="Yes"/>
    <n v="2.9"/>
    <x v="1"/>
    <x v="3"/>
    <x v="1"/>
  </r>
  <r>
    <s v="AIJ-102389"/>
    <x v="3"/>
    <x v="9"/>
    <x v="4"/>
    <x v="2"/>
    <x v="1"/>
    <x v="35"/>
    <x v="21"/>
    <x v="1"/>
    <n v="35166"/>
    <s v="Low"/>
    <x v="25"/>
    <n v="45"/>
    <x v="1"/>
    <x v="1"/>
    <n v="3.76"/>
    <s v="Yes"/>
    <n v="3.55"/>
    <x v="0"/>
    <x v="1"/>
    <x v="1"/>
  </r>
  <r>
    <s v="AIJ-102390"/>
    <x v="4"/>
    <x v="7"/>
    <x v="2"/>
    <x v="0"/>
    <x v="10"/>
    <x v="48"/>
    <x v="44"/>
    <x v="1"/>
    <n v="199275"/>
    <s v="High"/>
    <x v="20"/>
    <n v="41"/>
    <x v="2"/>
    <x v="1"/>
    <n v="2.4700000000000002"/>
    <s v="No"/>
    <n v="2.23"/>
    <x v="2"/>
    <x v="3"/>
    <x v="3"/>
  </r>
  <r>
    <s v="AIJ-102391"/>
    <x v="4"/>
    <x v="8"/>
    <x v="8"/>
    <x v="3"/>
    <x v="6"/>
    <x v="47"/>
    <x v="31"/>
    <x v="0"/>
    <n v="36205"/>
    <s v="Medium"/>
    <x v="46"/>
    <n v="58"/>
    <x v="0"/>
    <x v="1"/>
    <n v="2.13"/>
    <s v="Yes"/>
    <n v="2.5"/>
    <x v="2"/>
    <x v="3"/>
    <x v="0"/>
  </r>
  <r>
    <s v="AIJ-102392"/>
    <x v="6"/>
    <x v="9"/>
    <x v="1"/>
    <x v="3"/>
    <x v="0"/>
    <x v="8"/>
    <x v="2"/>
    <x v="0"/>
    <n v="148335"/>
    <s v="High"/>
    <x v="7"/>
    <n v="35"/>
    <x v="1"/>
    <x v="0"/>
    <n v="3.72"/>
    <s v="No"/>
    <n v="3.88"/>
    <x v="0"/>
    <x v="3"/>
    <x v="0"/>
  </r>
  <r>
    <s v="AIJ-102393"/>
    <x v="15"/>
    <x v="3"/>
    <x v="7"/>
    <x v="2"/>
    <x v="2"/>
    <x v="85"/>
    <x v="0"/>
    <x v="2"/>
    <n v="40925"/>
    <s v="Medium"/>
    <x v="20"/>
    <n v="46"/>
    <x v="2"/>
    <x v="1"/>
    <n v="4.01"/>
    <s v="Yes"/>
    <n v="1.87"/>
    <x v="1"/>
    <x v="0"/>
    <x v="1"/>
  </r>
  <r>
    <s v="AIJ-102394"/>
    <x v="0"/>
    <x v="3"/>
    <x v="7"/>
    <x v="0"/>
    <x v="5"/>
    <x v="71"/>
    <x v="8"/>
    <x v="2"/>
    <n v="38699"/>
    <s v="Low"/>
    <x v="33"/>
    <n v="31"/>
    <x v="2"/>
    <x v="2"/>
    <n v="2.73"/>
    <s v="Yes"/>
    <n v="1.39"/>
    <x v="1"/>
    <x v="2"/>
    <x v="3"/>
  </r>
  <r>
    <s v="AIJ-102395"/>
    <x v="2"/>
    <x v="4"/>
    <x v="8"/>
    <x v="3"/>
    <x v="7"/>
    <x v="88"/>
    <x v="9"/>
    <x v="1"/>
    <n v="76879"/>
    <s v="Medium"/>
    <x v="29"/>
    <n v="32"/>
    <x v="2"/>
    <x v="0"/>
    <n v="4.3899999999999997"/>
    <s v="No"/>
    <n v="4.5999999999999996"/>
    <x v="2"/>
    <x v="2"/>
    <x v="1"/>
  </r>
  <r>
    <s v="AIJ-102396"/>
    <x v="13"/>
    <x v="9"/>
    <x v="1"/>
    <x v="1"/>
    <x v="22"/>
    <x v="0"/>
    <x v="31"/>
    <x v="2"/>
    <n v="41862"/>
    <s v="Medium"/>
    <x v="3"/>
    <n v="49"/>
    <x v="0"/>
    <x v="1"/>
    <n v="4.74"/>
    <s v="Yes"/>
    <n v="3.94"/>
    <x v="1"/>
    <x v="0"/>
    <x v="2"/>
  </r>
  <r>
    <s v="AIJ-102397"/>
    <x v="12"/>
    <x v="5"/>
    <x v="3"/>
    <x v="1"/>
    <x v="7"/>
    <x v="90"/>
    <x v="73"/>
    <x v="2"/>
    <n v="211129"/>
    <s v="Low"/>
    <x v="51"/>
    <n v="33"/>
    <x v="1"/>
    <x v="2"/>
    <n v="2.1"/>
    <s v="No"/>
    <n v="1.69"/>
    <x v="0"/>
    <x v="3"/>
    <x v="1"/>
  </r>
  <r>
    <s v="AIJ-102398"/>
    <x v="13"/>
    <x v="9"/>
    <x v="5"/>
    <x v="2"/>
    <x v="14"/>
    <x v="28"/>
    <x v="1"/>
    <x v="1"/>
    <n v="85148"/>
    <s v="High"/>
    <x v="17"/>
    <n v="30"/>
    <x v="2"/>
    <x v="0"/>
    <n v="2.73"/>
    <s v="Yes"/>
    <n v="2.06"/>
    <x v="0"/>
    <x v="1"/>
    <x v="2"/>
  </r>
  <r>
    <s v="AIJ-102399"/>
    <x v="9"/>
    <x v="4"/>
    <x v="5"/>
    <x v="3"/>
    <x v="4"/>
    <x v="28"/>
    <x v="52"/>
    <x v="1"/>
    <n v="139607"/>
    <s v="Low"/>
    <x v="4"/>
    <n v="48"/>
    <x v="1"/>
    <x v="2"/>
    <n v="3.98"/>
    <s v="No"/>
    <n v="1.22"/>
    <x v="2"/>
    <x v="2"/>
    <x v="1"/>
  </r>
  <r>
    <s v="AIJ-102400"/>
    <x v="15"/>
    <x v="0"/>
    <x v="8"/>
    <x v="1"/>
    <x v="15"/>
    <x v="47"/>
    <x v="17"/>
    <x v="1"/>
    <n v="154146"/>
    <s v="High"/>
    <x v="23"/>
    <n v="50"/>
    <x v="0"/>
    <x v="1"/>
    <n v="2.79"/>
    <s v="Yes"/>
    <n v="3.35"/>
    <x v="2"/>
    <x v="1"/>
    <x v="1"/>
  </r>
  <r>
    <s v="AIJ-102401"/>
    <x v="10"/>
    <x v="7"/>
    <x v="8"/>
    <x v="1"/>
    <x v="23"/>
    <x v="79"/>
    <x v="69"/>
    <x v="1"/>
    <n v="150167"/>
    <s v="Low"/>
    <x v="7"/>
    <n v="60"/>
    <x v="2"/>
    <x v="2"/>
    <n v="4.9400000000000004"/>
    <s v="No"/>
    <n v="2.59"/>
    <x v="1"/>
    <x v="0"/>
    <x v="3"/>
  </r>
  <r>
    <s v="AIJ-102402"/>
    <x v="3"/>
    <x v="3"/>
    <x v="0"/>
    <x v="2"/>
    <x v="5"/>
    <x v="7"/>
    <x v="49"/>
    <x v="1"/>
    <n v="52654"/>
    <s v="Medium"/>
    <x v="8"/>
    <n v="37"/>
    <x v="1"/>
    <x v="2"/>
    <n v="4.0199999999999996"/>
    <s v="No"/>
    <n v="3.42"/>
    <x v="2"/>
    <x v="1"/>
    <x v="3"/>
  </r>
  <r>
    <s v="AIJ-102403"/>
    <x v="4"/>
    <x v="9"/>
    <x v="1"/>
    <x v="2"/>
    <x v="5"/>
    <x v="6"/>
    <x v="44"/>
    <x v="2"/>
    <n v="216495"/>
    <s v="Medium"/>
    <x v="36"/>
    <n v="54"/>
    <x v="1"/>
    <x v="2"/>
    <n v="4.6399999999999997"/>
    <s v="Yes"/>
    <n v="4.7"/>
    <x v="2"/>
    <x v="3"/>
    <x v="3"/>
  </r>
  <r>
    <s v="AIJ-102404"/>
    <x v="12"/>
    <x v="4"/>
    <x v="5"/>
    <x v="0"/>
    <x v="3"/>
    <x v="21"/>
    <x v="19"/>
    <x v="0"/>
    <n v="52711"/>
    <s v="High"/>
    <x v="3"/>
    <n v="57"/>
    <x v="2"/>
    <x v="0"/>
    <n v="4.6900000000000004"/>
    <s v="Yes"/>
    <n v="2.74"/>
    <x v="2"/>
    <x v="3"/>
    <x v="2"/>
  </r>
  <r>
    <s v="AIJ-102405"/>
    <x v="12"/>
    <x v="5"/>
    <x v="4"/>
    <x v="0"/>
    <x v="4"/>
    <x v="41"/>
    <x v="0"/>
    <x v="0"/>
    <n v="80988"/>
    <s v="Medium"/>
    <x v="34"/>
    <n v="50"/>
    <x v="0"/>
    <x v="2"/>
    <n v="4.5599999999999996"/>
    <s v="No"/>
    <n v="3.09"/>
    <x v="1"/>
    <x v="3"/>
    <x v="1"/>
  </r>
  <r>
    <s v="AIJ-102406"/>
    <x v="10"/>
    <x v="6"/>
    <x v="8"/>
    <x v="1"/>
    <x v="9"/>
    <x v="72"/>
    <x v="24"/>
    <x v="0"/>
    <n v="92542"/>
    <s v="Medium"/>
    <x v="49"/>
    <n v="30"/>
    <x v="0"/>
    <x v="2"/>
    <n v="4.08"/>
    <s v="Yes"/>
    <n v="2.12"/>
    <x v="2"/>
    <x v="2"/>
    <x v="1"/>
  </r>
  <r>
    <s v="AIJ-102407"/>
    <x v="17"/>
    <x v="0"/>
    <x v="4"/>
    <x v="0"/>
    <x v="16"/>
    <x v="0"/>
    <x v="64"/>
    <x v="1"/>
    <n v="99432"/>
    <s v="Low"/>
    <x v="55"/>
    <n v="56"/>
    <x v="0"/>
    <x v="2"/>
    <n v="3.74"/>
    <s v="Yes"/>
    <n v="3.74"/>
    <x v="0"/>
    <x v="0"/>
    <x v="3"/>
  </r>
  <r>
    <s v="AIJ-102408"/>
    <x v="6"/>
    <x v="2"/>
    <x v="7"/>
    <x v="1"/>
    <x v="22"/>
    <x v="43"/>
    <x v="14"/>
    <x v="1"/>
    <n v="190102"/>
    <s v="Low"/>
    <x v="50"/>
    <n v="45"/>
    <x v="1"/>
    <x v="0"/>
    <n v="2.2599999999999998"/>
    <s v="No"/>
    <n v="3.45"/>
    <x v="2"/>
    <x v="3"/>
    <x v="2"/>
  </r>
  <r>
    <s v="AIJ-102409"/>
    <x v="0"/>
    <x v="6"/>
    <x v="6"/>
    <x v="2"/>
    <x v="15"/>
    <x v="55"/>
    <x v="21"/>
    <x v="0"/>
    <n v="170053"/>
    <s v="Low"/>
    <x v="16"/>
    <n v="53"/>
    <x v="1"/>
    <x v="1"/>
    <n v="2.44"/>
    <s v="No"/>
    <n v="4.1100000000000003"/>
    <x v="1"/>
    <x v="1"/>
    <x v="1"/>
  </r>
  <r>
    <s v="AIJ-102410"/>
    <x v="17"/>
    <x v="9"/>
    <x v="1"/>
    <x v="1"/>
    <x v="22"/>
    <x v="31"/>
    <x v="25"/>
    <x v="0"/>
    <n v="90966"/>
    <s v="Medium"/>
    <x v="41"/>
    <n v="37"/>
    <x v="1"/>
    <x v="1"/>
    <n v="2.15"/>
    <s v="Yes"/>
    <n v="2.57"/>
    <x v="0"/>
    <x v="3"/>
    <x v="2"/>
  </r>
  <r>
    <s v="AIJ-102411"/>
    <x v="1"/>
    <x v="0"/>
    <x v="7"/>
    <x v="2"/>
    <x v="13"/>
    <x v="11"/>
    <x v="52"/>
    <x v="1"/>
    <n v="133450"/>
    <s v="Low"/>
    <x v="45"/>
    <n v="60"/>
    <x v="2"/>
    <x v="0"/>
    <n v="4.3499999999999996"/>
    <s v="Yes"/>
    <n v="1.9"/>
    <x v="0"/>
    <x v="0"/>
    <x v="1"/>
  </r>
  <r>
    <s v="AIJ-102412"/>
    <x v="15"/>
    <x v="1"/>
    <x v="3"/>
    <x v="2"/>
    <x v="2"/>
    <x v="44"/>
    <x v="32"/>
    <x v="0"/>
    <n v="136457"/>
    <s v="High"/>
    <x v="1"/>
    <n v="36"/>
    <x v="1"/>
    <x v="0"/>
    <n v="2.0099999999999998"/>
    <s v="Yes"/>
    <n v="1.77"/>
    <x v="0"/>
    <x v="2"/>
    <x v="1"/>
  </r>
  <r>
    <s v="AIJ-102413"/>
    <x v="14"/>
    <x v="2"/>
    <x v="7"/>
    <x v="3"/>
    <x v="9"/>
    <x v="82"/>
    <x v="7"/>
    <x v="0"/>
    <n v="44213"/>
    <s v="Medium"/>
    <x v="4"/>
    <n v="58"/>
    <x v="0"/>
    <x v="1"/>
    <n v="3.95"/>
    <s v="No"/>
    <n v="2.42"/>
    <x v="0"/>
    <x v="3"/>
    <x v="1"/>
  </r>
  <r>
    <s v="AIJ-102414"/>
    <x v="16"/>
    <x v="4"/>
    <x v="6"/>
    <x v="3"/>
    <x v="11"/>
    <x v="43"/>
    <x v="23"/>
    <x v="2"/>
    <n v="66152"/>
    <s v="High"/>
    <x v="35"/>
    <n v="55"/>
    <x v="2"/>
    <x v="0"/>
    <n v="2.31"/>
    <s v="No"/>
    <n v="1.94"/>
    <x v="0"/>
    <x v="3"/>
    <x v="1"/>
  </r>
  <r>
    <s v="AIJ-102415"/>
    <x v="14"/>
    <x v="8"/>
    <x v="7"/>
    <x v="1"/>
    <x v="19"/>
    <x v="33"/>
    <x v="78"/>
    <x v="1"/>
    <n v="57154"/>
    <s v="Medium"/>
    <x v="19"/>
    <n v="54"/>
    <x v="2"/>
    <x v="0"/>
    <n v="4.7"/>
    <s v="Yes"/>
    <n v="1.72"/>
    <x v="2"/>
    <x v="1"/>
    <x v="2"/>
  </r>
  <r>
    <s v="AIJ-102416"/>
    <x v="16"/>
    <x v="5"/>
    <x v="2"/>
    <x v="2"/>
    <x v="20"/>
    <x v="23"/>
    <x v="60"/>
    <x v="1"/>
    <n v="155717"/>
    <s v="Medium"/>
    <x v="0"/>
    <n v="33"/>
    <x v="2"/>
    <x v="1"/>
    <n v="2.2999999999999998"/>
    <s v="Yes"/>
    <n v="3.36"/>
    <x v="1"/>
    <x v="2"/>
    <x v="2"/>
  </r>
  <r>
    <s v="AIJ-102417"/>
    <x v="9"/>
    <x v="6"/>
    <x v="6"/>
    <x v="3"/>
    <x v="8"/>
    <x v="78"/>
    <x v="33"/>
    <x v="2"/>
    <n v="154244"/>
    <s v="Medium"/>
    <x v="1"/>
    <n v="60"/>
    <x v="1"/>
    <x v="1"/>
    <n v="3.95"/>
    <s v="Yes"/>
    <n v="4.9400000000000004"/>
    <x v="0"/>
    <x v="1"/>
    <x v="2"/>
  </r>
  <r>
    <s v="AIJ-102418"/>
    <x v="15"/>
    <x v="2"/>
    <x v="4"/>
    <x v="3"/>
    <x v="14"/>
    <x v="50"/>
    <x v="30"/>
    <x v="1"/>
    <n v="46910"/>
    <s v="High"/>
    <x v="1"/>
    <n v="52"/>
    <x v="2"/>
    <x v="1"/>
    <n v="4.5999999999999996"/>
    <s v="Yes"/>
    <n v="1.97"/>
    <x v="0"/>
    <x v="3"/>
    <x v="2"/>
  </r>
  <r>
    <s v="AIJ-102419"/>
    <x v="17"/>
    <x v="6"/>
    <x v="7"/>
    <x v="1"/>
    <x v="11"/>
    <x v="71"/>
    <x v="10"/>
    <x v="2"/>
    <n v="66894"/>
    <s v="High"/>
    <x v="8"/>
    <n v="38"/>
    <x v="2"/>
    <x v="0"/>
    <n v="4.0599999999999996"/>
    <s v="Yes"/>
    <n v="4.72"/>
    <x v="1"/>
    <x v="2"/>
    <x v="1"/>
  </r>
  <r>
    <s v="AIJ-102420"/>
    <x v="8"/>
    <x v="0"/>
    <x v="7"/>
    <x v="1"/>
    <x v="17"/>
    <x v="33"/>
    <x v="43"/>
    <x v="1"/>
    <n v="204013"/>
    <s v="High"/>
    <x v="44"/>
    <n v="36"/>
    <x v="1"/>
    <x v="1"/>
    <n v="2.97"/>
    <s v="No"/>
    <n v="2.35"/>
    <x v="2"/>
    <x v="2"/>
    <x v="3"/>
  </r>
  <r>
    <s v="AIJ-102421"/>
    <x v="15"/>
    <x v="0"/>
    <x v="7"/>
    <x v="2"/>
    <x v="12"/>
    <x v="0"/>
    <x v="9"/>
    <x v="0"/>
    <n v="106228"/>
    <s v="Medium"/>
    <x v="2"/>
    <n v="37"/>
    <x v="1"/>
    <x v="1"/>
    <n v="4.05"/>
    <s v="No"/>
    <n v="4.01"/>
    <x v="0"/>
    <x v="3"/>
    <x v="3"/>
  </r>
  <r>
    <s v="AIJ-102422"/>
    <x v="14"/>
    <x v="3"/>
    <x v="5"/>
    <x v="1"/>
    <x v="9"/>
    <x v="54"/>
    <x v="18"/>
    <x v="0"/>
    <n v="31064"/>
    <s v="Low"/>
    <x v="47"/>
    <n v="44"/>
    <x v="0"/>
    <x v="0"/>
    <n v="2.91"/>
    <s v="Yes"/>
    <n v="3.65"/>
    <x v="1"/>
    <x v="2"/>
    <x v="1"/>
  </r>
  <r>
    <s v="AIJ-102423"/>
    <x v="11"/>
    <x v="2"/>
    <x v="2"/>
    <x v="2"/>
    <x v="4"/>
    <x v="39"/>
    <x v="39"/>
    <x v="1"/>
    <n v="74486"/>
    <s v="Medium"/>
    <x v="24"/>
    <n v="59"/>
    <x v="0"/>
    <x v="1"/>
    <n v="2.94"/>
    <s v="No"/>
    <n v="3.76"/>
    <x v="1"/>
    <x v="3"/>
    <x v="1"/>
  </r>
  <r>
    <s v="AIJ-102424"/>
    <x v="1"/>
    <x v="7"/>
    <x v="8"/>
    <x v="3"/>
    <x v="5"/>
    <x v="42"/>
    <x v="14"/>
    <x v="0"/>
    <n v="148764"/>
    <s v="Medium"/>
    <x v="51"/>
    <n v="39"/>
    <x v="0"/>
    <x v="2"/>
    <n v="3.62"/>
    <s v="No"/>
    <n v="1.2"/>
    <x v="0"/>
    <x v="0"/>
    <x v="3"/>
  </r>
  <r>
    <s v="AIJ-102425"/>
    <x v="10"/>
    <x v="3"/>
    <x v="6"/>
    <x v="2"/>
    <x v="14"/>
    <x v="24"/>
    <x v="45"/>
    <x v="0"/>
    <n v="195742"/>
    <s v="Medium"/>
    <x v="21"/>
    <n v="54"/>
    <x v="1"/>
    <x v="0"/>
    <n v="3.06"/>
    <s v="Yes"/>
    <n v="2.63"/>
    <x v="0"/>
    <x v="3"/>
    <x v="2"/>
  </r>
  <r>
    <s v="AIJ-102426"/>
    <x v="4"/>
    <x v="2"/>
    <x v="2"/>
    <x v="1"/>
    <x v="22"/>
    <x v="51"/>
    <x v="1"/>
    <x v="2"/>
    <n v="167062"/>
    <s v="High"/>
    <x v="15"/>
    <n v="45"/>
    <x v="0"/>
    <x v="2"/>
    <n v="4.68"/>
    <s v="No"/>
    <n v="1.81"/>
    <x v="1"/>
    <x v="2"/>
    <x v="2"/>
  </r>
  <r>
    <s v="AIJ-102427"/>
    <x v="2"/>
    <x v="8"/>
    <x v="1"/>
    <x v="3"/>
    <x v="25"/>
    <x v="41"/>
    <x v="61"/>
    <x v="2"/>
    <n v="132710"/>
    <s v="High"/>
    <x v="2"/>
    <n v="37"/>
    <x v="2"/>
    <x v="0"/>
    <n v="3.22"/>
    <s v="No"/>
    <n v="2.62"/>
    <x v="0"/>
    <x v="3"/>
    <x v="1"/>
  </r>
  <r>
    <s v="AIJ-102428"/>
    <x v="1"/>
    <x v="3"/>
    <x v="5"/>
    <x v="3"/>
    <x v="8"/>
    <x v="81"/>
    <x v="5"/>
    <x v="2"/>
    <n v="196965"/>
    <s v="Medium"/>
    <x v="49"/>
    <n v="55"/>
    <x v="1"/>
    <x v="1"/>
    <n v="4"/>
    <s v="No"/>
    <n v="3.01"/>
    <x v="0"/>
    <x v="3"/>
    <x v="2"/>
  </r>
  <r>
    <s v="AIJ-102429"/>
    <x v="17"/>
    <x v="5"/>
    <x v="5"/>
    <x v="3"/>
    <x v="25"/>
    <x v="71"/>
    <x v="50"/>
    <x v="2"/>
    <n v="151036"/>
    <s v="Medium"/>
    <x v="51"/>
    <n v="44"/>
    <x v="0"/>
    <x v="2"/>
    <n v="4.0999999999999996"/>
    <s v="No"/>
    <n v="4.6500000000000004"/>
    <x v="2"/>
    <x v="2"/>
    <x v="1"/>
  </r>
  <r>
    <s v="AIJ-102430"/>
    <x v="2"/>
    <x v="4"/>
    <x v="3"/>
    <x v="0"/>
    <x v="22"/>
    <x v="52"/>
    <x v="65"/>
    <x v="1"/>
    <n v="38696"/>
    <s v="Low"/>
    <x v="24"/>
    <n v="60"/>
    <x v="2"/>
    <x v="1"/>
    <n v="2.79"/>
    <s v="No"/>
    <n v="1.0900000000000001"/>
    <x v="1"/>
    <x v="3"/>
    <x v="2"/>
  </r>
  <r>
    <s v="AIJ-102431"/>
    <x v="15"/>
    <x v="2"/>
    <x v="8"/>
    <x v="0"/>
    <x v="9"/>
    <x v="48"/>
    <x v="19"/>
    <x v="2"/>
    <n v="142985"/>
    <s v="Medium"/>
    <x v="12"/>
    <n v="55"/>
    <x v="0"/>
    <x v="1"/>
    <n v="2.96"/>
    <s v="Yes"/>
    <n v="3.33"/>
    <x v="1"/>
    <x v="0"/>
    <x v="1"/>
  </r>
  <r>
    <s v="AIJ-102432"/>
    <x v="14"/>
    <x v="0"/>
    <x v="5"/>
    <x v="2"/>
    <x v="14"/>
    <x v="55"/>
    <x v="22"/>
    <x v="0"/>
    <n v="103528"/>
    <s v="High"/>
    <x v="26"/>
    <n v="32"/>
    <x v="2"/>
    <x v="2"/>
    <n v="3.54"/>
    <s v="Yes"/>
    <n v="1.56"/>
    <x v="0"/>
    <x v="3"/>
    <x v="2"/>
  </r>
  <r>
    <s v="AIJ-102433"/>
    <x v="18"/>
    <x v="6"/>
    <x v="2"/>
    <x v="2"/>
    <x v="16"/>
    <x v="32"/>
    <x v="74"/>
    <x v="1"/>
    <n v="210422"/>
    <s v="Medium"/>
    <x v="50"/>
    <n v="56"/>
    <x v="2"/>
    <x v="2"/>
    <n v="3.85"/>
    <s v="Yes"/>
    <n v="3.83"/>
    <x v="1"/>
    <x v="3"/>
    <x v="3"/>
  </r>
  <r>
    <s v="AIJ-102434"/>
    <x v="12"/>
    <x v="7"/>
    <x v="3"/>
    <x v="3"/>
    <x v="23"/>
    <x v="65"/>
    <x v="21"/>
    <x v="1"/>
    <n v="190745"/>
    <s v="High"/>
    <x v="46"/>
    <n v="39"/>
    <x v="1"/>
    <x v="1"/>
    <n v="2.7"/>
    <s v="Yes"/>
    <n v="4.29"/>
    <x v="2"/>
    <x v="2"/>
    <x v="3"/>
  </r>
  <r>
    <s v="AIJ-102435"/>
    <x v="10"/>
    <x v="5"/>
    <x v="1"/>
    <x v="3"/>
    <x v="6"/>
    <x v="20"/>
    <x v="78"/>
    <x v="0"/>
    <n v="82384"/>
    <s v="Low"/>
    <x v="51"/>
    <n v="43"/>
    <x v="1"/>
    <x v="1"/>
    <n v="3.99"/>
    <s v="No"/>
    <n v="3.65"/>
    <x v="0"/>
    <x v="3"/>
    <x v="0"/>
  </r>
  <r>
    <s v="AIJ-102436"/>
    <x v="9"/>
    <x v="9"/>
    <x v="3"/>
    <x v="1"/>
    <x v="8"/>
    <x v="61"/>
    <x v="14"/>
    <x v="1"/>
    <n v="106194"/>
    <s v="High"/>
    <x v="50"/>
    <n v="50"/>
    <x v="1"/>
    <x v="0"/>
    <n v="3.89"/>
    <s v="No"/>
    <n v="1.44"/>
    <x v="0"/>
    <x v="3"/>
    <x v="2"/>
  </r>
  <r>
    <s v="AIJ-102437"/>
    <x v="16"/>
    <x v="3"/>
    <x v="1"/>
    <x v="1"/>
    <x v="6"/>
    <x v="13"/>
    <x v="28"/>
    <x v="2"/>
    <n v="143726"/>
    <s v="Medium"/>
    <x v="4"/>
    <n v="50"/>
    <x v="0"/>
    <x v="0"/>
    <n v="2.34"/>
    <s v="Yes"/>
    <n v="3.65"/>
    <x v="2"/>
    <x v="2"/>
    <x v="0"/>
  </r>
  <r>
    <s v="AIJ-102438"/>
    <x v="12"/>
    <x v="6"/>
    <x v="1"/>
    <x v="3"/>
    <x v="18"/>
    <x v="36"/>
    <x v="79"/>
    <x v="2"/>
    <n v="208238"/>
    <s v="Medium"/>
    <x v="7"/>
    <n v="55"/>
    <x v="2"/>
    <x v="1"/>
    <n v="2.93"/>
    <s v="Yes"/>
    <n v="4.6100000000000003"/>
    <x v="0"/>
    <x v="3"/>
    <x v="3"/>
  </r>
  <r>
    <s v="AIJ-102439"/>
    <x v="2"/>
    <x v="4"/>
    <x v="1"/>
    <x v="3"/>
    <x v="9"/>
    <x v="25"/>
    <x v="25"/>
    <x v="0"/>
    <n v="185145"/>
    <s v="High"/>
    <x v="43"/>
    <n v="37"/>
    <x v="0"/>
    <x v="0"/>
    <n v="2.79"/>
    <s v="Yes"/>
    <n v="1.23"/>
    <x v="2"/>
    <x v="3"/>
    <x v="1"/>
  </r>
  <r>
    <s v="AIJ-102440"/>
    <x v="16"/>
    <x v="3"/>
    <x v="5"/>
    <x v="0"/>
    <x v="22"/>
    <x v="12"/>
    <x v="32"/>
    <x v="2"/>
    <n v="201677"/>
    <s v="Medium"/>
    <x v="32"/>
    <n v="37"/>
    <x v="0"/>
    <x v="1"/>
    <n v="2.71"/>
    <s v="Yes"/>
    <n v="1.1000000000000001"/>
    <x v="0"/>
    <x v="0"/>
    <x v="2"/>
  </r>
  <r>
    <s v="AIJ-102441"/>
    <x v="16"/>
    <x v="1"/>
    <x v="9"/>
    <x v="2"/>
    <x v="3"/>
    <x v="24"/>
    <x v="42"/>
    <x v="2"/>
    <n v="113875"/>
    <s v="Medium"/>
    <x v="12"/>
    <n v="42"/>
    <x v="2"/>
    <x v="0"/>
    <n v="3.85"/>
    <s v="Yes"/>
    <n v="1.94"/>
    <x v="0"/>
    <x v="3"/>
    <x v="2"/>
  </r>
  <r>
    <s v="AIJ-102442"/>
    <x v="18"/>
    <x v="1"/>
    <x v="6"/>
    <x v="3"/>
    <x v="13"/>
    <x v="86"/>
    <x v="48"/>
    <x v="1"/>
    <n v="59334"/>
    <s v="Medium"/>
    <x v="44"/>
    <n v="34"/>
    <x v="1"/>
    <x v="1"/>
    <n v="2.81"/>
    <s v="No"/>
    <n v="1.42"/>
    <x v="0"/>
    <x v="3"/>
    <x v="1"/>
  </r>
  <r>
    <s v="AIJ-102443"/>
    <x v="11"/>
    <x v="6"/>
    <x v="1"/>
    <x v="3"/>
    <x v="1"/>
    <x v="9"/>
    <x v="41"/>
    <x v="1"/>
    <n v="191308"/>
    <s v="High"/>
    <x v="48"/>
    <n v="49"/>
    <x v="0"/>
    <x v="2"/>
    <n v="3.72"/>
    <s v="Yes"/>
    <n v="4.84"/>
    <x v="2"/>
    <x v="2"/>
    <x v="1"/>
  </r>
  <r>
    <s v="AIJ-102444"/>
    <x v="8"/>
    <x v="0"/>
    <x v="8"/>
    <x v="1"/>
    <x v="1"/>
    <x v="27"/>
    <x v="32"/>
    <x v="2"/>
    <n v="64403"/>
    <s v="Medium"/>
    <x v="42"/>
    <n v="49"/>
    <x v="2"/>
    <x v="1"/>
    <n v="2.98"/>
    <s v="No"/>
    <n v="4.54"/>
    <x v="2"/>
    <x v="0"/>
    <x v="1"/>
  </r>
  <r>
    <s v="AIJ-102445"/>
    <x v="14"/>
    <x v="2"/>
    <x v="4"/>
    <x v="2"/>
    <x v="9"/>
    <x v="51"/>
    <x v="35"/>
    <x v="0"/>
    <n v="189186"/>
    <s v="Low"/>
    <x v="41"/>
    <n v="33"/>
    <x v="2"/>
    <x v="1"/>
    <n v="3.29"/>
    <s v="Yes"/>
    <n v="1.47"/>
    <x v="2"/>
    <x v="2"/>
    <x v="1"/>
  </r>
  <r>
    <s v="AIJ-102446"/>
    <x v="18"/>
    <x v="5"/>
    <x v="1"/>
    <x v="3"/>
    <x v="5"/>
    <x v="20"/>
    <x v="7"/>
    <x v="1"/>
    <n v="217966"/>
    <s v="Medium"/>
    <x v="43"/>
    <n v="32"/>
    <x v="0"/>
    <x v="2"/>
    <n v="3.79"/>
    <s v="No"/>
    <n v="4.38"/>
    <x v="2"/>
    <x v="3"/>
    <x v="3"/>
  </r>
  <r>
    <s v="AIJ-102447"/>
    <x v="16"/>
    <x v="9"/>
    <x v="9"/>
    <x v="1"/>
    <x v="17"/>
    <x v="28"/>
    <x v="43"/>
    <x v="1"/>
    <n v="142091"/>
    <s v="Medium"/>
    <x v="45"/>
    <n v="46"/>
    <x v="2"/>
    <x v="0"/>
    <n v="3.29"/>
    <s v="No"/>
    <n v="4.9800000000000004"/>
    <x v="1"/>
    <x v="2"/>
    <x v="3"/>
  </r>
  <r>
    <s v="AIJ-102448"/>
    <x v="10"/>
    <x v="4"/>
    <x v="3"/>
    <x v="0"/>
    <x v="14"/>
    <x v="63"/>
    <x v="39"/>
    <x v="1"/>
    <n v="125775"/>
    <s v="Low"/>
    <x v="47"/>
    <n v="41"/>
    <x v="0"/>
    <x v="0"/>
    <n v="2.02"/>
    <s v="Yes"/>
    <n v="4.49"/>
    <x v="1"/>
    <x v="3"/>
    <x v="2"/>
  </r>
  <r>
    <s v="AIJ-102449"/>
    <x v="12"/>
    <x v="3"/>
    <x v="5"/>
    <x v="2"/>
    <x v="24"/>
    <x v="8"/>
    <x v="34"/>
    <x v="2"/>
    <n v="190001"/>
    <s v="Low"/>
    <x v="35"/>
    <n v="54"/>
    <x v="2"/>
    <x v="0"/>
    <n v="3.19"/>
    <s v="Yes"/>
    <n v="3.77"/>
    <x v="0"/>
    <x v="3"/>
    <x v="1"/>
  </r>
  <r>
    <s v="AIJ-102450"/>
    <x v="13"/>
    <x v="7"/>
    <x v="8"/>
    <x v="1"/>
    <x v="21"/>
    <x v="23"/>
    <x v="63"/>
    <x v="2"/>
    <n v="67281"/>
    <s v="High"/>
    <x v="43"/>
    <n v="35"/>
    <x v="2"/>
    <x v="2"/>
    <n v="2.33"/>
    <s v="Yes"/>
    <n v="3.24"/>
    <x v="2"/>
    <x v="2"/>
    <x v="0"/>
  </r>
  <r>
    <s v="AIJ-102451"/>
    <x v="9"/>
    <x v="1"/>
    <x v="9"/>
    <x v="0"/>
    <x v="14"/>
    <x v="13"/>
    <x v="15"/>
    <x v="2"/>
    <n v="218465"/>
    <s v="Medium"/>
    <x v="48"/>
    <n v="32"/>
    <x v="2"/>
    <x v="0"/>
    <n v="2.29"/>
    <s v="No"/>
    <n v="2.1"/>
    <x v="0"/>
    <x v="3"/>
    <x v="2"/>
  </r>
  <r>
    <s v="AIJ-102452"/>
    <x v="8"/>
    <x v="1"/>
    <x v="0"/>
    <x v="2"/>
    <x v="12"/>
    <x v="67"/>
    <x v="5"/>
    <x v="2"/>
    <n v="116899"/>
    <s v="Medium"/>
    <x v="29"/>
    <n v="60"/>
    <x v="2"/>
    <x v="0"/>
    <n v="3.94"/>
    <s v="No"/>
    <n v="1.57"/>
    <x v="0"/>
    <x v="3"/>
    <x v="3"/>
  </r>
  <r>
    <s v="AIJ-102453"/>
    <x v="7"/>
    <x v="3"/>
    <x v="3"/>
    <x v="1"/>
    <x v="1"/>
    <x v="12"/>
    <x v="10"/>
    <x v="0"/>
    <n v="160164"/>
    <s v="Low"/>
    <x v="1"/>
    <n v="39"/>
    <x v="0"/>
    <x v="1"/>
    <n v="2.72"/>
    <s v="No"/>
    <n v="4.4000000000000004"/>
    <x v="0"/>
    <x v="3"/>
    <x v="1"/>
  </r>
  <r>
    <s v="AIJ-102454"/>
    <x v="11"/>
    <x v="4"/>
    <x v="2"/>
    <x v="0"/>
    <x v="4"/>
    <x v="39"/>
    <x v="79"/>
    <x v="1"/>
    <n v="114469"/>
    <s v="Low"/>
    <x v="14"/>
    <n v="57"/>
    <x v="0"/>
    <x v="1"/>
    <n v="3.85"/>
    <s v="No"/>
    <n v="4.1100000000000003"/>
    <x v="2"/>
    <x v="0"/>
    <x v="1"/>
  </r>
  <r>
    <s v="AIJ-102455"/>
    <x v="8"/>
    <x v="1"/>
    <x v="2"/>
    <x v="1"/>
    <x v="13"/>
    <x v="45"/>
    <x v="65"/>
    <x v="2"/>
    <n v="34376"/>
    <s v="Medium"/>
    <x v="31"/>
    <n v="38"/>
    <x v="0"/>
    <x v="2"/>
    <n v="4.5"/>
    <s v="No"/>
    <n v="1.7"/>
    <x v="1"/>
    <x v="3"/>
    <x v="1"/>
  </r>
  <r>
    <s v="AIJ-102456"/>
    <x v="10"/>
    <x v="3"/>
    <x v="4"/>
    <x v="0"/>
    <x v="17"/>
    <x v="82"/>
    <x v="55"/>
    <x v="1"/>
    <n v="188916"/>
    <s v="Medium"/>
    <x v="53"/>
    <n v="56"/>
    <x v="2"/>
    <x v="0"/>
    <n v="4.99"/>
    <s v="Yes"/>
    <n v="4.95"/>
    <x v="0"/>
    <x v="0"/>
    <x v="3"/>
  </r>
  <r>
    <s v="AIJ-102457"/>
    <x v="5"/>
    <x v="5"/>
    <x v="4"/>
    <x v="0"/>
    <x v="15"/>
    <x v="48"/>
    <x v="63"/>
    <x v="1"/>
    <n v="172075"/>
    <s v="Medium"/>
    <x v="22"/>
    <n v="56"/>
    <x v="2"/>
    <x v="0"/>
    <n v="4.91"/>
    <s v="No"/>
    <n v="2.85"/>
    <x v="2"/>
    <x v="2"/>
    <x v="1"/>
  </r>
  <r>
    <s v="AIJ-102458"/>
    <x v="5"/>
    <x v="3"/>
    <x v="8"/>
    <x v="0"/>
    <x v="21"/>
    <x v="6"/>
    <x v="34"/>
    <x v="2"/>
    <n v="177679"/>
    <s v="High"/>
    <x v="42"/>
    <n v="45"/>
    <x v="2"/>
    <x v="2"/>
    <n v="2.06"/>
    <s v="Yes"/>
    <n v="3.85"/>
    <x v="1"/>
    <x v="3"/>
    <x v="0"/>
  </r>
  <r>
    <s v="AIJ-102459"/>
    <x v="2"/>
    <x v="0"/>
    <x v="5"/>
    <x v="0"/>
    <x v="8"/>
    <x v="48"/>
    <x v="37"/>
    <x v="2"/>
    <n v="130595"/>
    <s v="Medium"/>
    <x v="44"/>
    <n v="38"/>
    <x v="1"/>
    <x v="0"/>
    <n v="3.04"/>
    <s v="No"/>
    <n v="1.8"/>
    <x v="1"/>
    <x v="3"/>
    <x v="2"/>
  </r>
  <r>
    <s v="AIJ-102460"/>
    <x v="8"/>
    <x v="9"/>
    <x v="8"/>
    <x v="2"/>
    <x v="13"/>
    <x v="18"/>
    <x v="9"/>
    <x v="2"/>
    <n v="215266"/>
    <s v="Low"/>
    <x v="48"/>
    <n v="55"/>
    <x v="0"/>
    <x v="0"/>
    <n v="4.57"/>
    <s v="Yes"/>
    <n v="1.48"/>
    <x v="2"/>
    <x v="3"/>
    <x v="1"/>
  </r>
  <r>
    <s v="AIJ-102461"/>
    <x v="5"/>
    <x v="0"/>
    <x v="3"/>
    <x v="2"/>
    <x v="2"/>
    <x v="16"/>
    <x v="18"/>
    <x v="1"/>
    <n v="73627"/>
    <s v="Low"/>
    <x v="25"/>
    <n v="45"/>
    <x v="0"/>
    <x v="1"/>
    <n v="4.32"/>
    <s v="No"/>
    <n v="1.96"/>
    <x v="0"/>
    <x v="3"/>
    <x v="1"/>
  </r>
  <r>
    <s v="AIJ-102462"/>
    <x v="17"/>
    <x v="8"/>
    <x v="8"/>
    <x v="3"/>
    <x v="16"/>
    <x v="17"/>
    <x v="29"/>
    <x v="2"/>
    <n v="163035"/>
    <s v="Medium"/>
    <x v="21"/>
    <n v="56"/>
    <x v="0"/>
    <x v="2"/>
    <n v="4.58"/>
    <s v="Yes"/>
    <n v="3.41"/>
    <x v="0"/>
    <x v="3"/>
    <x v="3"/>
  </r>
  <r>
    <s v="AIJ-102463"/>
    <x v="7"/>
    <x v="8"/>
    <x v="5"/>
    <x v="2"/>
    <x v="21"/>
    <x v="21"/>
    <x v="64"/>
    <x v="2"/>
    <n v="39014"/>
    <s v="High"/>
    <x v="42"/>
    <n v="46"/>
    <x v="2"/>
    <x v="2"/>
    <n v="2.4"/>
    <s v="Yes"/>
    <n v="2.99"/>
    <x v="0"/>
    <x v="3"/>
    <x v="0"/>
  </r>
  <r>
    <s v="AIJ-102464"/>
    <x v="16"/>
    <x v="1"/>
    <x v="8"/>
    <x v="1"/>
    <x v="0"/>
    <x v="69"/>
    <x v="35"/>
    <x v="1"/>
    <n v="102291"/>
    <s v="High"/>
    <x v="21"/>
    <n v="45"/>
    <x v="0"/>
    <x v="2"/>
    <n v="3"/>
    <s v="Yes"/>
    <n v="2.99"/>
    <x v="2"/>
    <x v="3"/>
    <x v="0"/>
  </r>
  <r>
    <s v="AIJ-102465"/>
    <x v="10"/>
    <x v="0"/>
    <x v="5"/>
    <x v="1"/>
    <x v="15"/>
    <x v="43"/>
    <x v="1"/>
    <x v="2"/>
    <n v="72533"/>
    <s v="Medium"/>
    <x v="32"/>
    <n v="43"/>
    <x v="0"/>
    <x v="1"/>
    <n v="5"/>
    <s v="No"/>
    <n v="1.7"/>
    <x v="2"/>
    <x v="2"/>
    <x v="1"/>
  </r>
  <r>
    <s v="AIJ-102466"/>
    <x v="5"/>
    <x v="6"/>
    <x v="3"/>
    <x v="0"/>
    <x v="12"/>
    <x v="41"/>
    <x v="6"/>
    <x v="1"/>
    <n v="64791"/>
    <s v="High"/>
    <x v="48"/>
    <n v="50"/>
    <x v="2"/>
    <x v="0"/>
    <n v="4.45"/>
    <s v="No"/>
    <n v="1.61"/>
    <x v="0"/>
    <x v="3"/>
    <x v="3"/>
  </r>
  <r>
    <s v="AIJ-102467"/>
    <x v="5"/>
    <x v="1"/>
    <x v="0"/>
    <x v="0"/>
    <x v="13"/>
    <x v="67"/>
    <x v="63"/>
    <x v="2"/>
    <n v="92867"/>
    <s v="High"/>
    <x v="31"/>
    <n v="30"/>
    <x v="0"/>
    <x v="2"/>
    <n v="4.46"/>
    <s v="Yes"/>
    <n v="4.37"/>
    <x v="0"/>
    <x v="2"/>
    <x v="1"/>
  </r>
  <r>
    <s v="AIJ-102468"/>
    <x v="13"/>
    <x v="8"/>
    <x v="5"/>
    <x v="3"/>
    <x v="18"/>
    <x v="56"/>
    <x v="37"/>
    <x v="0"/>
    <n v="185660"/>
    <s v="High"/>
    <x v="23"/>
    <n v="31"/>
    <x v="2"/>
    <x v="1"/>
    <n v="2.75"/>
    <s v="No"/>
    <n v="4.97"/>
    <x v="0"/>
    <x v="2"/>
    <x v="3"/>
  </r>
  <r>
    <s v="AIJ-102469"/>
    <x v="5"/>
    <x v="4"/>
    <x v="5"/>
    <x v="2"/>
    <x v="16"/>
    <x v="69"/>
    <x v="51"/>
    <x v="1"/>
    <n v="30496"/>
    <s v="Medium"/>
    <x v="33"/>
    <n v="43"/>
    <x v="0"/>
    <x v="1"/>
    <n v="3.45"/>
    <s v="Yes"/>
    <n v="4.1900000000000004"/>
    <x v="0"/>
    <x v="3"/>
    <x v="3"/>
  </r>
  <r>
    <s v="AIJ-102470"/>
    <x v="7"/>
    <x v="4"/>
    <x v="5"/>
    <x v="2"/>
    <x v="13"/>
    <x v="1"/>
    <x v="58"/>
    <x v="2"/>
    <n v="133259"/>
    <s v="Low"/>
    <x v="14"/>
    <n v="38"/>
    <x v="1"/>
    <x v="2"/>
    <n v="3.43"/>
    <s v="No"/>
    <n v="1.62"/>
    <x v="2"/>
    <x v="2"/>
    <x v="1"/>
  </r>
  <r>
    <s v="AIJ-102471"/>
    <x v="16"/>
    <x v="9"/>
    <x v="3"/>
    <x v="0"/>
    <x v="22"/>
    <x v="42"/>
    <x v="58"/>
    <x v="2"/>
    <n v="191283"/>
    <s v="Medium"/>
    <x v="26"/>
    <n v="33"/>
    <x v="2"/>
    <x v="1"/>
    <n v="4.51"/>
    <s v="Yes"/>
    <n v="2.0299999999999998"/>
    <x v="2"/>
    <x v="3"/>
    <x v="2"/>
  </r>
  <r>
    <s v="AIJ-102472"/>
    <x v="4"/>
    <x v="2"/>
    <x v="3"/>
    <x v="1"/>
    <x v="0"/>
    <x v="11"/>
    <x v="78"/>
    <x v="1"/>
    <n v="66030"/>
    <s v="Medium"/>
    <x v="13"/>
    <n v="49"/>
    <x v="2"/>
    <x v="1"/>
    <n v="2.65"/>
    <s v="No"/>
    <n v="1.2"/>
    <x v="0"/>
    <x v="3"/>
    <x v="0"/>
  </r>
  <r>
    <s v="AIJ-102473"/>
    <x v="0"/>
    <x v="5"/>
    <x v="3"/>
    <x v="0"/>
    <x v="8"/>
    <x v="69"/>
    <x v="4"/>
    <x v="0"/>
    <n v="188369"/>
    <s v="Medium"/>
    <x v="43"/>
    <n v="33"/>
    <x v="1"/>
    <x v="0"/>
    <n v="3.02"/>
    <s v="Yes"/>
    <n v="4.87"/>
    <x v="1"/>
    <x v="0"/>
    <x v="2"/>
  </r>
  <r>
    <s v="AIJ-102474"/>
    <x v="18"/>
    <x v="0"/>
    <x v="8"/>
    <x v="3"/>
    <x v="1"/>
    <x v="10"/>
    <x v="58"/>
    <x v="2"/>
    <n v="103701"/>
    <s v="High"/>
    <x v="18"/>
    <n v="52"/>
    <x v="0"/>
    <x v="0"/>
    <n v="4.92"/>
    <s v="Yes"/>
    <n v="3.11"/>
    <x v="2"/>
    <x v="2"/>
    <x v="1"/>
  </r>
  <r>
    <s v="AIJ-102475"/>
    <x v="19"/>
    <x v="4"/>
    <x v="6"/>
    <x v="1"/>
    <x v="8"/>
    <x v="46"/>
    <x v="78"/>
    <x v="2"/>
    <n v="198434"/>
    <s v="High"/>
    <x v="26"/>
    <n v="50"/>
    <x v="2"/>
    <x v="1"/>
    <n v="2.56"/>
    <s v="No"/>
    <n v="1.78"/>
    <x v="1"/>
    <x v="2"/>
    <x v="2"/>
  </r>
  <r>
    <s v="AIJ-102476"/>
    <x v="16"/>
    <x v="8"/>
    <x v="6"/>
    <x v="1"/>
    <x v="14"/>
    <x v="27"/>
    <x v="19"/>
    <x v="0"/>
    <n v="178139"/>
    <s v="High"/>
    <x v="45"/>
    <n v="56"/>
    <x v="1"/>
    <x v="2"/>
    <n v="3.84"/>
    <s v="Yes"/>
    <n v="3.72"/>
    <x v="1"/>
    <x v="0"/>
    <x v="2"/>
  </r>
  <r>
    <s v="AIJ-102477"/>
    <x v="8"/>
    <x v="9"/>
    <x v="1"/>
    <x v="3"/>
    <x v="14"/>
    <x v="58"/>
    <x v="32"/>
    <x v="1"/>
    <n v="30996"/>
    <s v="High"/>
    <x v="7"/>
    <n v="56"/>
    <x v="0"/>
    <x v="0"/>
    <n v="2.09"/>
    <s v="No"/>
    <n v="1.48"/>
    <x v="2"/>
    <x v="0"/>
    <x v="2"/>
  </r>
  <r>
    <s v="AIJ-102478"/>
    <x v="14"/>
    <x v="3"/>
    <x v="2"/>
    <x v="2"/>
    <x v="22"/>
    <x v="68"/>
    <x v="10"/>
    <x v="1"/>
    <n v="184154"/>
    <s v="Low"/>
    <x v="12"/>
    <n v="46"/>
    <x v="0"/>
    <x v="2"/>
    <n v="3.41"/>
    <s v="Yes"/>
    <n v="4.99"/>
    <x v="1"/>
    <x v="3"/>
    <x v="2"/>
  </r>
  <r>
    <s v="AIJ-102479"/>
    <x v="17"/>
    <x v="5"/>
    <x v="4"/>
    <x v="2"/>
    <x v="6"/>
    <x v="76"/>
    <x v="56"/>
    <x v="2"/>
    <n v="123234"/>
    <s v="Medium"/>
    <x v="55"/>
    <n v="46"/>
    <x v="0"/>
    <x v="1"/>
    <n v="2.3199999999999998"/>
    <s v="No"/>
    <n v="2.4300000000000002"/>
    <x v="2"/>
    <x v="3"/>
    <x v="0"/>
  </r>
  <r>
    <s v="AIJ-102480"/>
    <x v="17"/>
    <x v="9"/>
    <x v="3"/>
    <x v="0"/>
    <x v="0"/>
    <x v="13"/>
    <x v="78"/>
    <x v="0"/>
    <n v="35463"/>
    <s v="High"/>
    <x v="10"/>
    <n v="34"/>
    <x v="1"/>
    <x v="2"/>
    <n v="3.17"/>
    <s v="No"/>
    <n v="4.37"/>
    <x v="1"/>
    <x v="3"/>
    <x v="0"/>
  </r>
  <r>
    <s v="AIJ-102481"/>
    <x v="18"/>
    <x v="9"/>
    <x v="6"/>
    <x v="1"/>
    <x v="11"/>
    <x v="20"/>
    <x v="5"/>
    <x v="1"/>
    <n v="170887"/>
    <s v="High"/>
    <x v="7"/>
    <n v="47"/>
    <x v="2"/>
    <x v="1"/>
    <n v="4.91"/>
    <s v="Yes"/>
    <n v="3.98"/>
    <x v="0"/>
    <x v="0"/>
    <x v="1"/>
  </r>
  <r>
    <s v="AIJ-102482"/>
    <x v="9"/>
    <x v="8"/>
    <x v="0"/>
    <x v="2"/>
    <x v="13"/>
    <x v="0"/>
    <x v="29"/>
    <x v="0"/>
    <n v="76231"/>
    <s v="Low"/>
    <x v="27"/>
    <n v="36"/>
    <x v="2"/>
    <x v="2"/>
    <n v="2.99"/>
    <s v="Yes"/>
    <n v="1.37"/>
    <x v="0"/>
    <x v="2"/>
    <x v="1"/>
  </r>
  <r>
    <s v="AIJ-102483"/>
    <x v="19"/>
    <x v="7"/>
    <x v="8"/>
    <x v="0"/>
    <x v="9"/>
    <x v="75"/>
    <x v="72"/>
    <x v="1"/>
    <n v="145516"/>
    <s v="High"/>
    <x v="46"/>
    <n v="47"/>
    <x v="0"/>
    <x v="2"/>
    <n v="4.03"/>
    <s v="Yes"/>
    <n v="4.46"/>
    <x v="2"/>
    <x v="3"/>
    <x v="1"/>
  </r>
  <r>
    <s v="AIJ-102484"/>
    <x v="5"/>
    <x v="9"/>
    <x v="7"/>
    <x v="1"/>
    <x v="9"/>
    <x v="60"/>
    <x v="43"/>
    <x v="0"/>
    <n v="206266"/>
    <s v="Medium"/>
    <x v="44"/>
    <n v="32"/>
    <x v="2"/>
    <x v="1"/>
    <n v="3.06"/>
    <s v="Yes"/>
    <n v="1.83"/>
    <x v="1"/>
    <x v="2"/>
    <x v="1"/>
  </r>
  <r>
    <s v="AIJ-102485"/>
    <x v="14"/>
    <x v="4"/>
    <x v="3"/>
    <x v="0"/>
    <x v="24"/>
    <x v="89"/>
    <x v="47"/>
    <x v="0"/>
    <n v="97013"/>
    <s v="Low"/>
    <x v="27"/>
    <n v="59"/>
    <x v="0"/>
    <x v="1"/>
    <n v="3.17"/>
    <s v="No"/>
    <n v="2.2200000000000002"/>
    <x v="1"/>
    <x v="2"/>
    <x v="1"/>
  </r>
  <r>
    <s v="AIJ-102486"/>
    <x v="4"/>
    <x v="6"/>
    <x v="5"/>
    <x v="0"/>
    <x v="14"/>
    <x v="10"/>
    <x v="43"/>
    <x v="0"/>
    <n v="107134"/>
    <s v="Medium"/>
    <x v="46"/>
    <n v="49"/>
    <x v="2"/>
    <x v="0"/>
    <n v="2.16"/>
    <s v="No"/>
    <n v="1.92"/>
    <x v="2"/>
    <x v="2"/>
    <x v="2"/>
  </r>
  <r>
    <s v="AIJ-102487"/>
    <x v="3"/>
    <x v="0"/>
    <x v="7"/>
    <x v="2"/>
    <x v="19"/>
    <x v="41"/>
    <x v="67"/>
    <x v="1"/>
    <n v="88226"/>
    <s v="Medium"/>
    <x v="11"/>
    <n v="40"/>
    <x v="1"/>
    <x v="0"/>
    <n v="3.81"/>
    <s v="Yes"/>
    <n v="4.71"/>
    <x v="2"/>
    <x v="3"/>
    <x v="2"/>
  </r>
  <r>
    <s v="AIJ-102488"/>
    <x v="16"/>
    <x v="9"/>
    <x v="0"/>
    <x v="2"/>
    <x v="25"/>
    <x v="42"/>
    <x v="62"/>
    <x v="2"/>
    <n v="98449"/>
    <s v="Medium"/>
    <x v="34"/>
    <n v="47"/>
    <x v="1"/>
    <x v="0"/>
    <n v="4.41"/>
    <s v="Yes"/>
    <n v="2.35"/>
    <x v="0"/>
    <x v="0"/>
    <x v="1"/>
  </r>
  <r>
    <s v="AIJ-102489"/>
    <x v="18"/>
    <x v="3"/>
    <x v="3"/>
    <x v="0"/>
    <x v="14"/>
    <x v="63"/>
    <x v="30"/>
    <x v="0"/>
    <n v="147527"/>
    <s v="Medium"/>
    <x v="8"/>
    <n v="39"/>
    <x v="1"/>
    <x v="0"/>
    <n v="3.74"/>
    <s v="Yes"/>
    <n v="3.92"/>
    <x v="1"/>
    <x v="0"/>
    <x v="2"/>
  </r>
  <r>
    <s v="AIJ-102490"/>
    <x v="2"/>
    <x v="9"/>
    <x v="9"/>
    <x v="3"/>
    <x v="0"/>
    <x v="21"/>
    <x v="77"/>
    <x v="2"/>
    <n v="97060"/>
    <s v="Medium"/>
    <x v="28"/>
    <n v="57"/>
    <x v="0"/>
    <x v="1"/>
    <n v="4.72"/>
    <s v="No"/>
    <n v="4.71"/>
    <x v="1"/>
    <x v="3"/>
    <x v="0"/>
  </r>
  <r>
    <s v="AIJ-102491"/>
    <x v="13"/>
    <x v="5"/>
    <x v="0"/>
    <x v="3"/>
    <x v="17"/>
    <x v="87"/>
    <x v="10"/>
    <x v="0"/>
    <n v="135920"/>
    <s v="Low"/>
    <x v="11"/>
    <n v="60"/>
    <x v="0"/>
    <x v="2"/>
    <n v="4.04"/>
    <s v="Yes"/>
    <n v="4.21"/>
    <x v="1"/>
    <x v="3"/>
    <x v="3"/>
  </r>
  <r>
    <s v="AIJ-102492"/>
    <x v="17"/>
    <x v="3"/>
    <x v="5"/>
    <x v="0"/>
    <x v="8"/>
    <x v="24"/>
    <x v="63"/>
    <x v="1"/>
    <n v="32213"/>
    <s v="Low"/>
    <x v="17"/>
    <n v="54"/>
    <x v="0"/>
    <x v="1"/>
    <n v="3.05"/>
    <s v="Yes"/>
    <n v="2.46"/>
    <x v="2"/>
    <x v="2"/>
    <x v="2"/>
  </r>
  <r>
    <s v="AIJ-102493"/>
    <x v="7"/>
    <x v="1"/>
    <x v="7"/>
    <x v="3"/>
    <x v="9"/>
    <x v="0"/>
    <x v="30"/>
    <x v="0"/>
    <n v="47065"/>
    <s v="High"/>
    <x v="19"/>
    <n v="35"/>
    <x v="0"/>
    <x v="0"/>
    <n v="4.49"/>
    <s v="No"/>
    <n v="1.28"/>
    <x v="2"/>
    <x v="0"/>
    <x v="1"/>
  </r>
  <r>
    <s v="AIJ-102494"/>
    <x v="6"/>
    <x v="8"/>
    <x v="9"/>
    <x v="3"/>
    <x v="0"/>
    <x v="60"/>
    <x v="25"/>
    <x v="0"/>
    <n v="218748"/>
    <s v="Low"/>
    <x v="4"/>
    <n v="32"/>
    <x v="1"/>
    <x v="2"/>
    <n v="4.25"/>
    <s v="No"/>
    <n v="1.1100000000000001"/>
    <x v="1"/>
    <x v="2"/>
    <x v="0"/>
  </r>
  <r>
    <s v="AIJ-102495"/>
    <x v="13"/>
    <x v="9"/>
    <x v="4"/>
    <x v="0"/>
    <x v="8"/>
    <x v="2"/>
    <x v="60"/>
    <x v="2"/>
    <n v="174674"/>
    <s v="Low"/>
    <x v="27"/>
    <n v="55"/>
    <x v="0"/>
    <x v="2"/>
    <n v="3.34"/>
    <s v="Yes"/>
    <n v="2.96"/>
    <x v="1"/>
    <x v="2"/>
    <x v="2"/>
  </r>
  <r>
    <s v="AIJ-102496"/>
    <x v="13"/>
    <x v="9"/>
    <x v="6"/>
    <x v="2"/>
    <x v="21"/>
    <x v="35"/>
    <x v="30"/>
    <x v="2"/>
    <n v="200869"/>
    <s v="High"/>
    <x v="4"/>
    <n v="31"/>
    <x v="1"/>
    <x v="0"/>
    <n v="2.65"/>
    <s v="No"/>
    <n v="3.52"/>
    <x v="0"/>
    <x v="2"/>
    <x v="0"/>
  </r>
  <r>
    <s v="AIJ-102497"/>
    <x v="13"/>
    <x v="6"/>
    <x v="8"/>
    <x v="0"/>
    <x v="0"/>
    <x v="70"/>
    <x v="44"/>
    <x v="0"/>
    <n v="93877"/>
    <s v="Low"/>
    <x v="53"/>
    <n v="59"/>
    <x v="1"/>
    <x v="2"/>
    <n v="2.4"/>
    <s v="Yes"/>
    <n v="1.68"/>
    <x v="1"/>
    <x v="2"/>
    <x v="0"/>
  </r>
  <r>
    <s v="AIJ-102498"/>
    <x v="0"/>
    <x v="0"/>
    <x v="7"/>
    <x v="1"/>
    <x v="9"/>
    <x v="47"/>
    <x v="68"/>
    <x v="1"/>
    <n v="50094"/>
    <s v="High"/>
    <x v="22"/>
    <n v="33"/>
    <x v="1"/>
    <x v="1"/>
    <n v="4.75"/>
    <s v="No"/>
    <n v="3.46"/>
    <x v="1"/>
    <x v="1"/>
    <x v="1"/>
  </r>
  <r>
    <s v="AIJ-102499"/>
    <x v="6"/>
    <x v="8"/>
    <x v="9"/>
    <x v="1"/>
    <x v="24"/>
    <x v="84"/>
    <x v="13"/>
    <x v="0"/>
    <n v="141554"/>
    <s v="Medium"/>
    <x v="51"/>
    <n v="48"/>
    <x v="2"/>
    <x v="1"/>
    <n v="4.32"/>
    <s v="No"/>
    <n v="3.03"/>
    <x v="1"/>
    <x v="2"/>
    <x v="1"/>
  </r>
  <r>
    <s v="AIJ-102500"/>
    <x v="19"/>
    <x v="8"/>
    <x v="5"/>
    <x v="3"/>
    <x v="16"/>
    <x v="6"/>
    <x v="36"/>
    <x v="2"/>
    <n v="157056"/>
    <s v="Medium"/>
    <x v="31"/>
    <n v="40"/>
    <x v="1"/>
    <x v="2"/>
    <n v="4.12"/>
    <s v="Yes"/>
    <n v="4.5999999999999996"/>
    <x v="2"/>
    <x v="0"/>
    <x v="3"/>
  </r>
  <r>
    <s v="AIJ-102501"/>
    <x v="1"/>
    <x v="6"/>
    <x v="1"/>
    <x v="3"/>
    <x v="22"/>
    <x v="29"/>
    <x v="6"/>
    <x v="1"/>
    <n v="191923"/>
    <s v="High"/>
    <x v="45"/>
    <n v="34"/>
    <x v="2"/>
    <x v="2"/>
    <n v="2.74"/>
    <s v="No"/>
    <n v="1.72"/>
    <x v="2"/>
    <x v="3"/>
    <x v="2"/>
  </r>
  <r>
    <s v="AIJ-102502"/>
    <x v="19"/>
    <x v="4"/>
    <x v="2"/>
    <x v="1"/>
    <x v="15"/>
    <x v="35"/>
    <x v="72"/>
    <x v="2"/>
    <n v="70519"/>
    <s v="Low"/>
    <x v="53"/>
    <n v="37"/>
    <x v="1"/>
    <x v="0"/>
    <n v="3.25"/>
    <s v="No"/>
    <n v="4.33"/>
    <x v="1"/>
    <x v="1"/>
    <x v="1"/>
  </r>
  <r>
    <s v="AIJ-102503"/>
    <x v="16"/>
    <x v="3"/>
    <x v="8"/>
    <x v="2"/>
    <x v="16"/>
    <x v="47"/>
    <x v="39"/>
    <x v="2"/>
    <n v="160809"/>
    <s v="Medium"/>
    <x v="29"/>
    <n v="31"/>
    <x v="0"/>
    <x v="0"/>
    <n v="4.74"/>
    <s v="No"/>
    <n v="2.57"/>
    <x v="1"/>
    <x v="2"/>
    <x v="3"/>
  </r>
  <r>
    <s v="AIJ-102504"/>
    <x v="7"/>
    <x v="3"/>
    <x v="0"/>
    <x v="2"/>
    <x v="4"/>
    <x v="23"/>
    <x v="71"/>
    <x v="0"/>
    <n v="200588"/>
    <s v="Medium"/>
    <x v="35"/>
    <n v="52"/>
    <x v="2"/>
    <x v="2"/>
    <n v="4.95"/>
    <s v="No"/>
    <n v="4.29"/>
    <x v="0"/>
    <x v="3"/>
    <x v="1"/>
  </r>
  <r>
    <s v="AIJ-102505"/>
    <x v="9"/>
    <x v="2"/>
    <x v="3"/>
    <x v="2"/>
    <x v="17"/>
    <x v="56"/>
    <x v="44"/>
    <x v="0"/>
    <n v="151062"/>
    <s v="Medium"/>
    <x v="43"/>
    <n v="44"/>
    <x v="0"/>
    <x v="0"/>
    <n v="3.75"/>
    <s v="Yes"/>
    <n v="3.08"/>
    <x v="1"/>
    <x v="1"/>
    <x v="3"/>
  </r>
  <r>
    <s v="AIJ-102506"/>
    <x v="0"/>
    <x v="1"/>
    <x v="1"/>
    <x v="0"/>
    <x v="16"/>
    <x v="13"/>
    <x v="22"/>
    <x v="2"/>
    <n v="97386"/>
    <s v="Medium"/>
    <x v="15"/>
    <n v="52"/>
    <x v="2"/>
    <x v="1"/>
    <n v="3.88"/>
    <s v="Yes"/>
    <n v="1.76"/>
    <x v="0"/>
    <x v="0"/>
    <x v="3"/>
  </r>
  <r>
    <s v="AIJ-102507"/>
    <x v="1"/>
    <x v="3"/>
    <x v="6"/>
    <x v="3"/>
    <x v="8"/>
    <x v="44"/>
    <x v="38"/>
    <x v="2"/>
    <n v="138977"/>
    <s v="High"/>
    <x v="42"/>
    <n v="36"/>
    <x v="1"/>
    <x v="2"/>
    <n v="2.92"/>
    <s v="No"/>
    <n v="3.89"/>
    <x v="2"/>
    <x v="1"/>
    <x v="2"/>
  </r>
  <r>
    <s v="AIJ-102508"/>
    <x v="18"/>
    <x v="9"/>
    <x v="5"/>
    <x v="3"/>
    <x v="15"/>
    <x v="34"/>
    <x v="60"/>
    <x v="2"/>
    <n v="138892"/>
    <s v="Low"/>
    <x v="21"/>
    <n v="30"/>
    <x v="1"/>
    <x v="0"/>
    <n v="3.84"/>
    <s v="Yes"/>
    <n v="1.45"/>
    <x v="2"/>
    <x v="2"/>
    <x v="1"/>
  </r>
  <r>
    <s v="AIJ-102509"/>
    <x v="7"/>
    <x v="0"/>
    <x v="2"/>
    <x v="2"/>
    <x v="17"/>
    <x v="5"/>
    <x v="42"/>
    <x v="2"/>
    <n v="56030"/>
    <s v="High"/>
    <x v="47"/>
    <n v="50"/>
    <x v="2"/>
    <x v="2"/>
    <n v="2.64"/>
    <s v="No"/>
    <n v="1.97"/>
    <x v="1"/>
    <x v="3"/>
    <x v="3"/>
  </r>
  <r>
    <s v="AIJ-102510"/>
    <x v="1"/>
    <x v="6"/>
    <x v="0"/>
    <x v="2"/>
    <x v="5"/>
    <x v="18"/>
    <x v="14"/>
    <x v="0"/>
    <n v="136171"/>
    <s v="High"/>
    <x v="40"/>
    <n v="58"/>
    <x v="0"/>
    <x v="1"/>
    <n v="2.0699999999999998"/>
    <s v="No"/>
    <n v="4.28"/>
    <x v="0"/>
    <x v="3"/>
    <x v="3"/>
  </r>
  <r>
    <s v="AIJ-102511"/>
    <x v="10"/>
    <x v="6"/>
    <x v="0"/>
    <x v="3"/>
    <x v="16"/>
    <x v="9"/>
    <x v="50"/>
    <x v="0"/>
    <n v="54242"/>
    <s v="Low"/>
    <x v="39"/>
    <n v="34"/>
    <x v="2"/>
    <x v="1"/>
    <n v="2.68"/>
    <s v="Yes"/>
    <n v="3.71"/>
    <x v="1"/>
    <x v="3"/>
    <x v="3"/>
  </r>
  <r>
    <s v="AIJ-102512"/>
    <x v="8"/>
    <x v="8"/>
    <x v="7"/>
    <x v="1"/>
    <x v="3"/>
    <x v="25"/>
    <x v="28"/>
    <x v="1"/>
    <n v="195911"/>
    <s v="Medium"/>
    <x v="27"/>
    <n v="53"/>
    <x v="1"/>
    <x v="0"/>
    <n v="3.92"/>
    <s v="Yes"/>
    <n v="2.2400000000000002"/>
    <x v="2"/>
    <x v="2"/>
    <x v="2"/>
  </r>
  <r>
    <s v="AIJ-102513"/>
    <x v="3"/>
    <x v="1"/>
    <x v="2"/>
    <x v="3"/>
    <x v="3"/>
    <x v="80"/>
    <x v="61"/>
    <x v="1"/>
    <n v="154712"/>
    <s v="High"/>
    <x v="46"/>
    <n v="34"/>
    <x v="0"/>
    <x v="2"/>
    <n v="2.09"/>
    <s v="No"/>
    <n v="3.68"/>
    <x v="1"/>
    <x v="2"/>
    <x v="2"/>
  </r>
  <r>
    <s v="AIJ-102514"/>
    <x v="14"/>
    <x v="9"/>
    <x v="6"/>
    <x v="1"/>
    <x v="25"/>
    <x v="2"/>
    <x v="57"/>
    <x v="2"/>
    <n v="46578"/>
    <s v="High"/>
    <x v="44"/>
    <n v="56"/>
    <x v="2"/>
    <x v="1"/>
    <n v="4.62"/>
    <s v="No"/>
    <n v="3.13"/>
    <x v="0"/>
    <x v="2"/>
    <x v="1"/>
  </r>
  <r>
    <s v="AIJ-102515"/>
    <x v="4"/>
    <x v="1"/>
    <x v="5"/>
    <x v="0"/>
    <x v="11"/>
    <x v="71"/>
    <x v="6"/>
    <x v="2"/>
    <n v="156962"/>
    <s v="High"/>
    <x v="20"/>
    <n v="35"/>
    <x v="1"/>
    <x v="1"/>
    <n v="3.02"/>
    <s v="No"/>
    <n v="1.1100000000000001"/>
    <x v="0"/>
    <x v="3"/>
    <x v="1"/>
  </r>
  <r>
    <s v="AIJ-102516"/>
    <x v="9"/>
    <x v="0"/>
    <x v="3"/>
    <x v="0"/>
    <x v="7"/>
    <x v="38"/>
    <x v="60"/>
    <x v="1"/>
    <n v="134714"/>
    <s v="Medium"/>
    <x v="49"/>
    <n v="36"/>
    <x v="0"/>
    <x v="0"/>
    <n v="4.51"/>
    <s v="Yes"/>
    <n v="3.89"/>
    <x v="1"/>
    <x v="3"/>
    <x v="1"/>
  </r>
  <r>
    <s v="AIJ-102517"/>
    <x v="19"/>
    <x v="6"/>
    <x v="1"/>
    <x v="3"/>
    <x v="24"/>
    <x v="20"/>
    <x v="12"/>
    <x v="1"/>
    <n v="93239"/>
    <s v="Low"/>
    <x v="44"/>
    <n v="40"/>
    <x v="0"/>
    <x v="2"/>
    <n v="4.5999999999999996"/>
    <s v="No"/>
    <n v="2.6"/>
    <x v="2"/>
    <x v="3"/>
    <x v="1"/>
  </r>
  <r>
    <s v="AIJ-102518"/>
    <x v="12"/>
    <x v="6"/>
    <x v="2"/>
    <x v="1"/>
    <x v="19"/>
    <x v="75"/>
    <x v="7"/>
    <x v="2"/>
    <n v="218584"/>
    <s v="Low"/>
    <x v="13"/>
    <n v="44"/>
    <x v="2"/>
    <x v="2"/>
    <n v="3.47"/>
    <s v="Yes"/>
    <n v="2.46"/>
    <x v="2"/>
    <x v="3"/>
    <x v="2"/>
  </r>
  <r>
    <s v="AIJ-102519"/>
    <x v="6"/>
    <x v="5"/>
    <x v="3"/>
    <x v="0"/>
    <x v="6"/>
    <x v="42"/>
    <x v="37"/>
    <x v="1"/>
    <n v="111648"/>
    <s v="Low"/>
    <x v="29"/>
    <n v="40"/>
    <x v="0"/>
    <x v="0"/>
    <n v="2.65"/>
    <s v="Yes"/>
    <n v="4.6500000000000004"/>
    <x v="1"/>
    <x v="3"/>
    <x v="0"/>
  </r>
  <r>
    <s v="AIJ-102520"/>
    <x v="14"/>
    <x v="1"/>
    <x v="4"/>
    <x v="1"/>
    <x v="19"/>
    <x v="64"/>
    <x v="67"/>
    <x v="1"/>
    <n v="190146"/>
    <s v="Low"/>
    <x v="45"/>
    <n v="34"/>
    <x v="1"/>
    <x v="0"/>
    <n v="3.8"/>
    <s v="Yes"/>
    <n v="4.7300000000000004"/>
    <x v="1"/>
    <x v="2"/>
    <x v="2"/>
  </r>
  <r>
    <s v="AIJ-102521"/>
    <x v="15"/>
    <x v="9"/>
    <x v="1"/>
    <x v="2"/>
    <x v="25"/>
    <x v="21"/>
    <x v="63"/>
    <x v="2"/>
    <n v="88256"/>
    <s v="Medium"/>
    <x v="10"/>
    <n v="60"/>
    <x v="0"/>
    <x v="1"/>
    <n v="2.11"/>
    <s v="No"/>
    <n v="2.5"/>
    <x v="0"/>
    <x v="2"/>
    <x v="1"/>
  </r>
  <r>
    <s v="AIJ-102522"/>
    <x v="7"/>
    <x v="0"/>
    <x v="7"/>
    <x v="3"/>
    <x v="11"/>
    <x v="70"/>
    <x v="12"/>
    <x v="0"/>
    <n v="102165"/>
    <s v="Low"/>
    <x v="47"/>
    <n v="54"/>
    <x v="1"/>
    <x v="2"/>
    <n v="2.96"/>
    <s v="No"/>
    <n v="2.25"/>
    <x v="2"/>
    <x v="3"/>
    <x v="1"/>
  </r>
  <r>
    <s v="AIJ-102523"/>
    <x v="19"/>
    <x v="2"/>
    <x v="7"/>
    <x v="1"/>
    <x v="3"/>
    <x v="12"/>
    <x v="57"/>
    <x v="0"/>
    <n v="202052"/>
    <s v="High"/>
    <x v="49"/>
    <n v="53"/>
    <x v="1"/>
    <x v="0"/>
    <n v="2.98"/>
    <s v="Yes"/>
    <n v="1.58"/>
    <x v="0"/>
    <x v="0"/>
    <x v="2"/>
  </r>
  <r>
    <s v="AIJ-102524"/>
    <x v="13"/>
    <x v="2"/>
    <x v="0"/>
    <x v="0"/>
    <x v="6"/>
    <x v="77"/>
    <x v="27"/>
    <x v="2"/>
    <n v="46209"/>
    <s v="High"/>
    <x v="46"/>
    <n v="46"/>
    <x v="2"/>
    <x v="0"/>
    <n v="2.96"/>
    <s v="No"/>
    <n v="2.23"/>
    <x v="2"/>
    <x v="0"/>
    <x v="0"/>
  </r>
  <r>
    <s v="AIJ-102525"/>
    <x v="12"/>
    <x v="9"/>
    <x v="6"/>
    <x v="2"/>
    <x v="4"/>
    <x v="90"/>
    <x v="56"/>
    <x v="1"/>
    <n v="148155"/>
    <s v="Medium"/>
    <x v="6"/>
    <n v="56"/>
    <x v="0"/>
    <x v="1"/>
    <n v="4.5999999999999996"/>
    <s v="Yes"/>
    <n v="1.39"/>
    <x v="2"/>
    <x v="3"/>
    <x v="1"/>
  </r>
  <r>
    <s v="AIJ-102526"/>
    <x v="14"/>
    <x v="2"/>
    <x v="8"/>
    <x v="3"/>
    <x v="18"/>
    <x v="62"/>
    <x v="55"/>
    <x v="2"/>
    <n v="215018"/>
    <s v="Medium"/>
    <x v="4"/>
    <n v="52"/>
    <x v="0"/>
    <x v="1"/>
    <n v="3.21"/>
    <s v="Yes"/>
    <n v="2.81"/>
    <x v="2"/>
    <x v="3"/>
    <x v="3"/>
  </r>
  <r>
    <s v="AIJ-102527"/>
    <x v="15"/>
    <x v="3"/>
    <x v="5"/>
    <x v="2"/>
    <x v="7"/>
    <x v="40"/>
    <x v="20"/>
    <x v="1"/>
    <n v="41694"/>
    <s v="High"/>
    <x v="25"/>
    <n v="43"/>
    <x v="1"/>
    <x v="2"/>
    <n v="3.26"/>
    <s v="No"/>
    <n v="2.4900000000000002"/>
    <x v="0"/>
    <x v="2"/>
    <x v="1"/>
  </r>
  <r>
    <s v="AIJ-102528"/>
    <x v="5"/>
    <x v="0"/>
    <x v="1"/>
    <x v="3"/>
    <x v="21"/>
    <x v="3"/>
    <x v="63"/>
    <x v="2"/>
    <n v="215896"/>
    <s v="Medium"/>
    <x v="9"/>
    <n v="48"/>
    <x v="2"/>
    <x v="0"/>
    <n v="2.85"/>
    <s v="Yes"/>
    <n v="2.27"/>
    <x v="1"/>
    <x v="2"/>
    <x v="0"/>
  </r>
  <r>
    <s v="AIJ-102529"/>
    <x v="8"/>
    <x v="9"/>
    <x v="2"/>
    <x v="0"/>
    <x v="4"/>
    <x v="46"/>
    <x v="8"/>
    <x v="0"/>
    <n v="32026"/>
    <s v="High"/>
    <x v="24"/>
    <n v="33"/>
    <x v="0"/>
    <x v="2"/>
    <n v="4.13"/>
    <s v="Yes"/>
    <n v="2.91"/>
    <x v="0"/>
    <x v="3"/>
    <x v="1"/>
  </r>
  <r>
    <s v="AIJ-102530"/>
    <x v="17"/>
    <x v="0"/>
    <x v="7"/>
    <x v="3"/>
    <x v="21"/>
    <x v="60"/>
    <x v="58"/>
    <x v="0"/>
    <n v="188317"/>
    <s v="High"/>
    <x v="13"/>
    <n v="44"/>
    <x v="0"/>
    <x v="1"/>
    <n v="3.37"/>
    <s v="Yes"/>
    <n v="1.41"/>
    <x v="2"/>
    <x v="2"/>
    <x v="0"/>
  </r>
  <r>
    <s v="AIJ-102531"/>
    <x v="17"/>
    <x v="5"/>
    <x v="0"/>
    <x v="1"/>
    <x v="3"/>
    <x v="49"/>
    <x v="31"/>
    <x v="2"/>
    <n v="117501"/>
    <s v="Low"/>
    <x v="35"/>
    <n v="56"/>
    <x v="2"/>
    <x v="1"/>
    <n v="3.01"/>
    <s v="Yes"/>
    <n v="2.95"/>
    <x v="1"/>
    <x v="0"/>
    <x v="2"/>
  </r>
  <r>
    <s v="AIJ-102532"/>
    <x v="2"/>
    <x v="2"/>
    <x v="2"/>
    <x v="1"/>
    <x v="23"/>
    <x v="84"/>
    <x v="56"/>
    <x v="0"/>
    <n v="105928"/>
    <s v="High"/>
    <x v="35"/>
    <n v="53"/>
    <x v="2"/>
    <x v="0"/>
    <n v="4.8499999999999996"/>
    <s v="Yes"/>
    <n v="4.13"/>
    <x v="1"/>
    <x v="3"/>
    <x v="3"/>
  </r>
  <r>
    <s v="AIJ-102533"/>
    <x v="1"/>
    <x v="4"/>
    <x v="7"/>
    <x v="3"/>
    <x v="19"/>
    <x v="4"/>
    <x v="5"/>
    <x v="1"/>
    <n v="63433"/>
    <s v="Low"/>
    <x v="44"/>
    <n v="33"/>
    <x v="2"/>
    <x v="2"/>
    <n v="3.41"/>
    <s v="No"/>
    <n v="2.0099999999999998"/>
    <x v="0"/>
    <x v="0"/>
    <x v="2"/>
  </r>
  <r>
    <s v="AIJ-102534"/>
    <x v="9"/>
    <x v="2"/>
    <x v="5"/>
    <x v="2"/>
    <x v="8"/>
    <x v="78"/>
    <x v="6"/>
    <x v="0"/>
    <n v="105320"/>
    <s v="Medium"/>
    <x v="16"/>
    <n v="30"/>
    <x v="0"/>
    <x v="1"/>
    <n v="2.93"/>
    <s v="No"/>
    <n v="4.38"/>
    <x v="0"/>
    <x v="3"/>
    <x v="2"/>
  </r>
  <r>
    <s v="AIJ-102535"/>
    <x v="5"/>
    <x v="5"/>
    <x v="1"/>
    <x v="2"/>
    <x v="7"/>
    <x v="81"/>
    <x v="76"/>
    <x v="1"/>
    <n v="215823"/>
    <s v="Low"/>
    <x v="32"/>
    <n v="47"/>
    <x v="0"/>
    <x v="2"/>
    <n v="2.3199999999999998"/>
    <s v="Yes"/>
    <n v="4.58"/>
    <x v="1"/>
    <x v="3"/>
    <x v="1"/>
  </r>
  <r>
    <s v="AIJ-102536"/>
    <x v="3"/>
    <x v="2"/>
    <x v="6"/>
    <x v="0"/>
    <x v="17"/>
    <x v="27"/>
    <x v="53"/>
    <x v="0"/>
    <n v="119244"/>
    <s v="High"/>
    <x v="18"/>
    <n v="51"/>
    <x v="2"/>
    <x v="1"/>
    <n v="4.08"/>
    <s v="No"/>
    <n v="3.76"/>
    <x v="2"/>
    <x v="0"/>
    <x v="3"/>
  </r>
  <r>
    <s v="AIJ-102537"/>
    <x v="6"/>
    <x v="5"/>
    <x v="4"/>
    <x v="3"/>
    <x v="6"/>
    <x v="69"/>
    <x v="59"/>
    <x v="0"/>
    <n v="118988"/>
    <s v="Medium"/>
    <x v="49"/>
    <n v="54"/>
    <x v="2"/>
    <x v="2"/>
    <n v="3.83"/>
    <s v="No"/>
    <n v="2.69"/>
    <x v="1"/>
    <x v="3"/>
    <x v="0"/>
  </r>
  <r>
    <s v="AIJ-102538"/>
    <x v="11"/>
    <x v="2"/>
    <x v="4"/>
    <x v="0"/>
    <x v="18"/>
    <x v="55"/>
    <x v="30"/>
    <x v="2"/>
    <n v="91947"/>
    <s v="Medium"/>
    <x v="4"/>
    <n v="38"/>
    <x v="2"/>
    <x v="2"/>
    <n v="2.1"/>
    <s v="No"/>
    <n v="1.81"/>
    <x v="1"/>
    <x v="2"/>
    <x v="3"/>
  </r>
  <r>
    <s v="AIJ-102539"/>
    <x v="16"/>
    <x v="1"/>
    <x v="8"/>
    <x v="1"/>
    <x v="23"/>
    <x v="40"/>
    <x v="29"/>
    <x v="2"/>
    <n v="33209"/>
    <s v="High"/>
    <x v="42"/>
    <n v="45"/>
    <x v="0"/>
    <x v="0"/>
    <n v="2.34"/>
    <s v="No"/>
    <n v="1.79"/>
    <x v="0"/>
    <x v="1"/>
    <x v="3"/>
  </r>
  <r>
    <s v="AIJ-102540"/>
    <x v="14"/>
    <x v="7"/>
    <x v="2"/>
    <x v="3"/>
    <x v="10"/>
    <x v="45"/>
    <x v="25"/>
    <x v="2"/>
    <n v="103777"/>
    <s v="High"/>
    <x v="55"/>
    <n v="52"/>
    <x v="0"/>
    <x v="0"/>
    <n v="3.4"/>
    <s v="No"/>
    <n v="2.4"/>
    <x v="0"/>
    <x v="3"/>
    <x v="3"/>
  </r>
  <r>
    <s v="AIJ-102541"/>
    <x v="7"/>
    <x v="4"/>
    <x v="2"/>
    <x v="2"/>
    <x v="5"/>
    <x v="14"/>
    <x v="59"/>
    <x v="2"/>
    <n v="187710"/>
    <s v="High"/>
    <x v="42"/>
    <n v="55"/>
    <x v="1"/>
    <x v="0"/>
    <n v="4.1500000000000004"/>
    <s v="No"/>
    <n v="1.39"/>
    <x v="0"/>
    <x v="1"/>
    <x v="3"/>
  </r>
  <r>
    <s v="AIJ-102542"/>
    <x v="11"/>
    <x v="3"/>
    <x v="9"/>
    <x v="3"/>
    <x v="22"/>
    <x v="70"/>
    <x v="20"/>
    <x v="0"/>
    <n v="203088"/>
    <s v="Low"/>
    <x v="29"/>
    <n v="35"/>
    <x v="2"/>
    <x v="1"/>
    <n v="2.1800000000000002"/>
    <s v="Yes"/>
    <n v="4.9800000000000004"/>
    <x v="1"/>
    <x v="3"/>
    <x v="2"/>
  </r>
  <r>
    <s v="AIJ-102543"/>
    <x v="14"/>
    <x v="7"/>
    <x v="2"/>
    <x v="1"/>
    <x v="8"/>
    <x v="1"/>
    <x v="17"/>
    <x v="1"/>
    <n v="146124"/>
    <s v="Low"/>
    <x v="34"/>
    <n v="48"/>
    <x v="2"/>
    <x v="0"/>
    <n v="3.12"/>
    <s v="No"/>
    <n v="1.21"/>
    <x v="0"/>
    <x v="1"/>
    <x v="2"/>
  </r>
  <r>
    <s v="AIJ-102544"/>
    <x v="12"/>
    <x v="6"/>
    <x v="6"/>
    <x v="3"/>
    <x v="8"/>
    <x v="61"/>
    <x v="43"/>
    <x v="2"/>
    <n v="184819"/>
    <s v="Medium"/>
    <x v="20"/>
    <n v="44"/>
    <x v="2"/>
    <x v="2"/>
    <n v="2.4300000000000002"/>
    <s v="No"/>
    <n v="2.64"/>
    <x v="1"/>
    <x v="3"/>
    <x v="2"/>
  </r>
  <r>
    <s v="AIJ-102545"/>
    <x v="5"/>
    <x v="2"/>
    <x v="2"/>
    <x v="3"/>
    <x v="24"/>
    <x v="67"/>
    <x v="77"/>
    <x v="0"/>
    <n v="47890"/>
    <s v="High"/>
    <x v="5"/>
    <n v="50"/>
    <x v="1"/>
    <x v="0"/>
    <n v="4.6399999999999997"/>
    <s v="No"/>
    <n v="1.98"/>
    <x v="2"/>
    <x v="2"/>
    <x v="1"/>
  </r>
  <r>
    <s v="AIJ-102546"/>
    <x v="4"/>
    <x v="1"/>
    <x v="2"/>
    <x v="0"/>
    <x v="0"/>
    <x v="28"/>
    <x v="76"/>
    <x v="0"/>
    <n v="37742"/>
    <s v="Medium"/>
    <x v="18"/>
    <n v="38"/>
    <x v="1"/>
    <x v="2"/>
    <n v="4.3899999999999997"/>
    <s v="Yes"/>
    <n v="1.87"/>
    <x v="2"/>
    <x v="1"/>
    <x v="0"/>
  </r>
  <r>
    <s v="AIJ-102547"/>
    <x v="12"/>
    <x v="4"/>
    <x v="1"/>
    <x v="2"/>
    <x v="1"/>
    <x v="24"/>
    <x v="64"/>
    <x v="1"/>
    <n v="180036"/>
    <s v="Medium"/>
    <x v="44"/>
    <n v="57"/>
    <x v="0"/>
    <x v="0"/>
    <n v="4.18"/>
    <s v="No"/>
    <n v="3.91"/>
    <x v="0"/>
    <x v="3"/>
    <x v="1"/>
  </r>
  <r>
    <s v="AIJ-102548"/>
    <x v="17"/>
    <x v="0"/>
    <x v="5"/>
    <x v="2"/>
    <x v="10"/>
    <x v="58"/>
    <x v="55"/>
    <x v="1"/>
    <n v="172077"/>
    <s v="Low"/>
    <x v="8"/>
    <n v="59"/>
    <x v="2"/>
    <x v="0"/>
    <n v="3.7"/>
    <s v="Yes"/>
    <n v="1.32"/>
    <x v="2"/>
    <x v="0"/>
    <x v="3"/>
  </r>
  <r>
    <s v="AIJ-102549"/>
    <x v="1"/>
    <x v="0"/>
    <x v="0"/>
    <x v="0"/>
    <x v="5"/>
    <x v="68"/>
    <x v="24"/>
    <x v="0"/>
    <n v="198787"/>
    <s v="Medium"/>
    <x v="1"/>
    <n v="38"/>
    <x v="2"/>
    <x v="1"/>
    <n v="2.15"/>
    <s v="No"/>
    <n v="2.27"/>
    <x v="0"/>
    <x v="2"/>
    <x v="3"/>
  </r>
  <r>
    <s v="AIJ-102550"/>
    <x v="13"/>
    <x v="0"/>
    <x v="3"/>
    <x v="2"/>
    <x v="3"/>
    <x v="24"/>
    <x v="7"/>
    <x v="0"/>
    <n v="147586"/>
    <s v="High"/>
    <x v="22"/>
    <n v="48"/>
    <x v="1"/>
    <x v="0"/>
    <n v="3.97"/>
    <s v="Yes"/>
    <n v="2.97"/>
    <x v="0"/>
    <x v="3"/>
    <x v="2"/>
  </r>
  <r>
    <s v="AIJ-102551"/>
    <x v="4"/>
    <x v="1"/>
    <x v="6"/>
    <x v="3"/>
    <x v="3"/>
    <x v="51"/>
    <x v="37"/>
    <x v="1"/>
    <n v="141121"/>
    <s v="High"/>
    <x v="11"/>
    <n v="39"/>
    <x v="1"/>
    <x v="2"/>
    <n v="4.0999999999999996"/>
    <s v="Yes"/>
    <n v="1.88"/>
    <x v="0"/>
    <x v="3"/>
    <x v="2"/>
  </r>
  <r>
    <s v="AIJ-102552"/>
    <x v="7"/>
    <x v="3"/>
    <x v="2"/>
    <x v="0"/>
    <x v="13"/>
    <x v="7"/>
    <x v="44"/>
    <x v="2"/>
    <n v="177858"/>
    <s v="High"/>
    <x v="6"/>
    <n v="56"/>
    <x v="2"/>
    <x v="0"/>
    <n v="3.95"/>
    <s v="No"/>
    <n v="3.79"/>
    <x v="0"/>
    <x v="1"/>
    <x v="1"/>
  </r>
  <r>
    <s v="AIJ-102553"/>
    <x v="15"/>
    <x v="5"/>
    <x v="3"/>
    <x v="2"/>
    <x v="4"/>
    <x v="76"/>
    <x v="1"/>
    <x v="2"/>
    <n v="174941"/>
    <s v="Low"/>
    <x v="19"/>
    <n v="41"/>
    <x v="2"/>
    <x v="0"/>
    <n v="4.38"/>
    <s v="No"/>
    <n v="4.1399999999999997"/>
    <x v="1"/>
    <x v="2"/>
    <x v="1"/>
  </r>
  <r>
    <s v="AIJ-102554"/>
    <x v="7"/>
    <x v="2"/>
    <x v="8"/>
    <x v="2"/>
    <x v="20"/>
    <x v="76"/>
    <x v="18"/>
    <x v="0"/>
    <n v="139720"/>
    <s v="Low"/>
    <x v="42"/>
    <n v="41"/>
    <x v="2"/>
    <x v="1"/>
    <n v="2.06"/>
    <s v="Yes"/>
    <n v="1.55"/>
    <x v="1"/>
    <x v="2"/>
    <x v="2"/>
  </r>
  <r>
    <s v="AIJ-102555"/>
    <x v="18"/>
    <x v="9"/>
    <x v="4"/>
    <x v="2"/>
    <x v="16"/>
    <x v="61"/>
    <x v="46"/>
    <x v="2"/>
    <n v="112627"/>
    <s v="Low"/>
    <x v="21"/>
    <n v="60"/>
    <x v="2"/>
    <x v="1"/>
    <n v="2.5299999999999998"/>
    <s v="No"/>
    <n v="2.97"/>
    <x v="1"/>
    <x v="3"/>
    <x v="3"/>
  </r>
  <r>
    <s v="AIJ-102556"/>
    <x v="17"/>
    <x v="1"/>
    <x v="5"/>
    <x v="0"/>
    <x v="14"/>
    <x v="21"/>
    <x v="13"/>
    <x v="0"/>
    <n v="42833"/>
    <s v="High"/>
    <x v="4"/>
    <n v="50"/>
    <x v="0"/>
    <x v="2"/>
    <n v="3.79"/>
    <s v="No"/>
    <n v="3.45"/>
    <x v="0"/>
    <x v="2"/>
    <x v="2"/>
  </r>
  <r>
    <s v="AIJ-102557"/>
    <x v="14"/>
    <x v="5"/>
    <x v="9"/>
    <x v="1"/>
    <x v="13"/>
    <x v="16"/>
    <x v="70"/>
    <x v="2"/>
    <n v="146944"/>
    <s v="Medium"/>
    <x v="28"/>
    <n v="48"/>
    <x v="0"/>
    <x v="2"/>
    <n v="3.04"/>
    <s v="Yes"/>
    <n v="4.84"/>
    <x v="2"/>
    <x v="3"/>
    <x v="1"/>
  </r>
  <r>
    <s v="AIJ-102558"/>
    <x v="11"/>
    <x v="3"/>
    <x v="4"/>
    <x v="0"/>
    <x v="13"/>
    <x v="66"/>
    <x v="15"/>
    <x v="1"/>
    <n v="158753"/>
    <s v="Low"/>
    <x v="8"/>
    <n v="50"/>
    <x v="2"/>
    <x v="2"/>
    <n v="2.34"/>
    <s v="Yes"/>
    <n v="2.5099999999999998"/>
    <x v="0"/>
    <x v="3"/>
    <x v="1"/>
  </r>
  <r>
    <s v="AIJ-102559"/>
    <x v="18"/>
    <x v="6"/>
    <x v="9"/>
    <x v="0"/>
    <x v="18"/>
    <x v="89"/>
    <x v="74"/>
    <x v="0"/>
    <n v="191690"/>
    <s v="High"/>
    <x v="25"/>
    <n v="43"/>
    <x v="0"/>
    <x v="0"/>
    <n v="3.3"/>
    <s v="Yes"/>
    <n v="4.59"/>
    <x v="1"/>
    <x v="1"/>
    <x v="3"/>
  </r>
  <r>
    <s v="AIJ-102560"/>
    <x v="6"/>
    <x v="3"/>
    <x v="3"/>
    <x v="2"/>
    <x v="13"/>
    <x v="80"/>
    <x v="22"/>
    <x v="0"/>
    <n v="205817"/>
    <s v="High"/>
    <x v="39"/>
    <n v="41"/>
    <x v="0"/>
    <x v="0"/>
    <n v="3.31"/>
    <s v="No"/>
    <n v="3.01"/>
    <x v="0"/>
    <x v="3"/>
    <x v="1"/>
  </r>
  <r>
    <s v="AIJ-102561"/>
    <x v="14"/>
    <x v="8"/>
    <x v="6"/>
    <x v="1"/>
    <x v="5"/>
    <x v="65"/>
    <x v="40"/>
    <x v="0"/>
    <n v="205278"/>
    <s v="Low"/>
    <x v="18"/>
    <n v="37"/>
    <x v="1"/>
    <x v="2"/>
    <n v="2.84"/>
    <s v="No"/>
    <n v="2.99"/>
    <x v="1"/>
    <x v="2"/>
    <x v="3"/>
  </r>
  <r>
    <s v="AIJ-102562"/>
    <x v="15"/>
    <x v="0"/>
    <x v="4"/>
    <x v="1"/>
    <x v="11"/>
    <x v="6"/>
    <x v="58"/>
    <x v="1"/>
    <n v="137179"/>
    <s v="Low"/>
    <x v="16"/>
    <n v="37"/>
    <x v="2"/>
    <x v="1"/>
    <n v="2.5499999999999998"/>
    <s v="No"/>
    <n v="2.61"/>
    <x v="2"/>
    <x v="3"/>
    <x v="1"/>
  </r>
  <r>
    <s v="AIJ-102563"/>
    <x v="17"/>
    <x v="5"/>
    <x v="6"/>
    <x v="1"/>
    <x v="7"/>
    <x v="70"/>
    <x v="17"/>
    <x v="2"/>
    <n v="151916"/>
    <s v="High"/>
    <x v="38"/>
    <n v="41"/>
    <x v="0"/>
    <x v="2"/>
    <n v="2.08"/>
    <s v="No"/>
    <n v="2.73"/>
    <x v="0"/>
    <x v="2"/>
    <x v="1"/>
  </r>
  <r>
    <s v="AIJ-102564"/>
    <x v="19"/>
    <x v="1"/>
    <x v="9"/>
    <x v="0"/>
    <x v="24"/>
    <x v="63"/>
    <x v="14"/>
    <x v="0"/>
    <n v="191570"/>
    <s v="Medium"/>
    <x v="8"/>
    <n v="49"/>
    <x v="2"/>
    <x v="1"/>
    <n v="2.82"/>
    <s v="No"/>
    <n v="4.8099999999999996"/>
    <x v="1"/>
    <x v="0"/>
    <x v="1"/>
  </r>
  <r>
    <s v="AIJ-102565"/>
    <x v="2"/>
    <x v="3"/>
    <x v="3"/>
    <x v="0"/>
    <x v="22"/>
    <x v="23"/>
    <x v="67"/>
    <x v="0"/>
    <n v="219162"/>
    <s v="Low"/>
    <x v="25"/>
    <n v="52"/>
    <x v="2"/>
    <x v="1"/>
    <n v="4.6100000000000003"/>
    <s v="No"/>
    <n v="3.92"/>
    <x v="2"/>
    <x v="2"/>
    <x v="2"/>
  </r>
  <r>
    <s v="AIJ-102566"/>
    <x v="10"/>
    <x v="9"/>
    <x v="7"/>
    <x v="0"/>
    <x v="1"/>
    <x v="54"/>
    <x v="66"/>
    <x v="2"/>
    <n v="125241"/>
    <s v="Medium"/>
    <x v="38"/>
    <n v="48"/>
    <x v="1"/>
    <x v="0"/>
    <n v="4.08"/>
    <s v="No"/>
    <n v="1.43"/>
    <x v="1"/>
    <x v="2"/>
    <x v="1"/>
  </r>
  <r>
    <s v="AIJ-102567"/>
    <x v="17"/>
    <x v="6"/>
    <x v="3"/>
    <x v="3"/>
    <x v="21"/>
    <x v="89"/>
    <x v="75"/>
    <x v="0"/>
    <n v="48447"/>
    <s v="Low"/>
    <x v="16"/>
    <n v="49"/>
    <x v="0"/>
    <x v="0"/>
    <n v="2.2400000000000002"/>
    <s v="No"/>
    <n v="2.46"/>
    <x v="1"/>
    <x v="2"/>
    <x v="0"/>
  </r>
  <r>
    <s v="AIJ-102568"/>
    <x v="4"/>
    <x v="2"/>
    <x v="1"/>
    <x v="1"/>
    <x v="19"/>
    <x v="63"/>
    <x v="6"/>
    <x v="1"/>
    <n v="118793"/>
    <s v="High"/>
    <x v="20"/>
    <n v="49"/>
    <x v="2"/>
    <x v="1"/>
    <n v="4.3"/>
    <s v="Yes"/>
    <n v="3.49"/>
    <x v="0"/>
    <x v="0"/>
    <x v="2"/>
  </r>
  <r>
    <s v="AIJ-102569"/>
    <x v="0"/>
    <x v="0"/>
    <x v="5"/>
    <x v="0"/>
    <x v="11"/>
    <x v="16"/>
    <x v="3"/>
    <x v="1"/>
    <n v="92513"/>
    <s v="High"/>
    <x v="39"/>
    <n v="45"/>
    <x v="1"/>
    <x v="1"/>
    <n v="4.21"/>
    <s v="No"/>
    <n v="3.39"/>
    <x v="0"/>
    <x v="0"/>
    <x v="1"/>
  </r>
  <r>
    <s v="AIJ-102570"/>
    <x v="17"/>
    <x v="5"/>
    <x v="3"/>
    <x v="3"/>
    <x v="0"/>
    <x v="43"/>
    <x v="26"/>
    <x v="2"/>
    <n v="46699"/>
    <s v="High"/>
    <x v="54"/>
    <n v="33"/>
    <x v="1"/>
    <x v="1"/>
    <n v="4.4800000000000004"/>
    <s v="Yes"/>
    <n v="3.75"/>
    <x v="0"/>
    <x v="2"/>
    <x v="0"/>
  </r>
  <r>
    <s v="AIJ-102571"/>
    <x v="2"/>
    <x v="3"/>
    <x v="0"/>
    <x v="0"/>
    <x v="22"/>
    <x v="49"/>
    <x v="10"/>
    <x v="2"/>
    <n v="166169"/>
    <s v="High"/>
    <x v="7"/>
    <n v="30"/>
    <x v="0"/>
    <x v="2"/>
    <n v="3.66"/>
    <s v="Yes"/>
    <n v="2.44"/>
    <x v="2"/>
    <x v="3"/>
    <x v="2"/>
  </r>
  <r>
    <s v="AIJ-102572"/>
    <x v="2"/>
    <x v="0"/>
    <x v="1"/>
    <x v="0"/>
    <x v="0"/>
    <x v="46"/>
    <x v="70"/>
    <x v="1"/>
    <n v="58006"/>
    <s v="High"/>
    <x v="8"/>
    <n v="47"/>
    <x v="2"/>
    <x v="0"/>
    <n v="5"/>
    <s v="No"/>
    <n v="2.2999999999999998"/>
    <x v="0"/>
    <x v="2"/>
    <x v="0"/>
  </r>
  <r>
    <s v="AIJ-102573"/>
    <x v="0"/>
    <x v="4"/>
    <x v="5"/>
    <x v="3"/>
    <x v="18"/>
    <x v="35"/>
    <x v="60"/>
    <x v="0"/>
    <n v="93389"/>
    <s v="High"/>
    <x v="45"/>
    <n v="35"/>
    <x v="2"/>
    <x v="0"/>
    <n v="4.53"/>
    <s v="Yes"/>
    <n v="3.75"/>
    <x v="1"/>
    <x v="2"/>
    <x v="3"/>
  </r>
  <r>
    <s v="AIJ-102574"/>
    <x v="6"/>
    <x v="6"/>
    <x v="8"/>
    <x v="3"/>
    <x v="5"/>
    <x v="32"/>
    <x v="77"/>
    <x v="0"/>
    <n v="70154"/>
    <s v="High"/>
    <x v="54"/>
    <n v="39"/>
    <x v="2"/>
    <x v="0"/>
    <n v="3.17"/>
    <s v="Yes"/>
    <n v="2.44"/>
    <x v="2"/>
    <x v="3"/>
    <x v="3"/>
  </r>
  <r>
    <s v="AIJ-102575"/>
    <x v="14"/>
    <x v="6"/>
    <x v="5"/>
    <x v="2"/>
    <x v="17"/>
    <x v="74"/>
    <x v="34"/>
    <x v="2"/>
    <n v="128605"/>
    <s v="Low"/>
    <x v="34"/>
    <n v="46"/>
    <x v="2"/>
    <x v="0"/>
    <n v="3.12"/>
    <s v="No"/>
    <n v="2.71"/>
    <x v="1"/>
    <x v="3"/>
    <x v="3"/>
  </r>
  <r>
    <s v="AIJ-102576"/>
    <x v="13"/>
    <x v="8"/>
    <x v="0"/>
    <x v="2"/>
    <x v="25"/>
    <x v="88"/>
    <x v="35"/>
    <x v="0"/>
    <n v="89179"/>
    <s v="Medium"/>
    <x v="10"/>
    <n v="34"/>
    <x v="1"/>
    <x v="0"/>
    <n v="4.37"/>
    <s v="No"/>
    <n v="4.2300000000000004"/>
    <x v="2"/>
    <x v="2"/>
    <x v="1"/>
  </r>
  <r>
    <s v="AIJ-102577"/>
    <x v="3"/>
    <x v="1"/>
    <x v="1"/>
    <x v="3"/>
    <x v="2"/>
    <x v="8"/>
    <x v="31"/>
    <x v="2"/>
    <n v="160309"/>
    <s v="Low"/>
    <x v="43"/>
    <n v="32"/>
    <x v="1"/>
    <x v="2"/>
    <n v="4.4400000000000004"/>
    <s v="Yes"/>
    <n v="1.52"/>
    <x v="0"/>
    <x v="3"/>
    <x v="1"/>
  </r>
  <r>
    <s v="AIJ-102578"/>
    <x v="6"/>
    <x v="6"/>
    <x v="0"/>
    <x v="1"/>
    <x v="19"/>
    <x v="89"/>
    <x v="26"/>
    <x v="1"/>
    <n v="87463"/>
    <s v="Medium"/>
    <x v="43"/>
    <n v="37"/>
    <x v="2"/>
    <x v="0"/>
    <n v="4.76"/>
    <s v="Yes"/>
    <n v="1.83"/>
    <x v="1"/>
    <x v="1"/>
    <x v="2"/>
  </r>
  <r>
    <s v="AIJ-102579"/>
    <x v="1"/>
    <x v="4"/>
    <x v="9"/>
    <x v="0"/>
    <x v="12"/>
    <x v="67"/>
    <x v="64"/>
    <x v="2"/>
    <n v="139273"/>
    <s v="Low"/>
    <x v="26"/>
    <n v="51"/>
    <x v="2"/>
    <x v="0"/>
    <n v="2.12"/>
    <s v="Yes"/>
    <n v="3.86"/>
    <x v="0"/>
    <x v="3"/>
    <x v="3"/>
  </r>
  <r>
    <s v="AIJ-102580"/>
    <x v="1"/>
    <x v="1"/>
    <x v="4"/>
    <x v="3"/>
    <x v="18"/>
    <x v="13"/>
    <x v="36"/>
    <x v="2"/>
    <n v="54256"/>
    <s v="Low"/>
    <x v="24"/>
    <n v="50"/>
    <x v="1"/>
    <x v="1"/>
    <n v="3.36"/>
    <s v="No"/>
    <n v="3.48"/>
    <x v="0"/>
    <x v="0"/>
    <x v="3"/>
  </r>
  <r>
    <s v="AIJ-102581"/>
    <x v="9"/>
    <x v="1"/>
    <x v="6"/>
    <x v="0"/>
    <x v="12"/>
    <x v="42"/>
    <x v="43"/>
    <x v="0"/>
    <n v="196357"/>
    <s v="High"/>
    <x v="21"/>
    <n v="49"/>
    <x v="2"/>
    <x v="1"/>
    <n v="2.33"/>
    <s v="Yes"/>
    <n v="1.1399999999999999"/>
    <x v="1"/>
    <x v="0"/>
    <x v="3"/>
  </r>
  <r>
    <s v="AIJ-102582"/>
    <x v="1"/>
    <x v="2"/>
    <x v="7"/>
    <x v="1"/>
    <x v="10"/>
    <x v="87"/>
    <x v="7"/>
    <x v="1"/>
    <n v="112235"/>
    <s v="Medium"/>
    <x v="15"/>
    <n v="41"/>
    <x v="0"/>
    <x v="0"/>
    <n v="4.67"/>
    <s v="Yes"/>
    <n v="1.67"/>
    <x v="2"/>
    <x v="2"/>
    <x v="3"/>
  </r>
  <r>
    <s v="AIJ-102583"/>
    <x v="4"/>
    <x v="4"/>
    <x v="7"/>
    <x v="3"/>
    <x v="7"/>
    <x v="46"/>
    <x v="46"/>
    <x v="1"/>
    <n v="77449"/>
    <s v="High"/>
    <x v="54"/>
    <n v="33"/>
    <x v="0"/>
    <x v="0"/>
    <n v="3.18"/>
    <s v="No"/>
    <n v="2.54"/>
    <x v="2"/>
    <x v="3"/>
    <x v="1"/>
  </r>
  <r>
    <s v="AIJ-102584"/>
    <x v="16"/>
    <x v="0"/>
    <x v="5"/>
    <x v="2"/>
    <x v="4"/>
    <x v="10"/>
    <x v="69"/>
    <x v="0"/>
    <n v="84168"/>
    <s v="Low"/>
    <x v="50"/>
    <n v="36"/>
    <x v="2"/>
    <x v="1"/>
    <n v="2.34"/>
    <s v="Yes"/>
    <n v="4.78"/>
    <x v="2"/>
    <x v="2"/>
    <x v="1"/>
  </r>
  <r>
    <s v="AIJ-102585"/>
    <x v="16"/>
    <x v="9"/>
    <x v="1"/>
    <x v="1"/>
    <x v="20"/>
    <x v="25"/>
    <x v="65"/>
    <x v="2"/>
    <n v="181424"/>
    <s v="High"/>
    <x v="51"/>
    <n v="45"/>
    <x v="2"/>
    <x v="2"/>
    <n v="3.83"/>
    <s v="No"/>
    <n v="3.23"/>
    <x v="2"/>
    <x v="3"/>
    <x v="2"/>
  </r>
  <r>
    <s v="AIJ-102586"/>
    <x v="12"/>
    <x v="1"/>
    <x v="8"/>
    <x v="0"/>
    <x v="16"/>
    <x v="73"/>
    <x v="30"/>
    <x v="1"/>
    <n v="112336"/>
    <s v="Medium"/>
    <x v="14"/>
    <n v="57"/>
    <x v="2"/>
    <x v="2"/>
    <n v="3.83"/>
    <s v="Yes"/>
    <n v="3.3"/>
    <x v="1"/>
    <x v="0"/>
    <x v="3"/>
  </r>
  <r>
    <s v="AIJ-102587"/>
    <x v="10"/>
    <x v="4"/>
    <x v="2"/>
    <x v="1"/>
    <x v="24"/>
    <x v="42"/>
    <x v="67"/>
    <x v="1"/>
    <n v="179877"/>
    <s v="Medium"/>
    <x v="25"/>
    <n v="40"/>
    <x v="1"/>
    <x v="2"/>
    <n v="3.52"/>
    <s v="No"/>
    <n v="2.04"/>
    <x v="1"/>
    <x v="3"/>
    <x v="1"/>
  </r>
  <r>
    <s v="AIJ-102588"/>
    <x v="6"/>
    <x v="1"/>
    <x v="9"/>
    <x v="3"/>
    <x v="21"/>
    <x v="48"/>
    <x v="68"/>
    <x v="0"/>
    <n v="143243"/>
    <s v="Medium"/>
    <x v="11"/>
    <n v="54"/>
    <x v="1"/>
    <x v="0"/>
    <n v="3.35"/>
    <s v="No"/>
    <n v="2.0099999999999998"/>
    <x v="2"/>
    <x v="2"/>
    <x v="0"/>
  </r>
  <r>
    <s v="AIJ-102589"/>
    <x v="19"/>
    <x v="0"/>
    <x v="5"/>
    <x v="0"/>
    <x v="15"/>
    <x v="65"/>
    <x v="49"/>
    <x v="0"/>
    <n v="76980"/>
    <s v="Medium"/>
    <x v="15"/>
    <n v="60"/>
    <x v="0"/>
    <x v="2"/>
    <n v="3.14"/>
    <s v="No"/>
    <n v="4.97"/>
    <x v="1"/>
    <x v="2"/>
    <x v="1"/>
  </r>
  <r>
    <s v="AIJ-102590"/>
    <x v="5"/>
    <x v="0"/>
    <x v="3"/>
    <x v="2"/>
    <x v="21"/>
    <x v="45"/>
    <x v="2"/>
    <x v="2"/>
    <n v="82850"/>
    <s v="Low"/>
    <x v="55"/>
    <n v="33"/>
    <x v="0"/>
    <x v="1"/>
    <n v="3.45"/>
    <s v="Yes"/>
    <n v="3.63"/>
    <x v="1"/>
    <x v="3"/>
    <x v="0"/>
  </r>
  <r>
    <s v="AIJ-102591"/>
    <x v="1"/>
    <x v="5"/>
    <x v="4"/>
    <x v="0"/>
    <x v="8"/>
    <x v="76"/>
    <x v="27"/>
    <x v="1"/>
    <n v="124146"/>
    <s v="High"/>
    <x v="39"/>
    <n v="60"/>
    <x v="2"/>
    <x v="2"/>
    <n v="3.78"/>
    <s v="No"/>
    <n v="3.91"/>
    <x v="0"/>
    <x v="3"/>
    <x v="2"/>
  </r>
  <r>
    <s v="AIJ-102592"/>
    <x v="15"/>
    <x v="5"/>
    <x v="6"/>
    <x v="1"/>
    <x v="18"/>
    <x v="7"/>
    <x v="75"/>
    <x v="2"/>
    <n v="47978"/>
    <s v="Low"/>
    <x v="9"/>
    <n v="50"/>
    <x v="1"/>
    <x v="0"/>
    <n v="3.81"/>
    <s v="No"/>
    <n v="4.71"/>
    <x v="1"/>
    <x v="2"/>
    <x v="3"/>
  </r>
  <r>
    <s v="AIJ-102593"/>
    <x v="5"/>
    <x v="7"/>
    <x v="2"/>
    <x v="2"/>
    <x v="7"/>
    <x v="37"/>
    <x v="34"/>
    <x v="0"/>
    <n v="30676"/>
    <s v="High"/>
    <x v="19"/>
    <n v="37"/>
    <x v="1"/>
    <x v="2"/>
    <n v="2.09"/>
    <s v="No"/>
    <n v="3.55"/>
    <x v="1"/>
    <x v="2"/>
    <x v="1"/>
  </r>
  <r>
    <s v="AIJ-102594"/>
    <x v="11"/>
    <x v="7"/>
    <x v="8"/>
    <x v="3"/>
    <x v="8"/>
    <x v="20"/>
    <x v="35"/>
    <x v="0"/>
    <n v="141862"/>
    <s v="High"/>
    <x v="52"/>
    <n v="58"/>
    <x v="1"/>
    <x v="1"/>
    <n v="3.76"/>
    <s v="No"/>
    <n v="2.86"/>
    <x v="1"/>
    <x v="3"/>
    <x v="2"/>
  </r>
  <r>
    <s v="AIJ-102595"/>
    <x v="5"/>
    <x v="3"/>
    <x v="4"/>
    <x v="2"/>
    <x v="9"/>
    <x v="1"/>
    <x v="69"/>
    <x v="1"/>
    <n v="125958"/>
    <s v="Low"/>
    <x v="12"/>
    <n v="44"/>
    <x v="1"/>
    <x v="1"/>
    <n v="4.53"/>
    <s v="Yes"/>
    <n v="1.78"/>
    <x v="0"/>
    <x v="2"/>
    <x v="1"/>
  </r>
  <r>
    <s v="AIJ-102596"/>
    <x v="19"/>
    <x v="3"/>
    <x v="9"/>
    <x v="0"/>
    <x v="3"/>
    <x v="67"/>
    <x v="45"/>
    <x v="1"/>
    <n v="217436"/>
    <s v="Medium"/>
    <x v="53"/>
    <n v="52"/>
    <x v="2"/>
    <x v="2"/>
    <n v="2.78"/>
    <s v="Yes"/>
    <n v="1.46"/>
    <x v="1"/>
    <x v="3"/>
    <x v="2"/>
  </r>
  <r>
    <s v="AIJ-102597"/>
    <x v="10"/>
    <x v="8"/>
    <x v="5"/>
    <x v="3"/>
    <x v="3"/>
    <x v="81"/>
    <x v="24"/>
    <x v="1"/>
    <n v="218005"/>
    <s v="Low"/>
    <x v="39"/>
    <n v="43"/>
    <x v="1"/>
    <x v="0"/>
    <n v="4.26"/>
    <s v="Yes"/>
    <n v="1.67"/>
    <x v="0"/>
    <x v="3"/>
    <x v="2"/>
  </r>
  <r>
    <s v="AIJ-102598"/>
    <x v="2"/>
    <x v="1"/>
    <x v="5"/>
    <x v="1"/>
    <x v="22"/>
    <x v="25"/>
    <x v="32"/>
    <x v="1"/>
    <n v="113674"/>
    <s v="Low"/>
    <x v="54"/>
    <n v="45"/>
    <x v="2"/>
    <x v="1"/>
    <n v="2.97"/>
    <s v="No"/>
    <n v="3.49"/>
    <x v="1"/>
    <x v="0"/>
    <x v="2"/>
  </r>
  <r>
    <s v="AIJ-102599"/>
    <x v="11"/>
    <x v="7"/>
    <x v="7"/>
    <x v="1"/>
    <x v="13"/>
    <x v="41"/>
    <x v="53"/>
    <x v="0"/>
    <n v="164502"/>
    <s v="Medium"/>
    <x v="55"/>
    <n v="43"/>
    <x v="2"/>
    <x v="1"/>
    <n v="4.32"/>
    <s v="Yes"/>
    <n v="1.84"/>
    <x v="0"/>
    <x v="3"/>
    <x v="1"/>
  </r>
  <r>
    <s v="AIJ-102600"/>
    <x v="8"/>
    <x v="9"/>
    <x v="5"/>
    <x v="1"/>
    <x v="4"/>
    <x v="68"/>
    <x v="33"/>
    <x v="2"/>
    <n v="198823"/>
    <s v="Medium"/>
    <x v="42"/>
    <n v="32"/>
    <x v="2"/>
    <x v="1"/>
    <n v="4.21"/>
    <s v="Yes"/>
    <n v="4.3"/>
    <x v="1"/>
    <x v="2"/>
    <x v="1"/>
  </r>
  <r>
    <s v="AIJ-102601"/>
    <x v="14"/>
    <x v="5"/>
    <x v="4"/>
    <x v="1"/>
    <x v="17"/>
    <x v="70"/>
    <x v="30"/>
    <x v="0"/>
    <n v="192118"/>
    <s v="Medium"/>
    <x v="10"/>
    <n v="39"/>
    <x v="1"/>
    <x v="2"/>
    <n v="3.87"/>
    <s v="Yes"/>
    <n v="4.75"/>
    <x v="0"/>
    <x v="3"/>
    <x v="3"/>
  </r>
  <r>
    <s v="AIJ-102602"/>
    <x v="15"/>
    <x v="4"/>
    <x v="8"/>
    <x v="0"/>
    <x v="13"/>
    <x v="4"/>
    <x v="70"/>
    <x v="2"/>
    <n v="105111"/>
    <s v="High"/>
    <x v="48"/>
    <n v="48"/>
    <x v="0"/>
    <x v="0"/>
    <n v="4.95"/>
    <s v="No"/>
    <n v="2.88"/>
    <x v="1"/>
    <x v="3"/>
    <x v="1"/>
  </r>
  <r>
    <s v="AIJ-102603"/>
    <x v="19"/>
    <x v="8"/>
    <x v="1"/>
    <x v="2"/>
    <x v="25"/>
    <x v="37"/>
    <x v="13"/>
    <x v="0"/>
    <n v="85925"/>
    <s v="Low"/>
    <x v="22"/>
    <n v="40"/>
    <x v="2"/>
    <x v="2"/>
    <n v="2.54"/>
    <s v="No"/>
    <n v="3.39"/>
    <x v="2"/>
    <x v="2"/>
    <x v="1"/>
  </r>
  <r>
    <s v="AIJ-102604"/>
    <x v="4"/>
    <x v="4"/>
    <x v="4"/>
    <x v="1"/>
    <x v="12"/>
    <x v="31"/>
    <x v="18"/>
    <x v="2"/>
    <n v="63178"/>
    <s v="High"/>
    <x v="36"/>
    <n v="33"/>
    <x v="2"/>
    <x v="1"/>
    <n v="2.96"/>
    <s v="No"/>
    <n v="1.43"/>
    <x v="0"/>
    <x v="3"/>
    <x v="3"/>
  </r>
  <r>
    <s v="AIJ-102605"/>
    <x v="13"/>
    <x v="9"/>
    <x v="9"/>
    <x v="2"/>
    <x v="1"/>
    <x v="2"/>
    <x v="25"/>
    <x v="0"/>
    <n v="172491"/>
    <s v="High"/>
    <x v="51"/>
    <n v="50"/>
    <x v="2"/>
    <x v="0"/>
    <n v="2.2999999999999998"/>
    <s v="Yes"/>
    <n v="2.69"/>
    <x v="1"/>
    <x v="2"/>
    <x v="1"/>
  </r>
  <r>
    <s v="AIJ-102606"/>
    <x v="11"/>
    <x v="6"/>
    <x v="4"/>
    <x v="1"/>
    <x v="25"/>
    <x v="82"/>
    <x v="64"/>
    <x v="1"/>
    <n v="138664"/>
    <s v="High"/>
    <x v="12"/>
    <n v="52"/>
    <x v="1"/>
    <x v="2"/>
    <n v="2.11"/>
    <s v="No"/>
    <n v="2.78"/>
    <x v="0"/>
    <x v="0"/>
    <x v="1"/>
  </r>
  <r>
    <s v="AIJ-102607"/>
    <x v="13"/>
    <x v="5"/>
    <x v="3"/>
    <x v="0"/>
    <x v="4"/>
    <x v="52"/>
    <x v="44"/>
    <x v="0"/>
    <n v="66083"/>
    <s v="High"/>
    <x v="52"/>
    <n v="30"/>
    <x v="1"/>
    <x v="2"/>
    <n v="2.99"/>
    <s v="No"/>
    <n v="1.0900000000000001"/>
    <x v="0"/>
    <x v="3"/>
    <x v="1"/>
  </r>
  <r>
    <s v="AIJ-102608"/>
    <x v="0"/>
    <x v="4"/>
    <x v="3"/>
    <x v="0"/>
    <x v="11"/>
    <x v="64"/>
    <x v="28"/>
    <x v="2"/>
    <n v="212416"/>
    <s v="High"/>
    <x v="12"/>
    <n v="36"/>
    <x v="0"/>
    <x v="0"/>
    <n v="4.8499999999999996"/>
    <s v="Yes"/>
    <n v="4.55"/>
    <x v="0"/>
    <x v="1"/>
    <x v="1"/>
  </r>
  <r>
    <s v="AIJ-102609"/>
    <x v="11"/>
    <x v="6"/>
    <x v="8"/>
    <x v="1"/>
    <x v="16"/>
    <x v="17"/>
    <x v="22"/>
    <x v="0"/>
    <n v="51881"/>
    <s v="Medium"/>
    <x v="30"/>
    <n v="33"/>
    <x v="2"/>
    <x v="1"/>
    <n v="3.56"/>
    <s v="No"/>
    <n v="4.62"/>
    <x v="1"/>
    <x v="0"/>
    <x v="3"/>
  </r>
  <r>
    <s v="AIJ-102610"/>
    <x v="2"/>
    <x v="3"/>
    <x v="7"/>
    <x v="0"/>
    <x v="12"/>
    <x v="14"/>
    <x v="17"/>
    <x v="2"/>
    <n v="162302"/>
    <s v="Medium"/>
    <x v="17"/>
    <n v="58"/>
    <x v="0"/>
    <x v="1"/>
    <n v="4.4400000000000004"/>
    <s v="No"/>
    <n v="1.85"/>
    <x v="2"/>
    <x v="1"/>
    <x v="3"/>
  </r>
  <r>
    <s v="AIJ-102611"/>
    <x v="7"/>
    <x v="3"/>
    <x v="6"/>
    <x v="0"/>
    <x v="8"/>
    <x v="74"/>
    <x v="5"/>
    <x v="2"/>
    <n v="52080"/>
    <s v="Medium"/>
    <x v="8"/>
    <n v="41"/>
    <x v="0"/>
    <x v="1"/>
    <n v="4.25"/>
    <s v="Yes"/>
    <n v="1.07"/>
    <x v="1"/>
    <x v="3"/>
    <x v="2"/>
  </r>
  <r>
    <s v="AIJ-102612"/>
    <x v="13"/>
    <x v="7"/>
    <x v="0"/>
    <x v="0"/>
    <x v="0"/>
    <x v="27"/>
    <x v="69"/>
    <x v="2"/>
    <n v="67722"/>
    <s v="High"/>
    <x v="20"/>
    <n v="48"/>
    <x v="2"/>
    <x v="0"/>
    <n v="3.15"/>
    <s v="No"/>
    <n v="3.43"/>
    <x v="1"/>
    <x v="0"/>
    <x v="0"/>
  </r>
  <r>
    <s v="AIJ-102613"/>
    <x v="4"/>
    <x v="0"/>
    <x v="1"/>
    <x v="3"/>
    <x v="25"/>
    <x v="3"/>
    <x v="40"/>
    <x v="2"/>
    <n v="117404"/>
    <s v="Medium"/>
    <x v="39"/>
    <n v="43"/>
    <x v="1"/>
    <x v="0"/>
    <n v="4.91"/>
    <s v="Yes"/>
    <n v="4.03"/>
    <x v="0"/>
    <x v="3"/>
    <x v="1"/>
  </r>
  <r>
    <s v="AIJ-102614"/>
    <x v="11"/>
    <x v="3"/>
    <x v="2"/>
    <x v="3"/>
    <x v="19"/>
    <x v="12"/>
    <x v="12"/>
    <x v="1"/>
    <n v="218890"/>
    <s v="High"/>
    <x v="47"/>
    <n v="39"/>
    <x v="1"/>
    <x v="1"/>
    <n v="4.3600000000000003"/>
    <s v="No"/>
    <n v="1.06"/>
    <x v="2"/>
    <x v="3"/>
    <x v="2"/>
  </r>
  <r>
    <s v="AIJ-102615"/>
    <x v="6"/>
    <x v="4"/>
    <x v="6"/>
    <x v="2"/>
    <x v="3"/>
    <x v="79"/>
    <x v="50"/>
    <x v="0"/>
    <n v="135261"/>
    <s v="Medium"/>
    <x v="33"/>
    <n v="44"/>
    <x v="1"/>
    <x v="1"/>
    <n v="4.08"/>
    <s v="Yes"/>
    <n v="3.8"/>
    <x v="0"/>
    <x v="3"/>
    <x v="2"/>
  </r>
  <r>
    <s v="AIJ-102616"/>
    <x v="17"/>
    <x v="1"/>
    <x v="8"/>
    <x v="2"/>
    <x v="18"/>
    <x v="89"/>
    <x v="25"/>
    <x v="1"/>
    <n v="105821"/>
    <s v="High"/>
    <x v="48"/>
    <n v="38"/>
    <x v="1"/>
    <x v="1"/>
    <n v="4.0199999999999996"/>
    <s v="No"/>
    <n v="3.11"/>
    <x v="1"/>
    <x v="2"/>
    <x v="3"/>
  </r>
  <r>
    <s v="AIJ-102617"/>
    <x v="9"/>
    <x v="8"/>
    <x v="1"/>
    <x v="3"/>
    <x v="9"/>
    <x v="61"/>
    <x v="10"/>
    <x v="1"/>
    <n v="173897"/>
    <s v="Medium"/>
    <x v="51"/>
    <n v="59"/>
    <x v="2"/>
    <x v="2"/>
    <n v="4.34"/>
    <s v="Yes"/>
    <n v="3.42"/>
    <x v="1"/>
    <x v="3"/>
    <x v="1"/>
  </r>
  <r>
    <s v="AIJ-102618"/>
    <x v="6"/>
    <x v="7"/>
    <x v="2"/>
    <x v="3"/>
    <x v="15"/>
    <x v="72"/>
    <x v="28"/>
    <x v="0"/>
    <n v="144116"/>
    <s v="Low"/>
    <x v="19"/>
    <n v="40"/>
    <x v="0"/>
    <x v="2"/>
    <n v="2.71"/>
    <s v="No"/>
    <n v="1.22"/>
    <x v="0"/>
    <x v="2"/>
    <x v="1"/>
  </r>
  <r>
    <s v="AIJ-102619"/>
    <x v="6"/>
    <x v="9"/>
    <x v="3"/>
    <x v="3"/>
    <x v="13"/>
    <x v="85"/>
    <x v="25"/>
    <x v="1"/>
    <n v="110839"/>
    <s v="Low"/>
    <x v="45"/>
    <n v="41"/>
    <x v="1"/>
    <x v="1"/>
    <n v="2.2599999999999998"/>
    <s v="Yes"/>
    <n v="1.1399999999999999"/>
    <x v="2"/>
    <x v="3"/>
    <x v="1"/>
  </r>
  <r>
    <s v="AIJ-102620"/>
    <x v="15"/>
    <x v="3"/>
    <x v="7"/>
    <x v="3"/>
    <x v="18"/>
    <x v="16"/>
    <x v="14"/>
    <x v="1"/>
    <n v="118254"/>
    <s v="Low"/>
    <x v="9"/>
    <n v="59"/>
    <x v="1"/>
    <x v="2"/>
    <n v="4.7699999999999996"/>
    <s v="No"/>
    <n v="1.37"/>
    <x v="1"/>
    <x v="0"/>
    <x v="3"/>
  </r>
  <r>
    <s v="AIJ-102621"/>
    <x v="18"/>
    <x v="1"/>
    <x v="4"/>
    <x v="2"/>
    <x v="11"/>
    <x v="43"/>
    <x v="20"/>
    <x v="2"/>
    <n v="52783"/>
    <s v="Low"/>
    <x v="0"/>
    <n v="50"/>
    <x v="0"/>
    <x v="1"/>
    <n v="4.07"/>
    <s v="Yes"/>
    <n v="1.99"/>
    <x v="1"/>
    <x v="3"/>
    <x v="1"/>
  </r>
  <r>
    <s v="AIJ-102622"/>
    <x v="16"/>
    <x v="7"/>
    <x v="2"/>
    <x v="3"/>
    <x v="23"/>
    <x v="20"/>
    <x v="65"/>
    <x v="0"/>
    <n v="215033"/>
    <s v="Low"/>
    <x v="5"/>
    <n v="54"/>
    <x v="0"/>
    <x v="2"/>
    <n v="2.64"/>
    <s v="No"/>
    <n v="3.75"/>
    <x v="1"/>
    <x v="3"/>
    <x v="3"/>
  </r>
  <r>
    <s v="AIJ-102623"/>
    <x v="13"/>
    <x v="7"/>
    <x v="9"/>
    <x v="1"/>
    <x v="4"/>
    <x v="88"/>
    <x v="77"/>
    <x v="0"/>
    <n v="144852"/>
    <s v="Medium"/>
    <x v="42"/>
    <n v="33"/>
    <x v="0"/>
    <x v="0"/>
    <n v="3.49"/>
    <s v="No"/>
    <n v="2.1800000000000002"/>
    <x v="1"/>
    <x v="2"/>
    <x v="1"/>
  </r>
  <r>
    <s v="AIJ-102624"/>
    <x v="1"/>
    <x v="1"/>
    <x v="8"/>
    <x v="1"/>
    <x v="16"/>
    <x v="10"/>
    <x v="0"/>
    <x v="1"/>
    <n v="50000"/>
    <s v="Medium"/>
    <x v="5"/>
    <n v="36"/>
    <x v="1"/>
    <x v="1"/>
    <n v="4.67"/>
    <s v="Yes"/>
    <n v="1.43"/>
    <x v="2"/>
    <x v="2"/>
    <x v="3"/>
  </r>
  <r>
    <s v="AIJ-102625"/>
    <x v="19"/>
    <x v="7"/>
    <x v="1"/>
    <x v="0"/>
    <x v="15"/>
    <x v="3"/>
    <x v="26"/>
    <x v="2"/>
    <n v="56792"/>
    <s v="Medium"/>
    <x v="9"/>
    <n v="56"/>
    <x v="2"/>
    <x v="1"/>
    <n v="2.5"/>
    <s v="Yes"/>
    <n v="3.92"/>
    <x v="2"/>
    <x v="2"/>
    <x v="1"/>
  </r>
  <r>
    <s v="AIJ-102626"/>
    <x v="11"/>
    <x v="4"/>
    <x v="3"/>
    <x v="3"/>
    <x v="5"/>
    <x v="8"/>
    <x v="32"/>
    <x v="1"/>
    <n v="156107"/>
    <s v="High"/>
    <x v="11"/>
    <n v="59"/>
    <x v="1"/>
    <x v="1"/>
    <n v="3.79"/>
    <s v="No"/>
    <n v="3.84"/>
    <x v="2"/>
    <x v="3"/>
    <x v="3"/>
  </r>
  <r>
    <s v="AIJ-102627"/>
    <x v="0"/>
    <x v="8"/>
    <x v="2"/>
    <x v="0"/>
    <x v="21"/>
    <x v="58"/>
    <x v="2"/>
    <x v="0"/>
    <n v="177047"/>
    <s v="High"/>
    <x v="27"/>
    <n v="51"/>
    <x v="2"/>
    <x v="2"/>
    <n v="3.81"/>
    <s v="No"/>
    <n v="1.28"/>
    <x v="0"/>
    <x v="3"/>
    <x v="0"/>
  </r>
  <r>
    <s v="AIJ-102628"/>
    <x v="14"/>
    <x v="6"/>
    <x v="4"/>
    <x v="3"/>
    <x v="11"/>
    <x v="5"/>
    <x v="24"/>
    <x v="1"/>
    <n v="62291"/>
    <s v="High"/>
    <x v="25"/>
    <n v="42"/>
    <x v="1"/>
    <x v="1"/>
    <n v="3.55"/>
    <s v="Yes"/>
    <n v="4.3600000000000003"/>
    <x v="0"/>
    <x v="3"/>
    <x v="1"/>
  </r>
  <r>
    <s v="AIJ-102629"/>
    <x v="15"/>
    <x v="0"/>
    <x v="5"/>
    <x v="1"/>
    <x v="15"/>
    <x v="1"/>
    <x v="12"/>
    <x v="0"/>
    <n v="129709"/>
    <s v="Low"/>
    <x v="8"/>
    <n v="40"/>
    <x v="2"/>
    <x v="0"/>
    <n v="3.8"/>
    <s v="No"/>
    <n v="4.1900000000000004"/>
    <x v="2"/>
    <x v="2"/>
    <x v="1"/>
  </r>
  <r>
    <s v="AIJ-102630"/>
    <x v="3"/>
    <x v="0"/>
    <x v="1"/>
    <x v="2"/>
    <x v="22"/>
    <x v="0"/>
    <x v="0"/>
    <x v="1"/>
    <n v="156520"/>
    <s v="Low"/>
    <x v="14"/>
    <n v="56"/>
    <x v="0"/>
    <x v="2"/>
    <n v="4.71"/>
    <s v="No"/>
    <n v="3.55"/>
    <x v="1"/>
    <x v="0"/>
    <x v="2"/>
  </r>
  <r>
    <s v="AIJ-102631"/>
    <x v="16"/>
    <x v="2"/>
    <x v="5"/>
    <x v="1"/>
    <x v="20"/>
    <x v="30"/>
    <x v="72"/>
    <x v="0"/>
    <n v="41982"/>
    <s v="High"/>
    <x v="20"/>
    <n v="49"/>
    <x v="0"/>
    <x v="1"/>
    <n v="2.2000000000000002"/>
    <s v="Yes"/>
    <n v="4.83"/>
    <x v="0"/>
    <x v="2"/>
    <x v="2"/>
  </r>
  <r>
    <s v="AIJ-102632"/>
    <x v="0"/>
    <x v="8"/>
    <x v="4"/>
    <x v="0"/>
    <x v="21"/>
    <x v="46"/>
    <x v="9"/>
    <x v="2"/>
    <n v="144717"/>
    <s v="High"/>
    <x v="18"/>
    <n v="39"/>
    <x v="1"/>
    <x v="2"/>
    <n v="3.78"/>
    <s v="No"/>
    <n v="4.24"/>
    <x v="1"/>
    <x v="3"/>
    <x v="0"/>
  </r>
  <r>
    <s v="AIJ-102633"/>
    <x v="5"/>
    <x v="2"/>
    <x v="8"/>
    <x v="0"/>
    <x v="22"/>
    <x v="71"/>
    <x v="34"/>
    <x v="0"/>
    <n v="150457"/>
    <s v="Medium"/>
    <x v="28"/>
    <n v="32"/>
    <x v="2"/>
    <x v="0"/>
    <n v="4.03"/>
    <s v="No"/>
    <n v="4.24"/>
    <x v="0"/>
    <x v="2"/>
    <x v="2"/>
  </r>
  <r>
    <s v="AIJ-102634"/>
    <x v="3"/>
    <x v="0"/>
    <x v="4"/>
    <x v="2"/>
    <x v="1"/>
    <x v="27"/>
    <x v="71"/>
    <x v="0"/>
    <n v="164724"/>
    <s v="High"/>
    <x v="2"/>
    <n v="37"/>
    <x v="0"/>
    <x v="2"/>
    <n v="3.76"/>
    <s v="No"/>
    <n v="4.59"/>
    <x v="0"/>
    <x v="0"/>
    <x v="1"/>
  </r>
  <r>
    <s v="AIJ-102635"/>
    <x v="1"/>
    <x v="6"/>
    <x v="3"/>
    <x v="3"/>
    <x v="11"/>
    <x v="22"/>
    <x v="70"/>
    <x v="1"/>
    <n v="194010"/>
    <s v="Low"/>
    <x v="10"/>
    <n v="39"/>
    <x v="2"/>
    <x v="2"/>
    <n v="4.54"/>
    <s v="Yes"/>
    <n v="2.76"/>
    <x v="0"/>
    <x v="3"/>
    <x v="1"/>
  </r>
  <r>
    <s v="AIJ-102636"/>
    <x v="5"/>
    <x v="0"/>
    <x v="7"/>
    <x v="2"/>
    <x v="2"/>
    <x v="70"/>
    <x v="42"/>
    <x v="1"/>
    <n v="200356"/>
    <s v="High"/>
    <x v="0"/>
    <n v="51"/>
    <x v="2"/>
    <x v="2"/>
    <n v="2.82"/>
    <s v="Yes"/>
    <n v="3.08"/>
    <x v="0"/>
    <x v="3"/>
    <x v="1"/>
  </r>
  <r>
    <s v="AIJ-102637"/>
    <x v="1"/>
    <x v="9"/>
    <x v="6"/>
    <x v="2"/>
    <x v="0"/>
    <x v="41"/>
    <x v="70"/>
    <x v="0"/>
    <n v="33656"/>
    <s v="Medium"/>
    <x v="27"/>
    <n v="59"/>
    <x v="1"/>
    <x v="2"/>
    <n v="3.24"/>
    <s v="No"/>
    <n v="3.4"/>
    <x v="2"/>
    <x v="2"/>
    <x v="0"/>
  </r>
  <r>
    <s v="AIJ-102638"/>
    <x v="12"/>
    <x v="5"/>
    <x v="2"/>
    <x v="2"/>
    <x v="12"/>
    <x v="77"/>
    <x v="20"/>
    <x v="1"/>
    <n v="112528"/>
    <s v="Medium"/>
    <x v="18"/>
    <n v="43"/>
    <x v="2"/>
    <x v="0"/>
    <n v="2.82"/>
    <s v="No"/>
    <n v="1.43"/>
    <x v="2"/>
    <x v="3"/>
    <x v="3"/>
  </r>
  <r>
    <s v="AIJ-102639"/>
    <x v="1"/>
    <x v="5"/>
    <x v="5"/>
    <x v="2"/>
    <x v="19"/>
    <x v="17"/>
    <x v="50"/>
    <x v="2"/>
    <n v="56476"/>
    <s v="Medium"/>
    <x v="28"/>
    <n v="32"/>
    <x v="1"/>
    <x v="2"/>
    <n v="2.2799999999999998"/>
    <s v="No"/>
    <n v="1.18"/>
    <x v="2"/>
    <x v="3"/>
    <x v="2"/>
  </r>
  <r>
    <s v="AIJ-102640"/>
    <x v="10"/>
    <x v="5"/>
    <x v="2"/>
    <x v="1"/>
    <x v="25"/>
    <x v="41"/>
    <x v="28"/>
    <x v="0"/>
    <n v="100957"/>
    <s v="Medium"/>
    <x v="15"/>
    <n v="37"/>
    <x v="1"/>
    <x v="1"/>
    <n v="3.49"/>
    <s v="No"/>
    <n v="2.58"/>
    <x v="2"/>
    <x v="2"/>
    <x v="1"/>
  </r>
  <r>
    <s v="AIJ-102641"/>
    <x v="8"/>
    <x v="9"/>
    <x v="2"/>
    <x v="2"/>
    <x v="15"/>
    <x v="46"/>
    <x v="40"/>
    <x v="0"/>
    <n v="152823"/>
    <s v="High"/>
    <x v="29"/>
    <n v="39"/>
    <x v="2"/>
    <x v="0"/>
    <n v="4.6900000000000004"/>
    <s v="Yes"/>
    <n v="2.39"/>
    <x v="2"/>
    <x v="2"/>
    <x v="1"/>
  </r>
  <r>
    <s v="AIJ-102642"/>
    <x v="19"/>
    <x v="8"/>
    <x v="9"/>
    <x v="1"/>
    <x v="19"/>
    <x v="40"/>
    <x v="73"/>
    <x v="0"/>
    <n v="175424"/>
    <s v="Low"/>
    <x v="18"/>
    <n v="32"/>
    <x v="0"/>
    <x v="1"/>
    <n v="4.5199999999999996"/>
    <s v="Yes"/>
    <n v="2.2400000000000002"/>
    <x v="2"/>
    <x v="3"/>
    <x v="2"/>
  </r>
  <r>
    <s v="AIJ-102643"/>
    <x v="2"/>
    <x v="1"/>
    <x v="1"/>
    <x v="3"/>
    <x v="11"/>
    <x v="49"/>
    <x v="12"/>
    <x v="1"/>
    <n v="169598"/>
    <s v="Low"/>
    <x v="33"/>
    <n v="48"/>
    <x v="1"/>
    <x v="2"/>
    <n v="4.79"/>
    <s v="No"/>
    <n v="2.68"/>
    <x v="0"/>
    <x v="3"/>
    <x v="1"/>
  </r>
  <r>
    <s v="AIJ-102644"/>
    <x v="3"/>
    <x v="0"/>
    <x v="4"/>
    <x v="2"/>
    <x v="8"/>
    <x v="4"/>
    <x v="63"/>
    <x v="0"/>
    <n v="125428"/>
    <s v="Medium"/>
    <x v="45"/>
    <n v="42"/>
    <x v="2"/>
    <x v="2"/>
    <n v="3.43"/>
    <s v="No"/>
    <n v="3.81"/>
    <x v="2"/>
    <x v="3"/>
    <x v="2"/>
  </r>
  <r>
    <s v="AIJ-102645"/>
    <x v="19"/>
    <x v="3"/>
    <x v="9"/>
    <x v="0"/>
    <x v="22"/>
    <x v="87"/>
    <x v="4"/>
    <x v="2"/>
    <n v="198026"/>
    <s v="Medium"/>
    <x v="45"/>
    <n v="46"/>
    <x v="1"/>
    <x v="0"/>
    <n v="2.3199999999999998"/>
    <s v="No"/>
    <n v="3.3"/>
    <x v="0"/>
    <x v="3"/>
    <x v="2"/>
  </r>
  <r>
    <s v="AIJ-102646"/>
    <x v="17"/>
    <x v="1"/>
    <x v="3"/>
    <x v="0"/>
    <x v="3"/>
    <x v="31"/>
    <x v="15"/>
    <x v="0"/>
    <n v="145325"/>
    <s v="Low"/>
    <x v="45"/>
    <n v="48"/>
    <x v="2"/>
    <x v="2"/>
    <n v="3.95"/>
    <s v="No"/>
    <n v="1.61"/>
    <x v="0"/>
    <x v="3"/>
    <x v="2"/>
  </r>
  <r>
    <s v="AIJ-102647"/>
    <x v="12"/>
    <x v="8"/>
    <x v="4"/>
    <x v="2"/>
    <x v="15"/>
    <x v="72"/>
    <x v="19"/>
    <x v="0"/>
    <n v="58708"/>
    <s v="Low"/>
    <x v="40"/>
    <n v="31"/>
    <x v="0"/>
    <x v="1"/>
    <n v="3.27"/>
    <s v="No"/>
    <n v="1.97"/>
    <x v="1"/>
    <x v="3"/>
    <x v="1"/>
  </r>
  <r>
    <s v="AIJ-102648"/>
    <x v="10"/>
    <x v="1"/>
    <x v="3"/>
    <x v="2"/>
    <x v="1"/>
    <x v="42"/>
    <x v="3"/>
    <x v="1"/>
    <n v="218642"/>
    <s v="High"/>
    <x v="4"/>
    <n v="32"/>
    <x v="1"/>
    <x v="1"/>
    <n v="2.95"/>
    <s v="No"/>
    <n v="2.54"/>
    <x v="0"/>
    <x v="0"/>
    <x v="1"/>
  </r>
  <r>
    <s v="AIJ-102649"/>
    <x v="9"/>
    <x v="0"/>
    <x v="2"/>
    <x v="1"/>
    <x v="0"/>
    <x v="8"/>
    <x v="63"/>
    <x v="1"/>
    <n v="150163"/>
    <s v="Low"/>
    <x v="47"/>
    <n v="46"/>
    <x v="0"/>
    <x v="0"/>
    <n v="2.0499999999999998"/>
    <s v="No"/>
    <n v="3.5"/>
    <x v="0"/>
    <x v="2"/>
    <x v="0"/>
  </r>
  <r>
    <s v="AIJ-102650"/>
    <x v="4"/>
    <x v="7"/>
    <x v="5"/>
    <x v="1"/>
    <x v="17"/>
    <x v="72"/>
    <x v="70"/>
    <x v="1"/>
    <n v="137290"/>
    <s v="Medium"/>
    <x v="1"/>
    <n v="41"/>
    <x v="1"/>
    <x v="0"/>
    <n v="4.1399999999999997"/>
    <s v="Yes"/>
    <n v="1.75"/>
    <x v="0"/>
    <x v="2"/>
    <x v="3"/>
  </r>
  <r>
    <s v="AIJ-102651"/>
    <x v="8"/>
    <x v="2"/>
    <x v="8"/>
    <x v="3"/>
    <x v="8"/>
    <x v="81"/>
    <x v="43"/>
    <x v="1"/>
    <n v="211193"/>
    <s v="Low"/>
    <x v="43"/>
    <n v="48"/>
    <x v="0"/>
    <x v="0"/>
    <n v="4.5199999999999996"/>
    <s v="No"/>
    <n v="1.87"/>
    <x v="2"/>
    <x v="3"/>
    <x v="2"/>
  </r>
  <r>
    <s v="AIJ-102652"/>
    <x v="19"/>
    <x v="3"/>
    <x v="8"/>
    <x v="3"/>
    <x v="21"/>
    <x v="7"/>
    <x v="10"/>
    <x v="0"/>
    <n v="86940"/>
    <s v="Low"/>
    <x v="55"/>
    <n v="59"/>
    <x v="2"/>
    <x v="1"/>
    <n v="3.66"/>
    <s v="Yes"/>
    <n v="1.42"/>
    <x v="1"/>
    <x v="2"/>
    <x v="0"/>
  </r>
  <r>
    <s v="AIJ-102653"/>
    <x v="13"/>
    <x v="5"/>
    <x v="3"/>
    <x v="2"/>
    <x v="2"/>
    <x v="78"/>
    <x v="72"/>
    <x v="2"/>
    <n v="122260"/>
    <s v="High"/>
    <x v="39"/>
    <n v="49"/>
    <x v="2"/>
    <x v="0"/>
    <n v="2.17"/>
    <s v="No"/>
    <n v="3.94"/>
    <x v="0"/>
    <x v="1"/>
    <x v="1"/>
  </r>
  <r>
    <s v="AIJ-102654"/>
    <x v="2"/>
    <x v="0"/>
    <x v="9"/>
    <x v="1"/>
    <x v="1"/>
    <x v="74"/>
    <x v="5"/>
    <x v="2"/>
    <n v="185944"/>
    <s v="Medium"/>
    <x v="2"/>
    <n v="46"/>
    <x v="0"/>
    <x v="2"/>
    <n v="3.14"/>
    <s v="No"/>
    <n v="3.35"/>
    <x v="1"/>
    <x v="3"/>
    <x v="1"/>
  </r>
  <r>
    <s v="AIJ-102655"/>
    <x v="3"/>
    <x v="9"/>
    <x v="3"/>
    <x v="3"/>
    <x v="3"/>
    <x v="60"/>
    <x v="62"/>
    <x v="2"/>
    <n v="154522"/>
    <s v="Medium"/>
    <x v="18"/>
    <n v="59"/>
    <x v="0"/>
    <x v="0"/>
    <n v="4.12"/>
    <s v="Yes"/>
    <n v="3.76"/>
    <x v="0"/>
    <x v="2"/>
    <x v="2"/>
  </r>
  <r>
    <s v="AIJ-102656"/>
    <x v="5"/>
    <x v="0"/>
    <x v="1"/>
    <x v="3"/>
    <x v="23"/>
    <x v="28"/>
    <x v="10"/>
    <x v="0"/>
    <n v="53050"/>
    <s v="Medium"/>
    <x v="23"/>
    <n v="56"/>
    <x v="2"/>
    <x v="2"/>
    <n v="3.08"/>
    <s v="No"/>
    <n v="2.35"/>
    <x v="1"/>
    <x v="2"/>
    <x v="3"/>
  </r>
  <r>
    <s v="AIJ-102657"/>
    <x v="3"/>
    <x v="5"/>
    <x v="9"/>
    <x v="0"/>
    <x v="18"/>
    <x v="3"/>
    <x v="71"/>
    <x v="2"/>
    <n v="170056"/>
    <s v="High"/>
    <x v="18"/>
    <n v="41"/>
    <x v="1"/>
    <x v="2"/>
    <n v="2.68"/>
    <s v="Yes"/>
    <n v="4.68"/>
    <x v="2"/>
    <x v="0"/>
    <x v="3"/>
  </r>
  <r>
    <s v="AIJ-102658"/>
    <x v="6"/>
    <x v="1"/>
    <x v="0"/>
    <x v="3"/>
    <x v="8"/>
    <x v="38"/>
    <x v="1"/>
    <x v="2"/>
    <n v="56537"/>
    <s v="High"/>
    <x v="42"/>
    <n v="47"/>
    <x v="0"/>
    <x v="2"/>
    <n v="4.8099999999999996"/>
    <s v="No"/>
    <n v="1.07"/>
    <x v="1"/>
    <x v="3"/>
    <x v="2"/>
  </r>
  <r>
    <s v="AIJ-102659"/>
    <x v="4"/>
    <x v="2"/>
    <x v="7"/>
    <x v="1"/>
    <x v="10"/>
    <x v="64"/>
    <x v="64"/>
    <x v="0"/>
    <n v="145355"/>
    <s v="Low"/>
    <x v="37"/>
    <n v="46"/>
    <x v="0"/>
    <x v="0"/>
    <n v="2.0299999999999998"/>
    <s v="No"/>
    <n v="2.27"/>
    <x v="1"/>
    <x v="3"/>
    <x v="3"/>
  </r>
  <r>
    <s v="AIJ-102660"/>
    <x v="10"/>
    <x v="3"/>
    <x v="5"/>
    <x v="3"/>
    <x v="15"/>
    <x v="35"/>
    <x v="74"/>
    <x v="1"/>
    <n v="46473"/>
    <s v="High"/>
    <x v="27"/>
    <n v="33"/>
    <x v="2"/>
    <x v="1"/>
    <n v="4.41"/>
    <s v="Yes"/>
    <n v="1.23"/>
    <x v="1"/>
    <x v="1"/>
    <x v="1"/>
  </r>
  <r>
    <s v="AIJ-102661"/>
    <x v="19"/>
    <x v="3"/>
    <x v="0"/>
    <x v="3"/>
    <x v="19"/>
    <x v="74"/>
    <x v="24"/>
    <x v="0"/>
    <n v="151994"/>
    <s v="Low"/>
    <x v="0"/>
    <n v="52"/>
    <x v="2"/>
    <x v="1"/>
    <n v="4.1900000000000004"/>
    <s v="Yes"/>
    <n v="2.27"/>
    <x v="0"/>
    <x v="3"/>
    <x v="2"/>
  </r>
  <r>
    <s v="AIJ-102662"/>
    <x v="13"/>
    <x v="3"/>
    <x v="5"/>
    <x v="3"/>
    <x v="21"/>
    <x v="32"/>
    <x v="58"/>
    <x v="0"/>
    <n v="120819"/>
    <s v="Low"/>
    <x v="23"/>
    <n v="38"/>
    <x v="2"/>
    <x v="1"/>
    <n v="2.2200000000000002"/>
    <s v="No"/>
    <n v="4.41"/>
    <x v="1"/>
    <x v="3"/>
    <x v="0"/>
  </r>
  <r>
    <s v="AIJ-102663"/>
    <x v="4"/>
    <x v="6"/>
    <x v="1"/>
    <x v="2"/>
    <x v="18"/>
    <x v="75"/>
    <x v="7"/>
    <x v="1"/>
    <n v="70568"/>
    <s v="High"/>
    <x v="12"/>
    <n v="35"/>
    <x v="0"/>
    <x v="2"/>
    <n v="3.69"/>
    <s v="Yes"/>
    <n v="2.2799999999999998"/>
    <x v="1"/>
    <x v="3"/>
    <x v="3"/>
  </r>
  <r>
    <s v="AIJ-102664"/>
    <x v="13"/>
    <x v="8"/>
    <x v="8"/>
    <x v="1"/>
    <x v="22"/>
    <x v="23"/>
    <x v="27"/>
    <x v="2"/>
    <n v="37568"/>
    <s v="Medium"/>
    <x v="28"/>
    <n v="49"/>
    <x v="1"/>
    <x v="2"/>
    <n v="2.68"/>
    <s v="No"/>
    <n v="4.5599999999999996"/>
    <x v="1"/>
    <x v="3"/>
    <x v="2"/>
  </r>
  <r>
    <s v="AIJ-102665"/>
    <x v="1"/>
    <x v="2"/>
    <x v="1"/>
    <x v="3"/>
    <x v="19"/>
    <x v="89"/>
    <x v="25"/>
    <x v="1"/>
    <n v="172944"/>
    <s v="High"/>
    <x v="46"/>
    <n v="34"/>
    <x v="2"/>
    <x v="0"/>
    <n v="4.93"/>
    <s v="Yes"/>
    <n v="4.55"/>
    <x v="1"/>
    <x v="2"/>
    <x v="2"/>
  </r>
  <r>
    <s v="AIJ-102666"/>
    <x v="0"/>
    <x v="7"/>
    <x v="7"/>
    <x v="3"/>
    <x v="17"/>
    <x v="87"/>
    <x v="62"/>
    <x v="0"/>
    <n v="145078"/>
    <s v="High"/>
    <x v="22"/>
    <n v="35"/>
    <x v="2"/>
    <x v="2"/>
    <n v="3.35"/>
    <s v="Yes"/>
    <n v="2.06"/>
    <x v="0"/>
    <x v="3"/>
    <x v="3"/>
  </r>
  <r>
    <s v="AIJ-102667"/>
    <x v="12"/>
    <x v="2"/>
    <x v="5"/>
    <x v="2"/>
    <x v="6"/>
    <x v="42"/>
    <x v="70"/>
    <x v="2"/>
    <n v="166674"/>
    <s v="Medium"/>
    <x v="19"/>
    <n v="46"/>
    <x v="2"/>
    <x v="2"/>
    <n v="2.78"/>
    <s v="Yes"/>
    <n v="2.09"/>
    <x v="0"/>
    <x v="2"/>
    <x v="0"/>
  </r>
  <r>
    <s v="AIJ-102668"/>
    <x v="3"/>
    <x v="6"/>
    <x v="4"/>
    <x v="2"/>
    <x v="7"/>
    <x v="16"/>
    <x v="47"/>
    <x v="2"/>
    <n v="219021"/>
    <s v="Medium"/>
    <x v="11"/>
    <n v="54"/>
    <x v="1"/>
    <x v="1"/>
    <n v="3.46"/>
    <s v="No"/>
    <n v="4.87"/>
    <x v="1"/>
    <x v="3"/>
    <x v="1"/>
  </r>
  <r>
    <s v="AIJ-102669"/>
    <x v="12"/>
    <x v="5"/>
    <x v="6"/>
    <x v="0"/>
    <x v="3"/>
    <x v="29"/>
    <x v="62"/>
    <x v="0"/>
    <n v="115041"/>
    <s v="Low"/>
    <x v="16"/>
    <n v="36"/>
    <x v="2"/>
    <x v="1"/>
    <n v="2.99"/>
    <s v="No"/>
    <n v="4.43"/>
    <x v="2"/>
    <x v="3"/>
    <x v="2"/>
  </r>
  <r>
    <s v="AIJ-102670"/>
    <x v="8"/>
    <x v="8"/>
    <x v="0"/>
    <x v="0"/>
    <x v="15"/>
    <x v="36"/>
    <x v="62"/>
    <x v="0"/>
    <n v="91195"/>
    <s v="High"/>
    <x v="26"/>
    <n v="56"/>
    <x v="0"/>
    <x v="1"/>
    <n v="3.98"/>
    <s v="No"/>
    <n v="2.2599999999999998"/>
    <x v="2"/>
    <x v="2"/>
    <x v="1"/>
  </r>
  <r>
    <s v="AIJ-102671"/>
    <x v="2"/>
    <x v="2"/>
    <x v="0"/>
    <x v="0"/>
    <x v="18"/>
    <x v="11"/>
    <x v="28"/>
    <x v="0"/>
    <n v="121733"/>
    <s v="Low"/>
    <x v="6"/>
    <n v="52"/>
    <x v="2"/>
    <x v="1"/>
    <n v="4.08"/>
    <s v="Yes"/>
    <n v="1.74"/>
    <x v="1"/>
    <x v="3"/>
    <x v="3"/>
  </r>
  <r>
    <s v="AIJ-102672"/>
    <x v="11"/>
    <x v="7"/>
    <x v="3"/>
    <x v="0"/>
    <x v="9"/>
    <x v="60"/>
    <x v="34"/>
    <x v="0"/>
    <n v="70416"/>
    <s v="Medium"/>
    <x v="51"/>
    <n v="42"/>
    <x v="0"/>
    <x v="2"/>
    <n v="2.42"/>
    <s v="Yes"/>
    <n v="1.64"/>
    <x v="1"/>
    <x v="2"/>
    <x v="1"/>
  </r>
  <r>
    <s v="AIJ-102673"/>
    <x v="5"/>
    <x v="3"/>
    <x v="9"/>
    <x v="2"/>
    <x v="0"/>
    <x v="54"/>
    <x v="11"/>
    <x v="2"/>
    <n v="51564"/>
    <s v="High"/>
    <x v="3"/>
    <n v="44"/>
    <x v="0"/>
    <x v="1"/>
    <n v="4.45"/>
    <s v="No"/>
    <n v="2.44"/>
    <x v="0"/>
    <x v="2"/>
    <x v="0"/>
  </r>
  <r>
    <s v="AIJ-102674"/>
    <x v="17"/>
    <x v="0"/>
    <x v="9"/>
    <x v="1"/>
    <x v="12"/>
    <x v="69"/>
    <x v="50"/>
    <x v="1"/>
    <n v="79344"/>
    <s v="High"/>
    <x v="17"/>
    <n v="53"/>
    <x v="2"/>
    <x v="0"/>
    <n v="3.55"/>
    <s v="No"/>
    <n v="3.35"/>
    <x v="0"/>
    <x v="3"/>
    <x v="3"/>
  </r>
  <r>
    <s v="AIJ-102675"/>
    <x v="16"/>
    <x v="8"/>
    <x v="0"/>
    <x v="0"/>
    <x v="23"/>
    <x v="88"/>
    <x v="56"/>
    <x v="2"/>
    <n v="160351"/>
    <s v="Medium"/>
    <x v="23"/>
    <n v="40"/>
    <x v="2"/>
    <x v="2"/>
    <n v="3.42"/>
    <s v="Yes"/>
    <n v="2.86"/>
    <x v="0"/>
    <x v="3"/>
    <x v="3"/>
  </r>
  <r>
    <s v="AIJ-102676"/>
    <x v="0"/>
    <x v="3"/>
    <x v="8"/>
    <x v="2"/>
    <x v="5"/>
    <x v="84"/>
    <x v="40"/>
    <x v="1"/>
    <n v="177839"/>
    <s v="Low"/>
    <x v="12"/>
    <n v="39"/>
    <x v="2"/>
    <x v="0"/>
    <n v="2.6"/>
    <s v="Yes"/>
    <n v="4.2699999999999996"/>
    <x v="2"/>
    <x v="2"/>
    <x v="3"/>
  </r>
  <r>
    <s v="AIJ-102677"/>
    <x v="5"/>
    <x v="1"/>
    <x v="7"/>
    <x v="1"/>
    <x v="6"/>
    <x v="72"/>
    <x v="35"/>
    <x v="0"/>
    <n v="100147"/>
    <s v="High"/>
    <x v="28"/>
    <n v="51"/>
    <x v="2"/>
    <x v="2"/>
    <n v="4.0599999999999996"/>
    <s v="Yes"/>
    <n v="3.32"/>
    <x v="2"/>
    <x v="3"/>
    <x v="0"/>
  </r>
  <r>
    <s v="AIJ-102678"/>
    <x v="4"/>
    <x v="0"/>
    <x v="5"/>
    <x v="2"/>
    <x v="22"/>
    <x v="65"/>
    <x v="66"/>
    <x v="2"/>
    <n v="39977"/>
    <s v="High"/>
    <x v="5"/>
    <n v="41"/>
    <x v="1"/>
    <x v="2"/>
    <n v="3.15"/>
    <s v="No"/>
    <n v="1.1299999999999999"/>
    <x v="1"/>
    <x v="2"/>
    <x v="2"/>
  </r>
  <r>
    <s v="AIJ-102679"/>
    <x v="0"/>
    <x v="9"/>
    <x v="3"/>
    <x v="0"/>
    <x v="17"/>
    <x v="83"/>
    <x v="35"/>
    <x v="0"/>
    <n v="30320"/>
    <s v="High"/>
    <x v="37"/>
    <n v="54"/>
    <x v="1"/>
    <x v="2"/>
    <n v="2.5299999999999998"/>
    <s v="No"/>
    <n v="1.1100000000000001"/>
    <x v="2"/>
    <x v="2"/>
    <x v="3"/>
  </r>
  <r>
    <s v="AIJ-102680"/>
    <x v="7"/>
    <x v="4"/>
    <x v="6"/>
    <x v="1"/>
    <x v="6"/>
    <x v="8"/>
    <x v="6"/>
    <x v="0"/>
    <n v="169444"/>
    <s v="Low"/>
    <x v="36"/>
    <n v="36"/>
    <x v="1"/>
    <x v="0"/>
    <n v="4.8"/>
    <s v="No"/>
    <n v="4.24"/>
    <x v="2"/>
    <x v="3"/>
    <x v="0"/>
  </r>
  <r>
    <s v="AIJ-102681"/>
    <x v="11"/>
    <x v="4"/>
    <x v="6"/>
    <x v="3"/>
    <x v="15"/>
    <x v="18"/>
    <x v="10"/>
    <x v="2"/>
    <n v="50226"/>
    <s v="Medium"/>
    <x v="20"/>
    <n v="34"/>
    <x v="1"/>
    <x v="1"/>
    <n v="2.62"/>
    <s v="Yes"/>
    <n v="3.72"/>
    <x v="2"/>
    <x v="3"/>
    <x v="1"/>
  </r>
  <r>
    <s v="AIJ-102682"/>
    <x v="12"/>
    <x v="5"/>
    <x v="2"/>
    <x v="3"/>
    <x v="19"/>
    <x v="68"/>
    <x v="8"/>
    <x v="0"/>
    <n v="35494"/>
    <s v="Medium"/>
    <x v="4"/>
    <n v="30"/>
    <x v="0"/>
    <x v="1"/>
    <n v="3.35"/>
    <s v="Yes"/>
    <n v="2.83"/>
    <x v="0"/>
    <x v="3"/>
    <x v="2"/>
  </r>
  <r>
    <s v="AIJ-102683"/>
    <x v="11"/>
    <x v="9"/>
    <x v="2"/>
    <x v="2"/>
    <x v="20"/>
    <x v="78"/>
    <x v="6"/>
    <x v="0"/>
    <n v="115427"/>
    <s v="Medium"/>
    <x v="17"/>
    <n v="54"/>
    <x v="0"/>
    <x v="1"/>
    <n v="4.4000000000000004"/>
    <s v="No"/>
    <n v="1.84"/>
    <x v="0"/>
    <x v="3"/>
    <x v="2"/>
  </r>
  <r>
    <s v="AIJ-102684"/>
    <x v="14"/>
    <x v="2"/>
    <x v="0"/>
    <x v="3"/>
    <x v="12"/>
    <x v="59"/>
    <x v="78"/>
    <x v="2"/>
    <n v="187649"/>
    <s v="Medium"/>
    <x v="49"/>
    <n v="46"/>
    <x v="1"/>
    <x v="0"/>
    <n v="2.2999999999999998"/>
    <s v="Yes"/>
    <n v="4.2"/>
    <x v="2"/>
    <x v="3"/>
    <x v="3"/>
  </r>
  <r>
    <s v="AIJ-102685"/>
    <x v="12"/>
    <x v="7"/>
    <x v="8"/>
    <x v="1"/>
    <x v="10"/>
    <x v="13"/>
    <x v="8"/>
    <x v="2"/>
    <n v="212204"/>
    <s v="Low"/>
    <x v="44"/>
    <n v="34"/>
    <x v="2"/>
    <x v="1"/>
    <n v="2.5499999999999998"/>
    <s v="Yes"/>
    <n v="1.69"/>
    <x v="0"/>
    <x v="0"/>
    <x v="3"/>
  </r>
  <r>
    <s v="AIJ-102686"/>
    <x v="7"/>
    <x v="3"/>
    <x v="3"/>
    <x v="2"/>
    <x v="5"/>
    <x v="33"/>
    <x v="3"/>
    <x v="2"/>
    <n v="217187"/>
    <s v="High"/>
    <x v="6"/>
    <n v="40"/>
    <x v="0"/>
    <x v="0"/>
    <n v="3.86"/>
    <s v="Yes"/>
    <n v="3.25"/>
    <x v="1"/>
    <x v="3"/>
    <x v="3"/>
  </r>
  <r>
    <s v="AIJ-102687"/>
    <x v="4"/>
    <x v="0"/>
    <x v="2"/>
    <x v="2"/>
    <x v="7"/>
    <x v="25"/>
    <x v="15"/>
    <x v="1"/>
    <n v="36978"/>
    <s v="Low"/>
    <x v="50"/>
    <n v="31"/>
    <x v="1"/>
    <x v="2"/>
    <n v="3.61"/>
    <s v="Yes"/>
    <n v="1.72"/>
    <x v="2"/>
    <x v="3"/>
    <x v="1"/>
  </r>
  <r>
    <s v="AIJ-102688"/>
    <x v="15"/>
    <x v="6"/>
    <x v="9"/>
    <x v="2"/>
    <x v="16"/>
    <x v="72"/>
    <x v="12"/>
    <x v="1"/>
    <n v="124204"/>
    <s v="Medium"/>
    <x v="13"/>
    <n v="57"/>
    <x v="2"/>
    <x v="2"/>
    <n v="4.51"/>
    <s v="Yes"/>
    <n v="4.46"/>
    <x v="1"/>
    <x v="3"/>
    <x v="3"/>
  </r>
  <r>
    <s v="AIJ-102689"/>
    <x v="9"/>
    <x v="9"/>
    <x v="4"/>
    <x v="2"/>
    <x v="9"/>
    <x v="7"/>
    <x v="50"/>
    <x v="1"/>
    <n v="56115"/>
    <s v="Medium"/>
    <x v="31"/>
    <n v="31"/>
    <x v="0"/>
    <x v="1"/>
    <n v="3.54"/>
    <s v="No"/>
    <n v="2.85"/>
    <x v="1"/>
    <x v="2"/>
    <x v="1"/>
  </r>
  <r>
    <s v="AIJ-102690"/>
    <x v="10"/>
    <x v="8"/>
    <x v="6"/>
    <x v="3"/>
    <x v="21"/>
    <x v="73"/>
    <x v="21"/>
    <x v="1"/>
    <n v="121327"/>
    <s v="Low"/>
    <x v="36"/>
    <n v="53"/>
    <x v="2"/>
    <x v="2"/>
    <n v="4.8"/>
    <s v="No"/>
    <n v="1.62"/>
    <x v="1"/>
    <x v="3"/>
    <x v="0"/>
  </r>
  <r>
    <s v="AIJ-102691"/>
    <x v="14"/>
    <x v="4"/>
    <x v="3"/>
    <x v="0"/>
    <x v="1"/>
    <x v="81"/>
    <x v="65"/>
    <x v="2"/>
    <n v="170734"/>
    <s v="High"/>
    <x v="8"/>
    <n v="52"/>
    <x v="2"/>
    <x v="1"/>
    <n v="3.84"/>
    <s v="Yes"/>
    <n v="2.11"/>
    <x v="0"/>
    <x v="2"/>
    <x v="1"/>
  </r>
  <r>
    <s v="AIJ-102692"/>
    <x v="13"/>
    <x v="1"/>
    <x v="4"/>
    <x v="0"/>
    <x v="7"/>
    <x v="45"/>
    <x v="27"/>
    <x v="1"/>
    <n v="85503"/>
    <s v="Medium"/>
    <x v="8"/>
    <n v="33"/>
    <x v="1"/>
    <x v="1"/>
    <n v="2.72"/>
    <s v="Yes"/>
    <n v="1.76"/>
    <x v="2"/>
    <x v="0"/>
    <x v="1"/>
  </r>
  <r>
    <s v="AIJ-102693"/>
    <x v="17"/>
    <x v="2"/>
    <x v="4"/>
    <x v="3"/>
    <x v="23"/>
    <x v="8"/>
    <x v="53"/>
    <x v="0"/>
    <n v="73105"/>
    <s v="Low"/>
    <x v="30"/>
    <n v="38"/>
    <x v="1"/>
    <x v="1"/>
    <n v="3.48"/>
    <s v="No"/>
    <n v="2.85"/>
    <x v="1"/>
    <x v="3"/>
    <x v="3"/>
  </r>
  <r>
    <s v="AIJ-102694"/>
    <x v="8"/>
    <x v="4"/>
    <x v="1"/>
    <x v="3"/>
    <x v="10"/>
    <x v="88"/>
    <x v="71"/>
    <x v="2"/>
    <n v="62133"/>
    <s v="Low"/>
    <x v="32"/>
    <n v="36"/>
    <x v="0"/>
    <x v="2"/>
    <n v="4.87"/>
    <s v="Yes"/>
    <n v="2.14"/>
    <x v="2"/>
    <x v="3"/>
    <x v="3"/>
  </r>
  <r>
    <s v="AIJ-102695"/>
    <x v="19"/>
    <x v="5"/>
    <x v="3"/>
    <x v="3"/>
    <x v="10"/>
    <x v="67"/>
    <x v="62"/>
    <x v="1"/>
    <n v="42541"/>
    <s v="Medium"/>
    <x v="30"/>
    <n v="33"/>
    <x v="0"/>
    <x v="2"/>
    <n v="2.33"/>
    <s v="Yes"/>
    <n v="3.94"/>
    <x v="0"/>
    <x v="3"/>
    <x v="3"/>
  </r>
  <r>
    <s v="AIJ-102696"/>
    <x v="15"/>
    <x v="5"/>
    <x v="5"/>
    <x v="2"/>
    <x v="19"/>
    <x v="47"/>
    <x v="40"/>
    <x v="2"/>
    <n v="97140"/>
    <s v="Low"/>
    <x v="48"/>
    <n v="47"/>
    <x v="1"/>
    <x v="2"/>
    <n v="3.52"/>
    <s v="No"/>
    <n v="4.41"/>
    <x v="0"/>
    <x v="1"/>
    <x v="2"/>
  </r>
  <r>
    <s v="AIJ-102697"/>
    <x v="3"/>
    <x v="9"/>
    <x v="3"/>
    <x v="1"/>
    <x v="20"/>
    <x v="39"/>
    <x v="15"/>
    <x v="1"/>
    <n v="42041"/>
    <s v="High"/>
    <x v="39"/>
    <n v="32"/>
    <x v="1"/>
    <x v="1"/>
    <n v="3.08"/>
    <s v="No"/>
    <n v="1.18"/>
    <x v="1"/>
    <x v="3"/>
    <x v="2"/>
  </r>
  <r>
    <s v="AIJ-102698"/>
    <x v="4"/>
    <x v="9"/>
    <x v="3"/>
    <x v="3"/>
    <x v="12"/>
    <x v="68"/>
    <x v="58"/>
    <x v="2"/>
    <n v="131729"/>
    <s v="High"/>
    <x v="44"/>
    <n v="52"/>
    <x v="0"/>
    <x v="0"/>
    <n v="2"/>
    <s v="Yes"/>
    <n v="2.2000000000000002"/>
    <x v="0"/>
    <x v="3"/>
    <x v="3"/>
  </r>
  <r>
    <s v="AIJ-102699"/>
    <x v="4"/>
    <x v="5"/>
    <x v="0"/>
    <x v="1"/>
    <x v="6"/>
    <x v="77"/>
    <x v="0"/>
    <x v="2"/>
    <n v="175784"/>
    <s v="Low"/>
    <x v="19"/>
    <n v="40"/>
    <x v="0"/>
    <x v="1"/>
    <n v="2.91"/>
    <s v="No"/>
    <n v="3.25"/>
    <x v="2"/>
    <x v="0"/>
    <x v="0"/>
  </r>
  <r>
    <s v="AIJ-102700"/>
    <x v="9"/>
    <x v="1"/>
    <x v="0"/>
    <x v="1"/>
    <x v="7"/>
    <x v="40"/>
    <x v="27"/>
    <x v="2"/>
    <n v="81964"/>
    <s v="High"/>
    <x v="27"/>
    <n v="48"/>
    <x v="1"/>
    <x v="0"/>
    <n v="4.0599999999999996"/>
    <s v="Yes"/>
    <n v="3.64"/>
    <x v="1"/>
    <x v="2"/>
    <x v="1"/>
  </r>
  <r>
    <s v="AIJ-102701"/>
    <x v="5"/>
    <x v="8"/>
    <x v="1"/>
    <x v="2"/>
    <x v="12"/>
    <x v="39"/>
    <x v="60"/>
    <x v="2"/>
    <n v="130151"/>
    <s v="High"/>
    <x v="21"/>
    <n v="34"/>
    <x v="2"/>
    <x v="1"/>
    <n v="3.59"/>
    <s v="Yes"/>
    <n v="1.22"/>
    <x v="2"/>
    <x v="3"/>
    <x v="3"/>
  </r>
  <r>
    <s v="AIJ-102702"/>
    <x v="7"/>
    <x v="3"/>
    <x v="2"/>
    <x v="2"/>
    <x v="7"/>
    <x v="68"/>
    <x v="6"/>
    <x v="2"/>
    <n v="96574"/>
    <s v="Medium"/>
    <x v="34"/>
    <n v="37"/>
    <x v="2"/>
    <x v="0"/>
    <n v="4.74"/>
    <s v="Yes"/>
    <n v="4.6900000000000004"/>
    <x v="0"/>
    <x v="3"/>
    <x v="1"/>
  </r>
  <r>
    <s v="AIJ-102703"/>
    <x v="16"/>
    <x v="1"/>
    <x v="8"/>
    <x v="0"/>
    <x v="11"/>
    <x v="10"/>
    <x v="4"/>
    <x v="2"/>
    <n v="162664"/>
    <s v="High"/>
    <x v="17"/>
    <n v="36"/>
    <x v="1"/>
    <x v="0"/>
    <n v="2.2400000000000002"/>
    <s v="Yes"/>
    <n v="2.54"/>
    <x v="1"/>
    <x v="3"/>
    <x v="1"/>
  </r>
  <r>
    <s v="AIJ-102704"/>
    <x v="4"/>
    <x v="6"/>
    <x v="3"/>
    <x v="1"/>
    <x v="12"/>
    <x v="73"/>
    <x v="38"/>
    <x v="0"/>
    <n v="41392"/>
    <s v="Medium"/>
    <x v="33"/>
    <n v="40"/>
    <x v="2"/>
    <x v="1"/>
    <n v="2.3199999999999998"/>
    <s v="Yes"/>
    <n v="3.01"/>
    <x v="0"/>
    <x v="3"/>
    <x v="3"/>
  </r>
  <r>
    <s v="AIJ-102705"/>
    <x v="6"/>
    <x v="2"/>
    <x v="8"/>
    <x v="1"/>
    <x v="24"/>
    <x v="1"/>
    <x v="14"/>
    <x v="0"/>
    <n v="53652"/>
    <s v="Medium"/>
    <x v="6"/>
    <n v="47"/>
    <x v="0"/>
    <x v="2"/>
    <n v="2.77"/>
    <s v="Yes"/>
    <n v="1.32"/>
    <x v="0"/>
    <x v="3"/>
    <x v="1"/>
  </r>
  <r>
    <s v="AIJ-102706"/>
    <x v="2"/>
    <x v="8"/>
    <x v="3"/>
    <x v="0"/>
    <x v="22"/>
    <x v="67"/>
    <x v="5"/>
    <x v="1"/>
    <n v="50450"/>
    <s v="Medium"/>
    <x v="7"/>
    <n v="50"/>
    <x v="2"/>
    <x v="0"/>
    <n v="3.26"/>
    <s v="No"/>
    <n v="2.29"/>
    <x v="2"/>
    <x v="3"/>
    <x v="2"/>
  </r>
  <r>
    <s v="AIJ-102707"/>
    <x v="16"/>
    <x v="4"/>
    <x v="5"/>
    <x v="0"/>
    <x v="16"/>
    <x v="67"/>
    <x v="23"/>
    <x v="1"/>
    <n v="81396"/>
    <s v="Low"/>
    <x v="48"/>
    <n v="60"/>
    <x v="0"/>
    <x v="2"/>
    <n v="2.87"/>
    <s v="No"/>
    <n v="3.97"/>
    <x v="0"/>
    <x v="3"/>
    <x v="3"/>
  </r>
  <r>
    <s v="AIJ-102708"/>
    <x v="15"/>
    <x v="7"/>
    <x v="7"/>
    <x v="2"/>
    <x v="11"/>
    <x v="0"/>
    <x v="75"/>
    <x v="1"/>
    <n v="64420"/>
    <s v="High"/>
    <x v="48"/>
    <n v="55"/>
    <x v="0"/>
    <x v="1"/>
    <n v="3.63"/>
    <s v="Yes"/>
    <n v="1.54"/>
    <x v="1"/>
    <x v="3"/>
    <x v="1"/>
  </r>
  <r>
    <s v="AIJ-102709"/>
    <x v="8"/>
    <x v="4"/>
    <x v="7"/>
    <x v="3"/>
    <x v="18"/>
    <x v="53"/>
    <x v="62"/>
    <x v="1"/>
    <n v="206965"/>
    <s v="High"/>
    <x v="8"/>
    <n v="43"/>
    <x v="2"/>
    <x v="0"/>
    <n v="3.35"/>
    <s v="No"/>
    <n v="3.4"/>
    <x v="1"/>
    <x v="2"/>
    <x v="3"/>
  </r>
  <r>
    <s v="AIJ-102710"/>
    <x v="13"/>
    <x v="7"/>
    <x v="8"/>
    <x v="0"/>
    <x v="7"/>
    <x v="57"/>
    <x v="61"/>
    <x v="0"/>
    <n v="40285"/>
    <s v="Low"/>
    <x v="54"/>
    <n v="53"/>
    <x v="1"/>
    <x v="1"/>
    <n v="2.71"/>
    <s v="Yes"/>
    <n v="3.26"/>
    <x v="1"/>
    <x v="2"/>
    <x v="1"/>
  </r>
  <r>
    <s v="AIJ-102711"/>
    <x v="10"/>
    <x v="9"/>
    <x v="4"/>
    <x v="3"/>
    <x v="14"/>
    <x v="54"/>
    <x v="56"/>
    <x v="1"/>
    <n v="147649"/>
    <s v="Low"/>
    <x v="26"/>
    <n v="53"/>
    <x v="2"/>
    <x v="2"/>
    <n v="2.2400000000000002"/>
    <s v="No"/>
    <n v="4.9800000000000004"/>
    <x v="2"/>
    <x v="3"/>
    <x v="2"/>
  </r>
  <r>
    <s v="AIJ-102712"/>
    <x v="0"/>
    <x v="3"/>
    <x v="1"/>
    <x v="2"/>
    <x v="3"/>
    <x v="67"/>
    <x v="75"/>
    <x v="2"/>
    <n v="145032"/>
    <s v="High"/>
    <x v="43"/>
    <n v="48"/>
    <x v="0"/>
    <x v="1"/>
    <n v="3"/>
    <s v="No"/>
    <n v="2.59"/>
    <x v="2"/>
    <x v="2"/>
    <x v="2"/>
  </r>
  <r>
    <s v="AIJ-102713"/>
    <x v="11"/>
    <x v="3"/>
    <x v="2"/>
    <x v="2"/>
    <x v="12"/>
    <x v="54"/>
    <x v="8"/>
    <x v="0"/>
    <n v="144986"/>
    <s v="Low"/>
    <x v="50"/>
    <n v="51"/>
    <x v="0"/>
    <x v="2"/>
    <n v="3.04"/>
    <s v="No"/>
    <n v="1.9"/>
    <x v="1"/>
    <x v="3"/>
    <x v="3"/>
  </r>
  <r>
    <s v="AIJ-102714"/>
    <x v="0"/>
    <x v="4"/>
    <x v="3"/>
    <x v="2"/>
    <x v="19"/>
    <x v="5"/>
    <x v="30"/>
    <x v="2"/>
    <n v="104781"/>
    <s v="Medium"/>
    <x v="23"/>
    <n v="54"/>
    <x v="1"/>
    <x v="1"/>
    <n v="3.83"/>
    <s v="No"/>
    <n v="4.3099999999999996"/>
    <x v="1"/>
    <x v="3"/>
    <x v="2"/>
  </r>
  <r>
    <s v="AIJ-102715"/>
    <x v="11"/>
    <x v="1"/>
    <x v="2"/>
    <x v="0"/>
    <x v="22"/>
    <x v="2"/>
    <x v="42"/>
    <x v="2"/>
    <n v="42324"/>
    <s v="High"/>
    <x v="45"/>
    <n v="52"/>
    <x v="2"/>
    <x v="1"/>
    <n v="2.54"/>
    <s v="Yes"/>
    <n v="3.02"/>
    <x v="1"/>
    <x v="3"/>
    <x v="2"/>
  </r>
  <r>
    <s v="AIJ-102716"/>
    <x v="18"/>
    <x v="4"/>
    <x v="7"/>
    <x v="0"/>
    <x v="0"/>
    <x v="36"/>
    <x v="33"/>
    <x v="0"/>
    <n v="56487"/>
    <s v="High"/>
    <x v="10"/>
    <n v="49"/>
    <x v="1"/>
    <x v="0"/>
    <n v="3.4"/>
    <s v="No"/>
    <n v="1.44"/>
    <x v="1"/>
    <x v="1"/>
    <x v="0"/>
  </r>
  <r>
    <s v="AIJ-102717"/>
    <x v="19"/>
    <x v="8"/>
    <x v="1"/>
    <x v="2"/>
    <x v="20"/>
    <x v="56"/>
    <x v="5"/>
    <x v="0"/>
    <n v="174263"/>
    <s v="High"/>
    <x v="22"/>
    <n v="50"/>
    <x v="2"/>
    <x v="2"/>
    <n v="2.94"/>
    <s v="Yes"/>
    <n v="4.68"/>
    <x v="1"/>
    <x v="3"/>
    <x v="2"/>
  </r>
  <r>
    <s v="AIJ-102718"/>
    <x v="5"/>
    <x v="0"/>
    <x v="6"/>
    <x v="0"/>
    <x v="17"/>
    <x v="38"/>
    <x v="3"/>
    <x v="1"/>
    <n v="156477"/>
    <s v="Medium"/>
    <x v="31"/>
    <n v="32"/>
    <x v="1"/>
    <x v="2"/>
    <n v="4.58"/>
    <s v="No"/>
    <n v="2.46"/>
    <x v="2"/>
    <x v="0"/>
    <x v="3"/>
  </r>
  <r>
    <s v="AIJ-102719"/>
    <x v="16"/>
    <x v="2"/>
    <x v="9"/>
    <x v="0"/>
    <x v="25"/>
    <x v="25"/>
    <x v="27"/>
    <x v="1"/>
    <n v="130098"/>
    <s v="High"/>
    <x v="16"/>
    <n v="40"/>
    <x v="1"/>
    <x v="2"/>
    <n v="3.34"/>
    <s v="No"/>
    <n v="2.0499999999999998"/>
    <x v="1"/>
    <x v="0"/>
    <x v="1"/>
  </r>
  <r>
    <s v="AIJ-102720"/>
    <x v="5"/>
    <x v="9"/>
    <x v="8"/>
    <x v="0"/>
    <x v="4"/>
    <x v="77"/>
    <x v="7"/>
    <x v="1"/>
    <n v="134233"/>
    <s v="High"/>
    <x v="15"/>
    <n v="57"/>
    <x v="0"/>
    <x v="0"/>
    <n v="3.44"/>
    <s v="Yes"/>
    <n v="4.29"/>
    <x v="2"/>
    <x v="3"/>
    <x v="1"/>
  </r>
  <r>
    <s v="AIJ-102721"/>
    <x v="5"/>
    <x v="3"/>
    <x v="2"/>
    <x v="3"/>
    <x v="8"/>
    <x v="10"/>
    <x v="40"/>
    <x v="1"/>
    <n v="143560"/>
    <s v="Low"/>
    <x v="12"/>
    <n v="30"/>
    <x v="0"/>
    <x v="1"/>
    <n v="2.59"/>
    <s v="No"/>
    <n v="3.94"/>
    <x v="2"/>
    <x v="1"/>
    <x v="2"/>
  </r>
  <r>
    <s v="AIJ-102722"/>
    <x v="18"/>
    <x v="0"/>
    <x v="4"/>
    <x v="1"/>
    <x v="18"/>
    <x v="88"/>
    <x v="51"/>
    <x v="0"/>
    <n v="135913"/>
    <s v="Low"/>
    <x v="39"/>
    <n v="39"/>
    <x v="0"/>
    <x v="0"/>
    <n v="3.75"/>
    <s v="Yes"/>
    <n v="2.72"/>
    <x v="1"/>
    <x v="2"/>
    <x v="3"/>
  </r>
  <r>
    <s v="AIJ-102723"/>
    <x v="2"/>
    <x v="8"/>
    <x v="8"/>
    <x v="3"/>
    <x v="0"/>
    <x v="86"/>
    <x v="50"/>
    <x v="2"/>
    <n v="55692"/>
    <s v="Low"/>
    <x v="52"/>
    <n v="57"/>
    <x v="1"/>
    <x v="2"/>
    <n v="3.7"/>
    <s v="Yes"/>
    <n v="3.64"/>
    <x v="1"/>
    <x v="3"/>
    <x v="0"/>
  </r>
  <r>
    <s v="AIJ-102724"/>
    <x v="9"/>
    <x v="3"/>
    <x v="1"/>
    <x v="3"/>
    <x v="11"/>
    <x v="46"/>
    <x v="7"/>
    <x v="2"/>
    <n v="61384"/>
    <s v="Low"/>
    <x v="36"/>
    <n v="46"/>
    <x v="0"/>
    <x v="2"/>
    <n v="2.0099999999999998"/>
    <s v="Yes"/>
    <n v="2.71"/>
    <x v="2"/>
    <x v="2"/>
    <x v="1"/>
  </r>
  <r>
    <s v="AIJ-102725"/>
    <x v="2"/>
    <x v="0"/>
    <x v="3"/>
    <x v="0"/>
    <x v="5"/>
    <x v="3"/>
    <x v="26"/>
    <x v="0"/>
    <n v="159465"/>
    <s v="High"/>
    <x v="18"/>
    <n v="48"/>
    <x v="2"/>
    <x v="2"/>
    <n v="3.47"/>
    <s v="Yes"/>
    <n v="1.38"/>
    <x v="2"/>
    <x v="2"/>
    <x v="3"/>
  </r>
  <r>
    <s v="AIJ-102726"/>
    <x v="16"/>
    <x v="0"/>
    <x v="5"/>
    <x v="1"/>
    <x v="17"/>
    <x v="73"/>
    <x v="0"/>
    <x v="1"/>
    <n v="124732"/>
    <s v="Low"/>
    <x v="18"/>
    <n v="54"/>
    <x v="0"/>
    <x v="1"/>
    <n v="4.16"/>
    <s v="No"/>
    <n v="4.93"/>
    <x v="0"/>
    <x v="0"/>
    <x v="3"/>
  </r>
  <r>
    <s v="AIJ-102727"/>
    <x v="12"/>
    <x v="0"/>
    <x v="7"/>
    <x v="1"/>
    <x v="13"/>
    <x v="11"/>
    <x v="64"/>
    <x v="2"/>
    <n v="204359"/>
    <s v="High"/>
    <x v="20"/>
    <n v="35"/>
    <x v="1"/>
    <x v="0"/>
    <n v="3.95"/>
    <s v="No"/>
    <n v="2.14"/>
    <x v="0"/>
    <x v="0"/>
    <x v="1"/>
  </r>
  <r>
    <s v="AIJ-102728"/>
    <x v="8"/>
    <x v="4"/>
    <x v="6"/>
    <x v="0"/>
    <x v="20"/>
    <x v="58"/>
    <x v="35"/>
    <x v="0"/>
    <n v="85557"/>
    <s v="High"/>
    <x v="43"/>
    <n v="36"/>
    <x v="1"/>
    <x v="2"/>
    <n v="2.76"/>
    <s v="No"/>
    <n v="1.8"/>
    <x v="0"/>
    <x v="3"/>
    <x v="2"/>
  </r>
  <r>
    <s v="AIJ-102729"/>
    <x v="17"/>
    <x v="5"/>
    <x v="3"/>
    <x v="3"/>
    <x v="10"/>
    <x v="42"/>
    <x v="63"/>
    <x v="1"/>
    <n v="119746"/>
    <s v="High"/>
    <x v="53"/>
    <n v="38"/>
    <x v="2"/>
    <x v="1"/>
    <n v="2.85"/>
    <s v="Yes"/>
    <n v="2.77"/>
    <x v="1"/>
    <x v="2"/>
    <x v="3"/>
  </r>
  <r>
    <s v="AIJ-102730"/>
    <x v="10"/>
    <x v="4"/>
    <x v="5"/>
    <x v="1"/>
    <x v="1"/>
    <x v="42"/>
    <x v="37"/>
    <x v="1"/>
    <n v="205041"/>
    <s v="Low"/>
    <x v="42"/>
    <n v="48"/>
    <x v="1"/>
    <x v="0"/>
    <n v="2.38"/>
    <s v="No"/>
    <n v="4.34"/>
    <x v="0"/>
    <x v="3"/>
    <x v="1"/>
  </r>
  <r>
    <s v="AIJ-102731"/>
    <x v="0"/>
    <x v="3"/>
    <x v="3"/>
    <x v="0"/>
    <x v="23"/>
    <x v="60"/>
    <x v="7"/>
    <x v="1"/>
    <n v="31352"/>
    <s v="Medium"/>
    <x v="36"/>
    <n v="52"/>
    <x v="0"/>
    <x v="2"/>
    <n v="4.2300000000000004"/>
    <s v="No"/>
    <n v="1.1100000000000001"/>
    <x v="1"/>
    <x v="1"/>
    <x v="3"/>
  </r>
  <r>
    <s v="AIJ-102732"/>
    <x v="16"/>
    <x v="9"/>
    <x v="3"/>
    <x v="2"/>
    <x v="14"/>
    <x v="89"/>
    <x v="70"/>
    <x v="2"/>
    <n v="108841"/>
    <s v="Medium"/>
    <x v="24"/>
    <n v="59"/>
    <x v="2"/>
    <x v="2"/>
    <n v="2.85"/>
    <s v="No"/>
    <n v="3.34"/>
    <x v="2"/>
    <x v="1"/>
    <x v="2"/>
  </r>
  <r>
    <s v="AIJ-102733"/>
    <x v="1"/>
    <x v="4"/>
    <x v="9"/>
    <x v="1"/>
    <x v="24"/>
    <x v="65"/>
    <x v="8"/>
    <x v="0"/>
    <n v="31522"/>
    <s v="High"/>
    <x v="11"/>
    <n v="31"/>
    <x v="0"/>
    <x v="2"/>
    <n v="2.06"/>
    <s v="No"/>
    <n v="3.57"/>
    <x v="2"/>
    <x v="3"/>
    <x v="1"/>
  </r>
  <r>
    <s v="AIJ-102734"/>
    <x v="2"/>
    <x v="1"/>
    <x v="1"/>
    <x v="1"/>
    <x v="4"/>
    <x v="17"/>
    <x v="26"/>
    <x v="1"/>
    <n v="199539"/>
    <s v="High"/>
    <x v="3"/>
    <n v="45"/>
    <x v="0"/>
    <x v="2"/>
    <n v="2.63"/>
    <s v="Yes"/>
    <n v="2.96"/>
    <x v="0"/>
    <x v="3"/>
    <x v="1"/>
  </r>
  <r>
    <s v="AIJ-102735"/>
    <x v="4"/>
    <x v="9"/>
    <x v="0"/>
    <x v="1"/>
    <x v="17"/>
    <x v="86"/>
    <x v="64"/>
    <x v="1"/>
    <n v="73994"/>
    <s v="High"/>
    <x v="35"/>
    <n v="48"/>
    <x v="0"/>
    <x v="0"/>
    <n v="2.74"/>
    <s v="No"/>
    <n v="4.71"/>
    <x v="2"/>
    <x v="0"/>
    <x v="3"/>
  </r>
  <r>
    <s v="AIJ-102736"/>
    <x v="13"/>
    <x v="9"/>
    <x v="8"/>
    <x v="2"/>
    <x v="20"/>
    <x v="12"/>
    <x v="48"/>
    <x v="1"/>
    <n v="200078"/>
    <s v="High"/>
    <x v="47"/>
    <n v="45"/>
    <x v="1"/>
    <x v="1"/>
    <n v="2.15"/>
    <s v="No"/>
    <n v="3.17"/>
    <x v="2"/>
    <x v="3"/>
    <x v="2"/>
  </r>
  <r>
    <s v="AIJ-102737"/>
    <x v="1"/>
    <x v="0"/>
    <x v="5"/>
    <x v="2"/>
    <x v="1"/>
    <x v="79"/>
    <x v="62"/>
    <x v="0"/>
    <n v="171912"/>
    <s v="Low"/>
    <x v="54"/>
    <n v="57"/>
    <x v="0"/>
    <x v="1"/>
    <n v="4.75"/>
    <s v="Yes"/>
    <n v="1.0900000000000001"/>
    <x v="0"/>
    <x v="0"/>
    <x v="1"/>
  </r>
  <r>
    <s v="AIJ-102738"/>
    <x v="6"/>
    <x v="4"/>
    <x v="6"/>
    <x v="0"/>
    <x v="20"/>
    <x v="6"/>
    <x v="73"/>
    <x v="1"/>
    <n v="46369"/>
    <s v="Low"/>
    <x v="38"/>
    <n v="41"/>
    <x v="0"/>
    <x v="0"/>
    <n v="4.41"/>
    <s v="Yes"/>
    <n v="4.0199999999999996"/>
    <x v="2"/>
    <x v="0"/>
    <x v="2"/>
  </r>
  <r>
    <s v="AIJ-102739"/>
    <x v="17"/>
    <x v="3"/>
    <x v="3"/>
    <x v="0"/>
    <x v="4"/>
    <x v="16"/>
    <x v="43"/>
    <x v="1"/>
    <n v="213146"/>
    <s v="Low"/>
    <x v="30"/>
    <n v="39"/>
    <x v="0"/>
    <x v="2"/>
    <n v="4.43"/>
    <s v="No"/>
    <n v="3.69"/>
    <x v="0"/>
    <x v="0"/>
    <x v="1"/>
  </r>
  <r>
    <s v="AIJ-102740"/>
    <x v="13"/>
    <x v="0"/>
    <x v="0"/>
    <x v="2"/>
    <x v="24"/>
    <x v="53"/>
    <x v="35"/>
    <x v="2"/>
    <n v="41656"/>
    <s v="High"/>
    <x v="26"/>
    <n v="59"/>
    <x v="1"/>
    <x v="2"/>
    <n v="3.1"/>
    <s v="Yes"/>
    <n v="2.61"/>
    <x v="2"/>
    <x v="2"/>
    <x v="1"/>
  </r>
  <r>
    <s v="AIJ-102741"/>
    <x v="3"/>
    <x v="7"/>
    <x v="5"/>
    <x v="0"/>
    <x v="12"/>
    <x v="3"/>
    <x v="22"/>
    <x v="0"/>
    <n v="195500"/>
    <s v="Low"/>
    <x v="21"/>
    <n v="50"/>
    <x v="2"/>
    <x v="0"/>
    <n v="2.66"/>
    <s v="No"/>
    <n v="1.23"/>
    <x v="2"/>
    <x v="0"/>
    <x v="3"/>
  </r>
  <r>
    <s v="AIJ-102742"/>
    <x v="8"/>
    <x v="5"/>
    <x v="0"/>
    <x v="3"/>
    <x v="15"/>
    <x v="80"/>
    <x v="79"/>
    <x v="1"/>
    <n v="59471"/>
    <s v="High"/>
    <x v="18"/>
    <n v="58"/>
    <x v="1"/>
    <x v="0"/>
    <n v="2.44"/>
    <s v="No"/>
    <n v="2.2999999999999998"/>
    <x v="0"/>
    <x v="3"/>
    <x v="1"/>
  </r>
  <r>
    <s v="AIJ-102743"/>
    <x v="9"/>
    <x v="1"/>
    <x v="4"/>
    <x v="2"/>
    <x v="8"/>
    <x v="9"/>
    <x v="24"/>
    <x v="1"/>
    <n v="173842"/>
    <s v="Medium"/>
    <x v="14"/>
    <n v="54"/>
    <x v="0"/>
    <x v="2"/>
    <n v="4.0999999999999996"/>
    <s v="Yes"/>
    <n v="4.5599999999999996"/>
    <x v="2"/>
    <x v="2"/>
    <x v="2"/>
  </r>
  <r>
    <s v="AIJ-102744"/>
    <x v="4"/>
    <x v="4"/>
    <x v="5"/>
    <x v="3"/>
    <x v="11"/>
    <x v="17"/>
    <x v="46"/>
    <x v="2"/>
    <n v="91656"/>
    <s v="Medium"/>
    <x v="1"/>
    <n v="51"/>
    <x v="0"/>
    <x v="0"/>
    <n v="3.88"/>
    <s v="Yes"/>
    <n v="3.57"/>
    <x v="1"/>
    <x v="0"/>
    <x v="1"/>
  </r>
  <r>
    <s v="AIJ-102745"/>
    <x v="2"/>
    <x v="5"/>
    <x v="8"/>
    <x v="1"/>
    <x v="14"/>
    <x v="42"/>
    <x v="14"/>
    <x v="1"/>
    <n v="135042"/>
    <s v="High"/>
    <x v="18"/>
    <n v="38"/>
    <x v="0"/>
    <x v="0"/>
    <n v="2.61"/>
    <s v="No"/>
    <n v="3.47"/>
    <x v="2"/>
    <x v="0"/>
    <x v="2"/>
  </r>
  <r>
    <s v="AIJ-102746"/>
    <x v="0"/>
    <x v="0"/>
    <x v="0"/>
    <x v="1"/>
    <x v="8"/>
    <x v="43"/>
    <x v="15"/>
    <x v="0"/>
    <n v="190753"/>
    <s v="Low"/>
    <x v="16"/>
    <n v="45"/>
    <x v="0"/>
    <x v="2"/>
    <n v="3.17"/>
    <s v="No"/>
    <n v="2.15"/>
    <x v="0"/>
    <x v="3"/>
    <x v="2"/>
  </r>
  <r>
    <s v="AIJ-102747"/>
    <x v="19"/>
    <x v="4"/>
    <x v="6"/>
    <x v="2"/>
    <x v="7"/>
    <x v="82"/>
    <x v="45"/>
    <x v="0"/>
    <n v="178604"/>
    <s v="Low"/>
    <x v="52"/>
    <n v="44"/>
    <x v="1"/>
    <x v="2"/>
    <n v="3.73"/>
    <s v="No"/>
    <n v="3.5"/>
    <x v="1"/>
    <x v="0"/>
    <x v="1"/>
  </r>
  <r>
    <s v="AIJ-102748"/>
    <x v="1"/>
    <x v="2"/>
    <x v="3"/>
    <x v="3"/>
    <x v="11"/>
    <x v="2"/>
    <x v="21"/>
    <x v="1"/>
    <n v="130267"/>
    <s v="Medium"/>
    <x v="38"/>
    <n v="41"/>
    <x v="0"/>
    <x v="0"/>
    <n v="2.59"/>
    <s v="Yes"/>
    <n v="1.34"/>
    <x v="1"/>
    <x v="1"/>
    <x v="1"/>
  </r>
  <r>
    <s v="AIJ-102749"/>
    <x v="9"/>
    <x v="8"/>
    <x v="7"/>
    <x v="2"/>
    <x v="21"/>
    <x v="31"/>
    <x v="9"/>
    <x v="1"/>
    <n v="163704"/>
    <s v="High"/>
    <x v="17"/>
    <n v="50"/>
    <x v="0"/>
    <x v="0"/>
    <n v="4.62"/>
    <s v="Yes"/>
    <n v="1.7"/>
    <x v="2"/>
    <x v="3"/>
    <x v="0"/>
  </r>
  <r>
    <s v="AIJ-102750"/>
    <x v="17"/>
    <x v="2"/>
    <x v="1"/>
    <x v="3"/>
    <x v="23"/>
    <x v="70"/>
    <x v="9"/>
    <x v="2"/>
    <n v="141102"/>
    <s v="High"/>
    <x v="51"/>
    <n v="32"/>
    <x v="0"/>
    <x v="0"/>
    <n v="4.1500000000000004"/>
    <s v="Yes"/>
    <n v="1.66"/>
    <x v="1"/>
    <x v="3"/>
    <x v="3"/>
  </r>
  <r>
    <s v="AIJ-102751"/>
    <x v="7"/>
    <x v="8"/>
    <x v="6"/>
    <x v="0"/>
    <x v="18"/>
    <x v="32"/>
    <x v="79"/>
    <x v="1"/>
    <n v="99753"/>
    <s v="High"/>
    <x v="35"/>
    <n v="30"/>
    <x v="1"/>
    <x v="1"/>
    <n v="4.6100000000000003"/>
    <s v="Yes"/>
    <n v="4.22"/>
    <x v="1"/>
    <x v="0"/>
    <x v="3"/>
  </r>
  <r>
    <s v="AIJ-102752"/>
    <x v="7"/>
    <x v="9"/>
    <x v="0"/>
    <x v="3"/>
    <x v="6"/>
    <x v="31"/>
    <x v="14"/>
    <x v="2"/>
    <n v="172885"/>
    <s v="Medium"/>
    <x v="13"/>
    <n v="38"/>
    <x v="0"/>
    <x v="0"/>
    <n v="2.0499999999999998"/>
    <s v="Yes"/>
    <n v="4.95"/>
    <x v="0"/>
    <x v="0"/>
    <x v="0"/>
  </r>
  <r>
    <s v="AIJ-102753"/>
    <x v="4"/>
    <x v="7"/>
    <x v="1"/>
    <x v="2"/>
    <x v="12"/>
    <x v="38"/>
    <x v="5"/>
    <x v="1"/>
    <n v="140828"/>
    <s v="Low"/>
    <x v="24"/>
    <n v="58"/>
    <x v="0"/>
    <x v="1"/>
    <n v="4.45"/>
    <s v="Yes"/>
    <n v="4.18"/>
    <x v="0"/>
    <x v="0"/>
    <x v="3"/>
  </r>
  <r>
    <s v="AIJ-102754"/>
    <x v="17"/>
    <x v="1"/>
    <x v="6"/>
    <x v="1"/>
    <x v="21"/>
    <x v="47"/>
    <x v="67"/>
    <x v="0"/>
    <n v="213912"/>
    <s v="Low"/>
    <x v="34"/>
    <n v="54"/>
    <x v="2"/>
    <x v="1"/>
    <n v="3.77"/>
    <s v="No"/>
    <n v="1.04"/>
    <x v="1"/>
    <x v="2"/>
    <x v="0"/>
  </r>
  <r>
    <s v="AIJ-102755"/>
    <x v="13"/>
    <x v="5"/>
    <x v="4"/>
    <x v="0"/>
    <x v="20"/>
    <x v="48"/>
    <x v="11"/>
    <x v="1"/>
    <n v="153941"/>
    <s v="Low"/>
    <x v="50"/>
    <n v="55"/>
    <x v="0"/>
    <x v="1"/>
    <n v="4.2"/>
    <s v="Yes"/>
    <n v="4.5"/>
    <x v="0"/>
    <x v="2"/>
    <x v="2"/>
  </r>
  <r>
    <s v="AIJ-102756"/>
    <x v="11"/>
    <x v="2"/>
    <x v="5"/>
    <x v="1"/>
    <x v="12"/>
    <x v="90"/>
    <x v="24"/>
    <x v="0"/>
    <n v="84084"/>
    <s v="Low"/>
    <x v="4"/>
    <n v="50"/>
    <x v="2"/>
    <x v="2"/>
    <n v="4.58"/>
    <s v="No"/>
    <n v="2.34"/>
    <x v="2"/>
    <x v="2"/>
    <x v="3"/>
  </r>
  <r>
    <s v="AIJ-102757"/>
    <x v="13"/>
    <x v="6"/>
    <x v="2"/>
    <x v="1"/>
    <x v="8"/>
    <x v="82"/>
    <x v="64"/>
    <x v="0"/>
    <n v="65794"/>
    <s v="High"/>
    <x v="45"/>
    <n v="57"/>
    <x v="1"/>
    <x v="0"/>
    <n v="3.88"/>
    <s v="Yes"/>
    <n v="1.21"/>
    <x v="1"/>
    <x v="0"/>
    <x v="2"/>
  </r>
  <r>
    <s v="AIJ-102758"/>
    <x v="9"/>
    <x v="5"/>
    <x v="5"/>
    <x v="1"/>
    <x v="20"/>
    <x v="78"/>
    <x v="28"/>
    <x v="0"/>
    <n v="148794"/>
    <s v="Low"/>
    <x v="30"/>
    <n v="42"/>
    <x v="2"/>
    <x v="0"/>
    <n v="3.52"/>
    <s v="No"/>
    <n v="4.4000000000000004"/>
    <x v="2"/>
    <x v="1"/>
    <x v="2"/>
  </r>
  <r>
    <s v="AIJ-102759"/>
    <x v="6"/>
    <x v="4"/>
    <x v="6"/>
    <x v="1"/>
    <x v="19"/>
    <x v="18"/>
    <x v="3"/>
    <x v="1"/>
    <n v="92075"/>
    <s v="Low"/>
    <x v="6"/>
    <n v="52"/>
    <x v="0"/>
    <x v="1"/>
    <n v="2.76"/>
    <s v="No"/>
    <n v="4.01"/>
    <x v="1"/>
    <x v="3"/>
    <x v="2"/>
  </r>
  <r>
    <s v="AIJ-102760"/>
    <x v="8"/>
    <x v="6"/>
    <x v="3"/>
    <x v="2"/>
    <x v="19"/>
    <x v="11"/>
    <x v="43"/>
    <x v="2"/>
    <n v="174724"/>
    <s v="Low"/>
    <x v="10"/>
    <n v="32"/>
    <x v="0"/>
    <x v="1"/>
    <n v="3.01"/>
    <s v="No"/>
    <n v="4.88"/>
    <x v="0"/>
    <x v="0"/>
    <x v="2"/>
  </r>
  <r>
    <s v="AIJ-102761"/>
    <x v="16"/>
    <x v="1"/>
    <x v="8"/>
    <x v="2"/>
    <x v="10"/>
    <x v="17"/>
    <x v="10"/>
    <x v="2"/>
    <n v="79921"/>
    <s v="High"/>
    <x v="13"/>
    <n v="48"/>
    <x v="2"/>
    <x v="1"/>
    <n v="4.9800000000000004"/>
    <s v="No"/>
    <n v="3.52"/>
    <x v="1"/>
    <x v="3"/>
    <x v="3"/>
  </r>
  <r>
    <s v="AIJ-102762"/>
    <x v="9"/>
    <x v="8"/>
    <x v="8"/>
    <x v="1"/>
    <x v="16"/>
    <x v="5"/>
    <x v="63"/>
    <x v="1"/>
    <n v="157273"/>
    <s v="High"/>
    <x v="19"/>
    <n v="52"/>
    <x v="2"/>
    <x v="2"/>
    <n v="3.9"/>
    <s v="No"/>
    <n v="2.36"/>
    <x v="1"/>
    <x v="2"/>
    <x v="3"/>
  </r>
  <r>
    <s v="AIJ-102763"/>
    <x v="17"/>
    <x v="2"/>
    <x v="3"/>
    <x v="2"/>
    <x v="5"/>
    <x v="58"/>
    <x v="78"/>
    <x v="1"/>
    <n v="76730"/>
    <s v="Medium"/>
    <x v="29"/>
    <n v="36"/>
    <x v="0"/>
    <x v="0"/>
    <n v="2.58"/>
    <s v="No"/>
    <n v="4.66"/>
    <x v="0"/>
    <x v="3"/>
    <x v="3"/>
  </r>
  <r>
    <s v="AIJ-102764"/>
    <x v="19"/>
    <x v="3"/>
    <x v="0"/>
    <x v="1"/>
    <x v="24"/>
    <x v="60"/>
    <x v="50"/>
    <x v="0"/>
    <n v="145849"/>
    <s v="Medium"/>
    <x v="17"/>
    <n v="45"/>
    <x v="2"/>
    <x v="0"/>
    <n v="2.77"/>
    <s v="Yes"/>
    <n v="3.54"/>
    <x v="0"/>
    <x v="2"/>
    <x v="1"/>
  </r>
  <r>
    <s v="AIJ-102765"/>
    <x v="9"/>
    <x v="6"/>
    <x v="6"/>
    <x v="0"/>
    <x v="0"/>
    <x v="26"/>
    <x v="13"/>
    <x v="0"/>
    <n v="190576"/>
    <s v="Medium"/>
    <x v="42"/>
    <n v="50"/>
    <x v="1"/>
    <x v="1"/>
    <n v="3.76"/>
    <s v="No"/>
    <n v="4.59"/>
    <x v="0"/>
    <x v="3"/>
    <x v="0"/>
  </r>
  <r>
    <s v="AIJ-102766"/>
    <x v="4"/>
    <x v="8"/>
    <x v="3"/>
    <x v="1"/>
    <x v="11"/>
    <x v="52"/>
    <x v="9"/>
    <x v="0"/>
    <n v="195911"/>
    <s v="High"/>
    <x v="44"/>
    <n v="30"/>
    <x v="1"/>
    <x v="1"/>
    <n v="4.37"/>
    <s v="Yes"/>
    <n v="2.23"/>
    <x v="0"/>
    <x v="3"/>
    <x v="1"/>
  </r>
  <r>
    <s v="AIJ-102767"/>
    <x v="1"/>
    <x v="1"/>
    <x v="4"/>
    <x v="3"/>
    <x v="15"/>
    <x v="52"/>
    <x v="9"/>
    <x v="0"/>
    <n v="134571"/>
    <s v="High"/>
    <x v="12"/>
    <n v="33"/>
    <x v="2"/>
    <x v="1"/>
    <n v="2.71"/>
    <s v="Yes"/>
    <n v="1.66"/>
    <x v="0"/>
    <x v="3"/>
    <x v="1"/>
  </r>
  <r>
    <s v="AIJ-102768"/>
    <x v="3"/>
    <x v="4"/>
    <x v="8"/>
    <x v="3"/>
    <x v="2"/>
    <x v="76"/>
    <x v="8"/>
    <x v="1"/>
    <n v="47250"/>
    <s v="High"/>
    <x v="50"/>
    <n v="60"/>
    <x v="1"/>
    <x v="0"/>
    <n v="2.4700000000000002"/>
    <s v="Yes"/>
    <n v="1.85"/>
    <x v="0"/>
    <x v="3"/>
    <x v="1"/>
  </r>
  <r>
    <s v="AIJ-102769"/>
    <x v="7"/>
    <x v="5"/>
    <x v="5"/>
    <x v="0"/>
    <x v="1"/>
    <x v="71"/>
    <x v="64"/>
    <x v="2"/>
    <n v="170474"/>
    <s v="High"/>
    <x v="33"/>
    <n v="39"/>
    <x v="2"/>
    <x v="2"/>
    <n v="4.0999999999999996"/>
    <s v="Yes"/>
    <n v="1.47"/>
    <x v="1"/>
    <x v="3"/>
    <x v="1"/>
  </r>
  <r>
    <s v="AIJ-102770"/>
    <x v="2"/>
    <x v="0"/>
    <x v="6"/>
    <x v="1"/>
    <x v="13"/>
    <x v="27"/>
    <x v="11"/>
    <x v="0"/>
    <n v="83210"/>
    <s v="Medium"/>
    <x v="16"/>
    <n v="55"/>
    <x v="2"/>
    <x v="0"/>
    <n v="3.19"/>
    <s v="Yes"/>
    <n v="1.85"/>
    <x v="0"/>
    <x v="3"/>
    <x v="1"/>
  </r>
  <r>
    <s v="AIJ-102771"/>
    <x v="2"/>
    <x v="0"/>
    <x v="4"/>
    <x v="0"/>
    <x v="3"/>
    <x v="28"/>
    <x v="36"/>
    <x v="0"/>
    <n v="219895"/>
    <s v="Medium"/>
    <x v="35"/>
    <n v="44"/>
    <x v="2"/>
    <x v="0"/>
    <n v="4.58"/>
    <s v="Yes"/>
    <n v="1.24"/>
    <x v="0"/>
    <x v="3"/>
    <x v="2"/>
  </r>
  <r>
    <s v="AIJ-102772"/>
    <x v="15"/>
    <x v="8"/>
    <x v="8"/>
    <x v="0"/>
    <x v="23"/>
    <x v="64"/>
    <x v="51"/>
    <x v="0"/>
    <n v="176619"/>
    <s v="High"/>
    <x v="51"/>
    <n v="56"/>
    <x v="0"/>
    <x v="2"/>
    <n v="4.28"/>
    <s v="Yes"/>
    <n v="3.2"/>
    <x v="2"/>
    <x v="1"/>
    <x v="3"/>
  </r>
  <r>
    <s v="AIJ-102773"/>
    <x v="7"/>
    <x v="5"/>
    <x v="5"/>
    <x v="3"/>
    <x v="21"/>
    <x v="45"/>
    <x v="33"/>
    <x v="1"/>
    <n v="161167"/>
    <s v="Low"/>
    <x v="16"/>
    <n v="46"/>
    <x v="1"/>
    <x v="1"/>
    <n v="2.2799999999999998"/>
    <s v="Yes"/>
    <n v="2.06"/>
    <x v="2"/>
    <x v="3"/>
    <x v="0"/>
  </r>
  <r>
    <s v="AIJ-102774"/>
    <x v="15"/>
    <x v="8"/>
    <x v="3"/>
    <x v="1"/>
    <x v="16"/>
    <x v="75"/>
    <x v="9"/>
    <x v="0"/>
    <n v="215133"/>
    <s v="High"/>
    <x v="34"/>
    <n v="33"/>
    <x v="2"/>
    <x v="1"/>
    <n v="4.62"/>
    <s v="No"/>
    <n v="4.47"/>
    <x v="1"/>
    <x v="3"/>
    <x v="3"/>
  </r>
  <r>
    <s v="AIJ-102775"/>
    <x v="5"/>
    <x v="4"/>
    <x v="4"/>
    <x v="1"/>
    <x v="13"/>
    <x v="16"/>
    <x v="17"/>
    <x v="1"/>
    <n v="107608"/>
    <s v="Medium"/>
    <x v="31"/>
    <n v="39"/>
    <x v="2"/>
    <x v="2"/>
    <n v="2.27"/>
    <s v="Yes"/>
    <n v="1.56"/>
    <x v="0"/>
    <x v="2"/>
    <x v="1"/>
  </r>
  <r>
    <s v="AIJ-102776"/>
    <x v="6"/>
    <x v="6"/>
    <x v="9"/>
    <x v="1"/>
    <x v="21"/>
    <x v="35"/>
    <x v="22"/>
    <x v="2"/>
    <n v="189026"/>
    <s v="High"/>
    <x v="25"/>
    <n v="50"/>
    <x v="1"/>
    <x v="2"/>
    <n v="4.1399999999999997"/>
    <s v="Yes"/>
    <n v="3.87"/>
    <x v="1"/>
    <x v="3"/>
    <x v="0"/>
  </r>
  <r>
    <s v="AIJ-102777"/>
    <x v="15"/>
    <x v="5"/>
    <x v="4"/>
    <x v="1"/>
    <x v="13"/>
    <x v="56"/>
    <x v="60"/>
    <x v="0"/>
    <n v="41961"/>
    <s v="Medium"/>
    <x v="18"/>
    <n v="43"/>
    <x v="2"/>
    <x v="1"/>
    <n v="2.1800000000000002"/>
    <s v="Yes"/>
    <n v="3.66"/>
    <x v="0"/>
    <x v="2"/>
    <x v="1"/>
  </r>
  <r>
    <s v="AIJ-102778"/>
    <x v="11"/>
    <x v="7"/>
    <x v="0"/>
    <x v="2"/>
    <x v="24"/>
    <x v="76"/>
    <x v="77"/>
    <x v="0"/>
    <n v="125773"/>
    <s v="Low"/>
    <x v="1"/>
    <n v="36"/>
    <x v="2"/>
    <x v="1"/>
    <n v="4.75"/>
    <s v="Yes"/>
    <n v="1.47"/>
    <x v="1"/>
    <x v="2"/>
    <x v="1"/>
  </r>
  <r>
    <s v="AIJ-102779"/>
    <x v="13"/>
    <x v="6"/>
    <x v="7"/>
    <x v="0"/>
    <x v="4"/>
    <x v="31"/>
    <x v="20"/>
    <x v="1"/>
    <n v="88367"/>
    <s v="Medium"/>
    <x v="33"/>
    <n v="39"/>
    <x v="1"/>
    <x v="2"/>
    <n v="3.89"/>
    <s v="No"/>
    <n v="3.06"/>
    <x v="2"/>
    <x v="3"/>
    <x v="1"/>
  </r>
  <r>
    <s v="AIJ-102780"/>
    <x v="4"/>
    <x v="6"/>
    <x v="5"/>
    <x v="3"/>
    <x v="23"/>
    <x v="60"/>
    <x v="43"/>
    <x v="0"/>
    <n v="159442"/>
    <s v="Low"/>
    <x v="47"/>
    <n v="42"/>
    <x v="0"/>
    <x v="0"/>
    <n v="3.95"/>
    <s v="No"/>
    <n v="4.5199999999999996"/>
    <x v="1"/>
    <x v="2"/>
    <x v="3"/>
  </r>
  <r>
    <s v="AIJ-102781"/>
    <x v="8"/>
    <x v="2"/>
    <x v="7"/>
    <x v="2"/>
    <x v="18"/>
    <x v="15"/>
    <x v="7"/>
    <x v="0"/>
    <n v="122442"/>
    <s v="Low"/>
    <x v="24"/>
    <n v="46"/>
    <x v="2"/>
    <x v="0"/>
    <n v="3.73"/>
    <s v="Yes"/>
    <n v="4.17"/>
    <x v="0"/>
    <x v="3"/>
    <x v="3"/>
  </r>
  <r>
    <s v="AIJ-102782"/>
    <x v="4"/>
    <x v="5"/>
    <x v="5"/>
    <x v="3"/>
    <x v="16"/>
    <x v="67"/>
    <x v="44"/>
    <x v="2"/>
    <n v="219737"/>
    <s v="Low"/>
    <x v="39"/>
    <n v="40"/>
    <x v="1"/>
    <x v="0"/>
    <n v="2.63"/>
    <s v="No"/>
    <n v="1.41"/>
    <x v="1"/>
    <x v="2"/>
    <x v="3"/>
  </r>
  <r>
    <s v="AIJ-102783"/>
    <x v="5"/>
    <x v="8"/>
    <x v="8"/>
    <x v="2"/>
    <x v="2"/>
    <x v="86"/>
    <x v="30"/>
    <x v="2"/>
    <n v="160181"/>
    <s v="Medium"/>
    <x v="37"/>
    <n v="35"/>
    <x v="0"/>
    <x v="0"/>
    <n v="2.88"/>
    <s v="Yes"/>
    <n v="4.55"/>
    <x v="1"/>
    <x v="0"/>
    <x v="1"/>
  </r>
  <r>
    <s v="AIJ-102784"/>
    <x v="9"/>
    <x v="7"/>
    <x v="0"/>
    <x v="2"/>
    <x v="24"/>
    <x v="89"/>
    <x v="61"/>
    <x v="1"/>
    <n v="183537"/>
    <s v="Medium"/>
    <x v="43"/>
    <n v="58"/>
    <x v="2"/>
    <x v="0"/>
    <n v="4.2699999999999996"/>
    <s v="No"/>
    <n v="3.53"/>
    <x v="1"/>
    <x v="2"/>
    <x v="1"/>
  </r>
  <r>
    <s v="AIJ-102785"/>
    <x v="13"/>
    <x v="9"/>
    <x v="0"/>
    <x v="3"/>
    <x v="9"/>
    <x v="31"/>
    <x v="8"/>
    <x v="0"/>
    <n v="165840"/>
    <s v="Medium"/>
    <x v="38"/>
    <n v="60"/>
    <x v="2"/>
    <x v="0"/>
    <n v="3.77"/>
    <s v="Yes"/>
    <n v="1.54"/>
    <x v="2"/>
    <x v="0"/>
    <x v="1"/>
  </r>
  <r>
    <s v="AIJ-102786"/>
    <x v="7"/>
    <x v="9"/>
    <x v="7"/>
    <x v="1"/>
    <x v="20"/>
    <x v="46"/>
    <x v="40"/>
    <x v="0"/>
    <n v="33615"/>
    <s v="High"/>
    <x v="38"/>
    <n v="59"/>
    <x v="0"/>
    <x v="1"/>
    <n v="3.41"/>
    <s v="Yes"/>
    <n v="2.2200000000000002"/>
    <x v="1"/>
    <x v="2"/>
    <x v="2"/>
  </r>
  <r>
    <s v="AIJ-102787"/>
    <x v="13"/>
    <x v="1"/>
    <x v="2"/>
    <x v="0"/>
    <x v="23"/>
    <x v="14"/>
    <x v="79"/>
    <x v="0"/>
    <n v="158537"/>
    <s v="Medium"/>
    <x v="2"/>
    <n v="59"/>
    <x v="2"/>
    <x v="0"/>
    <n v="3.13"/>
    <s v="No"/>
    <n v="3.22"/>
    <x v="1"/>
    <x v="3"/>
    <x v="3"/>
  </r>
  <r>
    <s v="AIJ-102788"/>
    <x v="9"/>
    <x v="0"/>
    <x v="7"/>
    <x v="3"/>
    <x v="11"/>
    <x v="69"/>
    <x v="11"/>
    <x v="1"/>
    <n v="215048"/>
    <s v="Low"/>
    <x v="33"/>
    <n v="32"/>
    <x v="2"/>
    <x v="2"/>
    <n v="3.29"/>
    <s v="No"/>
    <n v="2.2000000000000002"/>
    <x v="0"/>
    <x v="2"/>
    <x v="1"/>
  </r>
  <r>
    <s v="AIJ-102789"/>
    <x v="3"/>
    <x v="6"/>
    <x v="2"/>
    <x v="2"/>
    <x v="21"/>
    <x v="78"/>
    <x v="54"/>
    <x v="0"/>
    <n v="115104"/>
    <s v="High"/>
    <x v="17"/>
    <n v="59"/>
    <x v="0"/>
    <x v="0"/>
    <n v="2.61"/>
    <s v="Yes"/>
    <n v="4.1399999999999997"/>
    <x v="0"/>
    <x v="1"/>
    <x v="0"/>
  </r>
  <r>
    <s v="AIJ-102790"/>
    <x v="3"/>
    <x v="9"/>
    <x v="6"/>
    <x v="0"/>
    <x v="14"/>
    <x v="77"/>
    <x v="23"/>
    <x v="2"/>
    <n v="41913"/>
    <s v="High"/>
    <x v="1"/>
    <n v="40"/>
    <x v="0"/>
    <x v="1"/>
    <n v="3.71"/>
    <s v="Yes"/>
    <n v="4.9800000000000004"/>
    <x v="1"/>
    <x v="0"/>
    <x v="2"/>
  </r>
  <r>
    <s v="AIJ-102791"/>
    <x v="0"/>
    <x v="8"/>
    <x v="6"/>
    <x v="0"/>
    <x v="24"/>
    <x v="47"/>
    <x v="74"/>
    <x v="0"/>
    <n v="114440"/>
    <s v="High"/>
    <x v="14"/>
    <n v="53"/>
    <x v="2"/>
    <x v="2"/>
    <n v="3.75"/>
    <s v="No"/>
    <n v="3.07"/>
    <x v="1"/>
    <x v="1"/>
    <x v="1"/>
  </r>
  <r>
    <s v="AIJ-102792"/>
    <x v="13"/>
    <x v="6"/>
    <x v="1"/>
    <x v="0"/>
    <x v="15"/>
    <x v="82"/>
    <x v="74"/>
    <x v="0"/>
    <n v="111157"/>
    <s v="High"/>
    <x v="31"/>
    <n v="56"/>
    <x v="0"/>
    <x v="1"/>
    <n v="3.2"/>
    <s v="No"/>
    <n v="3.43"/>
    <x v="2"/>
    <x v="2"/>
    <x v="1"/>
  </r>
  <r>
    <s v="AIJ-102793"/>
    <x v="9"/>
    <x v="5"/>
    <x v="3"/>
    <x v="2"/>
    <x v="7"/>
    <x v="66"/>
    <x v="31"/>
    <x v="1"/>
    <n v="91733"/>
    <s v="High"/>
    <x v="7"/>
    <n v="36"/>
    <x v="2"/>
    <x v="0"/>
    <n v="2.83"/>
    <s v="Yes"/>
    <n v="3.33"/>
    <x v="1"/>
    <x v="0"/>
    <x v="1"/>
  </r>
  <r>
    <s v="AIJ-102794"/>
    <x v="1"/>
    <x v="4"/>
    <x v="0"/>
    <x v="2"/>
    <x v="22"/>
    <x v="65"/>
    <x v="6"/>
    <x v="2"/>
    <n v="218558"/>
    <s v="Medium"/>
    <x v="2"/>
    <n v="30"/>
    <x v="1"/>
    <x v="1"/>
    <n v="3.55"/>
    <s v="No"/>
    <n v="3.77"/>
    <x v="0"/>
    <x v="3"/>
    <x v="2"/>
  </r>
  <r>
    <s v="AIJ-102795"/>
    <x v="11"/>
    <x v="6"/>
    <x v="6"/>
    <x v="3"/>
    <x v="18"/>
    <x v="14"/>
    <x v="56"/>
    <x v="1"/>
    <n v="150008"/>
    <s v="Low"/>
    <x v="41"/>
    <n v="37"/>
    <x v="2"/>
    <x v="0"/>
    <n v="3.82"/>
    <s v="No"/>
    <n v="4.58"/>
    <x v="2"/>
    <x v="2"/>
    <x v="3"/>
  </r>
  <r>
    <s v="AIJ-102796"/>
    <x v="4"/>
    <x v="3"/>
    <x v="3"/>
    <x v="2"/>
    <x v="12"/>
    <x v="45"/>
    <x v="8"/>
    <x v="2"/>
    <n v="33614"/>
    <s v="Medium"/>
    <x v="8"/>
    <n v="55"/>
    <x v="0"/>
    <x v="2"/>
    <n v="3.88"/>
    <s v="No"/>
    <n v="2.2599999999999998"/>
    <x v="1"/>
    <x v="0"/>
    <x v="3"/>
  </r>
  <r>
    <s v="AIJ-102797"/>
    <x v="0"/>
    <x v="0"/>
    <x v="7"/>
    <x v="2"/>
    <x v="8"/>
    <x v="60"/>
    <x v="68"/>
    <x v="1"/>
    <n v="164747"/>
    <s v="High"/>
    <x v="6"/>
    <n v="36"/>
    <x v="1"/>
    <x v="0"/>
    <n v="4.6900000000000004"/>
    <s v="Yes"/>
    <n v="1.67"/>
    <x v="2"/>
    <x v="1"/>
    <x v="2"/>
  </r>
  <r>
    <s v="AIJ-102798"/>
    <x v="10"/>
    <x v="5"/>
    <x v="4"/>
    <x v="2"/>
    <x v="14"/>
    <x v="4"/>
    <x v="53"/>
    <x v="2"/>
    <n v="132744"/>
    <s v="High"/>
    <x v="54"/>
    <n v="49"/>
    <x v="2"/>
    <x v="0"/>
    <n v="4.8099999999999996"/>
    <s v="Yes"/>
    <n v="4.96"/>
    <x v="2"/>
    <x v="0"/>
    <x v="2"/>
  </r>
  <r>
    <s v="AIJ-102799"/>
    <x v="9"/>
    <x v="3"/>
    <x v="0"/>
    <x v="0"/>
    <x v="6"/>
    <x v="10"/>
    <x v="65"/>
    <x v="0"/>
    <n v="133596"/>
    <s v="High"/>
    <x v="18"/>
    <n v="33"/>
    <x v="0"/>
    <x v="1"/>
    <n v="2.59"/>
    <s v="Yes"/>
    <n v="1.96"/>
    <x v="2"/>
    <x v="1"/>
    <x v="0"/>
  </r>
  <r>
    <s v="AIJ-102800"/>
    <x v="13"/>
    <x v="8"/>
    <x v="1"/>
    <x v="0"/>
    <x v="21"/>
    <x v="37"/>
    <x v="45"/>
    <x v="2"/>
    <n v="97464"/>
    <s v="Low"/>
    <x v="10"/>
    <n v="38"/>
    <x v="0"/>
    <x v="0"/>
    <n v="4.76"/>
    <s v="No"/>
    <n v="4.21"/>
    <x v="1"/>
    <x v="3"/>
    <x v="0"/>
  </r>
  <r>
    <s v="AIJ-102801"/>
    <x v="18"/>
    <x v="6"/>
    <x v="9"/>
    <x v="1"/>
    <x v="9"/>
    <x v="32"/>
    <x v="35"/>
    <x v="1"/>
    <n v="165033"/>
    <s v="Medium"/>
    <x v="11"/>
    <n v="37"/>
    <x v="1"/>
    <x v="0"/>
    <n v="2.15"/>
    <s v="Yes"/>
    <n v="2.6"/>
    <x v="2"/>
    <x v="3"/>
    <x v="1"/>
  </r>
  <r>
    <s v="AIJ-102802"/>
    <x v="12"/>
    <x v="7"/>
    <x v="9"/>
    <x v="3"/>
    <x v="11"/>
    <x v="60"/>
    <x v="23"/>
    <x v="2"/>
    <n v="130095"/>
    <s v="Medium"/>
    <x v="55"/>
    <n v="60"/>
    <x v="1"/>
    <x v="0"/>
    <n v="4.2"/>
    <s v="No"/>
    <n v="2.87"/>
    <x v="2"/>
    <x v="2"/>
    <x v="1"/>
  </r>
  <r>
    <s v="AIJ-102803"/>
    <x v="10"/>
    <x v="8"/>
    <x v="4"/>
    <x v="3"/>
    <x v="9"/>
    <x v="20"/>
    <x v="53"/>
    <x v="2"/>
    <n v="184618"/>
    <s v="Low"/>
    <x v="31"/>
    <n v="43"/>
    <x v="0"/>
    <x v="0"/>
    <n v="2.87"/>
    <s v="No"/>
    <n v="2.52"/>
    <x v="2"/>
    <x v="0"/>
    <x v="1"/>
  </r>
  <r>
    <s v="AIJ-102804"/>
    <x v="11"/>
    <x v="4"/>
    <x v="1"/>
    <x v="3"/>
    <x v="13"/>
    <x v="47"/>
    <x v="36"/>
    <x v="0"/>
    <n v="150957"/>
    <s v="High"/>
    <x v="17"/>
    <n v="49"/>
    <x v="2"/>
    <x v="2"/>
    <n v="2.48"/>
    <s v="Yes"/>
    <n v="4.0199999999999996"/>
    <x v="1"/>
    <x v="3"/>
    <x v="1"/>
  </r>
  <r>
    <s v="AIJ-102805"/>
    <x v="19"/>
    <x v="0"/>
    <x v="2"/>
    <x v="0"/>
    <x v="23"/>
    <x v="27"/>
    <x v="67"/>
    <x v="2"/>
    <n v="211748"/>
    <s v="Medium"/>
    <x v="30"/>
    <n v="52"/>
    <x v="2"/>
    <x v="1"/>
    <n v="3.38"/>
    <s v="No"/>
    <n v="2.92"/>
    <x v="1"/>
    <x v="3"/>
    <x v="3"/>
  </r>
  <r>
    <s v="AIJ-102806"/>
    <x v="11"/>
    <x v="3"/>
    <x v="9"/>
    <x v="2"/>
    <x v="9"/>
    <x v="23"/>
    <x v="5"/>
    <x v="2"/>
    <n v="98268"/>
    <s v="Medium"/>
    <x v="51"/>
    <n v="52"/>
    <x v="2"/>
    <x v="1"/>
    <n v="3.88"/>
    <s v="Yes"/>
    <n v="1.94"/>
    <x v="2"/>
    <x v="3"/>
    <x v="1"/>
  </r>
  <r>
    <s v="AIJ-102807"/>
    <x v="0"/>
    <x v="9"/>
    <x v="2"/>
    <x v="3"/>
    <x v="25"/>
    <x v="46"/>
    <x v="38"/>
    <x v="1"/>
    <n v="61630"/>
    <s v="High"/>
    <x v="14"/>
    <n v="55"/>
    <x v="1"/>
    <x v="0"/>
    <n v="3.88"/>
    <s v="Yes"/>
    <n v="4.1100000000000003"/>
    <x v="2"/>
    <x v="2"/>
    <x v="1"/>
  </r>
  <r>
    <s v="AIJ-102808"/>
    <x v="13"/>
    <x v="2"/>
    <x v="2"/>
    <x v="1"/>
    <x v="25"/>
    <x v="20"/>
    <x v="45"/>
    <x v="2"/>
    <n v="95349"/>
    <s v="Medium"/>
    <x v="35"/>
    <n v="52"/>
    <x v="1"/>
    <x v="1"/>
    <n v="3.65"/>
    <s v="Yes"/>
    <n v="4.08"/>
    <x v="0"/>
    <x v="0"/>
    <x v="1"/>
  </r>
  <r>
    <s v="AIJ-102809"/>
    <x v="8"/>
    <x v="6"/>
    <x v="0"/>
    <x v="1"/>
    <x v="7"/>
    <x v="51"/>
    <x v="66"/>
    <x v="0"/>
    <n v="156085"/>
    <s v="High"/>
    <x v="21"/>
    <n v="48"/>
    <x v="0"/>
    <x v="1"/>
    <n v="2.63"/>
    <s v="Yes"/>
    <n v="3.52"/>
    <x v="1"/>
    <x v="2"/>
    <x v="1"/>
  </r>
  <r>
    <s v="AIJ-102810"/>
    <x v="10"/>
    <x v="2"/>
    <x v="9"/>
    <x v="2"/>
    <x v="5"/>
    <x v="5"/>
    <x v="24"/>
    <x v="2"/>
    <n v="81516"/>
    <s v="Low"/>
    <x v="12"/>
    <n v="54"/>
    <x v="2"/>
    <x v="0"/>
    <n v="3.18"/>
    <s v="Yes"/>
    <n v="2.87"/>
    <x v="1"/>
    <x v="3"/>
    <x v="3"/>
  </r>
  <r>
    <s v="AIJ-102811"/>
    <x v="1"/>
    <x v="1"/>
    <x v="1"/>
    <x v="0"/>
    <x v="1"/>
    <x v="18"/>
    <x v="13"/>
    <x v="0"/>
    <n v="57732"/>
    <s v="Medium"/>
    <x v="30"/>
    <n v="58"/>
    <x v="2"/>
    <x v="2"/>
    <n v="2.04"/>
    <s v="Yes"/>
    <n v="4.97"/>
    <x v="0"/>
    <x v="2"/>
    <x v="1"/>
  </r>
  <r>
    <s v="AIJ-102812"/>
    <x v="19"/>
    <x v="8"/>
    <x v="1"/>
    <x v="0"/>
    <x v="9"/>
    <x v="82"/>
    <x v="65"/>
    <x v="0"/>
    <n v="88786"/>
    <s v="Medium"/>
    <x v="38"/>
    <n v="59"/>
    <x v="2"/>
    <x v="2"/>
    <n v="2.34"/>
    <s v="No"/>
    <n v="4.37"/>
    <x v="2"/>
    <x v="3"/>
    <x v="1"/>
  </r>
  <r>
    <s v="AIJ-102813"/>
    <x v="15"/>
    <x v="2"/>
    <x v="9"/>
    <x v="1"/>
    <x v="12"/>
    <x v="3"/>
    <x v="78"/>
    <x v="1"/>
    <n v="131213"/>
    <s v="Medium"/>
    <x v="23"/>
    <n v="41"/>
    <x v="0"/>
    <x v="1"/>
    <n v="2.4"/>
    <s v="No"/>
    <n v="2.86"/>
    <x v="0"/>
    <x v="3"/>
    <x v="3"/>
  </r>
  <r>
    <s v="AIJ-102814"/>
    <x v="13"/>
    <x v="1"/>
    <x v="8"/>
    <x v="0"/>
    <x v="9"/>
    <x v="28"/>
    <x v="6"/>
    <x v="2"/>
    <n v="116864"/>
    <s v="Low"/>
    <x v="3"/>
    <n v="52"/>
    <x v="0"/>
    <x v="0"/>
    <n v="4.8600000000000003"/>
    <s v="No"/>
    <n v="1.38"/>
    <x v="0"/>
    <x v="3"/>
    <x v="1"/>
  </r>
  <r>
    <s v="AIJ-102815"/>
    <x v="15"/>
    <x v="6"/>
    <x v="5"/>
    <x v="1"/>
    <x v="1"/>
    <x v="34"/>
    <x v="67"/>
    <x v="2"/>
    <n v="80602"/>
    <s v="Low"/>
    <x v="20"/>
    <n v="59"/>
    <x v="1"/>
    <x v="2"/>
    <n v="4.3499999999999996"/>
    <s v="Yes"/>
    <n v="1.1299999999999999"/>
    <x v="0"/>
    <x v="2"/>
    <x v="1"/>
  </r>
  <r>
    <s v="AIJ-102816"/>
    <x v="5"/>
    <x v="0"/>
    <x v="0"/>
    <x v="0"/>
    <x v="2"/>
    <x v="78"/>
    <x v="54"/>
    <x v="2"/>
    <n v="197606"/>
    <s v="Low"/>
    <x v="0"/>
    <n v="59"/>
    <x v="1"/>
    <x v="2"/>
    <n v="2.95"/>
    <s v="Yes"/>
    <n v="3.5"/>
    <x v="2"/>
    <x v="1"/>
    <x v="1"/>
  </r>
  <r>
    <s v="AIJ-102817"/>
    <x v="18"/>
    <x v="1"/>
    <x v="6"/>
    <x v="0"/>
    <x v="3"/>
    <x v="15"/>
    <x v="7"/>
    <x v="1"/>
    <n v="202965"/>
    <s v="High"/>
    <x v="55"/>
    <n v="52"/>
    <x v="0"/>
    <x v="2"/>
    <n v="2.87"/>
    <s v="No"/>
    <n v="4.2699999999999996"/>
    <x v="0"/>
    <x v="3"/>
    <x v="2"/>
  </r>
  <r>
    <s v="AIJ-102818"/>
    <x v="5"/>
    <x v="8"/>
    <x v="8"/>
    <x v="0"/>
    <x v="19"/>
    <x v="46"/>
    <x v="47"/>
    <x v="0"/>
    <n v="181481"/>
    <s v="Medium"/>
    <x v="15"/>
    <n v="49"/>
    <x v="0"/>
    <x v="2"/>
    <n v="2.57"/>
    <s v="No"/>
    <n v="1.34"/>
    <x v="0"/>
    <x v="2"/>
    <x v="2"/>
  </r>
  <r>
    <s v="AIJ-102819"/>
    <x v="2"/>
    <x v="6"/>
    <x v="0"/>
    <x v="2"/>
    <x v="3"/>
    <x v="19"/>
    <x v="5"/>
    <x v="2"/>
    <n v="159433"/>
    <s v="Low"/>
    <x v="42"/>
    <n v="60"/>
    <x v="1"/>
    <x v="2"/>
    <n v="4.6900000000000004"/>
    <s v="Yes"/>
    <n v="2.2599999999999998"/>
    <x v="0"/>
    <x v="3"/>
    <x v="2"/>
  </r>
  <r>
    <s v="AIJ-102820"/>
    <x v="4"/>
    <x v="8"/>
    <x v="5"/>
    <x v="2"/>
    <x v="15"/>
    <x v="26"/>
    <x v="74"/>
    <x v="0"/>
    <n v="131914"/>
    <s v="Low"/>
    <x v="31"/>
    <n v="43"/>
    <x v="1"/>
    <x v="0"/>
    <n v="4.5999999999999996"/>
    <s v="No"/>
    <n v="1.92"/>
    <x v="0"/>
    <x v="3"/>
    <x v="1"/>
  </r>
  <r>
    <s v="AIJ-102821"/>
    <x v="18"/>
    <x v="8"/>
    <x v="8"/>
    <x v="2"/>
    <x v="14"/>
    <x v="64"/>
    <x v="63"/>
    <x v="0"/>
    <n v="73982"/>
    <s v="Low"/>
    <x v="39"/>
    <n v="48"/>
    <x v="1"/>
    <x v="0"/>
    <n v="2.4700000000000002"/>
    <s v="Yes"/>
    <n v="1.61"/>
    <x v="1"/>
    <x v="1"/>
    <x v="2"/>
  </r>
  <r>
    <s v="AIJ-102822"/>
    <x v="11"/>
    <x v="1"/>
    <x v="8"/>
    <x v="1"/>
    <x v="10"/>
    <x v="25"/>
    <x v="63"/>
    <x v="1"/>
    <n v="74430"/>
    <s v="Low"/>
    <x v="0"/>
    <n v="45"/>
    <x v="2"/>
    <x v="0"/>
    <n v="3.61"/>
    <s v="No"/>
    <n v="3.12"/>
    <x v="1"/>
    <x v="3"/>
    <x v="3"/>
  </r>
  <r>
    <s v="AIJ-102823"/>
    <x v="11"/>
    <x v="8"/>
    <x v="8"/>
    <x v="3"/>
    <x v="15"/>
    <x v="46"/>
    <x v="56"/>
    <x v="2"/>
    <n v="47900"/>
    <s v="Medium"/>
    <x v="41"/>
    <n v="37"/>
    <x v="0"/>
    <x v="1"/>
    <n v="2.27"/>
    <s v="No"/>
    <n v="1.1599999999999999"/>
    <x v="1"/>
    <x v="3"/>
    <x v="1"/>
  </r>
  <r>
    <s v="AIJ-102824"/>
    <x v="0"/>
    <x v="9"/>
    <x v="0"/>
    <x v="0"/>
    <x v="3"/>
    <x v="12"/>
    <x v="41"/>
    <x v="0"/>
    <n v="75768"/>
    <s v="Medium"/>
    <x v="19"/>
    <n v="55"/>
    <x v="0"/>
    <x v="0"/>
    <n v="4.12"/>
    <s v="Yes"/>
    <n v="1.52"/>
    <x v="2"/>
    <x v="3"/>
    <x v="2"/>
  </r>
  <r>
    <s v="AIJ-102825"/>
    <x v="5"/>
    <x v="1"/>
    <x v="0"/>
    <x v="3"/>
    <x v="23"/>
    <x v="25"/>
    <x v="67"/>
    <x v="2"/>
    <n v="127732"/>
    <s v="Low"/>
    <x v="7"/>
    <n v="51"/>
    <x v="1"/>
    <x v="1"/>
    <n v="3.73"/>
    <s v="Yes"/>
    <n v="2.3199999999999998"/>
    <x v="1"/>
    <x v="3"/>
    <x v="3"/>
  </r>
  <r>
    <s v="AIJ-102826"/>
    <x v="19"/>
    <x v="9"/>
    <x v="5"/>
    <x v="2"/>
    <x v="12"/>
    <x v="37"/>
    <x v="75"/>
    <x v="0"/>
    <n v="177727"/>
    <s v="High"/>
    <x v="53"/>
    <n v="42"/>
    <x v="2"/>
    <x v="2"/>
    <n v="3.21"/>
    <s v="No"/>
    <n v="3.49"/>
    <x v="1"/>
    <x v="2"/>
    <x v="3"/>
  </r>
  <r>
    <s v="AIJ-102827"/>
    <x v="9"/>
    <x v="9"/>
    <x v="7"/>
    <x v="3"/>
    <x v="13"/>
    <x v="30"/>
    <x v="66"/>
    <x v="0"/>
    <n v="191815"/>
    <s v="Low"/>
    <x v="16"/>
    <n v="32"/>
    <x v="2"/>
    <x v="0"/>
    <n v="4"/>
    <s v="No"/>
    <n v="2.21"/>
    <x v="2"/>
    <x v="2"/>
    <x v="1"/>
  </r>
  <r>
    <s v="AIJ-102828"/>
    <x v="5"/>
    <x v="5"/>
    <x v="6"/>
    <x v="2"/>
    <x v="4"/>
    <x v="86"/>
    <x v="45"/>
    <x v="1"/>
    <n v="166993"/>
    <s v="High"/>
    <x v="42"/>
    <n v="55"/>
    <x v="1"/>
    <x v="0"/>
    <n v="2.67"/>
    <s v="No"/>
    <n v="3.85"/>
    <x v="2"/>
    <x v="0"/>
    <x v="1"/>
  </r>
  <r>
    <s v="AIJ-102829"/>
    <x v="8"/>
    <x v="4"/>
    <x v="4"/>
    <x v="0"/>
    <x v="15"/>
    <x v="4"/>
    <x v="69"/>
    <x v="0"/>
    <n v="108659"/>
    <s v="High"/>
    <x v="26"/>
    <n v="31"/>
    <x v="2"/>
    <x v="0"/>
    <n v="2.76"/>
    <s v="Yes"/>
    <n v="2.9"/>
    <x v="0"/>
    <x v="0"/>
    <x v="1"/>
  </r>
  <r>
    <s v="AIJ-102830"/>
    <x v="14"/>
    <x v="0"/>
    <x v="8"/>
    <x v="3"/>
    <x v="23"/>
    <x v="84"/>
    <x v="13"/>
    <x v="1"/>
    <n v="72074"/>
    <s v="Low"/>
    <x v="54"/>
    <n v="32"/>
    <x v="2"/>
    <x v="1"/>
    <n v="4.05"/>
    <s v="No"/>
    <n v="1.42"/>
    <x v="2"/>
    <x v="2"/>
    <x v="3"/>
  </r>
  <r>
    <s v="AIJ-102831"/>
    <x v="2"/>
    <x v="3"/>
    <x v="3"/>
    <x v="2"/>
    <x v="12"/>
    <x v="57"/>
    <x v="70"/>
    <x v="2"/>
    <n v="153927"/>
    <s v="Medium"/>
    <x v="5"/>
    <n v="50"/>
    <x v="1"/>
    <x v="0"/>
    <n v="3.21"/>
    <s v="Yes"/>
    <n v="1.42"/>
    <x v="0"/>
    <x v="1"/>
    <x v="3"/>
  </r>
  <r>
    <s v="AIJ-102832"/>
    <x v="1"/>
    <x v="1"/>
    <x v="5"/>
    <x v="0"/>
    <x v="16"/>
    <x v="77"/>
    <x v="32"/>
    <x v="1"/>
    <n v="163394"/>
    <s v="High"/>
    <x v="4"/>
    <n v="30"/>
    <x v="2"/>
    <x v="2"/>
    <n v="3.56"/>
    <s v="No"/>
    <n v="3.95"/>
    <x v="0"/>
    <x v="0"/>
    <x v="3"/>
  </r>
  <r>
    <s v="AIJ-102833"/>
    <x v="13"/>
    <x v="7"/>
    <x v="6"/>
    <x v="2"/>
    <x v="6"/>
    <x v="1"/>
    <x v="57"/>
    <x v="2"/>
    <n v="73681"/>
    <s v="Medium"/>
    <x v="15"/>
    <n v="41"/>
    <x v="1"/>
    <x v="1"/>
    <n v="3.36"/>
    <s v="Yes"/>
    <n v="4.72"/>
    <x v="1"/>
    <x v="3"/>
    <x v="0"/>
  </r>
  <r>
    <s v="AIJ-102834"/>
    <x v="18"/>
    <x v="8"/>
    <x v="3"/>
    <x v="1"/>
    <x v="21"/>
    <x v="61"/>
    <x v="13"/>
    <x v="0"/>
    <n v="44899"/>
    <s v="High"/>
    <x v="31"/>
    <n v="38"/>
    <x v="2"/>
    <x v="2"/>
    <n v="4.45"/>
    <s v="No"/>
    <n v="3.88"/>
    <x v="1"/>
    <x v="2"/>
    <x v="0"/>
  </r>
  <r>
    <s v="AIJ-102835"/>
    <x v="12"/>
    <x v="7"/>
    <x v="5"/>
    <x v="1"/>
    <x v="7"/>
    <x v="90"/>
    <x v="5"/>
    <x v="2"/>
    <n v="92587"/>
    <s v="Low"/>
    <x v="8"/>
    <n v="55"/>
    <x v="1"/>
    <x v="2"/>
    <n v="3.96"/>
    <s v="No"/>
    <n v="3.33"/>
    <x v="0"/>
    <x v="3"/>
    <x v="1"/>
  </r>
  <r>
    <s v="AIJ-102836"/>
    <x v="4"/>
    <x v="6"/>
    <x v="7"/>
    <x v="0"/>
    <x v="12"/>
    <x v="76"/>
    <x v="1"/>
    <x v="1"/>
    <n v="195197"/>
    <s v="Low"/>
    <x v="3"/>
    <n v="45"/>
    <x v="0"/>
    <x v="1"/>
    <n v="4.75"/>
    <s v="Yes"/>
    <n v="1.1399999999999999"/>
    <x v="2"/>
    <x v="2"/>
    <x v="3"/>
  </r>
  <r>
    <s v="AIJ-102837"/>
    <x v="14"/>
    <x v="4"/>
    <x v="7"/>
    <x v="2"/>
    <x v="18"/>
    <x v="12"/>
    <x v="54"/>
    <x v="2"/>
    <n v="73988"/>
    <s v="Low"/>
    <x v="5"/>
    <n v="52"/>
    <x v="0"/>
    <x v="1"/>
    <n v="4.3899999999999997"/>
    <s v="No"/>
    <n v="3.78"/>
    <x v="0"/>
    <x v="3"/>
    <x v="3"/>
  </r>
  <r>
    <s v="AIJ-102838"/>
    <x v="19"/>
    <x v="8"/>
    <x v="0"/>
    <x v="3"/>
    <x v="1"/>
    <x v="29"/>
    <x v="53"/>
    <x v="0"/>
    <n v="120619"/>
    <s v="Medium"/>
    <x v="37"/>
    <n v="54"/>
    <x v="1"/>
    <x v="2"/>
    <n v="2.4"/>
    <s v="Yes"/>
    <n v="2.4500000000000002"/>
    <x v="2"/>
    <x v="3"/>
    <x v="1"/>
  </r>
  <r>
    <s v="AIJ-102839"/>
    <x v="13"/>
    <x v="4"/>
    <x v="7"/>
    <x v="2"/>
    <x v="5"/>
    <x v="33"/>
    <x v="13"/>
    <x v="0"/>
    <n v="185278"/>
    <s v="Medium"/>
    <x v="36"/>
    <n v="49"/>
    <x v="1"/>
    <x v="2"/>
    <n v="3.59"/>
    <s v="Yes"/>
    <n v="4.28"/>
    <x v="2"/>
    <x v="1"/>
    <x v="3"/>
  </r>
  <r>
    <s v="AIJ-102840"/>
    <x v="7"/>
    <x v="5"/>
    <x v="7"/>
    <x v="3"/>
    <x v="11"/>
    <x v="49"/>
    <x v="21"/>
    <x v="0"/>
    <n v="87946"/>
    <s v="Medium"/>
    <x v="26"/>
    <n v="40"/>
    <x v="1"/>
    <x v="1"/>
    <n v="3.64"/>
    <s v="Yes"/>
    <n v="1.38"/>
    <x v="2"/>
    <x v="2"/>
    <x v="1"/>
  </r>
  <r>
    <s v="AIJ-102841"/>
    <x v="15"/>
    <x v="8"/>
    <x v="2"/>
    <x v="0"/>
    <x v="16"/>
    <x v="50"/>
    <x v="40"/>
    <x v="0"/>
    <n v="160721"/>
    <s v="High"/>
    <x v="14"/>
    <n v="56"/>
    <x v="0"/>
    <x v="2"/>
    <n v="3.36"/>
    <s v="Yes"/>
    <n v="2.19"/>
    <x v="1"/>
    <x v="2"/>
    <x v="3"/>
  </r>
  <r>
    <s v="AIJ-102842"/>
    <x v="11"/>
    <x v="9"/>
    <x v="4"/>
    <x v="1"/>
    <x v="18"/>
    <x v="76"/>
    <x v="70"/>
    <x v="2"/>
    <n v="79702"/>
    <s v="Medium"/>
    <x v="39"/>
    <n v="35"/>
    <x v="0"/>
    <x v="1"/>
    <n v="4.09"/>
    <s v="No"/>
    <n v="1.86"/>
    <x v="1"/>
    <x v="2"/>
    <x v="3"/>
  </r>
  <r>
    <s v="AIJ-102843"/>
    <x v="3"/>
    <x v="1"/>
    <x v="0"/>
    <x v="3"/>
    <x v="22"/>
    <x v="9"/>
    <x v="62"/>
    <x v="1"/>
    <n v="178565"/>
    <s v="Low"/>
    <x v="30"/>
    <n v="48"/>
    <x v="2"/>
    <x v="2"/>
    <n v="4.83"/>
    <s v="Yes"/>
    <n v="4.09"/>
    <x v="1"/>
    <x v="3"/>
    <x v="2"/>
  </r>
  <r>
    <s v="AIJ-102844"/>
    <x v="18"/>
    <x v="3"/>
    <x v="0"/>
    <x v="2"/>
    <x v="14"/>
    <x v="35"/>
    <x v="5"/>
    <x v="1"/>
    <n v="97158"/>
    <s v="Low"/>
    <x v="45"/>
    <n v="59"/>
    <x v="1"/>
    <x v="2"/>
    <n v="2.41"/>
    <s v="Yes"/>
    <n v="3.02"/>
    <x v="0"/>
    <x v="2"/>
    <x v="2"/>
  </r>
  <r>
    <s v="AIJ-102845"/>
    <x v="17"/>
    <x v="0"/>
    <x v="1"/>
    <x v="2"/>
    <x v="9"/>
    <x v="67"/>
    <x v="21"/>
    <x v="0"/>
    <n v="105506"/>
    <s v="Low"/>
    <x v="46"/>
    <n v="43"/>
    <x v="0"/>
    <x v="1"/>
    <n v="3.83"/>
    <s v="No"/>
    <n v="1.58"/>
    <x v="2"/>
    <x v="2"/>
    <x v="1"/>
  </r>
  <r>
    <s v="AIJ-102846"/>
    <x v="1"/>
    <x v="4"/>
    <x v="9"/>
    <x v="0"/>
    <x v="22"/>
    <x v="49"/>
    <x v="74"/>
    <x v="0"/>
    <n v="207657"/>
    <s v="Low"/>
    <x v="32"/>
    <n v="31"/>
    <x v="0"/>
    <x v="0"/>
    <n v="2.97"/>
    <s v="No"/>
    <n v="2.13"/>
    <x v="2"/>
    <x v="3"/>
    <x v="2"/>
  </r>
  <r>
    <s v="AIJ-102847"/>
    <x v="16"/>
    <x v="4"/>
    <x v="0"/>
    <x v="2"/>
    <x v="18"/>
    <x v="20"/>
    <x v="0"/>
    <x v="0"/>
    <n v="192543"/>
    <s v="Medium"/>
    <x v="3"/>
    <n v="51"/>
    <x v="0"/>
    <x v="0"/>
    <n v="3.48"/>
    <s v="Yes"/>
    <n v="2.34"/>
    <x v="0"/>
    <x v="0"/>
    <x v="3"/>
  </r>
  <r>
    <s v="AIJ-102848"/>
    <x v="7"/>
    <x v="9"/>
    <x v="3"/>
    <x v="2"/>
    <x v="0"/>
    <x v="14"/>
    <x v="30"/>
    <x v="1"/>
    <n v="44256"/>
    <s v="High"/>
    <x v="9"/>
    <n v="52"/>
    <x v="1"/>
    <x v="0"/>
    <n v="4.8499999999999996"/>
    <s v="No"/>
    <n v="1.52"/>
    <x v="2"/>
    <x v="2"/>
    <x v="0"/>
  </r>
  <r>
    <s v="AIJ-102849"/>
    <x v="16"/>
    <x v="5"/>
    <x v="4"/>
    <x v="1"/>
    <x v="25"/>
    <x v="75"/>
    <x v="71"/>
    <x v="1"/>
    <n v="110470"/>
    <s v="Low"/>
    <x v="10"/>
    <n v="34"/>
    <x v="2"/>
    <x v="2"/>
    <n v="3.28"/>
    <s v="Yes"/>
    <n v="2.2200000000000002"/>
    <x v="2"/>
    <x v="0"/>
    <x v="1"/>
  </r>
  <r>
    <s v="AIJ-102850"/>
    <x v="14"/>
    <x v="9"/>
    <x v="5"/>
    <x v="2"/>
    <x v="20"/>
    <x v="31"/>
    <x v="6"/>
    <x v="2"/>
    <n v="97269"/>
    <s v="Low"/>
    <x v="35"/>
    <n v="49"/>
    <x v="2"/>
    <x v="0"/>
    <n v="2.89"/>
    <s v="Yes"/>
    <n v="3.17"/>
    <x v="0"/>
    <x v="0"/>
    <x v="2"/>
  </r>
  <r>
    <s v="AIJ-102851"/>
    <x v="19"/>
    <x v="1"/>
    <x v="6"/>
    <x v="1"/>
    <x v="8"/>
    <x v="44"/>
    <x v="56"/>
    <x v="0"/>
    <n v="61698"/>
    <s v="Medium"/>
    <x v="23"/>
    <n v="31"/>
    <x v="0"/>
    <x v="0"/>
    <n v="2.16"/>
    <s v="Yes"/>
    <n v="4.28"/>
    <x v="2"/>
    <x v="3"/>
    <x v="2"/>
  </r>
  <r>
    <s v="AIJ-102852"/>
    <x v="1"/>
    <x v="5"/>
    <x v="6"/>
    <x v="1"/>
    <x v="3"/>
    <x v="15"/>
    <x v="58"/>
    <x v="1"/>
    <n v="127920"/>
    <s v="Low"/>
    <x v="11"/>
    <n v="44"/>
    <x v="2"/>
    <x v="1"/>
    <n v="3.57"/>
    <s v="No"/>
    <n v="2.34"/>
    <x v="0"/>
    <x v="3"/>
    <x v="2"/>
  </r>
  <r>
    <s v="AIJ-102853"/>
    <x v="16"/>
    <x v="8"/>
    <x v="5"/>
    <x v="1"/>
    <x v="25"/>
    <x v="19"/>
    <x v="21"/>
    <x v="1"/>
    <n v="188073"/>
    <s v="Medium"/>
    <x v="33"/>
    <n v="49"/>
    <x v="2"/>
    <x v="2"/>
    <n v="4.57"/>
    <s v="Yes"/>
    <n v="1.36"/>
    <x v="1"/>
    <x v="2"/>
    <x v="1"/>
  </r>
  <r>
    <s v="AIJ-102854"/>
    <x v="11"/>
    <x v="5"/>
    <x v="3"/>
    <x v="2"/>
    <x v="25"/>
    <x v="41"/>
    <x v="63"/>
    <x v="1"/>
    <n v="101987"/>
    <s v="Low"/>
    <x v="26"/>
    <n v="30"/>
    <x v="0"/>
    <x v="0"/>
    <n v="2.67"/>
    <s v="No"/>
    <n v="2.83"/>
    <x v="1"/>
    <x v="2"/>
    <x v="1"/>
  </r>
  <r>
    <s v="AIJ-102855"/>
    <x v="16"/>
    <x v="4"/>
    <x v="1"/>
    <x v="1"/>
    <x v="6"/>
    <x v="72"/>
    <x v="75"/>
    <x v="1"/>
    <n v="216436"/>
    <s v="Medium"/>
    <x v="48"/>
    <n v="41"/>
    <x v="1"/>
    <x v="2"/>
    <n v="4.1900000000000004"/>
    <s v="Yes"/>
    <n v="3.53"/>
    <x v="1"/>
    <x v="3"/>
    <x v="0"/>
  </r>
  <r>
    <s v="AIJ-102856"/>
    <x v="18"/>
    <x v="5"/>
    <x v="1"/>
    <x v="0"/>
    <x v="9"/>
    <x v="60"/>
    <x v="76"/>
    <x v="1"/>
    <n v="170590"/>
    <s v="Medium"/>
    <x v="33"/>
    <n v="59"/>
    <x v="0"/>
    <x v="1"/>
    <n v="4.57"/>
    <s v="Yes"/>
    <n v="2.38"/>
    <x v="0"/>
    <x v="1"/>
    <x v="1"/>
  </r>
  <r>
    <s v="AIJ-102857"/>
    <x v="9"/>
    <x v="1"/>
    <x v="6"/>
    <x v="1"/>
    <x v="11"/>
    <x v="41"/>
    <x v="76"/>
    <x v="2"/>
    <n v="168286"/>
    <s v="High"/>
    <x v="9"/>
    <n v="43"/>
    <x v="0"/>
    <x v="1"/>
    <n v="3.23"/>
    <s v="Yes"/>
    <n v="2.84"/>
    <x v="2"/>
    <x v="2"/>
    <x v="1"/>
  </r>
  <r>
    <s v="AIJ-102858"/>
    <x v="9"/>
    <x v="6"/>
    <x v="3"/>
    <x v="3"/>
    <x v="9"/>
    <x v="42"/>
    <x v="53"/>
    <x v="2"/>
    <n v="125371"/>
    <s v="High"/>
    <x v="20"/>
    <n v="33"/>
    <x v="0"/>
    <x v="0"/>
    <n v="3.2"/>
    <s v="No"/>
    <n v="4.54"/>
    <x v="2"/>
    <x v="0"/>
    <x v="1"/>
  </r>
  <r>
    <s v="AIJ-102859"/>
    <x v="2"/>
    <x v="9"/>
    <x v="8"/>
    <x v="2"/>
    <x v="24"/>
    <x v="4"/>
    <x v="61"/>
    <x v="0"/>
    <n v="63048"/>
    <s v="Medium"/>
    <x v="5"/>
    <n v="36"/>
    <x v="0"/>
    <x v="2"/>
    <n v="3.07"/>
    <s v="No"/>
    <n v="1.67"/>
    <x v="1"/>
    <x v="3"/>
    <x v="1"/>
  </r>
  <r>
    <s v="AIJ-102860"/>
    <x v="15"/>
    <x v="3"/>
    <x v="3"/>
    <x v="0"/>
    <x v="15"/>
    <x v="51"/>
    <x v="42"/>
    <x v="0"/>
    <n v="55302"/>
    <s v="Medium"/>
    <x v="2"/>
    <n v="37"/>
    <x v="2"/>
    <x v="2"/>
    <n v="4.5599999999999996"/>
    <s v="Yes"/>
    <n v="3.94"/>
    <x v="2"/>
    <x v="3"/>
    <x v="1"/>
  </r>
  <r>
    <s v="AIJ-102861"/>
    <x v="9"/>
    <x v="6"/>
    <x v="3"/>
    <x v="1"/>
    <x v="22"/>
    <x v="37"/>
    <x v="74"/>
    <x v="1"/>
    <n v="215145"/>
    <s v="Medium"/>
    <x v="49"/>
    <n v="49"/>
    <x v="1"/>
    <x v="2"/>
    <n v="4.8099999999999996"/>
    <s v="Yes"/>
    <n v="4.25"/>
    <x v="2"/>
    <x v="2"/>
    <x v="2"/>
  </r>
  <r>
    <s v="AIJ-102862"/>
    <x v="13"/>
    <x v="8"/>
    <x v="2"/>
    <x v="2"/>
    <x v="4"/>
    <x v="31"/>
    <x v="64"/>
    <x v="2"/>
    <n v="51401"/>
    <s v="Medium"/>
    <x v="34"/>
    <n v="42"/>
    <x v="1"/>
    <x v="2"/>
    <n v="4.37"/>
    <s v="No"/>
    <n v="4.05"/>
    <x v="0"/>
    <x v="0"/>
    <x v="1"/>
  </r>
  <r>
    <s v="AIJ-102863"/>
    <x v="7"/>
    <x v="7"/>
    <x v="0"/>
    <x v="1"/>
    <x v="19"/>
    <x v="42"/>
    <x v="8"/>
    <x v="2"/>
    <n v="108881"/>
    <s v="Low"/>
    <x v="29"/>
    <n v="33"/>
    <x v="1"/>
    <x v="1"/>
    <n v="2.88"/>
    <s v="No"/>
    <n v="1.01"/>
    <x v="0"/>
    <x v="0"/>
    <x v="2"/>
  </r>
  <r>
    <s v="AIJ-102864"/>
    <x v="5"/>
    <x v="6"/>
    <x v="3"/>
    <x v="0"/>
    <x v="14"/>
    <x v="44"/>
    <x v="21"/>
    <x v="1"/>
    <n v="119658"/>
    <s v="Low"/>
    <x v="54"/>
    <n v="47"/>
    <x v="0"/>
    <x v="1"/>
    <n v="4.08"/>
    <s v="No"/>
    <n v="1.77"/>
    <x v="0"/>
    <x v="1"/>
    <x v="2"/>
  </r>
  <r>
    <s v="AIJ-102865"/>
    <x v="11"/>
    <x v="1"/>
    <x v="9"/>
    <x v="2"/>
    <x v="1"/>
    <x v="14"/>
    <x v="36"/>
    <x v="1"/>
    <n v="91316"/>
    <s v="Low"/>
    <x v="45"/>
    <n v="30"/>
    <x v="2"/>
    <x v="0"/>
    <n v="4.55"/>
    <s v="No"/>
    <n v="3.67"/>
    <x v="0"/>
    <x v="3"/>
    <x v="1"/>
  </r>
  <r>
    <s v="AIJ-102866"/>
    <x v="19"/>
    <x v="8"/>
    <x v="2"/>
    <x v="2"/>
    <x v="12"/>
    <x v="79"/>
    <x v="57"/>
    <x v="1"/>
    <n v="129315"/>
    <s v="Medium"/>
    <x v="36"/>
    <n v="40"/>
    <x v="1"/>
    <x v="1"/>
    <n v="3.77"/>
    <s v="No"/>
    <n v="2.02"/>
    <x v="1"/>
    <x v="0"/>
    <x v="3"/>
  </r>
  <r>
    <s v="AIJ-102867"/>
    <x v="0"/>
    <x v="2"/>
    <x v="8"/>
    <x v="0"/>
    <x v="8"/>
    <x v="38"/>
    <x v="66"/>
    <x v="2"/>
    <n v="32036"/>
    <s v="Medium"/>
    <x v="46"/>
    <n v="36"/>
    <x v="0"/>
    <x v="1"/>
    <n v="2.31"/>
    <s v="No"/>
    <n v="1.67"/>
    <x v="1"/>
    <x v="2"/>
    <x v="2"/>
  </r>
  <r>
    <s v="AIJ-102868"/>
    <x v="13"/>
    <x v="8"/>
    <x v="6"/>
    <x v="0"/>
    <x v="7"/>
    <x v="82"/>
    <x v="8"/>
    <x v="2"/>
    <n v="178246"/>
    <s v="High"/>
    <x v="34"/>
    <n v="60"/>
    <x v="0"/>
    <x v="0"/>
    <n v="4.25"/>
    <s v="Yes"/>
    <n v="1.66"/>
    <x v="1"/>
    <x v="0"/>
    <x v="1"/>
  </r>
  <r>
    <s v="AIJ-102869"/>
    <x v="15"/>
    <x v="3"/>
    <x v="8"/>
    <x v="1"/>
    <x v="20"/>
    <x v="24"/>
    <x v="47"/>
    <x v="2"/>
    <n v="200667"/>
    <s v="Medium"/>
    <x v="55"/>
    <n v="57"/>
    <x v="1"/>
    <x v="2"/>
    <n v="4.78"/>
    <s v="Yes"/>
    <n v="2.36"/>
    <x v="1"/>
    <x v="3"/>
    <x v="2"/>
  </r>
  <r>
    <s v="AIJ-102870"/>
    <x v="4"/>
    <x v="6"/>
    <x v="8"/>
    <x v="3"/>
    <x v="21"/>
    <x v="44"/>
    <x v="55"/>
    <x v="2"/>
    <n v="205050"/>
    <s v="Low"/>
    <x v="0"/>
    <n v="51"/>
    <x v="2"/>
    <x v="2"/>
    <n v="4.9000000000000004"/>
    <s v="Yes"/>
    <n v="1.75"/>
    <x v="0"/>
    <x v="3"/>
    <x v="0"/>
  </r>
  <r>
    <s v="AIJ-102871"/>
    <x v="17"/>
    <x v="0"/>
    <x v="5"/>
    <x v="0"/>
    <x v="20"/>
    <x v="52"/>
    <x v="17"/>
    <x v="2"/>
    <n v="44242"/>
    <s v="Low"/>
    <x v="16"/>
    <n v="42"/>
    <x v="2"/>
    <x v="0"/>
    <n v="2.84"/>
    <s v="Yes"/>
    <n v="2.63"/>
    <x v="1"/>
    <x v="2"/>
    <x v="2"/>
  </r>
  <r>
    <s v="AIJ-102872"/>
    <x v="7"/>
    <x v="1"/>
    <x v="5"/>
    <x v="3"/>
    <x v="20"/>
    <x v="80"/>
    <x v="26"/>
    <x v="2"/>
    <n v="87633"/>
    <s v="Low"/>
    <x v="44"/>
    <n v="42"/>
    <x v="2"/>
    <x v="1"/>
    <n v="2.57"/>
    <s v="No"/>
    <n v="3.33"/>
    <x v="2"/>
    <x v="1"/>
    <x v="2"/>
  </r>
  <r>
    <s v="AIJ-102873"/>
    <x v="6"/>
    <x v="1"/>
    <x v="1"/>
    <x v="2"/>
    <x v="15"/>
    <x v="74"/>
    <x v="24"/>
    <x v="0"/>
    <n v="90182"/>
    <s v="Low"/>
    <x v="30"/>
    <n v="38"/>
    <x v="0"/>
    <x v="2"/>
    <n v="3.14"/>
    <s v="Yes"/>
    <n v="2.1800000000000002"/>
    <x v="1"/>
    <x v="3"/>
    <x v="1"/>
  </r>
  <r>
    <s v="AIJ-102874"/>
    <x v="5"/>
    <x v="6"/>
    <x v="7"/>
    <x v="3"/>
    <x v="4"/>
    <x v="4"/>
    <x v="62"/>
    <x v="1"/>
    <n v="207066"/>
    <s v="Medium"/>
    <x v="16"/>
    <n v="41"/>
    <x v="1"/>
    <x v="2"/>
    <n v="4.78"/>
    <s v="No"/>
    <n v="2.93"/>
    <x v="0"/>
    <x v="0"/>
    <x v="1"/>
  </r>
  <r>
    <s v="AIJ-102875"/>
    <x v="5"/>
    <x v="7"/>
    <x v="7"/>
    <x v="1"/>
    <x v="11"/>
    <x v="42"/>
    <x v="54"/>
    <x v="0"/>
    <n v="95082"/>
    <s v="Low"/>
    <x v="33"/>
    <n v="51"/>
    <x v="0"/>
    <x v="1"/>
    <n v="3.27"/>
    <s v="No"/>
    <n v="1.43"/>
    <x v="0"/>
    <x v="2"/>
    <x v="1"/>
  </r>
  <r>
    <s v="AIJ-102876"/>
    <x v="10"/>
    <x v="7"/>
    <x v="0"/>
    <x v="0"/>
    <x v="18"/>
    <x v="55"/>
    <x v="65"/>
    <x v="1"/>
    <n v="135149"/>
    <s v="High"/>
    <x v="6"/>
    <n v="41"/>
    <x v="0"/>
    <x v="1"/>
    <n v="2.25"/>
    <s v="No"/>
    <n v="3.26"/>
    <x v="0"/>
    <x v="1"/>
    <x v="3"/>
  </r>
  <r>
    <s v="AIJ-102877"/>
    <x v="15"/>
    <x v="3"/>
    <x v="4"/>
    <x v="1"/>
    <x v="17"/>
    <x v="49"/>
    <x v="67"/>
    <x v="2"/>
    <n v="182045"/>
    <s v="Low"/>
    <x v="11"/>
    <n v="49"/>
    <x v="1"/>
    <x v="1"/>
    <n v="3.93"/>
    <s v="Yes"/>
    <n v="4.7"/>
    <x v="2"/>
    <x v="3"/>
    <x v="3"/>
  </r>
  <r>
    <s v="AIJ-102878"/>
    <x v="8"/>
    <x v="4"/>
    <x v="3"/>
    <x v="3"/>
    <x v="14"/>
    <x v="78"/>
    <x v="27"/>
    <x v="1"/>
    <n v="210460"/>
    <s v="High"/>
    <x v="15"/>
    <n v="56"/>
    <x v="0"/>
    <x v="1"/>
    <n v="2.6"/>
    <s v="Yes"/>
    <n v="2.83"/>
    <x v="0"/>
    <x v="3"/>
    <x v="2"/>
  </r>
  <r>
    <s v="AIJ-102879"/>
    <x v="17"/>
    <x v="4"/>
    <x v="0"/>
    <x v="0"/>
    <x v="2"/>
    <x v="31"/>
    <x v="26"/>
    <x v="0"/>
    <n v="173804"/>
    <s v="High"/>
    <x v="18"/>
    <n v="54"/>
    <x v="2"/>
    <x v="0"/>
    <n v="2.17"/>
    <s v="Yes"/>
    <n v="2.37"/>
    <x v="0"/>
    <x v="3"/>
    <x v="1"/>
  </r>
  <r>
    <s v="AIJ-102880"/>
    <x v="2"/>
    <x v="1"/>
    <x v="0"/>
    <x v="3"/>
    <x v="2"/>
    <x v="76"/>
    <x v="37"/>
    <x v="0"/>
    <n v="183567"/>
    <s v="Low"/>
    <x v="19"/>
    <n v="39"/>
    <x v="1"/>
    <x v="1"/>
    <n v="2.2400000000000002"/>
    <s v="Yes"/>
    <n v="1.57"/>
    <x v="1"/>
    <x v="3"/>
    <x v="1"/>
  </r>
  <r>
    <s v="AIJ-102881"/>
    <x v="8"/>
    <x v="3"/>
    <x v="4"/>
    <x v="0"/>
    <x v="21"/>
    <x v="2"/>
    <x v="75"/>
    <x v="2"/>
    <n v="116263"/>
    <s v="Low"/>
    <x v="37"/>
    <n v="53"/>
    <x v="1"/>
    <x v="1"/>
    <n v="3.36"/>
    <s v="No"/>
    <n v="1.9"/>
    <x v="2"/>
    <x v="2"/>
    <x v="0"/>
  </r>
  <r>
    <s v="AIJ-102882"/>
    <x v="5"/>
    <x v="4"/>
    <x v="8"/>
    <x v="2"/>
    <x v="22"/>
    <x v="51"/>
    <x v="37"/>
    <x v="2"/>
    <n v="77037"/>
    <s v="High"/>
    <x v="41"/>
    <n v="38"/>
    <x v="0"/>
    <x v="0"/>
    <n v="3.71"/>
    <s v="No"/>
    <n v="4.5999999999999996"/>
    <x v="1"/>
    <x v="3"/>
    <x v="2"/>
  </r>
  <r>
    <s v="AIJ-102883"/>
    <x v="13"/>
    <x v="6"/>
    <x v="6"/>
    <x v="1"/>
    <x v="24"/>
    <x v="4"/>
    <x v="39"/>
    <x v="2"/>
    <n v="144675"/>
    <s v="Medium"/>
    <x v="6"/>
    <n v="51"/>
    <x v="2"/>
    <x v="0"/>
    <n v="2.06"/>
    <s v="Yes"/>
    <n v="2.29"/>
    <x v="0"/>
    <x v="3"/>
    <x v="1"/>
  </r>
  <r>
    <s v="AIJ-102884"/>
    <x v="18"/>
    <x v="3"/>
    <x v="9"/>
    <x v="3"/>
    <x v="9"/>
    <x v="47"/>
    <x v="58"/>
    <x v="2"/>
    <n v="88252"/>
    <s v="High"/>
    <x v="55"/>
    <n v="42"/>
    <x v="0"/>
    <x v="0"/>
    <n v="2.2400000000000002"/>
    <s v="No"/>
    <n v="2.13"/>
    <x v="0"/>
    <x v="2"/>
    <x v="1"/>
  </r>
  <r>
    <s v="AIJ-102885"/>
    <x v="11"/>
    <x v="2"/>
    <x v="3"/>
    <x v="2"/>
    <x v="25"/>
    <x v="39"/>
    <x v="34"/>
    <x v="1"/>
    <n v="121794"/>
    <s v="Low"/>
    <x v="4"/>
    <n v="34"/>
    <x v="1"/>
    <x v="1"/>
    <n v="2.42"/>
    <s v="No"/>
    <n v="3.85"/>
    <x v="2"/>
    <x v="3"/>
    <x v="1"/>
  </r>
  <r>
    <s v="AIJ-102886"/>
    <x v="1"/>
    <x v="9"/>
    <x v="2"/>
    <x v="0"/>
    <x v="3"/>
    <x v="36"/>
    <x v="9"/>
    <x v="2"/>
    <n v="215445"/>
    <s v="High"/>
    <x v="2"/>
    <n v="45"/>
    <x v="0"/>
    <x v="1"/>
    <n v="4.75"/>
    <s v="No"/>
    <n v="4.8600000000000003"/>
    <x v="0"/>
    <x v="2"/>
    <x v="2"/>
  </r>
  <r>
    <s v="AIJ-102887"/>
    <x v="5"/>
    <x v="5"/>
    <x v="4"/>
    <x v="3"/>
    <x v="5"/>
    <x v="73"/>
    <x v="34"/>
    <x v="2"/>
    <n v="189876"/>
    <s v="Low"/>
    <x v="51"/>
    <n v="43"/>
    <x v="2"/>
    <x v="0"/>
    <n v="3.02"/>
    <s v="No"/>
    <n v="2.82"/>
    <x v="1"/>
    <x v="3"/>
    <x v="3"/>
  </r>
  <r>
    <s v="AIJ-102888"/>
    <x v="16"/>
    <x v="6"/>
    <x v="4"/>
    <x v="0"/>
    <x v="6"/>
    <x v="34"/>
    <x v="64"/>
    <x v="2"/>
    <n v="190735"/>
    <s v="High"/>
    <x v="12"/>
    <n v="36"/>
    <x v="1"/>
    <x v="1"/>
    <n v="4.1900000000000004"/>
    <s v="Yes"/>
    <n v="4.1399999999999997"/>
    <x v="0"/>
    <x v="3"/>
    <x v="0"/>
  </r>
  <r>
    <s v="AIJ-102889"/>
    <x v="15"/>
    <x v="5"/>
    <x v="4"/>
    <x v="0"/>
    <x v="24"/>
    <x v="83"/>
    <x v="73"/>
    <x v="2"/>
    <n v="79616"/>
    <s v="Low"/>
    <x v="50"/>
    <n v="36"/>
    <x v="2"/>
    <x v="2"/>
    <n v="3.4"/>
    <s v="No"/>
    <n v="2.29"/>
    <x v="0"/>
    <x v="3"/>
    <x v="1"/>
  </r>
  <r>
    <s v="AIJ-102890"/>
    <x v="5"/>
    <x v="4"/>
    <x v="5"/>
    <x v="3"/>
    <x v="23"/>
    <x v="90"/>
    <x v="27"/>
    <x v="1"/>
    <n v="40304"/>
    <s v="Medium"/>
    <x v="15"/>
    <n v="42"/>
    <x v="1"/>
    <x v="0"/>
    <n v="3.16"/>
    <s v="Yes"/>
    <n v="2.56"/>
    <x v="0"/>
    <x v="2"/>
    <x v="3"/>
  </r>
  <r>
    <s v="AIJ-102891"/>
    <x v="7"/>
    <x v="8"/>
    <x v="2"/>
    <x v="2"/>
    <x v="20"/>
    <x v="36"/>
    <x v="16"/>
    <x v="1"/>
    <n v="45235"/>
    <s v="High"/>
    <x v="26"/>
    <n v="60"/>
    <x v="0"/>
    <x v="0"/>
    <n v="4.45"/>
    <s v="Yes"/>
    <n v="2.21"/>
    <x v="0"/>
    <x v="1"/>
    <x v="2"/>
  </r>
  <r>
    <s v="AIJ-102892"/>
    <x v="2"/>
    <x v="2"/>
    <x v="3"/>
    <x v="0"/>
    <x v="25"/>
    <x v="17"/>
    <x v="54"/>
    <x v="2"/>
    <n v="147271"/>
    <s v="Medium"/>
    <x v="44"/>
    <n v="30"/>
    <x v="1"/>
    <x v="2"/>
    <n v="3.8"/>
    <s v="Yes"/>
    <n v="3.48"/>
    <x v="2"/>
    <x v="3"/>
    <x v="1"/>
  </r>
  <r>
    <s v="AIJ-102893"/>
    <x v="5"/>
    <x v="6"/>
    <x v="9"/>
    <x v="3"/>
    <x v="0"/>
    <x v="45"/>
    <x v="78"/>
    <x v="2"/>
    <n v="154334"/>
    <s v="Medium"/>
    <x v="18"/>
    <n v="39"/>
    <x v="0"/>
    <x v="0"/>
    <n v="2.23"/>
    <s v="Yes"/>
    <n v="4.93"/>
    <x v="0"/>
    <x v="3"/>
    <x v="0"/>
  </r>
  <r>
    <s v="AIJ-102894"/>
    <x v="11"/>
    <x v="2"/>
    <x v="9"/>
    <x v="1"/>
    <x v="1"/>
    <x v="33"/>
    <x v="37"/>
    <x v="1"/>
    <n v="111826"/>
    <s v="High"/>
    <x v="29"/>
    <n v="32"/>
    <x v="1"/>
    <x v="0"/>
    <n v="2.04"/>
    <s v="Yes"/>
    <n v="3.86"/>
    <x v="2"/>
    <x v="2"/>
    <x v="1"/>
  </r>
  <r>
    <s v="AIJ-102895"/>
    <x v="15"/>
    <x v="0"/>
    <x v="6"/>
    <x v="2"/>
    <x v="16"/>
    <x v="81"/>
    <x v="41"/>
    <x v="1"/>
    <n v="82094"/>
    <s v="High"/>
    <x v="27"/>
    <n v="32"/>
    <x v="0"/>
    <x v="1"/>
    <n v="4.66"/>
    <s v="No"/>
    <n v="1.35"/>
    <x v="0"/>
    <x v="3"/>
    <x v="3"/>
  </r>
  <r>
    <s v="AIJ-102896"/>
    <x v="11"/>
    <x v="1"/>
    <x v="1"/>
    <x v="1"/>
    <x v="3"/>
    <x v="45"/>
    <x v="27"/>
    <x v="0"/>
    <n v="189788"/>
    <s v="Low"/>
    <x v="26"/>
    <n v="49"/>
    <x v="2"/>
    <x v="0"/>
    <n v="3.51"/>
    <s v="No"/>
    <n v="3.86"/>
    <x v="0"/>
    <x v="0"/>
    <x v="2"/>
  </r>
  <r>
    <s v="AIJ-102897"/>
    <x v="11"/>
    <x v="5"/>
    <x v="2"/>
    <x v="2"/>
    <x v="10"/>
    <x v="71"/>
    <x v="79"/>
    <x v="0"/>
    <n v="176680"/>
    <s v="Low"/>
    <x v="25"/>
    <n v="53"/>
    <x v="1"/>
    <x v="0"/>
    <n v="4.68"/>
    <s v="No"/>
    <n v="2.2000000000000002"/>
    <x v="0"/>
    <x v="3"/>
    <x v="3"/>
  </r>
  <r>
    <s v="AIJ-102898"/>
    <x v="0"/>
    <x v="2"/>
    <x v="6"/>
    <x v="3"/>
    <x v="14"/>
    <x v="49"/>
    <x v="68"/>
    <x v="0"/>
    <n v="163419"/>
    <s v="Medium"/>
    <x v="7"/>
    <n v="45"/>
    <x v="2"/>
    <x v="2"/>
    <n v="2.8"/>
    <s v="No"/>
    <n v="1.37"/>
    <x v="1"/>
    <x v="2"/>
    <x v="2"/>
  </r>
  <r>
    <s v="AIJ-102899"/>
    <x v="8"/>
    <x v="2"/>
    <x v="2"/>
    <x v="2"/>
    <x v="15"/>
    <x v="12"/>
    <x v="16"/>
    <x v="0"/>
    <n v="64233"/>
    <s v="Medium"/>
    <x v="40"/>
    <n v="59"/>
    <x v="1"/>
    <x v="0"/>
    <n v="4.5999999999999996"/>
    <s v="Yes"/>
    <n v="2.17"/>
    <x v="2"/>
    <x v="3"/>
    <x v="1"/>
  </r>
  <r>
    <s v="AIJ-102900"/>
    <x v="17"/>
    <x v="7"/>
    <x v="8"/>
    <x v="3"/>
    <x v="15"/>
    <x v="37"/>
    <x v="5"/>
    <x v="2"/>
    <n v="108856"/>
    <s v="Medium"/>
    <x v="0"/>
    <n v="33"/>
    <x v="1"/>
    <x v="1"/>
    <n v="4.29"/>
    <s v="No"/>
    <n v="4.3600000000000003"/>
    <x v="1"/>
    <x v="3"/>
    <x v="1"/>
  </r>
  <r>
    <s v="AIJ-102901"/>
    <x v="14"/>
    <x v="0"/>
    <x v="3"/>
    <x v="0"/>
    <x v="4"/>
    <x v="2"/>
    <x v="19"/>
    <x v="2"/>
    <n v="190165"/>
    <s v="Medium"/>
    <x v="38"/>
    <n v="35"/>
    <x v="0"/>
    <x v="1"/>
    <n v="2.38"/>
    <s v="Yes"/>
    <n v="2.21"/>
    <x v="0"/>
    <x v="3"/>
    <x v="1"/>
  </r>
  <r>
    <s v="AIJ-102902"/>
    <x v="17"/>
    <x v="7"/>
    <x v="0"/>
    <x v="1"/>
    <x v="8"/>
    <x v="4"/>
    <x v="57"/>
    <x v="0"/>
    <n v="168178"/>
    <s v="Medium"/>
    <x v="41"/>
    <n v="33"/>
    <x v="1"/>
    <x v="1"/>
    <n v="3.24"/>
    <s v="Yes"/>
    <n v="4.38"/>
    <x v="1"/>
    <x v="0"/>
    <x v="2"/>
  </r>
  <r>
    <s v="AIJ-102903"/>
    <x v="19"/>
    <x v="7"/>
    <x v="6"/>
    <x v="0"/>
    <x v="11"/>
    <x v="40"/>
    <x v="65"/>
    <x v="0"/>
    <n v="139195"/>
    <s v="Medium"/>
    <x v="34"/>
    <n v="31"/>
    <x v="0"/>
    <x v="1"/>
    <n v="3.93"/>
    <s v="No"/>
    <n v="3.63"/>
    <x v="2"/>
    <x v="1"/>
    <x v="1"/>
  </r>
  <r>
    <s v="AIJ-102904"/>
    <x v="8"/>
    <x v="9"/>
    <x v="9"/>
    <x v="0"/>
    <x v="23"/>
    <x v="39"/>
    <x v="16"/>
    <x v="0"/>
    <n v="35729"/>
    <s v="Medium"/>
    <x v="29"/>
    <n v="35"/>
    <x v="1"/>
    <x v="0"/>
    <n v="3.57"/>
    <s v="No"/>
    <n v="2.1800000000000002"/>
    <x v="2"/>
    <x v="3"/>
    <x v="3"/>
  </r>
  <r>
    <s v="AIJ-102905"/>
    <x v="16"/>
    <x v="9"/>
    <x v="3"/>
    <x v="2"/>
    <x v="21"/>
    <x v="17"/>
    <x v="19"/>
    <x v="0"/>
    <n v="45626"/>
    <s v="Low"/>
    <x v="6"/>
    <n v="36"/>
    <x v="2"/>
    <x v="0"/>
    <n v="2.42"/>
    <s v="No"/>
    <n v="4.22"/>
    <x v="2"/>
    <x v="0"/>
    <x v="0"/>
  </r>
  <r>
    <s v="AIJ-102906"/>
    <x v="10"/>
    <x v="5"/>
    <x v="9"/>
    <x v="1"/>
    <x v="3"/>
    <x v="57"/>
    <x v="31"/>
    <x v="2"/>
    <n v="154088"/>
    <s v="Medium"/>
    <x v="11"/>
    <n v="31"/>
    <x v="2"/>
    <x v="2"/>
    <n v="3.14"/>
    <s v="No"/>
    <n v="1.9"/>
    <x v="1"/>
    <x v="3"/>
    <x v="2"/>
  </r>
  <r>
    <s v="AIJ-102907"/>
    <x v="13"/>
    <x v="1"/>
    <x v="7"/>
    <x v="3"/>
    <x v="24"/>
    <x v="49"/>
    <x v="44"/>
    <x v="0"/>
    <n v="112672"/>
    <s v="Low"/>
    <x v="29"/>
    <n v="31"/>
    <x v="2"/>
    <x v="2"/>
    <n v="2.65"/>
    <s v="Yes"/>
    <n v="3.67"/>
    <x v="0"/>
    <x v="3"/>
    <x v="1"/>
  </r>
  <r>
    <s v="AIJ-102908"/>
    <x v="19"/>
    <x v="4"/>
    <x v="1"/>
    <x v="1"/>
    <x v="17"/>
    <x v="41"/>
    <x v="49"/>
    <x v="2"/>
    <n v="119964"/>
    <s v="High"/>
    <x v="39"/>
    <n v="53"/>
    <x v="0"/>
    <x v="0"/>
    <n v="4.41"/>
    <s v="No"/>
    <n v="3.45"/>
    <x v="0"/>
    <x v="2"/>
    <x v="3"/>
  </r>
  <r>
    <s v="AIJ-102909"/>
    <x v="16"/>
    <x v="5"/>
    <x v="7"/>
    <x v="3"/>
    <x v="23"/>
    <x v="4"/>
    <x v="56"/>
    <x v="1"/>
    <n v="191194"/>
    <s v="High"/>
    <x v="30"/>
    <n v="57"/>
    <x v="0"/>
    <x v="2"/>
    <n v="4.57"/>
    <s v="Yes"/>
    <n v="1.04"/>
    <x v="0"/>
    <x v="0"/>
    <x v="3"/>
  </r>
  <r>
    <s v="AIJ-102910"/>
    <x v="2"/>
    <x v="8"/>
    <x v="3"/>
    <x v="3"/>
    <x v="6"/>
    <x v="1"/>
    <x v="6"/>
    <x v="0"/>
    <n v="206733"/>
    <s v="Low"/>
    <x v="45"/>
    <n v="53"/>
    <x v="2"/>
    <x v="1"/>
    <n v="2.98"/>
    <s v="Yes"/>
    <n v="3.73"/>
    <x v="0"/>
    <x v="3"/>
    <x v="0"/>
  </r>
  <r>
    <s v="AIJ-102911"/>
    <x v="10"/>
    <x v="9"/>
    <x v="0"/>
    <x v="1"/>
    <x v="14"/>
    <x v="67"/>
    <x v="29"/>
    <x v="0"/>
    <n v="99562"/>
    <s v="Low"/>
    <x v="40"/>
    <n v="56"/>
    <x v="2"/>
    <x v="2"/>
    <n v="4.4000000000000004"/>
    <s v="No"/>
    <n v="3.52"/>
    <x v="2"/>
    <x v="2"/>
    <x v="2"/>
  </r>
  <r>
    <s v="AIJ-102912"/>
    <x v="7"/>
    <x v="3"/>
    <x v="0"/>
    <x v="0"/>
    <x v="8"/>
    <x v="80"/>
    <x v="47"/>
    <x v="0"/>
    <n v="93332"/>
    <s v="Low"/>
    <x v="49"/>
    <n v="41"/>
    <x v="1"/>
    <x v="0"/>
    <n v="4.28"/>
    <s v="No"/>
    <n v="4.45"/>
    <x v="1"/>
    <x v="2"/>
    <x v="2"/>
  </r>
  <r>
    <s v="AIJ-102913"/>
    <x v="15"/>
    <x v="0"/>
    <x v="1"/>
    <x v="1"/>
    <x v="14"/>
    <x v="55"/>
    <x v="3"/>
    <x v="0"/>
    <n v="173212"/>
    <s v="High"/>
    <x v="21"/>
    <n v="31"/>
    <x v="1"/>
    <x v="2"/>
    <n v="2.94"/>
    <s v="Yes"/>
    <n v="2.98"/>
    <x v="0"/>
    <x v="3"/>
    <x v="2"/>
  </r>
  <r>
    <s v="AIJ-102914"/>
    <x v="12"/>
    <x v="1"/>
    <x v="8"/>
    <x v="0"/>
    <x v="17"/>
    <x v="51"/>
    <x v="70"/>
    <x v="2"/>
    <n v="176967"/>
    <s v="Medium"/>
    <x v="18"/>
    <n v="46"/>
    <x v="0"/>
    <x v="1"/>
    <n v="4.6100000000000003"/>
    <s v="Yes"/>
    <n v="2.39"/>
    <x v="0"/>
    <x v="2"/>
    <x v="3"/>
  </r>
  <r>
    <s v="AIJ-102915"/>
    <x v="17"/>
    <x v="5"/>
    <x v="9"/>
    <x v="3"/>
    <x v="6"/>
    <x v="17"/>
    <x v="30"/>
    <x v="1"/>
    <n v="183462"/>
    <s v="High"/>
    <x v="29"/>
    <n v="60"/>
    <x v="0"/>
    <x v="1"/>
    <n v="4.63"/>
    <s v="No"/>
    <n v="2.87"/>
    <x v="0"/>
    <x v="0"/>
    <x v="0"/>
  </r>
  <r>
    <s v="AIJ-102916"/>
    <x v="18"/>
    <x v="7"/>
    <x v="2"/>
    <x v="3"/>
    <x v="24"/>
    <x v="37"/>
    <x v="45"/>
    <x v="2"/>
    <n v="31500"/>
    <s v="Medium"/>
    <x v="53"/>
    <n v="55"/>
    <x v="2"/>
    <x v="1"/>
    <n v="4.5999999999999996"/>
    <s v="Yes"/>
    <n v="3.95"/>
    <x v="2"/>
    <x v="3"/>
    <x v="1"/>
  </r>
  <r>
    <s v="AIJ-102917"/>
    <x v="2"/>
    <x v="5"/>
    <x v="9"/>
    <x v="1"/>
    <x v="25"/>
    <x v="68"/>
    <x v="39"/>
    <x v="1"/>
    <n v="124808"/>
    <s v="High"/>
    <x v="19"/>
    <n v="39"/>
    <x v="2"/>
    <x v="2"/>
    <n v="2.72"/>
    <s v="No"/>
    <n v="4.63"/>
    <x v="2"/>
    <x v="3"/>
    <x v="1"/>
  </r>
  <r>
    <s v="AIJ-102918"/>
    <x v="10"/>
    <x v="5"/>
    <x v="2"/>
    <x v="2"/>
    <x v="20"/>
    <x v="84"/>
    <x v="38"/>
    <x v="2"/>
    <n v="35272"/>
    <s v="Low"/>
    <x v="13"/>
    <n v="33"/>
    <x v="0"/>
    <x v="1"/>
    <n v="2.04"/>
    <s v="No"/>
    <n v="2.4900000000000002"/>
    <x v="0"/>
    <x v="2"/>
    <x v="2"/>
  </r>
  <r>
    <s v="AIJ-102919"/>
    <x v="7"/>
    <x v="2"/>
    <x v="8"/>
    <x v="3"/>
    <x v="8"/>
    <x v="56"/>
    <x v="51"/>
    <x v="1"/>
    <n v="110126"/>
    <s v="Medium"/>
    <x v="23"/>
    <n v="50"/>
    <x v="2"/>
    <x v="1"/>
    <n v="4.68"/>
    <s v="Yes"/>
    <n v="4.17"/>
    <x v="2"/>
    <x v="1"/>
    <x v="2"/>
  </r>
  <r>
    <s v="AIJ-102920"/>
    <x v="3"/>
    <x v="3"/>
    <x v="5"/>
    <x v="2"/>
    <x v="10"/>
    <x v="59"/>
    <x v="38"/>
    <x v="0"/>
    <n v="149844"/>
    <s v="Low"/>
    <x v="55"/>
    <n v="33"/>
    <x v="2"/>
    <x v="1"/>
    <n v="2.67"/>
    <s v="No"/>
    <n v="2.1800000000000002"/>
    <x v="0"/>
    <x v="2"/>
    <x v="3"/>
  </r>
  <r>
    <s v="AIJ-102921"/>
    <x v="13"/>
    <x v="8"/>
    <x v="8"/>
    <x v="1"/>
    <x v="3"/>
    <x v="56"/>
    <x v="52"/>
    <x v="0"/>
    <n v="172342"/>
    <s v="High"/>
    <x v="29"/>
    <n v="54"/>
    <x v="1"/>
    <x v="2"/>
    <n v="3.44"/>
    <s v="No"/>
    <n v="3.44"/>
    <x v="2"/>
    <x v="2"/>
    <x v="2"/>
  </r>
  <r>
    <s v="AIJ-102922"/>
    <x v="11"/>
    <x v="8"/>
    <x v="6"/>
    <x v="3"/>
    <x v="13"/>
    <x v="13"/>
    <x v="44"/>
    <x v="0"/>
    <n v="114862"/>
    <s v="Low"/>
    <x v="7"/>
    <n v="53"/>
    <x v="0"/>
    <x v="2"/>
    <n v="2.36"/>
    <s v="Yes"/>
    <n v="3.02"/>
    <x v="0"/>
    <x v="3"/>
    <x v="1"/>
  </r>
  <r>
    <s v="AIJ-102923"/>
    <x v="8"/>
    <x v="5"/>
    <x v="1"/>
    <x v="0"/>
    <x v="20"/>
    <x v="62"/>
    <x v="51"/>
    <x v="1"/>
    <n v="202856"/>
    <s v="High"/>
    <x v="45"/>
    <n v="56"/>
    <x v="2"/>
    <x v="0"/>
    <n v="2.14"/>
    <s v="No"/>
    <n v="3.63"/>
    <x v="1"/>
    <x v="1"/>
    <x v="2"/>
  </r>
  <r>
    <s v="AIJ-102924"/>
    <x v="14"/>
    <x v="8"/>
    <x v="2"/>
    <x v="3"/>
    <x v="12"/>
    <x v="55"/>
    <x v="66"/>
    <x v="0"/>
    <n v="40011"/>
    <s v="Low"/>
    <x v="0"/>
    <n v="41"/>
    <x v="2"/>
    <x v="1"/>
    <n v="2.57"/>
    <s v="Yes"/>
    <n v="2.89"/>
    <x v="2"/>
    <x v="1"/>
    <x v="3"/>
  </r>
  <r>
    <s v="AIJ-102925"/>
    <x v="9"/>
    <x v="7"/>
    <x v="3"/>
    <x v="0"/>
    <x v="2"/>
    <x v="67"/>
    <x v="26"/>
    <x v="0"/>
    <n v="99505"/>
    <s v="High"/>
    <x v="37"/>
    <n v="53"/>
    <x v="2"/>
    <x v="1"/>
    <n v="3.69"/>
    <s v="Yes"/>
    <n v="4.01"/>
    <x v="0"/>
    <x v="2"/>
    <x v="1"/>
  </r>
  <r>
    <s v="AIJ-102926"/>
    <x v="5"/>
    <x v="0"/>
    <x v="0"/>
    <x v="2"/>
    <x v="7"/>
    <x v="87"/>
    <x v="7"/>
    <x v="0"/>
    <n v="57546"/>
    <s v="Medium"/>
    <x v="2"/>
    <n v="40"/>
    <x v="0"/>
    <x v="1"/>
    <n v="2.83"/>
    <s v="No"/>
    <n v="2.4"/>
    <x v="0"/>
    <x v="2"/>
    <x v="1"/>
  </r>
  <r>
    <s v="AIJ-102927"/>
    <x v="6"/>
    <x v="4"/>
    <x v="6"/>
    <x v="1"/>
    <x v="17"/>
    <x v="53"/>
    <x v="73"/>
    <x v="0"/>
    <n v="154531"/>
    <s v="Medium"/>
    <x v="51"/>
    <n v="35"/>
    <x v="1"/>
    <x v="1"/>
    <n v="3.18"/>
    <s v="Yes"/>
    <n v="3"/>
    <x v="0"/>
    <x v="3"/>
    <x v="3"/>
  </r>
  <r>
    <s v="AIJ-102928"/>
    <x v="15"/>
    <x v="2"/>
    <x v="1"/>
    <x v="1"/>
    <x v="6"/>
    <x v="57"/>
    <x v="51"/>
    <x v="0"/>
    <n v="171374"/>
    <s v="Low"/>
    <x v="16"/>
    <n v="41"/>
    <x v="0"/>
    <x v="1"/>
    <n v="4.83"/>
    <s v="No"/>
    <n v="2.13"/>
    <x v="1"/>
    <x v="1"/>
    <x v="0"/>
  </r>
  <r>
    <s v="AIJ-102929"/>
    <x v="19"/>
    <x v="5"/>
    <x v="4"/>
    <x v="3"/>
    <x v="0"/>
    <x v="63"/>
    <x v="66"/>
    <x v="0"/>
    <n v="134870"/>
    <s v="High"/>
    <x v="22"/>
    <n v="44"/>
    <x v="2"/>
    <x v="2"/>
    <n v="3.85"/>
    <s v="Yes"/>
    <n v="2.0699999999999998"/>
    <x v="0"/>
    <x v="2"/>
    <x v="0"/>
  </r>
  <r>
    <s v="AIJ-102930"/>
    <x v="4"/>
    <x v="0"/>
    <x v="5"/>
    <x v="3"/>
    <x v="22"/>
    <x v="23"/>
    <x v="14"/>
    <x v="2"/>
    <n v="132121"/>
    <s v="Medium"/>
    <x v="36"/>
    <n v="56"/>
    <x v="2"/>
    <x v="1"/>
    <n v="4.54"/>
    <s v="Yes"/>
    <n v="4.72"/>
    <x v="0"/>
    <x v="3"/>
    <x v="2"/>
  </r>
  <r>
    <s v="AIJ-102931"/>
    <x v="4"/>
    <x v="8"/>
    <x v="2"/>
    <x v="0"/>
    <x v="4"/>
    <x v="77"/>
    <x v="25"/>
    <x v="1"/>
    <n v="87352"/>
    <s v="Medium"/>
    <x v="22"/>
    <n v="38"/>
    <x v="1"/>
    <x v="1"/>
    <n v="2.8"/>
    <s v="No"/>
    <n v="3.95"/>
    <x v="2"/>
    <x v="3"/>
    <x v="1"/>
  </r>
  <r>
    <s v="AIJ-102932"/>
    <x v="11"/>
    <x v="0"/>
    <x v="7"/>
    <x v="1"/>
    <x v="18"/>
    <x v="62"/>
    <x v="60"/>
    <x v="1"/>
    <n v="149634"/>
    <s v="Low"/>
    <x v="35"/>
    <n v="56"/>
    <x v="2"/>
    <x v="2"/>
    <n v="3.73"/>
    <s v="Yes"/>
    <n v="4.01"/>
    <x v="2"/>
    <x v="2"/>
    <x v="3"/>
  </r>
  <r>
    <s v="AIJ-102933"/>
    <x v="2"/>
    <x v="0"/>
    <x v="3"/>
    <x v="0"/>
    <x v="1"/>
    <x v="20"/>
    <x v="16"/>
    <x v="0"/>
    <n v="175636"/>
    <s v="High"/>
    <x v="48"/>
    <n v="41"/>
    <x v="2"/>
    <x v="2"/>
    <n v="3.87"/>
    <s v="Yes"/>
    <n v="1.43"/>
    <x v="1"/>
    <x v="3"/>
    <x v="1"/>
  </r>
  <r>
    <s v="AIJ-102934"/>
    <x v="12"/>
    <x v="9"/>
    <x v="4"/>
    <x v="3"/>
    <x v="24"/>
    <x v="51"/>
    <x v="5"/>
    <x v="2"/>
    <n v="167874"/>
    <s v="Low"/>
    <x v="37"/>
    <n v="41"/>
    <x v="0"/>
    <x v="0"/>
    <n v="3.87"/>
    <s v="Yes"/>
    <n v="2.2000000000000002"/>
    <x v="1"/>
    <x v="3"/>
    <x v="1"/>
  </r>
  <r>
    <s v="AIJ-102935"/>
    <x v="2"/>
    <x v="8"/>
    <x v="0"/>
    <x v="1"/>
    <x v="4"/>
    <x v="50"/>
    <x v="41"/>
    <x v="1"/>
    <n v="204529"/>
    <s v="High"/>
    <x v="47"/>
    <n v="42"/>
    <x v="2"/>
    <x v="2"/>
    <n v="4.72"/>
    <s v="Yes"/>
    <n v="3.18"/>
    <x v="0"/>
    <x v="2"/>
    <x v="1"/>
  </r>
  <r>
    <s v="AIJ-102936"/>
    <x v="13"/>
    <x v="4"/>
    <x v="4"/>
    <x v="0"/>
    <x v="5"/>
    <x v="57"/>
    <x v="20"/>
    <x v="0"/>
    <n v="158431"/>
    <s v="Medium"/>
    <x v="36"/>
    <n v="45"/>
    <x v="1"/>
    <x v="1"/>
    <n v="2.0299999999999998"/>
    <s v="No"/>
    <n v="2.44"/>
    <x v="2"/>
    <x v="2"/>
    <x v="3"/>
  </r>
  <r>
    <s v="AIJ-102937"/>
    <x v="2"/>
    <x v="6"/>
    <x v="2"/>
    <x v="2"/>
    <x v="18"/>
    <x v="60"/>
    <x v="38"/>
    <x v="1"/>
    <n v="161204"/>
    <s v="Low"/>
    <x v="35"/>
    <n v="47"/>
    <x v="0"/>
    <x v="2"/>
    <n v="2.0099999999999998"/>
    <s v="No"/>
    <n v="3.39"/>
    <x v="1"/>
    <x v="1"/>
    <x v="3"/>
  </r>
  <r>
    <s v="AIJ-102938"/>
    <x v="14"/>
    <x v="1"/>
    <x v="8"/>
    <x v="1"/>
    <x v="13"/>
    <x v="13"/>
    <x v="52"/>
    <x v="2"/>
    <n v="138582"/>
    <s v="Low"/>
    <x v="36"/>
    <n v="58"/>
    <x v="0"/>
    <x v="2"/>
    <n v="2.4300000000000002"/>
    <s v="Yes"/>
    <n v="3.72"/>
    <x v="1"/>
    <x v="0"/>
    <x v="1"/>
  </r>
  <r>
    <s v="AIJ-102939"/>
    <x v="15"/>
    <x v="4"/>
    <x v="1"/>
    <x v="0"/>
    <x v="17"/>
    <x v="29"/>
    <x v="49"/>
    <x v="1"/>
    <n v="143481"/>
    <s v="Low"/>
    <x v="33"/>
    <n v="59"/>
    <x v="1"/>
    <x v="0"/>
    <n v="4.4400000000000004"/>
    <s v="Yes"/>
    <n v="1.79"/>
    <x v="0"/>
    <x v="2"/>
    <x v="3"/>
  </r>
  <r>
    <s v="AIJ-102940"/>
    <x v="15"/>
    <x v="3"/>
    <x v="2"/>
    <x v="0"/>
    <x v="5"/>
    <x v="68"/>
    <x v="52"/>
    <x v="1"/>
    <n v="79084"/>
    <s v="High"/>
    <x v="24"/>
    <n v="41"/>
    <x v="2"/>
    <x v="1"/>
    <n v="4.93"/>
    <s v="No"/>
    <n v="1.67"/>
    <x v="2"/>
    <x v="3"/>
    <x v="3"/>
  </r>
  <r>
    <s v="AIJ-102941"/>
    <x v="1"/>
    <x v="1"/>
    <x v="3"/>
    <x v="1"/>
    <x v="0"/>
    <x v="50"/>
    <x v="14"/>
    <x v="2"/>
    <n v="36771"/>
    <s v="Low"/>
    <x v="15"/>
    <n v="38"/>
    <x v="2"/>
    <x v="0"/>
    <n v="2.98"/>
    <s v="Yes"/>
    <n v="3.35"/>
    <x v="1"/>
    <x v="3"/>
    <x v="0"/>
  </r>
  <r>
    <s v="AIJ-102942"/>
    <x v="12"/>
    <x v="2"/>
    <x v="2"/>
    <x v="2"/>
    <x v="21"/>
    <x v="29"/>
    <x v="77"/>
    <x v="0"/>
    <n v="41409"/>
    <s v="Medium"/>
    <x v="12"/>
    <n v="45"/>
    <x v="2"/>
    <x v="1"/>
    <n v="3.15"/>
    <s v="Yes"/>
    <n v="1.21"/>
    <x v="2"/>
    <x v="2"/>
    <x v="0"/>
  </r>
  <r>
    <s v="AIJ-102943"/>
    <x v="4"/>
    <x v="8"/>
    <x v="4"/>
    <x v="3"/>
    <x v="23"/>
    <x v="49"/>
    <x v="68"/>
    <x v="0"/>
    <n v="164119"/>
    <s v="Low"/>
    <x v="14"/>
    <n v="49"/>
    <x v="2"/>
    <x v="2"/>
    <n v="2.5"/>
    <s v="No"/>
    <n v="4.8899999999999997"/>
    <x v="0"/>
    <x v="2"/>
    <x v="3"/>
  </r>
  <r>
    <s v="AIJ-102944"/>
    <x v="19"/>
    <x v="3"/>
    <x v="6"/>
    <x v="2"/>
    <x v="6"/>
    <x v="52"/>
    <x v="79"/>
    <x v="0"/>
    <n v="199530"/>
    <s v="High"/>
    <x v="35"/>
    <n v="42"/>
    <x v="2"/>
    <x v="1"/>
    <n v="3.04"/>
    <s v="No"/>
    <n v="3.78"/>
    <x v="2"/>
    <x v="0"/>
    <x v="0"/>
  </r>
  <r>
    <s v="AIJ-102945"/>
    <x v="1"/>
    <x v="6"/>
    <x v="0"/>
    <x v="1"/>
    <x v="12"/>
    <x v="0"/>
    <x v="65"/>
    <x v="0"/>
    <n v="187802"/>
    <s v="High"/>
    <x v="32"/>
    <n v="55"/>
    <x v="2"/>
    <x v="1"/>
    <n v="4.03"/>
    <s v="No"/>
    <n v="1.61"/>
    <x v="0"/>
    <x v="3"/>
    <x v="3"/>
  </r>
  <r>
    <s v="AIJ-102946"/>
    <x v="4"/>
    <x v="5"/>
    <x v="9"/>
    <x v="3"/>
    <x v="7"/>
    <x v="45"/>
    <x v="63"/>
    <x v="2"/>
    <n v="91953"/>
    <s v="High"/>
    <x v="46"/>
    <n v="44"/>
    <x v="1"/>
    <x v="0"/>
    <n v="3.98"/>
    <s v="Yes"/>
    <n v="2.66"/>
    <x v="0"/>
    <x v="3"/>
    <x v="1"/>
  </r>
  <r>
    <s v="AIJ-102947"/>
    <x v="5"/>
    <x v="1"/>
    <x v="0"/>
    <x v="2"/>
    <x v="10"/>
    <x v="62"/>
    <x v="9"/>
    <x v="0"/>
    <n v="45695"/>
    <s v="High"/>
    <x v="47"/>
    <n v="37"/>
    <x v="0"/>
    <x v="1"/>
    <n v="2.76"/>
    <s v="Yes"/>
    <n v="4.51"/>
    <x v="1"/>
    <x v="2"/>
    <x v="3"/>
  </r>
  <r>
    <s v="AIJ-102948"/>
    <x v="11"/>
    <x v="6"/>
    <x v="5"/>
    <x v="1"/>
    <x v="2"/>
    <x v="66"/>
    <x v="64"/>
    <x v="2"/>
    <n v="156863"/>
    <s v="High"/>
    <x v="55"/>
    <n v="40"/>
    <x v="1"/>
    <x v="0"/>
    <n v="4.08"/>
    <s v="No"/>
    <n v="1.85"/>
    <x v="1"/>
    <x v="0"/>
    <x v="1"/>
  </r>
  <r>
    <s v="AIJ-102949"/>
    <x v="16"/>
    <x v="2"/>
    <x v="9"/>
    <x v="2"/>
    <x v="21"/>
    <x v="47"/>
    <x v="9"/>
    <x v="1"/>
    <n v="159399"/>
    <s v="Low"/>
    <x v="3"/>
    <n v="51"/>
    <x v="1"/>
    <x v="2"/>
    <n v="3.96"/>
    <s v="No"/>
    <n v="3.92"/>
    <x v="0"/>
    <x v="2"/>
    <x v="0"/>
  </r>
  <r>
    <s v="AIJ-102950"/>
    <x v="19"/>
    <x v="6"/>
    <x v="9"/>
    <x v="0"/>
    <x v="17"/>
    <x v="34"/>
    <x v="6"/>
    <x v="2"/>
    <n v="66977"/>
    <s v="Medium"/>
    <x v="42"/>
    <n v="52"/>
    <x v="0"/>
    <x v="2"/>
    <n v="4.82"/>
    <s v="No"/>
    <n v="3.25"/>
    <x v="0"/>
    <x v="3"/>
    <x v="3"/>
  </r>
  <r>
    <s v="AIJ-102951"/>
    <x v="13"/>
    <x v="1"/>
    <x v="7"/>
    <x v="0"/>
    <x v="23"/>
    <x v="7"/>
    <x v="11"/>
    <x v="1"/>
    <n v="104639"/>
    <s v="Low"/>
    <x v="43"/>
    <n v="52"/>
    <x v="2"/>
    <x v="2"/>
    <n v="4.12"/>
    <s v="No"/>
    <n v="1.44"/>
    <x v="1"/>
    <x v="1"/>
    <x v="3"/>
  </r>
  <r>
    <s v="AIJ-102952"/>
    <x v="2"/>
    <x v="9"/>
    <x v="0"/>
    <x v="1"/>
    <x v="14"/>
    <x v="17"/>
    <x v="38"/>
    <x v="1"/>
    <n v="60357"/>
    <s v="High"/>
    <x v="38"/>
    <n v="42"/>
    <x v="1"/>
    <x v="1"/>
    <n v="2.82"/>
    <s v="Yes"/>
    <n v="2.31"/>
    <x v="0"/>
    <x v="3"/>
    <x v="2"/>
  </r>
  <r>
    <s v="AIJ-102953"/>
    <x v="13"/>
    <x v="8"/>
    <x v="3"/>
    <x v="1"/>
    <x v="14"/>
    <x v="59"/>
    <x v="73"/>
    <x v="0"/>
    <n v="62449"/>
    <s v="Medium"/>
    <x v="12"/>
    <n v="56"/>
    <x v="2"/>
    <x v="1"/>
    <n v="2.79"/>
    <s v="Yes"/>
    <n v="4.96"/>
    <x v="2"/>
    <x v="3"/>
    <x v="2"/>
  </r>
  <r>
    <s v="AIJ-102954"/>
    <x v="2"/>
    <x v="8"/>
    <x v="1"/>
    <x v="1"/>
    <x v="0"/>
    <x v="89"/>
    <x v="4"/>
    <x v="2"/>
    <n v="174565"/>
    <s v="Low"/>
    <x v="25"/>
    <n v="32"/>
    <x v="1"/>
    <x v="2"/>
    <n v="4.6399999999999997"/>
    <s v="Yes"/>
    <n v="2.0099999999999998"/>
    <x v="1"/>
    <x v="3"/>
    <x v="0"/>
  </r>
  <r>
    <s v="AIJ-102955"/>
    <x v="7"/>
    <x v="2"/>
    <x v="8"/>
    <x v="0"/>
    <x v="22"/>
    <x v="35"/>
    <x v="35"/>
    <x v="2"/>
    <n v="192376"/>
    <s v="Medium"/>
    <x v="9"/>
    <n v="54"/>
    <x v="2"/>
    <x v="1"/>
    <n v="2.37"/>
    <s v="No"/>
    <n v="4.3099999999999996"/>
    <x v="0"/>
    <x v="2"/>
    <x v="2"/>
  </r>
  <r>
    <s v="AIJ-102956"/>
    <x v="10"/>
    <x v="8"/>
    <x v="3"/>
    <x v="0"/>
    <x v="8"/>
    <x v="68"/>
    <x v="33"/>
    <x v="2"/>
    <n v="129461"/>
    <s v="High"/>
    <x v="46"/>
    <n v="47"/>
    <x v="2"/>
    <x v="1"/>
    <n v="4.33"/>
    <s v="No"/>
    <n v="3.88"/>
    <x v="0"/>
    <x v="2"/>
    <x v="2"/>
  </r>
  <r>
    <s v="AIJ-102957"/>
    <x v="18"/>
    <x v="7"/>
    <x v="1"/>
    <x v="2"/>
    <x v="19"/>
    <x v="40"/>
    <x v="3"/>
    <x v="0"/>
    <n v="188899"/>
    <s v="High"/>
    <x v="6"/>
    <n v="49"/>
    <x v="2"/>
    <x v="2"/>
    <n v="2.2400000000000002"/>
    <s v="Yes"/>
    <n v="2.34"/>
    <x v="1"/>
    <x v="2"/>
    <x v="2"/>
  </r>
  <r>
    <s v="AIJ-102958"/>
    <x v="11"/>
    <x v="8"/>
    <x v="9"/>
    <x v="2"/>
    <x v="21"/>
    <x v="3"/>
    <x v="26"/>
    <x v="1"/>
    <n v="64189"/>
    <s v="Low"/>
    <x v="11"/>
    <n v="36"/>
    <x v="0"/>
    <x v="0"/>
    <n v="4.01"/>
    <s v="Yes"/>
    <n v="2.0099999999999998"/>
    <x v="0"/>
    <x v="2"/>
    <x v="0"/>
  </r>
  <r>
    <s v="AIJ-102959"/>
    <x v="8"/>
    <x v="7"/>
    <x v="0"/>
    <x v="2"/>
    <x v="5"/>
    <x v="54"/>
    <x v="15"/>
    <x v="2"/>
    <n v="171750"/>
    <s v="Low"/>
    <x v="33"/>
    <n v="37"/>
    <x v="0"/>
    <x v="0"/>
    <n v="3.43"/>
    <s v="No"/>
    <n v="3.49"/>
    <x v="0"/>
    <x v="2"/>
    <x v="3"/>
  </r>
  <r>
    <s v="AIJ-102960"/>
    <x v="2"/>
    <x v="7"/>
    <x v="0"/>
    <x v="3"/>
    <x v="0"/>
    <x v="62"/>
    <x v="37"/>
    <x v="1"/>
    <n v="39160"/>
    <s v="High"/>
    <x v="54"/>
    <n v="34"/>
    <x v="1"/>
    <x v="0"/>
    <n v="3.58"/>
    <s v="Yes"/>
    <n v="1.75"/>
    <x v="2"/>
    <x v="2"/>
    <x v="0"/>
  </r>
  <r>
    <s v="AIJ-102961"/>
    <x v="4"/>
    <x v="3"/>
    <x v="4"/>
    <x v="1"/>
    <x v="8"/>
    <x v="14"/>
    <x v="15"/>
    <x v="1"/>
    <n v="35240"/>
    <s v="Medium"/>
    <x v="40"/>
    <n v="31"/>
    <x v="2"/>
    <x v="2"/>
    <n v="3.69"/>
    <s v="Yes"/>
    <n v="2.41"/>
    <x v="0"/>
    <x v="1"/>
    <x v="2"/>
  </r>
  <r>
    <s v="AIJ-102962"/>
    <x v="6"/>
    <x v="2"/>
    <x v="1"/>
    <x v="3"/>
    <x v="7"/>
    <x v="11"/>
    <x v="38"/>
    <x v="2"/>
    <n v="127979"/>
    <s v="High"/>
    <x v="35"/>
    <n v="38"/>
    <x v="0"/>
    <x v="0"/>
    <n v="2.0499999999999998"/>
    <s v="Yes"/>
    <n v="2.69"/>
    <x v="1"/>
    <x v="3"/>
    <x v="1"/>
  </r>
  <r>
    <s v="AIJ-102963"/>
    <x v="7"/>
    <x v="1"/>
    <x v="6"/>
    <x v="3"/>
    <x v="21"/>
    <x v="55"/>
    <x v="59"/>
    <x v="0"/>
    <n v="115472"/>
    <s v="High"/>
    <x v="33"/>
    <n v="54"/>
    <x v="2"/>
    <x v="0"/>
    <n v="2.2200000000000002"/>
    <s v="Yes"/>
    <n v="2.56"/>
    <x v="0"/>
    <x v="1"/>
    <x v="0"/>
  </r>
  <r>
    <s v="AIJ-102964"/>
    <x v="2"/>
    <x v="9"/>
    <x v="4"/>
    <x v="2"/>
    <x v="15"/>
    <x v="22"/>
    <x v="67"/>
    <x v="2"/>
    <n v="207823"/>
    <s v="High"/>
    <x v="30"/>
    <n v="60"/>
    <x v="1"/>
    <x v="0"/>
    <n v="2.91"/>
    <s v="No"/>
    <n v="1.04"/>
    <x v="2"/>
    <x v="3"/>
    <x v="1"/>
  </r>
  <r>
    <s v="AIJ-102965"/>
    <x v="19"/>
    <x v="1"/>
    <x v="6"/>
    <x v="2"/>
    <x v="19"/>
    <x v="17"/>
    <x v="62"/>
    <x v="0"/>
    <n v="108212"/>
    <s v="Low"/>
    <x v="40"/>
    <n v="47"/>
    <x v="2"/>
    <x v="1"/>
    <n v="4.8899999999999997"/>
    <s v="Yes"/>
    <n v="4.5999999999999996"/>
    <x v="1"/>
    <x v="0"/>
    <x v="2"/>
  </r>
  <r>
    <s v="AIJ-102966"/>
    <x v="11"/>
    <x v="6"/>
    <x v="6"/>
    <x v="1"/>
    <x v="6"/>
    <x v="48"/>
    <x v="17"/>
    <x v="0"/>
    <n v="70992"/>
    <s v="High"/>
    <x v="15"/>
    <n v="47"/>
    <x v="2"/>
    <x v="1"/>
    <n v="3.37"/>
    <s v="No"/>
    <n v="2.5299999999999998"/>
    <x v="1"/>
    <x v="2"/>
    <x v="0"/>
  </r>
  <r>
    <s v="AIJ-102967"/>
    <x v="8"/>
    <x v="0"/>
    <x v="7"/>
    <x v="3"/>
    <x v="8"/>
    <x v="83"/>
    <x v="17"/>
    <x v="0"/>
    <n v="103984"/>
    <s v="High"/>
    <x v="22"/>
    <n v="51"/>
    <x v="0"/>
    <x v="2"/>
    <n v="4.0599999999999996"/>
    <s v="No"/>
    <n v="4.79"/>
    <x v="2"/>
    <x v="1"/>
    <x v="2"/>
  </r>
  <r>
    <s v="AIJ-102968"/>
    <x v="4"/>
    <x v="9"/>
    <x v="4"/>
    <x v="1"/>
    <x v="14"/>
    <x v="89"/>
    <x v="9"/>
    <x v="1"/>
    <n v="44901"/>
    <s v="Medium"/>
    <x v="20"/>
    <n v="54"/>
    <x v="1"/>
    <x v="2"/>
    <n v="2.91"/>
    <s v="No"/>
    <n v="2.12"/>
    <x v="1"/>
    <x v="2"/>
    <x v="2"/>
  </r>
  <r>
    <s v="AIJ-102969"/>
    <x v="16"/>
    <x v="3"/>
    <x v="7"/>
    <x v="0"/>
    <x v="4"/>
    <x v="69"/>
    <x v="53"/>
    <x v="2"/>
    <n v="195776"/>
    <s v="Medium"/>
    <x v="18"/>
    <n v="51"/>
    <x v="2"/>
    <x v="0"/>
    <n v="4.46"/>
    <s v="Yes"/>
    <n v="4.8"/>
    <x v="2"/>
    <x v="0"/>
    <x v="1"/>
  </r>
  <r>
    <s v="AIJ-102970"/>
    <x v="19"/>
    <x v="4"/>
    <x v="2"/>
    <x v="0"/>
    <x v="2"/>
    <x v="77"/>
    <x v="38"/>
    <x v="2"/>
    <n v="110157"/>
    <s v="High"/>
    <x v="46"/>
    <n v="42"/>
    <x v="1"/>
    <x v="1"/>
    <n v="3.19"/>
    <s v="Yes"/>
    <n v="4.6500000000000004"/>
    <x v="1"/>
    <x v="3"/>
    <x v="1"/>
  </r>
  <r>
    <s v="AIJ-102971"/>
    <x v="14"/>
    <x v="3"/>
    <x v="2"/>
    <x v="1"/>
    <x v="14"/>
    <x v="37"/>
    <x v="1"/>
    <x v="0"/>
    <n v="51880"/>
    <s v="High"/>
    <x v="23"/>
    <n v="46"/>
    <x v="0"/>
    <x v="2"/>
    <n v="2.4700000000000002"/>
    <s v="No"/>
    <n v="3.24"/>
    <x v="2"/>
    <x v="2"/>
    <x v="2"/>
  </r>
  <r>
    <s v="AIJ-102972"/>
    <x v="10"/>
    <x v="1"/>
    <x v="6"/>
    <x v="2"/>
    <x v="16"/>
    <x v="88"/>
    <x v="18"/>
    <x v="0"/>
    <n v="144249"/>
    <s v="Medium"/>
    <x v="47"/>
    <n v="39"/>
    <x v="1"/>
    <x v="0"/>
    <n v="4.03"/>
    <s v="No"/>
    <n v="2.5"/>
    <x v="1"/>
    <x v="2"/>
    <x v="3"/>
  </r>
  <r>
    <s v="AIJ-102973"/>
    <x v="19"/>
    <x v="9"/>
    <x v="1"/>
    <x v="3"/>
    <x v="18"/>
    <x v="74"/>
    <x v="33"/>
    <x v="1"/>
    <n v="218524"/>
    <s v="Medium"/>
    <x v="38"/>
    <n v="30"/>
    <x v="2"/>
    <x v="0"/>
    <n v="2.65"/>
    <s v="Yes"/>
    <n v="3.47"/>
    <x v="1"/>
    <x v="2"/>
    <x v="3"/>
  </r>
  <r>
    <s v="AIJ-102974"/>
    <x v="12"/>
    <x v="9"/>
    <x v="3"/>
    <x v="1"/>
    <x v="16"/>
    <x v="13"/>
    <x v="57"/>
    <x v="2"/>
    <n v="88788"/>
    <s v="Low"/>
    <x v="3"/>
    <n v="35"/>
    <x v="2"/>
    <x v="0"/>
    <n v="2.94"/>
    <s v="Yes"/>
    <n v="1.7"/>
    <x v="0"/>
    <x v="0"/>
    <x v="3"/>
  </r>
  <r>
    <s v="AIJ-102975"/>
    <x v="5"/>
    <x v="3"/>
    <x v="0"/>
    <x v="0"/>
    <x v="18"/>
    <x v="66"/>
    <x v="42"/>
    <x v="2"/>
    <n v="71802"/>
    <s v="High"/>
    <x v="44"/>
    <n v="57"/>
    <x v="2"/>
    <x v="0"/>
    <n v="4.97"/>
    <s v="Yes"/>
    <n v="3.33"/>
    <x v="0"/>
    <x v="0"/>
    <x v="3"/>
  </r>
  <r>
    <s v="AIJ-102976"/>
    <x v="19"/>
    <x v="1"/>
    <x v="8"/>
    <x v="0"/>
    <x v="10"/>
    <x v="44"/>
    <x v="44"/>
    <x v="0"/>
    <n v="53660"/>
    <s v="Low"/>
    <x v="31"/>
    <n v="55"/>
    <x v="0"/>
    <x v="1"/>
    <n v="3.51"/>
    <s v="No"/>
    <n v="3.08"/>
    <x v="2"/>
    <x v="1"/>
    <x v="3"/>
  </r>
  <r>
    <s v="AIJ-102977"/>
    <x v="0"/>
    <x v="4"/>
    <x v="5"/>
    <x v="2"/>
    <x v="3"/>
    <x v="56"/>
    <x v="2"/>
    <x v="0"/>
    <n v="194869"/>
    <s v="Medium"/>
    <x v="3"/>
    <n v="33"/>
    <x v="2"/>
    <x v="2"/>
    <n v="3.51"/>
    <s v="No"/>
    <n v="3"/>
    <x v="1"/>
    <x v="2"/>
    <x v="2"/>
  </r>
  <r>
    <s v="AIJ-102978"/>
    <x v="6"/>
    <x v="2"/>
    <x v="7"/>
    <x v="1"/>
    <x v="10"/>
    <x v="83"/>
    <x v="19"/>
    <x v="0"/>
    <n v="69572"/>
    <s v="Medium"/>
    <x v="49"/>
    <n v="54"/>
    <x v="1"/>
    <x v="0"/>
    <n v="3.68"/>
    <s v="Yes"/>
    <n v="4.25"/>
    <x v="0"/>
    <x v="2"/>
    <x v="3"/>
  </r>
  <r>
    <s v="AIJ-102979"/>
    <x v="4"/>
    <x v="3"/>
    <x v="8"/>
    <x v="3"/>
    <x v="17"/>
    <x v="53"/>
    <x v="7"/>
    <x v="2"/>
    <n v="47790"/>
    <s v="High"/>
    <x v="17"/>
    <n v="43"/>
    <x v="1"/>
    <x v="0"/>
    <n v="3.65"/>
    <s v="No"/>
    <n v="1.55"/>
    <x v="2"/>
    <x v="1"/>
    <x v="3"/>
  </r>
  <r>
    <s v="AIJ-102980"/>
    <x v="15"/>
    <x v="4"/>
    <x v="7"/>
    <x v="2"/>
    <x v="17"/>
    <x v="62"/>
    <x v="23"/>
    <x v="2"/>
    <n v="35747"/>
    <s v="High"/>
    <x v="39"/>
    <n v="48"/>
    <x v="2"/>
    <x v="0"/>
    <n v="2.4700000000000002"/>
    <s v="No"/>
    <n v="1.84"/>
    <x v="0"/>
    <x v="3"/>
    <x v="3"/>
  </r>
  <r>
    <s v="AIJ-102981"/>
    <x v="10"/>
    <x v="8"/>
    <x v="2"/>
    <x v="2"/>
    <x v="12"/>
    <x v="79"/>
    <x v="6"/>
    <x v="2"/>
    <n v="158218"/>
    <s v="High"/>
    <x v="52"/>
    <n v="42"/>
    <x v="0"/>
    <x v="2"/>
    <n v="2.48"/>
    <s v="Yes"/>
    <n v="3.1"/>
    <x v="2"/>
    <x v="0"/>
    <x v="3"/>
  </r>
  <r>
    <s v="AIJ-102982"/>
    <x v="12"/>
    <x v="5"/>
    <x v="2"/>
    <x v="3"/>
    <x v="14"/>
    <x v="80"/>
    <x v="60"/>
    <x v="2"/>
    <n v="54771"/>
    <s v="High"/>
    <x v="38"/>
    <n v="36"/>
    <x v="2"/>
    <x v="2"/>
    <n v="4.22"/>
    <s v="Yes"/>
    <n v="2.2599999999999998"/>
    <x v="0"/>
    <x v="2"/>
    <x v="2"/>
  </r>
  <r>
    <s v="AIJ-102983"/>
    <x v="2"/>
    <x v="2"/>
    <x v="6"/>
    <x v="0"/>
    <x v="25"/>
    <x v="51"/>
    <x v="53"/>
    <x v="1"/>
    <n v="104686"/>
    <s v="Low"/>
    <x v="37"/>
    <n v="37"/>
    <x v="2"/>
    <x v="0"/>
    <n v="2.4300000000000002"/>
    <s v="No"/>
    <n v="3.19"/>
    <x v="1"/>
    <x v="3"/>
    <x v="1"/>
  </r>
  <r>
    <s v="AIJ-102984"/>
    <x v="3"/>
    <x v="4"/>
    <x v="8"/>
    <x v="0"/>
    <x v="16"/>
    <x v="82"/>
    <x v="49"/>
    <x v="2"/>
    <n v="177394"/>
    <s v="Low"/>
    <x v="49"/>
    <n v="44"/>
    <x v="0"/>
    <x v="1"/>
    <n v="4.55"/>
    <s v="No"/>
    <n v="1.1100000000000001"/>
    <x v="0"/>
    <x v="3"/>
    <x v="3"/>
  </r>
  <r>
    <s v="AIJ-102985"/>
    <x v="12"/>
    <x v="2"/>
    <x v="8"/>
    <x v="0"/>
    <x v="16"/>
    <x v="80"/>
    <x v="5"/>
    <x v="2"/>
    <n v="104518"/>
    <s v="High"/>
    <x v="14"/>
    <n v="34"/>
    <x v="2"/>
    <x v="0"/>
    <n v="3.49"/>
    <s v="Yes"/>
    <n v="4.78"/>
    <x v="1"/>
    <x v="3"/>
    <x v="3"/>
  </r>
  <r>
    <s v="AIJ-102986"/>
    <x v="18"/>
    <x v="8"/>
    <x v="2"/>
    <x v="0"/>
    <x v="16"/>
    <x v="62"/>
    <x v="37"/>
    <x v="1"/>
    <n v="133617"/>
    <s v="High"/>
    <x v="16"/>
    <n v="40"/>
    <x v="0"/>
    <x v="0"/>
    <n v="4.7300000000000004"/>
    <s v="No"/>
    <n v="1.78"/>
    <x v="0"/>
    <x v="2"/>
    <x v="3"/>
  </r>
  <r>
    <s v="AIJ-102987"/>
    <x v="5"/>
    <x v="0"/>
    <x v="6"/>
    <x v="3"/>
    <x v="18"/>
    <x v="46"/>
    <x v="62"/>
    <x v="2"/>
    <n v="166973"/>
    <s v="Medium"/>
    <x v="41"/>
    <n v="60"/>
    <x v="0"/>
    <x v="0"/>
    <n v="4.4000000000000004"/>
    <s v="No"/>
    <n v="1.79"/>
    <x v="2"/>
    <x v="3"/>
    <x v="3"/>
  </r>
  <r>
    <s v="AIJ-102988"/>
    <x v="3"/>
    <x v="2"/>
    <x v="8"/>
    <x v="1"/>
    <x v="9"/>
    <x v="87"/>
    <x v="44"/>
    <x v="2"/>
    <n v="141251"/>
    <s v="Low"/>
    <x v="11"/>
    <n v="35"/>
    <x v="2"/>
    <x v="1"/>
    <n v="2.65"/>
    <s v="Yes"/>
    <n v="2.58"/>
    <x v="0"/>
    <x v="2"/>
    <x v="1"/>
  </r>
  <r>
    <s v="AIJ-102989"/>
    <x v="2"/>
    <x v="4"/>
    <x v="6"/>
    <x v="0"/>
    <x v="19"/>
    <x v="30"/>
    <x v="27"/>
    <x v="2"/>
    <n v="126070"/>
    <s v="Low"/>
    <x v="50"/>
    <n v="59"/>
    <x v="2"/>
    <x v="1"/>
    <n v="4.91"/>
    <s v="No"/>
    <n v="1.1599999999999999"/>
    <x v="1"/>
    <x v="3"/>
    <x v="2"/>
  </r>
  <r>
    <s v="AIJ-102990"/>
    <x v="16"/>
    <x v="1"/>
    <x v="6"/>
    <x v="2"/>
    <x v="12"/>
    <x v="77"/>
    <x v="67"/>
    <x v="0"/>
    <n v="139883"/>
    <s v="Low"/>
    <x v="51"/>
    <n v="31"/>
    <x v="0"/>
    <x v="2"/>
    <n v="4.66"/>
    <s v="Yes"/>
    <n v="2.73"/>
    <x v="1"/>
    <x v="3"/>
    <x v="3"/>
  </r>
  <r>
    <s v="AIJ-102991"/>
    <x v="4"/>
    <x v="8"/>
    <x v="7"/>
    <x v="1"/>
    <x v="10"/>
    <x v="2"/>
    <x v="42"/>
    <x v="0"/>
    <n v="86278"/>
    <s v="Low"/>
    <x v="12"/>
    <n v="43"/>
    <x v="0"/>
    <x v="2"/>
    <n v="2.91"/>
    <s v="No"/>
    <n v="3.33"/>
    <x v="2"/>
    <x v="3"/>
    <x v="3"/>
  </r>
  <r>
    <s v="AIJ-102992"/>
    <x v="14"/>
    <x v="9"/>
    <x v="2"/>
    <x v="3"/>
    <x v="12"/>
    <x v="46"/>
    <x v="2"/>
    <x v="2"/>
    <n v="71406"/>
    <s v="Low"/>
    <x v="48"/>
    <n v="39"/>
    <x v="0"/>
    <x v="0"/>
    <n v="3.41"/>
    <s v="Yes"/>
    <n v="1.29"/>
    <x v="0"/>
    <x v="3"/>
    <x v="3"/>
  </r>
  <r>
    <s v="AIJ-102993"/>
    <x v="19"/>
    <x v="9"/>
    <x v="2"/>
    <x v="3"/>
    <x v="0"/>
    <x v="14"/>
    <x v="34"/>
    <x v="0"/>
    <n v="131350"/>
    <s v="Medium"/>
    <x v="48"/>
    <n v="52"/>
    <x v="0"/>
    <x v="1"/>
    <n v="3.04"/>
    <s v="Yes"/>
    <n v="3.19"/>
    <x v="2"/>
    <x v="2"/>
    <x v="0"/>
  </r>
  <r>
    <s v="AIJ-102994"/>
    <x v="15"/>
    <x v="5"/>
    <x v="5"/>
    <x v="1"/>
    <x v="22"/>
    <x v="13"/>
    <x v="27"/>
    <x v="0"/>
    <n v="163485"/>
    <s v="Low"/>
    <x v="10"/>
    <n v="53"/>
    <x v="1"/>
    <x v="2"/>
    <n v="4.3099999999999996"/>
    <s v="No"/>
    <n v="3.88"/>
    <x v="0"/>
    <x v="0"/>
    <x v="2"/>
  </r>
  <r>
    <s v="AIJ-102995"/>
    <x v="19"/>
    <x v="2"/>
    <x v="6"/>
    <x v="1"/>
    <x v="21"/>
    <x v="67"/>
    <x v="59"/>
    <x v="2"/>
    <n v="202565"/>
    <s v="Medium"/>
    <x v="8"/>
    <n v="59"/>
    <x v="0"/>
    <x v="1"/>
    <n v="4.54"/>
    <s v="Yes"/>
    <n v="1.27"/>
    <x v="1"/>
    <x v="2"/>
    <x v="0"/>
  </r>
  <r>
    <s v="AIJ-102996"/>
    <x v="0"/>
    <x v="0"/>
    <x v="3"/>
    <x v="0"/>
    <x v="22"/>
    <x v="70"/>
    <x v="9"/>
    <x v="0"/>
    <n v="37215"/>
    <s v="Low"/>
    <x v="15"/>
    <n v="45"/>
    <x v="1"/>
    <x v="2"/>
    <n v="2.71"/>
    <s v="No"/>
    <n v="2.56"/>
    <x v="1"/>
    <x v="3"/>
    <x v="2"/>
  </r>
  <r>
    <s v="AIJ-102997"/>
    <x v="14"/>
    <x v="4"/>
    <x v="5"/>
    <x v="2"/>
    <x v="20"/>
    <x v="47"/>
    <x v="30"/>
    <x v="1"/>
    <n v="55179"/>
    <s v="Medium"/>
    <x v="38"/>
    <n v="35"/>
    <x v="1"/>
    <x v="2"/>
    <n v="4.88"/>
    <s v="Yes"/>
    <n v="3.17"/>
    <x v="2"/>
    <x v="2"/>
    <x v="2"/>
  </r>
  <r>
    <s v="AIJ-102998"/>
    <x v="19"/>
    <x v="3"/>
    <x v="7"/>
    <x v="1"/>
    <x v="15"/>
    <x v="80"/>
    <x v="52"/>
    <x v="2"/>
    <n v="125291"/>
    <s v="Medium"/>
    <x v="55"/>
    <n v="47"/>
    <x v="1"/>
    <x v="1"/>
    <n v="3.59"/>
    <s v="Yes"/>
    <n v="3.78"/>
    <x v="1"/>
    <x v="2"/>
    <x v="1"/>
  </r>
  <r>
    <s v="AIJ-102999"/>
    <x v="2"/>
    <x v="1"/>
    <x v="4"/>
    <x v="3"/>
    <x v="16"/>
    <x v="29"/>
    <x v="65"/>
    <x v="1"/>
    <n v="152792"/>
    <s v="Low"/>
    <x v="21"/>
    <n v="44"/>
    <x v="2"/>
    <x v="1"/>
    <n v="3.29"/>
    <s v="No"/>
    <n v="1.36"/>
    <x v="0"/>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70A34-D9A3-494C-8461-E028E2FA0AAD}" name="Job-job secu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61:D83" firstHeaderRow="1" firstDataRow="2" firstDataCol="1"/>
  <pivotFields count="21">
    <pivotField showAll="0"/>
    <pivotField axis="axisRow" showAll="0">
      <items count="21">
        <item x="10"/>
        <item x="13"/>
        <item x="16"/>
        <item x="9"/>
        <item x="3"/>
        <item x="0"/>
        <item x="19"/>
        <item x="14"/>
        <item x="6"/>
        <item x="18"/>
        <item x="1"/>
        <item x="2"/>
        <item x="12"/>
        <item x="4"/>
        <item x="8"/>
        <item x="15"/>
        <item x="7"/>
        <item x="17"/>
        <item x="11"/>
        <item x="5"/>
        <item t="default"/>
      </items>
    </pivotField>
    <pivotField showAll="0">
      <items count="11">
        <item x="2"/>
        <item x="4"/>
        <item x="8"/>
        <item x="3"/>
        <item x="0"/>
        <item x="7"/>
        <item x="5"/>
        <item x="1"/>
        <item x="6"/>
        <item x="9"/>
        <item t="default"/>
      </items>
    </pivotField>
    <pivotField showAll="0">
      <items count="11">
        <item x="7"/>
        <item x="2"/>
        <item x="4"/>
        <item x="6"/>
        <item x="0"/>
        <item x="5"/>
        <item x="9"/>
        <item x="3"/>
        <item x="1"/>
        <item x="8"/>
        <item t="default"/>
      </items>
    </pivotField>
    <pivotField showAll="0"/>
    <pivotField showAll="0"/>
    <pivotField showAll="0"/>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showAll="0"/>
    <pivotField showAll="0"/>
    <pivotField showAll="0"/>
    <pivotField axis="axisCol" dataField="1" showAll="0">
      <items count="5">
        <item h="1" x="3"/>
        <item h="1" x="2"/>
        <item x="0"/>
        <item h="1" x="1"/>
        <item t="default"/>
      </items>
    </pivotField>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19"/>
  </colFields>
  <colItems count="2">
    <i>
      <x v="2"/>
    </i>
    <i t="grand">
      <x/>
    </i>
  </colItems>
  <dataFields count="1">
    <dataField name="Count of Job_Security" fld="19" subtotal="count" baseField="0" baseItem="0"/>
  </dataFields>
  <chartFormats count="84">
    <chartFormat chart="11" format="0" series="1">
      <pivotArea type="data" outline="0" fieldPosition="0">
        <references count="2">
          <reference field="4294967294" count="1" selected="0">
            <x v="0"/>
          </reference>
          <reference field="19" count="1" selected="0">
            <x v="2"/>
          </reference>
        </references>
      </pivotArea>
    </chartFormat>
    <chartFormat chart="11" format="1">
      <pivotArea type="data" outline="0" fieldPosition="0">
        <references count="3">
          <reference field="4294967294" count="1" selected="0">
            <x v="0"/>
          </reference>
          <reference field="1" count="1" selected="0">
            <x v="0"/>
          </reference>
          <reference field="19" count="1" selected="0">
            <x v="2"/>
          </reference>
        </references>
      </pivotArea>
    </chartFormat>
    <chartFormat chart="11" format="2">
      <pivotArea type="data" outline="0" fieldPosition="0">
        <references count="3">
          <reference field="4294967294" count="1" selected="0">
            <x v="0"/>
          </reference>
          <reference field="1" count="1" selected="0">
            <x v="1"/>
          </reference>
          <reference field="19" count="1" selected="0">
            <x v="2"/>
          </reference>
        </references>
      </pivotArea>
    </chartFormat>
    <chartFormat chart="11" format="3">
      <pivotArea type="data" outline="0" fieldPosition="0">
        <references count="3">
          <reference field="4294967294" count="1" selected="0">
            <x v="0"/>
          </reference>
          <reference field="1" count="1" selected="0">
            <x v="2"/>
          </reference>
          <reference field="19" count="1" selected="0">
            <x v="2"/>
          </reference>
        </references>
      </pivotArea>
    </chartFormat>
    <chartFormat chart="11" format="4">
      <pivotArea type="data" outline="0" fieldPosition="0">
        <references count="3">
          <reference field="4294967294" count="1" selected="0">
            <x v="0"/>
          </reference>
          <reference field="1" count="1" selected="0">
            <x v="3"/>
          </reference>
          <reference field="19" count="1" selected="0">
            <x v="2"/>
          </reference>
        </references>
      </pivotArea>
    </chartFormat>
    <chartFormat chart="11" format="5">
      <pivotArea type="data" outline="0" fieldPosition="0">
        <references count="3">
          <reference field="4294967294" count="1" selected="0">
            <x v="0"/>
          </reference>
          <reference field="1" count="1" selected="0">
            <x v="4"/>
          </reference>
          <reference field="19" count="1" selected="0">
            <x v="2"/>
          </reference>
        </references>
      </pivotArea>
    </chartFormat>
    <chartFormat chart="11" format="6">
      <pivotArea type="data" outline="0" fieldPosition="0">
        <references count="3">
          <reference field="4294967294" count="1" selected="0">
            <x v="0"/>
          </reference>
          <reference field="1" count="1" selected="0">
            <x v="5"/>
          </reference>
          <reference field="19" count="1" selected="0">
            <x v="2"/>
          </reference>
        </references>
      </pivotArea>
    </chartFormat>
    <chartFormat chart="11" format="7">
      <pivotArea type="data" outline="0" fieldPosition="0">
        <references count="3">
          <reference field="4294967294" count="1" selected="0">
            <x v="0"/>
          </reference>
          <reference field="1" count="1" selected="0">
            <x v="6"/>
          </reference>
          <reference field="19" count="1" selected="0">
            <x v="2"/>
          </reference>
        </references>
      </pivotArea>
    </chartFormat>
    <chartFormat chart="11" format="8">
      <pivotArea type="data" outline="0" fieldPosition="0">
        <references count="3">
          <reference field="4294967294" count="1" selected="0">
            <x v="0"/>
          </reference>
          <reference field="1" count="1" selected="0">
            <x v="7"/>
          </reference>
          <reference field="19" count="1" selected="0">
            <x v="2"/>
          </reference>
        </references>
      </pivotArea>
    </chartFormat>
    <chartFormat chart="11" format="9">
      <pivotArea type="data" outline="0" fieldPosition="0">
        <references count="3">
          <reference field="4294967294" count="1" selected="0">
            <x v="0"/>
          </reference>
          <reference field="1" count="1" selected="0">
            <x v="8"/>
          </reference>
          <reference field="19" count="1" selected="0">
            <x v="2"/>
          </reference>
        </references>
      </pivotArea>
    </chartFormat>
    <chartFormat chart="11" format="10">
      <pivotArea type="data" outline="0" fieldPosition="0">
        <references count="3">
          <reference field="4294967294" count="1" selected="0">
            <x v="0"/>
          </reference>
          <reference field="1" count="1" selected="0">
            <x v="9"/>
          </reference>
          <reference field="19" count="1" selected="0">
            <x v="2"/>
          </reference>
        </references>
      </pivotArea>
    </chartFormat>
    <chartFormat chart="11" format="11">
      <pivotArea type="data" outline="0" fieldPosition="0">
        <references count="3">
          <reference field="4294967294" count="1" selected="0">
            <x v="0"/>
          </reference>
          <reference field="1" count="1" selected="0">
            <x v="10"/>
          </reference>
          <reference field="19" count="1" selected="0">
            <x v="2"/>
          </reference>
        </references>
      </pivotArea>
    </chartFormat>
    <chartFormat chart="11" format="12">
      <pivotArea type="data" outline="0" fieldPosition="0">
        <references count="3">
          <reference field="4294967294" count="1" selected="0">
            <x v="0"/>
          </reference>
          <reference field="1" count="1" selected="0">
            <x v="11"/>
          </reference>
          <reference field="19" count="1" selected="0">
            <x v="2"/>
          </reference>
        </references>
      </pivotArea>
    </chartFormat>
    <chartFormat chart="11" format="13">
      <pivotArea type="data" outline="0" fieldPosition="0">
        <references count="3">
          <reference field="4294967294" count="1" selected="0">
            <x v="0"/>
          </reference>
          <reference field="1" count="1" selected="0">
            <x v="12"/>
          </reference>
          <reference field="19" count="1" selected="0">
            <x v="2"/>
          </reference>
        </references>
      </pivotArea>
    </chartFormat>
    <chartFormat chart="11" format="14">
      <pivotArea type="data" outline="0" fieldPosition="0">
        <references count="3">
          <reference field="4294967294" count="1" selected="0">
            <x v="0"/>
          </reference>
          <reference field="1" count="1" selected="0">
            <x v="13"/>
          </reference>
          <reference field="19" count="1" selected="0">
            <x v="2"/>
          </reference>
        </references>
      </pivotArea>
    </chartFormat>
    <chartFormat chart="11" format="15">
      <pivotArea type="data" outline="0" fieldPosition="0">
        <references count="3">
          <reference field="4294967294" count="1" selected="0">
            <x v="0"/>
          </reference>
          <reference field="1" count="1" selected="0">
            <x v="14"/>
          </reference>
          <reference field="19" count="1" selected="0">
            <x v="2"/>
          </reference>
        </references>
      </pivotArea>
    </chartFormat>
    <chartFormat chart="11" format="16">
      <pivotArea type="data" outline="0" fieldPosition="0">
        <references count="3">
          <reference field="4294967294" count="1" selected="0">
            <x v="0"/>
          </reference>
          <reference field="1" count="1" selected="0">
            <x v="15"/>
          </reference>
          <reference field="19" count="1" selected="0">
            <x v="2"/>
          </reference>
        </references>
      </pivotArea>
    </chartFormat>
    <chartFormat chart="11" format="17">
      <pivotArea type="data" outline="0" fieldPosition="0">
        <references count="3">
          <reference field="4294967294" count="1" selected="0">
            <x v="0"/>
          </reference>
          <reference field="1" count="1" selected="0">
            <x v="16"/>
          </reference>
          <reference field="19" count="1" selected="0">
            <x v="2"/>
          </reference>
        </references>
      </pivotArea>
    </chartFormat>
    <chartFormat chart="11" format="18">
      <pivotArea type="data" outline="0" fieldPosition="0">
        <references count="3">
          <reference field="4294967294" count="1" selected="0">
            <x v="0"/>
          </reference>
          <reference field="1" count="1" selected="0">
            <x v="17"/>
          </reference>
          <reference field="19" count="1" selected="0">
            <x v="2"/>
          </reference>
        </references>
      </pivotArea>
    </chartFormat>
    <chartFormat chart="11" format="19">
      <pivotArea type="data" outline="0" fieldPosition="0">
        <references count="3">
          <reference field="4294967294" count="1" selected="0">
            <x v="0"/>
          </reference>
          <reference field="1" count="1" selected="0">
            <x v="18"/>
          </reference>
          <reference field="19" count="1" selected="0">
            <x v="2"/>
          </reference>
        </references>
      </pivotArea>
    </chartFormat>
    <chartFormat chart="11" format="20">
      <pivotArea type="data" outline="0" fieldPosition="0">
        <references count="3">
          <reference field="4294967294" count="1" selected="0">
            <x v="0"/>
          </reference>
          <reference field="1" count="1" selected="0">
            <x v="19"/>
          </reference>
          <reference field="19" count="1" selected="0">
            <x v="2"/>
          </reference>
        </references>
      </pivotArea>
    </chartFormat>
    <chartFormat chart="14" format="67" series="1">
      <pivotArea type="data" outline="0" fieldPosition="0">
        <references count="2">
          <reference field="4294967294" count="1" selected="0">
            <x v="0"/>
          </reference>
          <reference field="19" count="1" selected="0">
            <x v="2"/>
          </reference>
        </references>
      </pivotArea>
    </chartFormat>
    <chartFormat chart="14" format="68">
      <pivotArea type="data" outline="0" fieldPosition="0">
        <references count="3">
          <reference field="4294967294" count="1" selected="0">
            <x v="0"/>
          </reference>
          <reference field="1" count="1" selected="0">
            <x v="0"/>
          </reference>
          <reference field="19" count="1" selected="0">
            <x v="2"/>
          </reference>
        </references>
      </pivotArea>
    </chartFormat>
    <chartFormat chart="14" format="69">
      <pivotArea type="data" outline="0" fieldPosition="0">
        <references count="3">
          <reference field="4294967294" count="1" selected="0">
            <x v="0"/>
          </reference>
          <reference field="1" count="1" selected="0">
            <x v="1"/>
          </reference>
          <reference field="19" count="1" selected="0">
            <x v="2"/>
          </reference>
        </references>
      </pivotArea>
    </chartFormat>
    <chartFormat chart="14" format="70">
      <pivotArea type="data" outline="0" fieldPosition="0">
        <references count="3">
          <reference field="4294967294" count="1" selected="0">
            <x v="0"/>
          </reference>
          <reference field="1" count="1" selected="0">
            <x v="2"/>
          </reference>
          <reference field="19" count="1" selected="0">
            <x v="2"/>
          </reference>
        </references>
      </pivotArea>
    </chartFormat>
    <chartFormat chart="14" format="71">
      <pivotArea type="data" outline="0" fieldPosition="0">
        <references count="3">
          <reference field="4294967294" count="1" selected="0">
            <x v="0"/>
          </reference>
          <reference field="1" count="1" selected="0">
            <x v="3"/>
          </reference>
          <reference field="19" count="1" selected="0">
            <x v="2"/>
          </reference>
        </references>
      </pivotArea>
    </chartFormat>
    <chartFormat chart="14" format="72">
      <pivotArea type="data" outline="0" fieldPosition="0">
        <references count="3">
          <reference field="4294967294" count="1" selected="0">
            <x v="0"/>
          </reference>
          <reference field="1" count="1" selected="0">
            <x v="4"/>
          </reference>
          <reference field="19" count="1" selected="0">
            <x v="2"/>
          </reference>
        </references>
      </pivotArea>
    </chartFormat>
    <chartFormat chart="14" format="73">
      <pivotArea type="data" outline="0" fieldPosition="0">
        <references count="3">
          <reference field="4294967294" count="1" selected="0">
            <x v="0"/>
          </reference>
          <reference field="1" count="1" selected="0">
            <x v="5"/>
          </reference>
          <reference field="19" count="1" selected="0">
            <x v="2"/>
          </reference>
        </references>
      </pivotArea>
    </chartFormat>
    <chartFormat chart="14" format="74">
      <pivotArea type="data" outline="0" fieldPosition="0">
        <references count="3">
          <reference field="4294967294" count="1" selected="0">
            <x v="0"/>
          </reference>
          <reference field="1" count="1" selected="0">
            <x v="6"/>
          </reference>
          <reference field="19" count="1" selected="0">
            <x v="2"/>
          </reference>
        </references>
      </pivotArea>
    </chartFormat>
    <chartFormat chart="14" format="75">
      <pivotArea type="data" outline="0" fieldPosition="0">
        <references count="3">
          <reference field="4294967294" count="1" selected="0">
            <x v="0"/>
          </reference>
          <reference field="1" count="1" selected="0">
            <x v="7"/>
          </reference>
          <reference field="19" count="1" selected="0">
            <x v="2"/>
          </reference>
        </references>
      </pivotArea>
    </chartFormat>
    <chartFormat chart="14" format="76">
      <pivotArea type="data" outline="0" fieldPosition="0">
        <references count="3">
          <reference field="4294967294" count="1" selected="0">
            <x v="0"/>
          </reference>
          <reference field="1" count="1" selected="0">
            <x v="8"/>
          </reference>
          <reference field="19" count="1" selected="0">
            <x v="2"/>
          </reference>
        </references>
      </pivotArea>
    </chartFormat>
    <chartFormat chart="14" format="77">
      <pivotArea type="data" outline="0" fieldPosition="0">
        <references count="3">
          <reference field="4294967294" count="1" selected="0">
            <x v="0"/>
          </reference>
          <reference field="1" count="1" selected="0">
            <x v="9"/>
          </reference>
          <reference field="19" count="1" selected="0">
            <x v="2"/>
          </reference>
        </references>
      </pivotArea>
    </chartFormat>
    <chartFormat chart="14" format="78">
      <pivotArea type="data" outline="0" fieldPosition="0">
        <references count="3">
          <reference field="4294967294" count="1" selected="0">
            <x v="0"/>
          </reference>
          <reference field="1" count="1" selected="0">
            <x v="10"/>
          </reference>
          <reference field="19" count="1" selected="0">
            <x v="2"/>
          </reference>
        </references>
      </pivotArea>
    </chartFormat>
    <chartFormat chart="14" format="79">
      <pivotArea type="data" outline="0" fieldPosition="0">
        <references count="3">
          <reference field="4294967294" count="1" selected="0">
            <x v="0"/>
          </reference>
          <reference field="1" count="1" selected="0">
            <x v="11"/>
          </reference>
          <reference field="19" count="1" selected="0">
            <x v="2"/>
          </reference>
        </references>
      </pivotArea>
    </chartFormat>
    <chartFormat chart="14" format="80">
      <pivotArea type="data" outline="0" fieldPosition="0">
        <references count="3">
          <reference field="4294967294" count="1" selected="0">
            <x v="0"/>
          </reference>
          <reference field="1" count="1" selected="0">
            <x v="12"/>
          </reference>
          <reference field="19" count="1" selected="0">
            <x v="2"/>
          </reference>
        </references>
      </pivotArea>
    </chartFormat>
    <chartFormat chart="14" format="81">
      <pivotArea type="data" outline="0" fieldPosition="0">
        <references count="3">
          <reference field="4294967294" count="1" selected="0">
            <x v="0"/>
          </reference>
          <reference field="1" count="1" selected="0">
            <x v="13"/>
          </reference>
          <reference field="19" count="1" selected="0">
            <x v="2"/>
          </reference>
        </references>
      </pivotArea>
    </chartFormat>
    <chartFormat chart="14" format="82">
      <pivotArea type="data" outline="0" fieldPosition="0">
        <references count="3">
          <reference field="4294967294" count="1" selected="0">
            <x v="0"/>
          </reference>
          <reference field="1" count="1" selected="0">
            <x v="14"/>
          </reference>
          <reference field="19" count="1" selected="0">
            <x v="2"/>
          </reference>
        </references>
      </pivotArea>
    </chartFormat>
    <chartFormat chart="14" format="83">
      <pivotArea type="data" outline="0" fieldPosition="0">
        <references count="3">
          <reference field="4294967294" count="1" selected="0">
            <x v="0"/>
          </reference>
          <reference field="1" count="1" selected="0">
            <x v="15"/>
          </reference>
          <reference field="19" count="1" selected="0">
            <x v="2"/>
          </reference>
        </references>
      </pivotArea>
    </chartFormat>
    <chartFormat chart="14" format="84">
      <pivotArea type="data" outline="0" fieldPosition="0">
        <references count="3">
          <reference field="4294967294" count="1" selected="0">
            <x v="0"/>
          </reference>
          <reference field="1" count="1" selected="0">
            <x v="16"/>
          </reference>
          <reference field="19" count="1" selected="0">
            <x v="2"/>
          </reference>
        </references>
      </pivotArea>
    </chartFormat>
    <chartFormat chart="14" format="85">
      <pivotArea type="data" outline="0" fieldPosition="0">
        <references count="3">
          <reference field="4294967294" count="1" selected="0">
            <x v="0"/>
          </reference>
          <reference field="1" count="1" selected="0">
            <x v="17"/>
          </reference>
          <reference field="19" count="1" selected="0">
            <x v="2"/>
          </reference>
        </references>
      </pivotArea>
    </chartFormat>
    <chartFormat chart="14" format="86">
      <pivotArea type="data" outline="0" fieldPosition="0">
        <references count="3">
          <reference field="4294967294" count="1" selected="0">
            <x v="0"/>
          </reference>
          <reference field="1" count="1" selected="0">
            <x v="18"/>
          </reference>
          <reference field="19" count="1" selected="0">
            <x v="2"/>
          </reference>
        </references>
      </pivotArea>
    </chartFormat>
    <chartFormat chart="14" format="87">
      <pivotArea type="data" outline="0" fieldPosition="0">
        <references count="3">
          <reference field="4294967294" count="1" selected="0">
            <x v="0"/>
          </reference>
          <reference field="1" count="1" selected="0">
            <x v="19"/>
          </reference>
          <reference field="19" count="1" selected="0">
            <x v="2"/>
          </reference>
        </references>
      </pivotArea>
    </chartFormat>
    <chartFormat chart="29" format="42" series="1">
      <pivotArea type="data" outline="0" fieldPosition="0">
        <references count="2">
          <reference field="4294967294" count="1" selected="0">
            <x v="0"/>
          </reference>
          <reference field="19" count="1" selected="0">
            <x v="2"/>
          </reference>
        </references>
      </pivotArea>
    </chartFormat>
    <chartFormat chart="29" format="43">
      <pivotArea type="data" outline="0" fieldPosition="0">
        <references count="3">
          <reference field="4294967294" count="1" selected="0">
            <x v="0"/>
          </reference>
          <reference field="1" count="1" selected="0">
            <x v="0"/>
          </reference>
          <reference field="19" count="1" selected="0">
            <x v="2"/>
          </reference>
        </references>
      </pivotArea>
    </chartFormat>
    <chartFormat chart="29" format="44">
      <pivotArea type="data" outline="0" fieldPosition="0">
        <references count="3">
          <reference field="4294967294" count="1" selected="0">
            <x v="0"/>
          </reference>
          <reference field="1" count="1" selected="0">
            <x v="1"/>
          </reference>
          <reference field="19" count="1" selected="0">
            <x v="2"/>
          </reference>
        </references>
      </pivotArea>
    </chartFormat>
    <chartFormat chart="29" format="45">
      <pivotArea type="data" outline="0" fieldPosition="0">
        <references count="3">
          <reference field="4294967294" count="1" selected="0">
            <x v="0"/>
          </reference>
          <reference field="1" count="1" selected="0">
            <x v="2"/>
          </reference>
          <reference field="19" count="1" selected="0">
            <x v="2"/>
          </reference>
        </references>
      </pivotArea>
    </chartFormat>
    <chartFormat chart="29" format="46">
      <pivotArea type="data" outline="0" fieldPosition="0">
        <references count="3">
          <reference field="4294967294" count="1" selected="0">
            <x v="0"/>
          </reference>
          <reference field="1" count="1" selected="0">
            <x v="3"/>
          </reference>
          <reference field="19" count="1" selected="0">
            <x v="2"/>
          </reference>
        </references>
      </pivotArea>
    </chartFormat>
    <chartFormat chart="29" format="47">
      <pivotArea type="data" outline="0" fieldPosition="0">
        <references count="3">
          <reference field="4294967294" count="1" selected="0">
            <x v="0"/>
          </reference>
          <reference field="1" count="1" selected="0">
            <x v="4"/>
          </reference>
          <reference field="19" count="1" selected="0">
            <x v="2"/>
          </reference>
        </references>
      </pivotArea>
    </chartFormat>
    <chartFormat chart="29" format="48">
      <pivotArea type="data" outline="0" fieldPosition="0">
        <references count="3">
          <reference field="4294967294" count="1" selected="0">
            <x v="0"/>
          </reference>
          <reference field="1" count="1" selected="0">
            <x v="5"/>
          </reference>
          <reference field="19" count="1" selected="0">
            <x v="2"/>
          </reference>
        </references>
      </pivotArea>
    </chartFormat>
    <chartFormat chart="29" format="49">
      <pivotArea type="data" outline="0" fieldPosition="0">
        <references count="3">
          <reference field="4294967294" count="1" selected="0">
            <x v="0"/>
          </reference>
          <reference field="1" count="1" selected="0">
            <x v="6"/>
          </reference>
          <reference field="19" count="1" selected="0">
            <x v="2"/>
          </reference>
        </references>
      </pivotArea>
    </chartFormat>
    <chartFormat chart="29" format="50">
      <pivotArea type="data" outline="0" fieldPosition="0">
        <references count="3">
          <reference field="4294967294" count="1" selected="0">
            <x v="0"/>
          </reference>
          <reference field="1" count="1" selected="0">
            <x v="7"/>
          </reference>
          <reference field="19" count="1" selected="0">
            <x v="2"/>
          </reference>
        </references>
      </pivotArea>
    </chartFormat>
    <chartFormat chart="29" format="51">
      <pivotArea type="data" outline="0" fieldPosition="0">
        <references count="3">
          <reference field="4294967294" count="1" selected="0">
            <x v="0"/>
          </reference>
          <reference field="1" count="1" selected="0">
            <x v="8"/>
          </reference>
          <reference field="19" count="1" selected="0">
            <x v="2"/>
          </reference>
        </references>
      </pivotArea>
    </chartFormat>
    <chartFormat chart="29" format="52">
      <pivotArea type="data" outline="0" fieldPosition="0">
        <references count="3">
          <reference field="4294967294" count="1" selected="0">
            <x v="0"/>
          </reference>
          <reference field="1" count="1" selected="0">
            <x v="9"/>
          </reference>
          <reference field="19" count="1" selected="0">
            <x v="2"/>
          </reference>
        </references>
      </pivotArea>
    </chartFormat>
    <chartFormat chart="29" format="53">
      <pivotArea type="data" outline="0" fieldPosition="0">
        <references count="3">
          <reference field="4294967294" count="1" selected="0">
            <x v="0"/>
          </reference>
          <reference field="1" count="1" selected="0">
            <x v="10"/>
          </reference>
          <reference field="19" count="1" selected="0">
            <x v="2"/>
          </reference>
        </references>
      </pivotArea>
    </chartFormat>
    <chartFormat chart="29" format="54">
      <pivotArea type="data" outline="0" fieldPosition="0">
        <references count="3">
          <reference field="4294967294" count="1" selected="0">
            <x v="0"/>
          </reference>
          <reference field="1" count="1" selected="0">
            <x v="11"/>
          </reference>
          <reference field="19" count="1" selected="0">
            <x v="2"/>
          </reference>
        </references>
      </pivotArea>
    </chartFormat>
    <chartFormat chart="29" format="55">
      <pivotArea type="data" outline="0" fieldPosition="0">
        <references count="3">
          <reference field="4294967294" count="1" selected="0">
            <x v="0"/>
          </reference>
          <reference field="1" count="1" selected="0">
            <x v="12"/>
          </reference>
          <reference field="19" count="1" selected="0">
            <x v="2"/>
          </reference>
        </references>
      </pivotArea>
    </chartFormat>
    <chartFormat chart="29" format="56">
      <pivotArea type="data" outline="0" fieldPosition="0">
        <references count="3">
          <reference field="4294967294" count="1" selected="0">
            <x v="0"/>
          </reference>
          <reference field="1" count="1" selected="0">
            <x v="13"/>
          </reference>
          <reference field="19" count="1" selected="0">
            <x v="2"/>
          </reference>
        </references>
      </pivotArea>
    </chartFormat>
    <chartFormat chart="29" format="57">
      <pivotArea type="data" outline="0" fieldPosition="0">
        <references count="3">
          <reference field="4294967294" count="1" selected="0">
            <x v="0"/>
          </reference>
          <reference field="1" count="1" selected="0">
            <x v="14"/>
          </reference>
          <reference field="19" count="1" selected="0">
            <x v="2"/>
          </reference>
        </references>
      </pivotArea>
    </chartFormat>
    <chartFormat chart="29" format="58">
      <pivotArea type="data" outline="0" fieldPosition="0">
        <references count="3">
          <reference field="4294967294" count="1" selected="0">
            <x v="0"/>
          </reference>
          <reference field="1" count="1" selected="0">
            <x v="15"/>
          </reference>
          <reference field="19" count="1" selected="0">
            <x v="2"/>
          </reference>
        </references>
      </pivotArea>
    </chartFormat>
    <chartFormat chart="29" format="59">
      <pivotArea type="data" outline="0" fieldPosition="0">
        <references count="3">
          <reference field="4294967294" count="1" selected="0">
            <x v="0"/>
          </reference>
          <reference field="1" count="1" selected="0">
            <x v="16"/>
          </reference>
          <reference field="19" count="1" selected="0">
            <x v="2"/>
          </reference>
        </references>
      </pivotArea>
    </chartFormat>
    <chartFormat chart="29" format="60">
      <pivotArea type="data" outline="0" fieldPosition="0">
        <references count="3">
          <reference field="4294967294" count="1" selected="0">
            <x v="0"/>
          </reference>
          <reference field="1" count="1" selected="0">
            <x v="17"/>
          </reference>
          <reference field="19" count="1" selected="0">
            <x v="2"/>
          </reference>
        </references>
      </pivotArea>
    </chartFormat>
    <chartFormat chart="29" format="61">
      <pivotArea type="data" outline="0" fieldPosition="0">
        <references count="3">
          <reference field="4294967294" count="1" selected="0">
            <x v="0"/>
          </reference>
          <reference field="1" count="1" selected="0">
            <x v="18"/>
          </reference>
          <reference field="19" count="1" selected="0">
            <x v="2"/>
          </reference>
        </references>
      </pivotArea>
    </chartFormat>
    <chartFormat chart="29" format="62">
      <pivotArea type="data" outline="0" fieldPosition="0">
        <references count="3">
          <reference field="4294967294" count="1" selected="0">
            <x v="0"/>
          </reference>
          <reference field="1" count="1" selected="0">
            <x v="19"/>
          </reference>
          <reference field="19" count="1" selected="0">
            <x v="2"/>
          </reference>
        </references>
      </pivotArea>
    </chartFormat>
    <chartFormat chart="30" format="21" series="1">
      <pivotArea type="data" outline="0" fieldPosition="0">
        <references count="2">
          <reference field="4294967294" count="1" selected="0">
            <x v="0"/>
          </reference>
          <reference field="19" count="1" selected="0">
            <x v="2"/>
          </reference>
        </references>
      </pivotArea>
    </chartFormat>
    <chartFormat chart="30" format="22">
      <pivotArea type="data" outline="0" fieldPosition="0">
        <references count="3">
          <reference field="4294967294" count="1" selected="0">
            <x v="0"/>
          </reference>
          <reference field="1" count="1" selected="0">
            <x v="0"/>
          </reference>
          <reference field="19" count="1" selected="0">
            <x v="2"/>
          </reference>
        </references>
      </pivotArea>
    </chartFormat>
    <chartFormat chart="30" format="23">
      <pivotArea type="data" outline="0" fieldPosition="0">
        <references count="3">
          <reference field="4294967294" count="1" selected="0">
            <x v="0"/>
          </reference>
          <reference field="1" count="1" selected="0">
            <x v="1"/>
          </reference>
          <reference field="19" count="1" selected="0">
            <x v="2"/>
          </reference>
        </references>
      </pivotArea>
    </chartFormat>
    <chartFormat chart="30" format="24">
      <pivotArea type="data" outline="0" fieldPosition="0">
        <references count="3">
          <reference field="4294967294" count="1" selected="0">
            <x v="0"/>
          </reference>
          <reference field="1" count="1" selected="0">
            <x v="2"/>
          </reference>
          <reference field="19" count="1" selected="0">
            <x v="2"/>
          </reference>
        </references>
      </pivotArea>
    </chartFormat>
    <chartFormat chart="30" format="25">
      <pivotArea type="data" outline="0" fieldPosition="0">
        <references count="3">
          <reference field="4294967294" count="1" selected="0">
            <x v="0"/>
          </reference>
          <reference field="1" count="1" selected="0">
            <x v="3"/>
          </reference>
          <reference field="19" count="1" selected="0">
            <x v="2"/>
          </reference>
        </references>
      </pivotArea>
    </chartFormat>
    <chartFormat chart="30" format="26">
      <pivotArea type="data" outline="0" fieldPosition="0">
        <references count="3">
          <reference field="4294967294" count="1" selected="0">
            <x v="0"/>
          </reference>
          <reference field="1" count="1" selected="0">
            <x v="4"/>
          </reference>
          <reference field="19" count="1" selected="0">
            <x v="2"/>
          </reference>
        </references>
      </pivotArea>
    </chartFormat>
    <chartFormat chart="30" format="27">
      <pivotArea type="data" outline="0" fieldPosition="0">
        <references count="3">
          <reference field="4294967294" count="1" selected="0">
            <x v="0"/>
          </reference>
          <reference field="1" count="1" selected="0">
            <x v="5"/>
          </reference>
          <reference field="19" count="1" selected="0">
            <x v="2"/>
          </reference>
        </references>
      </pivotArea>
    </chartFormat>
    <chartFormat chart="30" format="28">
      <pivotArea type="data" outline="0" fieldPosition="0">
        <references count="3">
          <reference field="4294967294" count="1" selected="0">
            <x v="0"/>
          </reference>
          <reference field="1" count="1" selected="0">
            <x v="6"/>
          </reference>
          <reference field="19" count="1" selected="0">
            <x v="2"/>
          </reference>
        </references>
      </pivotArea>
    </chartFormat>
    <chartFormat chart="30" format="29">
      <pivotArea type="data" outline="0" fieldPosition="0">
        <references count="3">
          <reference field="4294967294" count="1" selected="0">
            <x v="0"/>
          </reference>
          <reference field="1" count="1" selected="0">
            <x v="7"/>
          </reference>
          <reference field="19" count="1" selected="0">
            <x v="2"/>
          </reference>
        </references>
      </pivotArea>
    </chartFormat>
    <chartFormat chart="30" format="30">
      <pivotArea type="data" outline="0" fieldPosition="0">
        <references count="3">
          <reference field="4294967294" count="1" selected="0">
            <x v="0"/>
          </reference>
          <reference field="1" count="1" selected="0">
            <x v="8"/>
          </reference>
          <reference field="19" count="1" selected="0">
            <x v="2"/>
          </reference>
        </references>
      </pivotArea>
    </chartFormat>
    <chartFormat chart="30" format="31">
      <pivotArea type="data" outline="0" fieldPosition="0">
        <references count="3">
          <reference field="4294967294" count="1" selected="0">
            <x v="0"/>
          </reference>
          <reference field="1" count="1" selected="0">
            <x v="9"/>
          </reference>
          <reference field="19" count="1" selected="0">
            <x v="2"/>
          </reference>
        </references>
      </pivotArea>
    </chartFormat>
    <chartFormat chart="30" format="32">
      <pivotArea type="data" outline="0" fieldPosition="0">
        <references count="3">
          <reference field="4294967294" count="1" selected="0">
            <x v="0"/>
          </reference>
          <reference field="1" count="1" selected="0">
            <x v="10"/>
          </reference>
          <reference field="19" count="1" selected="0">
            <x v="2"/>
          </reference>
        </references>
      </pivotArea>
    </chartFormat>
    <chartFormat chart="30" format="33">
      <pivotArea type="data" outline="0" fieldPosition="0">
        <references count="3">
          <reference field="4294967294" count="1" selected="0">
            <x v="0"/>
          </reference>
          <reference field="1" count="1" selected="0">
            <x v="11"/>
          </reference>
          <reference field="19" count="1" selected="0">
            <x v="2"/>
          </reference>
        </references>
      </pivotArea>
    </chartFormat>
    <chartFormat chart="30" format="34">
      <pivotArea type="data" outline="0" fieldPosition="0">
        <references count="3">
          <reference field="4294967294" count="1" selected="0">
            <x v="0"/>
          </reference>
          <reference field="1" count="1" selected="0">
            <x v="12"/>
          </reference>
          <reference field="19" count="1" selected="0">
            <x v="2"/>
          </reference>
        </references>
      </pivotArea>
    </chartFormat>
    <chartFormat chart="30" format="35">
      <pivotArea type="data" outline="0" fieldPosition="0">
        <references count="3">
          <reference field="4294967294" count="1" selected="0">
            <x v="0"/>
          </reference>
          <reference field="1" count="1" selected="0">
            <x v="13"/>
          </reference>
          <reference field="19" count="1" selected="0">
            <x v="2"/>
          </reference>
        </references>
      </pivotArea>
    </chartFormat>
    <chartFormat chart="30" format="36">
      <pivotArea type="data" outline="0" fieldPosition="0">
        <references count="3">
          <reference field="4294967294" count="1" selected="0">
            <x v="0"/>
          </reference>
          <reference field="1" count="1" selected="0">
            <x v="14"/>
          </reference>
          <reference field="19" count="1" selected="0">
            <x v="2"/>
          </reference>
        </references>
      </pivotArea>
    </chartFormat>
    <chartFormat chart="30" format="37">
      <pivotArea type="data" outline="0" fieldPosition="0">
        <references count="3">
          <reference field="4294967294" count="1" selected="0">
            <x v="0"/>
          </reference>
          <reference field="1" count="1" selected="0">
            <x v="15"/>
          </reference>
          <reference field="19" count="1" selected="0">
            <x v="2"/>
          </reference>
        </references>
      </pivotArea>
    </chartFormat>
    <chartFormat chart="30" format="38">
      <pivotArea type="data" outline="0" fieldPosition="0">
        <references count="3">
          <reference field="4294967294" count="1" selected="0">
            <x v="0"/>
          </reference>
          <reference field="1" count="1" selected="0">
            <x v="16"/>
          </reference>
          <reference field="19" count="1" selected="0">
            <x v="2"/>
          </reference>
        </references>
      </pivotArea>
    </chartFormat>
    <chartFormat chart="30" format="39">
      <pivotArea type="data" outline="0" fieldPosition="0">
        <references count="3">
          <reference field="4294967294" count="1" selected="0">
            <x v="0"/>
          </reference>
          <reference field="1" count="1" selected="0">
            <x v="17"/>
          </reference>
          <reference field="19" count="1" selected="0">
            <x v="2"/>
          </reference>
        </references>
      </pivotArea>
    </chartFormat>
    <chartFormat chart="30" format="40">
      <pivotArea type="data" outline="0" fieldPosition="0">
        <references count="3">
          <reference field="4294967294" count="1" selected="0">
            <x v="0"/>
          </reference>
          <reference field="1" count="1" selected="0">
            <x v="18"/>
          </reference>
          <reference field="19" count="1" selected="0">
            <x v="2"/>
          </reference>
        </references>
      </pivotArea>
    </chartFormat>
    <chartFormat chart="30" format="41">
      <pivotArea type="data" outline="0" fieldPosition="0">
        <references count="3">
          <reference field="4294967294" count="1" selected="0">
            <x v="0"/>
          </reference>
          <reference field="1" count="1" selected="0">
            <x v="19"/>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9A94F5-9619-40C1-A1FD-E3854C4772DD}" name="AVG AI RIS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6:S7" firstHeaderRow="1" firstDataRow="1" firstDataCol="0"/>
  <pivotFields count="21">
    <pivotField showAll="0"/>
    <pivotField showAll="0">
      <items count="21">
        <item x="10"/>
        <item x="13"/>
        <item x="16"/>
        <item x="9"/>
        <item x="3"/>
        <item x="0"/>
        <item x="19"/>
        <item x="14"/>
        <item x="6"/>
        <item x="18"/>
        <item x="1"/>
        <item x="2"/>
        <item x="12"/>
        <item x="4"/>
        <item x="8"/>
        <item x="15"/>
        <item x="7"/>
        <item x="17"/>
        <item x="11"/>
        <item x="5"/>
        <item t="default"/>
      </items>
    </pivotField>
    <pivotField showAll="0"/>
    <pivotField showAll="0">
      <items count="11">
        <item x="7"/>
        <item x="2"/>
        <item x="4"/>
        <item x="6"/>
        <item x="0"/>
        <item x="5"/>
        <item x="9"/>
        <item x="3"/>
        <item x="1"/>
        <item x="8"/>
        <item t="default"/>
      </items>
    </pivotField>
    <pivotField showAll="0"/>
    <pivotField showAll="0"/>
    <pivotField dataField="1" showAll="0"/>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showAll="0"/>
    <pivotField showAll="0"/>
    <pivotField showAll="0"/>
    <pivotField showAll="0"/>
    <pivotField showAll="0"/>
  </pivotFields>
  <rowItems count="1">
    <i/>
  </rowItems>
  <colItems count="1">
    <i/>
  </colItems>
  <dataFields count="1">
    <dataField name="Average of AI_Replacement_Risk"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EBF88-3AD8-40AA-9C6A-D16C2919EF80}" name="JOB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10:S11" firstHeaderRow="1" firstDataRow="1" firstDataCol="0"/>
  <pivotFields count="21">
    <pivotField showAll="0"/>
    <pivotField showAll="0">
      <items count="21">
        <item x="10"/>
        <item x="13"/>
        <item x="16"/>
        <item x="9"/>
        <item x="3"/>
        <item x="0"/>
        <item x="19"/>
        <item x="14"/>
        <item x="6"/>
        <item x="18"/>
        <item x="1"/>
        <item x="2"/>
        <item x="12"/>
        <item x="4"/>
        <item x="8"/>
        <item x="15"/>
        <item x="7"/>
        <item x="17"/>
        <item x="11"/>
        <item x="5"/>
        <item t="default"/>
      </items>
    </pivotField>
    <pivotField showAll="0"/>
    <pivotField showAll="0">
      <items count="11">
        <item x="7"/>
        <item x="2"/>
        <item x="4"/>
        <item x="6"/>
        <item x="0"/>
        <item x="5"/>
        <item x="9"/>
        <item x="3"/>
        <item x="1"/>
        <item x="8"/>
        <item t="default"/>
      </items>
    </pivotField>
    <pivotField showAll="0"/>
    <pivotField showAll="0"/>
    <pivotField showAll="0"/>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showAll="0"/>
    <pivotField dataField="1" showAll="0"/>
    <pivotField showAll="0"/>
    <pivotField showAll="0"/>
    <pivotField showAll="0"/>
  </pivotFields>
  <rowItems count="1">
    <i/>
  </rowItems>
  <colItems count="1">
    <i/>
  </colItems>
  <dataFields count="1">
    <dataField name="Average of Job_Satisfaction"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D643B7-8638-4422-9F67-06BD8EB267B3}" name="job-country"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82:M204" firstHeaderRow="1" firstDataRow="2" firstDataCol="1"/>
  <pivotFields count="21">
    <pivotField showAll="0"/>
    <pivotField axis="axisRow" showAll="0">
      <items count="21">
        <item x="10"/>
        <item x="13"/>
        <item x="16"/>
        <item x="9"/>
        <item x="3"/>
        <item x="0"/>
        <item x="19"/>
        <item x="14"/>
        <item x="6"/>
        <item x="18"/>
        <item x="1"/>
        <item x="2"/>
        <item x="12"/>
        <item x="4"/>
        <item x="8"/>
        <item x="15"/>
        <item x="7"/>
        <item x="17"/>
        <item x="11"/>
        <item x="5"/>
        <item t="default"/>
      </items>
    </pivotField>
    <pivotField showAll="0">
      <items count="11">
        <item x="2"/>
        <item x="4"/>
        <item x="8"/>
        <item x="3"/>
        <item x="0"/>
        <item x="7"/>
        <item x="5"/>
        <item x="1"/>
        <item x="6"/>
        <item x="9"/>
        <item t="default"/>
      </items>
    </pivotField>
    <pivotField axis="axisCol" dataField="1" showAll="0">
      <items count="11">
        <item x="7"/>
        <item x="2"/>
        <item x="4"/>
        <item x="6"/>
        <item x="0"/>
        <item x="5"/>
        <item x="9"/>
        <item x="3"/>
        <item x="1"/>
        <item x="8"/>
        <item t="default"/>
      </items>
    </pivotField>
    <pivotField showAll="0">
      <items count="5">
        <item x="1"/>
        <item x="2"/>
        <item x="3"/>
        <item x="0"/>
        <item t="default"/>
      </items>
    </pivotField>
    <pivotField showAll="0">
      <items count="27">
        <item x="21"/>
        <item x="0"/>
        <item x="6"/>
        <item x="19"/>
        <item x="22"/>
        <item x="3"/>
        <item x="8"/>
        <item x="20"/>
        <item x="14"/>
        <item x="16"/>
        <item x="23"/>
        <item x="17"/>
        <item x="5"/>
        <item x="12"/>
        <item x="18"/>
        <item x="10"/>
        <item x="7"/>
        <item x="13"/>
        <item x="11"/>
        <item x="15"/>
        <item x="4"/>
        <item x="2"/>
        <item x="25"/>
        <item x="24"/>
        <item x="1"/>
        <item x="9"/>
        <item t="default"/>
      </items>
    </pivotField>
    <pivotField showAll="0" avgSubtotal="1">
      <items count="92">
        <item x="85"/>
        <item x="45"/>
        <item x="86"/>
        <item x="32"/>
        <item x="12"/>
        <item x="27"/>
        <item x="4"/>
        <item x="26"/>
        <item x="77"/>
        <item x="11"/>
        <item x="6"/>
        <item x="73"/>
        <item x="58"/>
        <item x="66"/>
        <item x="75"/>
        <item x="79"/>
        <item x="17"/>
        <item x="25"/>
        <item x="16"/>
        <item x="20"/>
        <item x="0"/>
        <item x="69"/>
        <item x="22"/>
        <item x="31"/>
        <item x="3"/>
        <item x="39"/>
        <item x="15"/>
        <item x="38"/>
        <item x="49"/>
        <item x="63"/>
        <item x="82"/>
        <item x="42"/>
        <item x="52"/>
        <item x="48"/>
        <item x="13"/>
        <item x="59"/>
        <item x="74"/>
        <item x="43"/>
        <item x="8"/>
        <item x="81"/>
        <item x="24"/>
        <item x="5"/>
        <item x="30"/>
        <item x="21"/>
        <item x="19"/>
        <item x="54"/>
        <item x="41"/>
        <item x="70"/>
        <item x="87"/>
        <item x="18"/>
        <item x="46"/>
        <item x="61"/>
        <item x="76"/>
        <item x="72"/>
        <item x="88"/>
        <item x="84"/>
        <item x="68"/>
        <item x="67"/>
        <item x="51"/>
        <item x="9"/>
        <item x="37"/>
        <item x="50"/>
        <item x="65"/>
        <item x="29"/>
        <item x="23"/>
        <item x="64"/>
        <item x="78"/>
        <item x="47"/>
        <item x="1"/>
        <item x="34"/>
        <item x="90"/>
        <item x="62"/>
        <item x="71"/>
        <item x="57"/>
        <item x="55"/>
        <item x="2"/>
        <item x="44"/>
        <item x="80"/>
        <item x="53"/>
        <item x="14"/>
        <item x="36"/>
        <item x="7"/>
        <item x="56"/>
        <item x="28"/>
        <item x="89"/>
        <item x="10"/>
        <item x="60"/>
        <item x="35"/>
        <item x="33"/>
        <item x="40"/>
        <item x="83"/>
        <item t="avg"/>
      </items>
    </pivotField>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items count="57">
        <item x="53"/>
        <item x="14"/>
        <item x="39"/>
        <item x="37"/>
        <item x="13"/>
        <item x="1"/>
        <item x="47"/>
        <item x="51"/>
        <item x="36"/>
        <item x="25"/>
        <item x="43"/>
        <item x="42"/>
        <item x="9"/>
        <item x="0"/>
        <item x="29"/>
        <item x="7"/>
        <item x="3"/>
        <item x="2"/>
        <item x="46"/>
        <item x="33"/>
        <item x="31"/>
        <item x="30"/>
        <item x="41"/>
        <item x="49"/>
        <item x="52"/>
        <item x="16"/>
        <item x="27"/>
        <item x="15"/>
        <item x="40"/>
        <item x="4"/>
        <item x="19"/>
        <item x="55"/>
        <item x="5"/>
        <item x="28"/>
        <item x="20"/>
        <item x="24"/>
        <item x="12"/>
        <item x="22"/>
        <item x="44"/>
        <item x="32"/>
        <item x="48"/>
        <item x="54"/>
        <item x="21"/>
        <item x="50"/>
        <item x="38"/>
        <item x="18"/>
        <item x="8"/>
        <item x="26"/>
        <item x="23"/>
        <item x="45"/>
        <item x="35"/>
        <item x="17"/>
        <item x="6"/>
        <item x="34"/>
        <item x="11"/>
        <item x="10"/>
        <item t="default"/>
      </items>
    </pivotField>
    <pivotField showAll="0"/>
    <pivotField showAll="0">
      <items count="4">
        <item x="0"/>
        <item x="2"/>
        <item x="1"/>
        <item t="default"/>
      </items>
    </pivotField>
    <pivotField showAll="0">
      <items count="4">
        <item x="0"/>
        <item x="2"/>
        <item x="1"/>
        <item t="default"/>
      </items>
    </pivotField>
    <pivotField showAll="0"/>
    <pivotField showAll="0"/>
    <pivotField showAll="0"/>
    <pivotField showAll="0">
      <items count="4">
        <item x="2"/>
        <item x="0"/>
        <item x="1"/>
        <item t="default"/>
      </items>
    </pivotField>
    <pivotField showAll="0">
      <items count="5">
        <item h="1" x="3"/>
        <item h="1" x="2"/>
        <item x="0"/>
        <item h="1" x="1"/>
        <item t="default"/>
      </items>
    </pivotField>
    <pivotField showAll="0">
      <items count="5">
        <item x="0"/>
        <item x="3"/>
        <item x="1"/>
        <item x="2"/>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3"/>
  </colFields>
  <colItems count="11">
    <i>
      <x/>
    </i>
    <i>
      <x v="1"/>
    </i>
    <i>
      <x v="2"/>
    </i>
    <i>
      <x v="3"/>
    </i>
    <i>
      <x v="4"/>
    </i>
    <i>
      <x v="5"/>
    </i>
    <i>
      <x v="6"/>
    </i>
    <i>
      <x v="7"/>
    </i>
    <i>
      <x v="8"/>
    </i>
    <i>
      <x v="9"/>
    </i>
    <i t="grand">
      <x/>
    </i>
  </colItems>
  <dataFields count="1">
    <dataField name="Count of Country" fld="3" subtotal="count" baseField="0" baseItem="0"/>
  </dataFields>
  <conditionalFormats count="1">
    <conditionalFormat priority="3">
      <pivotAreas count="1">
        <pivotArea type="all" outline="0" fieldPosition="0"/>
      </pivotAreas>
    </conditionalFormat>
  </conditionalFormats>
  <chartFormats count="20">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3"/>
          </reference>
        </references>
      </pivotArea>
    </chartFormat>
    <chartFormat chart="7" format="4"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5"/>
          </reference>
        </references>
      </pivotArea>
    </chartFormat>
    <chartFormat chart="7" format="6" series="1">
      <pivotArea type="data" outline="0" fieldPosition="0">
        <references count="2">
          <reference field="4294967294" count="1" selected="0">
            <x v="0"/>
          </reference>
          <reference field="3" count="1" selected="0">
            <x v="6"/>
          </reference>
        </references>
      </pivotArea>
    </chartFormat>
    <chartFormat chart="7" format="7" series="1">
      <pivotArea type="data" outline="0" fieldPosition="0">
        <references count="2">
          <reference field="4294967294" count="1" selected="0">
            <x v="0"/>
          </reference>
          <reference field="3" count="1" selected="0">
            <x v="7"/>
          </reference>
        </references>
      </pivotArea>
    </chartFormat>
    <chartFormat chart="7" format="8" series="1">
      <pivotArea type="data" outline="0" fieldPosition="0">
        <references count="2">
          <reference field="4294967294" count="1" selected="0">
            <x v="0"/>
          </reference>
          <reference field="3" count="1" selected="0">
            <x v="8"/>
          </reference>
        </references>
      </pivotArea>
    </chartFormat>
    <chartFormat chart="7" format="9" series="1">
      <pivotArea type="data" outline="0" fieldPosition="0">
        <references count="2">
          <reference field="4294967294" count="1" selected="0">
            <x v="0"/>
          </reference>
          <reference field="3" count="1" selected="0">
            <x v="9"/>
          </reference>
        </references>
      </pivotArea>
    </chartFormat>
    <chartFormat chart="12" format="20" series="1">
      <pivotArea type="data" outline="0" fieldPosition="0">
        <references count="2">
          <reference field="4294967294" count="1" selected="0">
            <x v="0"/>
          </reference>
          <reference field="3" count="1" selected="0">
            <x v="0"/>
          </reference>
        </references>
      </pivotArea>
    </chartFormat>
    <chartFormat chart="12" format="21" series="1">
      <pivotArea type="data" outline="0" fieldPosition="0">
        <references count="2">
          <reference field="4294967294" count="1" selected="0">
            <x v="0"/>
          </reference>
          <reference field="3" count="1" selected="0">
            <x v="1"/>
          </reference>
        </references>
      </pivotArea>
    </chartFormat>
    <chartFormat chart="12" format="22" series="1">
      <pivotArea type="data" outline="0" fieldPosition="0">
        <references count="2">
          <reference field="4294967294" count="1" selected="0">
            <x v="0"/>
          </reference>
          <reference field="3" count="1" selected="0">
            <x v="2"/>
          </reference>
        </references>
      </pivotArea>
    </chartFormat>
    <chartFormat chart="12" format="23" series="1">
      <pivotArea type="data" outline="0" fieldPosition="0">
        <references count="2">
          <reference field="4294967294" count="1" selected="0">
            <x v="0"/>
          </reference>
          <reference field="3" count="1" selected="0">
            <x v="3"/>
          </reference>
        </references>
      </pivotArea>
    </chartFormat>
    <chartFormat chart="12" format="24" series="1">
      <pivotArea type="data" outline="0" fieldPosition="0">
        <references count="2">
          <reference field="4294967294" count="1" selected="0">
            <x v="0"/>
          </reference>
          <reference field="3" count="1" selected="0">
            <x v="4"/>
          </reference>
        </references>
      </pivotArea>
    </chartFormat>
    <chartFormat chart="12" format="25" series="1">
      <pivotArea type="data" outline="0" fieldPosition="0">
        <references count="2">
          <reference field="4294967294" count="1" selected="0">
            <x v="0"/>
          </reference>
          <reference field="3" count="1" selected="0">
            <x v="5"/>
          </reference>
        </references>
      </pivotArea>
    </chartFormat>
    <chartFormat chart="12" format="26" series="1">
      <pivotArea type="data" outline="0" fieldPosition="0">
        <references count="2">
          <reference field="4294967294" count="1" selected="0">
            <x v="0"/>
          </reference>
          <reference field="3" count="1" selected="0">
            <x v="6"/>
          </reference>
        </references>
      </pivotArea>
    </chartFormat>
    <chartFormat chart="12" format="27" series="1">
      <pivotArea type="data" outline="0" fieldPosition="0">
        <references count="2">
          <reference field="4294967294" count="1" selected="0">
            <x v="0"/>
          </reference>
          <reference field="3" count="1" selected="0">
            <x v="7"/>
          </reference>
        </references>
      </pivotArea>
    </chartFormat>
    <chartFormat chart="12" format="28" series="1">
      <pivotArea type="data" outline="0" fieldPosition="0">
        <references count="2">
          <reference field="4294967294" count="1" selected="0">
            <x v="0"/>
          </reference>
          <reference field="3" count="1" selected="0">
            <x v="8"/>
          </reference>
        </references>
      </pivotArea>
    </chartFormat>
    <chartFormat chart="12" format="29" series="1">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35B68B-F9A0-4B15-B170-22F84A9E6D90}" name="industry AI Too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8:E40" firstHeaderRow="1" firstDataRow="2" firstDataCol="1"/>
  <pivotFields count="21">
    <pivotField showAll="0"/>
    <pivotField showAll="0">
      <items count="21">
        <item x="10"/>
        <item x="13"/>
        <item x="16"/>
        <item x="9"/>
        <item x="3"/>
        <item x="0"/>
        <item x="19"/>
        <item x="14"/>
        <item x="6"/>
        <item x="18"/>
        <item x="1"/>
        <item x="2"/>
        <item x="12"/>
        <item x="4"/>
        <item x="8"/>
        <item x="15"/>
        <item x="7"/>
        <item x="17"/>
        <item x="11"/>
        <item x="5"/>
        <item t="default"/>
      </items>
    </pivotField>
    <pivotField axis="axisRow" showAll="0">
      <items count="11">
        <item x="2"/>
        <item x="4"/>
        <item x="8"/>
        <item x="3"/>
        <item x="0"/>
        <item x="7"/>
        <item x="5"/>
        <item x="1"/>
        <item x="6"/>
        <item x="9"/>
        <item t="default"/>
      </items>
    </pivotField>
    <pivotField showAll="0">
      <items count="11">
        <item x="7"/>
        <item x="2"/>
        <item x="4"/>
        <item x="6"/>
        <item x="0"/>
        <item x="5"/>
        <item x="9"/>
        <item x="3"/>
        <item x="1"/>
        <item x="8"/>
        <item t="default"/>
      </items>
    </pivotField>
    <pivotField showAll="0"/>
    <pivotField showAll="0"/>
    <pivotField showAll="0"/>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pivotField showAll="0"/>
    <pivotField showAll="0">
      <items count="4">
        <item x="0"/>
        <item x="2"/>
        <item x="1"/>
        <item t="default"/>
      </items>
    </pivotField>
    <pivotField axis="axisCol" dataField="1" showAll="0">
      <items count="4">
        <item x="0"/>
        <item x="2"/>
        <item x="1"/>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14"/>
  </colFields>
  <colItems count="4">
    <i>
      <x/>
    </i>
    <i>
      <x v="1"/>
    </i>
    <i>
      <x v="2"/>
    </i>
    <i t="grand">
      <x/>
    </i>
  </colItems>
  <dataFields count="1">
    <dataField name="Count of AI_Tool_Usage" fld="14" subtotal="count" baseField="0" baseItem="0"/>
  </dataFields>
  <chartFormats count="6">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13" format="18" series="1">
      <pivotArea type="data" outline="0" fieldPosition="0">
        <references count="2">
          <reference field="4294967294" count="1" selected="0">
            <x v="0"/>
          </reference>
          <reference field="14" count="1" selected="0">
            <x v="0"/>
          </reference>
        </references>
      </pivotArea>
    </chartFormat>
    <chartFormat chart="13" format="19" series="1">
      <pivotArea type="data" outline="0" fieldPosition="0">
        <references count="2">
          <reference field="4294967294" count="1" selected="0">
            <x v="0"/>
          </reference>
          <reference field="14" count="1" selected="0">
            <x v="1"/>
          </reference>
        </references>
      </pivotArea>
    </chartFormat>
    <chartFormat chart="13" format="20"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34420E-75BC-467B-BE49-F19EEC57F944}" name="job-job dem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4" firstHeaderRow="1" firstDataRow="1" firstDataCol="1"/>
  <pivotFields count="21">
    <pivotField showAll="0"/>
    <pivotField axis="axisRow" showAll="0">
      <items count="21">
        <item x="10"/>
        <item x="13"/>
        <item x="16"/>
        <item x="9"/>
        <item x="3"/>
        <item x="0"/>
        <item x="19"/>
        <item x="14"/>
        <item x="6"/>
        <item x="18"/>
        <item x="1"/>
        <item x="2"/>
        <item x="12"/>
        <item x="4"/>
        <item x="8"/>
        <item x="15"/>
        <item x="7"/>
        <item x="17"/>
        <item x="11"/>
        <item x="5"/>
        <item t="default"/>
      </items>
    </pivotField>
    <pivotField showAll="0"/>
    <pivotField showAll="0">
      <items count="11">
        <item x="7"/>
        <item x="2"/>
        <item x="4"/>
        <item x="6"/>
        <item x="0"/>
        <item x="5"/>
        <item x="9"/>
        <item x="3"/>
        <item x="1"/>
        <item x="8"/>
        <item t="default"/>
      </items>
    </pivotField>
    <pivotField showAll="0"/>
    <pivotField showAll="0"/>
    <pivotField showAll="0"/>
    <pivotField dataField="1"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Future_Demand_Score" fld="7" baseField="1" baseItem="9"/>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B67C42-2984-476B-890F-AC7F41C010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6:B57" firstHeaderRow="1" firstDataRow="1" firstDataCol="1"/>
  <pivotFields count="21">
    <pivotField showAll="0"/>
    <pivotField showAll="0">
      <items count="21">
        <item x="10"/>
        <item x="13"/>
        <item x="16"/>
        <item x="9"/>
        <item x="3"/>
        <item x="0"/>
        <item x="19"/>
        <item x="14"/>
        <item x="6"/>
        <item x="18"/>
        <item x="1"/>
        <item x="2"/>
        <item x="12"/>
        <item x="4"/>
        <item x="8"/>
        <item x="15"/>
        <item x="7"/>
        <item x="17"/>
        <item x="11"/>
        <item x="5"/>
        <item t="default"/>
      </items>
    </pivotField>
    <pivotField axis="axisRow" showAll="0">
      <items count="11">
        <item x="2"/>
        <item x="4"/>
        <item x="8"/>
        <item x="3"/>
        <item x="0"/>
        <item x="7"/>
        <item x="5"/>
        <item x="1"/>
        <item x="6"/>
        <item x="9"/>
        <item t="default"/>
      </items>
    </pivotField>
    <pivotField showAll="0">
      <items count="11">
        <item x="7"/>
        <item x="2"/>
        <item x="4"/>
        <item x="6"/>
        <item x="0"/>
        <item x="5"/>
        <item x="9"/>
        <item x="3"/>
        <item x="1"/>
        <item x="8"/>
        <item t="default"/>
      </items>
    </pivotField>
    <pivotField showAll="0"/>
    <pivotField showAll="0"/>
    <pivotField dataField="1" showAll="0"/>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AI_Replacement_Risk"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6C5BAD-0613-4011-A3D3-039C341AA636}" name="JOBS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O24" firstHeaderRow="1" firstDataRow="1" firstDataCol="1"/>
  <pivotFields count="21">
    <pivotField showAll="0"/>
    <pivotField axis="axisRow" dataField="1" showAll="0">
      <items count="21">
        <item x="10"/>
        <item x="13"/>
        <item x="16"/>
        <item x="9"/>
        <item x="3"/>
        <item x="0"/>
        <item x="19"/>
        <item x="14"/>
        <item x="6"/>
        <item x="18"/>
        <item x="1"/>
        <item x="2"/>
        <item x="12"/>
        <item x="4"/>
        <item x="8"/>
        <item x="15"/>
        <item x="7"/>
        <item x="17"/>
        <item x="11"/>
        <item x="5"/>
        <item t="default"/>
      </items>
    </pivotField>
    <pivotField showAll="0"/>
    <pivotField showAll="0">
      <items count="11">
        <item x="7"/>
        <item x="2"/>
        <item x="4"/>
        <item x="6"/>
        <item x="0"/>
        <item x="5"/>
        <item x="9"/>
        <item x="3"/>
        <item x="1"/>
        <item x="8"/>
        <item t="default"/>
      </items>
    </pivotField>
    <pivotField showAll="0"/>
    <pivotField showAll="0"/>
    <pivotField showAll="0"/>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showAll="0"/>
    <pivotField showAll="0"/>
    <pivotField showAll="0">
      <items count="4">
        <item x="0"/>
        <item x="2"/>
        <item x="1"/>
        <item t="default"/>
      </items>
    </pivotField>
    <pivotField showAll="0">
      <items count="4">
        <item x="0"/>
        <item x="2"/>
        <item x="1"/>
        <item t="default"/>
      </items>
    </pivotField>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Job_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CC79C5-E652-400D-B861-51D7D57D9536}" name="AVG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3:S4" firstHeaderRow="1" firstDataRow="1" firstDataCol="0"/>
  <pivotFields count="21">
    <pivotField showAll="0"/>
    <pivotField showAll="0">
      <items count="21">
        <item x="10"/>
        <item x="13"/>
        <item x="16"/>
        <item x="9"/>
        <item x="3"/>
        <item x="0"/>
        <item x="19"/>
        <item x="14"/>
        <item x="6"/>
        <item x="18"/>
        <item x="1"/>
        <item x="2"/>
        <item x="12"/>
        <item x="4"/>
        <item x="8"/>
        <item x="15"/>
        <item x="7"/>
        <item x="17"/>
        <item x="11"/>
        <item x="5"/>
        <item t="default"/>
      </items>
    </pivotField>
    <pivotField showAll="0"/>
    <pivotField showAll="0">
      <items count="11">
        <item x="7"/>
        <item x="2"/>
        <item x="4"/>
        <item x="6"/>
        <item x="0"/>
        <item x="5"/>
        <item x="9"/>
        <item x="3"/>
        <item x="1"/>
        <item x="8"/>
        <item t="default"/>
      </items>
    </pivotField>
    <pivotField showAll="0"/>
    <pivotField showAll="0"/>
    <pivotField showAll="0"/>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dataField="1" showAll="0"/>
    <pivotField showAll="0"/>
    <pivotField showAll="0"/>
    <pivotField showAll="0"/>
    <pivotField showAll="0">
      <items count="4">
        <item x="0"/>
        <item x="2"/>
        <item x="1"/>
        <item t="default"/>
      </items>
    </pivotField>
    <pivotField showAll="0">
      <items count="4">
        <item x="0"/>
        <item x="2"/>
        <item x="1"/>
        <item t="default"/>
      </items>
    </pivotField>
    <pivotField showAll="0"/>
    <pivotField showAll="0"/>
    <pivotField showAll="0"/>
    <pivotField showAll="0"/>
    <pivotField showAll="0"/>
    <pivotField showAll="0"/>
  </pivotFields>
  <rowItems count="1">
    <i/>
  </rowItems>
  <colItems count="1">
    <i/>
  </colItems>
  <dataFields count="1">
    <dataField name="Average of Average_Salary_USD"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974C0C-FCCE-4B39-ACA0-5605E49CB8C8}" name="company__growth"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87:C91" firstHeaderRow="1" firstDataRow="1" firstDataCol="1"/>
  <pivotFields count="21">
    <pivotField showAll="0"/>
    <pivotField showAll="0">
      <items count="21">
        <item x="10"/>
        <item x="13"/>
        <item x="16"/>
        <item x="9"/>
        <item x="3"/>
        <item x="0"/>
        <item x="19"/>
        <item x="14"/>
        <item x="6"/>
        <item x="18"/>
        <item x="1"/>
        <item x="2"/>
        <item x="12"/>
        <item x="4"/>
        <item x="8"/>
        <item x="15"/>
        <item x="7"/>
        <item x="17"/>
        <item x="11"/>
        <item x="5"/>
        <item t="default"/>
      </items>
    </pivotField>
    <pivotField showAll="0">
      <items count="11">
        <item x="2"/>
        <item x="4"/>
        <item x="8"/>
        <item x="3"/>
        <item x="0"/>
        <item x="7"/>
        <item x="5"/>
        <item x="1"/>
        <item x="6"/>
        <item x="9"/>
        <item t="default"/>
      </items>
    </pivotField>
    <pivotField showAll="0">
      <items count="11">
        <item x="7"/>
        <item x="2"/>
        <item x="4"/>
        <item x="6"/>
        <item x="0"/>
        <item x="5"/>
        <item x="9"/>
        <item x="3"/>
        <item x="1"/>
        <item x="8"/>
        <item t="default"/>
      </items>
    </pivotField>
    <pivotField showAll="0">
      <items count="5">
        <item x="1"/>
        <item x="2"/>
        <item x="3"/>
        <item x="0"/>
        <item t="default"/>
      </items>
    </pivotField>
    <pivotField showAll="0">
      <items count="27">
        <item x="21"/>
        <item x="0"/>
        <item x="6"/>
        <item x="19"/>
        <item x="22"/>
        <item x="3"/>
        <item x="8"/>
        <item x="20"/>
        <item x="14"/>
        <item x="16"/>
        <item x="23"/>
        <item x="17"/>
        <item x="5"/>
        <item x="12"/>
        <item x="18"/>
        <item x="10"/>
        <item x="7"/>
        <item x="13"/>
        <item x="11"/>
        <item x="15"/>
        <item x="4"/>
        <item x="2"/>
        <item x="25"/>
        <item x="24"/>
        <item x="1"/>
        <item x="9"/>
        <item t="default"/>
      </items>
    </pivotField>
    <pivotField showAll="0" avgSubtotal="1">
      <items count="92">
        <item x="85"/>
        <item x="45"/>
        <item x="86"/>
        <item x="32"/>
        <item x="12"/>
        <item x="27"/>
        <item x="4"/>
        <item x="26"/>
        <item x="77"/>
        <item x="11"/>
        <item x="6"/>
        <item x="73"/>
        <item x="58"/>
        <item x="66"/>
        <item x="75"/>
        <item x="79"/>
        <item x="17"/>
        <item x="25"/>
        <item x="16"/>
        <item x="20"/>
        <item x="0"/>
        <item x="69"/>
        <item x="22"/>
        <item x="31"/>
        <item x="3"/>
        <item x="39"/>
        <item x="15"/>
        <item x="38"/>
        <item x="49"/>
        <item x="63"/>
        <item x="82"/>
        <item x="42"/>
        <item x="52"/>
        <item x="48"/>
        <item x="13"/>
        <item x="59"/>
        <item x="74"/>
        <item x="43"/>
        <item x="8"/>
        <item x="81"/>
        <item x="24"/>
        <item x="5"/>
        <item x="30"/>
        <item x="21"/>
        <item x="19"/>
        <item x="54"/>
        <item x="41"/>
        <item x="70"/>
        <item x="87"/>
        <item x="18"/>
        <item x="46"/>
        <item x="61"/>
        <item x="76"/>
        <item x="72"/>
        <item x="88"/>
        <item x="84"/>
        <item x="68"/>
        <item x="67"/>
        <item x="51"/>
        <item x="9"/>
        <item x="37"/>
        <item x="50"/>
        <item x="65"/>
        <item x="29"/>
        <item x="23"/>
        <item x="64"/>
        <item x="78"/>
        <item x="47"/>
        <item x="1"/>
        <item x="34"/>
        <item x="90"/>
        <item x="62"/>
        <item x="71"/>
        <item x="57"/>
        <item x="55"/>
        <item x="2"/>
        <item x="44"/>
        <item x="80"/>
        <item x="53"/>
        <item x="14"/>
        <item x="36"/>
        <item x="7"/>
        <item x="56"/>
        <item x="28"/>
        <item x="89"/>
        <item x="10"/>
        <item x="60"/>
        <item x="35"/>
        <item x="33"/>
        <item x="40"/>
        <item x="83"/>
        <item t="avg"/>
      </items>
    </pivotField>
    <pivotField showAll="0">
      <items count="81">
        <item x="48"/>
        <item x="28"/>
        <item x="21"/>
        <item x="17"/>
        <item x="29"/>
        <item x="11"/>
        <item x="13"/>
        <item x="59"/>
        <item x="63"/>
        <item x="26"/>
        <item x="68"/>
        <item x="66"/>
        <item x="72"/>
        <item x="1"/>
        <item x="74"/>
        <item x="70"/>
        <item x="54"/>
        <item x="16"/>
        <item x="38"/>
        <item x="33"/>
        <item x="51"/>
        <item x="18"/>
        <item x="40"/>
        <item x="78"/>
        <item x="65"/>
        <item x="76"/>
        <item x="15"/>
        <item x="44"/>
        <item x="49"/>
        <item x="7"/>
        <item x="34"/>
        <item x="25"/>
        <item x="77"/>
        <item x="24"/>
        <item x="20"/>
        <item x="47"/>
        <item x="41"/>
        <item x="9"/>
        <item x="67"/>
        <item x="35"/>
        <item x="61"/>
        <item x="75"/>
        <item x="58"/>
        <item x="10"/>
        <item x="39"/>
        <item x="12"/>
        <item x="37"/>
        <item x="60"/>
        <item x="50"/>
        <item x="2"/>
        <item x="30"/>
        <item x="32"/>
        <item x="69"/>
        <item x="62"/>
        <item x="8"/>
        <item x="27"/>
        <item x="52"/>
        <item x="57"/>
        <item x="0"/>
        <item x="23"/>
        <item x="43"/>
        <item x="53"/>
        <item x="31"/>
        <item x="64"/>
        <item x="56"/>
        <item x="45"/>
        <item x="46"/>
        <item x="71"/>
        <item x="5"/>
        <item x="14"/>
        <item x="55"/>
        <item x="36"/>
        <item x="4"/>
        <item x="19"/>
        <item x="3"/>
        <item x="6"/>
        <item x="22"/>
        <item x="42"/>
        <item x="73"/>
        <item x="79"/>
        <item t="default"/>
      </items>
    </pivotField>
    <pivotField showAll="0">
      <items count="4">
        <item x="2"/>
        <item x="1"/>
        <item x="0"/>
        <item t="default"/>
      </items>
    </pivotField>
    <pivotField showAll="0"/>
    <pivotField showAll="0"/>
    <pivotField dataField="1" showAll="0">
      <items count="57">
        <item x="53"/>
        <item x="14"/>
        <item x="39"/>
        <item x="37"/>
        <item x="13"/>
        <item x="1"/>
        <item x="47"/>
        <item x="51"/>
        <item x="36"/>
        <item x="25"/>
        <item x="43"/>
        <item x="42"/>
        <item x="9"/>
        <item x="0"/>
        <item x="29"/>
        <item x="7"/>
        <item x="3"/>
        <item x="2"/>
        <item x="46"/>
        <item x="33"/>
        <item x="31"/>
        <item x="30"/>
        <item x="41"/>
        <item x="49"/>
        <item x="52"/>
        <item x="16"/>
        <item x="27"/>
        <item x="15"/>
        <item x="40"/>
        <item x="4"/>
        <item x="19"/>
        <item x="55"/>
        <item x="5"/>
        <item x="28"/>
        <item x="20"/>
        <item x="24"/>
        <item x="12"/>
        <item x="22"/>
        <item x="44"/>
        <item x="32"/>
        <item x="48"/>
        <item x="54"/>
        <item x="21"/>
        <item x="50"/>
        <item x="38"/>
        <item x="18"/>
        <item x="8"/>
        <item x="26"/>
        <item x="23"/>
        <item x="45"/>
        <item x="35"/>
        <item x="17"/>
        <item x="6"/>
        <item x="34"/>
        <item x="11"/>
        <item x="10"/>
        <item t="default"/>
      </items>
    </pivotField>
    <pivotField showAll="0"/>
    <pivotField axis="axisRow" showAll="0">
      <items count="4">
        <item x="0"/>
        <item x="2"/>
        <item x="1"/>
        <item t="default"/>
      </items>
    </pivotField>
    <pivotField showAll="0">
      <items count="4">
        <item x="0"/>
        <item x="2"/>
        <item x="1"/>
        <item t="default"/>
      </items>
    </pivotField>
    <pivotField showAll="0"/>
    <pivotField showAll="0"/>
    <pivotField showAll="0"/>
    <pivotField showAll="0">
      <items count="4">
        <item x="2"/>
        <item x="0"/>
        <item x="1"/>
        <item t="default"/>
      </items>
    </pivotField>
    <pivotField showAll="0">
      <items count="5">
        <item h="1" x="3"/>
        <item h="1" x="2"/>
        <item x="0"/>
        <item h="1" x="1"/>
        <item t="default"/>
      </items>
    </pivotField>
    <pivotField showAll="0">
      <items count="5">
        <item x="0"/>
        <item x="3"/>
        <item x="1"/>
        <item x="2"/>
        <item t="default"/>
      </items>
    </pivotField>
  </pivotFields>
  <rowFields count="1">
    <field x="13"/>
  </rowFields>
  <rowItems count="4">
    <i>
      <x/>
    </i>
    <i>
      <x v="1"/>
    </i>
    <i>
      <x v="2"/>
    </i>
    <i t="grand">
      <x/>
    </i>
  </rowItems>
  <colItems count="1">
    <i/>
  </colItems>
  <dataFields count="1">
    <dataField name="Average of Job_Growth_2030" fld="11" subtotal="average" baseField="13"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E41FD49-F3E9-401B-8FEB-66EFD6BC39CF}" sourceName="Country">
  <pivotTables>
    <pivotTable tabId="3" name="job-job demand"/>
    <pivotTable tabId="3" name="industry AI Tool"/>
    <pivotTable tabId="3" name="job-country"/>
    <pivotTable tabId="3" name="Job-job security"/>
    <pivotTable tabId="3" name="JOBS COUNT"/>
    <pivotTable tabId="3" name="AVG SALARY"/>
    <pivotTable tabId="3" name="AVG AI RISK"/>
    <pivotTable tabId="3" name="JOB RATING"/>
    <pivotTable tabId="3" name="company__growth"/>
  </pivotTables>
  <data>
    <tabular pivotCacheId="961236270">
      <items count="10">
        <i x="7" s="1"/>
        <i x="2" s="1"/>
        <i x="4" s="1"/>
        <i x="6" s="1"/>
        <i x="0" s="1"/>
        <i x="5" s="1"/>
        <i x="9" s="1"/>
        <i x="3" s="1"/>
        <i x="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7640C3FA-AA41-4E1D-985D-03FA6289CD64}" sourceName="Company_Size">
  <pivotTables>
    <pivotTable tabId="3" name="job-job demand"/>
    <pivotTable tabId="3" name="industry AI Tool"/>
    <pivotTable tabId="3" name="job-country"/>
    <pivotTable tabId="3" name="Job-job security"/>
    <pivotTable tabId="3" name="JOBS COUNT"/>
    <pivotTable tabId="3" name="AVG SALARY"/>
    <pivotTable tabId="3" name="AVG AI RISK"/>
    <pivotTable tabId="3" name="JOB RATING"/>
    <pivotTable tabId="3" name="company__growth"/>
  </pivotTables>
  <data>
    <tabular pivotCacheId="96123627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_Possibility" xr10:uid="{CE74FEFE-0518-4038-A061-1CDCB6749118}" sourceName="Remote_Work_Possibility">
  <pivotTables>
    <pivotTable tabId="3" name="industry AI Tool"/>
    <pivotTable tabId="3" name="job-country"/>
    <pivotTable tabId="3" name="job-job demand"/>
    <pivotTable tabId="3" name="Job-job security"/>
    <pivotTable tabId="3" name="JOBS COUNT"/>
    <pivotTable tabId="3" name="AVG SALARY"/>
    <pivotTable tabId="3" name="AVG AI RISK"/>
    <pivotTable tabId="3" name="JOB RATING"/>
    <pivotTable tabId="3" name="company__growth"/>
  </pivotTables>
  <data>
    <tabular pivotCacheId="96123627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ool_Usage" xr10:uid="{475BA025-2B43-4710-A812-1F396BF06FB2}" sourceName="AI_Tool_Usage">
  <pivotTables>
    <pivotTable tabId="3" name="job-job demand"/>
    <pivotTable tabId="3" name="industry AI Tool"/>
    <pivotTable tabId="3" name="job-country"/>
    <pivotTable tabId="3" name="Job-job security"/>
    <pivotTable tabId="3" name="JOBS COUNT"/>
    <pivotTable tabId="3" name="AVG SALARY"/>
    <pivotTable tabId="3" name="AVG AI RISK"/>
    <pivotTable tabId="3" name="JOB RATING"/>
    <pivotTable tabId="3" name="company__growth"/>
  </pivotTables>
  <data>
    <tabular pivotCacheId="9612362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3FA13C7-7F57-4C76-BF3D-B957D6333045}" cache="Slicer_Country" caption="Country" startItem="4" rowHeight="241300"/>
  <slicer name="Company_Size" xr10:uid="{CF7D6BA9-921F-4E05-8261-DCDF692291D3}" cache="Slicer_Company_Size" caption="Company_Size" startItem="2" rowHeight="241300"/>
  <slicer name="Remote_Work_Possibility" xr10:uid="{5B6D1E91-2E04-46E7-8841-F60B0C21FDF3}" cache="Slicer_Remote_Work_Possibility" caption="Remote_Work_Possibility" rowHeight="241300"/>
  <slicer name="AI_Tool_Usage" xr10:uid="{F80825FB-8C40-44A7-8175-BA57343F2B1B}" cache="Slicer_AI_Tool_Usage" caption="AI_Tool_Usa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348C780-D114-47C4-B915-9EB018FCEAED}" cache="Slicer_Country" caption="Country" startItem="4" style="Slicer Style 1" rowHeight="241300"/>
  <slicer name="Company_Size 1" xr10:uid="{D2EC2135-7A9D-43BF-9FF1-DB40AB5BF27F}" cache="Slicer_Company_Size" caption="Company_Size" style="Slicer Style 1" rowHeight="241300"/>
  <slicer name="AI_Tool_Usage 1" xr10:uid="{CE82D495-18A6-4F4C-B02E-73F514F412EC}" cache="Slicer_AI_Tool_Usage" caption="AI_Tool_Usage"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D256-63D7-4FE5-867E-BAFE7ABA06E2}">
  <dimension ref="A3:S204"/>
  <sheetViews>
    <sheetView topLeftCell="A177" zoomScale="87" zoomScaleNormal="87" workbookViewId="0">
      <selection activeCell="C87" sqref="C87"/>
    </sheetView>
  </sheetViews>
  <sheetFormatPr defaultRowHeight="14.5" x14ac:dyDescent="0.35"/>
  <cols>
    <col min="1" max="1" width="21.1796875" bestFit="1" customWidth="1"/>
    <col min="2" max="2" width="12.81640625" bestFit="1" customWidth="1"/>
    <col min="3" max="3" width="25.7265625" bestFit="1" customWidth="1"/>
    <col min="4" max="4" width="10.7265625" bestFit="1" customWidth="1"/>
    <col min="5" max="5" width="8.453125" bestFit="1" customWidth="1"/>
    <col min="6" max="6" width="5" customWidth="1"/>
    <col min="7" max="7" width="13.36328125" bestFit="1" customWidth="1"/>
    <col min="8" max="8" width="25.26953125" bestFit="1" customWidth="1"/>
    <col min="9" max="9" width="9.1796875" bestFit="1" customWidth="1"/>
    <col min="10" max="10" width="4.36328125" bestFit="1" customWidth="1"/>
    <col min="11" max="11" width="4.08984375" bestFit="1" customWidth="1"/>
    <col min="12" max="12" width="4.36328125" bestFit="1" customWidth="1"/>
    <col min="13" max="13" width="10.7265625" customWidth="1"/>
    <col min="14" max="14" width="23.54296875" bestFit="1" customWidth="1"/>
    <col min="15" max="15" width="16.08984375" customWidth="1"/>
    <col min="16" max="18" width="2.81640625" customWidth="1"/>
    <col min="19" max="19" width="24" bestFit="1" customWidth="1"/>
    <col min="20" max="20" width="20.81640625" customWidth="1"/>
    <col min="21" max="58" width="2.81640625" bestFit="1" customWidth="1"/>
    <col min="59" max="59" width="9.26953125" bestFit="1" customWidth="1"/>
    <col min="60" max="60" width="6.08984375" bestFit="1" customWidth="1"/>
    <col min="61" max="115" width="2.81640625" bestFit="1" customWidth="1"/>
    <col min="116" max="116" width="8.90625" bestFit="1" customWidth="1"/>
    <col min="117" max="117" width="11" bestFit="1" customWidth="1"/>
    <col min="118" max="119" width="2.81640625" bestFit="1" customWidth="1"/>
    <col min="120" max="120" width="2.453125" bestFit="1" customWidth="1"/>
    <col min="121" max="172" width="2.81640625" bestFit="1" customWidth="1"/>
    <col min="173" max="173" width="14" bestFit="1" customWidth="1"/>
    <col min="174" max="174" width="10.7265625" bestFit="1" customWidth="1"/>
  </cols>
  <sheetData>
    <row r="3" spans="1:19" x14ac:dyDescent="0.35">
      <c r="A3" s="1" t="s">
        <v>3077</v>
      </c>
      <c r="B3" t="s">
        <v>3082</v>
      </c>
      <c r="N3" s="1" t="s">
        <v>3077</v>
      </c>
      <c r="O3" t="s">
        <v>3086</v>
      </c>
      <c r="S3" t="s">
        <v>3089</v>
      </c>
    </row>
    <row r="4" spans="1:19" x14ac:dyDescent="0.35">
      <c r="A4" s="2" t="s">
        <v>73</v>
      </c>
      <c r="B4">
        <v>73.429999999999978</v>
      </c>
      <c r="N4" s="2" t="s">
        <v>73</v>
      </c>
      <c r="O4">
        <v>124</v>
      </c>
      <c r="S4">
        <v>126641.74666666667</v>
      </c>
    </row>
    <row r="5" spans="1:19" x14ac:dyDescent="0.35">
      <c r="A5" s="2" t="s">
        <v>91</v>
      </c>
      <c r="B5">
        <v>93.159999999999982</v>
      </c>
      <c r="N5" s="2" t="s">
        <v>91</v>
      </c>
      <c r="O5">
        <v>155</v>
      </c>
    </row>
    <row r="6" spans="1:19" x14ac:dyDescent="0.35">
      <c r="A6" s="2" t="s">
        <v>102</v>
      </c>
      <c r="B6">
        <v>87.44</v>
      </c>
      <c r="N6" s="2" t="s">
        <v>102</v>
      </c>
      <c r="O6">
        <v>141</v>
      </c>
      <c r="S6" t="s">
        <v>3090</v>
      </c>
    </row>
    <row r="7" spans="1:19" x14ac:dyDescent="0.35">
      <c r="A7" s="2" t="s">
        <v>68</v>
      </c>
      <c r="B7">
        <v>73.330000000000013</v>
      </c>
      <c r="N7" s="2" t="s">
        <v>68</v>
      </c>
      <c r="O7">
        <v>129</v>
      </c>
      <c r="S7">
        <v>0.50291000000000063</v>
      </c>
    </row>
    <row r="8" spans="1:19" x14ac:dyDescent="0.35">
      <c r="A8" s="2" t="s">
        <v>45</v>
      </c>
      <c r="B8">
        <v>99.899999999999991</v>
      </c>
      <c r="N8" s="2" t="s">
        <v>45</v>
      </c>
      <c r="O8">
        <v>162</v>
      </c>
    </row>
    <row r="9" spans="1:19" x14ac:dyDescent="0.35">
      <c r="A9" s="2" t="s">
        <v>20</v>
      </c>
      <c r="B9">
        <v>89.360000000000014</v>
      </c>
      <c r="N9" s="2" t="s">
        <v>20</v>
      </c>
      <c r="O9">
        <v>151</v>
      </c>
    </row>
    <row r="10" spans="1:19" x14ac:dyDescent="0.35">
      <c r="A10" s="2" t="s">
        <v>156</v>
      </c>
      <c r="B10">
        <v>94.499999999999986</v>
      </c>
      <c r="N10" s="2" t="s">
        <v>156</v>
      </c>
      <c r="O10">
        <v>152</v>
      </c>
      <c r="S10" t="s">
        <v>3092</v>
      </c>
    </row>
    <row r="11" spans="1:19" x14ac:dyDescent="0.35">
      <c r="A11" s="2" t="s">
        <v>94</v>
      </c>
      <c r="B11">
        <v>87.369999999999976</v>
      </c>
      <c r="N11" s="2" t="s">
        <v>94</v>
      </c>
      <c r="O11">
        <v>152</v>
      </c>
      <c r="S11">
        <v>3.0261666666666711</v>
      </c>
    </row>
    <row r="12" spans="1:19" x14ac:dyDescent="0.35">
      <c r="A12" s="2" t="s">
        <v>57</v>
      </c>
      <c r="B12">
        <v>79.869999999999976</v>
      </c>
      <c r="N12" s="2" t="s">
        <v>57</v>
      </c>
      <c r="O12">
        <v>134</v>
      </c>
    </row>
    <row r="13" spans="1:19" x14ac:dyDescent="0.35">
      <c r="A13" s="2" t="s">
        <v>147</v>
      </c>
      <c r="B13">
        <v>85.409999999999982</v>
      </c>
      <c r="N13" s="2" t="s">
        <v>147</v>
      </c>
      <c r="O13">
        <v>143</v>
      </c>
    </row>
    <row r="14" spans="1:19" x14ac:dyDescent="0.35">
      <c r="A14" s="2" t="s">
        <v>30</v>
      </c>
      <c r="B14">
        <v>88.77000000000001</v>
      </c>
      <c r="N14" s="2" t="s">
        <v>30</v>
      </c>
      <c r="O14">
        <v>147</v>
      </c>
    </row>
    <row r="15" spans="1:19" x14ac:dyDescent="0.35">
      <c r="A15" s="2" t="s">
        <v>38</v>
      </c>
      <c r="B15">
        <v>95.369999999999962</v>
      </c>
      <c r="N15" s="2" t="s">
        <v>38</v>
      </c>
      <c r="O15">
        <v>163</v>
      </c>
    </row>
    <row r="16" spans="1:19" x14ac:dyDescent="0.35">
      <c r="A16" s="2" t="s">
        <v>89</v>
      </c>
      <c r="B16">
        <v>88.439999999999969</v>
      </c>
      <c r="I16" t="s">
        <v>3087</v>
      </c>
      <c r="L16">
        <f>GETPIVOTDATA("Job_Title",$N$3)</f>
        <v>3000</v>
      </c>
      <c r="N16" s="2" t="s">
        <v>89</v>
      </c>
      <c r="O16">
        <v>144</v>
      </c>
    </row>
    <row r="17" spans="1:15" x14ac:dyDescent="0.35">
      <c r="A17" s="2" t="s">
        <v>51</v>
      </c>
      <c r="B17">
        <v>94.57999999999997</v>
      </c>
      <c r="I17" t="s">
        <v>3088</v>
      </c>
      <c r="L17">
        <f>GETPIVOTDATA("Average_Salary_USD",$S$3)</f>
        <v>126641.74666666667</v>
      </c>
      <c r="N17" s="2" t="s">
        <v>51</v>
      </c>
      <c r="O17">
        <v>157</v>
      </c>
    </row>
    <row r="18" spans="1:15" x14ac:dyDescent="0.35">
      <c r="A18" s="2" t="s">
        <v>65</v>
      </c>
      <c r="B18">
        <v>97.689999999999955</v>
      </c>
      <c r="I18" t="s">
        <v>3091</v>
      </c>
      <c r="L18">
        <f>GETPIVOTDATA("AI_Replacement_Risk",$S$6)</f>
        <v>0.50291000000000063</v>
      </c>
      <c r="N18" s="2" t="s">
        <v>65</v>
      </c>
      <c r="O18">
        <v>157</v>
      </c>
    </row>
    <row r="19" spans="1:15" x14ac:dyDescent="0.35">
      <c r="A19" s="2" t="s">
        <v>96</v>
      </c>
      <c r="B19">
        <v>92.470000000000056</v>
      </c>
      <c r="I19" t="s">
        <v>3093</v>
      </c>
      <c r="L19">
        <f>GETPIVOTDATA("Job_Satisfaction",$S$10)</f>
        <v>3.0261666666666711</v>
      </c>
      <c r="N19" s="2" t="s">
        <v>96</v>
      </c>
      <c r="O19">
        <v>152</v>
      </c>
    </row>
    <row r="20" spans="1:15" x14ac:dyDescent="0.35">
      <c r="A20" s="2" t="s">
        <v>62</v>
      </c>
      <c r="B20">
        <v>95.899999999999991</v>
      </c>
      <c r="N20" s="2" t="s">
        <v>62</v>
      </c>
      <c r="O20">
        <v>162</v>
      </c>
    </row>
    <row r="21" spans="1:15" x14ac:dyDescent="0.35">
      <c r="A21" s="2" t="s">
        <v>106</v>
      </c>
      <c r="B21">
        <v>102.89000000000007</v>
      </c>
      <c r="N21" s="2" t="s">
        <v>106</v>
      </c>
      <c r="O21">
        <v>164</v>
      </c>
    </row>
    <row r="22" spans="1:15" x14ac:dyDescent="0.35">
      <c r="A22" s="2" t="s">
        <v>77</v>
      </c>
      <c r="B22">
        <v>92.239999999999981</v>
      </c>
      <c r="N22" s="2" t="s">
        <v>77</v>
      </c>
      <c r="O22">
        <v>153</v>
      </c>
    </row>
    <row r="23" spans="1:15" x14ac:dyDescent="0.35">
      <c r="A23" s="2" t="s">
        <v>54</v>
      </c>
      <c r="B23">
        <v>91.489999999999966</v>
      </c>
      <c r="N23" s="2" t="s">
        <v>54</v>
      </c>
      <c r="O23">
        <v>158</v>
      </c>
    </row>
    <row r="24" spans="1:15" x14ac:dyDescent="0.35">
      <c r="A24" s="2" t="s">
        <v>3078</v>
      </c>
      <c r="B24">
        <v>1803.6100000000001</v>
      </c>
      <c r="N24" s="2" t="s">
        <v>3078</v>
      </c>
      <c r="O24">
        <v>3000</v>
      </c>
    </row>
    <row r="28" spans="1:15" x14ac:dyDescent="0.35">
      <c r="A28" s="1" t="s">
        <v>3080</v>
      </c>
      <c r="B28" s="1" t="s">
        <v>3079</v>
      </c>
    </row>
    <row r="29" spans="1:15" x14ac:dyDescent="0.35">
      <c r="A29" s="1" t="s">
        <v>3077</v>
      </c>
      <c r="B29" t="s">
        <v>27</v>
      </c>
      <c r="C29" t="s">
        <v>25</v>
      </c>
      <c r="D29" t="s">
        <v>36</v>
      </c>
      <c r="E29" t="s">
        <v>3078</v>
      </c>
    </row>
    <row r="30" spans="1:15" x14ac:dyDescent="0.35">
      <c r="A30" s="2" t="s">
        <v>39</v>
      </c>
      <c r="B30">
        <v>104</v>
      </c>
      <c r="C30">
        <v>107</v>
      </c>
      <c r="D30">
        <v>89</v>
      </c>
      <c r="E30">
        <v>300</v>
      </c>
    </row>
    <row r="31" spans="1:15" x14ac:dyDescent="0.35">
      <c r="A31" s="2" t="s">
        <v>52</v>
      </c>
      <c r="B31">
        <v>120</v>
      </c>
      <c r="C31">
        <v>101</v>
      </c>
      <c r="D31">
        <v>114</v>
      </c>
      <c r="E31">
        <v>335</v>
      </c>
    </row>
    <row r="32" spans="1:15" x14ac:dyDescent="0.35">
      <c r="A32" s="2" t="s">
        <v>82</v>
      </c>
      <c r="B32">
        <v>103</v>
      </c>
      <c r="C32">
        <v>109</v>
      </c>
      <c r="D32">
        <v>98</v>
      </c>
      <c r="E32">
        <v>310</v>
      </c>
    </row>
    <row r="33" spans="1:8" x14ac:dyDescent="0.35">
      <c r="A33" s="2" t="s">
        <v>46</v>
      </c>
      <c r="B33">
        <v>110</v>
      </c>
      <c r="C33">
        <v>111</v>
      </c>
      <c r="D33">
        <v>102</v>
      </c>
      <c r="E33">
        <v>323</v>
      </c>
    </row>
    <row r="34" spans="1:8" x14ac:dyDescent="0.35">
      <c r="A34" s="2" t="s">
        <v>21</v>
      </c>
      <c r="B34">
        <v>87</v>
      </c>
      <c r="C34">
        <v>97</v>
      </c>
      <c r="D34">
        <v>89</v>
      </c>
      <c r="E34">
        <v>273</v>
      </c>
    </row>
    <row r="35" spans="1:8" x14ac:dyDescent="0.35">
      <c r="A35" s="2" t="s">
        <v>74</v>
      </c>
      <c r="B35">
        <v>98</v>
      </c>
      <c r="C35">
        <v>109</v>
      </c>
      <c r="D35">
        <v>96</v>
      </c>
      <c r="E35">
        <v>303</v>
      </c>
    </row>
    <row r="36" spans="1:8" x14ac:dyDescent="0.35">
      <c r="A36" s="2" t="s">
        <v>55</v>
      </c>
      <c r="B36">
        <v>92</v>
      </c>
      <c r="C36">
        <v>100</v>
      </c>
      <c r="D36">
        <v>95</v>
      </c>
      <c r="E36">
        <v>287</v>
      </c>
    </row>
    <row r="37" spans="1:8" x14ac:dyDescent="0.35">
      <c r="A37" s="2" t="s">
        <v>31</v>
      </c>
      <c r="B37">
        <v>87</v>
      </c>
      <c r="C37">
        <v>105</v>
      </c>
      <c r="D37">
        <v>93</v>
      </c>
      <c r="E37">
        <v>285</v>
      </c>
    </row>
    <row r="38" spans="1:8" x14ac:dyDescent="0.35">
      <c r="A38" s="2" t="s">
        <v>58</v>
      </c>
      <c r="B38">
        <v>93</v>
      </c>
      <c r="C38">
        <v>109</v>
      </c>
      <c r="D38">
        <v>89</v>
      </c>
      <c r="E38">
        <v>291</v>
      </c>
    </row>
    <row r="39" spans="1:8" x14ac:dyDescent="0.35">
      <c r="A39" s="2" t="s">
        <v>107</v>
      </c>
      <c r="B39">
        <v>120</v>
      </c>
      <c r="C39">
        <v>85</v>
      </c>
      <c r="D39">
        <v>88</v>
      </c>
      <c r="E39">
        <v>293</v>
      </c>
    </row>
    <row r="40" spans="1:8" x14ac:dyDescent="0.35">
      <c r="A40" s="2" t="s">
        <v>3078</v>
      </c>
      <c r="B40">
        <v>1014</v>
      </c>
      <c r="C40">
        <v>1033</v>
      </c>
      <c r="D40">
        <v>953</v>
      </c>
      <c r="E40">
        <v>3000</v>
      </c>
    </row>
    <row r="45" spans="1:8" x14ac:dyDescent="0.35">
      <c r="G45" t="s">
        <v>2</v>
      </c>
      <c r="H45" t="s">
        <v>3081</v>
      </c>
    </row>
    <row r="46" spans="1:8" x14ac:dyDescent="0.35">
      <c r="A46" s="1" t="s">
        <v>3077</v>
      </c>
      <c r="B46" t="s">
        <v>3081</v>
      </c>
      <c r="G46" t="s">
        <v>39</v>
      </c>
      <c r="H46">
        <v>149.07999999999998</v>
      </c>
    </row>
    <row r="47" spans="1:8" x14ac:dyDescent="0.35">
      <c r="A47" s="2" t="s">
        <v>39</v>
      </c>
      <c r="B47">
        <v>149.07999999999998</v>
      </c>
      <c r="G47" t="s">
        <v>52</v>
      </c>
      <c r="H47">
        <v>167.22000000000008</v>
      </c>
    </row>
    <row r="48" spans="1:8" x14ac:dyDescent="0.35">
      <c r="A48" s="2" t="s">
        <v>52</v>
      </c>
      <c r="B48">
        <v>167.22000000000008</v>
      </c>
      <c r="G48" t="s">
        <v>82</v>
      </c>
      <c r="H48">
        <v>164.45000000000002</v>
      </c>
    </row>
    <row r="49" spans="1:8" x14ac:dyDescent="0.35">
      <c r="A49" s="2" t="s">
        <v>82</v>
      </c>
      <c r="B49">
        <v>164.45000000000002</v>
      </c>
      <c r="G49" t="s">
        <v>46</v>
      </c>
      <c r="H49">
        <v>170.80000000000013</v>
      </c>
    </row>
    <row r="50" spans="1:8" x14ac:dyDescent="0.35">
      <c r="A50" s="2" t="s">
        <v>46</v>
      </c>
      <c r="B50">
        <v>170.80000000000013</v>
      </c>
      <c r="G50" t="s">
        <v>21</v>
      </c>
      <c r="H50">
        <v>129.74</v>
      </c>
    </row>
    <row r="51" spans="1:8" x14ac:dyDescent="0.35">
      <c r="A51" s="2" t="s">
        <v>21</v>
      </c>
      <c r="B51">
        <v>129.74</v>
      </c>
      <c r="G51" t="s">
        <v>74</v>
      </c>
      <c r="H51">
        <v>150.24999999999997</v>
      </c>
    </row>
    <row r="52" spans="1:8" x14ac:dyDescent="0.35">
      <c r="A52" s="2" t="s">
        <v>74</v>
      </c>
      <c r="B52">
        <v>150.24999999999997</v>
      </c>
      <c r="G52" t="s">
        <v>55</v>
      </c>
      <c r="H52">
        <v>140.49999999999991</v>
      </c>
    </row>
    <row r="53" spans="1:8" x14ac:dyDescent="0.35">
      <c r="A53" s="2" t="s">
        <v>55</v>
      </c>
      <c r="B53">
        <v>140.49999999999991</v>
      </c>
      <c r="G53" t="s">
        <v>31</v>
      </c>
      <c r="H53">
        <v>141.44999999999996</v>
      </c>
    </row>
    <row r="54" spans="1:8" x14ac:dyDescent="0.35">
      <c r="A54" s="2" t="s">
        <v>31</v>
      </c>
      <c r="B54">
        <v>141.44999999999996</v>
      </c>
      <c r="G54" t="s">
        <v>58</v>
      </c>
      <c r="H54">
        <v>150.57000000000008</v>
      </c>
    </row>
    <row r="55" spans="1:8" x14ac:dyDescent="0.35">
      <c r="A55" s="2" t="s">
        <v>58</v>
      </c>
      <c r="B55">
        <v>150.57000000000008</v>
      </c>
      <c r="G55" t="s">
        <v>107</v>
      </c>
      <c r="H55">
        <v>144.67000000000007</v>
      </c>
    </row>
    <row r="56" spans="1:8" x14ac:dyDescent="0.35">
      <c r="A56" s="2" t="s">
        <v>107</v>
      </c>
      <c r="B56">
        <v>144.67000000000007</v>
      </c>
    </row>
    <row r="57" spans="1:8" x14ac:dyDescent="0.35">
      <c r="A57" s="2" t="s">
        <v>3078</v>
      </c>
      <c r="B57">
        <v>1508.7300000000005</v>
      </c>
    </row>
    <row r="61" spans="1:8" x14ac:dyDescent="0.35">
      <c r="B61" s="1" t="s">
        <v>3084</v>
      </c>
      <c r="C61" s="1" t="s">
        <v>3079</v>
      </c>
    </row>
    <row r="62" spans="1:8" x14ac:dyDescent="0.35">
      <c r="B62" s="1" t="s">
        <v>3077</v>
      </c>
      <c r="C62" t="s">
        <v>3083</v>
      </c>
      <c r="D62" t="s">
        <v>3078</v>
      </c>
    </row>
    <row r="63" spans="1:8" x14ac:dyDescent="0.35">
      <c r="B63" s="2" t="s">
        <v>73</v>
      </c>
      <c r="C63">
        <v>21</v>
      </c>
      <c r="D63">
        <v>21</v>
      </c>
    </row>
    <row r="64" spans="1:8" x14ac:dyDescent="0.35">
      <c r="B64" s="2" t="s">
        <v>91</v>
      </c>
      <c r="C64">
        <v>28</v>
      </c>
      <c r="D64">
        <v>28</v>
      </c>
    </row>
    <row r="65" spans="2:4" x14ac:dyDescent="0.35">
      <c r="B65" s="2" t="s">
        <v>102</v>
      </c>
      <c r="C65">
        <v>26</v>
      </c>
      <c r="D65">
        <v>26</v>
      </c>
    </row>
    <row r="66" spans="2:4" x14ac:dyDescent="0.35">
      <c r="B66" s="2" t="s">
        <v>68</v>
      </c>
      <c r="C66">
        <v>11</v>
      </c>
      <c r="D66">
        <v>11</v>
      </c>
    </row>
    <row r="67" spans="2:4" x14ac:dyDescent="0.35">
      <c r="B67" s="2" t="s">
        <v>45</v>
      </c>
      <c r="C67">
        <v>27</v>
      </c>
      <c r="D67">
        <v>27</v>
      </c>
    </row>
    <row r="68" spans="2:4" x14ac:dyDescent="0.35">
      <c r="B68" s="2" t="s">
        <v>20</v>
      </c>
      <c r="C68">
        <v>17</v>
      </c>
      <c r="D68">
        <v>17</v>
      </c>
    </row>
    <row r="69" spans="2:4" x14ac:dyDescent="0.35">
      <c r="B69" s="2" t="s">
        <v>156</v>
      </c>
      <c r="C69">
        <v>28</v>
      </c>
      <c r="D69">
        <v>28</v>
      </c>
    </row>
    <row r="70" spans="2:4" x14ac:dyDescent="0.35">
      <c r="B70" s="2" t="s">
        <v>94</v>
      </c>
      <c r="C70">
        <v>12</v>
      </c>
      <c r="D70">
        <v>12</v>
      </c>
    </row>
    <row r="71" spans="2:4" x14ac:dyDescent="0.35">
      <c r="B71" s="2" t="s">
        <v>57</v>
      </c>
      <c r="C71">
        <v>18</v>
      </c>
      <c r="D71">
        <v>18</v>
      </c>
    </row>
    <row r="72" spans="2:4" x14ac:dyDescent="0.35">
      <c r="B72" s="2" t="s">
        <v>147</v>
      </c>
      <c r="C72">
        <v>20</v>
      </c>
      <c r="D72">
        <v>20</v>
      </c>
    </row>
    <row r="73" spans="2:4" x14ac:dyDescent="0.35">
      <c r="B73" s="2" t="s">
        <v>30</v>
      </c>
      <c r="C73">
        <v>23</v>
      </c>
      <c r="D73">
        <v>23</v>
      </c>
    </row>
    <row r="74" spans="2:4" x14ac:dyDescent="0.35">
      <c r="B74" s="2" t="s">
        <v>38</v>
      </c>
      <c r="C74">
        <v>19</v>
      </c>
      <c r="D74">
        <v>19</v>
      </c>
    </row>
    <row r="75" spans="2:4" x14ac:dyDescent="0.35">
      <c r="B75" s="2" t="s">
        <v>89</v>
      </c>
      <c r="C75">
        <v>23</v>
      </c>
      <c r="D75">
        <v>23</v>
      </c>
    </row>
    <row r="76" spans="2:4" x14ac:dyDescent="0.35">
      <c r="B76" s="2" t="s">
        <v>51</v>
      </c>
      <c r="C76">
        <v>23</v>
      </c>
      <c r="D76">
        <v>23</v>
      </c>
    </row>
    <row r="77" spans="2:4" x14ac:dyDescent="0.35">
      <c r="B77" s="2" t="s">
        <v>65</v>
      </c>
      <c r="C77">
        <v>24</v>
      </c>
      <c r="D77">
        <v>24</v>
      </c>
    </row>
    <row r="78" spans="2:4" x14ac:dyDescent="0.35">
      <c r="B78" s="2" t="s">
        <v>96</v>
      </c>
      <c r="C78">
        <v>21</v>
      </c>
      <c r="D78">
        <v>21</v>
      </c>
    </row>
    <row r="79" spans="2:4" x14ac:dyDescent="0.35">
      <c r="B79" s="2" t="s">
        <v>62</v>
      </c>
      <c r="C79">
        <v>26</v>
      </c>
      <c r="D79">
        <v>26</v>
      </c>
    </row>
    <row r="80" spans="2:4" x14ac:dyDescent="0.35">
      <c r="B80" s="2" t="s">
        <v>106</v>
      </c>
      <c r="C80">
        <v>28</v>
      </c>
      <c r="D80">
        <v>28</v>
      </c>
    </row>
    <row r="81" spans="2:4" x14ac:dyDescent="0.35">
      <c r="B81" s="2" t="s">
        <v>77</v>
      </c>
      <c r="C81">
        <v>17</v>
      </c>
      <c r="D81">
        <v>17</v>
      </c>
    </row>
    <row r="82" spans="2:4" x14ac:dyDescent="0.35">
      <c r="B82" s="2" t="s">
        <v>54</v>
      </c>
      <c r="C82">
        <v>25</v>
      </c>
      <c r="D82">
        <v>25</v>
      </c>
    </row>
    <row r="83" spans="2:4" x14ac:dyDescent="0.35">
      <c r="B83" s="2" t="s">
        <v>3078</v>
      </c>
      <c r="C83">
        <v>437</v>
      </c>
      <c r="D83">
        <v>437</v>
      </c>
    </row>
    <row r="87" spans="2:4" x14ac:dyDescent="0.35">
      <c r="B87" s="1" t="s">
        <v>3077</v>
      </c>
      <c r="C87" t="s">
        <v>3094</v>
      </c>
    </row>
    <row r="88" spans="2:4" x14ac:dyDescent="0.35">
      <c r="B88" s="2" t="s">
        <v>26</v>
      </c>
      <c r="C88">
        <v>17.54141414141414</v>
      </c>
    </row>
    <row r="89" spans="2:4" x14ac:dyDescent="0.35">
      <c r="B89" s="2" t="s">
        <v>42</v>
      </c>
      <c r="C89">
        <v>17.217560975609757</v>
      </c>
    </row>
    <row r="90" spans="2:4" x14ac:dyDescent="0.35">
      <c r="B90" s="2" t="s">
        <v>35</v>
      </c>
      <c r="C90">
        <v>16.955329949238578</v>
      </c>
    </row>
    <row r="91" spans="2:4" x14ac:dyDescent="0.35">
      <c r="B91" s="2" t="s">
        <v>3078</v>
      </c>
      <c r="C91">
        <v>17.238333333333333</v>
      </c>
    </row>
    <row r="182" spans="2:13" x14ac:dyDescent="0.35">
      <c r="B182" s="1" t="s">
        <v>3085</v>
      </c>
      <c r="C182" s="1" t="s">
        <v>3079</v>
      </c>
    </row>
    <row r="183" spans="2:13" x14ac:dyDescent="0.35">
      <c r="B183" s="1" t="s">
        <v>3077</v>
      </c>
      <c r="C183" t="s">
        <v>69</v>
      </c>
      <c r="D183" t="s">
        <v>40</v>
      </c>
      <c r="E183" t="s">
        <v>59</v>
      </c>
      <c r="F183" t="s">
        <v>66</v>
      </c>
      <c r="G183" t="s">
        <v>22</v>
      </c>
      <c r="H183" t="s">
        <v>63</v>
      </c>
      <c r="I183" t="s">
        <v>80</v>
      </c>
      <c r="J183" t="s">
        <v>49</v>
      </c>
      <c r="K183" t="s">
        <v>32</v>
      </c>
      <c r="L183" t="s">
        <v>75</v>
      </c>
      <c r="M183" t="s">
        <v>3078</v>
      </c>
    </row>
    <row r="184" spans="2:13" x14ac:dyDescent="0.35">
      <c r="B184" s="2" t="s">
        <v>73</v>
      </c>
      <c r="C184">
        <v>10</v>
      </c>
      <c r="D184">
        <v>9</v>
      </c>
      <c r="E184">
        <v>18</v>
      </c>
      <c r="F184">
        <v>10</v>
      </c>
      <c r="G184">
        <v>13</v>
      </c>
      <c r="H184">
        <v>22</v>
      </c>
      <c r="I184">
        <v>8</v>
      </c>
      <c r="J184">
        <v>12</v>
      </c>
      <c r="K184">
        <v>10</v>
      </c>
      <c r="L184">
        <v>12</v>
      </c>
      <c r="M184">
        <v>124</v>
      </c>
    </row>
    <row r="185" spans="2:13" x14ac:dyDescent="0.35">
      <c r="B185" s="2" t="s">
        <v>91</v>
      </c>
      <c r="C185">
        <v>17</v>
      </c>
      <c r="D185">
        <v>10</v>
      </c>
      <c r="E185">
        <v>18</v>
      </c>
      <c r="F185">
        <v>13</v>
      </c>
      <c r="G185">
        <v>22</v>
      </c>
      <c r="H185">
        <v>8</v>
      </c>
      <c r="I185">
        <v>11</v>
      </c>
      <c r="J185">
        <v>17</v>
      </c>
      <c r="K185">
        <v>18</v>
      </c>
      <c r="L185">
        <v>21</v>
      </c>
      <c r="M185">
        <v>155</v>
      </c>
    </row>
    <row r="186" spans="2:13" x14ac:dyDescent="0.35">
      <c r="B186" s="2" t="s">
        <v>102</v>
      </c>
      <c r="C186">
        <v>19</v>
      </c>
      <c r="D186">
        <v>10</v>
      </c>
      <c r="E186">
        <v>14</v>
      </c>
      <c r="F186">
        <v>16</v>
      </c>
      <c r="G186">
        <v>11</v>
      </c>
      <c r="H186">
        <v>19</v>
      </c>
      <c r="I186">
        <v>13</v>
      </c>
      <c r="J186">
        <v>14</v>
      </c>
      <c r="K186">
        <v>10</v>
      </c>
      <c r="L186">
        <v>15</v>
      </c>
      <c r="M186">
        <v>141</v>
      </c>
    </row>
    <row r="187" spans="2:13" x14ac:dyDescent="0.35">
      <c r="B187" s="2" t="s">
        <v>68</v>
      </c>
      <c r="C187">
        <v>15</v>
      </c>
      <c r="D187">
        <v>11</v>
      </c>
      <c r="E187">
        <v>19</v>
      </c>
      <c r="F187">
        <v>7</v>
      </c>
      <c r="G187">
        <v>15</v>
      </c>
      <c r="H187">
        <v>7</v>
      </c>
      <c r="I187">
        <v>13</v>
      </c>
      <c r="J187">
        <v>18</v>
      </c>
      <c r="K187">
        <v>12</v>
      </c>
      <c r="L187">
        <v>12</v>
      </c>
      <c r="M187">
        <v>129</v>
      </c>
    </row>
    <row r="188" spans="2:13" x14ac:dyDescent="0.35">
      <c r="B188" s="2" t="s">
        <v>45</v>
      </c>
      <c r="C188">
        <v>16</v>
      </c>
      <c r="D188">
        <v>17</v>
      </c>
      <c r="E188">
        <v>14</v>
      </c>
      <c r="F188">
        <v>20</v>
      </c>
      <c r="G188">
        <v>13</v>
      </c>
      <c r="H188">
        <v>18</v>
      </c>
      <c r="I188">
        <v>14</v>
      </c>
      <c r="J188">
        <v>12</v>
      </c>
      <c r="K188">
        <v>17</v>
      </c>
      <c r="L188">
        <v>21</v>
      </c>
      <c r="M188">
        <v>162</v>
      </c>
    </row>
    <row r="189" spans="2:13" x14ac:dyDescent="0.35">
      <c r="B189" s="2" t="s">
        <v>20</v>
      </c>
      <c r="C189">
        <v>18</v>
      </c>
      <c r="D189">
        <v>16</v>
      </c>
      <c r="E189">
        <v>17</v>
      </c>
      <c r="F189">
        <v>13</v>
      </c>
      <c r="G189">
        <v>14</v>
      </c>
      <c r="H189">
        <v>17</v>
      </c>
      <c r="I189">
        <v>14</v>
      </c>
      <c r="J189">
        <v>20</v>
      </c>
      <c r="K189">
        <v>9</v>
      </c>
      <c r="L189">
        <v>13</v>
      </c>
      <c r="M189">
        <v>151</v>
      </c>
    </row>
    <row r="190" spans="2:13" x14ac:dyDescent="0.35">
      <c r="B190" s="2" t="s">
        <v>156</v>
      </c>
      <c r="C190">
        <v>13</v>
      </c>
      <c r="D190">
        <v>11</v>
      </c>
      <c r="E190">
        <v>13</v>
      </c>
      <c r="F190">
        <v>15</v>
      </c>
      <c r="G190">
        <v>15</v>
      </c>
      <c r="H190">
        <v>24</v>
      </c>
      <c r="I190">
        <v>13</v>
      </c>
      <c r="J190">
        <v>18</v>
      </c>
      <c r="K190">
        <v>14</v>
      </c>
      <c r="L190">
        <v>16</v>
      </c>
      <c r="M190">
        <v>152</v>
      </c>
    </row>
    <row r="191" spans="2:13" x14ac:dyDescent="0.35">
      <c r="B191" s="2" t="s">
        <v>94</v>
      </c>
      <c r="C191">
        <v>18</v>
      </c>
      <c r="D191">
        <v>9</v>
      </c>
      <c r="E191">
        <v>18</v>
      </c>
      <c r="F191">
        <v>17</v>
      </c>
      <c r="G191">
        <v>19</v>
      </c>
      <c r="H191">
        <v>17</v>
      </c>
      <c r="I191">
        <v>9</v>
      </c>
      <c r="J191">
        <v>16</v>
      </c>
      <c r="K191">
        <v>16</v>
      </c>
      <c r="L191">
        <v>13</v>
      </c>
      <c r="M191">
        <v>152</v>
      </c>
    </row>
    <row r="192" spans="2:13" x14ac:dyDescent="0.35">
      <c r="B192" s="2" t="s">
        <v>57</v>
      </c>
      <c r="C192">
        <v>16</v>
      </c>
      <c r="D192">
        <v>11</v>
      </c>
      <c r="E192">
        <v>12</v>
      </c>
      <c r="F192">
        <v>16</v>
      </c>
      <c r="G192">
        <v>11</v>
      </c>
      <c r="H192">
        <v>11</v>
      </c>
      <c r="I192">
        <v>12</v>
      </c>
      <c r="J192">
        <v>23</v>
      </c>
      <c r="K192">
        <v>12</v>
      </c>
      <c r="L192">
        <v>10</v>
      </c>
      <c r="M192">
        <v>134</v>
      </c>
    </row>
    <row r="193" spans="2:13" x14ac:dyDescent="0.35">
      <c r="B193" s="2" t="s">
        <v>147</v>
      </c>
      <c r="C193">
        <v>10</v>
      </c>
      <c r="D193">
        <v>15</v>
      </c>
      <c r="E193">
        <v>16</v>
      </c>
      <c r="F193">
        <v>14</v>
      </c>
      <c r="G193">
        <v>16</v>
      </c>
      <c r="H193">
        <v>9</v>
      </c>
      <c r="I193">
        <v>16</v>
      </c>
      <c r="J193">
        <v>20</v>
      </c>
      <c r="K193">
        <v>16</v>
      </c>
      <c r="L193">
        <v>11</v>
      </c>
      <c r="M193">
        <v>143</v>
      </c>
    </row>
    <row r="194" spans="2:13" x14ac:dyDescent="0.35">
      <c r="B194" s="2" t="s">
        <v>30</v>
      </c>
      <c r="C194">
        <v>16</v>
      </c>
      <c r="D194">
        <v>15</v>
      </c>
      <c r="E194">
        <v>11</v>
      </c>
      <c r="F194">
        <v>19</v>
      </c>
      <c r="G194">
        <v>18</v>
      </c>
      <c r="H194">
        <v>20</v>
      </c>
      <c r="I194">
        <v>11</v>
      </c>
      <c r="J194">
        <v>13</v>
      </c>
      <c r="K194">
        <v>13</v>
      </c>
      <c r="L194">
        <v>11</v>
      </c>
      <c r="M194">
        <v>147</v>
      </c>
    </row>
    <row r="195" spans="2:13" x14ac:dyDescent="0.35">
      <c r="B195" s="2" t="s">
        <v>38</v>
      </c>
      <c r="C195">
        <v>13</v>
      </c>
      <c r="D195">
        <v>16</v>
      </c>
      <c r="E195">
        <v>15</v>
      </c>
      <c r="F195">
        <v>12</v>
      </c>
      <c r="G195">
        <v>23</v>
      </c>
      <c r="H195">
        <v>12</v>
      </c>
      <c r="I195">
        <v>11</v>
      </c>
      <c r="J195">
        <v>24</v>
      </c>
      <c r="K195">
        <v>22</v>
      </c>
      <c r="L195">
        <v>15</v>
      </c>
      <c r="M195">
        <v>163</v>
      </c>
    </row>
    <row r="196" spans="2:13" x14ac:dyDescent="0.35">
      <c r="B196" s="2" t="s">
        <v>89</v>
      </c>
      <c r="C196">
        <v>11</v>
      </c>
      <c r="D196">
        <v>21</v>
      </c>
      <c r="E196">
        <v>13</v>
      </c>
      <c r="F196">
        <v>13</v>
      </c>
      <c r="G196">
        <v>9</v>
      </c>
      <c r="H196">
        <v>15</v>
      </c>
      <c r="I196">
        <v>15</v>
      </c>
      <c r="J196">
        <v>11</v>
      </c>
      <c r="K196">
        <v>17</v>
      </c>
      <c r="L196">
        <v>19</v>
      </c>
      <c r="M196">
        <v>144</v>
      </c>
    </row>
    <row r="197" spans="2:13" x14ac:dyDescent="0.35">
      <c r="B197" s="2" t="s">
        <v>51</v>
      </c>
      <c r="C197">
        <v>16</v>
      </c>
      <c r="D197">
        <v>24</v>
      </c>
      <c r="E197">
        <v>19</v>
      </c>
      <c r="F197">
        <v>13</v>
      </c>
      <c r="G197">
        <v>8</v>
      </c>
      <c r="H197">
        <v>22</v>
      </c>
      <c r="I197">
        <v>15</v>
      </c>
      <c r="J197">
        <v>13</v>
      </c>
      <c r="K197">
        <v>16</v>
      </c>
      <c r="L197">
        <v>11</v>
      </c>
      <c r="M197">
        <v>157</v>
      </c>
    </row>
    <row r="198" spans="2:13" x14ac:dyDescent="0.35">
      <c r="B198" s="2" t="s">
        <v>65</v>
      </c>
      <c r="C198">
        <v>23</v>
      </c>
      <c r="D198">
        <v>21</v>
      </c>
      <c r="E198">
        <v>22</v>
      </c>
      <c r="F198">
        <v>14</v>
      </c>
      <c r="G198">
        <v>10</v>
      </c>
      <c r="H198">
        <v>10</v>
      </c>
      <c r="I198">
        <v>11</v>
      </c>
      <c r="J198">
        <v>15</v>
      </c>
      <c r="K198">
        <v>16</v>
      </c>
      <c r="L198">
        <v>15</v>
      </c>
      <c r="M198">
        <v>157</v>
      </c>
    </row>
    <row r="199" spans="2:13" x14ac:dyDescent="0.35">
      <c r="B199" s="2" t="s">
        <v>96</v>
      </c>
      <c r="C199">
        <v>17</v>
      </c>
      <c r="D199">
        <v>10</v>
      </c>
      <c r="E199">
        <v>23</v>
      </c>
      <c r="F199">
        <v>10</v>
      </c>
      <c r="G199">
        <v>13</v>
      </c>
      <c r="H199">
        <v>15</v>
      </c>
      <c r="I199">
        <v>14</v>
      </c>
      <c r="J199">
        <v>18</v>
      </c>
      <c r="K199">
        <v>17</v>
      </c>
      <c r="L199">
        <v>15</v>
      </c>
      <c r="M199">
        <v>152</v>
      </c>
    </row>
    <row r="200" spans="2:13" x14ac:dyDescent="0.35">
      <c r="B200" s="2" t="s">
        <v>62</v>
      </c>
      <c r="C200">
        <v>21</v>
      </c>
      <c r="D200">
        <v>11</v>
      </c>
      <c r="E200">
        <v>9</v>
      </c>
      <c r="F200">
        <v>14</v>
      </c>
      <c r="G200">
        <v>22</v>
      </c>
      <c r="H200">
        <v>16</v>
      </c>
      <c r="I200">
        <v>16</v>
      </c>
      <c r="J200">
        <v>19</v>
      </c>
      <c r="K200">
        <v>15</v>
      </c>
      <c r="L200">
        <v>19</v>
      </c>
      <c r="M200">
        <v>162</v>
      </c>
    </row>
    <row r="201" spans="2:13" x14ac:dyDescent="0.35">
      <c r="B201" s="2" t="s">
        <v>106</v>
      </c>
      <c r="C201">
        <v>16</v>
      </c>
      <c r="D201">
        <v>12</v>
      </c>
      <c r="E201">
        <v>18</v>
      </c>
      <c r="F201">
        <v>14</v>
      </c>
      <c r="G201">
        <v>18</v>
      </c>
      <c r="H201">
        <v>15</v>
      </c>
      <c r="I201">
        <v>18</v>
      </c>
      <c r="J201">
        <v>19</v>
      </c>
      <c r="K201">
        <v>18</v>
      </c>
      <c r="L201">
        <v>16</v>
      </c>
      <c r="M201">
        <v>164</v>
      </c>
    </row>
    <row r="202" spans="2:13" x14ac:dyDescent="0.35">
      <c r="B202" s="2" t="s">
        <v>77</v>
      </c>
      <c r="C202">
        <v>12</v>
      </c>
      <c r="D202">
        <v>20</v>
      </c>
      <c r="E202">
        <v>11</v>
      </c>
      <c r="F202">
        <v>11</v>
      </c>
      <c r="G202">
        <v>13</v>
      </c>
      <c r="H202">
        <v>10</v>
      </c>
      <c r="I202">
        <v>20</v>
      </c>
      <c r="J202">
        <v>25</v>
      </c>
      <c r="K202">
        <v>11</v>
      </c>
      <c r="L202">
        <v>20</v>
      </c>
      <c r="M202">
        <v>153</v>
      </c>
    </row>
    <row r="203" spans="2:13" x14ac:dyDescent="0.35">
      <c r="B203" s="2" t="s">
        <v>54</v>
      </c>
      <c r="C203">
        <v>15</v>
      </c>
      <c r="D203">
        <v>16</v>
      </c>
      <c r="E203">
        <v>18</v>
      </c>
      <c r="F203">
        <v>18</v>
      </c>
      <c r="G203">
        <v>16</v>
      </c>
      <c r="H203">
        <v>13</v>
      </c>
      <c r="I203">
        <v>13</v>
      </c>
      <c r="J203">
        <v>20</v>
      </c>
      <c r="K203">
        <v>19</v>
      </c>
      <c r="L203">
        <v>10</v>
      </c>
      <c r="M203">
        <v>158</v>
      </c>
    </row>
    <row r="204" spans="2:13" x14ac:dyDescent="0.35">
      <c r="B204" s="2" t="s">
        <v>3078</v>
      </c>
      <c r="C204">
        <v>312</v>
      </c>
      <c r="D204">
        <v>285</v>
      </c>
      <c r="E204">
        <v>318</v>
      </c>
      <c r="F204">
        <v>279</v>
      </c>
      <c r="G204">
        <v>299</v>
      </c>
      <c r="H204">
        <v>300</v>
      </c>
      <c r="I204">
        <v>267</v>
      </c>
      <c r="J204">
        <v>347</v>
      </c>
      <c r="K204">
        <v>298</v>
      </c>
      <c r="L204">
        <v>295</v>
      </c>
      <c r="M204">
        <v>3000</v>
      </c>
    </row>
  </sheetData>
  <conditionalFormatting sqref="B182:M204">
    <cfRule type="cellIs" dxfId="3" priority="4" operator="greaterThan">
      <formula>20</formula>
    </cfRule>
    <cfRule type="cellIs" dxfId="2" priority="2" operator="lessThan">
      <formula>10</formula>
    </cfRule>
    <cfRule type="cellIs" dxfId="1" priority="1" operator="lessThan">
      <formula>11</formula>
    </cfRule>
  </conditionalFormatting>
  <conditionalFormatting pivot="1" sqref="C184:M204">
    <cfRule type="cellIs" dxfId="0" priority="3" operator="greaterThan">
      <formula>20</formula>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9EC5-1724-4CE9-A92B-92D60FE017C4}">
  <dimension ref="A1"/>
  <sheetViews>
    <sheetView showGridLines="0" topLeftCell="B38" zoomScale="87" zoomScaleNormal="87" workbookViewId="0">
      <selection activeCell="P68" sqref="P68"/>
    </sheetView>
  </sheetViews>
  <sheetFormatPr defaultRowHeight="14.5" x14ac:dyDescent="0.35"/>
  <cols>
    <col min="14" max="14" width="8.726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EE1F-DDB5-43F8-8A21-FDF83B7BD53D}">
  <dimension ref="A1"/>
  <sheetViews>
    <sheetView showGridLines="0" tabSelected="1" workbookViewId="0">
      <selection activeCell="P17" sqref="P17"/>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3B06-55DD-4250-823A-21A27D68C3DC}">
  <dimension ref="A1"/>
  <sheetViews>
    <sheetView showGridLines="0" topLeftCell="B1" zoomScale="77" zoomScaleNormal="77" workbookViewId="0">
      <selection activeCell="V19" sqref="V19"/>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F1F4-6266-418F-97CE-9E03079A4C77}">
  <dimension ref="A1:U3001"/>
  <sheetViews>
    <sheetView workbookViewId="0">
      <selection sqref="A1:U3001"/>
    </sheetView>
  </sheetViews>
  <sheetFormatPr defaultRowHeight="14.5" x14ac:dyDescent="0.35"/>
  <cols>
    <col min="1" max="1" width="11.81640625" customWidth="1"/>
    <col min="2" max="2" width="23.54296875" customWidth="1"/>
    <col min="3" max="3" width="13.36328125" customWidth="1"/>
    <col min="4" max="4" width="9.08984375" customWidth="1"/>
    <col min="5" max="5" width="14.36328125" customWidth="1"/>
    <col min="6" max="6" width="15.54296875" customWidth="1"/>
    <col min="7" max="7" width="18.81640625" customWidth="1"/>
    <col min="8" max="8" width="20.08984375" customWidth="1"/>
    <col min="9" max="9" width="22.26953125" customWidth="1"/>
    <col min="10" max="10" width="18.1796875" customWidth="1"/>
    <col min="11" max="12" width="16" customWidth="1"/>
    <col min="13" max="13" width="21.08984375" customWidth="1"/>
    <col min="14" max="14" width="13" customWidth="1"/>
    <col min="15" max="15" width="13.26953125" customWidth="1"/>
    <col min="16" max="16" width="17.26953125" customWidth="1"/>
    <col min="17" max="17" width="16.26953125" customWidth="1"/>
    <col min="18" max="18" width="14.26953125" customWidth="1"/>
    <col min="19" max="19" width="16.7265625" customWidth="1"/>
    <col min="20" max="20" width="11" customWidth="1"/>
    <col min="21" max="21" width="14.72656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3075</v>
      </c>
      <c r="U1" t="s">
        <v>3076</v>
      </c>
    </row>
    <row r="2" spans="1:21" x14ac:dyDescent="0.35">
      <c r="A2" t="s">
        <v>19</v>
      </c>
      <c r="B2" t="s">
        <v>20</v>
      </c>
      <c r="C2" t="s">
        <v>21</v>
      </c>
      <c r="D2" t="s">
        <v>22</v>
      </c>
      <c r="E2" t="s">
        <v>23</v>
      </c>
      <c r="F2">
        <v>1</v>
      </c>
      <c r="G2">
        <v>0.25</v>
      </c>
      <c r="H2">
        <v>0.78</v>
      </c>
      <c r="I2" t="s">
        <v>24</v>
      </c>
      <c r="J2">
        <v>207392</v>
      </c>
      <c r="K2" t="s">
        <v>25</v>
      </c>
      <c r="L2">
        <v>3</v>
      </c>
      <c r="M2">
        <v>37</v>
      </c>
      <c r="N2" t="s">
        <v>26</v>
      </c>
      <c r="O2" t="s">
        <v>27</v>
      </c>
      <c r="P2">
        <v>2.08</v>
      </c>
      <c r="Q2" t="s">
        <v>24</v>
      </c>
      <c r="R2">
        <v>3.86</v>
      </c>
      <c r="S2" t="s">
        <v>28</v>
      </c>
      <c r="T2" t="str">
        <f>IF(AND(G2&lt;0.4,H2&gt;=0.7),"Very High",
IF(AND(G2&gt;=0.7,H2&lt;0.5),"Very Low",
IF(G2&lt;H2,"High","Moderate")))</f>
        <v>Very High</v>
      </c>
      <c r="U2" t="str">
        <f>_xlfn.IFS(F2&lt;=2,"Beginner",F2&lt;=8,"Intermediate",F2&lt;=15,"Experienced",F2&lt;=25,"Expert")</f>
        <v>Beginner</v>
      </c>
    </row>
    <row r="3" spans="1:21" x14ac:dyDescent="0.35">
      <c r="A3" t="s">
        <v>29</v>
      </c>
      <c r="B3" t="s">
        <v>30</v>
      </c>
      <c r="C3" t="s">
        <v>31</v>
      </c>
      <c r="D3" t="s">
        <v>32</v>
      </c>
      <c r="E3" t="s">
        <v>33</v>
      </c>
      <c r="F3">
        <v>24</v>
      </c>
      <c r="G3">
        <v>0.73</v>
      </c>
      <c r="H3">
        <v>0.33</v>
      </c>
      <c r="I3" t="s">
        <v>34</v>
      </c>
      <c r="J3">
        <v>140785</v>
      </c>
      <c r="K3" t="s">
        <v>25</v>
      </c>
      <c r="L3">
        <v>-5</v>
      </c>
      <c r="M3">
        <v>42</v>
      </c>
      <c r="N3" t="s">
        <v>35</v>
      </c>
      <c r="O3" t="s">
        <v>36</v>
      </c>
      <c r="P3">
        <v>4.54</v>
      </c>
      <c r="Q3" t="s">
        <v>34</v>
      </c>
      <c r="R3">
        <v>4.2300000000000004</v>
      </c>
      <c r="S3" t="s">
        <v>28</v>
      </c>
      <c r="T3" t="str">
        <f t="shared" ref="T3:T66" si="0">IF(AND(G3&lt;0.4,H3&gt;=0.7),"Very High",
IF(AND(G3&gt;=0.7,H3&lt;0.5),"Very Low",
IF(G3&lt;H3,"High","Moderate")))</f>
        <v>Very Low</v>
      </c>
      <c r="U3" t="str">
        <f t="shared" ref="U3:U66" si="1">_xlfn.IFS(F3&lt;=2,"Beginner",F3&lt;=8,"Intermediate",F3&lt;=15,"Experienced",F3&lt;=25,"Expert")</f>
        <v>Expert</v>
      </c>
    </row>
    <row r="4" spans="1:21" x14ac:dyDescent="0.35">
      <c r="A4" t="s">
        <v>37</v>
      </c>
      <c r="B4" t="s">
        <v>38</v>
      </c>
      <c r="C4" t="s">
        <v>39</v>
      </c>
      <c r="D4" t="s">
        <v>40</v>
      </c>
      <c r="E4" t="s">
        <v>41</v>
      </c>
      <c r="F4">
        <v>21</v>
      </c>
      <c r="G4">
        <v>0.8</v>
      </c>
      <c r="H4">
        <v>0.69</v>
      </c>
      <c r="I4" t="s">
        <v>24</v>
      </c>
      <c r="J4">
        <v>124800</v>
      </c>
      <c r="K4" t="s">
        <v>42</v>
      </c>
      <c r="L4">
        <v>-5</v>
      </c>
      <c r="M4">
        <v>57</v>
      </c>
      <c r="N4" t="s">
        <v>35</v>
      </c>
      <c r="O4" t="s">
        <v>25</v>
      </c>
      <c r="P4">
        <v>3.14</v>
      </c>
      <c r="Q4" t="s">
        <v>34</v>
      </c>
      <c r="R4">
        <v>3.54</v>
      </c>
      <c r="S4" t="s">
        <v>43</v>
      </c>
      <c r="T4" t="str">
        <f t="shared" si="0"/>
        <v>Moderate</v>
      </c>
      <c r="U4" t="str">
        <f t="shared" si="1"/>
        <v>Expert</v>
      </c>
    </row>
    <row r="5" spans="1:21" x14ac:dyDescent="0.35">
      <c r="A5" t="s">
        <v>44</v>
      </c>
      <c r="B5" t="s">
        <v>45</v>
      </c>
      <c r="C5" t="s">
        <v>46</v>
      </c>
      <c r="D5" t="s">
        <v>32</v>
      </c>
      <c r="E5" t="s">
        <v>33</v>
      </c>
      <c r="F5">
        <v>5</v>
      </c>
      <c r="G5">
        <v>0.28999999999999998</v>
      </c>
      <c r="H5">
        <v>0.94</v>
      </c>
      <c r="I5" t="s">
        <v>34</v>
      </c>
      <c r="J5">
        <v>199878</v>
      </c>
      <c r="K5" t="s">
        <v>42</v>
      </c>
      <c r="L5">
        <v>7</v>
      </c>
      <c r="M5">
        <v>59</v>
      </c>
      <c r="N5" t="s">
        <v>26</v>
      </c>
      <c r="O5" t="s">
        <v>27</v>
      </c>
      <c r="P5">
        <v>3.67</v>
      </c>
      <c r="Q5" t="s">
        <v>34</v>
      </c>
      <c r="R5">
        <v>4.37</v>
      </c>
      <c r="S5" t="s">
        <v>47</v>
      </c>
      <c r="T5" t="str">
        <f t="shared" si="0"/>
        <v>Very High</v>
      </c>
      <c r="U5" t="str">
        <f t="shared" si="1"/>
        <v>Intermediate</v>
      </c>
    </row>
    <row r="6" spans="1:21" x14ac:dyDescent="0.35">
      <c r="A6" t="s">
        <v>48</v>
      </c>
      <c r="B6" t="s">
        <v>30</v>
      </c>
      <c r="C6" t="s">
        <v>39</v>
      </c>
      <c r="D6" t="s">
        <v>49</v>
      </c>
      <c r="E6" t="s">
        <v>23</v>
      </c>
      <c r="F6">
        <v>20</v>
      </c>
      <c r="G6">
        <v>0.11</v>
      </c>
      <c r="H6">
        <v>0.92</v>
      </c>
      <c r="I6" t="s">
        <v>34</v>
      </c>
      <c r="J6">
        <v>178682</v>
      </c>
      <c r="K6" t="s">
        <v>25</v>
      </c>
      <c r="L6">
        <v>6</v>
      </c>
      <c r="M6">
        <v>34</v>
      </c>
      <c r="N6" t="s">
        <v>35</v>
      </c>
      <c r="O6" t="s">
        <v>27</v>
      </c>
      <c r="P6">
        <v>3.68</v>
      </c>
      <c r="Q6" t="s">
        <v>34</v>
      </c>
      <c r="R6">
        <v>3.99</v>
      </c>
      <c r="S6" t="s">
        <v>43</v>
      </c>
      <c r="T6" t="str">
        <f t="shared" si="0"/>
        <v>Very High</v>
      </c>
      <c r="U6" t="str">
        <f t="shared" si="1"/>
        <v>Expert</v>
      </c>
    </row>
    <row r="7" spans="1:21" x14ac:dyDescent="0.35">
      <c r="A7" t="s">
        <v>50</v>
      </c>
      <c r="B7" t="s">
        <v>51</v>
      </c>
      <c r="C7" t="s">
        <v>52</v>
      </c>
      <c r="D7" t="s">
        <v>22</v>
      </c>
      <c r="E7" t="s">
        <v>41</v>
      </c>
      <c r="F7">
        <v>12</v>
      </c>
      <c r="G7">
        <v>0.73</v>
      </c>
      <c r="H7">
        <v>0.88</v>
      </c>
      <c r="I7" t="s">
        <v>34</v>
      </c>
      <c r="J7">
        <v>70066</v>
      </c>
      <c r="K7" t="s">
        <v>27</v>
      </c>
      <c r="L7">
        <v>19</v>
      </c>
      <c r="M7">
        <v>46</v>
      </c>
      <c r="N7" t="s">
        <v>42</v>
      </c>
      <c r="O7" t="s">
        <v>27</v>
      </c>
      <c r="P7">
        <v>4.58</v>
      </c>
      <c r="Q7" t="s">
        <v>24</v>
      </c>
      <c r="R7">
        <v>3.72</v>
      </c>
      <c r="S7" t="s">
        <v>47</v>
      </c>
      <c r="T7" t="str">
        <f t="shared" si="0"/>
        <v>High</v>
      </c>
      <c r="U7" t="str">
        <f t="shared" si="1"/>
        <v>Experienced</v>
      </c>
    </row>
    <row r="8" spans="1:21" x14ac:dyDescent="0.35">
      <c r="A8" t="s">
        <v>53</v>
      </c>
      <c r="B8" t="s">
        <v>54</v>
      </c>
      <c r="C8" t="s">
        <v>55</v>
      </c>
      <c r="D8" t="s">
        <v>32</v>
      </c>
      <c r="E8" t="s">
        <v>41</v>
      </c>
      <c r="F8">
        <v>20</v>
      </c>
      <c r="G8">
        <v>0.46</v>
      </c>
      <c r="H8">
        <v>0.95</v>
      </c>
      <c r="I8" t="s">
        <v>34</v>
      </c>
      <c r="J8">
        <v>218659</v>
      </c>
      <c r="K8" t="s">
        <v>27</v>
      </c>
      <c r="L8">
        <v>22</v>
      </c>
      <c r="M8">
        <v>49</v>
      </c>
      <c r="N8" t="s">
        <v>35</v>
      </c>
      <c r="O8" t="s">
        <v>25</v>
      </c>
      <c r="P8">
        <v>3.12</v>
      </c>
      <c r="Q8" t="s">
        <v>24</v>
      </c>
      <c r="R8">
        <v>3.16</v>
      </c>
      <c r="S8" t="s">
        <v>28</v>
      </c>
      <c r="T8" t="str">
        <f t="shared" si="0"/>
        <v>High</v>
      </c>
      <c r="U8" t="str">
        <f t="shared" si="1"/>
        <v>Expert</v>
      </c>
    </row>
    <row r="9" spans="1:21" x14ac:dyDescent="0.35">
      <c r="A9" t="s">
        <v>56</v>
      </c>
      <c r="B9" t="s">
        <v>57</v>
      </c>
      <c r="C9" t="s">
        <v>58</v>
      </c>
      <c r="D9" t="s">
        <v>59</v>
      </c>
      <c r="E9" t="s">
        <v>41</v>
      </c>
      <c r="F9">
        <v>2</v>
      </c>
      <c r="G9">
        <v>0.15</v>
      </c>
      <c r="H9">
        <v>0.49</v>
      </c>
      <c r="I9" t="s">
        <v>60</v>
      </c>
      <c r="J9">
        <v>110612</v>
      </c>
      <c r="K9" t="s">
        <v>42</v>
      </c>
      <c r="L9">
        <v>42</v>
      </c>
      <c r="M9">
        <v>32</v>
      </c>
      <c r="N9" t="s">
        <v>26</v>
      </c>
      <c r="O9" t="s">
        <v>25</v>
      </c>
      <c r="P9">
        <v>2.39</v>
      </c>
      <c r="Q9" t="s">
        <v>34</v>
      </c>
      <c r="R9">
        <v>4.79</v>
      </c>
      <c r="S9" t="s">
        <v>47</v>
      </c>
      <c r="T9" t="str">
        <f t="shared" si="0"/>
        <v>High</v>
      </c>
      <c r="U9" t="str">
        <f t="shared" si="1"/>
        <v>Beginner</v>
      </c>
    </row>
    <row r="10" spans="1:21" x14ac:dyDescent="0.35">
      <c r="A10" t="s">
        <v>61</v>
      </c>
      <c r="B10" t="s">
        <v>62</v>
      </c>
      <c r="C10" t="s">
        <v>52</v>
      </c>
      <c r="D10" t="s">
        <v>63</v>
      </c>
      <c r="E10" t="s">
        <v>23</v>
      </c>
      <c r="F10">
        <v>16</v>
      </c>
      <c r="G10">
        <v>0.73</v>
      </c>
      <c r="H10">
        <v>0.74</v>
      </c>
      <c r="I10" t="s">
        <v>34</v>
      </c>
      <c r="J10">
        <v>216895</v>
      </c>
      <c r="K10" t="s">
        <v>25</v>
      </c>
      <c r="L10">
        <v>5</v>
      </c>
      <c r="M10">
        <v>37</v>
      </c>
      <c r="N10" t="s">
        <v>35</v>
      </c>
      <c r="O10" t="s">
        <v>36</v>
      </c>
      <c r="P10">
        <v>2.06</v>
      </c>
      <c r="Q10" t="s">
        <v>24</v>
      </c>
      <c r="R10">
        <v>3.35</v>
      </c>
      <c r="S10" t="s">
        <v>47</v>
      </c>
      <c r="T10" t="str">
        <f t="shared" si="0"/>
        <v>High</v>
      </c>
      <c r="U10" t="str">
        <f t="shared" si="1"/>
        <v>Expert</v>
      </c>
    </row>
    <row r="11" spans="1:21" x14ac:dyDescent="0.35">
      <c r="A11" t="s">
        <v>64</v>
      </c>
      <c r="B11" t="s">
        <v>65</v>
      </c>
      <c r="C11" t="s">
        <v>39</v>
      </c>
      <c r="D11" t="s">
        <v>66</v>
      </c>
      <c r="E11" t="s">
        <v>23</v>
      </c>
      <c r="F11">
        <v>6</v>
      </c>
      <c r="G11">
        <v>0.86</v>
      </c>
      <c r="H11">
        <v>0.88</v>
      </c>
      <c r="I11" t="s">
        <v>60</v>
      </c>
      <c r="J11">
        <v>48574</v>
      </c>
      <c r="K11" t="s">
        <v>25</v>
      </c>
      <c r="L11">
        <v>36</v>
      </c>
      <c r="M11">
        <v>59</v>
      </c>
      <c r="N11" t="s">
        <v>26</v>
      </c>
      <c r="O11" t="s">
        <v>27</v>
      </c>
      <c r="P11">
        <v>3.42</v>
      </c>
      <c r="Q11" t="s">
        <v>34</v>
      </c>
      <c r="R11">
        <v>4.2300000000000004</v>
      </c>
      <c r="S11" t="s">
        <v>47</v>
      </c>
      <c r="T11" t="str">
        <f t="shared" si="0"/>
        <v>High</v>
      </c>
      <c r="U11" t="str">
        <f t="shared" si="1"/>
        <v>Intermediate</v>
      </c>
    </row>
    <row r="12" spans="1:21" x14ac:dyDescent="0.35">
      <c r="A12" t="s">
        <v>67</v>
      </c>
      <c r="B12" t="s">
        <v>68</v>
      </c>
      <c r="C12" t="s">
        <v>58</v>
      </c>
      <c r="D12" t="s">
        <v>69</v>
      </c>
      <c r="E12" t="s">
        <v>70</v>
      </c>
      <c r="F12">
        <v>25</v>
      </c>
      <c r="G12">
        <v>0.43</v>
      </c>
      <c r="H12">
        <v>0.56999999999999995</v>
      </c>
      <c r="I12" t="s">
        <v>24</v>
      </c>
      <c r="J12">
        <v>44200</v>
      </c>
      <c r="K12" t="s">
        <v>25</v>
      </c>
      <c r="L12">
        <v>2</v>
      </c>
      <c r="M12">
        <v>36</v>
      </c>
      <c r="N12" t="s">
        <v>26</v>
      </c>
      <c r="O12" t="s">
        <v>36</v>
      </c>
      <c r="P12">
        <v>2.42</v>
      </c>
      <c r="Q12" t="s">
        <v>24</v>
      </c>
      <c r="R12">
        <v>2.11</v>
      </c>
      <c r="S12" t="s">
        <v>47</v>
      </c>
      <c r="T12" t="str">
        <f t="shared" si="0"/>
        <v>High</v>
      </c>
      <c r="U12" t="str">
        <f t="shared" si="1"/>
        <v>Expert</v>
      </c>
    </row>
    <row r="13" spans="1:21" x14ac:dyDescent="0.35">
      <c r="A13" t="s">
        <v>71</v>
      </c>
      <c r="B13" t="s">
        <v>45</v>
      </c>
      <c r="C13" t="s">
        <v>39</v>
      </c>
      <c r="D13" t="s">
        <v>32</v>
      </c>
      <c r="E13" t="s">
        <v>23</v>
      </c>
      <c r="F13">
        <v>15</v>
      </c>
      <c r="G13">
        <v>0.64</v>
      </c>
      <c r="H13">
        <v>0.63</v>
      </c>
      <c r="I13" t="s">
        <v>34</v>
      </c>
      <c r="J13">
        <v>33868</v>
      </c>
      <c r="K13" t="s">
        <v>25</v>
      </c>
      <c r="L13">
        <v>45</v>
      </c>
      <c r="M13">
        <v>42</v>
      </c>
      <c r="N13" t="s">
        <v>35</v>
      </c>
      <c r="O13" t="s">
        <v>25</v>
      </c>
      <c r="P13">
        <v>3.14</v>
      </c>
      <c r="Q13" t="s">
        <v>34</v>
      </c>
      <c r="R13">
        <v>2.06</v>
      </c>
      <c r="S13" t="s">
        <v>43</v>
      </c>
      <c r="T13" t="str">
        <f t="shared" si="0"/>
        <v>Moderate</v>
      </c>
      <c r="U13" t="str">
        <f t="shared" si="1"/>
        <v>Experienced</v>
      </c>
    </row>
    <row r="14" spans="1:21" x14ac:dyDescent="0.35">
      <c r="A14" t="s">
        <v>72</v>
      </c>
      <c r="B14" t="s">
        <v>73</v>
      </c>
      <c r="C14" t="s">
        <v>74</v>
      </c>
      <c r="D14" t="s">
        <v>75</v>
      </c>
      <c r="E14" t="s">
        <v>41</v>
      </c>
      <c r="F14">
        <v>18</v>
      </c>
      <c r="G14">
        <v>0.25</v>
      </c>
      <c r="H14">
        <v>0.25</v>
      </c>
      <c r="I14" t="s">
        <v>34</v>
      </c>
      <c r="J14">
        <v>172133</v>
      </c>
      <c r="K14" t="s">
        <v>27</v>
      </c>
      <c r="L14">
        <v>44</v>
      </c>
      <c r="M14">
        <v>46</v>
      </c>
      <c r="N14" t="s">
        <v>35</v>
      </c>
      <c r="O14" t="s">
        <v>25</v>
      </c>
      <c r="P14">
        <v>4.88</v>
      </c>
      <c r="Q14" t="s">
        <v>24</v>
      </c>
      <c r="R14">
        <v>4.41</v>
      </c>
      <c r="S14" t="s">
        <v>47</v>
      </c>
      <c r="T14" t="str">
        <f t="shared" si="0"/>
        <v>Moderate</v>
      </c>
      <c r="U14" t="str">
        <f t="shared" si="1"/>
        <v>Expert</v>
      </c>
    </row>
    <row r="15" spans="1:21" x14ac:dyDescent="0.35">
      <c r="A15" t="s">
        <v>76</v>
      </c>
      <c r="B15" t="s">
        <v>77</v>
      </c>
      <c r="C15" t="s">
        <v>58</v>
      </c>
      <c r="D15" t="s">
        <v>22</v>
      </c>
      <c r="E15" t="s">
        <v>41</v>
      </c>
      <c r="F15">
        <v>13</v>
      </c>
      <c r="G15">
        <v>0.9</v>
      </c>
      <c r="H15">
        <v>0.65</v>
      </c>
      <c r="I15" t="s">
        <v>60</v>
      </c>
      <c r="J15">
        <v>181760</v>
      </c>
      <c r="K15" t="s">
        <v>27</v>
      </c>
      <c r="L15">
        <v>26</v>
      </c>
      <c r="M15">
        <v>46</v>
      </c>
      <c r="N15" t="s">
        <v>42</v>
      </c>
      <c r="O15" t="s">
        <v>36</v>
      </c>
      <c r="P15">
        <v>2.61</v>
      </c>
      <c r="Q15" t="s">
        <v>34</v>
      </c>
      <c r="R15">
        <v>1.95</v>
      </c>
      <c r="S15" t="s">
        <v>43</v>
      </c>
      <c r="T15" t="str">
        <f t="shared" si="0"/>
        <v>Moderate</v>
      </c>
      <c r="U15" t="str">
        <f t="shared" si="1"/>
        <v>Experienced</v>
      </c>
    </row>
    <row r="16" spans="1:21" x14ac:dyDescent="0.35">
      <c r="A16" t="s">
        <v>78</v>
      </c>
      <c r="B16" t="s">
        <v>77</v>
      </c>
      <c r="C16" t="s">
        <v>46</v>
      </c>
      <c r="D16" t="s">
        <v>40</v>
      </c>
      <c r="E16" t="s">
        <v>41</v>
      </c>
      <c r="F16">
        <v>17</v>
      </c>
      <c r="G16">
        <v>0.73</v>
      </c>
      <c r="H16">
        <v>0.26</v>
      </c>
      <c r="I16" t="s">
        <v>24</v>
      </c>
      <c r="J16">
        <v>150136</v>
      </c>
      <c r="K16" t="s">
        <v>27</v>
      </c>
      <c r="L16">
        <v>6</v>
      </c>
      <c r="M16">
        <v>34</v>
      </c>
      <c r="N16" t="s">
        <v>42</v>
      </c>
      <c r="O16" t="s">
        <v>25</v>
      </c>
      <c r="P16">
        <v>4.6399999999999997</v>
      </c>
      <c r="Q16" t="s">
        <v>34</v>
      </c>
      <c r="R16">
        <v>2.14</v>
      </c>
      <c r="S16" t="s">
        <v>43</v>
      </c>
      <c r="T16" t="str">
        <f t="shared" si="0"/>
        <v>Very Low</v>
      </c>
      <c r="U16" t="str">
        <f t="shared" si="1"/>
        <v>Expert</v>
      </c>
    </row>
    <row r="17" spans="1:21" x14ac:dyDescent="0.35">
      <c r="A17" t="s">
        <v>79</v>
      </c>
      <c r="B17" t="s">
        <v>68</v>
      </c>
      <c r="C17" t="s">
        <v>21</v>
      </c>
      <c r="D17" t="s">
        <v>80</v>
      </c>
      <c r="E17" t="s">
        <v>33</v>
      </c>
      <c r="F17">
        <v>8</v>
      </c>
      <c r="G17">
        <v>0.14000000000000001</v>
      </c>
      <c r="H17">
        <v>0.89</v>
      </c>
      <c r="I17" t="s">
        <v>34</v>
      </c>
      <c r="J17">
        <v>99328</v>
      </c>
      <c r="K17" t="s">
        <v>27</v>
      </c>
      <c r="L17">
        <v>3</v>
      </c>
      <c r="M17">
        <v>52</v>
      </c>
      <c r="N17" t="s">
        <v>42</v>
      </c>
      <c r="O17" t="s">
        <v>25</v>
      </c>
      <c r="P17">
        <v>4.0599999999999996</v>
      </c>
      <c r="Q17" t="s">
        <v>34</v>
      </c>
      <c r="R17">
        <v>3.02</v>
      </c>
      <c r="S17" t="s">
        <v>43</v>
      </c>
      <c r="T17" t="str">
        <f t="shared" si="0"/>
        <v>Very High</v>
      </c>
      <c r="U17" t="str">
        <f t="shared" si="1"/>
        <v>Intermediate</v>
      </c>
    </row>
    <row r="18" spans="1:21" x14ac:dyDescent="0.35">
      <c r="A18" t="s">
        <v>81</v>
      </c>
      <c r="B18" t="s">
        <v>54</v>
      </c>
      <c r="C18" t="s">
        <v>82</v>
      </c>
      <c r="D18" t="s">
        <v>49</v>
      </c>
      <c r="E18" t="s">
        <v>23</v>
      </c>
      <c r="F18">
        <v>17</v>
      </c>
      <c r="G18">
        <v>0.09</v>
      </c>
      <c r="H18">
        <v>0.46</v>
      </c>
      <c r="I18" t="s">
        <v>24</v>
      </c>
      <c r="J18">
        <v>64293</v>
      </c>
      <c r="K18" t="s">
        <v>25</v>
      </c>
      <c r="L18">
        <v>-6</v>
      </c>
      <c r="M18">
        <v>60</v>
      </c>
      <c r="N18" t="s">
        <v>26</v>
      </c>
      <c r="O18" t="s">
        <v>25</v>
      </c>
      <c r="P18">
        <v>3.64</v>
      </c>
      <c r="Q18" t="s">
        <v>34</v>
      </c>
      <c r="R18">
        <v>3.33</v>
      </c>
      <c r="S18" t="s">
        <v>47</v>
      </c>
      <c r="T18" t="str">
        <f t="shared" si="0"/>
        <v>High</v>
      </c>
      <c r="U18" t="str">
        <f t="shared" si="1"/>
        <v>Expert</v>
      </c>
    </row>
    <row r="19" spans="1:21" x14ac:dyDescent="0.35">
      <c r="A19" t="s">
        <v>83</v>
      </c>
      <c r="B19" t="s">
        <v>68</v>
      </c>
      <c r="C19" t="s">
        <v>74</v>
      </c>
      <c r="D19" t="s">
        <v>80</v>
      </c>
      <c r="E19" t="s">
        <v>23</v>
      </c>
      <c r="F19">
        <v>19</v>
      </c>
      <c r="G19">
        <v>0.86</v>
      </c>
      <c r="H19">
        <v>0.37</v>
      </c>
      <c r="I19" t="s">
        <v>60</v>
      </c>
      <c r="J19">
        <v>95412</v>
      </c>
      <c r="K19" t="s">
        <v>25</v>
      </c>
      <c r="L19">
        <v>5</v>
      </c>
      <c r="M19">
        <v>57</v>
      </c>
      <c r="N19" t="s">
        <v>35</v>
      </c>
      <c r="O19" t="s">
        <v>25</v>
      </c>
      <c r="P19">
        <v>4.6399999999999997</v>
      </c>
      <c r="Q19" t="s">
        <v>24</v>
      </c>
      <c r="R19">
        <v>1.72</v>
      </c>
      <c r="S19" t="s">
        <v>43</v>
      </c>
      <c r="T19" t="str">
        <f t="shared" si="0"/>
        <v>Very Low</v>
      </c>
      <c r="U19" t="str">
        <f t="shared" si="1"/>
        <v>Expert</v>
      </c>
    </row>
    <row r="20" spans="1:21" x14ac:dyDescent="0.35">
      <c r="A20" t="s">
        <v>84</v>
      </c>
      <c r="B20" t="s">
        <v>57</v>
      </c>
      <c r="C20" t="s">
        <v>39</v>
      </c>
      <c r="D20" t="s">
        <v>49</v>
      </c>
      <c r="E20" t="s">
        <v>70</v>
      </c>
      <c r="F20">
        <v>9</v>
      </c>
      <c r="G20">
        <v>0.39</v>
      </c>
      <c r="H20">
        <v>0.23</v>
      </c>
      <c r="I20" t="s">
        <v>24</v>
      </c>
      <c r="J20">
        <v>153388</v>
      </c>
      <c r="K20" t="s">
        <v>25</v>
      </c>
      <c r="L20">
        <v>-9</v>
      </c>
      <c r="M20">
        <v>51</v>
      </c>
      <c r="N20" t="s">
        <v>35</v>
      </c>
      <c r="O20" t="s">
        <v>36</v>
      </c>
      <c r="P20">
        <v>2.98</v>
      </c>
      <c r="Q20" t="s">
        <v>24</v>
      </c>
      <c r="R20">
        <v>4.87</v>
      </c>
      <c r="S20" t="s">
        <v>43</v>
      </c>
      <c r="T20" t="str">
        <f t="shared" si="0"/>
        <v>Moderate</v>
      </c>
      <c r="U20" t="str">
        <f t="shared" si="1"/>
        <v>Experienced</v>
      </c>
    </row>
    <row r="21" spans="1:21" x14ac:dyDescent="0.35">
      <c r="A21" t="s">
        <v>85</v>
      </c>
      <c r="B21" t="s">
        <v>54</v>
      </c>
      <c r="C21" t="s">
        <v>58</v>
      </c>
      <c r="D21" t="s">
        <v>40</v>
      </c>
      <c r="E21" t="s">
        <v>23</v>
      </c>
      <c r="F21">
        <v>11</v>
      </c>
      <c r="G21">
        <v>0.84</v>
      </c>
      <c r="H21">
        <v>0.41</v>
      </c>
      <c r="I21" t="s">
        <v>60</v>
      </c>
      <c r="J21">
        <v>182198</v>
      </c>
      <c r="K21" t="s">
        <v>42</v>
      </c>
      <c r="L21">
        <v>17</v>
      </c>
      <c r="M21">
        <v>49</v>
      </c>
      <c r="N21" t="s">
        <v>26</v>
      </c>
      <c r="O21" t="s">
        <v>25</v>
      </c>
      <c r="P21">
        <v>3.16</v>
      </c>
      <c r="Q21" t="s">
        <v>24</v>
      </c>
      <c r="R21">
        <v>2.02</v>
      </c>
      <c r="S21" t="s">
        <v>28</v>
      </c>
      <c r="T21" t="str">
        <f t="shared" si="0"/>
        <v>Very Low</v>
      </c>
      <c r="U21" t="str">
        <f t="shared" si="1"/>
        <v>Experienced</v>
      </c>
    </row>
    <row r="22" spans="1:21" x14ac:dyDescent="0.35">
      <c r="A22" t="s">
        <v>86</v>
      </c>
      <c r="B22" t="s">
        <v>30</v>
      </c>
      <c r="C22" t="s">
        <v>21</v>
      </c>
      <c r="D22" t="s">
        <v>66</v>
      </c>
      <c r="E22" t="s">
        <v>70</v>
      </c>
      <c r="F22">
        <v>21</v>
      </c>
      <c r="G22">
        <v>0.9</v>
      </c>
      <c r="H22">
        <v>0.93</v>
      </c>
      <c r="I22" t="s">
        <v>34</v>
      </c>
      <c r="J22">
        <v>193356</v>
      </c>
      <c r="K22" t="s">
        <v>42</v>
      </c>
      <c r="L22">
        <v>15</v>
      </c>
      <c r="M22">
        <v>52</v>
      </c>
      <c r="N22" t="s">
        <v>42</v>
      </c>
      <c r="O22" t="s">
        <v>27</v>
      </c>
      <c r="P22">
        <v>2.38</v>
      </c>
      <c r="Q22" t="s">
        <v>34</v>
      </c>
      <c r="R22">
        <v>3.66</v>
      </c>
      <c r="S22" t="s">
        <v>43</v>
      </c>
      <c r="T22" t="str">
        <f t="shared" si="0"/>
        <v>High</v>
      </c>
      <c r="U22" t="str">
        <f t="shared" si="1"/>
        <v>Expert</v>
      </c>
    </row>
    <row r="23" spans="1:21" x14ac:dyDescent="0.35">
      <c r="A23" t="s">
        <v>87</v>
      </c>
      <c r="B23" t="s">
        <v>77</v>
      </c>
      <c r="C23" t="s">
        <v>74</v>
      </c>
      <c r="D23" t="s">
        <v>49</v>
      </c>
      <c r="E23" t="s">
        <v>23</v>
      </c>
      <c r="F23">
        <v>14</v>
      </c>
      <c r="G23">
        <v>0.31</v>
      </c>
      <c r="H23">
        <v>0.54</v>
      </c>
      <c r="I23" t="s">
        <v>60</v>
      </c>
      <c r="J23">
        <v>182039</v>
      </c>
      <c r="K23" t="s">
        <v>25</v>
      </c>
      <c r="L23">
        <v>22</v>
      </c>
      <c r="M23">
        <v>45</v>
      </c>
      <c r="N23" t="s">
        <v>26</v>
      </c>
      <c r="O23" t="s">
        <v>25</v>
      </c>
      <c r="P23">
        <v>3.98</v>
      </c>
      <c r="Q23" t="s">
        <v>34</v>
      </c>
      <c r="R23">
        <v>3.06</v>
      </c>
      <c r="S23" t="s">
        <v>28</v>
      </c>
      <c r="T23" t="str">
        <f t="shared" si="0"/>
        <v>High</v>
      </c>
      <c r="U23" t="str">
        <f t="shared" si="1"/>
        <v>Experienced</v>
      </c>
    </row>
    <row r="24" spans="1:21" x14ac:dyDescent="0.35">
      <c r="A24" t="s">
        <v>88</v>
      </c>
      <c r="B24" t="s">
        <v>89</v>
      </c>
      <c r="C24" t="s">
        <v>46</v>
      </c>
      <c r="D24" t="s">
        <v>40</v>
      </c>
      <c r="E24" t="s">
        <v>23</v>
      </c>
      <c r="F24">
        <v>13</v>
      </c>
      <c r="G24">
        <v>0.23</v>
      </c>
      <c r="H24">
        <v>0.22</v>
      </c>
      <c r="I24" t="s">
        <v>60</v>
      </c>
      <c r="J24">
        <v>94184</v>
      </c>
      <c r="K24" t="s">
        <v>27</v>
      </c>
      <c r="L24">
        <v>2</v>
      </c>
      <c r="M24">
        <v>52</v>
      </c>
      <c r="N24" t="s">
        <v>26</v>
      </c>
      <c r="O24" t="s">
        <v>36</v>
      </c>
      <c r="P24">
        <v>3.48</v>
      </c>
      <c r="Q24" t="s">
        <v>24</v>
      </c>
      <c r="R24">
        <v>1.59</v>
      </c>
      <c r="S24" t="s">
        <v>28</v>
      </c>
      <c r="T24" t="str">
        <f t="shared" si="0"/>
        <v>Moderate</v>
      </c>
      <c r="U24" t="str">
        <f t="shared" si="1"/>
        <v>Experienced</v>
      </c>
    </row>
    <row r="25" spans="1:21" x14ac:dyDescent="0.35">
      <c r="A25" t="s">
        <v>90</v>
      </c>
      <c r="B25" t="s">
        <v>91</v>
      </c>
      <c r="C25" t="s">
        <v>58</v>
      </c>
      <c r="D25" t="s">
        <v>80</v>
      </c>
      <c r="E25" t="s">
        <v>33</v>
      </c>
      <c r="F25">
        <v>3</v>
      </c>
      <c r="G25">
        <v>0.21</v>
      </c>
      <c r="H25">
        <v>0.96</v>
      </c>
      <c r="I25" t="s">
        <v>34</v>
      </c>
      <c r="J25">
        <v>165779</v>
      </c>
      <c r="K25" t="s">
        <v>25</v>
      </c>
      <c r="L25">
        <v>41</v>
      </c>
      <c r="M25">
        <v>44</v>
      </c>
      <c r="N25" t="s">
        <v>26</v>
      </c>
      <c r="O25" t="s">
        <v>27</v>
      </c>
      <c r="P25">
        <v>4.96</v>
      </c>
      <c r="Q25" t="s">
        <v>34</v>
      </c>
      <c r="R25">
        <v>4.8</v>
      </c>
      <c r="S25" t="s">
        <v>43</v>
      </c>
      <c r="T25" t="str">
        <f t="shared" si="0"/>
        <v>Very High</v>
      </c>
      <c r="U25" t="str">
        <f t="shared" si="1"/>
        <v>Intermediate</v>
      </c>
    </row>
    <row r="26" spans="1:21" x14ac:dyDescent="0.35">
      <c r="A26" t="s">
        <v>92</v>
      </c>
      <c r="B26" t="s">
        <v>54</v>
      </c>
      <c r="C26" t="s">
        <v>55</v>
      </c>
      <c r="D26" t="s">
        <v>49</v>
      </c>
      <c r="E26" t="s">
        <v>33</v>
      </c>
      <c r="F26">
        <v>8</v>
      </c>
      <c r="G26">
        <v>0.46</v>
      </c>
      <c r="H26">
        <v>0.79</v>
      </c>
      <c r="I26" t="s">
        <v>34</v>
      </c>
      <c r="J26">
        <v>197159</v>
      </c>
      <c r="K26" t="s">
        <v>25</v>
      </c>
      <c r="L26">
        <v>35</v>
      </c>
      <c r="M26">
        <v>39</v>
      </c>
      <c r="N26" t="s">
        <v>35</v>
      </c>
      <c r="O26" t="s">
        <v>36</v>
      </c>
      <c r="P26">
        <v>3.01</v>
      </c>
      <c r="Q26" t="s">
        <v>24</v>
      </c>
      <c r="R26">
        <v>1.55</v>
      </c>
      <c r="S26" t="s">
        <v>47</v>
      </c>
      <c r="T26" t="str">
        <f t="shared" si="0"/>
        <v>High</v>
      </c>
      <c r="U26" t="str">
        <f t="shared" si="1"/>
        <v>Intermediate</v>
      </c>
    </row>
    <row r="27" spans="1:21" x14ac:dyDescent="0.35">
      <c r="A27" t="s">
        <v>93</v>
      </c>
      <c r="B27" t="s">
        <v>94</v>
      </c>
      <c r="C27" t="s">
        <v>52</v>
      </c>
      <c r="D27" t="s">
        <v>22</v>
      </c>
      <c r="E27" t="s">
        <v>41</v>
      </c>
      <c r="F27">
        <v>24</v>
      </c>
      <c r="G27">
        <v>0.54</v>
      </c>
      <c r="H27">
        <v>0.53</v>
      </c>
      <c r="I27" t="s">
        <v>60</v>
      </c>
      <c r="J27">
        <v>84220</v>
      </c>
      <c r="K27" t="s">
        <v>42</v>
      </c>
      <c r="L27">
        <v>20</v>
      </c>
      <c r="M27">
        <v>30</v>
      </c>
      <c r="N27" t="s">
        <v>42</v>
      </c>
      <c r="O27" t="s">
        <v>36</v>
      </c>
      <c r="P27">
        <v>4.26</v>
      </c>
      <c r="Q27" t="s">
        <v>34</v>
      </c>
      <c r="R27">
        <v>3.15</v>
      </c>
      <c r="S27" t="s">
        <v>28</v>
      </c>
      <c r="T27" t="str">
        <f t="shared" si="0"/>
        <v>Moderate</v>
      </c>
      <c r="U27" t="str">
        <f t="shared" si="1"/>
        <v>Expert</v>
      </c>
    </row>
    <row r="28" spans="1:21" x14ac:dyDescent="0.35">
      <c r="A28" t="s">
        <v>95</v>
      </c>
      <c r="B28" t="s">
        <v>96</v>
      </c>
      <c r="C28" t="s">
        <v>82</v>
      </c>
      <c r="D28" t="s">
        <v>49</v>
      </c>
      <c r="E28" t="s">
        <v>33</v>
      </c>
      <c r="F28">
        <v>19</v>
      </c>
      <c r="G28">
        <v>0.49</v>
      </c>
      <c r="H28">
        <v>0.51</v>
      </c>
      <c r="I28" t="s">
        <v>60</v>
      </c>
      <c r="J28">
        <v>205341</v>
      </c>
      <c r="K28" t="s">
        <v>25</v>
      </c>
      <c r="L28">
        <v>15</v>
      </c>
      <c r="M28">
        <v>48</v>
      </c>
      <c r="N28" t="s">
        <v>26</v>
      </c>
      <c r="O28" t="s">
        <v>27</v>
      </c>
      <c r="P28">
        <v>2.08</v>
      </c>
      <c r="Q28" t="s">
        <v>34</v>
      </c>
      <c r="R28">
        <v>1.54</v>
      </c>
      <c r="S28" t="s">
        <v>43</v>
      </c>
      <c r="T28" t="str">
        <f t="shared" si="0"/>
        <v>High</v>
      </c>
      <c r="U28" t="str">
        <f t="shared" si="1"/>
        <v>Expert</v>
      </c>
    </row>
    <row r="29" spans="1:21" x14ac:dyDescent="0.35">
      <c r="A29" t="s">
        <v>97</v>
      </c>
      <c r="B29" t="s">
        <v>54</v>
      </c>
      <c r="C29" t="s">
        <v>52</v>
      </c>
      <c r="D29" t="s">
        <v>66</v>
      </c>
      <c r="E29" t="s">
        <v>41</v>
      </c>
      <c r="F29">
        <v>15</v>
      </c>
      <c r="G29">
        <v>0.24</v>
      </c>
      <c r="H29">
        <v>0.46</v>
      </c>
      <c r="I29" t="s">
        <v>24</v>
      </c>
      <c r="J29">
        <v>129385</v>
      </c>
      <c r="K29" t="s">
        <v>27</v>
      </c>
      <c r="L29">
        <v>24</v>
      </c>
      <c r="M29">
        <v>31</v>
      </c>
      <c r="N29" t="s">
        <v>42</v>
      </c>
      <c r="O29" t="s">
        <v>25</v>
      </c>
      <c r="P29">
        <v>3.95</v>
      </c>
      <c r="Q29" t="s">
        <v>24</v>
      </c>
      <c r="R29">
        <v>4.0199999999999996</v>
      </c>
      <c r="S29" t="s">
        <v>47</v>
      </c>
      <c r="T29" t="str">
        <f t="shared" si="0"/>
        <v>High</v>
      </c>
      <c r="U29" t="str">
        <f t="shared" si="1"/>
        <v>Experienced</v>
      </c>
    </row>
    <row r="30" spans="1:21" x14ac:dyDescent="0.35">
      <c r="A30" t="s">
        <v>98</v>
      </c>
      <c r="B30" t="s">
        <v>91</v>
      </c>
      <c r="C30" t="s">
        <v>31</v>
      </c>
      <c r="D30" t="s">
        <v>63</v>
      </c>
      <c r="E30" t="s">
        <v>33</v>
      </c>
      <c r="F30">
        <v>19</v>
      </c>
      <c r="G30">
        <v>0.48</v>
      </c>
      <c r="H30">
        <v>0.28999999999999998</v>
      </c>
      <c r="I30" t="s">
        <v>60</v>
      </c>
      <c r="J30">
        <v>87138</v>
      </c>
      <c r="K30" t="s">
        <v>27</v>
      </c>
      <c r="L30">
        <v>35</v>
      </c>
      <c r="M30">
        <v>33</v>
      </c>
      <c r="N30" t="s">
        <v>35</v>
      </c>
      <c r="O30" t="s">
        <v>36</v>
      </c>
      <c r="P30">
        <v>2.3199999999999998</v>
      </c>
      <c r="Q30" t="s">
        <v>24</v>
      </c>
      <c r="R30">
        <v>4.72</v>
      </c>
      <c r="S30" t="s">
        <v>28</v>
      </c>
      <c r="T30" t="str">
        <f t="shared" si="0"/>
        <v>Moderate</v>
      </c>
      <c r="U30" t="str">
        <f t="shared" si="1"/>
        <v>Expert</v>
      </c>
    </row>
    <row r="31" spans="1:21" x14ac:dyDescent="0.35">
      <c r="A31" t="s">
        <v>99</v>
      </c>
      <c r="B31" t="s">
        <v>77</v>
      </c>
      <c r="C31" t="s">
        <v>21</v>
      </c>
      <c r="D31" t="s">
        <v>22</v>
      </c>
      <c r="E31" t="s">
        <v>41</v>
      </c>
      <c r="F31">
        <v>11</v>
      </c>
      <c r="G31">
        <v>0.27</v>
      </c>
      <c r="H31">
        <v>0.75</v>
      </c>
      <c r="I31" t="s">
        <v>60</v>
      </c>
      <c r="J31">
        <v>109058</v>
      </c>
      <c r="K31" t="s">
        <v>42</v>
      </c>
      <c r="L31">
        <v>32</v>
      </c>
      <c r="M31">
        <v>41</v>
      </c>
      <c r="N31" t="s">
        <v>35</v>
      </c>
      <c r="O31" t="s">
        <v>27</v>
      </c>
      <c r="P31">
        <v>3.94</v>
      </c>
      <c r="Q31" t="s">
        <v>24</v>
      </c>
      <c r="R31">
        <v>4.4000000000000004</v>
      </c>
      <c r="S31" t="s">
        <v>43</v>
      </c>
      <c r="T31" t="str">
        <f t="shared" si="0"/>
        <v>Very High</v>
      </c>
      <c r="U31" t="str">
        <f t="shared" si="1"/>
        <v>Experienced</v>
      </c>
    </row>
    <row r="32" spans="1:21" x14ac:dyDescent="0.35">
      <c r="A32" t="s">
        <v>100</v>
      </c>
      <c r="B32" t="s">
        <v>54</v>
      </c>
      <c r="C32" t="s">
        <v>46</v>
      </c>
      <c r="D32" t="s">
        <v>80</v>
      </c>
      <c r="E32" t="s">
        <v>23</v>
      </c>
      <c r="F32">
        <v>14</v>
      </c>
      <c r="G32">
        <v>0.69</v>
      </c>
      <c r="H32">
        <v>0.54</v>
      </c>
      <c r="I32" t="s">
        <v>34</v>
      </c>
      <c r="J32">
        <v>166772</v>
      </c>
      <c r="K32" t="s">
        <v>27</v>
      </c>
      <c r="L32">
        <v>27</v>
      </c>
      <c r="M32">
        <v>38</v>
      </c>
      <c r="N32" t="s">
        <v>42</v>
      </c>
      <c r="O32" t="s">
        <v>25</v>
      </c>
      <c r="P32">
        <v>4.49</v>
      </c>
      <c r="Q32" t="s">
        <v>24</v>
      </c>
      <c r="R32">
        <v>2.12</v>
      </c>
      <c r="S32" t="s">
        <v>43</v>
      </c>
      <c r="T32" t="str">
        <f t="shared" si="0"/>
        <v>Moderate</v>
      </c>
      <c r="U32" t="str">
        <f t="shared" si="1"/>
        <v>Experienced</v>
      </c>
    </row>
    <row r="33" spans="1:21" x14ac:dyDescent="0.35">
      <c r="A33" t="s">
        <v>101</v>
      </c>
      <c r="B33" t="s">
        <v>102</v>
      </c>
      <c r="C33" t="s">
        <v>74</v>
      </c>
      <c r="D33" t="s">
        <v>66</v>
      </c>
      <c r="E33" t="s">
        <v>70</v>
      </c>
      <c r="F33">
        <v>8</v>
      </c>
      <c r="G33">
        <v>0.49</v>
      </c>
      <c r="H33">
        <v>0.46</v>
      </c>
      <c r="I33" t="s">
        <v>60</v>
      </c>
      <c r="J33">
        <v>157808</v>
      </c>
      <c r="K33" t="s">
        <v>27</v>
      </c>
      <c r="L33">
        <v>7</v>
      </c>
      <c r="M33">
        <v>47</v>
      </c>
      <c r="N33" t="s">
        <v>35</v>
      </c>
      <c r="O33" t="s">
        <v>27</v>
      </c>
      <c r="P33">
        <v>4.84</v>
      </c>
      <c r="Q33" t="s">
        <v>24</v>
      </c>
      <c r="R33">
        <v>1.97</v>
      </c>
      <c r="S33" t="s">
        <v>43</v>
      </c>
      <c r="T33" t="str">
        <f t="shared" si="0"/>
        <v>Moderate</v>
      </c>
      <c r="U33" t="str">
        <f t="shared" si="1"/>
        <v>Intermediate</v>
      </c>
    </row>
    <row r="34" spans="1:21" x14ac:dyDescent="0.35">
      <c r="A34" t="s">
        <v>103</v>
      </c>
      <c r="B34" t="s">
        <v>57</v>
      </c>
      <c r="C34" t="s">
        <v>52</v>
      </c>
      <c r="D34" t="s">
        <v>59</v>
      </c>
      <c r="E34" t="s">
        <v>70</v>
      </c>
      <c r="F34">
        <v>21</v>
      </c>
      <c r="G34">
        <v>0.45</v>
      </c>
      <c r="H34">
        <v>0.21</v>
      </c>
      <c r="I34" t="s">
        <v>60</v>
      </c>
      <c r="J34">
        <v>107132</v>
      </c>
      <c r="K34" t="s">
        <v>42</v>
      </c>
      <c r="L34">
        <v>20</v>
      </c>
      <c r="M34">
        <v>47</v>
      </c>
      <c r="N34" t="s">
        <v>26</v>
      </c>
      <c r="O34" t="s">
        <v>36</v>
      </c>
      <c r="P34">
        <v>3.28</v>
      </c>
      <c r="Q34" t="s">
        <v>34</v>
      </c>
      <c r="R34">
        <v>2.41</v>
      </c>
      <c r="S34" t="s">
        <v>43</v>
      </c>
      <c r="T34" t="str">
        <f t="shared" si="0"/>
        <v>Moderate</v>
      </c>
      <c r="U34" t="str">
        <f t="shared" si="1"/>
        <v>Expert</v>
      </c>
    </row>
    <row r="35" spans="1:21" x14ac:dyDescent="0.35">
      <c r="A35" t="s">
        <v>104</v>
      </c>
      <c r="B35" t="s">
        <v>51</v>
      </c>
      <c r="C35" t="s">
        <v>39</v>
      </c>
      <c r="D35" t="s">
        <v>59</v>
      </c>
      <c r="E35" t="s">
        <v>23</v>
      </c>
      <c r="F35">
        <v>8</v>
      </c>
      <c r="G35">
        <v>0.22</v>
      </c>
      <c r="H35">
        <v>0.28999999999999998</v>
      </c>
      <c r="I35" t="s">
        <v>60</v>
      </c>
      <c r="J35">
        <v>170473</v>
      </c>
      <c r="K35" t="s">
        <v>27</v>
      </c>
      <c r="L35">
        <v>38</v>
      </c>
      <c r="M35">
        <v>46</v>
      </c>
      <c r="N35" t="s">
        <v>26</v>
      </c>
      <c r="O35" t="s">
        <v>36</v>
      </c>
      <c r="P35">
        <v>4.9400000000000004</v>
      </c>
      <c r="Q35" t="s">
        <v>24</v>
      </c>
      <c r="R35">
        <v>2.1800000000000002</v>
      </c>
      <c r="S35" t="s">
        <v>43</v>
      </c>
      <c r="T35" t="str">
        <f t="shared" si="0"/>
        <v>High</v>
      </c>
      <c r="U35" t="str">
        <f t="shared" si="1"/>
        <v>Intermediate</v>
      </c>
    </row>
    <row r="36" spans="1:21" x14ac:dyDescent="0.35">
      <c r="A36" t="s">
        <v>105</v>
      </c>
      <c r="B36" t="s">
        <v>106</v>
      </c>
      <c r="C36" t="s">
        <v>107</v>
      </c>
      <c r="D36" t="s">
        <v>40</v>
      </c>
      <c r="E36" t="s">
        <v>41</v>
      </c>
      <c r="F36">
        <v>18</v>
      </c>
      <c r="G36">
        <v>0.09</v>
      </c>
      <c r="H36">
        <v>0.24</v>
      </c>
      <c r="I36" t="s">
        <v>34</v>
      </c>
      <c r="J36">
        <v>106581</v>
      </c>
      <c r="K36" t="s">
        <v>42</v>
      </c>
      <c r="L36">
        <v>20</v>
      </c>
      <c r="M36">
        <v>44</v>
      </c>
      <c r="N36" t="s">
        <v>42</v>
      </c>
      <c r="O36" t="s">
        <v>25</v>
      </c>
      <c r="P36">
        <v>4.9000000000000004</v>
      </c>
      <c r="Q36" t="s">
        <v>34</v>
      </c>
      <c r="R36">
        <v>4.76</v>
      </c>
      <c r="S36" t="s">
        <v>43</v>
      </c>
      <c r="T36" t="str">
        <f t="shared" si="0"/>
        <v>High</v>
      </c>
      <c r="U36" t="str">
        <f t="shared" si="1"/>
        <v>Expert</v>
      </c>
    </row>
    <row r="37" spans="1:21" x14ac:dyDescent="0.35">
      <c r="A37" t="s">
        <v>108</v>
      </c>
      <c r="B37" t="s">
        <v>106</v>
      </c>
      <c r="C37" t="s">
        <v>82</v>
      </c>
      <c r="D37" t="s">
        <v>22</v>
      </c>
      <c r="E37" t="s">
        <v>70</v>
      </c>
      <c r="F37">
        <v>2</v>
      </c>
      <c r="G37">
        <v>0.12</v>
      </c>
      <c r="H37">
        <v>0.7</v>
      </c>
      <c r="I37" t="s">
        <v>24</v>
      </c>
      <c r="J37">
        <v>44053</v>
      </c>
      <c r="K37" t="s">
        <v>25</v>
      </c>
      <c r="L37">
        <v>25</v>
      </c>
      <c r="M37">
        <v>54</v>
      </c>
      <c r="N37" t="s">
        <v>42</v>
      </c>
      <c r="O37" t="s">
        <v>27</v>
      </c>
      <c r="P37">
        <v>3.79</v>
      </c>
      <c r="Q37" t="s">
        <v>24</v>
      </c>
      <c r="R37">
        <v>4.0999999999999996</v>
      </c>
      <c r="S37" t="s">
        <v>43</v>
      </c>
      <c r="T37" t="str">
        <f t="shared" si="0"/>
        <v>Very High</v>
      </c>
      <c r="U37" t="str">
        <f t="shared" si="1"/>
        <v>Beginner</v>
      </c>
    </row>
    <row r="38" spans="1:21" x14ac:dyDescent="0.35">
      <c r="A38" t="s">
        <v>109</v>
      </c>
      <c r="B38" t="s">
        <v>102</v>
      </c>
      <c r="C38" t="s">
        <v>39</v>
      </c>
      <c r="D38" t="s">
        <v>66</v>
      </c>
      <c r="E38" t="s">
        <v>41</v>
      </c>
      <c r="F38">
        <v>5</v>
      </c>
      <c r="G38">
        <v>0.1</v>
      </c>
      <c r="H38">
        <v>0.96</v>
      </c>
      <c r="I38" t="s">
        <v>24</v>
      </c>
      <c r="J38">
        <v>56013</v>
      </c>
      <c r="K38" t="s">
        <v>25</v>
      </c>
      <c r="L38">
        <v>25</v>
      </c>
      <c r="M38">
        <v>32</v>
      </c>
      <c r="N38" t="s">
        <v>35</v>
      </c>
      <c r="O38" t="s">
        <v>25</v>
      </c>
      <c r="P38">
        <v>3.23</v>
      </c>
      <c r="Q38" t="s">
        <v>34</v>
      </c>
      <c r="R38">
        <v>2.17</v>
      </c>
      <c r="S38" t="s">
        <v>47</v>
      </c>
      <c r="T38" t="str">
        <f t="shared" si="0"/>
        <v>Very High</v>
      </c>
      <c r="U38" t="str">
        <f t="shared" si="1"/>
        <v>Intermediate</v>
      </c>
    </row>
    <row r="39" spans="1:21" x14ac:dyDescent="0.35">
      <c r="A39" t="s">
        <v>110</v>
      </c>
      <c r="B39" t="s">
        <v>38</v>
      </c>
      <c r="C39" t="s">
        <v>39</v>
      </c>
      <c r="D39" t="s">
        <v>69</v>
      </c>
      <c r="E39" t="s">
        <v>41</v>
      </c>
      <c r="F39">
        <v>17</v>
      </c>
      <c r="G39">
        <v>0.88</v>
      </c>
      <c r="H39">
        <v>0.82</v>
      </c>
      <c r="I39" t="s">
        <v>24</v>
      </c>
      <c r="J39">
        <v>193855</v>
      </c>
      <c r="K39" t="s">
        <v>27</v>
      </c>
      <c r="L39">
        <v>-1</v>
      </c>
      <c r="M39">
        <v>59</v>
      </c>
      <c r="N39" t="s">
        <v>42</v>
      </c>
      <c r="O39" t="s">
        <v>25</v>
      </c>
      <c r="P39">
        <v>2.21</v>
      </c>
      <c r="Q39" t="s">
        <v>24</v>
      </c>
      <c r="R39">
        <v>4.17</v>
      </c>
      <c r="S39" t="s">
        <v>28</v>
      </c>
      <c r="T39" t="str">
        <f t="shared" si="0"/>
        <v>Moderate</v>
      </c>
      <c r="U39" t="str">
        <f t="shared" si="1"/>
        <v>Expert</v>
      </c>
    </row>
    <row r="40" spans="1:21" x14ac:dyDescent="0.35">
      <c r="A40" t="s">
        <v>111</v>
      </c>
      <c r="B40" t="s">
        <v>20</v>
      </c>
      <c r="C40" t="s">
        <v>107</v>
      </c>
      <c r="D40" t="s">
        <v>49</v>
      </c>
      <c r="E40" t="s">
        <v>41</v>
      </c>
      <c r="F40">
        <v>19</v>
      </c>
      <c r="G40">
        <v>0.68</v>
      </c>
      <c r="H40">
        <v>0.94</v>
      </c>
      <c r="I40" t="s">
        <v>24</v>
      </c>
      <c r="J40">
        <v>161195</v>
      </c>
      <c r="K40" t="s">
        <v>42</v>
      </c>
      <c r="L40">
        <v>37</v>
      </c>
      <c r="M40">
        <v>40</v>
      </c>
      <c r="N40" t="s">
        <v>26</v>
      </c>
      <c r="O40" t="s">
        <v>36</v>
      </c>
      <c r="P40">
        <v>2.08</v>
      </c>
      <c r="Q40" t="s">
        <v>24</v>
      </c>
      <c r="R40">
        <v>4.8499999999999996</v>
      </c>
      <c r="S40" t="s">
        <v>28</v>
      </c>
      <c r="T40" t="str">
        <f t="shared" si="0"/>
        <v>High</v>
      </c>
      <c r="U40" t="str">
        <f t="shared" si="1"/>
        <v>Expert</v>
      </c>
    </row>
    <row r="41" spans="1:21" x14ac:dyDescent="0.35">
      <c r="A41" t="s">
        <v>112</v>
      </c>
      <c r="B41" t="s">
        <v>51</v>
      </c>
      <c r="C41" t="s">
        <v>46</v>
      </c>
      <c r="D41" t="s">
        <v>69</v>
      </c>
      <c r="E41" t="s">
        <v>23</v>
      </c>
      <c r="F41">
        <v>2</v>
      </c>
      <c r="G41">
        <v>0.47</v>
      </c>
      <c r="H41">
        <v>0.71</v>
      </c>
      <c r="I41" t="s">
        <v>34</v>
      </c>
      <c r="J41">
        <v>102917</v>
      </c>
      <c r="K41" t="s">
        <v>42</v>
      </c>
      <c r="L41">
        <v>16</v>
      </c>
      <c r="M41">
        <v>40</v>
      </c>
      <c r="N41" t="s">
        <v>42</v>
      </c>
      <c r="O41" t="s">
        <v>27</v>
      </c>
      <c r="P41">
        <v>2.31</v>
      </c>
      <c r="Q41" t="s">
        <v>24</v>
      </c>
      <c r="R41">
        <v>2.3199999999999998</v>
      </c>
      <c r="S41" t="s">
        <v>28</v>
      </c>
      <c r="T41" t="str">
        <f t="shared" si="0"/>
        <v>High</v>
      </c>
      <c r="U41" t="str">
        <f t="shared" si="1"/>
        <v>Beginner</v>
      </c>
    </row>
    <row r="42" spans="1:21" x14ac:dyDescent="0.35">
      <c r="A42" t="s">
        <v>113</v>
      </c>
      <c r="B42" t="s">
        <v>65</v>
      </c>
      <c r="C42" t="s">
        <v>58</v>
      </c>
      <c r="D42" t="s">
        <v>80</v>
      </c>
      <c r="E42" t="s">
        <v>23</v>
      </c>
      <c r="F42">
        <v>13</v>
      </c>
      <c r="G42">
        <v>0.28000000000000003</v>
      </c>
      <c r="H42">
        <v>0.28999999999999998</v>
      </c>
      <c r="I42" t="s">
        <v>24</v>
      </c>
      <c r="J42">
        <v>135952</v>
      </c>
      <c r="K42" t="s">
        <v>25</v>
      </c>
      <c r="L42">
        <v>23</v>
      </c>
      <c r="M42">
        <v>41</v>
      </c>
      <c r="N42" t="s">
        <v>26</v>
      </c>
      <c r="O42" t="s">
        <v>36</v>
      </c>
      <c r="P42">
        <v>3.88</v>
      </c>
      <c r="Q42" t="s">
        <v>24</v>
      </c>
      <c r="R42">
        <v>1.81</v>
      </c>
      <c r="S42" t="s">
        <v>28</v>
      </c>
      <c r="T42" t="str">
        <f t="shared" si="0"/>
        <v>High</v>
      </c>
      <c r="U42" t="str">
        <f t="shared" si="1"/>
        <v>Experienced</v>
      </c>
    </row>
    <row r="43" spans="1:21" x14ac:dyDescent="0.35">
      <c r="A43" t="s">
        <v>114</v>
      </c>
      <c r="B43" t="s">
        <v>51</v>
      </c>
      <c r="C43" t="s">
        <v>31</v>
      </c>
      <c r="D43" t="s">
        <v>80</v>
      </c>
      <c r="E43" t="s">
        <v>41</v>
      </c>
      <c r="F43">
        <v>17</v>
      </c>
      <c r="G43">
        <v>0.08</v>
      </c>
      <c r="H43">
        <v>0.7</v>
      </c>
      <c r="I43" t="s">
        <v>34</v>
      </c>
      <c r="J43">
        <v>92730</v>
      </c>
      <c r="K43" t="s">
        <v>25</v>
      </c>
      <c r="L43">
        <v>4</v>
      </c>
      <c r="M43">
        <v>56</v>
      </c>
      <c r="N43" t="s">
        <v>35</v>
      </c>
      <c r="O43" t="s">
        <v>36</v>
      </c>
      <c r="P43">
        <v>4.84</v>
      </c>
      <c r="Q43" t="s">
        <v>24</v>
      </c>
      <c r="R43">
        <v>2.99</v>
      </c>
      <c r="S43" t="s">
        <v>28</v>
      </c>
      <c r="T43" t="str">
        <f t="shared" si="0"/>
        <v>Very High</v>
      </c>
      <c r="U43" t="str">
        <f t="shared" si="1"/>
        <v>Expert</v>
      </c>
    </row>
    <row r="44" spans="1:21" x14ac:dyDescent="0.35">
      <c r="A44" t="s">
        <v>115</v>
      </c>
      <c r="B44" t="s">
        <v>106</v>
      </c>
      <c r="C44" t="s">
        <v>52</v>
      </c>
      <c r="D44" t="s">
        <v>59</v>
      </c>
      <c r="E44" t="s">
        <v>33</v>
      </c>
      <c r="F44">
        <v>2</v>
      </c>
      <c r="G44">
        <v>0.93</v>
      </c>
      <c r="H44">
        <v>0.39</v>
      </c>
      <c r="I44" t="s">
        <v>34</v>
      </c>
      <c r="J44">
        <v>174510</v>
      </c>
      <c r="K44" t="s">
        <v>42</v>
      </c>
      <c r="L44">
        <v>11</v>
      </c>
      <c r="M44">
        <v>59</v>
      </c>
      <c r="N44" t="s">
        <v>26</v>
      </c>
      <c r="O44" t="s">
        <v>36</v>
      </c>
      <c r="P44">
        <v>4.46</v>
      </c>
      <c r="Q44" t="s">
        <v>34</v>
      </c>
      <c r="R44">
        <v>3.9</v>
      </c>
      <c r="S44" t="s">
        <v>28</v>
      </c>
      <c r="T44" t="str">
        <f t="shared" si="0"/>
        <v>Very Low</v>
      </c>
      <c r="U44" t="str">
        <f t="shared" si="1"/>
        <v>Beginner</v>
      </c>
    </row>
    <row r="45" spans="1:21" x14ac:dyDescent="0.35">
      <c r="A45" t="s">
        <v>116</v>
      </c>
      <c r="B45" t="s">
        <v>102</v>
      </c>
      <c r="C45" t="s">
        <v>39</v>
      </c>
      <c r="D45" t="s">
        <v>22</v>
      </c>
      <c r="E45" t="s">
        <v>23</v>
      </c>
      <c r="F45">
        <v>7</v>
      </c>
      <c r="G45">
        <v>0.74</v>
      </c>
      <c r="H45">
        <v>0.5</v>
      </c>
      <c r="I45" t="s">
        <v>34</v>
      </c>
      <c r="J45">
        <v>114352</v>
      </c>
      <c r="K45" t="s">
        <v>25</v>
      </c>
      <c r="L45">
        <v>10</v>
      </c>
      <c r="M45">
        <v>53</v>
      </c>
      <c r="N45" t="s">
        <v>42</v>
      </c>
      <c r="O45" t="s">
        <v>27</v>
      </c>
      <c r="P45">
        <v>4.74</v>
      </c>
      <c r="Q45" t="s">
        <v>34</v>
      </c>
      <c r="R45">
        <v>2.54</v>
      </c>
      <c r="S45" t="s">
        <v>28</v>
      </c>
      <c r="T45" t="str">
        <f t="shared" si="0"/>
        <v>Moderate</v>
      </c>
      <c r="U45" t="str">
        <f t="shared" si="1"/>
        <v>Intermediate</v>
      </c>
    </row>
    <row r="46" spans="1:21" x14ac:dyDescent="0.35">
      <c r="A46" t="s">
        <v>117</v>
      </c>
      <c r="B46" t="s">
        <v>91</v>
      </c>
      <c r="C46" t="s">
        <v>21</v>
      </c>
      <c r="D46" t="s">
        <v>80</v>
      </c>
      <c r="E46" t="s">
        <v>23</v>
      </c>
      <c r="F46">
        <v>0</v>
      </c>
      <c r="G46">
        <v>0.92</v>
      </c>
      <c r="H46">
        <v>0.46</v>
      </c>
      <c r="I46" t="s">
        <v>60</v>
      </c>
      <c r="J46">
        <v>56309</v>
      </c>
      <c r="K46" t="s">
        <v>25</v>
      </c>
      <c r="L46">
        <v>16</v>
      </c>
      <c r="M46">
        <v>57</v>
      </c>
      <c r="N46" t="s">
        <v>26</v>
      </c>
      <c r="O46" t="s">
        <v>25</v>
      </c>
      <c r="P46">
        <v>2.2200000000000002</v>
      </c>
      <c r="Q46" t="s">
        <v>34</v>
      </c>
      <c r="R46">
        <v>2.35</v>
      </c>
      <c r="S46" t="s">
        <v>28</v>
      </c>
      <c r="T46" t="str">
        <f t="shared" si="0"/>
        <v>Very Low</v>
      </c>
      <c r="U46" t="str">
        <f t="shared" si="1"/>
        <v>Beginner</v>
      </c>
    </row>
    <row r="47" spans="1:21" x14ac:dyDescent="0.35">
      <c r="A47" t="s">
        <v>118</v>
      </c>
      <c r="B47" t="s">
        <v>73</v>
      </c>
      <c r="C47" t="s">
        <v>46</v>
      </c>
      <c r="D47" t="s">
        <v>40</v>
      </c>
      <c r="E47" t="s">
        <v>33</v>
      </c>
      <c r="F47">
        <v>20</v>
      </c>
      <c r="G47">
        <v>0.85</v>
      </c>
      <c r="H47">
        <v>0.59</v>
      </c>
      <c r="I47" t="s">
        <v>60</v>
      </c>
      <c r="J47">
        <v>171824</v>
      </c>
      <c r="K47" t="s">
        <v>42</v>
      </c>
      <c r="L47">
        <v>4</v>
      </c>
      <c r="M47">
        <v>53</v>
      </c>
      <c r="N47" t="s">
        <v>35</v>
      </c>
      <c r="O47" t="s">
        <v>36</v>
      </c>
      <c r="P47">
        <v>4.9400000000000004</v>
      </c>
      <c r="Q47" t="s">
        <v>24</v>
      </c>
      <c r="R47">
        <v>2.77</v>
      </c>
      <c r="S47" t="s">
        <v>28</v>
      </c>
      <c r="T47" t="str">
        <f t="shared" si="0"/>
        <v>Moderate</v>
      </c>
      <c r="U47" t="str">
        <f t="shared" si="1"/>
        <v>Expert</v>
      </c>
    </row>
    <row r="48" spans="1:21" x14ac:dyDescent="0.35">
      <c r="A48" t="s">
        <v>119</v>
      </c>
      <c r="B48" t="s">
        <v>57</v>
      </c>
      <c r="C48" t="s">
        <v>55</v>
      </c>
      <c r="D48" t="s">
        <v>69</v>
      </c>
      <c r="E48" t="s">
        <v>33</v>
      </c>
      <c r="F48">
        <v>5</v>
      </c>
      <c r="G48">
        <v>0.31</v>
      </c>
      <c r="H48">
        <v>0.5</v>
      </c>
      <c r="I48" t="s">
        <v>24</v>
      </c>
      <c r="J48">
        <v>68160</v>
      </c>
      <c r="K48" t="s">
        <v>25</v>
      </c>
      <c r="L48">
        <v>29</v>
      </c>
      <c r="M48">
        <v>57</v>
      </c>
      <c r="N48" t="s">
        <v>42</v>
      </c>
      <c r="O48" t="s">
        <v>27</v>
      </c>
      <c r="P48">
        <v>4.05</v>
      </c>
      <c r="Q48" t="s">
        <v>34</v>
      </c>
      <c r="R48">
        <v>4.6500000000000004</v>
      </c>
      <c r="S48" t="s">
        <v>47</v>
      </c>
      <c r="T48" t="str">
        <f t="shared" si="0"/>
        <v>High</v>
      </c>
      <c r="U48" t="str">
        <f t="shared" si="1"/>
        <v>Intermediate</v>
      </c>
    </row>
    <row r="49" spans="1:21" x14ac:dyDescent="0.35">
      <c r="A49" t="s">
        <v>120</v>
      </c>
      <c r="B49" t="s">
        <v>62</v>
      </c>
      <c r="C49" t="s">
        <v>55</v>
      </c>
      <c r="D49" t="s">
        <v>32</v>
      </c>
      <c r="E49" t="s">
        <v>41</v>
      </c>
      <c r="F49">
        <v>14</v>
      </c>
      <c r="G49">
        <v>0.65</v>
      </c>
      <c r="H49">
        <v>0.91</v>
      </c>
      <c r="I49" t="s">
        <v>34</v>
      </c>
      <c r="J49">
        <v>151963</v>
      </c>
      <c r="K49" t="s">
        <v>27</v>
      </c>
      <c r="L49">
        <v>9</v>
      </c>
      <c r="M49">
        <v>50</v>
      </c>
      <c r="N49" t="s">
        <v>42</v>
      </c>
      <c r="O49" t="s">
        <v>27</v>
      </c>
      <c r="P49">
        <v>2.75</v>
      </c>
      <c r="Q49" t="s">
        <v>34</v>
      </c>
      <c r="R49">
        <v>1.8</v>
      </c>
      <c r="S49" t="s">
        <v>43</v>
      </c>
      <c r="T49" t="str">
        <f t="shared" si="0"/>
        <v>High</v>
      </c>
      <c r="U49" t="str">
        <f t="shared" si="1"/>
        <v>Experienced</v>
      </c>
    </row>
    <row r="50" spans="1:21" x14ac:dyDescent="0.35">
      <c r="A50" t="s">
        <v>121</v>
      </c>
      <c r="B50" t="s">
        <v>96</v>
      </c>
      <c r="C50" t="s">
        <v>31</v>
      </c>
      <c r="D50" t="s">
        <v>75</v>
      </c>
      <c r="E50" t="s">
        <v>41</v>
      </c>
      <c r="F50">
        <v>19</v>
      </c>
      <c r="G50">
        <v>0.32</v>
      </c>
      <c r="H50">
        <v>0.75</v>
      </c>
      <c r="I50" t="s">
        <v>60</v>
      </c>
      <c r="J50">
        <v>35751</v>
      </c>
      <c r="K50" t="s">
        <v>42</v>
      </c>
      <c r="L50">
        <v>43</v>
      </c>
      <c r="M50">
        <v>58</v>
      </c>
      <c r="N50" t="s">
        <v>42</v>
      </c>
      <c r="O50" t="s">
        <v>25</v>
      </c>
      <c r="P50">
        <v>3.82</v>
      </c>
      <c r="Q50" t="s">
        <v>34</v>
      </c>
      <c r="R50">
        <v>1.88</v>
      </c>
      <c r="S50" t="s">
        <v>47</v>
      </c>
      <c r="T50" t="str">
        <f t="shared" si="0"/>
        <v>Very High</v>
      </c>
      <c r="U50" t="str">
        <f t="shared" si="1"/>
        <v>Expert</v>
      </c>
    </row>
    <row r="51" spans="1:21" x14ac:dyDescent="0.35">
      <c r="A51" t="s">
        <v>122</v>
      </c>
      <c r="B51" t="s">
        <v>45</v>
      </c>
      <c r="C51" t="s">
        <v>31</v>
      </c>
      <c r="D51" t="s">
        <v>63</v>
      </c>
      <c r="E51" t="s">
        <v>23</v>
      </c>
      <c r="F51">
        <v>5</v>
      </c>
      <c r="G51">
        <v>0.45</v>
      </c>
      <c r="H51">
        <v>0.66</v>
      </c>
      <c r="I51" t="s">
        <v>24</v>
      </c>
      <c r="J51">
        <v>64448</v>
      </c>
      <c r="K51" t="s">
        <v>25</v>
      </c>
      <c r="L51">
        <v>40</v>
      </c>
      <c r="M51">
        <v>47</v>
      </c>
      <c r="N51" t="s">
        <v>42</v>
      </c>
      <c r="O51" t="s">
        <v>27</v>
      </c>
      <c r="P51">
        <v>3.51</v>
      </c>
      <c r="Q51" t="s">
        <v>34</v>
      </c>
      <c r="R51">
        <v>4.32</v>
      </c>
      <c r="S51" t="s">
        <v>43</v>
      </c>
      <c r="T51" t="str">
        <f t="shared" si="0"/>
        <v>High</v>
      </c>
      <c r="U51" t="str">
        <f t="shared" si="1"/>
        <v>Intermediate</v>
      </c>
    </row>
    <row r="52" spans="1:21" x14ac:dyDescent="0.35">
      <c r="A52" t="s">
        <v>123</v>
      </c>
      <c r="B52" t="s">
        <v>96</v>
      </c>
      <c r="C52" t="s">
        <v>55</v>
      </c>
      <c r="D52" t="s">
        <v>63</v>
      </c>
      <c r="E52" t="s">
        <v>41</v>
      </c>
      <c r="F52">
        <v>25</v>
      </c>
      <c r="G52">
        <v>0.73</v>
      </c>
      <c r="H52">
        <v>0.38</v>
      </c>
      <c r="I52" t="s">
        <v>34</v>
      </c>
      <c r="J52">
        <v>207294</v>
      </c>
      <c r="K52" t="s">
        <v>25</v>
      </c>
      <c r="L52">
        <v>6</v>
      </c>
      <c r="M52">
        <v>47</v>
      </c>
      <c r="N52" t="s">
        <v>35</v>
      </c>
      <c r="O52" t="s">
        <v>36</v>
      </c>
      <c r="P52">
        <v>3.11</v>
      </c>
      <c r="Q52" t="s">
        <v>34</v>
      </c>
      <c r="R52">
        <v>3.34</v>
      </c>
      <c r="S52" t="s">
        <v>28</v>
      </c>
      <c r="T52" t="str">
        <f t="shared" si="0"/>
        <v>Very Low</v>
      </c>
      <c r="U52" t="str">
        <f t="shared" si="1"/>
        <v>Expert</v>
      </c>
    </row>
    <row r="53" spans="1:21" x14ac:dyDescent="0.35">
      <c r="A53" t="s">
        <v>124</v>
      </c>
      <c r="B53" t="s">
        <v>57</v>
      </c>
      <c r="C53" t="s">
        <v>21</v>
      </c>
      <c r="D53" t="s">
        <v>49</v>
      </c>
      <c r="E53" t="s">
        <v>70</v>
      </c>
      <c r="F53">
        <v>20</v>
      </c>
      <c r="G53">
        <v>0.85</v>
      </c>
      <c r="H53">
        <v>0.64</v>
      </c>
      <c r="I53" t="s">
        <v>34</v>
      </c>
      <c r="J53">
        <v>189929</v>
      </c>
      <c r="K53" t="s">
        <v>25</v>
      </c>
      <c r="L53">
        <v>-2</v>
      </c>
      <c r="M53">
        <v>31</v>
      </c>
      <c r="N53" t="s">
        <v>35</v>
      </c>
      <c r="O53" t="s">
        <v>36</v>
      </c>
      <c r="P53">
        <v>4.99</v>
      </c>
      <c r="Q53" t="s">
        <v>24</v>
      </c>
      <c r="R53">
        <v>1.39</v>
      </c>
      <c r="S53" t="s">
        <v>28</v>
      </c>
      <c r="T53" t="str">
        <f t="shared" si="0"/>
        <v>Moderate</v>
      </c>
      <c r="U53" t="str">
        <f t="shared" si="1"/>
        <v>Expert</v>
      </c>
    </row>
    <row r="54" spans="1:21" x14ac:dyDescent="0.35">
      <c r="A54" t="s">
        <v>125</v>
      </c>
      <c r="B54" t="s">
        <v>94</v>
      </c>
      <c r="C54" t="s">
        <v>46</v>
      </c>
      <c r="D54" t="s">
        <v>32</v>
      </c>
      <c r="E54" t="s">
        <v>23</v>
      </c>
      <c r="F54">
        <v>20</v>
      </c>
      <c r="G54">
        <v>0.9</v>
      </c>
      <c r="H54">
        <v>0.75</v>
      </c>
      <c r="I54" t="s">
        <v>24</v>
      </c>
      <c r="J54">
        <v>171608</v>
      </c>
      <c r="K54" t="s">
        <v>42</v>
      </c>
      <c r="L54">
        <v>29</v>
      </c>
      <c r="M54">
        <v>43</v>
      </c>
      <c r="N54" t="s">
        <v>42</v>
      </c>
      <c r="O54" t="s">
        <v>25</v>
      </c>
      <c r="P54">
        <v>4.07</v>
      </c>
      <c r="Q54" t="s">
        <v>24</v>
      </c>
      <c r="R54">
        <v>2.77</v>
      </c>
      <c r="S54" t="s">
        <v>47</v>
      </c>
      <c r="T54" t="str">
        <f t="shared" si="0"/>
        <v>Moderate</v>
      </c>
      <c r="U54" t="str">
        <f t="shared" si="1"/>
        <v>Expert</v>
      </c>
    </row>
    <row r="55" spans="1:21" x14ac:dyDescent="0.35">
      <c r="A55" t="s">
        <v>126</v>
      </c>
      <c r="B55" t="s">
        <v>45</v>
      </c>
      <c r="C55" t="s">
        <v>39</v>
      </c>
      <c r="D55" t="s">
        <v>22</v>
      </c>
      <c r="E55" t="s">
        <v>41</v>
      </c>
      <c r="F55">
        <v>1</v>
      </c>
      <c r="G55">
        <v>0.3</v>
      </c>
      <c r="H55">
        <v>0.96</v>
      </c>
      <c r="I55" t="s">
        <v>34</v>
      </c>
      <c r="J55">
        <v>149201</v>
      </c>
      <c r="K55" t="s">
        <v>25</v>
      </c>
      <c r="L55">
        <v>-2</v>
      </c>
      <c r="M55">
        <v>55</v>
      </c>
      <c r="N55" t="s">
        <v>26</v>
      </c>
      <c r="O55" t="s">
        <v>25</v>
      </c>
      <c r="P55">
        <v>2.21</v>
      </c>
      <c r="Q55" t="s">
        <v>24</v>
      </c>
      <c r="R55">
        <v>3.35</v>
      </c>
      <c r="S55" t="s">
        <v>47</v>
      </c>
      <c r="T55" t="str">
        <f t="shared" si="0"/>
        <v>Very High</v>
      </c>
      <c r="U55" t="str">
        <f t="shared" si="1"/>
        <v>Beginner</v>
      </c>
    </row>
    <row r="56" spans="1:21" x14ac:dyDescent="0.35">
      <c r="A56" t="s">
        <v>127</v>
      </c>
      <c r="B56" t="s">
        <v>68</v>
      </c>
      <c r="C56" t="s">
        <v>58</v>
      </c>
      <c r="D56" t="s">
        <v>32</v>
      </c>
      <c r="E56" t="s">
        <v>41</v>
      </c>
      <c r="F56">
        <v>11</v>
      </c>
      <c r="G56">
        <v>0.94</v>
      </c>
      <c r="H56">
        <v>0.63</v>
      </c>
      <c r="I56" t="s">
        <v>24</v>
      </c>
      <c r="J56">
        <v>75743</v>
      </c>
      <c r="K56" t="s">
        <v>27</v>
      </c>
      <c r="L56">
        <v>10</v>
      </c>
      <c r="M56">
        <v>30</v>
      </c>
      <c r="N56" t="s">
        <v>35</v>
      </c>
      <c r="O56" t="s">
        <v>36</v>
      </c>
      <c r="P56">
        <v>2.16</v>
      </c>
      <c r="Q56" t="s">
        <v>34</v>
      </c>
      <c r="R56">
        <v>3.1</v>
      </c>
      <c r="S56" t="s">
        <v>28</v>
      </c>
      <c r="T56" t="str">
        <f t="shared" si="0"/>
        <v>Moderate</v>
      </c>
      <c r="U56" t="str">
        <f t="shared" si="1"/>
        <v>Experienced</v>
      </c>
    </row>
    <row r="57" spans="1:21" x14ac:dyDescent="0.35">
      <c r="A57" t="s">
        <v>128</v>
      </c>
      <c r="B57" t="s">
        <v>57</v>
      </c>
      <c r="C57" t="s">
        <v>46</v>
      </c>
      <c r="D57" t="s">
        <v>75</v>
      </c>
      <c r="E57" t="s">
        <v>70</v>
      </c>
      <c r="F57">
        <v>14</v>
      </c>
      <c r="G57">
        <v>0.51</v>
      </c>
      <c r="H57">
        <v>0.28999999999999998</v>
      </c>
      <c r="I57" t="s">
        <v>60</v>
      </c>
      <c r="J57">
        <v>162078</v>
      </c>
      <c r="K57" t="s">
        <v>25</v>
      </c>
      <c r="L57">
        <v>-7</v>
      </c>
      <c r="M57">
        <v>45</v>
      </c>
      <c r="N57" t="s">
        <v>42</v>
      </c>
      <c r="O57" t="s">
        <v>36</v>
      </c>
      <c r="P57">
        <v>4.0599999999999996</v>
      </c>
      <c r="Q57" t="s">
        <v>34</v>
      </c>
      <c r="R57">
        <v>3.85</v>
      </c>
      <c r="S57" t="s">
        <v>43</v>
      </c>
      <c r="T57" t="str">
        <f t="shared" si="0"/>
        <v>Moderate</v>
      </c>
      <c r="U57" t="str">
        <f t="shared" si="1"/>
        <v>Experienced</v>
      </c>
    </row>
    <row r="58" spans="1:21" x14ac:dyDescent="0.35">
      <c r="A58" t="s">
        <v>129</v>
      </c>
      <c r="B58" t="s">
        <v>38</v>
      </c>
      <c r="C58" t="s">
        <v>55</v>
      </c>
      <c r="D58" t="s">
        <v>63</v>
      </c>
      <c r="E58" t="s">
        <v>23</v>
      </c>
      <c r="F58">
        <v>19</v>
      </c>
      <c r="G58">
        <v>0.11</v>
      </c>
      <c r="H58">
        <v>0.42</v>
      </c>
      <c r="I58" t="s">
        <v>60</v>
      </c>
      <c r="J58">
        <v>195957</v>
      </c>
      <c r="K58" t="s">
        <v>42</v>
      </c>
      <c r="L58">
        <v>19</v>
      </c>
      <c r="M58">
        <v>46</v>
      </c>
      <c r="N58" t="s">
        <v>26</v>
      </c>
      <c r="O58" t="s">
        <v>36</v>
      </c>
      <c r="P58">
        <v>2.2999999999999998</v>
      </c>
      <c r="Q58" t="s">
        <v>24</v>
      </c>
      <c r="R58">
        <v>4.41</v>
      </c>
      <c r="S58" t="s">
        <v>28</v>
      </c>
      <c r="T58" t="str">
        <f t="shared" si="0"/>
        <v>High</v>
      </c>
      <c r="U58" t="str">
        <f t="shared" si="1"/>
        <v>Expert</v>
      </c>
    </row>
    <row r="59" spans="1:21" x14ac:dyDescent="0.35">
      <c r="A59" t="s">
        <v>130</v>
      </c>
      <c r="B59" t="s">
        <v>68</v>
      </c>
      <c r="C59" t="s">
        <v>74</v>
      </c>
      <c r="D59" t="s">
        <v>69</v>
      </c>
      <c r="E59" t="s">
        <v>70</v>
      </c>
      <c r="F59">
        <v>21</v>
      </c>
      <c r="G59">
        <v>0.36</v>
      </c>
      <c r="H59">
        <v>0.56000000000000005</v>
      </c>
      <c r="I59" t="s">
        <v>34</v>
      </c>
      <c r="J59">
        <v>139049</v>
      </c>
      <c r="K59" t="s">
        <v>42</v>
      </c>
      <c r="L59">
        <v>-1</v>
      </c>
      <c r="M59">
        <v>51</v>
      </c>
      <c r="N59" t="s">
        <v>42</v>
      </c>
      <c r="O59" t="s">
        <v>25</v>
      </c>
      <c r="P59">
        <v>2.27</v>
      </c>
      <c r="Q59" t="s">
        <v>24</v>
      </c>
      <c r="R59">
        <v>1.37</v>
      </c>
      <c r="S59" t="s">
        <v>47</v>
      </c>
      <c r="T59" t="str">
        <f t="shared" si="0"/>
        <v>High</v>
      </c>
      <c r="U59" t="str">
        <f t="shared" si="1"/>
        <v>Expert</v>
      </c>
    </row>
    <row r="60" spans="1:21" x14ac:dyDescent="0.35">
      <c r="A60" t="s">
        <v>131</v>
      </c>
      <c r="B60" t="s">
        <v>73</v>
      </c>
      <c r="C60" t="s">
        <v>31</v>
      </c>
      <c r="D60" t="s">
        <v>22</v>
      </c>
      <c r="E60" t="s">
        <v>70</v>
      </c>
      <c r="F60">
        <v>11</v>
      </c>
      <c r="G60">
        <v>0.42</v>
      </c>
      <c r="H60">
        <v>0.89</v>
      </c>
      <c r="I60" t="s">
        <v>24</v>
      </c>
      <c r="J60">
        <v>140870</v>
      </c>
      <c r="K60" t="s">
        <v>27</v>
      </c>
      <c r="L60">
        <v>22</v>
      </c>
      <c r="M60">
        <v>36</v>
      </c>
      <c r="N60" t="s">
        <v>35</v>
      </c>
      <c r="O60" t="s">
        <v>27</v>
      </c>
      <c r="P60">
        <v>3.45</v>
      </c>
      <c r="Q60" t="s">
        <v>24</v>
      </c>
      <c r="R60">
        <v>2.4</v>
      </c>
      <c r="S60" t="s">
        <v>28</v>
      </c>
      <c r="T60" t="str">
        <f t="shared" si="0"/>
        <v>High</v>
      </c>
      <c r="U60" t="str">
        <f t="shared" si="1"/>
        <v>Experienced</v>
      </c>
    </row>
    <row r="61" spans="1:21" x14ac:dyDescent="0.35">
      <c r="A61" t="s">
        <v>132</v>
      </c>
      <c r="B61" t="s">
        <v>77</v>
      </c>
      <c r="C61" t="s">
        <v>55</v>
      </c>
      <c r="D61" t="s">
        <v>75</v>
      </c>
      <c r="E61" t="s">
        <v>70</v>
      </c>
      <c r="F61">
        <v>0</v>
      </c>
      <c r="G61">
        <v>0.81</v>
      </c>
      <c r="H61">
        <v>0.97</v>
      </c>
      <c r="I61" t="s">
        <v>24</v>
      </c>
      <c r="J61">
        <v>192981</v>
      </c>
      <c r="K61" t="s">
        <v>42</v>
      </c>
      <c r="L61">
        <v>34</v>
      </c>
      <c r="M61">
        <v>54</v>
      </c>
      <c r="N61" t="s">
        <v>42</v>
      </c>
      <c r="O61" t="s">
        <v>36</v>
      </c>
      <c r="P61">
        <v>3.05</v>
      </c>
      <c r="Q61" t="s">
        <v>24</v>
      </c>
      <c r="R61">
        <v>4.4800000000000004</v>
      </c>
      <c r="S61" t="s">
        <v>28</v>
      </c>
      <c r="T61" t="str">
        <f t="shared" si="0"/>
        <v>High</v>
      </c>
      <c r="U61" t="str">
        <f t="shared" si="1"/>
        <v>Beginner</v>
      </c>
    </row>
    <row r="62" spans="1:21" x14ac:dyDescent="0.35">
      <c r="A62" t="s">
        <v>133</v>
      </c>
      <c r="B62" t="s">
        <v>51</v>
      </c>
      <c r="C62" t="s">
        <v>74</v>
      </c>
      <c r="D62" t="s">
        <v>66</v>
      </c>
      <c r="E62" t="s">
        <v>70</v>
      </c>
      <c r="F62">
        <v>24</v>
      </c>
      <c r="G62">
        <v>0.24</v>
      </c>
      <c r="H62">
        <v>0.53</v>
      </c>
      <c r="I62" t="s">
        <v>60</v>
      </c>
      <c r="J62">
        <v>119363</v>
      </c>
      <c r="K62" t="s">
        <v>27</v>
      </c>
      <c r="L62">
        <v>-5</v>
      </c>
      <c r="M62">
        <v>58</v>
      </c>
      <c r="N62" t="s">
        <v>35</v>
      </c>
      <c r="O62" t="s">
        <v>25</v>
      </c>
      <c r="P62">
        <v>2.4700000000000002</v>
      </c>
      <c r="Q62" t="s">
        <v>24</v>
      </c>
      <c r="R62">
        <v>3.7</v>
      </c>
      <c r="S62" t="s">
        <v>43</v>
      </c>
      <c r="T62" t="str">
        <f t="shared" si="0"/>
        <v>High</v>
      </c>
      <c r="U62" t="str">
        <f t="shared" si="1"/>
        <v>Expert</v>
      </c>
    </row>
    <row r="63" spans="1:21" x14ac:dyDescent="0.35">
      <c r="A63" t="s">
        <v>134</v>
      </c>
      <c r="B63" t="s">
        <v>68</v>
      </c>
      <c r="C63" t="s">
        <v>31</v>
      </c>
      <c r="D63" t="s">
        <v>22</v>
      </c>
      <c r="E63" t="s">
        <v>23</v>
      </c>
      <c r="F63">
        <v>16</v>
      </c>
      <c r="G63">
        <v>0.73</v>
      </c>
      <c r="H63">
        <v>0.28999999999999998</v>
      </c>
      <c r="I63" t="s">
        <v>60</v>
      </c>
      <c r="J63">
        <v>142699</v>
      </c>
      <c r="K63" t="s">
        <v>42</v>
      </c>
      <c r="L63">
        <v>-8</v>
      </c>
      <c r="M63">
        <v>37</v>
      </c>
      <c r="N63" t="s">
        <v>42</v>
      </c>
      <c r="O63" t="s">
        <v>27</v>
      </c>
      <c r="P63">
        <v>2.16</v>
      </c>
      <c r="Q63" t="s">
        <v>24</v>
      </c>
      <c r="R63">
        <v>2.21</v>
      </c>
      <c r="S63" t="s">
        <v>47</v>
      </c>
      <c r="T63" t="str">
        <f t="shared" si="0"/>
        <v>Very Low</v>
      </c>
      <c r="U63" t="str">
        <f t="shared" si="1"/>
        <v>Expert</v>
      </c>
    </row>
    <row r="64" spans="1:21" x14ac:dyDescent="0.35">
      <c r="A64" t="s">
        <v>135</v>
      </c>
      <c r="B64" t="s">
        <v>106</v>
      </c>
      <c r="C64" t="s">
        <v>52</v>
      </c>
      <c r="D64" t="s">
        <v>80</v>
      </c>
      <c r="E64" t="s">
        <v>33</v>
      </c>
      <c r="F64">
        <v>16</v>
      </c>
      <c r="G64">
        <v>0.06</v>
      </c>
      <c r="H64">
        <v>0.79</v>
      </c>
      <c r="I64" t="s">
        <v>60</v>
      </c>
      <c r="J64">
        <v>76057</v>
      </c>
      <c r="K64" t="s">
        <v>27</v>
      </c>
      <c r="L64">
        <v>41</v>
      </c>
      <c r="M64">
        <v>41</v>
      </c>
      <c r="N64" t="s">
        <v>35</v>
      </c>
      <c r="O64" t="s">
        <v>36</v>
      </c>
      <c r="P64">
        <v>4.59</v>
      </c>
      <c r="Q64" t="s">
        <v>24</v>
      </c>
      <c r="R64">
        <v>2.74</v>
      </c>
      <c r="S64" t="s">
        <v>43</v>
      </c>
      <c r="T64" t="str">
        <f t="shared" si="0"/>
        <v>Very High</v>
      </c>
      <c r="U64" t="str">
        <f t="shared" si="1"/>
        <v>Expert</v>
      </c>
    </row>
    <row r="65" spans="1:21" x14ac:dyDescent="0.35">
      <c r="A65" t="s">
        <v>136</v>
      </c>
      <c r="B65" t="s">
        <v>96</v>
      </c>
      <c r="C65" t="s">
        <v>58</v>
      </c>
      <c r="D65" t="s">
        <v>63</v>
      </c>
      <c r="E65" t="s">
        <v>33</v>
      </c>
      <c r="F65">
        <v>25</v>
      </c>
      <c r="G65">
        <v>0.69</v>
      </c>
      <c r="H65">
        <v>0.53</v>
      </c>
      <c r="I65" t="s">
        <v>60</v>
      </c>
      <c r="J65">
        <v>60192</v>
      </c>
      <c r="K65" t="s">
        <v>42</v>
      </c>
      <c r="L65">
        <v>43</v>
      </c>
      <c r="M65">
        <v>52</v>
      </c>
      <c r="N65" t="s">
        <v>42</v>
      </c>
      <c r="O65" t="s">
        <v>25</v>
      </c>
      <c r="P65">
        <v>3.31</v>
      </c>
      <c r="Q65" t="s">
        <v>24</v>
      </c>
      <c r="R65">
        <v>1.97</v>
      </c>
      <c r="S65" t="s">
        <v>28</v>
      </c>
      <c r="T65" t="str">
        <f t="shared" si="0"/>
        <v>Moderate</v>
      </c>
      <c r="U65" t="str">
        <f t="shared" si="1"/>
        <v>Expert</v>
      </c>
    </row>
    <row r="66" spans="1:21" x14ac:dyDescent="0.35">
      <c r="A66" t="s">
        <v>137</v>
      </c>
      <c r="B66" t="s">
        <v>45</v>
      </c>
      <c r="C66" t="s">
        <v>55</v>
      </c>
      <c r="D66" t="s">
        <v>40</v>
      </c>
      <c r="E66" t="s">
        <v>33</v>
      </c>
      <c r="F66">
        <v>24</v>
      </c>
      <c r="G66">
        <v>0.36</v>
      </c>
      <c r="H66">
        <v>0.46</v>
      </c>
      <c r="I66" t="s">
        <v>34</v>
      </c>
      <c r="J66">
        <v>74074</v>
      </c>
      <c r="K66" t="s">
        <v>42</v>
      </c>
      <c r="L66">
        <v>36</v>
      </c>
      <c r="M66">
        <v>60</v>
      </c>
      <c r="N66" t="s">
        <v>26</v>
      </c>
      <c r="O66" t="s">
        <v>25</v>
      </c>
      <c r="P66">
        <v>2.71</v>
      </c>
      <c r="Q66" t="s">
        <v>24</v>
      </c>
      <c r="R66">
        <v>2.02</v>
      </c>
      <c r="S66" t="s">
        <v>47</v>
      </c>
      <c r="T66" t="str">
        <f t="shared" si="0"/>
        <v>High</v>
      </c>
      <c r="U66" t="str">
        <f t="shared" si="1"/>
        <v>Expert</v>
      </c>
    </row>
    <row r="67" spans="1:21" x14ac:dyDescent="0.35">
      <c r="A67" t="s">
        <v>138</v>
      </c>
      <c r="B67" t="s">
        <v>38</v>
      </c>
      <c r="C67" t="s">
        <v>46</v>
      </c>
      <c r="D67" t="s">
        <v>63</v>
      </c>
      <c r="E67" t="s">
        <v>70</v>
      </c>
      <c r="F67">
        <v>4</v>
      </c>
      <c r="G67">
        <v>0.73</v>
      </c>
      <c r="H67">
        <v>0.8</v>
      </c>
      <c r="I67" t="s">
        <v>34</v>
      </c>
      <c r="J67">
        <v>147677</v>
      </c>
      <c r="K67" t="s">
        <v>25</v>
      </c>
      <c r="L67">
        <v>20</v>
      </c>
      <c r="M67">
        <v>44</v>
      </c>
      <c r="N67" t="s">
        <v>26</v>
      </c>
      <c r="O67" t="s">
        <v>36</v>
      </c>
      <c r="P67">
        <v>4.3899999999999997</v>
      </c>
      <c r="Q67" t="s">
        <v>24</v>
      </c>
      <c r="R67">
        <v>2.41</v>
      </c>
      <c r="S67" t="s">
        <v>47</v>
      </c>
      <c r="T67" t="str">
        <f t="shared" ref="T67:T130" si="2">IF(AND(G67&lt;0.4,H67&gt;=0.7),"Very High",
IF(AND(G67&gt;=0.7,H67&lt;0.5),"Very Low",
IF(G67&lt;H67,"High","Moderate")))</f>
        <v>High</v>
      </c>
      <c r="U67" t="str">
        <f t="shared" ref="U67:U130" si="3">_xlfn.IFS(F67&lt;=2,"Beginner",F67&lt;=8,"Intermediate",F67&lt;=15,"Experienced",F67&lt;=25,"Expert")</f>
        <v>Intermediate</v>
      </c>
    </row>
    <row r="68" spans="1:21" x14ac:dyDescent="0.35">
      <c r="A68" t="s">
        <v>139</v>
      </c>
      <c r="B68" t="s">
        <v>77</v>
      </c>
      <c r="C68" t="s">
        <v>46</v>
      </c>
      <c r="D68" t="s">
        <v>80</v>
      </c>
      <c r="E68" t="s">
        <v>23</v>
      </c>
      <c r="F68">
        <v>14</v>
      </c>
      <c r="G68">
        <v>0.8</v>
      </c>
      <c r="H68">
        <v>0.26</v>
      </c>
      <c r="I68" t="s">
        <v>60</v>
      </c>
      <c r="J68">
        <v>53670</v>
      </c>
      <c r="K68" t="s">
        <v>27</v>
      </c>
      <c r="L68">
        <v>40</v>
      </c>
      <c r="M68">
        <v>53</v>
      </c>
      <c r="N68" t="s">
        <v>35</v>
      </c>
      <c r="O68" t="s">
        <v>36</v>
      </c>
      <c r="P68">
        <v>4.7300000000000004</v>
      </c>
      <c r="Q68" t="s">
        <v>24</v>
      </c>
      <c r="R68">
        <v>2.29</v>
      </c>
      <c r="S68" t="s">
        <v>43</v>
      </c>
      <c r="T68" t="str">
        <f t="shared" si="2"/>
        <v>Very Low</v>
      </c>
      <c r="U68" t="str">
        <f t="shared" si="3"/>
        <v>Experienced</v>
      </c>
    </row>
    <row r="69" spans="1:21" x14ac:dyDescent="0.35">
      <c r="A69" t="s">
        <v>140</v>
      </c>
      <c r="B69" t="s">
        <v>45</v>
      </c>
      <c r="C69" t="s">
        <v>55</v>
      </c>
      <c r="D69" t="s">
        <v>32</v>
      </c>
      <c r="E69" t="s">
        <v>41</v>
      </c>
      <c r="F69">
        <v>7</v>
      </c>
      <c r="G69">
        <v>0.86</v>
      </c>
      <c r="H69">
        <v>0.47</v>
      </c>
      <c r="I69" t="s">
        <v>60</v>
      </c>
      <c r="J69">
        <v>217253</v>
      </c>
      <c r="K69" t="s">
        <v>42</v>
      </c>
      <c r="L69">
        <v>18</v>
      </c>
      <c r="M69">
        <v>46</v>
      </c>
      <c r="N69" t="s">
        <v>26</v>
      </c>
      <c r="O69" t="s">
        <v>27</v>
      </c>
      <c r="P69">
        <v>2.48</v>
      </c>
      <c r="Q69" t="s">
        <v>34</v>
      </c>
      <c r="R69">
        <v>4.67</v>
      </c>
      <c r="S69" t="s">
        <v>43</v>
      </c>
      <c r="T69" t="str">
        <f t="shared" si="2"/>
        <v>Very Low</v>
      </c>
      <c r="U69" t="str">
        <f t="shared" si="3"/>
        <v>Intermediate</v>
      </c>
    </row>
    <row r="70" spans="1:21" x14ac:dyDescent="0.35">
      <c r="A70" t="s">
        <v>141</v>
      </c>
      <c r="B70" t="s">
        <v>77</v>
      </c>
      <c r="C70" t="s">
        <v>82</v>
      </c>
      <c r="D70" t="s">
        <v>63</v>
      </c>
      <c r="E70" t="s">
        <v>41</v>
      </c>
      <c r="F70">
        <v>18</v>
      </c>
      <c r="G70">
        <v>0.55000000000000004</v>
      </c>
      <c r="H70">
        <v>0.51</v>
      </c>
      <c r="I70" t="s">
        <v>60</v>
      </c>
      <c r="J70">
        <v>96059</v>
      </c>
      <c r="K70" t="s">
        <v>25</v>
      </c>
      <c r="L70">
        <v>12</v>
      </c>
      <c r="M70">
        <v>39</v>
      </c>
      <c r="N70" t="s">
        <v>26</v>
      </c>
      <c r="O70" t="s">
        <v>27</v>
      </c>
      <c r="P70">
        <v>3.99</v>
      </c>
      <c r="Q70" t="s">
        <v>24</v>
      </c>
      <c r="R70">
        <v>3.38</v>
      </c>
      <c r="S70" t="s">
        <v>47</v>
      </c>
      <c r="T70" t="str">
        <f t="shared" si="2"/>
        <v>Moderate</v>
      </c>
      <c r="U70" t="str">
        <f t="shared" si="3"/>
        <v>Expert</v>
      </c>
    </row>
    <row r="71" spans="1:21" x14ac:dyDescent="0.35">
      <c r="A71" t="s">
        <v>142</v>
      </c>
      <c r="B71" t="s">
        <v>65</v>
      </c>
      <c r="C71" t="s">
        <v>21</v>
      </c>
      <c r="D71" t="s">
        <v>69</v>
      </c>
      <c r="E71" t="s">
        <v>70</v>
      </c>
      <c r="F71">
        <v>0</v>
      </c>
      <c r="G71">
        <v>0.65</v>
      </c>
      <c r="H71">
        <v>0.85</v>
      </c>
      <c r="I71" t="s">
        <v>34</v>
      </c>
      <c r="J71">
        <v>209677</v>
      </c>
      <c r="K71" t="s">
        <v>42</v>
      </c>
      <c r="L71">
        <v>1</v>
      </c>
      <c r="M71">
        <v>60</v>
      </c>
      <c r="N71" t="s">
        <v>35</v>
      </c>
      <c r="O71" t="s">
        <v>36</v>
      </c>
      <c r="P71">
        <v>4.84</v>
      </c>
      <c r="Q71" t="s">
        <v>34</v>
      </c>
      <c r="R71">
        <v>1.77</v>
      </c>
      <c r="S71" t="s">
        <v>47</v>
      </c>
      <c r="T71" t="str">
        <f t="shared" si="2"/>
        <v>High</v>
      </c>
      <c r="U71" t="str">
        <f t="shared" si="3"/>
        <v>Beginner</v>
      </c>
    </row>
    <row r="72" spans="1:21" x14ac:dyDescent="0.35">
      <c r="A72" t="s">
        <v>143</v>
      </c>
      <c r="B72" t="s">
        <v>73</v>
      </c>
      <c r="C72" t="s">
        <v>74</v>
      </c>
      <c r="D72" t="s">
        <v>22</v>
      </c>
      <c r="E72" t="s">
        <v>33</v>
      </c>
      <c r="F72">
        <v>19</v>
      </c>
      <c r="G72">
        <v>0.74</v>
      </c>
      <c r="H72">
        <v>0.86</v>
      </c>
      <c r="I72" t="s">
        <v>34</v>
      </c>
      <c r="J72">
        <v>168027</v>
      </c>
      <c r="K72" t="s">
        <v>25</v>
      </c>
      <c r="L72">
        <v>0</v>
      </c>
      <c r="M72">
        <v>35</v>
      </c>
      <c r="N72" t="s">
        <v>26</v>
      </c>
      <c r="O72" t="s">
        <v>27</v>
      </c>
      <c r="P72">
        <v>4.43</v>
      </c>
      <c r="Q72" t="s">
        <v>24</v>
      </c>
      <c r="R72">
        <v>3.88</v>
      </c>
      <c r="S72" t="s">
        <v>47</v>
      </c>
      <c r="T72" t="str">
        <f t="shared" si="2"/>
        <v>High</v>
      </c>
      <c r="U72" t="str">
        <f t="shared" si="3"/>
        <v>Expert</v>
      </c>
    </row>
    <row r="73" spans="1:21" x14ac:dyDescent="0.35">
      <c r="A73" t="s">
        <v>144</v>
      </c>
      <c r="B73" t="s">
        <v>57</v>
      </c>
      <c r="C73" t="s">
        <v>31</v>
      </c>
      <c r="D73" t="s">
        <v>49</v>
      </c>
      <c r="E73" t="s">
        <v>33</v>
      </c>
      <c r="F73">
        <v>11</v>
      </c>
      <c r="G73">
        <v>0.72</v>
      </c>
      <c r="H73">
        <v>0.55000000000000004</v>
      </c>
      <c r="I73" t="s">
        <v>60</v>
      </c>
      <c r="J73">
        <v>169987</v>
      </c>
      <c r="K73" t="s">
        <v>27</v>
      </c>
      <c r="L73">
        <v>18</v>
      </c>
      <c r="M73">
        <v>44</v>
      </c>
      <c r="N73" t="s">
        <v>42</v>
      </c>
      <c r="O73" t="s">
        <v>36</v>
      </c>
      <c r="P73">
        <v>3.51</v>
      </c>
      <c r="Q73" t="s">
        <v>34</v>
      </c>
      <c r="R73">
        <v>4.87</v>
      </c>
      <c r="S73" t="s">
        <v>47</v>
      </c>
      <c r="T73" t="str">
        <f t="shared" si="2"/>
        <v>Moderate</v>
      </c>
      <c r="U73" t="str">
        <f t="shared" si="3"/>
        <v>Experienced</v>
      </c>
    </row>
    <row r="74" spans="1:21" x14ac:dyDescent="0.35">
      <c r="A74" t="s">
        <v>145</v>
      </c>
      <c r="B74" t="s">
        <v>65</v>
      </c>
      <c r="C74" t="s">
        <v>21</v>
      </c>
      <c r="D74" t="s">
        <v>66</v>
      </c>
      <c r="E74" t="s">
        <v>41</v>
      </c>
      <c r="F74">
        <v>24</v>
      </c>
      <c r="G74">
        <v>0.38</v>
      </c>
      <c r="H74">
        <v>0.94</v>
      </c>
      <c r="I74" t="s">
        <v>24</v>
      </c>
      <c r="J74">
        <v>216489</v>
      </c>
      <c r="K74" t="s">
        <v>42</v>
      </c>
      <c r="L74">
        <v>18</v>
      </c>
      <c r="M74">
        <v>58</v>
      </c>
      <c r="N74" t="s">
        <v>26</v>
      </c>
      <c r="O74" t="s">
        <v>25</v>
      </c>
      <c r="P74">
        <v>4.49</v>
      </c>
      <c r="Q74" t="s">
        <v>24</v>
      </c>
      <c r="R74">
        <v>4.79</v>
      </c>
      <c r="S74" t="s">
        <v>47</v>
      </c>
      <c r="T74" t="str">
        <f t="shared" si="2"/>
        <v>Very High</v>
      </c>
      <c r="U74" t="str">
        <f t="shared" si="3"/>
        <v>Expert</v>
      </c>
    </row>
    <row r="75" spans="1:21" x14ac:dyDescent="0.35">
      <c r="A75" t="s">
        <v>146</v>
      </c>
      <c r="B75" t="s">
        <v>147</v>
      </c>
      <c r="C75" t="s">
        <v>39</v>
      </c>
      <c r="D75" t="s">
        <v>75</v>
      </c>
      <c r="E75" t="s">
        <v>70</v>
      </c>
      <c r="F75">
        <v>3</v>
      </c>
      <c r="G75">
        <v>0.39</v>
      </c>
      <c r="H75">
        <v>0.51</v>
      </c>
      <c r="I75" t="s">
        <v>60</v>
      </c>
      <c r="J75">
        <v>51392</v>
      </c>
      <c r="K75" t="s">
        <v>27</v>
      </c>
      <c r="L75">
        <v>11</v>
      </c>
      <c r="M75">
        <v>55</v>
      </c>
      <c r="N75" t="s">
        <v>35</v>
      </c>
      <c r="O75" t="s">
        <v>25</v>
      </c>
      <c r="P75">
        <v>2.11</v>
      </c>
      <c r="Q75" t="s">
        <v>34</v>
      </c>
      <c r="R75">
        <v>3.78</v>
      </c>
      <c r="S75" t="s">
        <v>47</v>
      </c>
      <c r="T75" t="str">
        <f t="shared" si="2"/>
        <v>High</v>
      </c>
      <c r="U75" t="str">
        <f t="shared" si="3"/>
        <v>Intermediate</v>
      </c>
    </row>
    <row r="76" spans="1:21" x14ac:dyDescent="0.35">
      <c r="A76" t="s">
        <v>148</v>
      </c>
      <c r="B76" t="s">
        <v>65</v>
      </c>
      <c r="C76" t="s">
        <v>52</v>
      </c>
      <c r="D76" t="s">
        <v>40</v>
      </c>
      <c r="E76" t="s">
        <v>70</v>
      </c>
      <c r="F76">
        <v>7</v>
      </c>
      <c r="G76">
        <v>0.8</v>
      </c>
      <c r="H76">
        <v>0.63</v>
      </c>
      <c r="I76" t="s">
        <v>34</v>
      </c>
      <c r="J76">
        <v>189614</v>
      </c>
      <c r="K76" t="s">
        <v>25</v>
      </c>
      <c r="L76">
        <v>-7</v>
      </c>
      <c r="M76">
        <v>37</v>
      </c>
      <c r="N76" t="s">
        <v>42</v>
      </c>
      <c r="O76" t="s">
        <v>27</v>
      </c>
      <c r="P76">
        <v>4.38</v>
      </c>
      <c r="Q76" t="s">
        <v>34</v>
      </c>
      <c r="R76">
        <v>1.25</v>
      </c>
      <c r="S76" t="s">
        <v>43</v>
      </c>
      <c r="T76" t="str">
        <f t="shared" si="2"/>
        <v>Moderate</v>
      </c>
      <c r="U76" t="str">
        <f t="shared" si="3"/>
        <v>Intermediate</v>
      </c>
    </row>
    <row r="77" spans="1:21" x14ac:dyDescent="0.35">
      <c r="A77" t="s">
        <v>149</v>
      </c>
      <c r="B77" t="s">
        <v>57</v>
      </c>
      <c r="C77" t="s">
        <v>46</v>
      </c>
      <c r="D77" t="s">
        <v>69</v>
      </c>
      <c r="E77" t="s">
        <v>33</v>
      </c>
      <c r="F77">
        <v>21</v>
      </c>
      <c r="G77">
        <v>0.31</v>
      </c>
      <c r="H77">
        <v>0.2</v>
      </c>
      <c r="I77" t="s">
        <v>60</v>
      </c>
      <c r="J77">
        <v>122488</v>
      </c>
      <c r="K77" t="s">
        <v>25</v>
      </c>
      <c r="L77">
        <v>23</v>
      </c>
      <c r="M77">
        <v>41</v>
      </c>
      <c r="N77" t="s">
        <v>35</v>
      </c>
      <c r="O77" t="s">
        <v>27</v>
      </c>
      <c r="P77">
        <v>3.63</v>
      </c>
      <c r="Q77" t="s">
        <v>24</v>
      </c>
      <c r="R77">
        <v>2.56</v>
      </c>
      <c r="S77" t="s">
        <v>43</v>
      </c>
      <c r="T77" t="str">
        <f t="shared" si="2"/>
        <v>Moderate</v>
      </c>
      <c r="U77" t="str">
        <f t="shared" si="3"/>
        <v>Expert</v>
      </c>
    </row>
    <row r="78" spans="1:21" x14ac:dyDescent="0.35">
      <c r="A78" t="s">
        <v>150</v>
      </c>
      <c r="B78" t="s">
        <v>147</v>
      </c>
      <c r="C78" t="s">
        <v>39</v>
      </c>
      <c r="D78" t="s">
        <v>40</v>
      </c>
      <c r="E78" t="s">
        <v>70</v>
      </c>
      <c r="F78">
        <v>4</v>
      </c>
      <c r="G78">
        <v>0.72</v>
      </c>
      <c r="H78">
        <v>0.48</v>
      </c>
      <c r="I78" t="s">
        <v>24</v>
      </c>
      <c r="J78">
        <v>47710</v>
      </c>
      <c r="K78" t="s">
        <v>42</v>
      </c>
      <c r="L78">
        <v>24</v>
      </c>
      <c r="M78">
        <v>40</v>
      </c>
      <c r="N78" t="s">
        <v>26</v>
      </c>
      <c r="O78" t="s">
        <v>25</v>
      </c>
      <c r="P78">
        <v>4.49</v>
      </c>
      <c r="Q78" t="s">
        <v>34</v>
      </c>
      <c r="R78">
        <v>4.92</v>
      </c>
      <c r="S78" t="s">
        <v>43</v>
      </c>
      <c r="T78" t="str">
        <f t="shared" si="2"/>
        <v>Very Low</v>
      </c>
      <c r="U78" t="str">
        <f t="shared" si="3"/>
        <v>Intermediate</v>
      </c>
    </row>
    <row r="79" spans="1:21" x14ac:dyDescent="0.35">
      <c r="A79" t="s">
        <v>151</v>
      </c>
      <c r="B79" t="s">
        <v>73</v>
      </c>
      <c r="C79" t="s">
        <v>74</v>
      </c>
      <c r="D79" t="s">
        <v>66</v>
      </c>
      <c r="E79" t="s">
        <v>23</v>
      </c>
      <c r="F79">
        <v>17</v>
      </c>
      <c r="G79">
        <v>0.31</v>
      </c>
      <c r="H79">
        <v>0.23</v>
      </c>
      <c r="I79" t="s">
        <v>34</v>
      </c>
      <c r="J79">
        <v>82289</v>
      </c>
      <c r="K79" t="s">
        <v>42</v>
      </c>
      <c r="L79">
        <v>-8</v>
      </c>
      <c r="M79">
        <v>54</v>
      </c>
      <c r="N79" t="s">
        <v>26</v>
      </c>
      <c r="O79" t="s">
        <v>25</v>
      </c>
      <c r="P79">
        <v>2.86</v>
      </c>
      <c r="Q79" t="s">
        <v>24</v>
      </c>
      <c r="R79">
        <v>4.46</v>
      </c>
      <c r="S79" t="s">
        <v>43</v>
      </c>
      <c r="T79" t="str">
        <f t="shared" si="2"/>
        <v>Moderate</v>
      </c>
      <c r="U79" t="str">
        <f t="shared" si="3"/>
        <v>Expert</v>
      </c>
    </row>
    <row r="80" spans="1:21" x14ac:dyDescent="0.35">
      <c r="A80" t="s">
        <v>152</v>
      </c>
      <c r="B80" t="s">
        <v>30</v>
      </c>
      <c r="C80" t="s">
        <v>82</v>
      </c>
      <c r="D80" t="s">
        <v>49</v>
      </c>
      <c r="E80" t="s">
        <v>23</v>
      </c>
      <c r="F80">
        <v>11</v>
      </c>
      <c r="G80">
        <v>0.72</v>
      </c>
      <c r="H80">
        <v>0.91</v>
      </c>
      <c r="I80" t="s">
        <v>60</v>
      </c>
      <c r="J80">
        <v>131356</v>
      </c>
      <c r="K80" t="s">
        <v>42</v>
      </c>
      <c r="L80">
        <v>41</v>
      </c>
      <c r="M80">
        <v>32</v>
      </c>
      <c r="N80" t="s">
        <v>26</v>
      </c>
      <c r="O80" t="s">
        <v>36</v>
      </c>
      <c r="P80">
        <v>2.2400000000000002</v>
      </c>
      <c r="Q80" t="s">
        <v>24</v>
      </c>
      <c r="R80">
        <v>3.18</v>
      </c>
      <c r="S80" t="s">
        <v>43</v>
      </c>
      <c r="T80" t="str">
        <f t="shared" si="2"/>
        <v>High</v>
      </c>
      <c r="U80" t="str">
        <f t="shared" si="3"/>
        <v>Experienced</v>
      </c>
    </row>
    <row r="81" spans="1:21" x14ac:dyDescent="0.35">
      <c r="A81" t="s">
        <v>153</v>
      </c>
      <c r="B81" t="s">
        <v>51</v>
      </c>
      <c r="C81" t="s">
        <v>107</v>
      </c>
      <c r="D81" t="s">
        <v>63</v>
      </c>
      <c r="E81" t="s">
        <v>23</v>
      </c>
      <c r="F81">
        <v>1</v>
      </c>
      <c r="G81">
        <v>0.33</v>
      </c>
      <c r="H81">
        <v>0.68</v>
      </c>
      <c r="I81" t="s">
        <v>60</v>
      </c>
      <c r="J81">
        <v>141703</v>
      </c>
      <c r="K81" t="s">
        <v>42</v>
      </c>
      <c r="L81">
        <v>29</v>
      </c>
      <c r="M81">
        <v>43</v>
      </c>
      <c r="N81" t="s">
        <v>42</v>
      </c>
      <c r="O81" t="s">
        <v>27</v>
      </c>
      <c r="P81">
        <v>4.9400000000000004</v>
      </c>
      <c r="Q81" t="s">
        <v>24</v>
      </c>
      <c r="R81">
        <v>1.3</v>
      </c>
      <c r="S81" t="s">
        <v>28</v>
      </c>
      <c r="T81" t="str">
        <f t="shared" si="2"/>
        <v>High</v>
      </c>
      <c r="U81" t="str">
        <f t="shared" si="3"/>
        <v>Beginner</v>
      </c>
    </row>
    <row r="82" spans="1:21" x14ac:dyDescent="0.35">
      <c r="A82" t="s">
        <v>154</v>
      </c>
      <c r="B82" t="s">
        <v>45</v>
      </c>
      <c r="C82" t="s">
        <v>39</v>
      </c>
      <c r="D82" t="s">
        <v>63</v>
      </c>
      <c r="E82" t="s">
        <v>70</v>
      </c>
      <c r="F82">
        <v>12</v>
      </c>
      <c r="G82">
        <v>0.66</v>
      </c>
      <c r="H82">
        <v>0.55000000000000004</v>
      </c>
      <c r="I82" t="s">
        <v>60</v>
      </c>
      <c r="J82">
        <v>63090</v>
      </c>
      <c r="K82" t="s">
        <v>25</v>
      </c>
      <c r="L82">
        <v>28</v>
      </c>
      <c r="M82">
        <v>34</v>
      </c>
      <c r="N82" t="s">
        <v>26</v>
      </c>
      <c r="O82" t="s">
        <v>36</v>
      </c>
      <c r="P82">
        <v>4.8499999999999996</v>
      </c>
      <c r="Q82" t="s">
        <v>34</v>
      </c>
      <c r="R82">
        <v>2.78</v>
      </c>
      <c r="S82" t="s">
        <v>47</v>
      </c>
      <c r="T82" t="str">
        <f t="shared" si="2"/>
        <v>Moderate</v>
      </c>
      <c r="U82" t="str">
        <f t="shared" si="3"/>
        <v>Experienced</v>
      </c>
    </row>
    <row r="83" spans="1:21" x14ac:dyDescent="0.35">
      <c r="A83" t="s">
        <v>155</v>
      </c>
      <c r="B83" t="s">
        <v>156</v>
      </c>
      <c r="C83" t="s">
        <v>82</v>
      </c>
      <c r="D83" t="s">
        <v>49</v>
      </c>
      <c r="E83" t="s">
        <v>23</v>
      </c>
      <c r="F83">
        <v>17</v>
      </c>
      <c r="G83">
        <v>0.63</v>
      </c>
      <c r="H83">
        <v>0.4</v>
      </c>
      <c r="I83" t="s">
        <v>24</v>
      </c>
      <c r="J83">
        <v>59739</v>
      </c>
      <c r="K83" t="s">
        <v>42</v>
      </c>
      <c r="L83">
        <v>39</v>
      </c>
      <c r="M83">
        <v>38</v>
      </c>
      <c r="N83" t="s">
        <v>26</v>
      </c>
      <c r="O83" t="s">
        <v>36</v>
      </c>
      <c r="P83">
        <v>2.64</v>
      </c>
      <c r="Q83" t="s">
        <v>34</v>
      </c>
      <c r="R83">
        <v>3.78</v>
      </c>
      <c r="S83" t="s">
        <v>43</v>
      </c>
      <c r="T83" t="str">
        <f t="shared" si="2"/>
        <v>Moderate</v>
      </c>
      <c r="U83" t="str">
        <f t="shared" si="3"/>
        <v>Expert</v>
      </c>
    </row>
    <row r="84" spans="1:21" x14ac:dyDescent="0.35">
      <c r="A84" t="s">
        <v>157</v>
      </c>
      <c r="B84" t="s">
        <v>30</v>
      </c>
      <c r="C84" t="s">
        <v>74</v>
      </c>
      <c r="D84" t="s">
        <v>40</v>
      </c>
      <c r="E84" t="s">
        <v>70</v>
      </c>
      <c r="F84">
        <v>9</v>
      </c>
      <c r="G84">
        <v>0.21</v>
      </c>
      <c r="H84">
        <v>0.76</v>
      </c>
      <c r="I84" t="s">
        <v>24</v>
      </c>
      <c r="J84">
        <v>53013</v>
      </c>
      <c r="K84" t="s">
        <v>27</v>
      </c>
      <c r="L84">
        <v>35</v>
      </c>
      <c r="M84">
        <v>59</v>
      </c>
      <c r="N84" t="s">
        <v>26</v>
      </c>
      <c r="O84" t="s">
        <v>27</v>
      </c>
      <c r="P84">
        <v>2.52</v>
      </c>
      <c r="Q84" t="s">
        <v>34</v>
      </c>
      <c r="R84">
        <v>3.04</v>
      </c>
      <c r="S84" t="s">
        <v>47</v>
      </c>
      <c r="T84" t="str">
        <f t="shared" si="2"/>
        <v>Very High</v>
      </c>
      <c r="U84" t="str">
        <f t="shared" si="3"/>
        <v>Experienced</v>
      </c>
    </row>
    <row r="85" spans="1:21" x14ac:dyDescent="0.35">
      <c r="A85" t="s">
        <v>158</v>
      </c>
      <c r="B85" t="s">
        <v>20</v>
      </c>
      <c r="C85" t="s">
        <v>82</v>
      </c>
      <c r="D85" t="s">
        <v>22</v>
      </c>
      <c r="E85" t="s">
        <v>41</v>
      </c>
      <c r="F85">
        <v>2</v>
      </c>
      <c r="G85">
        <v>0.37</v>
      </c>
      <c r="H85">
        <v>0.65</v>
      </c>
      <c r="I85" t="s">
        <v>34</v>
      </c>
      <c r="J85">
        <v>152527</v>
      </c>
      <c r="K85" t="s">
        <v>42</v>
      </c>
      <c r="L85">
        <v>35</v>
      </c>
      <c r="M85">
        <v>53</v>
      </c>
      <c r="N85" t="s">
        <v>42</v>
      </c>
      <c r="O85" t="s">
        <v>27</v>
      </c>
      <c r="P85">
        <v>3.23</v>
      </c>
      <c r="Q85" t="s">
        <v>34</v>
      </c>
      <c r="R85">
        <v>4.29</v>
      </c>
      <c r="S85" t="s">
        <v>47</v>
      </c>
      <c r="T85" t="str">
        <f t="shared" si="2"/>
        <v>High</v>
      </c>
      <c r="U85" t="str">
        <f t="shared" si="3"/>
        <v>Beginner</v>
      </c>
    </row>
    <row r="86" spans="1:21" x14ac:dyDescent="0.35">
      <c r="A86" t="s">
        <v>159</v>
      </c>
      <c r="B86" t="s">
        <v>38</v>
      </c>
      <c r="C86" t="s">
        <v>82</v>
      </c>
      <c r="D86" t="s">
        <v>32</v>
      </c>
      <c r="E86" t="s">
        <v>23</v>
      </c>
      <c r="F86">
        <v>16</v>
      </c>
      <c r="G86">
        <v>0.66</v>
      </c>
      <c r="H86">
        <v>0.47</v>
      </c>
      <c r="I86" t="s">
        <v>24</v>
      </c>
      <c r="J86">
        <v>174520</v>
      </c>
      <c r="K86" t="s">
        <v>25</v>
      </c>
      <c r="L86">
        <v>23</v>
      </c>
      <c r="M86">
        <v>34</v>
      </c>
      <c r="N86" t="s">
        <v>42</v>
      </c>
      <c r="O86" t="s">
        <v>25</v>
      </c>
      <c r="P86">
        <v>2.4900000000000002</v>
      </c>
      <c r="Q86" t="s">
        <v>24</v>
      </c>
      <c r="R86">
        <v>2.38</v>
      </c>
      <c r="S86" t="s">
        <v>28</v>
      </c>
      <c r="T86" t="str">
        <f t="shared" si="2"/>
        <v>Moderate</v>
      </c>
      <c r="U86" t="str">
        <f t="shared" si="3"/>
        <v>Expert</v>
      </c>
    </row>
    <row r="87" spans="1:21" x14ac:dyDescent="0.35">
      <c r="A87" t="s">
        <v>160</v>
      </c>
      <c r="B87" t="s">
        <v>20</v>
      </c>
      <c r="C87" t="s">
        <v>21</v>
      </c>
      <c r="D87" t="s">
        <v>80</v>
      </c>
      <c r="E87" t="s">
        <v>33</v>
      </c>
      <c r="F87">
        <v>18</v>
      </c>
      <c r="G87">
        <v>0.3</v>
      </c>
      <c r="H87">
        <v>0.69</v>
      </c>
      <c r="I87" t="s">
        <v>60</v>
      </c>
      <c r="J87">
        <v>191068</v>
      </c>
      <c r="K87" t="s">
        <v>25</v>
      </c>
      <c r="L87">
        <v>0</v>
      </c>
      <c r="M87">
        <v>51</v>
      </c>
      <c r="N87" t="s">
        <v>26</v>
      </c>
      <c r="O87" t="s">
        <v>27</v>
      </c>
      <c r="P87">
        <v>4.71</v>
      </c>
      <c r="Q87" t="s">
        <v>34</v>
      </c>
      <c r="R87">
        <v>4.37</v>
      </c>
      <c r="S87" t="s">
        <v>28</v>
      </c>
      <c r="T87" t="str">
        <f t="shared" si="2"/>
        <v>High</v>
      </c>
      <c r="U87" t="str">
        <f t="shared" si="3"/>
        <v>Expert</v>
      </c>
    </row>
    <row r="88" spans="1:21" x14ac:dyDescent="0.35">
      <c r="A88" t="s">
        <v>161</v>
      </c>
      <c r="B88" t="s">
        <v>102</v>
      </c>
      <c r="C88" t="s">
        <v>46</v>
      </c>
      <c r="D88" t="s">
        <v>69</v>
      </c>
      <c r="E88" t="s">
        <v>41</v>
      </c>
      <c r="F88">
        <v>15</v>
      </c>
      <c r="G88">
        <v>0.9</v>
      </c>
      <c r="H88">
        <v>0.81</v>
      </c>
      <c r="I88" t="s">
        <v>60</v>
      </c>
      <c r="J88">
        <v>99377</v>
      </c>
      <c r="K88" t="s">
        <v>27</v>
      </c>
      <c r="L88">
        <v>8</v>
      </c>
      <c r="M88">
        <v>50</v>
      </c>
      <c r="N88" t="s">
        <v>42</v>
      </c>
      <c r="O88" t="s">
        <v>36</v>
      </c>
      <c r="P88">
        <v>2.73</v>
      </c>
      <c r="Q88" t="s">
        <v>34</v>
      </c>
      <c r="R88">
        <v>2.19</v>
      </c>
      <c r="S88" t="s">
        <v>47</v>
      </c>
      <c r="T88" t="str">
        <f t="shared" si="2"/>
        <v>Moderate</v>
      </c>
      <c r="U88" t="str">
        <f t="shared" si="3"/>
        <v>Experienced</v>
      </c>
    </row>
    <row r="89" spans="1:21" x14ac:dyDescent="0.35">
      <c r="A89" t="s">
        <v>162</v>
      </c>
      <c r="B89" t="s">
        <v>106</v>
      </c>
      <c r="C89" t="s">
        <v>74</v>
      </c>
      <c r="D89" t="s">
        <v>63</v>
      </c>
      <c r="E89" t="s">
        <v>70</v>
      </c>
      <c r="F89">
        <v>12</v>
      </c>
      <c r="G89">
        <v>0.49</v>
      </c>
      <c r="H89">
        <v>0.36</v>
      </c>
      <c r="I89" t="s">
        <v>24</v>
      </c>
      <c r="J89">
        <v>189032</v>
      </c>
      <c r="K89" t="s">
        <v>42</v>
      </c>
      <c r="L89">
        <v>22</v>
      </c>
      <c r="M89">
        <v>47</v>
      </c>
      <c r="N89" t="s">
        <v>35</v>
      </c>
      <c r="O89" t="s">
        <v>36</v>
      </c>
      <c r="P89">
        <v>2.73</v>
      </c>
      <c r="Q89" t="s">
        <v>24</v>
      </c>
      <c r="R89">
        <v>2.0699999999999998</v>
      </c>
      <c r="S89" t="s">
        <v>47</v>
      </c>
      <c r="T89" t="str">
        <f t="shared" si="2"/>
        <v>Moderate</v>
      </c>
      <c r="U89" t="str">
        <f t="shared" si="3"/>
        <v>Experienced</v>
      </c>
    </row>
    <row r="90" spans="1:21" x14ac:dyDescent="0.35">
      <c r="A90" t="s">
        <v>163</v>
      </c>
      <c r="B90" t="s">
        <v>30</v>
      </c>
      <c r="C90" t="s">
        <v>46</v>
      </c>
      <c r="D90" t="s">
        <v>63</v>
      </c>
      <c r="E90" t="s">
        <v>33</v>
      </c>
      <c r="F90">
        <v>24</v>
      </c>
      <c r="G90">
        <v>0.83</v>
      </c>
      <c r="H90">
        <v>0.53</v>
      </c>
      <c r="I90" t="s">
        <v>24</v>
      </c>
      <c r="J90">
        <v>71864</v>
      </c>
      <c r="K90" t="s">
        <v>42</v>
      </c>
      <c r="L90">
        <v>22</v>
      </c>
      <c r="M90">
        <v>44</v>
      </c>
      <c r="N90" t="s">
        <v>42</v>
      </c>
      <c r="O90" t="s">
        <v>36</v>
      </c>
      <c r="P90">
        <v>3.49</v>
      </c>
      <c r="Q90" t="s">
        <v>24</v>
      </c>
      <c r="R90">
        <v>4.78</v>
      </c>
      <c r="S90" t="s">
        <v>28</v>
      </c>
      <c r="T90" t="str">
        <f t="shared" si="2"/>
        <v>Moderate</v>
      </c>
      <c r="U90" t="str">
        <f t="shared" si="3"/>
        <v>Expert</v>
      </c>
    </row>
    <row r="91" spans="1:21" x14ac:dyDescent="0.35">
      <c r="A91" t="s">
        <v>164</v>
      </c>
      <c r="B91" t="s">
        <v>89</v>
      </c>
      <c r="C91" t="s">
        <v>31</v>
      </c>
      <c r="D91" t="s">
        <v>80</v>
      </c>
      <c r="E91" t="s">
        <v>41</v>
      </c>
      <c r="F91">
        <v>3</v>
      </c>
      <c r="G91">
        <v>0.5</v>
      </c>
      <c r="H91">
        <v>0.9</v>
      </c>
      <c r="I91" t="s">
        <v>34</v>
      </c>
      <c r="J91">
        <v>201510</v>
      </c>
      <c r="K91" t="s">
        <v>25</v>
      </c>
      <c r="L91">
        <v>6</v>
      </c>
      <c r="M91">
        <v>53</v>
      </c>
      <c r="N91" t="s">
        <v>42</v>
      </c>
      <c r="O91" t="s">
        <v>36</v>
      </c>
      <c r="P91">
        <v>3.1</v>
      </c>
      <c r="Q91" t="s">
        <v>34</v>
      </c>
      <c r="R91">
        <v>1.2</v>
      </c>
      <c r="S91" t="s">
        <v>28</v>
      </c>
      <c r="T91" t="str">
        <f t="shared" si="2"/>
        <v>High</v>
      </c>
      <c r="U91" t="str">
        <f t="shared" si="3"/>
        <v>Intermediate</v>
      </c>
    </row>
    <row r="92" spans="1:21" x14ac:dyDescent="0.35">
      <c r="A92" t="s">
        <v>165</v>
      </c>
      <c r="B92" t="s">
        <v>77</v>
      </c>
      <c r="C92" t="s">
        <v>46</v>
      </c>
      <c r="D92" t="s">
        <v>40</v>
      </c>
      <c r="E92" t="s">
        <v>33</v>
      </c>
      <c r="F92">
        <v>3</v>
      </c>
      <c r="G92">
        <v>0.5</v>
      </c>
      <c r="H92">
        <v>0.8</v>
      </c>
      <c r="I92" t="s">
        <v>34</v>
      </c>
      <c r="J92">
        <v>103327</v>
      </c>
      <c r="K92" t="s">
        <v>42</v>
      </c>
      <c r="L92">
        <v>40</v>
      </c>
      <c r="M92">
        <v>40</v>
      </c>
      <c r="N92" t="s">
        <v>26</v>
      </c>
      <c r="O92" t="s">
        <v>36</v>
      </c>
      <c r="P92">
        <v>4.26</v>
      </c>
      <c r="Q92" t="s">
        <v>24</v>
      </c>
      <c r="R92">
        <v>3.41</v>
      </c>
      <c r="S92" t="s">
        <v>43</v>
      </c>
      <c r="T92" t="str">
        <f t="shared" si="2"/>
        <v>High</v>
      </c>
      <c r="U92" t="str">
        <f t="shared" si="3"/>
        <v>Intermediate</v>
      </c>
    </row>
    <row r="93" spans="1:21" x14ac:dyDescent="0.35">
      <c r="A93" t="s">
        <v>166</v>
      </c>
      <c r="B93" t="s">
        <v>91</v>
      </c>
      <c r="C93" t="s">
        <v>82</v>
      </c>
      <c r="D93" t="s">
        <v>22</v>
      </c>
      <c r="E93" t="s">
        <v>33</v>
      </c>
      <c r="F93">
        <v>10</v>
      </c>
      <c r="G93">
        <v>0.69</v>
      </c>
      <c r="H93">
        <v>0.84</v>
      </c>
      <c r="I93" t="s">
        <v>60</v>
      </c>
      <c r="J93">
        <v>166139</v>
      </c>
      <c r="K93" t="s">
        <v>42</v>
      </c>
      <c r="L93">
        <v>0</v>
      </c>
      <c r="M93">
        <v>42</v>
      </c>
      <c r="N93" t="s">
        <v>26</v>
      </c>
      <c r="O93" t="s">
        <v>27</v>
      </c>
      <c r="P93">
        <v>4.53</v>
      </c>
      <c r="Q93" t="s">
        <v>34</v>
      </c>
      <c r="R93">
        <v>3.03</v>
      </c>
      <c r="S93" t="s">
        <v>28</v>
      </c>
      <c r="T93" t="str">
        <f t="shared" si="2"/>
        <v>High</v>
      </c>
      <c r="U93" t="str">
        <f t="shared" si="3"/>
        <v>Experienced</v>
      </c>
    </row>
    <row r="94" spans="1:21" x14ac:dyDescent="0.35">
      <c r="A94" t="s">
        <v>167</v>
      </c>
      <c r="B94" t="s">
        <v>156</v>
      </c>
      <c r="C94" t="s">
        <v>46</v>
      </c>
      <c r="D94" t="s">
        <v>49</v>
      </c>
      <c r="E94" t="s">
        <v>70</v>
      </c>
      <c r="F94">
        <v>20</v>
      </c>
      <c r="G94">
        <v>0.15</v>
      </c>
      <c r="H94">
        <v>0.53</v>
      </c>
      <c r="I94" t="s">
        <v>60</v>
      </c>
      <c r="J94">
        <v>110655</v>
      </c>
      <c r="K94" t="s">
        <v>27</v>
      </c>
      <c r="L94">
        <v>4</v>
      </c>
      <c r="M94">
        <v>53</v>
      </c>
      <c r="N94" t="s">
        <v>35</v>
      </c>
      <c r="O94" t="s">
        <v>27</v>
      </c>
      <c r="P94">
        <v>3.44</v>
      </c>
      <c r="Q94" t="s">
        <v>34</v>
      </c>
      <c r="R94">
        <v>1.59</v>
      </c>
      <c r="S94" t="s">
        <v>28</v>
      </c>
      <c r="T94" t="str">
        <f t="shared" si="2"/>
        <v>High</v>
      </c>
      <c r="U94" t="str">
        <f t="shared" si="3"/>
        <v>Expert</v>
      </c>
    </row>
    <row r="95" spans="1:21" x14ac:dyDescent="0.35">
      <c r="A95" t="s">
        <v>168</v>
      </c>
      <c r="B95" t="s">
        <v>102</v>
      </c>
      <c r="C95" t="s">
        <v>52</v>
      </c>
      <c r="D95" t="s">
        <v>80</v>
      </c>
      <c r="E95" t="s">
        <v>23</v>
      </c>
      <c r="F95">
        <v>23</v>
      </c>
      <c r="G95">
        <v>0.45</v>
      </c>
      <c r="H95">
        <v>0.53</v>
      </c>
      <c r="I95" t="s">
        <v>60</v>
      </c>
      <c r="J95">
        <v>138255</v>
      </c>
      <c r="K95" t="s">
        <v>25</v>
      </c>
      <c r="L95">
        <v>35</v>
      </c>
      <c r="M95">
        <v>34</v>
      </c>
      <c r="N95" t="s">
        <v>26</v>
      </c>
      <c r="O95" t="s">
        <v>25</v>
      </c>
      <c r="P95">
        <v>3.68</v>
      </c>
      <c r="Q95" t="s">
        <v>34</v>
      </c>
      <c r="R95">
        <v>3.1</v>
      </c>
      <c r="S95" t="s">
        <v>43</v>
      </c>
      <c r="T95" t="str">
        <f t="shared" si="2"/>
        <v>High</v>
      </c>
      <c r="U95" t="str">
        <f t="shared" si="3"/>
        <v>Expert</v>
      </c>
    </row>
    <row r="96" spans="1:21" x14ac:dyDescent="0.35">
      <c r="A96" t="s">
        <v>169</v>
      </c>
      <c r="B96" t="s">
        <v>54</v>
      </c>
      <c r="C96" t="s">
        <v>46</v>
      </c>
      <c r="D96" t="s">
        <v>49</v>
      </c>
      <c r="E96" t="s">
        <v>33</v>
      </c>
      <c r="F96">
        <v>7</v>
      </c>
      <c r="G96">
        <v>0.74</v>
      </c>
      <c r="H96">
        <v>0.77</v>
      </c>
      <c r="I96" t="s">
        <v>34</v>
      </c>
      <c r="J96">
        <v>198639</v>
      </c>
      <c r="K96" t="s">
        <v>27</v>
      </c>
      <c r="L96">
        <v>9</v>
      </c>
      <c r="M96">
        <v>37</v>
      </c>
      <c r="N96" t="s">
        <v>42</v>
      </c>
      <c r="O96" t="s">
        <v>36</v>
      </c>
      <c r="P96">
        <v>4.1100000000000003</v>
      </c>
      <c r="Q96" t="s">
        <v>34</v>
      </c>
      <c r="R96">
        <v>2.27</v>
      </c>
      <c r="S96" t="s">
        <v>43</v>
      </c>
      <c r="T96" t="str">
        <f t="shared" si="2"/>
        <v>High</v>
      </c>
      <c r="U96" t="str">
        <f t="shared" si="3"/>
        <v>Intermediate</v>
      </c>
    </row>
    <row r="97" spans="1:21" x14ac:dyDescent="0.35">
      <c r="A97" t="s">
        <v>170</v>
      </c>
      <c r="B97" t="s">
        <v>62</v>
      </c>
      <c r="C97" t="s">
        <v>58</v>
      </c>
      <c r="D97" t="s">
        <v>66</v>
      </c>
      <c r="E97" t="s">
        <v>41</v>
      </c>
      <c r="F97">
        <v>11</v>
      </c>
      <c r="G97">
        <v>0.79</v>
      </c>
      <c r="H97">
        <v>0.95</v>
      </c>
      <c r="I97" t="s">
        <v>34</v>
      </c>
      <c r="J97">
        <v>68397</v>
      </c>
      <c r="K97" t="s">
        <v>27</v>
      </c>
      <c r="L97">
        <v>6</v>
      </c>
      <c r="M97">
        <v>53</v>
      </c>
      <c r="N97" t="s">
        <v>42</v>
      </c>
      <c r="O97" t="s">
        <v>25</v>
      </c>
      <c r="P97">
        <v>2.61</v>
      </c>
      <c r="Q97" t="s">
        <v>34</v>
      </c>
      <c r="R97">
        <v>4.7300000000000004</v>
      </c>
      <c r="S97" t="s">
        <v>28</v>
      </c>
      <c r="T97" t="str">
        <f t="shared" si="2"/>
        <v>High</v>
      </c>
      <c r="U97" t="str">
        <f t="shared" si="3"/>
        <v>Experienced</v>
      </c>
    </row>
    <row r="98" spans="1:21" x14ac:dyDescent="0.35">
      <c r="A98" t="s">
        <v>171</v>
      </c>
      <c r="B98" t="s">
        <v>57</v>
      </c>
      <c r="C98" t="s">
        <v>58</v>
      </c>
      <c r="D98" t="s">
        <v>40</v>
      </c>
      <c r="E98" t="s">
        <v>23</v>
      </c>
      <c r="F98">
        <v>10</v>
      </c>
      <c r="G98">
        <v>0.65</v>
      </c>
      <c r="H98">
        <v>0.62</v>
      </c>
      <c r="I98" t="s">
        <v>60</v>
      </c>
      <c r="J98">
        <v>197233</v>
      </c>
      <c r="K98" t="s">
        <v>42</v>
      </c>
      <c r="L98">
        <v>-4</v>
      </c>
      <c r="M98">
        <v>51</v>
      </c>
      <c r="N98" t="s">
        <v>35</v>
      </c>
      <c r="O98" t="s">
        <v>25</v>
      </c>
      <c r="P98">
        <v>4.8899999999999997</v>
      </c>
      <c r="Q98" t="s">
        <v>24</v>
      </c>
      <c r="R98">
        <v>2.63</v>
      </c>
      <c r="S98" t="s">
        <v>43</v>
      </c>
      <c r="T98" t="str">
        <f t="shared" si="2"/>
        <v>Moderate</v>
      </c>
      <c r="U98" t="str">
        <f t="shared" si="3"/>
        <v>Experienced</v>
      </c>
    </row>
    <row r="99" spans="1:21" x14ac:dyDescent="0.35">
      <c r="A99" t="s">
        <v>172</v>
      </c>
      <c r="B99" t="s">
        <v>57</v>
      </c>
      <c r="C99" t="s">
        <v>55</v>
      </c>
      <c r="D99" t="s">
        <v>75</v>
      </c>
      <c r="E99" t="s">
        <v>33</v>
      </c>
      <c r="F99">
        <v>13</v>
      </c>
      <c r="G99">
        <v>0.87</v>
      </c>
      <c r="H99">
        <v>0.27</v>
      </c>
      <c r="I99" t="s">
        <v>24</v>
      </c>
      <c r="J99">
        <v>180505</v>
      </c>
      <c r="K99" t="s">
        <v>25</v>
      </c>
      <c r="L99">
        <v>43</v>
      </c>
      <c r="M99">
        <v>42</v>
      </c>
      <c r="N99" t="s">
        <v>42</v>
      </c>
      <c r="O99" t="s">
        <v>25</v>
      </c>
      <c r="P99">
        <v>4.8099999999999996</v>
      </c>
      <c r="Q99" t="s">
        <v>34</v>
      </c>
      <c r="R99">
        <v>4.51</v>
      </c>
      <c r="S99" t="s">
        <v>47</v>
      </c>
      <c r="T99" t="str">
        <f t="shared" si="2"/>
        <v>Very Low</v>
      </c>
      <c r="U99" t="str">
        <f t="shared" si="3"/>
        <v>Experienced</v>
      </c>
    </row>
    <row r="100" spans="1:21" x14ac:dyDescent="0.35">
      <c r="A100" t="s">
        <v>173</v>
      </c>
      <c r="B100" t="s">
        <v>65</v>
      </c>
      <c r="C100" t="s">
        <v>107</v>
      </c>
      <c r="D100" t="s">
        <v>66</v>
      </c>
      <c r="E100" t="s">
        <v>33</v>
      </c>
      <c r="F100">
        <v>25</v>
      </c>
      <c r="G100">
        <v>0.54</v>
      </c>
      <c r="H100">
        <v>0.59</v>
      </c>
      <c r="I100" t="s">
        <v>24</v>
      </c>
      <c r="J100">
        <v>65179</v>
      </c>
      <c r="K100" t="s">
        <v>42</v>
      </c>
      <c r="L100">
        <v>0</v>
      </c>
      <c r="M100">
        <v>53</v>
      </c>
      <c r="N100" t="s">
        <v>42</v>
      </c>
      <c r="O100" t="s">
        <v>27</v>
      </c>
      <c r="P100">
        <v>2.77</v>
      </c>
      <c r="Q100" t="s">
        <v>24</v>
      </c>
      <c r="R100">
        <v>1.06</v>
      </c>
      <c r="S100" t="s">
        <v>43</v>
      </c>
      <c r="T100" t="str">
        <f t="shared" si="2"/>
        <v>High</v>
      </c>
      <c r="U100" t="str">
        <f t="shared" si="3"/>
        <v>Expert</v>
      </c>
    </row>
    <row r="101" spans="1:21" x14ac:dyDescent="0.35">
      <c r="A101" t="s">
        <v>174</v>
      </c>
      <c r="B101" t="s">
        <v>68</v>
      </c>
      <c r="C101" t="s">
        <v>82</v>
      </c>
      <c r="D101" t="s">
        <v>32</v>
      </c>
      <c r="E101" t="s">
        <v>23</v>
      </c>
      <c r="F101">
        <v>10</v>
      </c>
      <c r="G101">
        <v>0.51</v>
      </c>
      <c r="H101">
        <v>0.27</v>
      </c>
      <c r="I101" t="s">
        <v>24</v>
      </c>
      <c r="J101">
        <v>205441</v>
      </c>
      <c r="K101" t="s">
        <v>25</v>
      </c>
      <c r="L101">
        <v>6</v>
      </c>
      <c r="M101">
        <v>42</v>
      </c>
      <c r="N101" t="s">
        <v>35</v>
      </c>
      <c r="O101" t="s">
        <v>36</v>
      </c>
      <c r="P101">
        <v>4.26</v>
      </c>
      <c r="Q101" t="s">
        <v>34</v>
      </c>
      <c r="R101">
        <v>2.21</v>
      </c>
      <c r="S101" t="s">
        <v>28</v>
      </c>
      <c r="T101" t="str">
        <f t="shared" si="2"/>
        <v>Moderate</v>
      </c>
      <c r="U101" t="str">
        <f t="shared" si="3"/>
        <v>Experienced</v>
      </c>
    </row>
    <row r="102" spans="1:21" x14ac:dyDescent="0.35">
      <c r="A102" t="s">
        <v>175</v>
      </c>
      <c r="B102" t="s">
        <v>51</v>
      </c>
      <c r="C102" t="s">
        <v>52</v>
      </c>
      <c r="D102" t="s">
        <v>80</v>
      </c>
      <c r="E102" t="s">
        <v>70</v>
      </c>
      <c r="F102">
        <v>22</v>
      </c>
      <c r="G102">
        <v>0.11</v>
      </c>
      <c r="H102">
        <v>0.28999999999999998</v>
      </c>
      <c r="I102" t="s">
        <v>24</v>
      </c>
      <c r="J102">
        <v>110427</v>
      </c>
      <c r="K102" t="s">
        <v>27</v>
      </c>
      <c r="L102">
        <v>8</v>
      </c>
      <c r="M102">
        <v>41</v>
      </c>
      <c r="N102" t="s">
        <v>26</v>
      </c>
      <c r="O102" t="s">
        <v>25</v>
      </c>
      <c r="P102">
        <v>2.66</v>
      </c>
      <c r="Q102" t="s">
        <v>24</v>
      </c>
      <c r="R102">
        <v>2.91</v>
      </c>
      <c r="S102" t="s">
        <v>43</v>
      </c>
      <c r="T102" t="str">
        <f t="shared" si="2"/>
        <v>High</v>
      </c>
      <c r="U102" t="str">
        <f t="shared" si="3"/>
        <v>Expert</v>
      </c>
    </row>
    <row r="103" spans="1:21" x14ac:dyDescent="0.35">
      <c r="A103" t="s">
        <v>176</v>
      </c>
      <c r="B103" t="s">
        <v>65</v>
      </c>
      <c r="C103" t="s">
        <v>107</v>
      </c>
      <c r="D103" t="s">
        <v>80</v>
      </c>
      <c r="E103" t="s">
        <v>70</v>
      </c>
      <c r="F103">
        <v>2</v>
      </c>
      <c r="G103">
        <v>0.66</v>
      </c>
      <c r="H103">
        <v>0.67</v>
      </c>
      <c r="I103" t="s">
        <v>60</v>
      </c>
      <c r="J103">
        <v>51461</v>
      </c>
      <c r="K103" t="s">
        <v>25</v>
      </c>
      <c r="L103">
        <v>-7</v>
      </c>
      <c r="M103">
        <v>56</v>
      </c>
      <c r="N103" t="s">
        <v>26</v>
      </c>
      <c r="O103" t="s">
        <v>27</v>
      </c>
      <c r="P103">
        <v>2.61</v>
      </c>
      <c r="Q103" t="s">
        <v>24</v>
      </c>
      <c r="R103">
        <v>1.66</v>
      </c>
      <c r="S103" t="s">
        <v>28</v>
      </c>
      <c r="T103" t="str">
        <f t="shared" si="2"/>
        <v>High</v>
      </c>
      <c r="U103" t="str">
        <f t="shared" si="3"/>
        <v>Beginner</v>
      </c>
    </row>
    <row r="104" spans="1:21" x14ac:dyDescent="0.35">
      <c r="A104" t="s">
        <v>177</v>
      </c>
      <c r="B104" t="s">
        <v>94</v>
      </c>
      <c r="C104" t="s">
        <v>107</v>
      </c>
      <c r="D104" t="s">
        <v>22</v>
      </c>
      <c r="E104" t="s">
        <v>41</v>
      </c>
      <c r="F104">
        <v>17</v>
      </c>
      <c r="G104">
        <v>0.78</v>
      </c>
      <c r="H104">
        <v>0.56000000000000005</v>
      </c>
      <c r="I104" t="s">
        <v>34</v>
      </c>
      <c r="J104">
        <v>164544</v>
      </c>
      <c r="K104" t="s">
        <v>27</v>
      </c>
      <c r="L104">
        <v>41</v>
      </c>
      <c r="M104">
        <v>39</v>
      </c>
      <c r="N104" t="s">
        <v>26</v>
      </c>
      <c r="O104" t="s">
        <v>25</v>
      </c>
      <c r="P104">
        <v>3.19</v>
      </c>
      <c r="Q104" t="s">
        <v>24</v>
      </c>
      <c r="R104">
        <v>3.98</v>
      </c>
      <c r="S104" t="s">
        <v>28</v>
      </c>
      <c r="T104" t="str">
        <f t="shared" si="2"/>
        <v>Moderate</v>
      </c>
      <c r="U104" t="str">
        <f t="shared" si="3"/>
        <v>Expert</v>
      </c>
    </row>
    <row r="105" spans="1:21" x14ac:dyDescent="0.35">
      <c r="A105" t="s">
        <v>178</v>
      </c>
      <c r="B105" t="s">
        <v>45</v>
      </c>
      <c r="C105" t="s">
        <v>107</v>
      </c>
      <c r="D105" t="s">
        <v>75</v>
      </c>
      <c r="E105" t="s">
        <v>70</v>
      </c>
      <c r="F105">
        <v>13</v>
      </c>
      <c r="G105">
        <v>0.68</v>
      </c>
      <c r="H105">
        <v>0.63</v>
      </c>
      <c r="I105" t="s">
        <v>24</v>
      </c>
      <c r="J105">
        <v>45795</v>
      </c>
      <c r="K105" t="s">
        <v>25</v>
      </c>
      <c r="L105">
        <v>39</v>
      </c>
      <c r="M105">
        <v>50</v>
      </c>
      <c r="N105" t="s">
        <v>26</v>
      </c>
      <c r="O105" t="s">
        <v>27</v>
      </c>
      <c r="P105">
        <v>4.8899999999999997</v>
      </c>
      <c r="Q105" t="s">
        <v>34</v>
      </c>
      <c r="R105">
        <v>4.97</v>
      </c>
      <c r="S105" t="s">
        <v>43</v>
      </c>
      <c r="T105" t="str">
        <f t="shared" si="2"/>
        <v>Moderate</v>
      </c>
      <c r="U105" t="str">
        <f t="shared" si="3"/>
        <v>Experienced</v>
      </c>
    </row>
    <row r="106" spans="1:21" x14ac:dyDescent="0.35">
      <c r="A106" t="s">
        <v>179</v>
      </c>
      <c r="B106" t="s">
        <v>51</v>
      </c>
      <c r="C106" t="s">
        <v>55</v>
      </c>
      <c r="D106" t="s">
        <v>69</v>
      </c>
      <c r="E106" t="s">
        <v>33</v>
      </c>
      <c r="F106">
        <v>23</v>
      </c>
      <c r="G106">
        <v>0.17</v>
      </c>
      <c r="H106">
        <v>0.88</v>
      </c>
      <c r="I106" t="s">
        <v>24</v>
      </c>
      <c r="J106">
        <v>61098</v>
      </c>
      <c r="K106" t="s">
        <v>25</v>
      </c>
      <c r="L106">
        <v>38</v>
      </c>
      <c r="M106">
        <v>30</v>
      </c>
      <c r="N106" t="s">
        <v>42</v>
      </c>
      <c r="O106" t="s">
        <v>36</v>
      </c>
      <c r="P106">
        <v>4.0199999999999996</v>
      </c>
      <c r="Q106" t="s">
        <v>34</v>
      </c>
      <c r="R106">
        <v>3.13</v>
      </c>
      <c r="S106" t="s">
        <v>47</v>
      </c>
      <c r="T106" t="str">
        <f t="shared" si="2"/>
        <v>Very High</v>
      </c>
      <c r="U106" t="str">
        <f t="shared" si="3"/>
        <v>Expert</v>
      </c>
    </row>
    <row r="107" spans="1:21" x14ac:dyDescent="0.35">
      <c r="A107" t="s">
        <v>180</v>
      </c>
      <c r="B107" t="s">
        <v>73</v>
      </c>
      <c r="C107" t="s">
        <v>52</v>
      </c>
      <c r="D107" t="s">
        <v>22</v>
      </c>
      <c r="E107" t="s">
        <v>41</v>
      </c>
      <c r="F107">
        <v>7</v>
      </c>
      <c r="G107">
        <v>0.22</v>
      </c>
      <c r="H107">
        <v>0.89</v>
      </c>
      <c r="I107" t="s">
        <v>24</v>
      </c>
      <c r="J107">
        <v>59581</v>
      </c>
      <c r="K107" t="s">
        <v>25</v>
      </c>
      <c r="L107">
        <v>-4</v>
      </c>
      <c r="M107">
        <v>49</v>
      </c>
      <c r="N107" t="s">
        <v>35</v>
      </c>
      <c r="O107" t="s">
        <v>36</v>
      </c>
      <c r="P107">
        <v>3.79</v>
      </c>
      <c r="Q107" t="s">
        <v>24</v>
      </c>
      <c r="R107">
        <v>1.98</v>
      </c>
      <c r="S107" t="s">
        <v>47</v>
      </c>
      <c r="T107" t="str">
        <f t="shared" si="2"/>
        <v>Very High</v>
      </c>
      <c r="U107" t="str">
        <f t="shared" si="3"/>
        <v>Intermediate</v>
      </c>
    </row>
    <row r="108" spans="1:21" x14ac:dyDescent="0.35">
      <c r="A108" t="s">
        <v>181</v>
      </c>
      <c r="B108" t="s">
        <v>57</v>
      </c>
      <c r="C108" t="s">
        <v>46</v>
      </c>
      <c r="D108" t="s">
        <v>63</v>
      </c>
      <c r="E108" t="s">
        <v>70</v>
      </c>
      <c r="F108">
        <v>7</v>
      </c>
      <c r="G108">
        <v>0.1</v>
      </c>
      <c r="H108">
        <v>0.6</v>
      </c>
      <c r="I108" t="s">
        <v>34</v>
      </c>
      <c r="J108">
        <v>105828</v>
      </c>
      <c r="K108" t="s">
        <v>25</v>
      </c>
      <c r="L108">
        <v>32</v>
      </c>
      <c r="M108">
        <v>46</v>
      </c>
      <c r="N108" t="s">
        <v>35</v>
      </c>
      <c r="O108" t="s">
        <v>36</v>
      </c>
      <c r="P108">
        <v>2.9</v>
      </c>
      <c r="Q108" t="s">
        <v>24</v>
      </c>
      <c r="R108">
        <v>3.23</v>
      </c>
      <c r="S108" t="s">
        <v>28</v>
      </c>
      <c r="T108" t="str">
        <f t="shared" si="2"/>
        <v>High</v>
      </c>
      <c r="U108" t="str">
        <f t="shared" si="3"/>
        <v>Intermediate</v>
      </c>
    </row>
    <row r="109" spans="1:21" x14ac:dyDescent="0.35">
      <c r="A109" t="s">
        <v>182</v>
      </c>
      <c r="B109" t="s">
        <v>30</v>
      </c>
      <c r="C109" t="s">
        <v>52</v>
      </c>
      <c r="D109" t="s">
        <v>69</v>
      </c>
      <c r="E109" t="s">
        <v>33</v>
      </c>
      <c r="F109">
        <v>9</v>
      </c>
      <c r="G109">
        <v>0.9</v>
      </c>
      <c r="H109">
        <v>0.73</v>
      </c>
      <c r="I109" t="s">
        <v>34</v>
      </c>
      <c r="J109">
        <v>167484</v>
      </c>
      <c r="K109" t="s">
        <v>25</v>
      </c>
      <c r="L109">
        <v>38</v>
      </c>
      <c r="M109">
        <v>47</v>
      </c>
      <c r="N109" t="s">
        <v>42</v>
      </c>
      <c r="O109" t="s">
        <v>25</v>
      </c>
      <c r="P109">
        <v>4.55</v>
      </c>
      <c r="Q109" t="s">
        <v>34</v>
      </c>
      <c r="R109">
        <v>4.43</v>
      </c>
      <c r="S109" t="s">
        <v>47</v>
      </c>
      <c r="T109" t="str">
        <f t="shared" si="2"/>
        <v>Moderate</v>
      </c>
      <c r="U109" t="str">
        <f t="shared" si="3"/>
        <v>Experienced</v>
      </c>
    </row>
    <row r="110" spans="1:21" x14ac:dyDescent="0.35">
      <c r="A110" t="s">
        <v>183</v>
      </c>
      <c r="B110" t="s">
        <v>45</v>
      </c>
      <c r="C110" t="s">
        <v>107</v>
      </c>
      <c r="D110" t="s">
        <v>63</v>
      </c>
      <c r="E110" t="s">
        <v>41</v>
      </c>
      <c r="F110">
        <v>17</v>
      </c>
      <c r="G110">
        <v>0.4</v>
      </c>
      <c r="H110">
        <v>0.4</v>
      </c>
      <c r="I110" t="s">
        <v>60</v>
      </c>
      <c r="J110">
        <v>116576</v>
      </c>
      <c r="K110" t="s">
        <v>25</v>
      </c>
      <c r="L110">
        <v>-7</v>
      </c>
      <c r="M110">
        <v>38</v>
      </c>
      <c r="N110" t="s">
        <v>42</v>
      </c>
      <c r="O110" t="s">
        <v>27</v>
      </c>
      <c r="P110">
        <v>3.81</v>
      </c>
      <c r="Q110" t="s">
        <v>24</v>
      </c>
      <c r="R110">
        <v>4.49</v>
      </c>
      <c r="S110" t="s">
        <v>47</v>
      </c>
      <c r="T110" t="str">
        <f t="shared" si="2"/>
        <v>Moderate</v>
      </c>
      <c r="U110" t="str">
        <f t="shared" si="3"/>
        <v>Expert</v>
      </c>
    </row>
    <row r="111" spans="1:21" x14ac:dyDescent="0.35">
      <c r="A111" t="s">
        <v>184</v>
      </c>
      <c r="B111" t="s">
        <v>68</v>
      </c>
      <c r="C111" t="s">
        <v>107</v>
      </c>
      <c r="D111" t="s">
        <v>59</v>
      </c>
      <c r="E111" t="s">
        <v>33</v>
      </c>
      <c r="F111">
        <v>12</v>
      </c>
      <c r="G111">
        <v>0.91</v>
      </c>
      <c r="H111">
        <v>0.21</v>
      </c>
      <c r="I111" t="s">
        <v>24</v>
      </c>
      <c r="J111">
        <v>79813</v>
      </c>
      <c r="K111" t="s">
        <v>27</v>
      </c>
      <c r="L111">
        <v>10</v>
      </c>
      <c r="M111">
        <v>54</v>
      </c>
      <c r="N111" t="s">
        <v>42</v>
      </c>
      <c r="O111" t="s">
        <v>36</v>
      </c>
      <c r="P111">
        <v>3.4</v>
      </c>
      <c r="Q111" t="s">
        <v>34</v>
      </c>
      <c r="R111">
        <v>2.23</v>
      </c>
      <c r="S111" t="s">
        <v>43</v>
      </c>
      <c r="T111" t="str">
        <f t="shared" si="2"/>
        <v>Very Low</v>
      </c>
      <c r="U111" t="str">
        <f t="shared" si="3"/>
        <v>Experienced</v>
      </c>
    </row>
    <row r="112" spans="1:21" x14ac:dyDescent="0.35">
      <c r="A112" t="s">
        <v>185</v>
      </c>
      <c r="B112" t="s">
        <v>73</v>
      </c>
      <c r="C112" t="s">
        <v>46</v>
      </c>
      <c r="D112" t="s">
        <v>59</v>
      </c>
      <c r="E112" t="s">
        <v>33</v>
      </c>
      <c r="F112">
        <v>0</v>
      </c>
      <c r="G112">
        <v>0.87</v>
      </c>
      <c r="H112">
        <v>0.49</v>
      </c>
      <c r="I112" t="s">
        <v>34</v>
      </c>
      <c r="J112">
        <v>138509</v>
      </c>
      <c r="K112" t="s">
        <v>27</v>
      </c>
      <c r="L112">
        <v>27</v>
      </c>
      <c r="M112">
        <v>48</v>
      </c>
      <c r="N112" t="s">
        <v>26</v>
      </c>
      <c r="O112" t="s">
        <v>36</v>
      </c>
      <c r="P112">
        <v>2.89</v>
      </c>
      <c r="Q112" t="s">
        <v>24</v>
      </c>
      <c r="R112">
        <v>2.3199999999999998</v>
      </c>
      <c r="S112" t="s">
        <v>43</v>
      </c>
      <c r="T112" t="str">
        <f t="shared" si="2"/>
        <v>Very Low</v>
      </c>
      <c r="U112" t="str">
        <f t="shared" si="3"/>
        <v>Beginner</v>
      </c>
    </row>
    <row r="113" spans="1:21" x14ac:dyDescent="0.35">
      <c r="A113" t="s">
        <v>186</v>
      </c>
      <c r="B113" t="s">
        <v>89</v>
      </c>
      <c r="C113" t="s">
        <v>107</v>
      </c>
      <c r="D113" t="s">
        <v>32</v>
      </c>
      <c r="E113" t="s">
        <v>70</v>
      </c>
      <c r="F113">
        <v>5</v>
      </c>
      <c r="G113">
        <v>0.79</v>
      </c>
      <c r="H113">
        <v>0.96</v>
      </c>
      <c r="I113" t="s">
        <v>24</v>
      </c>
      <c r="J113">
        <v>198216</v>
      </c>
      <c r="K113" t="s">
        <v>27</v>
      </c>
      <c r="L113">
        <v>24</v>
      </c>
      <c r="M113">
        <v>45</v>
      </c>
      <c r="N113" t="s">
        <v>35</v>
      </c>
      <c r="O113" t="s">
        <v>27</v>
      </c>
      <c r="P113">
        <v>4.97</v>
      </c>
      <c r="Q113" t="s">
        <v>24</v>
      </c>
      <c r="R113">
        <v>3.1</v>
      </c>
      <c r="S113" t="s">
        <v>47</v>
      </c>
      <c r="T113" t="str">
        <f t="shared" si="2"/>
        <v>High</v>
      </c>
      <c r="U113" t="str">
        <f t="shared" si="3"/>
        <v>Intermediate</v>
      </c>
    </row>
    <row r="114" spans="1:21" x14ac:dyDescent="0.35">
      <c r="A114" t="s">
        <v>187</v>
      </c>
      <c r="B114" t="s">
        <v>106</v>
      </c>
      <c r="C114" t="s">
        <v>58</v>
      </c>
      <c r="D114" t="s">
        <v>59</v>
      </c>
      <c r="E114" t="s">
        <v>23</v>
      </c>
      <c r="F114">
        <v>11</v>
      </c>
      <c r="G114">
        <v>0.81</v>
      </c>
      <c r="H114">
        <v>0.38</v>
      </c>
      <c r="I114" t="s">
        <v>24</v>
      </c>
      <c r="J114">
        <v>215380</v>
      </c>
      <c r="K114" t="s">
        <v>27</v>
      </c>
      <c r="L114">
        <v>30</v>
      </c>
      <c r="M114">
        <v>51</v>
      </c>
      <c r="N114" t="s">
        <v>26</v>
      </c>
      <c r="O114" t="s">
        <v>36</v>
      </c>
      <c r="P114">
        <v>3.98</v>
      </c>
      <c r="Q114" t="s">
        <v>24</v>
      </c>
      <c r="R114">
        <v>1.03</v>
      </c>
      <c r="S114" t="s">
        <v>28</v>
      </c>
      <c r="T114" t="str">
        <f t="shared" si="2"/>
        <v>Very Low</v>
      </c>
      <c r="U114" t="str">
        <f t="shared" si="3"/>
        <v>Experienced</v>
      </c>
    </row>
    <row r="115" spans="1:21" x14ac:dyDescent="0.35">
      <c r="A115" t="s">
        <v>188</v>
      </c>
      <c r="B115" t="s">
        <v>51</v>
      </c>
      <c r="C115" t="s">
        <v>21</v>
      </c>
      <c r="D115" t="s">
        <v>40</v>
      </c>
      <c r="E115" t="s">
        <v>33</v>
      </c>
      <c r="F115">
        <v>7</v>
      </c>
      <c r="G115">
        <v>0.5</v>
      </c>
      <c r="H115">
        <v>0.75</v>
      </c>
      <c r="I115" t="s">
        <v>24</v>
      </c>
      <c r="J115">
        <v>142872</v>
      </c>
      <c r="K115" t="s">
        <v>27</v>
      </c>
      <c r="L115">
        <v>23</v>
      </c>
      <c r="M115">
        <v>38</v>
      </c>
      <c r="N115" t="s">
        <v>42</v>
      </c>
      <c r="O115" t="s">
        <v>36</v>
      </c>
      <c r="P115">
        <v>4.38</v>
      </c>
      <c r="Q115" t="s">
        <v>24</v>
      </c>
      <c r="R115">
        <v>2.4900000000000002</v>
      </c>
      <c r="S115" t="s">
        <v>43</v>
      </c>
      <c r="T115" t="str">
        <f t="shared" si="2"/>
        <v>High</v>
      </c>
      <c r="U115" t="str">
        <f t="shared" si="3"/>
        <v>Intermediate</v>
      </c>
    </row>
    <row r="116" spans="1:21" x14ac:dyDescent="0.35">
      <c r="A116" t="s">
        <v>189</v>
      </c>
      <c r="B116" t="s">
        <v>45</v>
      </c>
      <c r="C116" t="s">
        <v>52</v>
      </c>
      <c r="D116" t="s">
        <v>69</v>
      </c>
      <c r="E116" t="s">
        <v>23</v>
      </c>
      <c r="F116">
        <v>17</v>
      </c>
      <c r="G116">
        <v>0.64</v>
      </c>
      <c r="H116">
        <v>0.88</v>
      </c>
      <c r="I116" t="s">
        <v>34</v>
      </c>
      <c r="J116">
        <v>38305</v>
      </c>
      <c r="K116" t="s">
        <v>25</v>
      </c>
      <c r="L116">
        <v>30</v>
      </c>
      <c r="M116">
        <v>30</v>
      </c>
      <c r="N116" t="s">
        <v>26</v>
      </c>
      <c r="O116" t="s">
        <v>25</v>
      </c>
      <c r="P116">
        <v>2.25</v>
      </c>
      <c r="Q116" t="s">
        <v>34</v>
      </c>
      <c r="R116">
        <v>3.58</v>
      </c>
      <c r="S116" t="s">
        <v>43</v>
      </c>
      <c r="T116" t="str">
        <f t="shared" si="2"/>
        <v>High</v>
      </c>
      <c r="U116" t="str">
        <f t="shared" si="3"/>
        <v>Expert</v>
      </c>
    </row>
    <row r="117" spans="1:21" x14ac:dyDescent="0.35">
      <c r="A117" t="s">
        <v>190</v>
      </c>
      <c r="B117" t="s">
        <v>89</v>
      </c>
      <c r="C117" t="s">
        <v>31</v>
      </c>
      <c r="D117" t="s">
        <v>75</v>
      </c>
      <c r="E117" t="s">
        <v>41</v>
      </c>
      <c r="F117">
        <v>21</v>
      </c>
      <c r="G117">
        <v>0.24</v>
      </c>
      <c r="H117">
        <v>0.89</v>
      </c>
      <c r="I117" t="s">
        <v>34</v>
      </c>
      <c r="J117">
        <v>178579</v>
      </c>
      <c r="K117" t="s">
        <v>27</v>
      </c>
      <c r="L117">
        <v>26</v>
      </c>
      <c r="M117">
        <v>51</v>
      </c>
      <c r="N117" t="s">
        <v>35</v>
      </c>
      <c r="O117" t="s">
        <v>25</v>
      </c>
      <c r="P117">
        <v>4.79</v>
      </c>
      <c r="Q117" t="s">
        <v>34</v>
      </c>
      <c r="R117">
        <v>1.06</v>
      </c>
      <c r="S117" t="s">
        <v>47</v>
      </c>
      <c r="T117" t="str">
        <f t="shared" si="2"/>
        <v>Very High</v>
      </c>
      <c r="U117" t="str">
        <f t="shared" si="3"/>
        <v>Expert</v>
      </c>
    </row>
    <row r="118" spans="1:21" x14ac:dyDescent="0.35">
      <c r="A118" t="s">
        <v>191</v>
      </c>
      <c r="B118" t="s">
        <v>20</v>
      </c>
      <c r="C118" t="s">
        <v>74</v>
      </c>
      <c r="D118" t="s">
        <v>69</v>
      </c>
      <c r="E118" t="s">
        <v>33</v>
      </c>
      <c r="F118">
        <v>25</v>
      </c>
      <c r="G118">
        <v>0.56000000000000005</v>
      </c>
      <c r="H118">
        <v>0.65</v>
      </c>
      <c r="I118" t="s">
        <v>60</v>
      </c>
      <c r="J118">
        <v>132015</v>
      </c>
      <c r="K118" t="s">
        <v>27</v>
      </c>
      <c r="L118">
        <v>-5</v>
      </c>
      <c r="M118">
        <v>46</v>
      </c>
      <c r="N118" t="s">
        <v>26</v>
      </c>
      <c r="O118" t="s">
        <v>36</v>
      </c>
      <c r="P118">
        <v>2.16</v>
      </c>
      <c r="Q118" t="s">
        <v>34</v>
      </c>
      <c r="R118">
        <v>1.93</v>
      </c>
      <c r="S118" t="s">
        <v>47</v>
      </c>
      <c r="T118" t="str">
        <f t="shared" si="2"/>
        <v>High</v>
      </c>
      <c r="U118" t="str">
        <f t="shared" si="3"/>
        <v>Expert</v>
      </c>
    </row>
    <row r="119" spans="1:21" x14ac:dyDescent="0.35">
      <c r="A119" t="s">
        <v>192</v>
      </c>
      <c r="B119" t="s">
        <v>147</v>
      </c>
      <c r="C119" t="s">
        <v>55</v>
      </c>
      <c r="D119" t="s">
        <v>69</v>
      </c>
      <c r="E119" t="s">
        <v>23</v>
      </c>
      <c r="F119">
        <v>5</v>
      </c>
      <c r="G119">
        <v>0.76</v>
      </c>
      <c r="H119">
        <v>0.56000000000000005</v>
      </c>
      <c r="I119" t="s">
        <v>60</v>
      </c>
      <c r="J119">
        <v>89805</v>
      </c>
      <c r="K119" t="s">
        <v>27</v>
      </c>
      <c r="L119">
        <v>32</v>
      </c>
      <c r="M119">
        <v>42</v>
      </c>
      <c r="N119" t="s">
        <v>35</v>
      </c>
      <c r="O119" t="s">
        <v>27</v>
      </c>
      <c r="P119">
        <v>2.89</v>
      </c>
      <c r="Q119" t="s">
        <v>24</v>
      </c>
      <c r="R119">
        <v>3.85</v>
      </c>
      <c r="S119" t="s">
        <v>47</v>
      </c>
      <c r="T119" t="str">
        <f t="shared" si="2"/>
        <v>Moderate</v>
      </c>
      <c r="U119" t="str">
        <f t="shared" si="3"/>
        <v>Intermediate</v>
      </c>
    </row>
    <row r="120" spans="1:21" x14ac:dyDescent="0.35">
      <c r="A120" t="s">
        <v>193</v>
      </c>
      <c r="B120" t="s">
        <v>62</v>
      </c>
      <c r="C120" t="s">
        <v>107</v>
      </c>
      <c r="D120" t="s">
        <v>63</v>
      </c>
      <c r="E120" t="s">
        <v>70</v>
      </c>
      <c r="F120">
        <v>3</v>
      </c>
      <c r="G120">
        <v>0.34</v>
      </c>
      <c r="H120">
        <v>0.28000000000000003</v>
      </c>
      <c r="I120" t="s">
        <v>24</v>
      </c>
      <c r="J120">
        <v>31361</v>
      </c>
      <c r="K120" t="s">
        <v>25</v>
      </c>
      <c r="L120">
        <v>1</v>
      </c>
      <c r="M120">
        <v>43</v>
      </c>
      <c r="N120" t="s">
        <v>42</v>
      </c>
      <c r="O120" t="s">
        <v>27</v>
      </c>
      <c r="P120">
        <v>3.66</v>
      </c>
      <c r="Q120" t="s">
        <v>34</v>
      </c>
      <c r="R120">
        <v>1.41</v>
      </c>
      <c r="S120" t="s">
        <v>47</v>
      </c>
      <c r="T120" t="str">
        <f t="shared" si="2"/>
        <v>Moderate</v>
      </c>
      <c r="U120" t="str">
        <f t="shared" si="3"/>
        <v>Intermediate</v>
      </c>
    </row>
    <row r="121" spans="1:21" x14ac:dyDescent="0.35">
      <c r="A121" t="s">
        <v>194</v>
      </c>
      <c r="B121" t="s">
        <v>20</v>
      </c>
      <c r="C121" t="s">
        <v>39</v>
      </c>
      <c r="D121" t="s">
        <v>22</v>
      </c>
      <c r="E121" t="s">
        <v>33</v>
      </c>
      <c r="F121">
        <v>21</v>
      </c>
      <c r="G121">
        <v>0.06</v>
      </c>
      <c r="H121">
        <v>0.53</v>
      </c>
      <c r="I121" t="s">
        <v>34</v>
      </c>
      <c r="J121">
        <v>52203</v>
      </c>
      <c r="K121" t="s">
        <v>25</v>
      </c>
      <c r="L121">
        <v>-2</v>
      </c>
      <c r="M121">
        <v>38</v>
      </c>
      <c r="N121" t="s">
        <v>42</v>
      </c>
      <c r="O121" t="s">
        <v>36</v>
      </c>
      <c r="P121">
        <v>3.48</v>
      </c>
      <c r="Q121" t="s">
        <v>24</v>
      </c>
      <c r="R121">
        <v>1.67</v>
      </c>
      <c r="S121" t="s">
        <v>43</v>
      </c>
      <c r="T121" t="str">
        <f t="shared" si="2"/>
        <v>High</v>
      </c>
      <c r="U121" t="str">
        <f t="shared" si="3"/>
        <v>Expert</v>
      </c>
    </row>
    <row r="122" spans="1:21" x14ac:dyDescent="0.35">
      <c r="A122" t="s">
        <v>195</v>
      </c>
      <c r="B122" t="s">
        <v>102</v>
      </c>
      <c r="C122" t="s">
        <v>107</v>
      </c>
      <c r="D122" t="s">
        <v>40</v>
      </c>
      <c r="E122" t="s">
        <v>33</v>
      </c>
      <c r="F122">
        <v>9</v>
      </c>
      <c r="G122">
        <v>0.7</v>
      </c>
      <c r="H122">
        <v>0.59</v>
      </c>
      <c r="I122" t="s">
        <v>24</v>
      </c>
      <c r="J122">
        <v>191656</v>
      </c>
      <c r="K122" t="s">
        <v>42</v>
      </c>
      <c r="L122">
        <v>11</v>
      </c>
      <c r="M122">
        <v>56</v>
      </c>
      <c r="N122" t="s">
        <v>26</v>
      </c>
      <c r="O122" t="s">
        <v>36</v>
      </c>
      <c r="P122">
        <v>4.41</v>
      </c>
      <c r="Q122" t="s">
        <v>34</v>
      </c>
      <c r="R122">
        <v>2.76</v>
      </c>
      <c r="S122" t="s">
        <v>43</v>
      </c>
      <c r="T122" t="str">
        <f t="shared" si="2"/>
        <v>Moderate</v>
      </c>
      <c r="U122" t="str">
        <f t="shared" si="3"/>
        <v>Experienced</v>
      </c>
    </row>
    <row r="123" spans="1:21" x14ac:dyDescent="0.35">
      <c r="A123" t="s">
        <v>196</v>
      </c>
      <c r="B123" t="s">
        <v>62</v>
      </c>
      <c r="C123" t="s">
        <v>107</v>
      </c>
      <c r="D123" t="s">
        <v>22</v>
      </c>
      <c r="E123" t="s">
        <v>33</v>
      </c>
      <c r="F123">
        <v>10</v>
      </c>
      <c r="G123">
        <v>0.33</v>
      </c>
      <c r="H123">
        <v>0.96</v>
      </c>
      <c r="I123" t="s">
        <v>34</v>
      </c>
      <c r="J123">
        <v>113660</v>
      </c>
      <c r="K123" t="s">
        <v>42</v>
      </c>
      <c r="L123">
        <v>42</v>
      </c>
      <c r="M123">
        <v>55</v>
      </c>
      <c r="N123" t="s">
        <v>42</v>
      </c>
      <c r="O123" t="s">
        <v>36</v>
      </c>
      <c r="P123">
        <v>2.34</v>
      </c>
      <c r="Q123" t="s">
        <v>24</v>
      </c>
      <c r="R123">
        <v>3.37</v>
      </c>
      <c r="S123" t="s">
        <v>28</v>
      </c>
      <c r="T123" t="str">
        <f t="shared" si="2"/>
        <v>Very High</v>
      </c>
      <c r="U123" t="str">
        <f t="shared" si="3"/>
        <v>Experienced</v>
      </c>
    </row>
    <row r="124" spans="1:21" x14ac:dyDescent="0.35">
      <c r="A124" t="s">
        <v>197</v>
      </c>
      <c r="B124" t="s">
        <v>45</v>
      </c>
      <c r="C124" t="s">
        <v>52</v>
      </c>
      <c r="D124" t="s">
        <v>49</v>
      </c>
      <c r="E124" t="s">
        <v>33</v>
      </c>
      <c r="F124">
        <v>20</v>
      </c>
      <c r="G124">
        <v>0.24</v>
      </c>
      <c r="H124">
        <v>0.83</v>
      </c>
      <c r="I124" t="s">
        <v>34</v>
      </c>
      <c r="J124">
        <v>211622</v>
      </c>
      <c r="K124" t="s">
        <v>25</v>
      </c>
      <c r="L124">
        <v>6</v>
      </c>
      <c r="M124">
        <v>51</v>
      </c>
      <c r="N124" t="s">
        <v>35</v>
      </c>
      <c r="O124" t="s">
        <v>27</v>
      </c>
      <c r="P124">
        <v>3.27</v>
      </c>
      <c r="Q124" t="s">
        <v>34</v>
      </c>
      <c r="R124">
        <v>1.3</v>
      </c>
      <c r="S124" t="s">
        <v>28</v>
      </c>
      <c r="T124" t="str">
        <f t="shared" si="2"/>
        <v>Very High</v>
      </c>
      <c r="U124" t="str">
        <f t="shared" si="3"/>
        <v>Expert</v>
      </c>
    </row>
    <row r="125" spans="1:21" x14ac:dyDescent="0.35">
      <c r="A125" t="s">
        <v>198</v>
      </c>
      <c r="B125" t="s">
        <v>77</v>
      </c>
      <c r="C125" t="s">
        <v>21</v>
      </c>
      <c r="D125" t="s">
        <v>40</v>
      </c>
      <c r="E125" t="s">
        <v>33</v>
      </c>
      <c r="F125">
        <v>21</v>
      </c>
      <c r="G125">
        <v>0.92</v>
      </c>
      <c r="H125">
        <v>0.75</v>
      </c>
      <c r="I125" t="s">
        <v>60</v>
      </c>
      <c r="J125">
        <v>170746</v>
      </c>
      <c r="K125" t="s">
        <v>42</v>
      </c>
      <c r="L125">
        <v>0</v>
      </c>
      <c r="M125">
        <v>50</v>
      </c>
      <c r="N125" t="s">
        <v>26</v>
      </c>
      <c r="O125" t="s">
        <v>25</v>
      </c>
      <c r="P125">
        <v>3.69</v>
      </c>
      <c r="Q125" t="s">
        <v>34</v>
      </c>
      <c r="R125">
        <v>4.87</v>
      </c>
      <c r="S125" t="s">
        <v>43</v>
      </c>
      <c r="T125" t="str">
        <f t="shared" si="2"/>
        <v>Moderate</v>
      </c>
      <c r="U125" t="str">
        <f t="shared" si="3"/>
        <v>Expert</v>
      </c>
    </row>
    <row r="126" spans="1:21" x14ac:dyDescent="0.35">
      <c r="A126" t="s">
        <v>199</v>
      </c>
      <c r="B126" t="s">
        <v>38</v>
      </c>
      <c r="C126" t="s">
        <v>39</v>
      </c>
      <c r="D126" t="s">
        <v>49</v>
      </c>
      <c r="E126" t="s">
        <v>70</v>
      </c>
      <c r="F126">
        <v>12</v>
      </c>
      <c r="G126">
        <v>0.72</v>
      </c>
      <c r="H126">
        <v>0.64</v>
      </c>
      <c r="I126" t="s">
        <v>34</v>
      </c>
      <c r="J126">
        <v>210267</v>
      </c>
      <c r="K126" t="s">
        <v>27</v>
      </c>
      <c r="L126">
        <v>27</v>
      </c>
      <c r="M126">
        <v>52</v>
      </c>
      <c r="N126" t="s">
        <v>26</v>
      </c>
      <c r="O126" t="s">
        <v>25</v>
      </c>
      <c r="P126">
        <v>3.03</v>
      </c>
      <c r="Q126" t="s">
        <v>24</v>
      </c>
      <c r="R126">
        <v>2.93</v>
      </c>
      <c r="S126" t="s">
        <v>43</v>
      </c>
      <c r="T126" t="str">
        <f t="shared" si="2"/>
        <v>Moderate</v>
      </c>
      <c r="U126" t="str">
        <f t="shared" si="3"/>
        <v>Experienced</v>
      </c>
    </row>
    <row r="127" spans="1:21" x14ac:dyDescent="0.35">
      <c r="A127" t="s">
        <v>200</v>
      </c>
      <c r="B127" t="s">
        <v>147</v>
      </c>
      <c r="C127" t="s">
        <v>107</v>
      </c>
      <c r="D127" t="s">
        <v>40</v>
      </c>
      <c r="E127" t="s">
        <v>23</v>
      </c>
      <c r="F127">
        <v>23</v>
      </c>
      <c r="G127">
        <v>0.46</v>
      </c>
      <c r="H127">
        <v>0.36</v>
      </c>
      <c r="I127" t="s">
        <v>60</v>
      </c>
      <c r="J127">
        <v>156596</v>
      </c>
      <c r="K127" t="s">
        <v>42</v>
      </c>
      <c r="L127">
        <v>10</v>
      </c>
      <c r="M127">
        <v>32</v>
      </c>
      <c r="N127" t="s">
        <v>42</v>
      </c>
      <c r="O127" t="s">
        <v>25</v>
      </c>
      <c r="P127">
        <v>4.43</v>
      </c>
      <c r="Q127" t="s">
        <v>24</v>
      </c>
      <c r="R127">
        <v>1.0900000000000001</v>
      </c>
      <c r="S127" t="s">
        <v>43</v>
      </c>
      <c r="T127" t="str">
        <f t="shared" si="2"/>
        <v>Moderate</v>
      </c>
      <c r="U127" t="str">
        <f t="shared" si="3"/>
        <v>Expert</v>
      </c>
    </row>
    <row r="128" spans="1:21" x14ac:dyDescent="0.35">
      <c r="A128" t="s">
        <v>201</v>
      </c>
      <c r="B128" t="s">
        <v>91</v>
      </c>
      <c r="C128" t="s">
        <v>39</v>
      </c>
      <c r="D128" t="s">
        <v>69</v>
      </c>
      <c r="E128" t="s">
        <v>33</v>
      </c>
      <c r="F128">
        <v>5</v>
      </c>
      <c r="G128">
        <v>0.55000000000000004</v>
      </c>
      <c r="H128">
        <v>0.46</v>
      </c>
      <c r="I128" t="s">
        <v>60</v>
      </c>
      <c r="J128">
        <v>141770</v>
      </c>
      <c r="K128" t="s">
        <v>27</v>
      </c>
      <c r="L128">
        <v>17</v>
      </c>
      <c r="M128">
        <v>42</v>
      </c>
      <c r="N128" t="s">
        <v>35</v>
      </c>
      <c r="O128" t="s">
        <v>27</v>
      </c>
      <c r="P128">
        <v>3.84</v>
      </c>
      <c r="Q128" t="s">
        <v>24</v>
      </c>
      <c r="R128">
        <v>2.8</v>
      </c>
      <c r="S128" t="s">
        <v>43</v>
      </c>
      <c r="T128" t="str">
        <f t="shared" si="2"/>
        <v>Moderate</v>
      </c>
      <c r="U128" t="str">
        <f t="shared" si="3"/>
        <v>Intermediate</v>
      </c>
    </row>
    <row r="129" spans="1:21" x14ac:dyDescent="0.35">
      <c r="A129" t="s">
        <v>202</v>
      </c>
      <c r="B129" t="s">
        <v>20</v>
      </c>
      <c r="C129" t="s">
        <v>82</v>
      </c>
      <c r="D129" t="s">
        <v>63</v>
      </c>
      <c r="E129" t="s">
        <v>70</v>
      </c>
      <c r="F129">
        <v>6</v>
      </c>
      <c r="G129">
        <v>0.78</v>
      </c>
      <c r="H129">
        <v>0.25</v>
      </c>
      <c r="I129" t="s">
        <v>34</v>
      </c>
      <c r="J129">
        <v>56673</v>
      </c>
      <c r="K129" t="s">
        <v>25</v>
      </c>
      <c r="L129">
        <v>6</v>
      </c>
      <c r="M129">
        <v>51</v>
      </c>
      <c r="N129" t="s">
        <v>42</v>
      </c>
      <c r="O129" t="s">
        <v>27</v>
      </c>
      <c r="P129">
        <v>4.9000000000000004</v>
      </c>
      <c r="Q129" t="s">
        <v>34</v>
      </c>
      <c r="R129">
        <v>3.39</v>
      </c>
      <c r="S129" t="s">
        <v>28</v>
      </c>
      <c r="T129" t="str">
        <f t="shared" si="2"/>
        <v>Very Low</v>
      </c>
      <c r="U129" t="str">
        <f t="shared" si="3"/>
        <v>Intermediate</v>
      </c>
    </row>
    <row r="130" spans="1:21" x14ac:dyDescent="0.35">
      <c r="A130" t="s">
        <v>203</v>
      </c>
      <c r="B130" t="s">
        <v>77</v>
      </c>
      <c r="C130" t="s">
        <v>46</v>
      </c>
      <c r="D130" t="s">
        <v>40</v>
      </c>
      <c r="E130" t="s">
        <v>33</v>
      </c>
      <c r="F130">
        <v>10</v>
      </c>
      <c r="G130">
        <v>0.21</v>
      </c>
      <c r="H130">
        <v>0.73</v>
      </c>
      <c r="I130" t="s">
        <v>24</v>
      </c>
      <c r="J130">
        <v>107973</v>
      </c>
      <c r="K130" t="s">
        <v>25</v>
      </c>
      <c r="L130">
        <v>9</v>
      </c>
      <c r="M130">
        <v>33</v>
      </c>
      <c r="N130" t="s">
        <v>35</v>
      </c>
      <c r="O130" t="s">
        <v>36</v>
      </c>
      <c r="P130">
        <v>4.08</v>
      </c>
      <c r="Q130" t="s">
        <v>34</v>
      </c>
      <c r="R130">
        <v>2.67</v>
      </c>
      <c r="S130" t="s">
        <v>47</v>
      </c>
      <c r="T130" t="str">
        <f t="shared" si="2"/>
        <v>Very High</v>
      </c>
      <c r="U130" t="str">
        <f t="shared" si="3"/>
        <v>Experienced</v>
      </c>
    </row>
    <row r="131" spans="1:21" x14ac:dyDescent="0.35">
      <c r="A131" t="s">
        <v>204</v>
      </c>
      <c r="B131" t="s">
        <v>20</v>
      </c>
      <c r="C131" t="s">
        <v>82</v>
      </c>
      <c r="D131" t="s">
        <v>49</v>
      </c>
      <c r="E131" t="s">
        <v>70</v>
      </c>
      <c r="F131">
        <v>4</v>
      </c>
      <c r="G131">
        <v>0.88</v>
      </c>
      <c r="H131">
        <v>0.94</v>
      </c>
      <c r="I131" t="s">
        <v>24</v>
      </c>
      <c r="J131">
        <v>75412</v>
      </c>
      <c r="K131" t="s">
        <v>42</v>
      </c>
      <c r="L131">
        <v>43</v>
      </c>
      <c r="M131">
        <v>44</v>
      </c>
      <c r="N131" t="s">
        <v>26</v>
      </c>
      <c r="O131" t="s">
        <v>25</v>
      </c>
      <c r="P131">
        <v>4.5999999999999996</v>
      </c>
      <c r="Q131" t="s">
        <v>24</v>
      </c>
      <c r="R131">
        <v>2.94</v>
      </c>
      <c r="S131" t="s">
        <v>47</v>
      </c>
      <c r="T131" t="str">
        <f t="shared" ref="T131:T194" si="4">IF(AND(G131&lt;0.4,H131&gt;=0.7),"Very High",
IF(AND(G131&gt;=0.7,H131&lt;0.5),"Very Low",
IF(G131&lt;H131,"High","Moderate")))</f>
        <v>High</v>
      </c>
      <c r="U131" t="str">
        <f t="shared" ref="U131:U194" si="5">_xlfn.IFS(F131&lt;=2,"Beginner",F131&lt;=8,"Intermediate",F131&lt;=15,"Experienced",F131&lt;=25,"Expert")</f>
        <v>Intermediate</v>
      </c>
    </row>
    <row r="132" spans="1:21" x14ac:dyDescent="0.35">
      <c r="A132" t="s">
        <v>205</v>
      </c>
      <c r="B132" t="s">
        <v>51</v>
      </c>
      <c r="C132" t="s">
        <v>21</v>
      </c>
      <c r="D132" t="s">
        <v>22</v>
      </c>
      <c r="E132" t="s">
        <v>41</v>
      </c>
      <c r="F132">
        <v>25</v>
      </c>
      <c r="G132">
        <v>0.42</v>
      </c>
      <c r="H132">
        <v>0.86</v>
      </c>
      <c r="I132" t="s">
        <v>24</v>
      </c>
      <c r="J132">
        <v>158109</v>
      </c>
      <c r="K132" t="s">
        <v>42</v>
      </c>
      <c r="L132">
        <v>-8</v>
      </c>
      <c r="M132">
        <v>38</v>
      </c>
      <c r="N132" t="s">
        <v>35</v>
      </c>
      <c r="O132" t="s">
        <v>27</v>
      </c>
      <c r="P132">
        <v>2.87</v>
      </c>
      <c r="Q132" t="s">
        <v>34</v>
      </c>
      <c r="R132">
        <v>3.26</v>
      </c>
      <c r="S132" t="s">
        <v>43</v>
      </c>
      <c r="T132" t="str">
        <f t="shared" si="4"/>
        <v>High</v>
      </c>
      <c r="U132" t="str">
        <f t="shared" si="5"/>
        <v>Expert</v>
      </c>
    </row>
    <row r="133" spans="1:21" x14ac:dyDescent="0.35">
      <c r="A133" t="s">
        <v>206</v>
      </c>
      <c r="B133" t="s">
        <v>91</v>
      </c>
      <c r="C133" t="s">
        <v>55</v>
      </c>
      <c r="D133" t="s">
        <v>59</v>
      </c>
      <c r="E133" t="s">
        <v>23</v>
      </c>
      <c r="F133">
        <v>3</v>
      </c>
      <c r="G133">
        <v>0.54</v>
      </c>
      <c r="H133">
        <v>0.8</v>
      </c>
      <c r="I133" t="s">
        <v>60</v>
      </c>
      <c r="J133">
        <v>218476</v>
      </c>
      <c r="K133" t="s">
        <v>27</v>
      </c>
      <c r="L133">
        <v>38</v>
      </c>
      <c r="M133">
        <v>37</v>
      </c>
      <c r="N133" t="s">
        <v>42</v>
      </c>
      <c r="O133" t="s">
        <v>25</v>
      </c>
      <c r="P133">
        <v>3.35</v>
      </c>
      <c r="Q133" t="s">
        <v>34</v>
      </c>
      <c r="R133">
        <v>4.45</v>
      </c>
      <c r="S133" t="s">
        <v>47</v>
      </c>
      <c r="T133" t="str">
        <f t="shared" si="4"/>
        <v>High</v>
      </c>
      <c r="U133" t="str">
        <f t="shared" si="5"/>
        <v>Intermediate</v>
      </c>
    </row>
    <row r="134" spans="1:21" x14ac:dyDescent="0.35">
      <c r="A134" t="s">
        <v>207</v>
      </c>
      <c r="B134" t="s">
        <v>94</v>
      </c>
      <c r="C134" t="s">
        <v>82</v>
      </c>
      <c r="D134" t="s">
        <v>22</v>
      </c>
      <c r="E134" t="s">
        <v>33</v>
      </c>
      <c r="F134">
        <v>25</v>
      </c>
      <c r="G134">
        <v>0.67</v>
      </c>
      <c r="H134">
        <v>0.88</v>
      </c>
      <c r="I134" t="s">
        <v>24</v>
      </c>
      <c r="J134">
        <v>189976</v>
      </c>
      <c r="K134" t="s">
        <v>25</v>
      </c>
      <c r="L134">
        <v>41</v>
      </c>
      <c r="M134">
        <v>31</v>
      </c>
      <c r="N134" t="s">
        <v>26</v>
      </c>
      <c r="O134" t="s">
        <v>36</v>
      </c>
      <c r="P134">
        <v>3.6</v>
      </c>
      <c r="Q134" t="s">
        <v>24</v>
      </c>
      <c r="R134">
        <v>2.29</v>
      </c>
      <c r="S134" t="s">
        <v>28</v>
      </c>
      <c r="T134" t="str">
        <f t="shared" si="4"/>
        <v>High</v>
      </c>
      <c r="U134" t="str">
        <f t="shared" si="5"/>
        <v>Expert</v>
      </c>
    </row>
    <row r="135" spans="1:21" x14ac:dyDescent="0.35">
      <c r="A135" t="s">
        <v>208</v>
      </c>
      <c r="B135" t="s">
        <v>106</v>
      </c>
      <c r="C135" t="s">
        <v>82</v>
      </c>
      <c r="D135" t="s">
        <v>59</v>
      </c>
      <c r="E135" t="s">
        <v>33</v>
      </c>
      <c r="F135">
        <v>22</v>
      </c>
      <c r="G135">
        <v>0.76</v>
      </c>
      <c r="H135">
        <v>0.93</v>
      </c>
      <c r="I135" t="s">
        <v>34</v>
      </c>
      <c r="J135">
        <v>102698</v>
      </c>
      <c r="K135" t="s">
        <v>25</v>
      </c>
      <c r="L135">
        <v>38</v>
      </c>
      <c r="M135">
        <v>56</v>
      </c>
      <c r="N135" t="s">
        <v>26</v>
      </c>
      <c r="O135" t="s">
        <v>36</v>
      </c>
      <c r="P135">
        <v>3.47</v>
      </c>
      <c r="Q135" t="s">
        <v>34</v>
      </c>
      <c r="R135">
        <v>3.51</v>
      </c>
      <c r="S135" t="s">
        <v>43</v>
      </c>
      <c r="T135" t="str">
        <f t="shared" si="4"/>
        <v>High</v>
      </c>
      <c r="U135" t="str">
        <f t="shared" si="5"/>
        <v>Expert</v>
      </c>
    </row>
    <row r="136" spans="1:21" x14ac:dyDescent="0.35">
      <c r="A136" t="s">
        <v>209</v>
      </c>
      <c r="B136" t="s">
        <v>89</v>
      </c>
      <c r="C136" t="s">
        <v>74</v>
      </c>
      <c r="D136" t="s">
        <v>22</v>
      </c>
      <c r="E136" t="s">
        <v>41</v>
      </c>
      <c r="F136">
        <v>24</v>
      </c>
      <c r="G136">
        <v>0.68</v>
      </c>
      <c r="H136">
        <v>0.89</v>
      </c>
      <c r="I136" t="s">
        <v>60</v>
      </c>
      <c r="J136">
        <v>149195</v>
      </c>
      <c r="K136" t="s">
        <v>25</v>
      </c>
      <c r="L136">
        <v>36</v>
      </c>
      <c r="M136">
        <v>44</v>
      </c>
      <c r="N136" t="s">
        <v>26</v>
      </c>
      <c r="O136" t="s">
        <v>27</v>
      </c>
      <c r="P136">
        <v>4.09</v>
      </c>
      <c r="Q136" t="s">
        <v>24</v>
      </c>
      <c r="R136">
        <v>4.18</v>
      </c>
      <c r="S136" t="s">
        <v>43</v>
      </c>
      <c r="T136" t="str">
        <f t="shared" si="4"/>
        <v>High</v>
      </c>
      <c r="U136" t="str">
        <f t="shared" si="5"/>
        <v>Expert</v>
      </c>
    </row>
    <row r="137" spans="1:21" x14ac:dyDescent="0.35">
      <c r="A137" t="s">
        <v>210</v>
      </c>
      <c r="B137" t="s">
        <v>38</v>
      </c>
      <c r="C137" t="s">
        <v>82</v>
      </c>
      <c r="D137" t="s">
        <v>22</v>
      </c>
      <c r="E137" t="s">
        <v>23</v>
      </c>
      <c r="F137">
        <v>25</v>
      </c>
      <c r="G137">
        <v>0.34</v>
      </c>
      <c r="H137">
        <v>0.42</v>
      </c>
      <c r="I137" t="s">
        <v>34</v>
      </c>
      <c r="J137">
        <v>173474</v>
      </c>
      <c r="K137" t="s">
        <v>27</v>
      </c>
      <c r="L137">
        <v>38</v>
      </c>
      <c r="M137">
        <v>31</v>
      </c>
      <c r="N137" t="s">
        <v>35</v>
      </c>
      <c r="O137" t="s">
        <v>25</v>
      </c>
      <c r="P137">
        <v>3.88</v>
      </c>
      <c r="Q137" t="s">
        <v>34</v>
      </c>
      <c r="R137">
        <v>1.07</v>
      </c>
      <c r="S137" t="s">
        <v>47</v>
      </c>
      <c r="T137" t="str">
        <f t="shared" si="4"/>
        <v>High</v>
      </c>
      <c r="U137" t="str">
        <f t="shared" si="5"/>
        <v>Expert</v>
      </c>
    </row>
    <row r="138" spans="1:21" x14ac:dyDescent="0.35">
      <c r="A138" t="s">
        <v>211</v>
      </c>
      <c r="B138" t="s">
        <v>45</v>
      </c>
      <c r="C138" t="s">
        <v>74</v>
      </c>
      <c r="D138" t="s">
        <v>66</v>
      </c>
      <c r="E138" t="s">
        <v>41</v>
      </c>
      <c r="F138">
        <v>11</v>
      </c>
      <c r="G138">
        <v>0.84</v>
      </c>
      <c r="H138">
        <v>0.44</v>
      </c>
      <c r="I138" t="s">
        <v>60</v>
      </c>
      <c r="J138">
        <v>101832</v>
      </c>
      <c r="K138" t="s">
        <v>27</v>
      </c>
      <c r="L138">
        <v>0</v>
      </c>
      <c r="M138">
        <v>31</v>
      </c>
      <c r="N138" t="s">
        <v>42</v>
      </c>
      <c r="O138" t="s">
        <v>27</v>
      </c>
      <c r="P138">
        <v>2.92</v>
      </c>
      <c r="Q138" t="s">
        <v>24</v>
      </c>
      <c r="R138">
        <v>2.72</v>
      </c>
      <c r="S138" t="s">
        <v>47</v>
      </c>
      <c r="T138" t="str">
        <f t="shared" si="4"/>
        <v>Very Low</v>
      </c>
      <c r="U138" t="str">
        <f t="shared" si="5"/>
        <v>Experienced</v>
      </c>
    </row>
    <row r="139" spans="1:21" x14ac:dyDescent="0.35">
      <c r="A139" t="s">
        <v>212</v>
      </c>
      <c r="B139" t="s">
        <v>91</v>
      </c>
      <c r="C139" t="s">
        <v>58</v>
      </c>
      <c r="D139" t="s">
        <v>75</v>
      </c>
      <c r="E139" t="s">
        <v>70</v>
      </c>
      <c r="F139">
        <v>3</v>
      </c>
      <c r="G139">
        <v>0.12</v>
      </c>
      <c r="H139">
        <v>0.67</v>
      </c>
      <c r="I139" t="s">
        <v>34</v>
      </c>
      <c r="J139">
        <v>166169</v>
      </c>
      <c r="K139" t="s">
        <v>27</v>
      </c>
      <c r="L139">
        <v>-2</v>
      </c>
      <c r="M139">
        <v>45</v>
      </c>
      <c r="N139" t="s">
        <v>35</v>
      </c>
      <c r="O139" t="s">
        <v>25</v>
      </c>
      <c r="P139">
        <v>3.15</v>
      </c>
      <c r="Q139" t="s">
        <v>24</v>
      </c>
      <c r="R139">
        <v>1.41</v>
      </c>
      <c r="S139" t="s">
        <v>43</v>
      </c>
      <c r="T139" t="str">
        <f t="shared" si="4"/>
        <v>High</v>
      </c>
      <c r="U139" t="str">
        <f t="shared" si="5"/>
        <v>Intermediate</v>
      </c>
    </row>
    <row r="140" spans="1:21" x14ac:dyDescent="0.35">
      <c r="A140" t="s">
        <v>213</v>
      </c>
      <c r="B140" t="s">
        <v>77</v>
      </c>
      <c r="C140" t="s">
        <v>82</v>
      </c>
      <c r="D140" t="s">
        <v>49</v>
      </c>
      <c r="E140" t="s">
        <v>70</v>
      </c>
      <c r="F140">
        <v>23</v>
      </c>
      <c r="G140">
        <v>0.18</v>
      </c>
      <c r="H140">
        <v>0.62</v>
      </c>
      <c r="I140" t="s">
        <v>24</v>
      </c>
      <c r="J140">
        <v>32221</v>
      </c>
      <c r="K140" t="s">
        <v>27</v>
      </c>
      <c r="L140">
        <v>37</v>
      </c>
      <c r="M140">
        <v>34</v>
      </c>
      <c r="N140" t="s">
        <v>42</v>
      </c>
      <c r="O140" t="s">
        <v>27</v>
      </c>
      <c r="P140">
        <v>4.0599999999999996</v>
      </c>
      <c r="Q140" t="s">
        <v>24</v>
      </c>
      <c r="R140">
        <v>1.35</v>
      </c>
      <c r="S140" t="s">
        <v>47</v>
      </c>
      <c r="T140" t="str">
        <f t="shared" si="4"/>
        <v>High</v>
      </c>
      <c r="U140" t="str">
        <f t="shared" si="5"/>
        <v>Expert</v>
      </c>
    </row>
    <row r="141" spans="1:21" x14ac:dyDescent="0.35">
      <c r="A141" t="s">
        <v>214</v>
      </c>
      <c r="B141" t="s">
        <v>45</v>
      </c>
      <c r="C141" t="s">
        <v>39</v>
      </c>
      <c r="D141" t="s">
        <v>80</v>
      </c>
      <c r="E141" t="s">
        <v>70</v>
      </c>
      <c r="F141">
        <v>24</v>
      </c>
      <c r="G141">
        <v>0.33</v>
      </c>
      <c r="H141">
        <v>0.31</v>
      </c>
      <c r="I141" t="s">
        <v>60</v>
      </c>
      <c r="J141">
        <v>102605</v>
      </c>
      <c r="K141" t="s">
        <v>25</v>
      </c>
      <c r="L141">
        <v>44</v>
      </c>
      <c r="M141">
        <v>57</v>
      </c>
      <c r="N141" t="s">
        <v>26</v>
      </c>
      <c r="O141" t="s">
        <v>36</v>
      </c>
      <c r="P141">
        <v>2.62</v>
      </c>
      <c r="Q141" t="s">
        <v>24</v>
      </c>
      <c r="R141">
        <v>3.99</v>
      </c>
      <c r="S141" t="s">
        <v>43</v>
      </c>
      <c r="T141" t="str">
        <f t="shared" si="4"/>
        <v>Moderate</v>
      </c>
      <c r="U141" t="str">
        <f t="shared" si="5"/>
        <v>Expert</v>
      </c>
    </row>
    <row r="142" spans="1:21" x14ac:dyDescent="0.35">
      <c r="A142" t="s">
        <v>215</v>
      </c>
      <c r="B142" t="s">
        <v>45</v>
      </c>
      <c r="C142" t="s">
        <v>55</v>
      </c>
      <c r="D142" t="s">
        <v>75</v>
      </c>
      <c r="E142" t="s">
        <v>70</v>
      </c>
      <c r="F142">
        <v>10</v>
      </c>
      <c r="G142">
        <v>0.15</v>
      </c>
      <c r="H142">
        <v>0.59</v>
      </c>
      <c r="I142" t="s">
        <v>24</v>
      </c>
      <c r="J142">
        <v>185695</v>
      </c>
      <c r="K142" t="s">
        <v>42</v>
      </c>
      <c r="L142">
        <v>45</v>
      </c>
      <c r="M142">
        <v>56</v>
      </c>
      <c r="N142" t="s">
        <v>26</v>
      </c>
      <c r="O142" t="s">
        <v>36</v>
      </c>
      <c r="P142">
        <v>3.1</v>
      </c>
      <c r="Q142" t="s">
        <v>24</v>
      </c>
      <c r="R142">
        <v>4.05</v>
      </c>
      <c r="S142" t="s">
        <v>47</v>
      </c>
      <c r="T142" t="str">
        <f t="shared" si="4"/>
        <v>High</v>
      </c>
      <c r="U142" t="str">
        <f t="shared" si="5"/>
        <v>Experienced</v>
      </c>
    </row>
    <row r="143" spans="1:21" x14ac:dyDescent="0.35">
      <c r="A143" t="s">
        <v>216</v>
      </c>
      <c r="B143" t="s">
        <v>65</v>
      </c>
      <c r="C143" t="s">
        <v>31</v>
      </c>
      <c r="D143" t="s">
        <v>80</v>
      </c>
      <c r="E143" t="s">
        <v>23</v>
      </c>
      <c r="F143">
        <v>13</v>
      </c>
      <c r="G143">
        <v>0.24</v>
      </c>
      <c r="H143">
        <v>0.93</v>
      </c>
      <c r="I143" t="s">
        <v>60</v>
      </c>
      <c r="J143">
        <v>134326</v>
      </c>
      <c r="K143" t="s">
        <v>42</v>
      </c>
      <c r="L143">
        <v>-5</v>
      </c>
      <c r="M143">
        <v>50</v>
      </c>
      <c r="N143" t="s">
        <v>26</v>
      </c>
      <c r="O143" t="s">
        <v>27</v>
      </c>
      <c r="P143">
        <v>3.85</v>
      </c>
      <c r="Q143" t="s">
        <v>34</v>
      </c>
      <c r="R143">
        <v>1.33</v>
      </c>
      <c r="S143" t="s">
        <v>47</v>
      </c>
      <c r="T143" t="str">
        <f t="shared" si="4"/>
        <v>Very High</v>
      </c>
      <c r="U143" t="str">
        <f t="shared" si="5"/>
        <v>Experienced</v>
      </c>
    </row>
    <row r="144" spans="1:21" x14ac:dyDescent="0.35">
      <c r="A144" t="s">
        <v>217</v>
      </c>
      <c r="B144" t="s">
        <v>45</v>
      </c>
      <c r="C144" t="s">
        <v>31</v>
      </c>
      <c r="D144" t="s">
        <v>69</v>
      </c>
      <c r="E144" t="s">
        <v>33</v>
      </c>
      <c r="F144">
        <v>1</v>
      </c>
      <c r="G144">
        <v>0.62</v>
      </c>
      <c r="H144">
        <v>0.86</v>
      </c>
      <c r="I144" t="s">
        <v>24</v>
      </c>
      <c r="J144">
        <v>208534</v>
      </c>
      <c r="K144" t="s">
        <v>25</v>
      </c>
      <c r="L144">
        <v>17</v>
      </c>
      <c r="M144">
        <v>33</v>
      </c>
      <c r="N144" t="s">
        <v>42</v>
      </c>
      <c r="O144" t="s">
        <v>27</v>
      </c>
      <c r="P144">
        <v>3.83</v>
      </c>
      <c r="Q144" t="s">
        <v>34</v>
      </c>
      <c r="R144">
        <v>3.66</v>
      </c>
      <c r="S144" t="s">
        <v>28</v>
      </c>
      <c r="T144" t="str">
        <f t="shared" si="4"/>
        <v>High</v>
      </c>
      <c r="U144" t="str">
        <f t="shared" si="5"/>
        <v>Beginner</v>
      </c>
    </row>
    <row r="145" spans="1:21" x14ac:dyDescent="0.35">
      <c r="A145" t="s">
        <v>218</v>
      </c>
      <c r="B145" t="s">
        <v>65</v>
      </c>
      <c r="C145" t="s">
        <v>55</v>
      </c>
      <c r="D145" t="s">
        <v>66</v>
      </c>
      <c r="E145" t="s">
        <v>33</v>
      </c>
      <c r="F145">
        <v>11</v>
      </c>
      <c r="G145">
        <v>0.06</v>
      </c>
      <c r="H145">
        <v>0.59</v>
      </c>
      <c r="I145" t="s">
        <v>24</v>
      </c>
      <c r="J145">
        <v>120886</v>
      </c>
      <c r="K145" t="s">
        <v>27</v>
      </c>
      <c r="L145">
        <v>39</v>
      </c>
      <c r="M145">
        <v>57</v>
      </c>
      <c r="N145" t="s">
        <v>42</v>
      </c>
      <c r="O145" t="s">
        <v>27</v>
      </c>
      <c r="P145">
        <v>4.66</v>
      </c>
      <c r="Q145" t="s">
        <v>24</v>
      </c>
      <c r="R145">
        <v>2.34</v>
      </c>
      <c r="S145" t="s">
        <v>43</v>
      </c>
      <c r="T145" t="str">
        <f t="shared" si="4"/>
        <v>High</v>
      </c>
      <c r="U145" t="str">
        <f t="shared" si="5"/>
        <v>Experienced</v>
      </c>
    </row>
    <row r="146" spans="1:21" x14ac:dyDescent="0.35">
      <c r="A146" t="s">
        <v>219</v>
      </c>
      <c r="B146" t="s">
        <v>147</v>
      </c>
      <c r="C146" t="s">
        <v>58</v>
      </c>
      <c r="D146" t="s">
        <v>49</v>
      </c>
      <c r="E146" t="s">
        <v>33</v>
      </c>
      <c r="F146">
        <v>11</v>
      </c>
      <c r="G146">
        <v>0.61</v>
      </c>
      <c r="H146">
        <v>0.59</v>
      </c>
      <c r="I146" t="s">
        <v>24</v>
      </c>
      <c r="J146">
        <v>163898</v>
      </c>
      <c r="K146" t="s">
        <v>42</v>
      </c>
      <c r="L146">
        <v>39</v>
      </c>
      <c r="M146">
        <v>33</v>
      </c>
      <c r="N146" t="s">
        <v>26</v>
      </c>
      <c r="O146" t="s">
        <v>27</v>
      </c>
      <c r="P146">
        <v>4.17</v>
      </c>
      <c r="Q146" t="s">
        <v>24</v>
      </c>
      <c r="R146">
        <v>3.96</v>
      </c>
      <c r="S146" t="s">
        <v>47</v>
      </c>
      <c r="T146" t="str">
        <f t="shared" si="4"/>
        <v>Moderate</v>
      </c>
      <c r="U146" t="str">
        <f t="shared" si="5"/>
        <v>Experienced</v>
      </c>
    </row>
    <row r="147" spans="1:21" x14ac:dyDescent="0.35">
      <c r="A147" t="s">
        <v>220</v>
      </c>
      <c r="B147" t="s">
        <v>51</v>
      </c>
      <c r="C147" t="s">
        <v>58</v>
      </c>
      <c r="D147" t="s">
        <v>80</v>
      </c>
      <c r="E147" t="s">
        <v>23</v>
      </c>
      <c r="F147">
        <v>7</v>
      </c>
      <c r="G147">
        <v>0.47</v>
      </c>
      <c r="H147">
        <v>0.5</v>
      </c>
      <c r="I147" t="s">
        <v>34</v>
      </c>
      <c r="J147">
        <v>69343</v>
      </c>
      <c r="K147" t="s">
        <v>25</v>
      </c>
      <c r="L147">
        <v>16</v>
      </c>
      <c r="M147">
        <v>59</v>
      </c>
      <c r="N147" t="s">
        <v>26</v>
      </c>
      <c r="O147" t="s">
        <v>36</v>
      </c>
      <c r="P147">
        <v>2.81</v>
      </c>
      <c r="Q147" t="s">
        <v>24</v>
      </c>
      <c r="R147">
        <v>3.29</v>
      </c>
      <c r="S147" t="s">
        <v>47</v>
      </c>
      <c r="T147" t="str">
        <f t="shared" si="4"/>
        <v>High</v>
      </c>
      <c r="U147" t="str">
        <f t="shared" si="5"/>
        <v>Intermediate</v>
      </c>
    </row>
    <row r="148" spans="1:21" x14ac:dyDescent="0.35">
      <c r="A148" t="s">
        <v>221</v>
      </c>
      <c r="B148" t="s">
        <v>62</v>
      </c>
      <c r="C148" t="s">
        <v>31</v>
      </c>
      <c r="D148" t="s">
        <v>63</v>
      </c>
      <c r="E148" t="s">
        <v>41</v>
      </c>
      <c r="F148">
        <v>17</v>
      </c>
      <c r="G148">
        <v>0.91</v>
      </c>
      <c r="H148">
        <v>0.25</v>
      </c>
      <c r="I148" t="s">
        <v>34</v>
      </c>
      <c r="J148">
        <v>151921</v>
      </c>
      <c r="K148" t="s">
        <v>25</v>
      </c>
      <c r="L148">
        <v>13</v>
      </c>
      <c r="M148">
        <v>36</v>
      </c>
      <c r="N148" t="s">
        <v>42</v>
      </c>
      <c r="O148" t="s">
        <v>27</v>
      </c>
      <c r="P148">
        <v>4.3499999999999996</v>
      </c>
      <c r="Q148" t="s">
        <v>24</v>
      </c>
      <c r="R148">
        <v>2.86</v>
      </c>
      <c r="S148" t="s">
        <v>28</v>
      </c>
      <c r="T148" t="str">
        <f t="shared" si="4"/>
        <v>Very Low</v>
      </c>
      <c r="U148" t="str">
        <f t="shared" si="5"/>
        <v>Expert</v>
      </c>
    </row>
    <row r="149" spans="1:21" x14ac:dyDescent="0.35">
      <c r="A149" t="s">
        <v>222</v>
      </c>
      <c r="B149" t="s">
        <v>156</v>
      </c>
      <c r="C149" t="s">
        <v>74</v>
      </c>
      <c r="D149" t="s">
        <v>75</v>
      </c>
      <c r="E149" t="s">
        <v>23</v>
      </c>
      <c r="F149">
        <v>23</v>
      </c>
      <c r="G149">
        <v>0.26</v>
      </c>
      <c r="H149">
        <v>0.47</v>
      </c>
      <c r="I149" t="s">
        <v>60</v>
      </c>
      <c r="J149">
        <v>211786</v>
      </c>
      <c r="K149" t="s">
        <v>42</v>
      </c>
      <c r="L149">
        <v>-4</v>
      </c>
      <c r="M149">
        <v>36</v>
      </c>
      <c r="N149" t="s">
        <v>26</v>
      </c>
      <c r="O149" t="s">
        <v>25</v>
      </c>
      <c r="P149">
        <v>3.26</v>
      </c>
      <c r="Q149" t="s">
        <v>24</v>
      </c>
      <c r="R149">
        <v>4.8899999999999997</v>
      </c>
      <c r="S149" t="s">
        <v>47</v>
      </c>
      <c r="T149" t="str">
        <f t="shared" si="4"/>
        <v>High</v>
      </c>
      <c r="U149" t="str">
        <f t="shared" si="5"/>
        <v>Expert</v>
      </c>
    </row>
    <row r="150" spans="1:21" x14ac:dyDescent="0.35">
      <c r="A150" t="s">
        <v>223</v>
      </c>
      <c r="B150" t="s">
        <v>91</v>
      </c>
      <c r="C150" t="s">
        <v>21</v>
      </c>
      <c r="D150" t="s">
        <v>22</v>
      </c>
      <c r="E150" t="s">
        <v>41</v>
      </c>
      <c r="F150">
        <v>16</v>
      </c>
      <c r="G150">
        <v>0.52</v>
      </c>
      <c r="H150">
        <v>0.75</v>
      </c>
      <c r="I150" t="s">
        <v>24</v>
      </c>
      <c r="J150">
        <v>127646</v>
      </c>
      <c r="K150" t="s">
        <v>27</v>
      </c>
      <c r="L150">
        <v>42</v>
      </c>
      <c r="M150">
        <v>42</v>
      </c>
      <c r="N150" t="s">
        <v>35</v>
      </c>
      <c r="O150" t="s">
        <v>27</v>
      </c>
      <c r="P150">
        <v>3.7</v>
      </c>
      <c r="Q150" t="s">
        <v>34</v>
      </c>
      <c r="R150">
        <v>3.65</v>
      </c>
      <c r="S150" t="s">
        <v>47</v>
      </c>
      <c r="T150" t="str">
        <f t="shared" si="4"/>
        <v>High</v>
      </c>
      <c r="U150" t="str">
        <f t="shared" si="5"/>
        <v>Expert</v>
      </c>
    </row>
    <row r="151" spans="1:21" x14ac:dyDescent="0.35">
      <c r="A151" t="s">
        <v>224</v>
      </c>
      <c r="B151" t="s">
        <v>30</v>
      </c>
      <c r="C151" t="s">
        <v>107</v>
      </c>
      <c r="D151" t="s">
        <v>66</v>
      </c>
      <c r="E151" t="s">
        <v>33</v>
      </c>
      <c r="F151">
        <v>2</v>
      </c>
      <c r="G151">
        <v>0.77</v>
      </c>
      <c r="H151">
        <v>0.75</v>
      </c>
      <c r="I151" t="s">
        <v>24</v>
      </c>
      <c r="J151">
        <v>115524</v>
      </c>
      <c r="K151" t="s">
        <v>25</v>
      </c>
      <c r="L151">
        <v>39</v>
      </c>
      <c r="M151">
        <v>54</v>
      </c>
      <c r="N151" t="s">
        <v>26</v>
      </c>
      <c r="O151" t="s">
        <v>25</v>
      </c>
      <c r="P151">
        <v>2.4700000000000002</v>
      </c>
      <c r="Q151" t="s">
        <v>24</v>
      </c>
      <c r="R151">
        <v>2.8</v>
      </c>
      <c r="S151" t="s">
        <v>43</v>
      </c>
      <c r="T151" t="str">
        <f t="shared" si="4"/>
        <v>Moderate</v>
      </c>
      <c r="U151" t="str">
        <f t="shared" si="5"/>
        <v>Beginner</v>
      </c>
    </row>
    <row r="152" spans="1:21" x14ac:dyDescent="0.35">
      <c r="A152" t="s">
        <v>225</v>
      </c>
      <c r="B152" t="s">
        <v>62</v>
      </c>
      <c r="C152" t="s">
        <v>46</v>
      </c>
      <c r="D152" t="s">
        <v>75</v>
      </c>
      <c r="E152" t="s">
        <v>33</v>
      </c>
      <c r="F152">
        <v>10</v>
      </c>
      <c r="G152">
        <v>0.28999999999999998</v>
      </c>
      <c r="H152">
        <v>0.28999999999999998</v>
      </c>
      <c r="I152" t="s">
        <v>24</v>
      </c>
      <c r="J152">
        <v>71317</v>
      </c>
      <c r="K152" t="s">
        <v>25</v>
      </c>
      <c r="L152">
        <v>35</v>
      </c>
      <c r="M152">
        <v>37</v>
      </c>
      <c r="N152" t="s">
        <v>42</v>
      </c>
      <c r="O152" t="s">
        <v>36</v>
      </c>
      <c r="P152">
        <v>3.54</v>
      </c>
      <c r="Q152" t="s">
        <v>34</v>
      </c>
      <c r="R152">
        <v>2.04</v>
      </c>
      <c r="S152" t="s">
        <v>47</v>
      </c>
      <c r="T152" t="str">
        <f t="shared" si="4"/>
        <v>Moderate</v>
      </c>
      <c r="U152" t="str">
        <f t="shared" si="5"/>
        <v>Experienced</v>
      </c>
    </row>
    <row r="153" spans="1:21" x14ac:dyDescent="0.35">
      <c r="A153" t="s">
        <v>226</v>
      </c>
      <c r="B153" t="s">
        <v>68</v>
      </c>
      <c r="C153" t="s">
        <v>58</v>
      </c>
      <c r="D153" t="s">
        <v>75</v>
      </c>
      <c r="E153" t="s">
        <v>33</v>
      </c>
      <c r="F153">
        <v>4</v>
      </c>
      <c r="G153">
        <v>0.14000000000000001</v>
      </c>
      <c r="H153">
        <v>0.28000000000000003</v>
      </c>
      <c r="I153" t="s">
        <v>24</v>
      </c>
      <c r="J153">
        <v>66645</v>
      </c>
      <c r="K153" t="s">
        <v>42</v>
      </c>
      <c r="L153">
        <v>13</v>
      </c>
      <c r="M153">
        <v>51</v>
      </c>
      <c r="N153" t="s">
        <v>26</v>
      </c>
      <c r="O153" t="s">
        <v>27</v>
      </c>
      <c r="P153">
        <v>2.25</v>
      </c>
      <c r="Q153" t="s">
        <v>34</v>
      </c>
      <c r="R153">
        <v>4.67</v>
      </c>
      <c r="S153" t="s">
        <v>47</v>
      </c>
      <c r="T153" t="str">
        <f t="shared" si="4"/>
        <v>High</v>
      </c>
      <c r="U153" t="str">
        <f t="shared" si="5"/>
        <v>Intermediate</v>
      </c>
    </row>
    <row r="154" spans="1:21" x14ac:dyDescent="0.35">
      <c r="A154" t="s">
        <v>227</v>
      </c>
      <c r="B154" t="s">
        <v>68</v>
      </c>
      <c r="C154" t="s">
        <v>58</v>
      </c>
      <c r="D154" t="s">
        <v>49</v>
      </c>
      <c r="E154" t="s">
        <v>41</v>
      </c>
      <c r="F154">
        <v>5</v>
      </c>
      <c r="G154">
        <v>0.78</v>
      </c>
      <c r="H154">
        <v>0.27</v>
      </c>
      <c r="I154" t="s">
        <v>60</v>
      </c>
      <c r="J154">
        <v>116913</v>
      </c>
      <c r="K154" t="s">
        <v>42</v>
      </c>
      <c r="L154">
        <v>42</v>
      </c>
      <c r="M154">
        <v>53</v>
      </c>
      <c r="N154" t="s">
        <v>42</v>
      </c>
      <c r="O154" t="s">
        <v>36</v>
      </c>
      <c r="P154">
        <v>2.09</v>
      </c>
      <c r="Q154" t="s">
        <v>34</v>
      </c>
      <c r="R154">
        <v>1.69</v>
      </c>
      <c r="S154" t="s">
        <v>47</v>
      </c>
      <c r="T154" t="str">
        <f t="shared" si="4"/>
        <v>Very Low</v>
      </c>
      <c r="U154" t="str">
        <f t="shared" si="5"/>
        <v>Intermediate</v>
      </c>
    </row>
    <row r="155" spans="1:21" x14ac:dyDescent="0.35">
      <c r="A155" t="s">
        <v>228</v>
      </c>
      <c r="B155" t="s">
        <v>57</v>
      </c>
      <c r="C155" t="s">
        <v>31</v>
      </c>
      <c r="D155" t="s">
        <v>49</v>
      </c>
      <c r="E155" t="s">
        <v>23</v>
      </c>
      <c r="F155">
        <v>17</v>
      </c>
      <c r="G155">
        <v>0.18</v>
      </c>
      <c r="H155">
        <v>0.69</v>
      </c>
      <c r="I155" t="s">
        <v>34</v>
      </c>
      <c r="J155">
        <v>191736</v>
      </c>
      <c r="K155" t="s">
        <v>25</v>
      </c>
      <c r="L155">
        <v>-5</v>
      </c>
      <c r="M155">
        <v>38</v>
      </c>
      <c r="N155" t="s">
        <v>42</v>
      </c>
      <c r="O155" t="s">
        <v>25</v>
      </c>
      <c r="P155">
        <v>3.26</v>
      </c>
      <c r="Q155" t="s">
        <v>24</v>
      </c>
      <c r="R155">
        <v>3.52</v>
      </c>
      <c r="S155" t="s">
        <v>28</v>
      </c>
      <c r="T155" t="str">
        <f t="shared" si="4"/>
        <v>High</v>
      </c>
      <c r="U155" t="str">
        <f t="shared" si="5"/>
        <v>Expert</v>
      </c>
    </row>
    <row r="156" spans="1:21" x14ac:dyDescent="0.35">
      <c r="A156" t="s">
        <v>229</v>
      </c>
      <c r="B156" t="s">
        <v>65</v>
      </c>
      <c r="C156" t="s">
        <v>74</v>
      </c>
      <c r="D156" t="s">
        <v>69</v>
      </c>
      <c r="E156" t="s">
        <v>70</v>
      </c>
      <c r="F156">
        <v>5</v>
      </c>
      <c r="G156">
        <v>0.54</v>
      </c>
      <c r="H156">
        <v>0.57999999999999996</v>
      </c>
      <c r="I156" t="s">
        <v>24</v>
      </c>
      <c r="J156">
        <v>178282</v>
      </c>
      <c r="K156" t="s">
        <v>42</v>
      </c>
      <c r="L156">
        <v>28</v>
      </c>
      <c r="M156">
        <v>37</v>
      </c>
      <c r="N156" t="s">
        <v>35</v>
      </c>
      <c r="O156" t="s">
        <v>36</v>
      </c>
      <c r="P156">
        <v>2.1800000000000002</v>
      </c>
      <c r="Q156" t="s">
        <v>34</v>
      </c>
      <c r="R156">
        <v>3.12</v>
      </c>
      <c r="S156" t="s">
        <v>28</v>
      </c>
      <c r="T156" t="str">
        <f t="shared" si="4"/>
        <v>High</v>
      </c>
      <c r="U156" t="str">
        <f t="shared" si="5"/>
        <v>Intermediate</v>
      </c>
    </row>
    <row r="157" spans="1:21" x14ac:dyDescent="0.35">
      <c r="A157" t="s">
        <v>230</v>
      </c>
      <c r="B157" t="s">
        <v>57</v>
      </c>
      <c r="C157" t="s">
        <v>46</v>
      </c>
      <c r="D157" t="s">
        <v>69</v>
      </c>
      <c r="E157" t="s">
        <v>70</v>
      </c>
      <c r="F157">
        <v>5</v>
      </c>
      <c r="G157">
        <v>0.27</v>
      </c>
      <c r="H157">
        <v>0.62</v>
      </c>
      <c r="I157" t="s">
        <v>24</v>
      </c>
      <c r="J157">
        <v>44656</v>
      </c>
      <c r="K157" t="s">
        <v>25</v>
      </c>
      <c r="L157">
        <v>27</v>
      </c>
      <c r="M157">
        <v>40</v>
      </c>
      <c r="N157" t="s">
        <v>26</v>
      </c>
      <c r="O157" t="s">
        <v>27</v>
      </c>
      <c r="P157">
        <v>3.08</v>
      </c>
      <c r="Q157" t="s">
        <v>24</v>
      </c>
      <c r="R157">
        <v>3.81</v>
      </c>
      <c r="S157" t="s">
        <v>43</v>
      </c>
      <c r="T157" t="str">
        <f t="shared" si="4"/>
        <v>High</v>
      </c>
      <c r="U157" t="str">
        <f t="shared" si="5"/>
        <v>Intermediate</v>
      </c>
    </row>
    <row r="158" spans="1:21" x14ac:dyDescent="0.35">
      <c r="A158" t="s">
        <v>231</v>
      </c>
      <c r="B158" t="s">
        <v>77</v>
      </c>
      <c r="C158" t="s">
        <v>39</v>
      </c>
      <c r="D158" t="s">
        <v>75</v>
      </c>
      <c r="E158" t="s">
        <v>23</v>
      </c>
      <c r="F158">
        <v>0</v>
      </c>
      <c r="G158">
        <v>0.49</v>
      </c>
      <c r="H158">
        <v>0.27</v>
      </c>
      <c r="I158" t="s">
        <v>34</v>
      </c>
      <c r="J158">
        <v>90980</v>
      </c>
      <c r="K158" t="s">
        <v>27</v>
      </c>
      <c r="L158">
        <v>2</v>
      </c>
      <c r="M158">
        <v>55</v>
      </c>
      <c r="N158" t="s">
        <v>35</v>
      </c>
      <c r="O158" t="s">
        <v>36</v>
      </c>
      <c r="P158">
        <v>4.1500000000000004</v>
      </c>
      <c r="Q158" t="s">
        <v>34</v>
      </c>
      <c r="R158">
        <v>1.24</v>
      </c>
      <c r="S158" t="s">
        <v>47</v>
      </c>
      <c r="T158" t="str">
        <f t="shared" si="4"/>
        <v>Moderate</v>
      </c>
      <c r="U158" t="str">
        <f t="shared" si="5"/>
        <v>Beginner</v>
      </c>
    </row>
    <row r="159" spans="1:21" x14ac:dyDescent="0.35">
      <c r="A159" t="s">
        <v>232</v>
      </c>
      <c r="B159" t="s">
        <v>38</v>
      </c>
      <c r="C159" t="s">
        <v>21</v>
      </c>
      <c r="D159" t="s">
        <v>63</v>
      </c>
      <c r="E159" t="s">
        <v>70</v>
      </c>
      <c r="F159">
        <v>10</v>
      </c>
      <c r="G159">
        <v>0.39</v>
      </c>
      <c r="H159">
        <v>0.94</v>
      </c>
      <c r="I159" t="s">
        <v>24</v>
      </c>
      <c r="J159">
        <v>133703</v>
      </c>
      <c r="K159" t="s">
        <v>25</v>
      </c>
      <c r="L159">
        <v>36</v>
      </c>
      <c r="M159">
        <v>60</v>
      </c>
      <c r="N159" t="s">
        <v>42</v>
      </c>
      <c r="O159" t="s">
        <v>27</v>
      </c>
      <c r="P159">
        <v>4.88</v>
      </c>
      <c r="Q159" t="s">
        <v>34</v>
      </c>
      <c r="R159">
        <v>1.7</v>
      </c>
      <c r="S159" t="s">
        <v>28</v>
      </c>
      <c r="T159" t="str">
        <f t="shared" si="4"/>
        <v>Very High</v>
      </c>
      <c r="U159" t="str">
        <f t="shared" si="5"/>
        <v>Experienced</v>
      </c>
    </row>
    <row r="160" spans="1:21" x14ac:dyDescent="0.35">
      <c r="A160" t="s">
        <v>233</v>
      </c>
      <c r="B160" t="s">
        <v>38</v>
      </c>
      <c r="C160" t="s">
        <v>52</v>
      </c>
      <c r="D160" t="s">
        <v>22</v>
      </c>
      <c r="E160" t="s">
        <v>41</v>
      </c>
      <c r="F160">
        <v>5</v>
      </c>
      <c r="G160">
        <v>0.67</v>
      </c>
      <c r="H160">
        <v>0.3</v>
      </c>
      <c r="I160" t="s">
        <v>60</v>
      </c>
      <c r="J160">
        <v>30471</v>
      </c>
      <c r="K160" t="s">
        <v>42</v>
      </c>
      <c r="L160">
        <v>41</v>
      </c>
      <c r="M160">
        <v>60</v>
      </c>
      <c r="N160" t="s">
        <v>26</v>
      </c>
      <c r="O160" t="s">
        <v>25</v>
      </c>
      <c r="P160">
        <v>3.92</v>
      </c>
      <c r="Q160" t="s">
        <v>24</v>
      </c>
      <c r="R160">
        <v>4.75</v>
      </c>
      <c r="S160" t="s">
        <v>47</v>
      </c>
      <c r="T160" t="str">
        <f t="shared" si="4"/>
        <v>Moderate</v>
      </c>
      <c r="U160" t="str">
        <f t="shared" si="5"/>
        <v>Intermediate</v>
      </c>
    </row>
    <row r="161" spans="1:21" x14ac:dyDescent="0.35">
      <c r="A161" t="s">
        <v>234</v>
      </c>
      <c r="B161" t="s">
        <v>30</v>
      </c>
      <c r="C161" t="s">
        <v>107</v>
      </c>
      <c r="D161" t="s">
        <v>75</v>
      </c>
      <c r="E161" t="s">
        <v>70</v>
      </c>
      <c r="F161">
        <v>6</v>
      </c>
      <c r="G161">
        <v>0.62</v>
      </c>
      <c r="H161">
        <v>0.96</v>
      </c>
      <c r="I161" t="s">
        <v>24</v>
      </c>
      <c r="J161">
        <v>215851</v>
      </c>
      <c r="K161" t="s">
        <v>27</v>
      </c>
      <c r="L161">
        <v>-6</v>
      </c>
      <c r="M161">
        <v>41</v>
      </c>
      <c r="N161" t="s">
        <v>42</v>
      </c>
      <c r="O161" t="s">
        <v>25</v>
      </c>
      <c r="P161">
        <v>4.16</v>
      </c>
      <c r="Q161" t="s">
        <v>24</v>
      </c>
      <c r="R161">
        <v>2.54</v>
      </c>
      <c r="S161" t="s">
        <v>28</v>
      </c>
      <c r="T161" t="str">
        <f t="shared" si="4"/>
        <v>High</v>
      </c>
      <c r="U161" t="str">
        <f t="shared" si="5"/>
        <v>Intermediate</v>
      </c>
    </row>
    <row r="162" spans="1:21" x14ac:dyDescent="0.35">
      <c r="A162" t="s">
        <v>235</v>
      </c>
      <c r="B162" t="s">
        <v>38</v>
      </c>
      <c r="C162" t="s">
        <v>39</v>
      </c>
      <c r="D162" t="s">
        <v>32</v>
      </c>
      <c r="E162" t="s">
        <v>23</v>
      </c>
      <c r="F162">
        <v>2</v>
      </c>
      <c r="G162">
        <v>0.54</v>
      </c>
      <c r="H162">
        <v>0.28000000000000003</v>
      </c>
      <c r="I162" t="s">
        <v>24</v>
      </c>
      <c r="J162">
        <v>155695</v>
      </c>
      <c r="K162" t="s">
        <v>42</v>
      </c>
      <c r="L162">
        <v>-9</v>
      </c>
      <c r="M162">
        <v>40</v>
      </c>
      <c r="N162" t="s">
        <v>42</v>
      </c>
      <c r="O162" t="s">
        <v>25</v>
      </c>
      <c r="P162">
        <v>2.2200000000000002</v>
      </c>
      <c r="Q162" t="s">
        <v>24</v>
      </c>
      <c r="R162">
        <v>4.55</v>
      </c>
      <c r="S162" t="s">
        <v>47</v>
      </c>
      <c r="T162" t="str">
        <f t="shared" si="4"/>
        <v>Moderate</v>
      </c>
      <c r="U162" t="str">
        <f t="shared" si="5"/>
        <v>Beginner</v>
      </c>
    </row>
    <row r="163" spans="1:21" x14ac:dyDescent="0.35">
      <c r="A163" t="s">
        <v>236</v>
      </c>
      <c r="B163" t="s">
        <v>156</v>
      </c>
      <c r="C163" t="s">
        <v>52</v>
      </c>
      <c r="D163" t="s">
        <v>32</v>
      </c>
      <c r="E163" t="s">
        <v>23</v>
      </c>
      <c r="F163">
        <v>5</v>
      </c>
      <c r="G163">
        <v>0.57999999999999996</v>
      </c>
      <c r="H163">
        <v>0.68</v>
      </c>
      <c r="I163" t="s">
        <v>24</v>
      </c>
      <c r="J163">
        <v>156546</v>
      </c>
      <c r="K163" t="s">
        <v>25</v>
      </c>
      <c r="L163">
        <v>11</v>
      </c>
      <c r="M163">
        <v>36</v>
      </c>
      <c r="N163" t="s">
        <v>35</v>
      </c>
      <c r="O163" t="s">
        <v>36</v>
      </c>
      <c r="P163">
        <v>4.09</v>
      </c>
      <c r="Q163" t="s">
        <v>34</v>
      </c>
      <c r="R163">
        <v>3.64</v>
      </c>
      <c r="S163" t="s">
        <v>43</v>
      </c>
      <c r="T163" t="str">
        <f t="shared" si="4"/>
        <v>High</v>
      </c>
      <c r="U163" t="str">
        <f t="shared" si="5"/>
        <v>Intermediate</v>
      </c>
    </row>
    <row r="164" spans="1:21" x14ac:dyDescent="0.35">
      <c r="A164" t="s">
        <v>237</v>
      </c>
      <c r="B164" t="s">
        <v>147</v>
      </c>
      <c r="C164" t="s">
        <v>58</v>
      </c>
      <c r="D164" t="s">
        <v>69</v>
      </c>
      <c r="E164" t="s">
        <v>41</v>
      </c>
      <c r="F164">
        <v>9</v>
      </c>
      <c r="G164">
        <v>0.54</v>
      </c>
      <c r="H164">
        <v>0.59</v>
      </c>
      <c r="I164" t="s">
        <v>60</v>
      </c>
      <c r="J164">
        <v>44288</v>
      </c>
      <c r="K164" t="s">
        <v>27</v>
      </c>
      <c r="L164">
        <v>28</v>
      </c>
      <c r="M164">
        <v>45</v>
      </c>
      <c r="N164" t="s">
        <v>35</v>
      </c>
      <c r="O164" t="s">
        <v>25</v>
      </c>
      <c r="P164">
        <v>2.08</v>
      </c>
      <c r="Q164" t="s">
        <v>24</v>
      </c>
      <c r="R164">
        <v>3.55</v>
      </c>
      <c r="S164" t="s">
        <v>47</v>
      </c>
      <c r="T164" t="str">
        <f t="shared" si="4"/>
        <v>High</v>
      </c>
      <c r="U164" t="str">
        <f t="shared" si="5"/>
        <v>Experienced</v>
      </c>
    </row>
    <row r="165" spans="1:21" x14ac:dyDescent="0.35">
      <c r="A165" t="s">
        <v>238</v>
      </c>
      <c r="B165" t="s">
        <v>51</v>
      </c>
      <c r="C165" t="s">
        <v>74</v>
      </c>
      <c r="D165" t="s">
        <v>69</v>
      </c>
      <c r="E165" t="s">
        <v>70</v>
      </c>
      <c r="F165">
        <v>5</v>
      </c>
      <c r="G165">
        <v>0.28999999999999998</v>
      </c>
      <c r="H165">
        <v>0.71</v>
      </c>
      <c r="I165" t="s">
        <v>34</v>
      </c>
      <c r="J165">
        <v>131587</v>
      </c>
      <c r="K165" t="s">
        <v>25</v>
      </c>
      <c r="L165">
        <v>6</v>
      </c>
      <c r="M165">
        <v>44</v>
      </c>
      <c r="N165" t="s">
        <v>42</v>
      </c>
      <c r="O165" t="s">
        <v>36</v>
      </c>
      <c r="P165">
        <v>2.68</v>
      </c>
      <c r="Q165" t="s">
        <v>34</v>
      </c>
      <c r="R165">
        <v>3.26</v>
      </c>
      <c r="S165" t="s">
        <v>47</v>
      </c>
      <c r="T165" t="str">
        <f t="shared" si="4"/>
        <v>Very High</v>
      </c>
      <c r="U165" t="str">
        <f t="shared" si="5"/>
        <v>Intermediate</v>
      </c>
    </row>
    <row r="166" spans="1:21" x14ac:dyDescent="0.35">
      <c r="A166" t="s">
        <v>239</v>
      </c>
      <c r="B166" t="s">
        <v>73</v>
      </c>
      <c r="C166" t="s">
        <v>52</v>
      </c>
      <c r="D166" t="s">
        <v>80</v>
      </c>
      <c r="E166" t="s">
        <v>23</v>
      </c>
      <c r="F166">
        <v>17</v>
      </c>
      <c r="G166">
        <v>0.92</v>
      </c>
      <c r="H166">
        <v>0.67</v>
      </c>
      <c r="I166" t="s">
        <v>60</v>
      </c>
      <c r="J166">
        <v>175123</v>
      </c>
      <c r="K166" t="s">
        <v>42</v>
      </c>
      <c r="L166">
        <v>26</v>
      </c>
      <c r="M166">
        <v>58</v>
      </c>
      <c r="N166" t="s">
        <v>35</v>
      </c>
      <c r="O166" t="s">
        <v>36</v>
      </c>
      <c r="P166">
        <v>2.9</v>
      </c>
      <c r="Q166" t="s">
        <v>34</v>
      </c>
      <c r="R166">
        <v>4.6100000000000003</v>
      </c>
      <c r="S166" t="s">
        <v>28</v>
      </c>
      <c r="T166" t="str">
        <f t="shared" si="4"/>
        <v>Moderate</v>
      </c>
      <c r="U166" t="str">
        <f t="shared" si="5"/>
        <v>Expert</v>
      </c>
    </row>
    <row r="167" spans="1:21" x14ac:dyDescent="0.35">
      <c r="A167" t="s">
        <v>240</v>
      </c>
      <c r="B167" t="s">
        <v>51</v>
      </c>
      <c r="C167" t="s">
        <v>39</v>
      </c>
      <c r="D167" t="s">
        <v>59</v>
      </c>
      <c r="E167" t="s">
        <v>33</v>
      </c>
      <c r="F167">
        <v>1</v>
      </c>
      <c r="G167">
        <v>0.16</v>
      </c>
      <c r="H167">
        <v>0.8</v>
      </c>
      <c r="I167" t="s">
        <v>34</v>
      </c>
      <c r="J167">
        <v>75319</v>
      </c>
      <c r="K167" t="s">
        <v>25</v>
      </c>
      <c r="L167">
        <v>33</v>
      </c>
      <c r="M167">
        <v>43</v>
      </c>
      <c r="N167" t="s">
        <v>35</v>
      </c>
      <c r="O167" t="s">
        <v>27</v>
      </c>
      <c r="P167">
        <v>2.44</v>
      </c>
      <c r="Q167" t="s">
        <v>34</v>
      </c>
      <c r="R167">
        <v>2.2799999999999998</v>
      </c>
      <c r="S167" t="s">
        <v>28</v>
      </c>
      <c r="T167" t="str">
        <f t="shared" si="4"/>
        <v>Very High</v>
      </c>
      <c r="U167" t="str">
        <f t="shared" si="5"/>
        <v>Beginner</v>
      </c>
    </row>
    <row r="168" spans="1:21" x14ac:dyDescent="0.35">
      <c r="A168" t="s">
        <v>241</v>
      </c>
      <c r="B168" t="s">
        <v>91</v>
      </c>
      <c r="C168" t="s">
        <v>58</v>
      </c>
      <c r="D168" t="s">
        <v>22</v>
      </c>
      <c r="E168" t="s">
        <v>23</v>
      </c>
      <c r="F168">
        <v>3</v>
      </c>
      <c r="G168">
        <v>0.55000000000000004</v>
      </c>
      <c r="H168">
        <v>0.88</v>
      </c>
      <c r="I168" t="s">
        <v>34</v>
      </c>
      <c r="J168">
        <v>166233</v>
      </c>
      <c r="K168" t="s">
        <v>25</v>
      </c>
      <c r="L168">
        <v>-1</v>
      </c>
      <c r="M168">
        <v>48</v>
      </c>
      <c r="N168" t="s">
        <v>26</v>
      </c>
      <c r="O168" t="s">
        <v>27</v>
      </c>
      <c r="P168">
        <v>4.28</v>
      </c>
      <c r="Q168" t="s">
        <v>24</v>
      </c>
      <c r="R168">
        <v>4.7</v>
      </c>
      <c r="S168" t="s">
        <v>28</v>
      </c>
      <c r="T168" t="str">
        <f t="shared" si="4"/>
        <v>High</v>
      </c>
      <c r="U168" t="str">
        <f t="shared" si="5"/>
        <v>Intermediate</v>
      </c>
    </row>
    <row r="169" spans="1:21" x14ac:dyDescent="0.35">
      <c r="A169" t="s">
        <v>242</v>
      </c>
      <c r="B169" t="s">
        <v>77</v>
      </c>
      <c r="C169" t="s">
        <v>107</v>
      </c>
      <c r="D169" t="s">
        <v>75</v>
      </c>
      <c r="E169" t="s">
        <v>33</v>
      </c>
      <c r="F169">
        <v>8</v>
      </c>
      <c r="G169">
        <v>0.28999999999999998</v>
      </c>
      <c r="H169">
        <v>0.72</v>
      </c>
      <c r="I169" t="s">
        <v>34</v>
      </c>
      <c r="J169">
        <v>179952</v>
      </c>
      <c r="K169" t="s">
        <v>25</v>
      </c>
      <c r="L169">
        <v>29</v>
      </c>
      <c r="M169">
        <v>49</v>
      </c>
      <c r="N169" t="s">
        <v>26</v>
      </c>
      <c r="O169" t="s">
        <v>27</v>
      </c>
      <c r="P169">
        <v>3.21</v>
      </c>
      <c r="Q169" t="s">
        <v>34</v>
      </c>
      <c r="R169">
        <v>4.5599999999999996</v>
      </c>
      <c r="S169" t="s">
        <v>43</v>
      </c>
      <c r="T169" t="str">
        <f t="shared" si="4"/>
        <v>Very High</v>
      </c>
      <c r="U169" t="str">
        <f t="shared" si="5"/>
        <v>Intermediate</v>
      </c>
    </row>
    <row r="170" spans="1:21" x14ac:dyDescent="0.35">
      <c r="A170" t="s">
        <v>243</v>
      </c>
      <c r="B170" t="s">
        <v>62</v>
      </c>
      <c r="C170" t="s">
        <v>31</v>
      </c>
      <c r="D170" t="s">
        <v>49</v>
      </c>
      <c r="E170" t="s">
        <v>41</v>
      </c>
      <c r="F170">
        <v>7</v>
      </c>
      <c r="G170">
        <v>0.39</v>
      </c>
      <c r="H170">
        <v>0.47</v>
      </c>
      <c r="I170" t="s">
        <v>24</v>
      </c>
      <c r="J170">
        <v>109444</v>
      </c>
      <c r="K170" t="s">
        <v>42</v>
      </c>
      <c r="L170">
        <v>37</v>
      </c>
      <c r="M170">
        <v>44</v>
      </c>
      <c r="N170" t="s">
        <v>42</v>
      </c>
      <c r="O170" t="s">
        <v>36</v>
      </c>
      <c r="P170">
        <v>4.1900000000000004</v>
      </c>
      <c r="Q170" t="s">
        <v>24</v>
      </c>
      <c r="R170">
        <v>1.75</v>
      </c>
      <c r="S170" t="s">
        <v>47</v>
      </c>
      <c r="T170" t="str">
        <f t="shared" si="4"/>
        <v>High</v>
      </c>
      <c r="U170" t="str">
        <f t="shared" si="5"/>
        <v>Intermediate</v>
      </c>
    </row>
    <row r="171" spans="1:21" x14ac:dyDescent="0.35">
      <c r="A171" t="s">
        <v>244</v>
      </c>
      <c r="B171" t="s">
        <v>65</v>
      </c>
      <c r="C171" t="s">
        <v>52</v>
      </c>
      <c r="D171" t="s">
        <v>32</v>
      </c>
      <c r="E171" t="s">
        <v>41</v>
      </c>
      <c r="F171">
        <v>5</v>
      </c>
      <c r="G171">
        <v>0.76</v>
      </c>
      <c r="H171">
        <v>0.25</v>
      </c>
      <c r="I171" t="s">
        <v>24</v>
      </c>
      <c r="J171">
        <v>216009</v>
      </c>
      <c r="K171" t="s">
        <v>25</v>
      </c>
      <c r="L171">
        <v>43</v>
      </c>
      <c r="M171">
        <v>31</v>
      </c>
      <c r="N171" t="s">
        <v>35</v>
      </c>
      <c r="O171" t="s">
        <v>25</v>
      </c>
      <c r="P171">
        <v>3.37</v>
      </c>
      <c r="Q171" t="s">
        <v>34</v>
      </c>
      <c r="R171">
        <v>3.82</v>
      </c>
      <c r="S171" t="s">
        <v>43</v>
      </c>
      <c r="T171" t="str">
        <f t="shared" si="4"/>
        <v>Very Low</v>
      </c>
      <c r="U171" t="str">
        <f t="shared" si="5"/>
        <v>Intermediate</v>
      </c>
    </row>
    <row r="172" spans="1:21" x14ac:dyDescent="0.35">
      <c r="A172" t="s">
        <v>245</v>
      </c>
      <c r="B172" t="s">
        <v>77</v>
      </c>
      <c r="C172" t="s">
        <v>107</v>
      </c>
      <c r="D172" t="s">
        <v>32</v>
      </c>
      <c r="E172" t="s">
        <v>23</v>
      </c>
      <c r="F172">
        <v>18</v>
      </c>
      <c r="G172">
        <v>0.66</v>
      </c>
      <c r="H172">
        <v>0.39</v>
      </c>
      <c r="I172" t="s">
        <v>60</v>
      </c>
      <c r="J172">
        <v>158132</v>
      </c>
      <c r="K172" t="s">
        <v>42</v>
      </c>
      <c r="L172">
        <v>12</v>
      </c>
      <c r="M172">
        <v>35</v>
      </c>
      <c r="N172" t="s">
        <v>42</v>
      </c>
      <c r="O172" t="s">
        <v>27</v>
      </c>
      <c r="P172">
        <v>4.49</v>
      </c>
      <c r="Q172" t="s">
        <v>24</v>
      </c>
      <c r="R172">
        <v>2.14</v>
      </c>
      <c r="S172" t="s">
        <v>43</v>
      </c>
      <c r="T172" t="str">
        <f t="shared" si="4"/>
        <v>Moderate</v>
      </c>
      <c r="U172" t="str">
        <f t="shared" si="5"/>
        <v>Expert</v>
      </c>
    </row>
    <row r="173" spans="1:21" x14ac:dyDescent="0.35">
      <c r="A173" t="s">
        <v>246</v>
      </c>
      <c r="B173" t="s">
        <v>94</v>
      </c>
      <c r="C173" t="s">
        <v>55</v>
      </c>
      <c r="D173" t="s">
        <v>75</v>
      </c>
      <c r="E173" t="s">
        <v>41</v>
      </c>
      <c r="F173">
        <v>15</v>
      </c>
      <c r="G173">
        <v>0.63</v>
      </c>
      <c r="H173">
        <v>0.74</v>
      </c>
      <c r="I173" t="s">
        <v>24</v>
      </c>
      <c r="J173">
        <v>100538</v>
      </c>
      <c r="K173" t="s">
        <v>27</v>
      </c>
      <c r="L173">
        <v>1</v>
      </c>
      <c r="M173">
        <v>49</v>
      </c>
      <c r="N173" t="s">
        <v>35</v>
      </c>
      <c r="O173" t="s">
        <v>25</v>
      </c>
      <c r="P173">
        <v>2.76</v>
      </c>
      <c r="Q173" t="s">
        <v>34</v>
      </c>
      <c r="R173">
        <v>3.85</v>
      </c>
      <c r="S173" t="s">
        <v>28</v>
      </c>
      <c r="T173" t="str">
        <f t="shared" si="4"/>
        <v>High</v>
      </c>
      <c r="U173" t="str">
        <f t="shared" si="5"/>
        <v>Experienced</v>
      </c>
    </row>
    <row r="174" spans="1:21" x14ac:dyDescent="0.35">
      <c r="A174" t="s">
        <v>247</v>
      </c>
      <c r="B174" t="s">
        <v>77</v>
      </c>
      <c r="C174" t="s">
        <v>52</v>
      </c>
      <c r="D174" t="s">
        <v>22</v>
      </c>
      <c r="E174" t="s">
        <v>41</v>
      </c>
      <c r="F174">
        <v>0</v>
      </c>
      <c r="G174">
        <v>0.25</v>
      </c>
      <c r="H174">
        <v>0.44</v>
      </c>
      <c r="I174" t="s">
        <v>60</v>
      </c>
      <c r="J174">
        <v>166482</v>
      </c>
      <c r="K174" t="s">
        <v>27</v>
      </c>
      <c r="L174">
        <v>43</v>
      </c>
      <c r="M174">
        <v>56</v>
      </c>
      <c r="N174" t="s">
        <v>42</v>
      </c>
      <c r="O174" t="s">
        <v>27</v>
      </c>
      <c r="P174">
        <v>3.94</v>
      </c>
      <c r="Q174" t="s">
        <v>34</v>
      </c>
      <c r="R174">
        <v>2.19</v>
      </c>
      <c r="S174" t="s">
        <v>47</v>
      </c>
      <c r="T174" t="str">
        <f t="shared" si="4"/>
        <v>High</v>
      </c>
      <c r="U174" t="str">
        <f t="shared" si="5"/>
        <v>Beginner</v>
      </c>
    </row>
    <row r="175" spans="1:21" x14ac:dyDescent="0.35">
      <c r="A175" t="s">
        <v>248</v>
      </c>
      <c r="B175" t="s">
        <v>62</v>
      </c>
      <c r="C175" t="s">
        <v>39</v>
      </c>
      <c r="D175" t="s">
        <v>32</v>
      </c>
      <c r="E175" t="s">
        <v>33</v>
      </c>
      <c r="F175">
        <v>1</v>
      </c>
      <c r="G175">
        <v>0.28999999999999998</v>
      </c>
      <c r="H175">
        <v>0.76</v>
      </c>
      <c r="I175" t="s">
        <v>60</v>
      </c>
      <c r="J175">
        <v>200778</v>
      </c>
      <c r="K175" t="s">
        <v>42</v>
      </c>
      <c r="L175">
        <v>32</v>
      </c>
      <c r="M175">
        <v>40</v>
      </c>
      <c r="N175" t="s">
        <v>26</v>
      </c>
      <c r="O175" t="s">
        <v>25</v>
      </c>
      <c r="P175">
        <v>4.16</v>
      </c>
      <c r="Q175" t="s">
        <v>34</v>
      </c>
      <c r="R175">
        <v>4.99</v>
      </c>
      <c r="S175" t="s">
        <v>43</v>
      </c>
      <c r="T175" t="str">
        <f t="shared" si="4"/>
        <v>Very High</v>
      </c>
      <c r="U175" t="str">
        <f t="shared" si="5"/>
        <v>Beginner</v>
      </c>
    </row>
    <row r="176" spans="1:21" x14ac:dyDescent="0.35">
      <c r="A176" t="s">
        <v>249</v>
      </c>
      <c r="B176" t="s">
        <v>57</v>
      </c>
      <c r="C176" t="s">
        <v>55</v>
      </c>
      <c r="D176" t="s">
        <v>49</v>
      </c>
      <c r="E176" t="s">
        <v>70</v>
      </c>
      <c r="F176">
        <v>16</v>
      </c>
      <c r="G176">
        <v>0.78</v>
      </c>
      <c r="H176">
        <v>0.47</v>
      </c>
      <c r="I176" t="s">
        <v>34</v>
      </c>
      <c r="J176">
        <v>217005</v>
      </c>
      <c r="K176" t="s">
        <v>25</v>
      </c>
      <c r="L176">
        <v>43</v>
      </c>
      <c r="M176">
        <v>51</v>
      </c>
      <c r="N176" t="s">
        <v>26</v>
      </c>
      <c r="O176" t="s">
        <v>25</v>
      </c>
      <c r="P176">
        <v>2.88</v>
      </c>
      <c r="Q176" t="s">
        <v>34</v>
      </c>
      <c r="R176">
        <v>1.51</v>
      </c>
      <c r="S176" t="s">
        <v>43</v>
      </c>
      <c r="T176" t="str">
        <f t="shared" si="4"/>
        <v>Very Low</v>
      </c>
      <c r="U176" t="str">
        <f t="shared" si="5"/>
        <v>Expert</v>
      </c>
    </row>
    <row r="177" spans="1:21" x14ac:dyDescent="0.35">
      <c r="A177" t="s">
        <v>250</v>
      </c>
      <c r="B177" t="s">
        <v>30</v>
      </c>
      <c r="C177" t="s">
        <v>74</v>
      </c>
      <c r="D177" t="s">
        <v>66</v>
      </c>
      <c r="E177" t="s">
        <v>70</v>
      </c>
      <c r="F177">
        <v>14</v>
      </c>
      <c r="G177">
        <v>0.25</v>
      </c>
      <c r="H177">
        <v>0.89</v>
      </c>
      <c r="I177" t="s">
        <v>24</v>
      </c>
      <c r="J177">
        <v>140224</v>
      </c>
      <c r="K177" t="s">
        <v>42</v>
      </c>
      <c r="L177">
        <v>-7</v>
      </c>
      <c r="M177">
        <v>57</v>
      </c>
      <c r="N177" t="s">
        <v>26</v>
      </c>
      <c r="O177" t="s">
        <v>27</v>
      </c>
      <c r="P177">
        <v>3.74</v>
      </c>
      <c r="Q177" t="s">
        <v>24</v>
      </c>
      <c r="R177">
        <v>2.89</v>
      </c>
      <c r="S177" t="s">
        <v>47</v>
      </c>
      <c r="T177" t="str">
        <f t="shared" si="4"/>
        <v>Very High</v>
      </c>
      <c r="U177" t="str">
        <f t="shared" si="5"/>
        <v>Experienced</v>
      </c>
    </row>
    <row r="178" spans="1:21" x14ac:dyDescent="0.35">
      <c r="A178" t="s">
        <v>251</v>
      </c>
      <c r="B178" t="s">
        <v>106</v>
      </c>
      <c r="C178" t="s">
        <v>39</v>
      </c>
      <c r="D178" t="s">
        <v>63</v>
      </c>
      <c r="E178" t="s">
        <v>23</v>
      </c>
      <c r="F178">
        <v>18</v>
      </c>
      <c r="G178">
        <v>0.42</v>
      </c>
      <c r="H178">
        <v>0.89</v>
      </c>
      <c r="I178" t="s">
        <v>34</v>
      </c>
      <c r="J178">
        <v>69525</v>
      </c>
      <c r="K178" t="s">
        <v>25</v>
      </c>
      <c r="L178">
        <v>10</v>
      </c>
      <c r="M178">
        <v>57</v>
      </c>
      <c r="N178" t="s">
        <v>26</v>
      </c>
      <c r="O178" t="s">
        <v>25</v>
      </c>
      <c r="P178">
        <v>4.34</v>
      </c>
      <c r="Q178" t="s">
        <v>34</v>
      </c>
      <c r="R178">
        <v>2.33</v>
      </c>
      <c r="S178" t="s">
        <v>47</v>
      </c>
      <c r="T178" t="str">
        <f t="shared" si="4"/>
        <v>High</v>
      </c>
      <c r="U178" t="str">
        <f t="shared" si="5"/>
        <v>Expert</v>
      </c>
    </row>
    <row r="179" spans="1:21" x14ac:dyDescent="0.35">
      <c r="A179" t="s">
        <v>252</v>
      </c>
      <c r="B179" t="s">
        <v>89</v>
      </c>
      <c r="C179" t="s">
        <v>21</v>
      </c>
      <c r="D179" t="s">
        <v>32</v>
      </c>
      <c r="E179" t="s">
        <v>23</v>
      </c>
      <c r="F179">
        <v>20</v>
      </c>
      <c r="G179">
        <v>0.74</v>
      </c>
      <c r="H179">
        <v>0.33</v>
      </c>
      <c r="I179" t="s">
        <v>34</v>
      </c>
      <c r="J179">
        <v>71532</v>
      </c>
      <c r="K179" t="s">
        <v>42</v>
      </c>
      <c r="L179">
        <v>17</v>
      </c>
      <c r="M179">
        <v>60</v>
      </c>
      <c r="N179" t="s">
        <v>42</v>
      </c>
      <c r="O179" t="s">
        <v>36</v>
      </c>
      <c r="P179">
        <v>2.0099999999999998</v>
      </c>
      <c r="Q179" t="s">
        <v>24</v>
      </c>
      <c r="R179">
        <v>3.92</v>
      </c>
      <c r="S179" t="s">
        <v>47</v>
      </c>
      <c r="T179" t="str">
        <f t="shared" si="4"/>
        <v>Very Low</v>
      </c>
      <c r="U179" t="str">
        <f t="shared" si="5"/>
        <v>Expert</v>
      </c>
    </row>
    <row r="180" spans="1:21" x14ac:dyDescent="0.35">
      <c r="A180" t="s">
        <v>253</v>
      </c>
      <c r="B180" t="s">
        <v>147</v>
      </c>
      <c r="C180" t="s">
        <v>31</v>
      </c>
      <c r="D180" t="s">
        <v>32</v>
      </c>
      <c r="E180" t="s">
        <v>41</v>
      </c>
      <c r="F180">
        <v>12</v>
      </c>
      <c r="G180">
        <v>0.61</v>
      </c>
      <c r="H180">
        <v>0.4</v>
      </c>
      <c r="I180" t="s">
        <v>60</v>
      </c>
      <c r="J180">
        <v>211803</v>
      </c>
      <c r="K180" t="s">
        <v>27</v>
      </c>
      <c r="L180">
        <v>9</v>
      </c>
      <c r="M180">
        <v>35</v>
      </c>
      <c r="N180" t="s">
        <v>35</v>
      </c>
      <c r="O180" t="s">
        <v>25</v>
      </c>
      <c r="P180">
        <v>2.89</v>
      </c>
      <c r="Q180" t="s">
        <v>34</v>
      </c>
      <c r="R180">
        <v>2.82</v>
      </c>
      <c r="S180" t="s">
        <v>28</v>
      </c>
      <c r="T180" t="str">
        <f t="shared" si="4"/>
        <v>Moderate</v>
      </c>
      <c r="U180" t="str">
        <f t="shared" si="5"/>
        <v>Experienced</v>
      </c>
    </row>
    <row r="181" spans="1:21" x14ac:dyDescent="0.35">
      <c r="A181" t="s">
        <v>254</v>
      </c>
      <c r="B181" t="s">
        <v>156</v>
      </c>
      <c r="C181" t="s">
        <v>39</v>
      </c>
      <c r="D181" t="s">
        <v>59</v>
      </c>
      <c r="E181" t="s">
        <v>33</v>
      </c>
      <c r="F181">
        <v>6</v>
      </c>
      <c r="G181">
        <v>0.37</v>
      </c>
      <c r="H181">
        <v>0.35</v>
      </c>
      <c r="I181" t="s">
        <v>60</v>
      </c>
      <c r="J181">
        <v>135746</v>
      </c>
      <c r="K181" t="s">
        <v>25</v>
      </c>
      <c r="L181">
        <v>27</v>
      </c>
      <c r="M181">
        <v>46</v>
      </c>
      <c r="N181" t="s">
        <v>35</v>
      </c>
      <c r="O181" t="s">
        <v>25</v>
      </c>
      <c r="P181">
        <v>3.1</v>
      </c>
      <c r="Q181" t="s">
        <v>24</v>
      </c>
      <c r="R181">
        <v>2.5</v>
      </c>
      <c r="S181" t="s">
        <v>28</v>
      </c>
      <c r="T181" t="str">
        <f t="shared" si="4"/>
        <v>Moderate</v>
      </c>
      <c r="U181" t="str">
        <f t="shared" si="5"/>
        <v>Intermediate</v>
      </c>
    </row>
    <row r="182" spans="1:21" x14ac:dyDescent="0.35">
      <c r="A182" t="s">
        <v>255</v>
      </c>
      <c r="B182" t="s">
        <v>68</v>
      </c>
      <c r="C182" t="s">
        <v>52</v>
      </c>
      <c r="D182" t="s">
        <v>49</v>
      </c>
      <c r="E182" t="s">
        <v>23</v>
      </c>
      <c r="F182">
        <v>3</v>
      </c>
      <c r="G182">
        <v>0.64</v>
      </c>
      <c r="H182">
        <v>0.22</v>
      </c>
      <c r="I182" t="s">
        <v>60</v>
      </c>
      <c r="J182">
        <v>210813</v>
      </c>
      <c r="K182" t="s">
        <v>42</v>
      </c>
      <c r="L182">
        <v>20</v>
      </c>
      <c r="M182">
        <v>52</v>
      </c>
      <c r="N182" t="s">
        <v>35</v>
      </c>
      <c r="O182" t="s">
        <v>25</v>
      </c>
      <c r="P182">
        <v>4.09</v>
      </c>
      <c r="Q182" t="s">
        <v>24</v>
      </c>
      <c r="R182">
        <v>2.2000000000000002</v>
      </c>
      <c r="S182" t="s">
        <v>28</v>
      </c>
      <c r="T182" t="str">
        <f t="shared" si="4"/>
        <v>Moderate</v>
      </c>
      <c r="U182" t="str">
        <f t="shared" si="5"/>
        <v>Intermediate</v>
      </c>
    </row>
    <row r="183" spans="1:21" x14ac:dyDescent="0.35">
      <c r="A183" t="s">
        <v>256</v>
      </c>
      <c r="B183" t="s">
        <v>77</v>
      </c>
      <c r="C183" t="s">
        <v>21</v>
      </c>
      <c r="D183" t="s">
        <v>66</v>
      </c>
      <c r="E183" t="s">
        <v>41</v>
      </c>
      <c r="F183">
        <v>25</v>
      </c>
      <c r="G183">
        <v>0.43</v>
      </c>
      <c r="H183">
        <v>0.91</v>
      </c>
      <c r="I183" t="s">
        <v>24</v>
      </c>
      <c r="J183">
        <v>164108</v>
      </c>
      <c r="K183" t="s">
        <v>42</v>
      </c>
      <c r="L183">
        <v>2</v>
      </c>
      <c r="M183">
        <v>49</v>
      </c>
      <c r="N183" t="s">
        <v>35</v>
      </c>
      <c r="O183" t="s">
        <v>36</v>
      </c>
      <c r="P183">
        <v>4.49</v>
      </c>
      <c r="Q183" t="s">
        <v>24</v>
      </c>
      <c r="R183">
        <v>2.4300000000000002</v>
      </c>
      <c r="S183" t="s">
        <v>43</v>
      </c>
      <c r="T183" t="str">
        <f t="shared" si="4"/>
        <v>High</v>
      </c>
      <c r="U183" t="str">
        <f t="shared" si="5"/>
        <v>Expert</v>
      </c>
    </row>
    <row r="184" spans="1:21" x14ac:dyDescent="0.35">
      <c r="A184" t="s">
        <v>257</v>
      </c>
      <c r="B184" t="s">
        <v>156</v>
      </c>
      <c r="C184" t="s">
        <v>58</v>
      </c>
      <c r="D184" t="s">
        <v>40</v>
      </c>
      <c r="E184" t="s">
        <v>41</v>
      </c>
      <c r="F184">
        <v>18</v>
      </c>
      <c r="G184">
        <v>0.67</v>
      </c>
      <c r="H184">
        <v>0.57999999999999996</v>
      </c>
      <c r="I184" t="s">
        <v>60</v>
      </c>
      <c r="J184">
        <v>91474</v>
      </c>
      <c r="K184" t="s">
        <v>42</v>
      </c>
      <c r="L184">
        <v>-1</v>
      </c>
      <c r="M184">
        <v>60</v>
      </c>
      <c r="N184" t="s">
        <v>35</v>
      </c>
      <c r="O184" t="s">
        <v>27</v>
      </c>
      <c r="P184">
        <v>2.23</v>
      </c>
      <c r="Q184" t="s">
        <v>24</v>
      </c>
      <c r="R184">
        <v>4.62</v>
      </c>
      <c r="S184" t="s">
        <v>28</v>
      </c>
      <c r="T184" t="str">
        <f t="shared" si="4"/>
        <v>Moderate</v>
      </c>
      <c r="U184" t="str">
        <f t="shared" si="5"/>
        <v>Expert</v>
      </c>
    </row>
    <row r="185" spans="1:21" x14ac:dyDescent="0.35">
      <c r="A185" t="s">
        <v>258</v>
      </c>
      <c r="B185" t="s">
        <v>62</v>
      </c>
      <c r="C185" t="s">
        <v>74</v>
      </c>
      <c r="D185" t="s">
        <v>63</v>
      </c>
      <c r="E185" t="s">
        <v>23</v>
      </c>
      <c r="F185">
        <v>23</v>
      </c>
      <c r="G185">
        <v>0.1</v>
      </c>
      <c r="H185">
        <v>0.84</v>
      </c>
      <c r="I185" t="s">
        <v>24</v>
      </c>
      <c r="J185">
        <v>40340</v>
      </c>
      <c r="K185" t="s">
        <v>25</v>
      </c>
      <c r="L185">
        <v>44</v>
      </c>
      <c r="M185">
        <v>54</v>
      </c>
      <c r="N185" t="s">
        <v>35</v>
      </c>
      <c r="O185" t="s">
        <v>25</v>
      </c>
      <c r="P185">
        <v>4.5599999999999996</v>
      </c>
      <c r="Q185" t="s">
        <v>24</v>
      </c>
      <c r="R185">
        <v>2.31</v>
      </c>
      <c r="S185" t="s">
        <v>43</v>
      </c>
      <c r="T185" t="str">
        <f t="shared" si="4"/>
        <v>Very High</v>
      </c>
      <c r="U185" t="str">
        <f t="shared" si="5"/>
        <v>Expert</v>
      </c>
    </row>
    <row r="186" spans="1:21" x14ac:dyDescent="0.35">
      <c r="A186" t="s">
        <v>259</v>
      </c>
      <c r="B186" t="s">
        <v>96</v>
      </c>
      <c r="C186" t="s">
        <v>107</v>
      </c>
      <c r="D186" t="s">
        <v>69</v>
      </c>
      <c r="E186" t="s">
        <v>33</v>
      </c>
      <c r="F186">
        <v>3</v>
      </c>
      <c r="G186">
        <v>0.41</v>
      </c>
      <c r="H186">
        <v>0.96</v>
      </c>
      <c r="I186" t="s">
        <v>24</v>
      </c>
      <c r="J186">
        <v>101259</v>
      </c>
      <c r="K186" t="s">
        <v>27</v>
      </c>
      <c r="L186">
        <v>36</v>
      </c>
      <c r="M186">
        <v>31</v>
      </c>
      <c r="N186" t="s">
        <v>35</v>
      </c>
      <c r="O186" t="s">
        <v>25</v>
      </c>
      <c r="P186">
        <v>3.25</v>
      </c>
      <c r="Q186" t="s">
        <v>34</v>
      </c>
      <c r="R186">
        <v>4.21</v>
      </c>
      <c r="S186" t="s">
        <v>28</v>
      </c>
      <c r="T186" t="str">
        <f t="shared" si="4"/>
        <v>High</v>
      </c>
      <c r="U186" t="str">
        <f t="shared" si="5"/>
        <v>Intermediate</v>
      </c>
    </row>
    <row r="187" spans="1:21" x14ac:dyDescent="0.35">
      <c r="A187" t="s">
        <v>260</v>
      </c>
      <c r="B187" t="s">
        <v>89</v>
      </c>
      <c r="C187" t="s">
        <v>107</v>
      </c>
      <c r="D187" t="s">
        <v>40</v>
      </c>
      <c r="E187" t="s">
        <v>23</v>
      </c>
      <c r="F187">
        <v>14</v>
      </c>
      <c r="G187">
        <v>0.84</v>
      </c>
      <c r="H187">
        <v>0.77</v>
      </c>
      <c r="I187" t="s">
        <v>24</v>
      </c>
      <c r="J187">
        <v>64250</v>
      </c>
      <c r="K187" t="s">
        <v>25</v>
      </c>
      <c r="L187">
        <v>6</v>
      </c>
      <c r="M187">
        <v>50</v>
      </c>
      <c r="N187" t="s">
        <v>42</v>
      </c>
      <c r="O187" t="s">
        <v>25</v>
      </c>
      <c r="P187">
        <v>4.1100000000000003</v>
      </c>
      <c r="Q187" t="s">
        <v>24</v>
      </c>
      <c r="R187">
        <v>4.91</v>
      </c>
      <c r="S187" t="s">
        <v>28</v>
      </c>
      <c r="T187" t="str">
        <f t="shared" si="4"/>
        <v>Moderate</v>
      </c>
      <c r="U187" t="str">
        <f t="shared" si="5"/>
        <v>Experienced</v>
      </c>
    </row>
    <row r="188" spans="1:21" x14ac:dyDescent="0.35">
      <c r="A188" t="s">
        <v>261</v>
      </c>
      <c r="B188" t="s">
        <v>96</v>
      </c>
      <c r="C188" t="s">
        <v>82</v>
      </c>
      <c r="D188" t="s">
        <v>80</v>
      </c>
      <c r="E188" t="s">
        <v>41</v>
      </c>
      <c r="F188">
        <v>0</v>
      </c>
      <c r="G188">
        <v>0.7</v>
      </c>
      <c r="H188">
        <v>0.57999999999999996</v>
      </c>
      <c r="I188" t="s">
        <v>60</v>
      </c>
      <c r="J188">
        <v>203987</v>
      </c>
      <c r="K188" t="s">
        <v>25</v>
      </c>
      <c r="L188">
        <v>22</v>
      </c>
      <c r="M188">
        <v>57</v>
      </c>
      <c r="N188" t="s">
        <v>42</v>
      </c>
      <c r="O188" t="s">
        <v>36</v>
      </c>
      <c r="P188">
        <v>4.6100000000000003</v>
      </c>
      <c r="Q188" t="s">
        <v>24</v>
      </c>
      <c r="R188">
        <v>4.01</v>
      </c>
      <c r="S188" t="s">
        <v>43</v>
      </c>
      <c r="T188" t="str">
        <f t="shared" si="4"/>
        <v>Moderate</v>
      </c>
      <c r="U188" t="str">
        <f t="shared" si="5"/>
        <v>Beginner</v>
      </c>
    </row>
    <row r="189" spans="1:21" x14ac:dyDescent="0.35">
      <c r="A189" t="s">
        <v>262</v>
      </c>
      <c r="B189" t="s">
        <v>57</v>
      </c>
      <c r="C189" t="s">
        <v>21</v>
      </c>
      <c r="D189" t="s">
        <v>49</v>
      </c>
      <c r="E189" t="s">
        <v>23</v>
      </c>
      <c r="F189">
        <v>25</v>
      </c>
      <c r="G189">
        <v>0.25</v>
      </c>
      <c r="H189">
        <v>0.71</v>
      </c>
      <c r="I189" t="s">
        <v>60</v>
      </c>
      <c r="J189">
        <v>135716</v>
      </c>
      <c r="K189" t="s">
        <v>42</v>
      </c>
      <c r="L189">
        <v>-5</v>
      </c>
      <c r="M189">
        <v>57</v>
      </c>
      <c r="N189" t="s">
        <v>42</v>
      </c>
      <c r="O189" t="s">
        <v>36</v>
      </c>
      <c r="P189">
        <v>2.95</v>
      </c>
      <c r="Q189" t="s">
        <v>34</v>
      </c>
      <c r="R189">
        <v>3.98</v>
      </c>
      <c r="S189" t="s">
        <v>47</v>
      </c>
      <c r="T189" t="str">
        <f t="shared" si="4"/>
        <v>Very High</v>
      </c>
      <c r="U189" t="str">
        <f t="shared" si="5"/>
        <v>Expert</v>
      </c>
    </row>
    <row r="190" spans="1:21" x14ac:dyDescent="0.35">
      <c r="A190" t="s">
        <v>263</v>
      </c>
      <c r="B190" t="s">
        <v>77</v>
      </c>
      <c r="C190" t="s">
        <v>46</v>
      </c>
      <c r="D190" t="s">
        <v>66</v>
      </c>
      <c r="E190" t="s">
        <v>33</v>
      </c>
      <c r="F190">
        <v>20</v>
      </c>
      <c r="G190">
        <v>0.55000000000000004</v>
      </c>
      <c r="H190">
        <v>0.2</v>
      </c>
      <c r="I190" t="s">
        <v>60</v>
      </c>
      <c r="J190">
        <v>53827</v>
      </c>
      <c r="K190" t="s">
        <v>42</v>
      </c>
      <c r="L190">
        <v>11</v>
      </c>
      <c r="M190">
        <v>41</v>
      </c>
      <c r="N190" t="s">
        <v>35</v>
      </c>
      <c r="O190" t="s">
        <v>25</v>
      </c>
      <c r="P190">
        <v>4.53</v>
      </c>
      <c r="Q190" t="s">
        <v>34</v>
      </c>
      <c r="R190">
        <v>3.24</v>
      </c>
      <c r="S190" t="s">
        <v>28</v>
      </c>
      <c r="T190" t="str">
        <f t="shared" si="4"/>
        <v>Moderate</v>
      </c>
      <c r="U190" t="str">
        <f t="shared" si="5"/>
        <v>Expert</v>
      </c>
    </row>
    <row r="191" spans="1:21" x14ac:dyDescent="0.35">
      <c r="A191" t="s">
        <v>264</v>
      </c>
      <c r="B191" t="s">
        <v>62</v>
      </c>
      <c r="C191" t="s">
        <v>55</v>
      </c>
      <c r="D191" t="s">
        <v>80</v>
      </c>
      <c r="E191" t="s">
        <v>70</v>
      </c>
      <c r="F191">
        <v>22</v>
      </c>
      <c r="G191">
        <v>0.25</v>
      </c>
      <c r="H191">
        <v>0.47</v>
      </c>
      <c r="I191" t="s">
        <v>24</v>
      </c>
      <c r="J191">
        <v>196110</v>
      </c>
      <c r="K191" t="s">
        <v>25</v>
      </c>
      <c r="L191">
        <v>0</v>
      </c>
      <c r="M191">
        <v>45</v>
      </c>
      <c r="N191" t="s">
        <v>35</v>
      </c>
      <c r="O191" t="s">
        <v>27</v>
      </c>
      <c r="P191">
        <v>4.2300000000000004</v>
      </c>
      <c r="Q191" t="s">
        <v>34</v>
      </c>
      <c r="R191">
        <v>1.43</v>
      </c>
      <c r="S191" t="s">
        <v>28</v>
      </c>
      <c r="T191" t="str">
        <f t="shared" si="4"/>
        <v>High</v>
      </c>
      <c r="U191" t="str">
        <f t="shared" si="5"/>
        <v>Expert</v>
      </c>
    </row>
    <row r="192" spans="1:21" x14ac:dyDescent="0.35">
      <c r="A192" t="s">
        <v>265</v>
      </c>
      <c r="B192" t="s">
        <v>30</v>
      </c>
      <c r="C192" t="s">
        <v>21</v>
      </c>
      <c r="D192" t="s">
        <v>69</v>
      </c>
      <c r="E192" t="s">
        <v>41</v>
      </c>
      <c r="F192">
        <v>20</v>
      </c>
      <c r="G192">
        <v>0.46</v>
      </c>
      <c r="H192">
        <v>0.82</v>
      </c>
      <c r="I192" t="s">
        <v>60</v>
      </c>
      <c r="J192">
        <v>217901</v>
      </c>
      <c r="K192" t="s">
        <v>27</v>
      </c>
      <c r="L192">
        <v>-3</v>
      </c>
      <c r="M192">
        <v>54</v>
      </c>
      <c r="N192" t="s">
        <v>42</v>
      </c>
      <c r="O192" t="s">
        <v>36</v>
      </c>
      <c r="P192">
        <v>3.98</v>
      </c>
      <c r="Q192" t="s">
        <v>24</v>
      </c>
      <c r="R192">
        <v>4.8600000000000003</v>
      </c>
      <c r="S192" t="s">
        <v>47</v>
      </c>
      <c r="T192" t="str">
        <f t="shared" si="4"/>
        <v>High</v>
      </c>
      <c r="U192" t="str">
        <f t="shared" si="5"/>
        <v>Expert</v>
      </c>
    </row>
    <row r="193" spans="1:21" x14ac:dyDescent="0.35">
      <c r="A193" t="s">
        <v>266</v>
      </c>
      <c r="B193" t="s">
        <v>38</v>
      </c>
      <c r="C193" t="s">
        <v>82</v>
      </c>
      <c r="D193" t="s">
        <v>32</v>
      </c>
      <c r="E193" t="s">
        <v>41</v>
      </c>
      <c r="F193">
        <v>12</v>
      </c>
      <c r="G193">
        <v>0.88</v>
      </c>
      <c r="H193">
        <v>0.82</v>
      </c>
      <c r="I193" t="s">
        <v>60</v>
      </c>
      <c r="J193">
        <v>76452</v>
      </c>
      <c r="K193" t="s">
        <v>27</v>
      </c>
      <c r="L193">
        <v>28</v>
      </c>
      <c r="M193">
        <v>58</v>
      </c>
      <c r="N193" t="s">
        <v>42</v>
      </c>
      <c r="O193" t="s">
        <v>27</v>
      </c>
      <c r="P193">
        <v>4.6399999999999997</v>
      </c>
      <c r="Q193" t="s">
        <v>34</v>
      </c>
      <c r="R193">
        <v>4.92</v>
      </c>
      <c r="S193" t="s">
        <v>28</v>
      </c>
      <c r="T193" t="str">
        <f t="shared" si="4"/>
        <v>Moderate</v>
      </c>
      <c r="U193" t="str">
        <f t="shared" si="5"/>
        <v>Experienced</v>
      </c>
    </row>
    <row r="194" spans="1:21" x14ac:dyDescent="0.35">
      <c r="A194" t="s">
        <v>267</v>
      </c>
      <c r="B194" t="s">
        <v>77</v>
      </c>
      <c r="C194" t="s">
        <v>55</v>
      </c>
      <c r="D194" t="s">
        <v>66</v>
      </c>
      <c r="E194" t="s">
        <v>70</v>
      </c>
      <c r="F194">
        <v>22</v>
      </c>
      <c r="G194">
        <v>0.46</v>
      </c>
      <c r="H194">
        <v>0.31</v>
      </c>
      <c r="I194" t="s">
        <v>60</v>
      </c>
      <c r="J194">
        <v>138198</v>
      </c>
      <c r="K194" t="s">
        <v>27</v>
      </c>
      <c r="L194">
        <v>30</v>
      </c>
      <c r="M194">
        <v>36</v>
      </c>
      <c r="N194" t="s">
        <v>35</v>
      </c>
      <c r="O194" t="s">
        <v>25</v>
      </c>
      <c r="P194">
        <v>3.87</v>
      </c>
      <c r="Q194" t="s">
        <v>34</v>
      </c>
      <c r="R194">
        <v>3.75</v>
      </c>
      <c r="S194" t="s">
        <v>28</v>
      </c>
      <c r="T194" t="str">
        <f t="shared" si="4"/>
        <v>Moderate</v>
      </c>
      <c r="U194" t="str">
        <f t="shared" si="5"/>
        <v>Expert</v>
      </c>
    </row>
    <row r="195" spans="1:21" x14ac:dyDescent="0.35">
      <c r="A195" t="s">
        <v>268</v>
      </c>
      <c r="B195" t="s">
        <v>38</v>
      </c>
      <c r="C195" t="s">
        <v>46</v>
      </c>
      <c r="D195" t="s">
        <v>69</v>
      </c>
      <c r="E195" t="s">
        <v>70</v>
      </c>
      <c r="F195">
        <v>13</v>
      </c>
      <c r="G195">
        <v>0.15</v>
      </c>
      <c r="H195">
        <v>0.48</v>
      </c>
      <c r="I195" t="s">
        <v>24</v>
      </c>
      <c r="J195">
        <v>155926</v>
      </c>
      <c r="K195" t="s">
        <v>27</v>
      </c>
      <c r="L195">
        <v>-4</v>
      </c>
      <c r="M195">
        <v>30</v>
      </c>
      <c r="N195" t="s">
        <v>42</v>
      </c>
      <c r="O195" t="s">
        <v>25</v>
      </c>
      <c r="P195">
        <v>2.16</v>
      </c>
      <c r="Q195" t="s">
        <v>24</v>
      </c>
      <c r="R195">
        <v>1.8</v>
      </c>
      <c r="S195" t="s">
        <v>47</v>
      </c>
      <c r="T195" t="str">
        <f t="shared" ref="T195:T258" si="6">IF(AND(G195&lt;0.4,H195&gt;=0.7),"Very High",
IF(AND(G195&gt;=0.7,H195&lt;0.5),"Very Low",
IF(G195&lt;H195,"High","Moderate")))</f>
        <v>High</v>
      </c>
      <c r="U195" t="str">
        <f t="shared" ref="U195:U258" si="7">_xlfn.IFS(F195&lt;=2,"Beginner",F195&lt;=8,"Intermediate",F195&lt;=15,"Experienced",F195&lt;=25,"Expert")</f>
        <v>Experienced</v>
      </c>
    </row>
    <row r="196" spans="1:21" x14ac:dyDescent="0.35">
      <c r="A196" t="s">
        <v>269</v>
      </c>
      <c r="B196" t="s">
        <v>147</v>
      </c>
      <c r="C196" t="s">
        <v>107</v>
      </c>
      <c r="D196" t="s">
        <v>40</v>
      </c>
      <c r="E196" t="s">
        <v>33</v>
      </c>
      <c r="F196">
        <v>23</v>
      </c>
      <c r="G196">
        <v>0.32</v>
      </c>
      <c r="H196">
        <v>0.8</v>
      </c>
      <c r="I196" t="s">
        <v>60</v>
      </c>
      <c r="J196">
        <v>38468</v>
      </c>
      <c r="K196" t="s">
        <v>27</v>
      </c>
      <c r="L196">
        <v>14</v>
      </c>
      <c r="M196">
        <v>37</v>
      </c>
      <c r="N196" t="s">
        <v>26</v>
      </c>
      <c r="O196" t="s">
        <v>27</v>
      </c>
      <c r="P196">
        <v>2.86</v>
      </c>
      <c r="Q196" t="s">
        <v>24</v>
      </c>
      <c r="R196">
        <v>4.71</v>
      </c>
      <c r="S196" t="s">
        <v>43</v>
      </c>
      <c r="T196" t="str">
        <f t="shared" si="6"/>
        <v>Very High</v>
      </c>
      <c r="U196" t="str">
        <f t="shared" si="7"/>
        <v>Expert</v>
      </c>
    </row>
    <row r="197" spans="1:21" x14ac:dyDescent="0.35">
      <c r="A197" t="s">
        <v>270</v>
      </c>
      <c r="B197" t="s">
        <v>57</v>
      </c>
      <c r="C197" t="s">
        <v>74</v>
      </c>
      <c r="D197" t="s">
        <v>22</v>
      </c>
      <c r="E197" t="s">
        <v>33</v>
      </c>
      <c r="F197">
        <v>24</v>
      </c>
      <c r="G197">
        <v>0.61</v>
      </c>
      <c r="H197">
        <v>0.82</v>
      </c>
      <c r="I197" t="s">
        <v>60</v>
      </c>
      <c r="J197">
        <v>146146</v>
      </c>
      <c r="K197" t="s">
        <v>25</v>
      </c>
      <c r="L197">
        <v>8</v>
      </c>
      <c r="M197">
        <v>44</v>
      </c>
      <c r="N197" t="s">
        <v>35</v>
      </c>
      <c r="O197" t="s">
        <v>27</v>
      </c>
      <c r="P197">
        <v>2.2200000000000002</v>
      </c>
      <c r="Q197" t="s">
        <v>24</v>
      </c>
      <c r="R197">
        <v>3.94</v>
      </c>
      <c r="S197" t="s">
        <v>47</v>
      </c>
      <c r="T197" t="str">
        <f t="shared" si="6"/>
        <v>High</v>
      </c>
      <c r="U197" t="str">
        <f t="shared" si="7"/>
        <v>Expert</v>
      </c>
    </row>
    <row r="198" spans="1:21" x14ac:dyDescent="0.35">
      <c r="A198" t="s">
        <v>271</v>
      </c>
      <c r="B198" t="s">
        <v>30</v>
      </c>
      <c r="C198" t="s">
        <v>107</v>
      </c>
      <c r="D198" t="s">
        <v>32</v>
      </c>
      <c r="E198" t="s">
        <v>41</v>
      </c>
      <c r="F198">
        <v>4</v>
      </c>
      <c r="G198">
        <v>0.19</v>
      </c>
      <c r="H198">
        <v>0.87</v>
      </c>
      <c r="I198" t="s">
        <v>34</v>
      </c>
      <c r="J198">
        <v>31479</v>
      </c>
      <c r="K198" t="s">
        <v>27</v>
      </c>
      <c r="L198">
        <v>-7</v>
      </c>
      <c r="M198">
        <v>54</v>
      </c>
      <c r="N198" t="s">
        <v>26</v>
      </c>
      <c r="O198" t="s">
        <v>27</v>
      </c>
      <c r="P198">
        <v>4.53</v>
      </c>
      <c r="Q198" t="s">
        <v>34</v>
      </c>
      <c r="R198">
        <v>2.96</v>
      </c>
      <c r="S198" t="s">
        <v>28</v>
      </c>
      <c r="T198" t="str">
        <f t="shared" si="6"/>
        <v>Very High</v>
      </c>
      <c r="U198" t="str">
        <f t="shared" si="7"/>
        <v>Intermediate</v>
      </c>
    </row>
    <row r="199" spans="1:21" x14ac:dyDescent="0.35">
      <c r="A199" t="s">
        <v>272</v>
      </c>
      <c r="B199" t="s">
        <v>20</v>
      </c>
      <c r="C199" t="s">
        <v>55</v>
      </c>
      <c r="D199" t="s">
        <v>69</v>
      </c>
      <c r="E199" t="s">
        <v>41</v>
      </c>
      <c r="F199">
        <v>11</v>
      </c>
      <c r="G199">
        <v>0.11</v>
      </c>
      <c r="H199">
        <v>0.6</v>
      </c>
      <c r="I199" t="s">
        <v>24</v>
      </c>
      <c r="J199">
        <v>139033</v>
      </c>
      <c r="K199" t="s">
        <v>25</v>
      </c>
      <c r="L199">
        <v>32</v>
      </c>
      <c r="M199">
        <v>40</v>
      </c>
      <c r="N199" t="s">
        <v>42</v>
      </c>
      <c r="O199" t="s">
        <v>36</v>
      </c>
      <c r="P199">
        <v>2.88</v>
      </c>
      <c r="Q199" t="s">
        <v>34</v>
      </c>
      <c r="R199">
        <v>4.99</v>
      </c>
      <c r="S199" t="s">
        <v>28</v>
      </c>
      <c r="T199" t="str">
        <f t="shared" si="6"/>
        <v>High</v>
      </c>
      <c r="U199" t="str">
        <f t="shared" si="7"/>
        <v>Experienced</v>
      </c>
    </row>
    <row r="200" spans="1:21" x14ac:dyDescent="0.35">
      <c r="A200" t="s">
        <v>273</v>
      </c>
      <c r="B200" t="s">
        <v>57</v>
      </c>
      <c r="C200" t="s">
        <v>58</v>
      </c>
      <c r="D200" t="s">
        <v>63</v>
      </c>
      <c r="E200" t="s">
        <v>23</v>
      </c>
      <c r="F200">
        <v>25</v>
      </c>
      <c r="G200">
        <v>0.27</v>
      </c>
      <c r="H200">
        <v>0.71</v>
      </c>
      <c r="I200" t="s">
        <v>24</v>
      </c>
      <c r="J200">
        <v>192825</v>
      </c>
      <c r="K200" t="s">
        <v>42</v>
      </c>
      <c r="L200">
        <v>6</v>
      </c>
      <c r="M200">
        <v>47</v>
      </c>
      <c r="N200" t="s">
        <v>26</v>
      </c>
      <c r="O200" t="s">
        <v>36</v>
      </c>
      <c r="P200">
        <v>2.0699999999999998</v>
      </c>
      <c r="Q200" t="s">
        <v>34</v>
      </c>
      <c r="R200">
        <v>3.06</v>
      </c>
      <c r="S200" t="s">
        <v>28</v>
      </c>
      <c r="T200" t="str">
        <f t="shared" si="6"/>
        <v>Very High</v>
      </c>
      <c r="U200" t="str">
        <f t="shared" si="7"/>
        <v>Expert</v>
      </c>
    </row>
    <row r="201" spans="1:21" x14ac:dyDescent="0.35">
      <c r="A201" t="s">
        <v>274</v>
      </c>
      <c r="B201" t="s">
        <v>51</v>
      </c>
      <c r="C201" t="s">
        <v>55</v>
      </c>
      <c r="D201" t="s">
        <v>80</v>
      </c>
      <c r="E201" t="s">
        <v>41</v>
      </c>
      <c r="F201">
        <v>20</v>
      </c>
      <c r="G201">
        <v>0.34</v>
      </c>
      <c r="H201">
        <v>0.27</v>
      </c>
      <c r="I201" t="s">
        <v>24</v>
      </c>
      <c r="J201">
        <v>55154</v>
      </c>
      <c r="K201" t="s">
        <v>25</v>
      </c>
      <c r="L201">
        <v>32</v>
      </c>
      <c r="M201">
        <v>50</v>
      </c>
      <c r="N201" t="s">
        <v>35</v>
      </c>
      <c r="O201" t="s">
        <v>27</v>
      </c>
      <c r="P201">
        <v>3.27</v>
      </c>
      <c r="Q201" t="s">
        <v>24</v>
      </c>
      <c r="R201">
        <v>1.82</v>
      </c>
      <c r="S201" t="s">
        <v>28</v>
      </c>
      <c r="T201" t="str">
        <f t="shared" si="6"/>
        <v>Moderate</v>
      </c>
      <c r="U201" t="str">
        <f t="shared" si="7"/>
        <v>Expert</v>
      </c>
    </row>
    <row r="202" spans="1:21" x14ac:dyDescent="0.35">
      <c r="A202" t="s">
        <v>275</v>
      </c>
      <c r="B202" t="s">
        <v>54</v>
      </c>
      <c r="C202" t="s">
        <v>55</v>
      </c>
      <c r="D202" t="s">
        <v>40</v>
      </c>
      <c r="E202" t="s">
        <v>33</v>
      </c>
      <c r="F202">
        <v>8</v>
      </c>
      <c r="G202">
        <v>0.08</v>
      </c>
      <c r="H202">
        <v>0.26</v>
      </c>
      <c r="I202" t="s">
        <v>34</v>
      </c>
      <c r="J202">
        <v>76659</v>
      </c>
      <c r="K202" t="s">
        <v>42</v>
      </c>
      <c r="L202">
        <v>18</v>
      </c>
      <c r="M202">
        <v>50</v>
      </c>
      <c r="N202" t="s">
        <v>42</v>
      </c>
      <c r="O202" t="s">
        <v>36</v>
      </c>
      <c r="P202">
        <v>2.95</v>
      </c>
      <c r="Q202" t="s">
        <v>34</v>
      </c>
      <c r="R202">
        <v>3.69</v>
      </c>
      <c r="S202" t="s">
        <v>28</v>
      </c>
      <c r="T202" t="str">
        <f t="shared" si="6"/>
        <v>High</v>
      </c>
      <c r="U202" t="str">
        <f t="shared" si="7"/>
        <v>Intermediate</v>
      </c>
    </row>
    <row r="203" spans="1:21" x14ac:dyDescent="0.35">
      <c r="A203" t="s">
        <v>276</v>
      </c>
      <c r="B203" t="s">
        <v>62</v>
      </c>
      <c r="C203" t="s">
        <v>46</v>
      </c>
      <c r="D203" t="s">
        <v>40</v>
      </c>
      <c r="E203" t="s">
        <v>70</v>
      </c>
      <c r="F203">
        <v>24</v>
      </c>
      <c r="G203">
        <v>0.37</v>
      </c>
      <c r="H203">
        <v>0.6</v>
      </c>
      <c r="I203" t="s">
        <v>34</v>
      </c>
      <c r="J203">
        <v>105978</v>
      </c>
      <c r="K203" t="s">
        <v>42</v>
      </c>
      <c r="L203">
        <v>15</v>
      </c>
      <c r="M203">
        <v>56</v>
      </c>
      <c r="N203" t="s">
        <v>26</v>
      </c>
      <c r="O203" t="s">
        <v>25</v>
      </c>
      <c r="P203">
        <v>3.42</v>
      </c>
      <c r="Q203" t="s">
        <v>24</v>
      </c>
      <c r="R203">
        <v>1.55</v>
      </c>
      <c r="S203" t="s">
        <v>43</v>
      </c>
      <c r="T203" t="str">
        <f t="shared" si="6"/>
        <v>High</v>
      </c>
      <c r="U203" t="str">
        <f t="shared" si="7"/>
        <v>Expert</v>
      </c>
    </row>
    <row r="204" spans="1:21" x14ac:dyDescent="0.35">
      <c r="A204" t="s">
        <v>277</v>
      </c>
      <c r="B204" t="s">
        <v>156</v>
      </c>
      <c r="C204" t="s">
        <v>46</v>
      </c>
      <c r="D204" t="s">
        <v>22</v>
      </c>
      <c r="E204" t="s">
        <v>23</v>
      </c>
      <c r="F204">
        <v>17</v>
      </c>
      <c r="G204">
        <v>0.84</v>
      </c>
      <c r="H204">
        <v>0.31</v>
      </c>
      <c r="I204" t="s">
        <v>60</v>
      </c>
      <c r="J204">
        <v>40950</v>
      </c>
      <c r="K204" t="s">
        <v>25</v>
      </c>
      <c r="L204">
        <v>9</v>
      </c>
      <c r="M204">
        <v>36</v>
      </c>
      <c r="N204" t="s">
        <v>26</v>
      </c>
      <c r="O204" t="s">
        <v>27</v>
      </c>
      <c r="P204">
        <v>4.71</v>
      </c>
      <c r="Q204" t="s">
        <v>34</v>
      </c>
      <c r="R204">
        <v>1.85</v>
      </c>
      <c r="S204" t="s">
        <v>28</v>
      </c>
      <c r="T204" t="str">
        <f t="shared" si="6"/>
        <v>Very Low</v>
      </c>
      <c r="U204" t="str">
        <f t="shared" si="7"/>
        <v>Expert</v>
      </c>
    </row>
    <row r="205" spans="1:21" x14ac:dyDescent="0.35">
      <c r="A205" t="s">
        <v>278</v>
      </c>
      <c r="B205" t="s">
        <v>38</v>
      </c>
      <c r="C205" t="s">
        <v>58</v>
      </c>
      <c r="D205" t="s">
        <v>80</v>
      </c>
      <c r="E205" t="s">
        <v>23</v>
      </c>
      <c r="F205">
        <v>20</v>
      </c>
      <c r="G205">
        <v>0.8</v>
      </c>
      <c r="H205">
        <v>0.35</v>
      </c>
      <c r="I205" t="s">
        <v>60</v>
      </c>
      <c r="J205">
        <v>77541</v>
      </c>
      <c r="K205" t="s">
        <v>25</v>
      </c>
      <c r="L205">
        <v>8</v>
      </c>
      <c r="M205">
        <v>51</v>
      </c>
      <c r="N205" t="s">
        <v>35</v>
      </c>
      <c r="O205" t="s">
        <v>36</v>
      </c>
      <c r="P205">
        <v>2.29</v>
      </c>
      <c r="Q205" t="s">
        <v>34</v>
      </c>
      <c r="R205">
        <v>4.8099999999999996</v>
      </c>
      <c r="S205" t="s">
        <v>43</v>
      </c>
      <c r="T205" t="str">
        <f t="shared" si="6"/>
        <v>Very Low</v>
      </c>
      <c r="U205" t="str">
        <f t="shared" si="7"/>
        <v>Expert</v>
      </c>
    </row>
    <row r="206" spans="1:21" x14ac:dyDescent="0.35">
      <c r="A206" t="s">
        <v>279</v>
      </c>
      <c r="B206" t="s">
        <v>91</v>
      </c>
      <c r="C206" t="s">
        <v>74</v>
      </c>
      <c r="D206" t="s">
        <v>22</v>
      </c>
      <c r="E206" t="s">
        <v>70</v>
      </c>
      <c r="F206">
        <v>22</v>
      </c>
      <c r="G206">
        <v>0.11</v>
      </c>
      <c r="H206">
        <v>0.35</v>
      </c>
      <c r="I206" t="s">
        <v>60</v>
      </c>
      <c r="J206">
        <v>157365</v>
      </c>
      <c r="K206" t="s">
        <v>25</v>
      </c>
      <c r="L206">
        <v>26</v>
      </c>
      <c r="M206">
        <v>48</v>
      </c>
      <c r="N206" t="s">
        <v>42</v>
      </c>
      <c r="O206" t="s">
        <v>36</v>
      </c>
      <c r="P206">
        <v>4.88</v>
      </c>
      <c r="Q206" t="s">
        <v>24</v>
      </c>
      <c r="R206">
        <v>1.02</v>
      </c>
      <c r="S206" t="s">
        <v>47</v>
      </c>
      <c r="T206" t="str">
        <f t="shared" si="6"/>
        <v>High</v>
      </c>
      <c r="U206" t="str">
        <f t="shared" si="7"/>
        <v>Expert</v>
      </c>
    </row>
    <row r="207" spans="1:21" x14ac:dyDescent="0.35">
      <c r="A207" t="s">
        <v>280</v>
      </c>
      <c r="B207" t="s">
        <v>91</v>
      </c>
      <c r="C207" t="s">
        <v>107</v>
      </c>
      <c r="D207" t="s">
        <v>63</v>
      </c>
      <c r="E207" t="s">
        <v>70</v>
      </c>
      <c r="F207">
        <v>15</v>
      </c>
      <c r="G207">
        <v>0.66</v>
      </c>
      <c r="H207">
        <v>0.46</v>
      </c>
      <c r="I207" t="s">
        <v>60</v>
      </c>
      <c r="J207">
        <v>155817</v>
      </c>
      <c r="K207" t="s">
        <v>25</v>
      </c>
      <c r="L207">
        <v>1</v>
      </c>
      <c r="M207">
        <v>50</v>
      </c>
      <c r="N207" t="s">
        <v>26</v>
      </c>
      <c r="O207" t="s">
        <v>25</v>
      </c>
      <c r="P207">
        <v>4.53</v>
      </c>
      <c r="Q207" t="s">
        <v>24</v>
      </c>
      <c r="R207">
        <v>4.57</v>
      </c>
      <c r="S207" t="s">
        <v>47</v>
      </c>
      <c r="T207" t="str">
        <f t="shared" si="6"/>
        <v>Moderate</v>
      </c>
      <c r="U207" t="str">
        <f t="shared" si="7"/>
        <v>Experienced</v>
      </c>
    </row>
    <row r="208" spans="1:21" x14ac:dyDescent="0.35">
      <c r="A208" t="s">
        <v>281</v>
      </c>
      <c r="B208" t="s">
        <v>96</v>
      </c>
      <c r="C208" t="s">
        <v>46</v>
      </c>
      <c r="D208" t="s">
        <v>59</v>
      </c>
      <c r="E208" t="s">
        <v>41</v>
      </c>
      <c r="F208">
        <v>17</v>
      </c>
      <c r="G208">
        <v>0.62</v>
      </c>
      <c r="H208">
        <v>0.84</v>
      </c>
      <c r="I208" t="s">
        <v>34</v>
      </c>
      <c r="J208">
        <v>181755</v>
      </c>
      <c r="K208" t="s">
        <v>27</v>
      </c>
      <c r="L208">
        <v>24</v>
      </c>
      <c r="M208">
        <v>45</v>
      </c>
      <c r="N208" t="s">
        <v>26</v>
      </c>
      <c r="O208" t="s">
        <v>25</v>
      </c>
      <c r="P208">
        <v>3.1</v>
      </c>
      <c r="Q208" t="s">
        <v>24</v>
      </c>
      <c r="R208">
        <v>4.57</v>
      </c>
      <c r="S208" t="s">
        <v>28</v>
      </c>
      <c r="T208" t="str">
        <f t="shared" si="6"/>
        <v>High</v>
      </c>
      <c r="U208" t="str">
        <f t="shared" si="7"/>
        <v>Expert</v>
      </c>
    </row>
    <row r="209" spans="1:21" x14ac:dyDescent="0.35">
      <c r="A209" t="s">
        <v>282</v>
      </c>
      <c r="B209" t="s">
        <v>51</v>
      </c>
      <c r="C209" t="s">
        <v>55</v>
      </c>
      <c r="D209" t="s">
        <v>32</v>
      </c>
      <c r="E209" t="s">
        <v>23</v>
      </c>
      <c r="F209">
        <v>5</v>
      </c>
      <c r="G209">
        <v>0.5</v>
      </c>
      <c r="H209">
        <v>0.72</v>
      </c>
      <c r="I209" t="s">
        <v>24</v>
      </c>
      <c r="J209">
        <v>190965</v>
      </c>
      <c r="K209" t="s">
        <v>27</v>
      </c>
      <c r="L209">
        <v>26</v>
      </c>
      <c r="M209">
        <v>51</v>
      </c>
      <c r="N209" t="s">
        <v>35</v>
      </c>
      <c r="O209" t="s">
        <v>27</v>
      </c>
      <c r="P209">
        <v>4.2</v>
      </c>
      <c r="Q209" t="s">
        <v>34</v>
      </c>
      <c r="R209">
        <v>1.1599999999999999</v>
      </c>
      <c r="S209" t="s">
        <v>43</v>
      </c>
      <c r="T209" t="str">
        <f t="shared" si="6"/>
        <v>High</v>
      </c>
      <c r="U209" t="str">
        <f t="shared" si="7"/>
        <v>Intermediate</v>
      </c>
    </row>
    <row r="210" spans="1:21" x14ac:dyDescent="0.35">
      <c r="A210" t="s">
        <v>283</v>
      </c>
      <c r="B210" t="s">
        <v>96</v>
      </c>
      <c r="C210" t="s">
        <v>107</v>
      </c>
      <c r="D210" t="s">
        <v>49</v>
      </c>
      <c r="E210" t="s">
        <v>41</v>
      </c>
      <c r="F210">
        <v>1</v>
      </c>
      <c r="G210">
        <v>0.09</v>
      </c>
      <c r="H210">
        <v>0.36</v>
      </c>
      <c r="I210" t="s">
        <v>60</v>
      </c>
      <c r="J210">
        <v>124699</v>
      </c>
      <c r="K210" t="s">
        <v>42</v>
      </c>
      <c r="L210">
        <v>-4</v>
      </c>
      <c r="M210">
        <v>52</v>
      </c>
      <c r="N210" t="s">
        <v>26</v>
      </c>
      <c r="O210" t="s">
        <v>27</v>
      </c>
      <c r="P210">
        <v>4.49</v>
      </c>
      <c r="Q210" t="s">
        <v>34</v>
      </c>
      <c r="R210">
        <v>3.31</v>
      </c>
      <c r="S210" t="s">
        <v>28</v>
      </c>
      <c r="T210" t="str">
        <f t="shared" si="6"/>
        <v>High</v>
      </c>
      <c r="U210" t="str">
        <f t="shared" si="7"/>
        <v>Beginner</v>
      </c>
    </row>
    <row r="211" spans="1:21" x14ac:dyDescent="0.35">
      <c r="A211" t="s">
        <v>284</v>
      </c>
      <c r="B211" t="s">
        <v>54</v>
      </c>
      <c r="C211" t="s">
        <v>52</v>
      </c>
      <c r="D211" t="s">
        <v>59</v>
      </c>
      <c r="E211" t="s">
        <v>23</v>
      </c>
      <c r="F211">
        <v>11</v>
      </c>
      <c r="G211">
        <v>0.64</v>
      </c>
      <c r="H211">
        <v>0.86</v>
      </c>
      <c r="I211" t="s">
        <v>34</v>
      </c>
      <c r="J211">
        <v>165440</v>
      </c>
      <c r="K211" t="s">
        <v>42</v>
      </c>
      <c r="L211">
        <v>40</v>
      </c>
      <c r="M211">
        <v>45</v>
      </c>
      <c r="N211" t="s">
        <v>26</v>
      </c>
      <c r="O211" t="s">
        <v>25</v>
      </c>
      <c r="P211">
        <v>3.51</v>
      </c>
      <c r="Q211" t="s">
        <v>24</v>
      </c>
      <c r="R211">
        <v>2.76</v>
      </c>
      <c r="S211" t="s">
        <v>47</v>
      </c>
      <c r="T211" t="str">
        <f t="shared" si="6"/>
        <v>High</v>
      </c>
      <c r="U211" t="str">
        <f t="shared" si="7"/>
        <v>Experienced</v>
      </c>
    </row>
    <row r="212" spans="1:21" x14ac:dyDescent="0.35">
      <c r="A212" t="s">
        <v>285</v>
      </c>
      <c r="B212" t="s">
        <v>68</v>
      </c>
      <c r="C212" t="s">
        <v>39</v>
      </c>
      <c r="D212" t="s">
        <v>69</v>
      </c>
      <c r="E212" t="s">
        <v>70</v>
      </c>
      <c r="F212">
        <v>23</v>
      </c>
      <c r="G212">
        <v>0.19</v>
      </c>
      <c r="H212">
        <v>0.32</v>
      </c>
      <c r="I212" t="s">
        <v>24</v>
      </c>
      <c r="J212">
        <v>187816</v>
      </c>
      <c r="K212" t="s">
        <v>42</v>
      </c>
      <c r="L212">
        <v>33</v>
      </c>
      <c r="M212">
        <v>45</v>
      </c>
      <c r="N212" t="s">
        <v>42</v>
      </c>
      <c r="O212" t="s">
        <v>25</v>
      </c>
      <c r="P212">
        <v>3.77</v>
      </c>
      <c r="Q212" t="s">
        <v>34</v>
      </c>
      <c r="R212">
        <v>1.0900000000000001</v>
      </c>
      <c r="S212" t="s">
        <v>47</v>
      </c>
      <c r="T212" t="str">
        <f t="shared" si="6"/>
        <v>High</v>
      </c>
      <c r="U212" t="str">
        <f t="shared" si="7"/>
        <v>Expert</v>
      </c>
    </row>
    <row r="213" spans="1:21" x14ac:dyDescent="0.35">
      <c r="A213" t="s">
        <v>286</v>
      </c>
      <c r="B213" t="s">
        <v>51</v>
      </c>
      <c r="C213" t="s">
        <v>55</v>
      </c>
      <c r="D213" t="s">
        <v>69</v>
      </c>
      <c r="E213" t="s">
        <v>41</v>
      </c>
      <c r="F213">
        <v>23</v>
      </c>
      <c r="G213">
        <v>0.56999999999999995</v>
      </c>
      <c r="H213">
        <v>0.24</v>
      </c>
      <c r="I213" t="s">
        <v>60</v>
      </c>
      <c r="J213">
        <v>97701</v>
      </c>
      <c r="K213" t="s">
        <v>27</v>
      </c>
      <c r="L213">
        <v>42</v>
      </c>
      <c r="M213">
        <v>39</v>
      </c>
      <c r="N213" t="s">
        <v>35</v>
      </c>
      <c r="O213" t="s">
        <v>25</v>
      </c>
      <c r="P213">
        <v>3.35</v>
      </c>
      <c r="Q213" t="s">
        <v>34</v>
      </c>
      <c r="R213">
        <v>4.47</v>
      </c>
      <c r="S213" t="s">
        <v>47</v>
      </c>
      <c r="T213" t="str">
        <f t="shared" si="6"/>
        <v>Moderate</v>
      </c>
      <c r="U213" t="str">
        <f t="shared" si="7"/>
        <v>Expert</v>
      </c>
    </row>
    <row r="214" spans="1:21" x14ac:dyDescent="0.35">
      <c r="A214" t="s">
        <v>287</v>
      </c>
      <c r="B214" t="s">
        <v>30</v>
      </c>
      <c r="C214" t="s">
        <v>107</v>
      </c>
      <c r="D214" t="s">
        <v>22</v>
      </c>
      <c r="E214" t="s">
        <v>41</v>
      </c>
      <c r="F214">
        <v>7</v>
      </c>
      <c r="G214">
        <v>0.64</v>
      </c>
      <c r="H214">
        <v>0.41</v>
      </c>
      <c r="I214" t="s">
        <v>34</v>
      </c>
      <c r="J214">
        <v>219841</v>
      </c>
      <c r="K214" t="s">
        <v>42</v>
      </c>
      <c r="L214">
        <v>-2</v>
      </c>
      <c r="M214">
        <v>33</v>
      </c>
      <c r="N214" t="s">
        <v>35</v>
      </c>
      <c r="O214" t="s">
        <v>25</v>
      </c>
      <c r="P214">
        <v>3.57</v>
      </c>
      <c r="Q214" t="s">
        <v>34</v>
      </c>
      <c r="R214">
        <v>4.3099999999999996</v>
      </c>
      <c r="S214" t="s">
        <v>28</v>
      </c>
      <c r="T214" t="str">
        <f t="shared" si="6"/>
        <v>Moderate</v>
      </c>
      <c r="U214" t="str">
        <f t="shared" si="7"/>
        <v>Intermediate</v>
      </c>
    </row>
    <row r="215" spans="1:21" x14ac:dyDescent="0.35">
      <c r="A215" t="s">
        <v>288</v>
      </c>
      <c r="B215" t="s">
        <v>45</v>
      </c>
      <c r="C215" t="s">
        <v>107</v>
      </c>
      <c r="D215" t="s">
        <v>32</v>
      </c>
      <c r="E215" t="s">
        <v>41</v>
      </c>
      <c r="F215">
        <v>24</v>
      </c>
      <c r="G215">
        <v>0.84</v>
      </c>
      <c r="H215">
        <v>0.62</v>
      </c>
      <c r="I215" t="s">
        <v>60</v>
      </c>
      <c r="J215">
        <v>60806</v>
      </c>
      <c r="K215" t="s">
        <v>27</v>
      </c>
      <c r="L215">
        <v>17</v>
      </c>
      <c r="M215">
        <v>46</v>
      </c>
      <c r="N215" t="s">
        <v>42</v>
      </c>
      <c r="O215" t="s">
        <v>36</v>
      </c>
      <c r="P215">
        <v>4.62</v>
      </c>
      <c r="Q215" t="s">
        <v>34</v>
      </c>
      <c r="R215">
        <v>1.92</v>
      </c>
      <c r="S215" t="s">
        <v>43</v>
      </c>
      <c r="T215" t="str">
        <f t="shared" si="6"/>
        <v>Moderate</v>
      </c>
      <c r="U215" t="str">
        <f t="shared" si="7"/>
        <v>Expert</v>
      </c>
    </row>
    <row r="216" spans="1:21" x14ac:dyDescent="0.35">
      <c r="A216" t="s">
        <v>289</v>
      </c>
      <c r="B216" t="s">
        <v>62</v>
      </c>
      <c r="C216" t="s">
        <v>46</v>
      </c>
      <c r="D216" t="s">
        <v>80</v>
      </c>
      <c r="E216" t="s">
        <v>23</v>
      </c>
      <c r="F216">
        <v>8</v>
      </c>
      <c r="G216">
        <v>0.74</v>
      </c>
      <c r="H216">
        <v>0.92</v>
      </c>
      <c r="I216" t="s">
        <v>24</v>
      </c>
      <c r="J216">
        <v>51972</v>
      </c>
      <c r="K216" t="s">
        <v>25</v>
      </c>
      <c r="L216">
        <v>35</v>
      </c>
      <c r="M216">
        <v>53</v>
      </c>
      <c r="N216" t="s">
        <v>35</v>
      </c>
      <c r="O216" t="s">
        <v>27</v>
      </c>
      <c r="P216">
        <v>3.57</v>
      </c>
      <c r="Q216" t="s">
        <v>24</v>
      </c>
      <c r="R216">
        <v>2.5</v>
      </c>
      <c r="S216" t="s">
        <v>47</v>
      </c>
      <c r="T216" t="str">
        <f t="shared" si="6"/>
        <v>High</v>
      </c>
      <c r="U216" t="str">
        <f t="shared" si="7"/>
        <v>Intermediate</v>
      </c>
    </row>
    <row r="217" spans="1:21" x14ac:dyDescent="0.35">
      <c r="A217" t="s">
        <v>290</v>
      </c>
      <c r="B217" t="s">
        <v>94</v>
      </c>
      <c r="C217" t="s">
        <v>46</v>
      </c>
      <c r="D217" t="s">
        <v>63</v>
      </c>
      <c r="E217" t="s">
        <v>70</v>
      </c>
      <c r="F217">
        <v>21</v>
      </c>
      <c r="G217">
        <v>0.64</v>
      </c>
      <c r="H217">
        <v>0.4</v>
      </c>
      <c r="I217" t="s">
        <v>34</v>
      </c>
      <c r="J217">
        <v>170536</v>
      </c>
      <c r="K217" t="s">
        <v>25</v>
      </c>
      <c r="L217">
        <v>16</v>
      </c>
      <c r="M217">
        <v>47</v>
      </c>
      <c r="N217" t="s">
        <v>26</v>
      </c>
      <c r="O217" t="s">
        <v>36</v>
      </c>
      <c r="P217">
        <v>2.54</v>
      </c>
      <c r="Q217" t="s">
        <v>34</v>
      </c>
      <c r="R217">
        <v>2.02</v>
      </c>
      <c r="S217" t="s">
        <v>43</v>
      </c>
      <c r="T217" t="str">
        <f t="shared" si="6"/>
        <v>Moderate</v>
      </c>
      <c r="U217" t="str">
        <f t="shared" si="7"/>
        <v>Expert</v>
      </c>
    </row>
    <row r="218" spans="1:21" x14ac:dyDescent="0.35">
      <c r="A218" t="s">
        <v>291</v>
      </c>
      <c r="B218" t="s">
        <v>68</v>
      </c>
      <c r="C218" t="s">
        <v>39</v>
      </c>
      <c r="D218" t="s">
        <v>80</v>
      </c>
      <c r="E218" t="s">
        <v>23</v>
      </c>
      <c r="F218">
        <v>25</v>
      </c>
      <c r="G218">
        <v>0.45</v>
      </c>
      <c r="H218">
        <v>0.75</v>
      </c>
      <c r="I218" t="s">
        <v>34</v>
      </c>
      <c r="J218">
        <v>72413</v>
      </c>
      <c r="K218" t="s">
        <v>27</v>
      </c>
      <c r="L218">
        <v>29</v>
      </c>
      <c r="M218">
        <v>52</v>
      </c>
      <c r="N218" t="s">
        <v>26</v>
      </c>
      <c r="O218" t="s">
        <v>27</v>
      </c>
      <c r="P218">
        <v>2.16</v>
      </c>
      <c r="Q218" t="s">
        <v>34</v>
      </c>
      <c r="R218">
        <v>4.8600000000000003</v>
      </c>
      <c r="S218" t="s">
        <v>47</v>
      </c>
      <c r="T218" t="str">
        <f t="shared" si="6"/>
        <v>High</v>
      </c>
      <c r="U218" t="str">
        <f t="shared" si="7"/>
        <v>Expert</v>
      </c>
    </row>
    <row r="219" spans="1:21" x14ac:dyDescent="0.35">
      <c r="A219" t="s">
        <v>292</v>
      </c>
      <c r="B219" t="s">
        <v>45</v>
      </c>
      <c r="C219" t="s">
        <v>46</v>
      </c>
      <c r="D219" t="s">
        <v>75</v>
      </c>
      <c r="E219" t="s">
        <v>23</v>
      </c>
      <c r="F219">
        <v>12</v>
      </c>
      <c r="G219">
        <v>0.13</v>
      </c>
      <c r="H219">
        <v>0.41</v>
      </c>
      <c r="I219" t="s">
        <v>60</v>
      </c>
      <c r="J219">
        <v>127212</v>
      </c>
      <c r="K219" t="s">
        <v>27</v>
      </c>
      <c r="L219">
        <v>23</v>
      </c>
      <c r="M219">
        <v>39</v>
      </c>
      <c r="N219" t="s">
        <v>26</v>
      </c>
      <c r="O219" t="s">
        <v>27</v>
      </c>
      <c r="P219">
        <v>2.17</v>
      </c>
      <c r="Q219" t="s">
        <v>24</v>
      </c>
      <c r="R219">
        <v>3.56</v>
      </c>
      <c r="S219" t="s">
        <v>43</v>
      </c>
      <c r="T219" t="str">
        <f t="shared" si="6"/>
        <v>High</v>
      </c>
      <c r="U219" t="str">
        <f t="shared" si="7"/>
        <v>Experienced</v>
      </c>
    </row>
    <row r="220" spans="1:21" x14ac:dyDescent="0.35">
      <c r="A220" t="s">
        <v>293</v>
      </c>
      <c r="B220" t="s">
        <v>65</v>
      </c>
      <c r="C220" t="s">
        <v>39</v>
      </c>
      <c r="D220" t="s">
        <v>22</v>
      </c>
      <c r="E220" t="s">
        <v>33</v>
      </c>
      <c r="F220">
        <v>21</v>
      </c>
      <c r="G220">
        <v>0.23</v>
      </c>
      <c r="H220">
        <v>0.82</v>
      </c>
      <c r="I220" t="s">
        <v>24</v>
      </c>
      <c r="J220">
        <v>163837</v>
      </c>
      <c r="K220" t="s">
        <v>42</v>
      </c>
      <c r="L220">
        <v>5</v>
      </c>
      <c r="M220">
        <v>50</v>
      </c>
      <c r="N220" t="s">
        <v>35</v>
      </c>
      <c r="O220" t="s">
        <v>25</v>
      </c>
      <c r="P220">
        <v>2.2599999999999998</v>
      </c>
      <c r="Q220" t="s">
        <v>34</v>
      </c>
      <c r="R220">
        <v>4.12</v>
      </c>
      <c r="S220" t="s">
        <v>43</v>
      </c>
      <c r="T220" t="str">
        <f t="shared" si="6"/>
        <v>Very High</v>
      </c>
      <c r="U220" t="str">
        <f t="shared" si="7"/>
        <v>Expert</v>
      </c>
    </row>
    <row r="221" spans="1:21" x14ac:dyDescent="0.35">
      <c r="A221" t="s">
        <v>294</v>
      </c>
      <c r="B221" t="s">
        <v>38</v>
      </c>
      <c r="C221" t="s">
        <v>74</v>
      </c>
      <c r="D221" t="s">
        <v>63</v>
      </c>
      <c r="E221" t="s">
        <v>70</v>
      </c>
      <c r="F221">
        <v>7</v>
      </c>
      <c r="G221">
        <v>0.88</v>
      </c>
      <c r="H221">
        <v>0.63</v>
      </c>
      <c r="I221" t="s">
        <v>60</v>
      </c>
      <c r="J221">
        <v>176568</v>
      </c>
      <c r="K221" t="s">
        <v>25</v>
      </c>
      <c r="L221">
        <v>19</v>
      </c>
      <c r="M221">
        <v>59</v>
      </c>
      <c r="N221" t="s">
        <v>42</v>
      </c>
      <c r="O221" t="s">
        <v>27</v>
      </c>
      <c r="P221">
        <v>2.0099999999999998</v>
      </c>
      <c r="Q221" t="s">
        <v>24</v>
      </c>
      <c r="R221">
        <v>2.63</v>
      </c>
      <c r="S221" t="s">
        <v>47</v>
      </c>
      <c r="T221" t="str">
        <f t="shared" si="6"/>
        <v>Moderate</v>
      </c>
      <c r="U221" t="str">
        <f t="shared" si="7"/>
        <v>Intermediate</v>
      </c>
    </row>
    <row r="222" spans="1:21" x14ac:dyDescent="0.35">
      <c r="A222" t="s">
        <v>295</v>
      </c>
      <c r="B222" t="s">
        <v>20</v>
      </c>
      <c r="C222" t="s">
        <v>46</v>
      </c>
      <c r="D222" t="s">
        <v>66</v>
      </c>
      <c r="E222" t="s">
        <v>23</v>
      </c>
      <c r="F222">
        <v>12</v>
      </c>
      <c r="G222">
        <v>0.9</v>
      </c>
      <c r="H222">
        <v>0.83</v>
      </c>
      <c r="I222" t="s">
        <v>60</v>
      </c>
      <c r="J222">
        <v>97552</v>
      </c>
      <c r="K222" t="s">
        <v>42</v>
      </c>
      <c r="L222">
        <v>39</v>
      </c>
      <c r="M222">
        <v>37</v>
      </c>
      <c r="N222" t="s">
        <v>42</v>
      </c>
      <c r="O222" t="s">
        <v>36</v>
      </c>
      <c r="P222">
        <v>4.04</v>
      </c>
      <c r="Q222" t="s">
        <v>24</v>
      </c>
      <c r="R222">
        <v>2.93</v>
      </c>
      <c r="S222" t="s">
        <v>43</v>
      </c>
      <c r="T222" t="str">
        <f t="shared" si="6"/>
        <v>Moderate</v>
      </c>
      <c r="U222" t="str">
        <f t="shared" si="7"/>
        <v>Experienced</v>
      </c>
    </row>
    <row r="223" spans="1:21" x14ac:dyDescent="0.35">
      <c r="A223" t="s">
        <v>296</v>
      </c>
      <c r="B223" t="s">
        <v>65</v>
      </c>
      <c r="C223" t="s">
        <v>55</v>
      </c>
      <c r="D223" t="s">
        <v>75</v>
      </c>
      <c r="E223" t="s">
        <v>70</v>
      </c>
      <c r="F223">
        <v>7</v>
      </c>
      <c r="G223">
        <v>0.77</v>
      </c>
      <c r="H223">
        <v>0.53</v>
      </c>
      <c r="I223" t="s">
        <v>34</v>
      </c>
      <c r="J223">
        <v>122562</v>
      </c>
      <c r="K223" t="s">
        <v>25</v>
      </c>
      <c r="L223">
        <v>15</v>
      </c>
      <c r="M223">
        <v>51</v>
      </c>
      <c r="N223" t="s">
        <v>26</v>
      </c>
      <c r="O223" t="s">
        <v>36</v>
      </c>
      <c r="P223">
        <v>2.23</v>
      </c>
      <c r="Q223" t="s">
        <v>24</v>
      </c>
      <c r="R223">
        <v>2.91</v>
      </c>
      <c r="S223" t="s">
        <v>43</v>
      </c>
      <c r="T223" t="str">
        <f t="shared" si="6"/>
        <v>Moderate</v>
      </c>
      <c r="U223" t="str">
        <f t="shared" si="7"/>
        <v>Intermediate</v>
      </c>
    </row>
    <row r="224" spans="1:21" x14ac:dyDescent="0.35">
      <c r="A224" t="s">
        <v>297</v>
      </c>
      <c r="B224" t="s">
        <v>54</v>
      </c>
      <c r="C224" t="s">
        <v>39</v>
      </c>
      <c r="D224" t="s">
        <v>59</v>
      </c>
      <c r="E224" t="s">
        <v>33</v>
      </c>
      <c r="F224">
        <v>7</v>
      </c>
      <c r="G224">
        <v>0.71</v>
      </c>
      <c r="H224">
        <v>0.39</v>
      </c>
      <c r="I224" t="s">
        <v>60</v>
      </c>
      <c r="J224">
        <v>93453</v>
      </c>
      <c r="K224" t="s">
        <v>42</v>
      </c>
      <c r="L224">
        <v>-1</v>
      </c>
      <c r="M224">
        <v>54</v>
      </c>
      <c r="N224" t="s">
        <v>35</v>
      </c>
      <c r="O224" t="s">
        <v>25</v>
      </c>
      <c r="P224">
        <v>4.76</v>
      </c>
      <c r="Q224" t="s">
        <v>34</v>
      </c>
      <c r="R224">
        <v>3.46</v>
      </c>
      <c r="S224" t="s">
        <v>28</v>
      </c>
      <c r="T224" t="str">
        <f t="shared" si="6"/>
        <v>Very Low</v>
      </c>
      <c r="U224" t="str">
        <f t="shared" si="7"/>
        <v>Intermediate</v>
      </c>
    </row>
    <row r="225" spans="1:21" x14ac:dyDescent="0.35">
      <c r="A225" t="s">
        <v>298</v>
      </c>
      <c r="B225" t="s">
        <v>54</v>
      </c>
      <c r="C225" t="s">
        <v>107</v>
      </c>
      <c r="D225" t="s">
        <v>32</v>
      </c>
      <c r="E225" t="s">
        <v>70</v>
      </c>
      <c r="F225">
        <v>12</v>
      </c>
      <c r="G225">
        <v>0.49</v>
      </c>
      <c r="H225">
        <v>0.98</v>
      </c>
      <c r="I225" t="s">
        <v>24</v>
      </c>
      <c r="J225">
        <v>180606</v>
      </c>
      <c r="K225" t="s">
        <v>27</v>
      </c>
      <c r="L225">
        <v>-2</v>
      </c>
      <c r="M225">
        <v>31</v>
      </c>
      <c r="N225" t="s">
        <v>26</v>
      </c>
      <c r="O225" t="s">
        <v>36</v>
      </c>
      <c r="P225">
        <v>3.43</v>
      </c>
      <c r="Q225" t="s">
        <v>24</v>
      </c>
      <c r="R225">
        <v>3.01</v>
      </c>
      <c r="S225" t="s">
        <v>43</v>
      </c>
      <c r="T225" t="str">
        <f t="shared" si="6"/>
        <v>High</v>
      </c>
      <c r="U225" t="str">
        <f t="shared" si="7"/>
        <v>Experienced</v>
      </c>
    </row>
    <row r="226" spans="1:21" x14ac:dyDescent="0.35">
      <c r="A226" t="s">
        <v>299</v>
      </c>
      <c r="B226" t="s">
        <v>96</v>
      </c>
      <c r="C226" t="s">
        <v>46</v>
      </c>
      <c r="D226" t="s">
        <v>40</v>
      </c>
      <c r="E226" t="s">
        <v>70</v>
      </c>
      <c r="F226">
        <v>11</v>
      </c>
      <c r="G226">
        <v>0.67</v>
      </c>
      <c r="H226">
        <v>0.21</v>
      </c>
      <c r="I226" t="s">
        <v>60</v>
      </c>
      <c r="J226">
        <v>85247</v>
      </c>
      <c r="K226" t="s">
        <v>42</v>
      </c>
      <c r="L226">
        <v>1</v>
      </c>
      <c r="M226">
        <v>47</v>
      </c>
      <c r="N226" t="s">
        <v>42</v>
      </c>
      <c r="O226" t="s">
        <v>25</v>
      </c>
      <c r="P226">
        <v>2.81</v>
      </c>
      <c r="Q226" t="s">
        <v>34</v>
      </c>
      <c r="R226">
        <v>2.46</v>
      </c>
      <c r="S226" t="s">
        <v>43</v>
      </c>
      <c r="T226" t="str">
        <f t="shared" si="6"/>
        <v>Moderate</v>
      </c>
      <c r="U226" t="str">
        <f t="shared" si="7"/>
        <v>Experienced</v>
      </c>
    </row>
    <row r="227" spans="1:21" x14ac:dyDescent="0.35">
      <c r="A227" t="s">
        <v>300</v>
      </c>
      <c r="B227" t="s">
        <v>38</v>
      </c>
      <c r="C227" t="s">
        <v>39</v>
      </c>
      <c r="D227" t="s">
        <v>40</v>
      </c>
      <c r="E227" t="s">
        <v>70</v>
      </c>
      <c r="F227">
        <v>25</v>
      </c>
      <c r="G227">
        <v>0.3</v>
      </c>
      <c r="H227">
        <v>0.34</v>
      </c>
      <c r="I227" t="s">
        <v>24</v>
      </c>
      <c r="J227">
        <v>64377</v>
      </c>
      <c r="K227" t="s">
        <v>27</v>
      </c>
      <c r="L227">
        <v>17</v>
      </c>
      <c r="M227">
        <v>57</v>
      </c>
      <c r="N227" t="s">
        <v>42</v>
      </c>
      <c r="O227" t="s">
        <v>25</v>
      </c>
      <c r="P227">
        <v>2.44</v>
      </c>
      <c r="Q227" t="s">
        <v>24</v>
      </c>
      <c r="R227">
        <v>2.89</v>
      </c>
      <c r="S227" t="s">
        <v>47</v>
      </c>
      <c r="T227" t="str">
        <f t="shared" si="6"/>
        <v>High</v>
      </c>
      <c r="U227" t="str">
        <f t="shared" si="7"/>
        <v>Expert</v>
      </c>
    </row>
    <row r="228" spans="1:21" x14ac:dyDescent="0.35">
      <c r="A228" t="s">
        <v>301</v>
      </c>
      <c r="B228" t="s">
        <v>30</v>
      </c>
      <c r="C228" t="s">
        <v>107</v>
      </c>
      <c r="D228" t="s">
        <v>66</v>
      </c>
      <c r="E228" t="s">
        <v>70</v>
      </c>
      <c r="F228">
        <v>17</v>
      </c>
      <c r="G228">
        <v>0.81</v>
      </c>
      <c r="H228">
        <v>0.61</v>
      </c>
      <c r="I228" t="s">
        <v>60</v>
      </c>
      <c r="J228">
        <v>218890</v>
      </c>
      <c r="K228" t="s">
        <v>25</v>
      </c>
      <c r="L228">
        <v>15</v>
      </c>
      <c r="M228">
        <v>33</v>
      </c>
      <c r="N228" t="s">
        <v>26</v>
      </c>
      <c r="O228" t="s">
        <v>25</v>
      </c>
      <c r="P228">
        <v>2.1800000000000002</v>
      </c>
      <c r="Q228" t="s">
        <v>34</v>
      </c>
      <c r="R228">
        <v>2.91</v>
      </c>
      <c r="S228" t="s">
        <v>28</v>
      </c>
      <c r="T228" t="str">
        <f t="shared" si="6"/>
        <v>Moderate</v>
      </c>
      <c r="U228" t="str">
        <f t="shared" si="7"/>
        <v>Expert</v>
      </c>
    </row>
    <row r="229" spans="1:21" x14ac:dyDescent="0.35">
      <c r="A229" t="s">
        <v>302</v>
      </c>
      <c r="B229" t="s">
        <v>147</v>
      </c>
      <c r="C229" t="s">
        <v>58</v>
      </c>
      <c r="D229" t="s">
        <v>69</v>
      </c>
      <c r="E229" t="s">
        <v>41</v>
      </c>
      <c r="F229">
        <v>11</v>
      </c>
      <c r="G229">
        <v>0.37</v>
      </c>
      <c r="H229">
        <v>0.64</v>
      </c>
      <c r="I229" t="s">
        <v>60</v>
      </c>
      <c r="J229">
        <v>97558</v>
      </c>
      <c r="K229" t="s">
        <v>27</v>
      </c>
      <c r="L229">
        <v>2</v>
      </c>
      <c r="M229">
        <v>48</v>
      </c>
      <c r="N229" t="s">
        <v>26</v>
      </c>
      <c r="O229" t="s">
        <v>27</v>
      </c>
      <c r="P229">
        <v>3.95</v>
      </c>
      <c r="Q229" t="s">
        <v>24</v>
      </c>
      <c r="R229">
        <v>4.92</v>
      </c>
      <c r="S229" t="s">
        <v>43</v>
      </c>
      <c r="T229" t="str">
        <f t="shared" si="6"/>
        <v>High</v>
      </c>
      <c r="U229" t="str">
        <f t="shared" si="7"/>
        <v>Experienced</v>
      </c>
    </row>
    <row r="230" spans="1:21" x14ac:dyDescent="0.35">
      <c r="A230" t="s">
        <v>303</v>
      </c>
      <c r="B230" t="s">
        <v>62</v>
      </c>
      <c r="C230" t="s">
        <v>107</v>
      </c>
      <c r="D230" t="s">
        <v>32</v>
      </c>
      <c r="E230" t="s">
        <v>33</v>
      </c>
      <c r="F230">
        <v>20</v>
      </c>
      <c r="G230">
        <v>0.45</v>
      </c>
      <c r="H230">
        <v>0.26</v>
      </c>
      <c r="I230" t="s">
        <v>34</v>
      </c>
      <c r="J230">
        <v>190868</v>
      </c>
      <c r="K230" t="s">
        <v>42</v>
      </c>
      <c r="L230">
        <v>30</v>
      </c>
      <c r="M230">
        <v>49</v>
      </c>
      <c r="N230" t="s">
        <v>26</v>
      </c>
      <c r="O230" t="s">
        <v>36</v>
      </c>
      <c r="P230">
        <v>4.55</v>
      </c>
      <c r="Q230" t="s">
        <v>24</v>
      </c>
      <c r="R230">
        <v>1.32</v>
      </c>
      <c r="S230" t="s">
        <v>43</v>
      </c>
      <c r="T230" t="str">
        <f t="shared" si="6"/>
        <v>Moderate</v>
      </c>
      <c r="U230" t="str">
        <f t="shared" si="7"/>
        <v>Expert</v>
      </c>
    </row>
    <row r="231" spans="1:21" x14ac:dyDescent="0.35">
      <c r="A231" t="s">
        <v>304</v>
      </c>
      <c r="B231" t="s">
        <v>91</v>
      </c>
      <c r="C231" t="s">
        <v>74</v>
      </c>
      <c r="D231" t="s">
        <v>22</v>
      </c>
      <c r="E231" t="s">
        <v>23</v>
      </c>
      <c r="F231">
        <v>13</v>
      </c>
      <c r="G231">
        <v>0.28999999999999998</v>
      </c>
      <c r="H231">
        <v>0.71</v>
      </c>
      <c r="I231" t="s">
        <v>24</v>
      </c>
      <c r="J231">
        <v>101106</v>
      </c>
      <c r="K231" t="s">
        <v>25</v>
      </c>
      <c r="L231">
        <v>44</v>
      </c>
      <c r="M231">
        <v>30</v>
      </c>
      <c r="N231" t="s">
        <v>35</v>
      </c>
      <c r="O231" t="s">
        <v>27</v>
      </c>
      <c r="P231">
        <v>2.7</v>
      </c>
      <c r="Q231" t="s">
        <v>34</v>
      </c>
      <c r="R231">
        <v>4.76</v>
      </c>
      <c r="S231" t="s">
        <v>28</v>
      </c>
      <c r="T231" t="str">
        <f t="shared" si="6"/>
        <v>Very High</v>
      </c>
      <c r="U231" t="str">
        <f t="shared" si="7"/>
        <v>Experienced</v>
      </c>
    </row>
    <row r="232" spans="1:21" x14ac:dyDescent="0.35">
      <c r="A232" t="s">
        <v>305</v>
      </c>
      <c r="B232" t="s">
        <v>20</v>
      </c>
      <c r="C232" t="s">
        <v>58</v>
      </c>
      <c r="D232" t="s">
        <v>75</v>
      </c>
      <c r="E232" t="s">
        <v>23</v>
      </c>
      <c r="F232">
        <v>16</v>
      </c>
      <c r="G232">
        <v>0.14000000000000001</v>
      </c>
      <c r="H232">
        <v>0.25</v>
      </c>
      <c r="I232" t="s">
        <v>24</v>
      </c>
      <c r="J232">
        <v>154042</v>
      </c>
      <c r="K232" t="s">
        <v>25</v>
      </c>
      <c r="L232">
        <v>6</v>
      </c>
      <c r="M232">
        <v>49</v>
      </c>
      <c r="N232" t="s">
        <v>35</v>
      </c>
      <c r="O232" t="s">
        <v>25</v>
      </c>
      <c r="P232">
        <v>3.96</v>
      </c>
      <c r="Q232" t="s">
        <v>34</v>
      </c>
      <c r="R232">
        <v>2.2400000000000002</v>
      </c>
      <c r="S232" t="s">
        <v>47</v>
      </c>
      <c r="T232" t="str">
        <f t="shared" si="6"/>
        <v>High</v>
      </c>
      <c r="U232" t="str">
        <f t="shared" si="7"/>
        <v>Expert</v>
      </c>
    </row>
    <row r="233" spans="1:21" x14ac:dyDescent="0.35">
      <c r="A233" t="s">
        <v>306</v>
      </c>
      <c r="B233" t="s">
        <v>30</v>
      </c>
      <c r="C233" t="s">
        <v>107</v>
      </c>
      <c r="D233" t="s">
        <v>49</v>
      </c>
      <c r="E233" t="s">
        <v>70</v>
      </c>
      <c r="F233">
        <v>17</v>
      </c>
      <c r="G233">
        <v>0.2</v>
      </c>
      <c r="H233">
        <v>0.23</v>
      </c>
      <c r="I233" t="s">
        <v>34</v>
      </c>
      <c r="J233">
        <v>123543</v>
      </c>
      <c r="K233" t="s">
        <v>25</v>
      </c>
      <c r="L233">
        <v>34</v>
      </c>
      <c r="M233">
        <v>47</v>
      </c>
      <c r="N233" t="s">
        <v>35</v>
      </c>
      <c r="O233" t="s">
        <v>27</v>
      </c>
      <c r="P233">
        <v>3.79</v>
      </c>
      <c r="Q233" t="s">
        <v>34</v>
      </c>
      <c r="R233">
        <v>3.09</v>
      </c>
      <c r="S233" t="s">
        <v>28</v>
      </c>
      <c r="T233" t="str">
        <f t="shared" si="6"/>
        <v>High</v>
      </c>
      <c r="U233" t="str">
        <f t="shared" si="7"/>
        <v>Expert</v>
      </c>
    </row>
    <row r="234" spans="1:21" x14ac:dyDescent="0.35">
      <c r="A234" t="s">
        <v>307</v>
      </c>
      <c r="B234" t="s">
        <v>106</v>
      </c>
      <c r="C234" t="s">
        <v>31</v>
      </c>
      <c r="D234" t="s">
        <v>75</v>
      </c>
      <c r="E234" t="s">
        <v>41</v>
      </c>
      <c r="F234">
        <v>16</v>
      </c>
      <c r="G234">
        <v>0.45</v>
      </c>
      <c r="H234">
        <v>0.49</v>
      </c>
      <c r="I234" t="s">
        <v>24</v>
      </c>
      <c r="J234">
        <v>98106</v>
      </c>
      <c r="K234" t="s">
        <v>42</v>
      </c>
      <c r="L234">
        <v>8</v>
      </c>
      <c r="M234">
        <v>45</v>
      </c>
      <c r="N234" t="s">
        <v>26</v>
      </c>
      <c r="O234" t="s">
        <v>25</v>
      </c>
      <c r="P234">
        <v>4.0599999999999996</v>
      </c>
      <c r="Q234" t="s">
        <v>34</v>
      </c>
      <c r="R234">
        <v>4.79</v>
      </c>
      <c r="S234" t="s">
        <v>43</v>
      </c>
      <c r="T234" t="str">
        <f t="shared" si="6"/>
        <v>High</v>
      </c>
      <c r="U234" t="str">
        <f t="shared" si="7"/>
        <v>Expert</v>
      </c>
    </row>
    <row r="235" spans="1:21" x14ac:dyDescent="0.35">
      <c r="A235" t="s">
        <v>308</v>
      </c>
      <c r="B235" t="s">
        <v>94</v>
      </c>
      <c r="C235" t="s">
        <v>55</v>
      </c>
      <c r="D235" t="s">
        <v>69</v>
      </c>
      <c r="E235" t="s">
        <v>23</v>
      </c>
      <c r="F235">
        <v>7</v>
      </c>
      <c r="G235">
        <v>0.77</v>
      </c>
      <c r="H235">
        <v>0.63</v>
      </c>
      <c r="I235" t="s">
        <v>24</v>
      </c>
      <c r="J235">
        <v>79432</v>
      </c>
      <c r="K235" t="s">
        <v>27</v>
      </c>
      <c r="L235">
        <v>37</v>
      </c>
      <c r="M235">
        <v>50</v>
      </c>
      <c r="N235" t="s">
        <v>42</v>
      </c>
      <c r="O235" t="s">
        <v>36</v>
      </c>
      <c r="P235">
        <v>2.66</v>
      </c>
      <c r="Q235" t="s">
        <v>24</v>
      </c>
      <c r="R235">
        <v>2.69</v>
      </c>
      <c r="S235" t="s">
        <v>47</v>
      </c>
      <c r="T235" t="str">
        <f t="shared" si="6"/>
        <v>Moderate</v>
      </c>
      <c r="U235" t="str">
        <f t="shared" si="7"/>
        <v>Intermediate</v>
      </c>
    </row>
    <row r="236" spans="1:21" x14ac:dyDescent="0.35">
      <c r="A236" t="s">
        <v>309</v>
      </c>
      <c r="B236" t="s">
        <v>91</v>
      </c>
      <c r="C236" t="s">
        <v>46</v>
      </c>
      <c r="D236" t="s">
        <v>49</v>
      </c>
      <c r="E236" t="s">
        <v>70</v>
      </c>
      <c r="F236">
        <v>22</v>
      </c>
      <c r="G236">
        <v>0.11</v>
      </c>
      <c r="H236">
        <v>0.31</v>
      </c>
      <c r="I236" t="s">
        <v>60</v>
      </c>
      <c r="J236">
        <v>58929</v>
      </c>
      <c r="K236" t="s">
        <v>42</v>
      </c>
      <c r="L236">
        <v>2</v>
      </c>
      <c r="M236">
        <v>40</v>
      </c>
      <c r="N236" t="s">
        <v>35</v>
      </c>
      <c r="O236" t="s">
        <v>25</v>
      </c>
      <c r="P236">
        <v>2.15</v>
      </c>
      <c r="Q236" t="s">
        <v>24</v>
      </c>
      <c r="R236">
        <v>1.74</v>
      </c>
      <c r="S236" t="s">
        <v>47</v>
      </c>
      <c r="T236" t="str">
        <f t="shared" si="6"/>
        <v>High</v>
      </c>
      <c r="U236" t="str">
        <f t="shared" si="7"/>
        <v>Expert</v>
      </c>
    </row>
    <row r="237" spans="1:21" x14ac:dyDescent="0.35">
      <c r="A237" t="s">
        <v>310</v>
      </c>
      <c r="B237" t="s">
        <v>102</v>
      </c>
      <c r="C237" t="s">
        <v>74</v>
      </c>
      <c r="D237" t="s">
        <v>69</v>
      </c>
      <c r="E237" t="s">
        <v>70</v>
      </c>
      <c r="F237">
        <v>25</v>
      </c>
      <c r="G237">
        <v>0.26</v>
      </c>
      <c r="H237">
        <v>0.32</v>
      </c>
      <c r="I237" t="s">
        <v>34</v>
      </c>
      <c r="J237">
        <v>159388</v>
      </c>
      <c r="K237" t="s">
        <v>42</v>
      </c>
      <c r="L237">
        <v>19</v>
      </c>
      <c r="M237">
        <v>52</v>
      </c>
      <c r="N237" t="s">
        <v>35</v>
      </c>
      <c r="O237" t="s">
        <v>36</v>
      </c>
      <c r="P237">
        <v>2.2400000000000002</v>
      </c>
      <c r="Q237" t="s">
        <v>24</v>
      </c>
      <c r="R237">
        <v>1.22</v>
      </c>
      <c r="S237" t="s">
        <v>43</v>
      </c>
      <c r="T237" t="str">
        <f t="shared" si="6"/>
        <v>High</v>
      </c>
      <c r="U237" t="str">
        <f t="shared" si="7"/>
        <v>Expert</v>
      </c>
    </row>
    <row r="238" spans="1:21" x14ac:dyDescent="0.35">
      <c r="A238" t="s">
        <v>311</v>
      </c>
      <c r="B238" t="s">
        <v>156</v>
      </c>
      <c r="C238" t="s">
        <v>21</v>
      </c>
      <c r="D238" t="s">
        <v>59</v>
      </c>
      <c r="E238" t="s">
        <v>23</v>
      </c>
      <c r="F238">
        <v>24</v>
      </c>
      <c r="G238">
        <v>0.22</v>
      </c>
      <c r="H238">
        <v>0.86</v>
      </c>
      <c r="I238" t="s">
        <v>34</v>
      </c>
      <c r="J238">
        <v>130028</v>
      </c>
      <c r="K238" t="s">
        <v>25</v>
      </c>
      <c r="L238">
        <v>37</v>
      </c>
      <c r="M238">
        <v>31</v>
      </c>
      <c r="N238" t="s">
        <v>35</v>
      </c>
      <c r="O238" t="s">
        <v>36</v>
      </c>
      <c r="P238">
        <v>4.21</v>
      </c>
      <c r="Q238" t="s">
        <v>24</v>
      </c>
      <c r="R238">
        <v>3.08</v>
      </c>
      <c r="S238" t="s">
        <v>47</v>
      </c>
      <c r="T238" t="str">
        <f t="shared" si="6"/>
        <v>Very High</v>
      </c>
      <c r="U238" t="str">
        <f t="shared" si="7"/>
        <v>Expert</v>
      </c>
    </row>
    <row r="239" spans="1:21" x14ac:dyDescent="0.35">
      <c r="A239" t="s">
        <v>312</v>
      </c>
      <c r="B239" t="s">
        <v>68</v>
      </c>
      <c r="C239" t="s">
        <v>31</v>
      </c>
      <c r="D239" t="s">
        <v>49</v>
      </c>
      <c r="E239" t="s">
        <v>70</v>
      </c>
      <c r="F239">
        <v>6</v>
      </c>
      <c r="G239">
        <v>0.09</v>
      </c>
      <c r="H239">
        <v>0.94</v>
      </c>
      <c r="I239" t="s">
        <v>34</v>
      </c>
      <c r="J239">
        <v>166557</v>
      </c>
      <c r="K239" t="s">
        <v>25</v>
      </c>
      <c r="L239">
        <v>45</v>
      </c>
      <c r="M239">
        <v>51</v>
      </c>
      <c r="N239" t="s">
        <v>35</v>
      </c>
      <c r="O239" t="s">
        <v>25</v>
      </c>
      <c r="P239">
        <v>2.71</v>
      </c>
      <c r="Q239" t="s">
        <v>34</v>
      </c>
      <c r="R239">
        <v>2.2999999999999998</v>
      </c>
      <c r="S239" t="s">
        <v>47</v>
      </c>
      <c r="T239" t="str">
        <f t="shared" si="6"/>
        <v>Very High</v>
      </c>
      <c r="U239" t="str">
        <f t="shared" si="7"/>
        <v>Intermediate</v>
      </c>
    </row>
    <row r="240" spans="1:21" x14ac:dyDescent="0.35">
      <c r="A240" t="s">
        <v>313</v>
      </c>
      <c r="B240" t="s">
        <v>77</v>
      </c>
      <c r="C240" t="s">
        <v>82</v>
      </c>
      <c r="D240" t="s">
        <v>63</v>
      </c>
      <c r="E240" t="s">
        <v>41</v>
      </c>
      <c r="F240">
        <v>7</v>
      </c>
      <c r="G240">
        <v>0.56999999999999995</v>
      </c>
      <c r="H240">
        <v>0.75</v>
      </c>
      <c r="I240" t="s">
        <v>24</v>
      </c>
      <c r="J240">
        <v>210461</v>
      </c>
      <c r="K240" t="s">
        <v>42</v>
      </c>
      <c r="L240">
        <v>-5</v>
      </c>
      <c r="M240">
        <v>51</v>
      </c>
      <c r="N240" t="s">
        <v>26</v>
      </c>
      <c r="O240" t="s">
        <v>36</v>
      </c>
      <c r="P240">
        <v>4.79</v>
      </c>
      <c r="Q240" t="s">
        <v>24</v>
      </c>
      <c r="R240">
        <v>1.24</v>
      </c>
      <c r="S240" t="s">
        <v>28</v>
      </c>
      <c r="T240" t="str">
        <f t="shared" si="6"/>
        <v>High</v>
      </c>
      <c r="U240" t="str">
        <f t="shared" si="7"/>
        <v>Intermediate</v>
      </c>
    </row>
    <row r="241" spans="1:21" x14ac:dyDescent="0.35">
      <c r="A241" t="s">
        <v>314</v>
      </c>
      <c r="B241" t="s">
        <v>147</v>
      </c>
      <c r="C241" t="s">
        <v>107</v>
      </c>
      <c r="D241" t="s">
        <v>59</v>
      </c>
      <c r="E241" t="s">
        <v>41</v>
      </c>
      <c r="F241">
        <v>22</v>
      </c>
      <c r="G241">
        <v>0.26</v>
      </c>
      <c r="H241">
        <v>0.98</v>
      </c>
      <c r="I241" t="s">
        <v>34</v>
      </c>
      <c r="J241">
        <v>198990</v>
      </c>
      <c r="K241" t="s">
        <v>42</v>
      </c>
      <c r="L241">
        <v>36</v>
      </c>
      <c r="M241">
        <v>34</v>
      </c>
      <c r="N241" t="s">
        <v>42</v>
      </c>
      <c r="O241" t="s">
        <v>25</v>
      </c>
      <c r="P241">
        <v>3.46</v>
      </c>
      <c r="Q241" t="s">
        <v>34</v>
      </c>
      <c r="R241">
        <v>3.24</v>
      </c>
      <c r="S241" t="s">
        <v>28</v>
      </c>
      <c r="T241" t="str">
        <f t="shared" si="6"/>
        <v>Very High</v>
      </c>
      <c r="U241" t="str">
        <f t="shared" si="7"/>
        <v>Expert</v>
      </c>
    </row>
    <row r="242" spans="1:21" x14ac:dyDescent="0.35">
      <c r="A242" t="s">
        <v>315</v>
      </c>
      <c r="B242" t="s">
        <v>51</v>
      </c>
      <c r="C242" t="s">
        <v>21</v>
      </c>
      <c r="D242" t="s">
        <v>80</v>
      </c>
      <c r="E242" t="s">
        <v>33</v>
      </c>
      <c r="F242">
        <v>14</v>
      </c>
      <c r="G242">
        <v>0.3</v>
      </c>
      <c r="H242">
        <v>0.86</v>
      </c>
      <c r="I242" t="s">
        <v>34</v>
      </c>
      <c r="J242">
        <v>175364</v>
      </c>
      <c r="K242" t="s">
        <v>42</v>
      </c>
      <c r="L242">
        <v>24</v>
      </c>
      <c r="M242">
        <v>41</v>
      </c>
      <c r="N242" t="s">
        <v>42</v>
      </c>
      <c r="O242" t="s">
        <v>25</v>
      </c>
      <c r="P242">
        <v>4.33</v>
      </c>
      <c r="Q242" t="s">
        <v>34</v>
      </c>
      <c r="R242">
        <v>3.93</v>
      </c>
      <c r="S242" t="s">
        <v>47</v>
      </c>
      <c r="T242" t="str">
        <f t="shared" si="6"/>
        <v>Very High</v>
      </c>
      <c r="U242" t="str">
        <f t="shared" si="7"/>
        <v>Experienced</v>
      </c>
    </row>
    <row r="243" spans="1:21" x14ac:dyDescent="0.35">
      <c r="A243" t="s">
        <v>316</v>
      </c>
      <c r="B243" t="s">
        <v>89</v>
      </c>
      <c r="C243" t="s">
        <v>55</v>
      </c>
      <c r="D243" t="s">
        <v>32</v>
      </c>
      <c r="E243" t="s">
        <v>70</v>
      </c>
      <c r="F243">
        <v>10</v>
      </c>
      <c r="G243">
        <v>0.79</v>
      </c>
      <c r="H243">
        <v>0.35</v>
      </c>
      <c r="I243" t="s">
        <v>34</v>
      </c>
      <c r="J243">
        <v>209103</v>
      </c>
      <c r="K243" t="s">
        <v>27</v>
      </c>
      <c r="L243">
        <v>10</v>
      </c>
      <c r="M243">
        <v>33</v>
      </c>
      <c r="N243" t="s">
        <v>35</v>
      </c>
      <c r="O243" t="s">
        <v>27</v>
      </c>
      <c r="P243">
        <v>3.98</v>
      </c>
      <c r="Q243" t="s">
        <v>24</v>
      </c>
      <c r="R243">
        <v>4.34</v>
      </c>
      <c r="S243" t="s">
        <v>47</v>
      </c>
      <c r="T243" t="str">
        <f t="shared" si="6"/>
        <v>Very Low</v>
      </c>
      <c r="U243" t="str">
        <f t="shared" si="7"/>
        <v>Experienced</v>
      </c>
    </row>
    <row r="244" spans="1:21" x14ac:dyDescent="0.35">
      <c r="A244" t="s">
        <v>317</v>
      </c>
      <c r="B244" t="s">
        <v>96</v>
      </c>
      <c r="C244" t="s">
        <v>107</v>
      </c>
      <c r="D244" t="s">
        <v>80</v>
      </c>
      <c r="E244" t="s">
        <v>70</v>
      </c>
      <c r="F244">
        <v>1</v>
      </c>
      <c r="G244">
        <v>0.22</v>
      </c>
      <c r="H244">
        <v>0.23</v>
      </c>
      <c r="I244" t="s">
        <v>34</v>
      </c>
      <c r="J244">
        <v>198231</v>
      </c>
      <c r="K244" t="s">
        <v>25</v>
      </c>
      <c r="L244">
        <v>28</v>
      </c>
      <c r="M244">
        <v>52</v>
      </c>
      <c r="N244" t="s">
        <v>35</v>
      </c>
      <c r="O244" t="s">
        <v>25</v>
      </c>
      <c r="P244">
        <v>4.79</v>
      </c>
      <c r="Q244" t="s">
        <v>24</v>
      </c>
      <c r="R244">
        <v>3.62</v>
      </c>
      <c r="S244" t="s">
        <v>47</v>
      </c>
      <c r="T244" t="str">
        <f t="shared" si="6"/>
        <v>High</v>
      </c>
      <c r="U244" t="str">
        <f t="shared" si="7"/>
        <v>Beginner</v>
      </c>
    </row>
    <row r="245" spans="1:21" x14ac:dyDescent="0.35">
      <c r="A245" t="s">
        <v>318</v>
      </c>
      <c r="B245" t="s">
        <v>65</v>
      </c>
      <c r="C245" t="s">
        <v>58</v>
      </c>
      <c r="D245" t="s">
        <v>40</v>
      </c>
      <c r="E245" t="s">
        <v>70</v>
      </c>
      <c r="F245">
        <v>2</v>
      </c>
      <c r="G245">
        <v>0.69</v>
      </c>
      <c r="H245">
        <v>0.85</v>
      </c>
      <c r="I245" t="s">
        <v>24</v>
      </c>
      <c r="J245">
        <v>99681</v>
      </c>
      <c r="K245" t="s">
        <v>27</v>
      </c>
      <c r="L245">
        <v>-4</v>
      </c>
      <c r="M245">
        <v>33</v>
      </c>
      <c r="N245" t="s">
        <v>26</v>
      </c>
      <c r="O245" t="s">
        <v>25</v>
      </c>
      <c r="P245">
        <v>3.59</v>
      </c>
      <c r="Q245" t="s">
        <v>24</v>
      </c>
      <c r="R245">
        <v>1.77</v>
      </c>
      <c r="S245" t="s">
        <v>28</v>
      </c>
      <c r="T245" t="str">
        <f t="shared" si="6"/>
        <v>High</v>
      </c>
      <c r="U245" t="str">
        <f t="shared" si="7"/>
        <v>Beginner</v>
      </c>
    </row>
    <row r="246" spans="1:21" x14ac:dyDescent="0.35">
      <c r="A246" t="s">
        <v>319</v>
      </c>
      <c r="B246" t="s">
        <v>94</v>
      </c>
      <c r="C246" t="s">
        <v>21</v>
      </c>
      <c r="D246" t="s">
        <v>32</v>
      </c>
      <c r="E246" t="s">
        <v>33</v>
      </c>
      <c r="F246">
        <v>17</v>
      </c>
      <c r="G246">
        <v>0.62</v>
      </c>
      <c r="H246">
        <v>0.48</v>
      </c>
      <c r="I246" t="s">
        <v>34</v>
      </c>
      <c r="J246">
        <v>150250</v>
      </c>
      <c r="K246" t="s">
        <v>27</v>
      </c>
      <c r="L246">
        <v>11</v>
      </c>
      <c r="M246">
        <v>51</v>
      </c>
      <c r="N246" t="s">
        <v>35</v>
      </c>
      <c r="O246" t="s">
        <v>27</v>
      </c>
      <c r="P246">
        <v>5</v>
      </c>
      <c r="Q246" t="s">
        <v>34</v>
      </c>
      <c r="R246">
        <v>4.7300000000000004</v>
      </c>
      <c r="S246" t="s">
        <v>43</v>
      </c>
      <c r="T246" t="str">
        <f t="shared" si="6"/>
        <v>Moderate</v>
      </c>
      <c r="U246" t="str">
        <f t="shared" si="7"/>
        <v>Expert</v>
      </c>
    </row>
    <row r="247" spans="1:21" x14ac:dyDescent="0.35">
      <c r="A247" t="s">
        <v>320</v>
      </c>
      <c r="B247" t="s">
        <v>102</v>
      </c>
      <c r="C247" t="s">
        <v>52</v>
      </c>
      <c r="D247" t="s">
        <v>80</v>
      </c>
      <c r="E247" t="s">
        <v>70</v>
      </c>
      <c r="F247">
        <v>11</v>
      </c>
      <c r="G247">
        <v>0.34</v>
      </c>
      <c r="H247">
        <v>0.39</v>
      </c>
      <c r="I247" t="s">
        <v>34</v>
      </c>
      <c r="J247">
        <v>173032</v>
      </c>
      <c r="K247" t="s">
        <v>42</v>
      </c>
      <c r="L247">
        <v>15</v>
      </c>
      <c r="M247">
        <v>30</v>
      </c>
      <c r="N247" t="s">
        <v>26</v>
      </c>
      <c r="O247" t="s">
        <v>25</v>
      </c>
      <c r="P247">
        <v>4.95</v>
      </c>
      <c r="Q247" t="s">
        <v>24</v>
      </c>
      <c r="R247">
        <v>3.07</v>
      </c>
      <c r="S247" t="s">
        <v>43</v>
      </c>
      <c r="T247" t="str">
        <f t="shared" si="6"/>
        <v>High</v>
      </c>
      <c r="U247" t="str">
        <f t="shared" si="7"/>
        <v>Experienced</v>
      </c>
    </row>
    <row r="248" spans="1:21" x14ac:dyDescent="0.35">
      <c r="A248" t="s">
        <v>321</v>
      </c>
      <c r="B248" t="s">
        <v>54</v>
      </c>
      <c r="C248" t="s">
        <v>55</v>
      </c>
      <c r="D248" t="s">
        <v>80</v>
      </c>
      <c r="E248" t="s">
        <v>33</v>
      </c>
      <c r="F248">
        <v>3</v>
      </c>
      <c r="G248">
        <v>0.82</v>
      </c>
      <c r="H248">
        <v>0.22</v>
      </c>
      <c r="I248" t="s">
        <v>24</v>
      </c>
      <c r="J248">
        <v>210805</v>
      </c>
      <c r="K248" t="s">
        <v>42</v>
      </c>
      <c r="L248">
        <v>12</v>
      </c>
      <c r="M248">
        <v>34</v>
      </c>
      <c r="N248" t="s">
        <v>35</v>
      </c>
      <c r="O248" t="s">
        <v>36</v>
      </c>
      <c r="P248">
        <v>3.1</v>
      </c>
      <c r="Q248" t="s">
        <v>24</v>
      </c>
      <c r="R248">
        <v>1.93</v>
      </c>
      <c r="S248" t="s">
        <v>43</v>
      </c>
      <c r="T248" t="str">
        <f t="shared" si="6"/>
        <v>Very Low</v>
      </c>
      <c r="U248" t="str">
        <f t="shared" si="7"/>
        <v>Intermediate</v>
      </c>
    </row>
    <row r="249" spans="1:21" x14ac:dyDescent="0.35">
      <c r="A249" t="s">
        <v>322</v>
      </c>
      <c r="B249" t="s">
        <v>89</v>
      </c>
      <c r="C249" t="s">
        <v>46</v>
      </c>
      <c r="D249" t="s">
        <v>40</v>
      </c>
      <c r="E249" t="s">
        <v>70</v>
      </c>
      <c r="F249">
        <v>1</v>
      </c>
      <c r="G249">
        <v>0.7</v>
      </c>
      <c r="H249">
        <v>0.83</v>
      </c>
      <c r="I249" t="s">
        <v>60</v>
      </c>
      <c r="J249">
        <v>75325</v>
      </c>
      <c r="K249" t="s">
        <v>27</v>
      </c>
      <c r="L249">
        <v>14</v>
      </c>
      <c r="M249">
        <v>32</v>
      </c>
      <c r="N249" t="s">
        <v>35</v>
      </c>
      <c r="O249" t="s">
        <v>36</v>
      </c>
      <c r="P249">
        <v>3.04</v>
      </c>
      <c r="Q249" t="s">
        <v>34</v>
      </c>
      <c r="R249">
        <v>2.67</v>
      </c>
      <c r="S249" t="s">
        <v>47</v>
      </c>
      <c r="T249" t="str">
        <f t="shared" si="6"/>
        <v>High</v>
      </c>
      <c r="U249" t="str">
        <f t="shared" si="7"/>
        <v>Beginner</v>
      </c>
    </row>
    <row r="250" spans="1:21" x14ac:dyDescent="0.35">
      <c r="A250" t="s">
        <v>323</v>
      </c>
      <c r="B250" t="s">
        <v>106</v>
      </c>
      <c r="C250" t="s">
        <v>74</v>
      </c>
      <c r="D250" t="s">
        <v>80</v>
      </c>
      <c r="E250" t="s">
        <v>33</v>
      </c>
      <c r="F250">
        <v>4</v>
      </c>
      <c r="G250">
        <v>0.52</v>
      </c>
      <c r="H250">
        <v>0.45</v>
      </c>
      <c r="I250" t="s">
        <v>24</v>
      </c>
      <c r="J250">
        <v>178088</v>
      </c>
      <c r="K250" t="s">
        <v>27</v>
      </c>
      <c r="L250">
        <v>36</v>
      </c>
      <c r="M250">
        <v>42</v>
      </c>
      <c r="N250" t="s">
        <v>42</v>
      </c>
      <c r="O250" t="s">
        <v>27</v>
      </c>
      <c r="P250">
        <v>3.73</v>
      </c>
      <c r="Q250" t="s">
        <v>24</v>
      </c>
      <c r="R250">
        <v>1.89</v>
      </c>
      <c r="S250" t="s">
        <v>43</v>
      </c>
      <c r="T250" t="str">
        <f t="shared" si="6"/>
        <v>Moderate</v>
      </c>
      <c r="U250" t="str">
        <f t="shared" si="7"/>
        <v>Intermediate</v>
      </c>
    </row>
    <row r="251" spans="1:21" x14ac:dyDescent="0.35">
      <c r="A251" t="s">
        <v>324</v>
      </c>
      <c r="B251" t="s">
        <v>45</v>
      </c>
      <c r="C251" t="s">
        <v>52</v>
      </c>
      <c r="D251" t="s">
        <v>80</v>
      </c>
      <c r="E251" t="s">
        <v>23</v>
      </c>
      <c r="F251">
        <v>24</v>
      </c>
      <c r="G251">
        <v>0.72</v>
      </c>
      <c r="H251">
        <v>0.63</v>
      </c>
      <c r="I251" t="s">
        <v>60</v>
      </c>
      <c r="J251">
        <v>98827</v>
      </c>
      <c r="K251" t="s">
        <v>25</v>
      </c>
      <c r="L251">
        <v>38</v>
      </c>
      <c r="M251">
        <v>34</v>
      </c>
      <c r="N251" t="s">
        <v>42</v>
      </c>
      <c r="O251" t="s">
        <v>27</v>
      </c>
      <c r="P251">
        <v>2.59</v>
      </c>
      <c r="Q251" t="s">
        <v>34</v>
      </c>
      <c r="R251">
        <v>3.61</v>
      </c>
      <c r="S251" t="s">
        <v>47</v>
      </c>
      <c r="T251" t="str">
        <f t="shared" si="6"/>
        <v>Moderate</v>
      </c>
      <c r="U251" t="str">
        <f t="shared" si="7"/>
        <v>Expert</v>
      </c>
    </row>
    <row r="252" spans="1:21" x14ac:dyDescent="0.35">
      <c r="A252" t="s">
        <v>325</v>
      </c>
      <c r="B252" t="s">
        <v>45</v>
      </c>
      <c r="C252" t="s">
        <v>21</v>
      </c>
      <c r="D252" t="s">
        <v>69</v>
      </c>
      <c r="E252" t="s">
        <v>23</v>
      </c>
      <c r="F252">
        <v>11</v>
      </c>
      <c r="G252">
        <v>0.44</v>
      </c>
      <c r="H252">
        <v>0.74</v>
      </c>
      <c r="I252" t="s">
        <v>34</v>
      </c>
      <c r="J252">
        <v>180999</v>
      </c>
      <c r="K252" t="s">
        <v>25</v>
      </c>
      <c r="L252">
        <v>10</v>
      </c>
      <c r="M252">
        <v>41</v>
      </c>
      <c r="N252" t="s">
        <v>26</v>
      </c>
      <c r="O252" t="s">
        <v>27</v>
      </c>
      <c r="P252">
        <v>2.0699999999999998</v>
      </c>
      <c r="Q252" t="s">
        <v>34</v>
      </c>
      <c r="R252">
        <v>1.68</v>
      </c>
      <c r="S252" t="s">
        <v>43</v>
      </c>
      <c r="T252" t="str">
        <f t="shared" si="6"/>
        <v>High</v>
      </c>
      <c r="U252" t="str">
        <f t="shared" si="7"/>
        <v>Experienced</v>
      </c>
    </row>
    <row r="253" spans="1:21" x14ac:dyDescent="0.35">
      <c r="A253" t="s">
        <v>326</v>
      </c>
      <c r="B253" t="s">
        <v>68</v>
      </c>
      <c r="C253" t="s">
        <v>58</v>
      </c>
      <c r="D253" t="s">
        <v>59</v>
      </c>
      <c r="E253" t="s">
        <v>33</v>
      </c>
      <c r="F253">
        <v>9</v>
      </c>
      <c r="G253">
        <v>0.23</v>
      </c>
      <c r="H253">
        <v>0.5</v>
      </c>
      <c r="I253" t="s">
        <v>24</v>
      </c>
      <c r="J253">
        <v>52495</v>
      </c>
      <c r="K253" t="s">
        <v>42</v>
      </c>
      <c r="L253">
        <v>34</v>
      </c>
      <c r="M253">
        <v>55</v>
      </c>
      <c r="N253" t="s">
        <v>35</v>
      </c>
      <c r="O253" t="s">
        <v>36</v>
      </c>
      <c r="P253">
        <v>3.35</v>
      </c>
      <c r="Q253" t="s">
        <v>24</v>
      </c>
      <c r="R253">
        <v>2.33</v>
      </c>
      <c r="S253" t="s">
        <v>28</v>
      </c>
      <c r="T253" t="str">
        <f t="shared" si="6"/>
        <v>High</v>
      </c>
      <c r="U253" t="str">
        <f t="shared" si="7"/>
        <v>Experienced</v>
      </c>
    </row>
    <row r="254" spans="1:21" x14ac:dyDescent="0.35">
      <c r="A254" t="s">
        <v>327</v>
      </c>
      <c r="B254" t="s">
        <v>156</v>
      </c>
      <c r="C254" t="s">
        <v>52</v>
      </c>
      <c r="D254" t="s">
        <v>22</v>
      </c>
      <c r="E254" t="s">
        <v>41</v>
      </c>
      <c r="F254">
        <v>8</v>
      </c>
      <c r="G254">
        <v>0.48</v>
      </c>
      <c r="H254">
        <v>0.78</v>
      </c>
      <c r="I254" t="s">
        <v>24</v>
      </c>
      <c r="J254">
        <v>67053</v>
      </c>
      <c r="K254" t="s">
        <v>25</v>
      </c>
      <c r="L254">
        <v>8</v>
      </c>
      <c r="M254">
        <v>36</v>
      </c>
      <c r="N254" t="s">
        <v>26</v>
      </c>
      <c r="O254" t="s">
        <v>27</v>
      </c>
      <c r="P254">
        <v>2.81</v>
      </c>
      <c r="Q254" t="s">
        <v>34</v>
      </c>
      <c r="R254">
        <v>3.62</v>
      </c>
      <c r="S254" t="s">
        <v>47</v>
      </c>
      <c r="T254" t="str">
        <f t="shared" si="6"/>
        <v>High</v>
      </c>
      <c r="U254" t="str">
        <f t="shared" si="7"/>
        <v>Intermediate</v>
      </c>
    </row>
    <row r="255" spans="1:21" x14ac:dyDescent="0.35">
      <c r="A255" t="s">
        <v>328</v>
      </c>
      <c r="B255" t="s">
        <v>96</v>
      </c>
      <c r="C255" t="s">
        <v>39</v>
      </c>
      <c r="D255" t="s">
        <v>69</v>
      </c>
      <c r="E255" t="s">
        <v>41</v>
      </c>
      <c r="F255">
        <v>10</v>
      </c>
      <c r="G255">
        <v>0.83</v>
      </c>
      <c r="H255">
        <v>0.22</v>
      </c>
      <c r="I255" t="s">
        <v>34</v>
      </c>
      <c r="J255">
        <v>200239</v>
      </c>
      <c r="K255" t="s">
        <v>27</v>
      </c>
      <c r="L255">
        <v>24</v>
      </c>
      <c r="M255">
        <v>32</v>
      </c>
      <c r="N255" t="s">
        <v>35</v>
      </c>
      <c r="O255" t="s">
        <v>25</v>
      </c>
      <c r="P255">
        <v>3.5</v>
      </c>
      <c r="Q255" t="s">
        <v>34</v>
      </c>
      <c r="R255">
        <v>3.24</v>
      </c>
      <c r="S255" t="s">
        <v>28</v>
      </c>
      <c r="T255" t="str">
        <f t="shared" si="6"/>
        <v>Very Low</v>
      </c>
      <c r="U255" t="str">
        <f t="shared" si="7"/>
        <v>Experienced</v>
      </c>
    </row>
    <row r="256" spans="1:21" x14ac:dyDescent="0.35">
      <c r="A256" t="s">
        <v>329</v>
      </c>
      <c r="B256" t="s">
        <v>156</v>
      </c>
      <c r="C256" t="s">
        <v>74</v>
      </c>
      <c r="D256" t="s">
        <v>63</v>
      </c>
      <c r="E256" t="s">
        <v>70</v>
      </c>
      <c r="F256">
        <v>20</v>
      </c>
      <c r="G256">
        <v>0.35</v>
      </c>
      <c r="H256">
        <v>0.51</v>
      </c>
      <c r="I256" t="s">
        <v>34</v>
      </c>
      <c r="J256">
        <v>71157</v>
      </c>
      <c r="K256" t="s">
        <v>25</v>
      </c>
      <c r="L256">
        <v>22</v>
      </c>
      <c r="M256">
        <v>38</v>
      </c>
      <c r="N256" t="s">
        <v>35</v>
      </c>
      <c r="O256" t="s">
        <v>27</v>
      </c>
      <c r="P256">
        <v>2.77</v>
      </c>
      <c r="Q256" t="s">
        <v>34</v>
      </c>
      <c r="R256">
        <v>4.5599999999999996</v>
      </c>
      <c r="S256" t="s">
        <v>47</v>
      </c>
      <c r="T256" t="str">
        <f t="shared" si="6"/>
        <v>High</v>
      </c>
      <c r="U256" t="str">
        <f t="shared" si="7"/>
        <v>Expert</v>
      </c>
    </row>
    <row r="257" spans="1:21" x14ac:dyDescent="0.35">
      <c r="A257" t="s">
        <v>330</v>
      </c>
      <c r="B257" t="s">
        <v>65</v>
      </c>
      <c r="C257" t="s">
        <v>46</v>
      </c>
      <c r="D257" t="s">
        <v>59</v>
      </c>
      <c r="E257" t="s">
        <v>23</v>
      </c>
      <c r="F257">
        <v>7</v>
      </c>
      <c r="G257">
        <v>0.64</v>
      </c>
      <c r="H257">
        <v>0.27</v>
      </c>
      <c r="I257" t="s">
        <v>60</v>
      </c>
      <c r="J257">
        <v>130193</v>
      </c>
      <c r="K257" t="s">
        <v>25</v>
      </c>
      <c r="L257">
        <v>17</v>
      </c>
      <c r="M257">
        <v>39</v>
      </c>
      <c r="N257" t="s">
        <v>26</v>
      </c>
      <c r="O257" t="s">
        <v>36</v>
      </c>
      <c r="P257">
        <v>3.35</v>
      </c>
      <c r="Q257" t="s">
        <v>24</v>
      </c>
      <c r="R257">
        <v>1.83</v>
      </c>
      <c r="S257" t="s">
        <v>47</v>
      </c>
      <c r="T257" t="str">
        <f t="shared" si="6"/>
        <v>Moderate</v>
      </c>
      <c r="U257" t="str">
        <f t="shared" si="7"/>
        <v>Intermediate</v>
      </c>
    </row>
    <row r="258" spans="1:21" x14ac:dyDescent="0.35">
      <c r="A258" t="s">
        <v>331</v>
      </c>
      <c r="B258" t="s">
        <v>38</v>
      </c>
      <c r="C258" t="s">
        <v>82</v>
      </c>
      <c r="D258" t="s">
        <v>63</v>
      </c>
      <c r="E258" t="s">
        <v>41</v>
      </c>
      <c r="F258">
        <v>17</v>
      </c>
      <c r="G258">
        <v>0.95</v>
      </c>
      <c r="H258">
        <v>0.97</v>
      </c>
      <c r="I258" t="s">
        <v>60</v>
      </c>
      <c r="J258">
        <v>68050</v>
      </c>
      <c r="K258" t="s">
        <v>27</v>
      </c>
      <c r="L258">
        <v>-3</v>
      </c>
      <c r="M258">
        <v>35</v>
      </c>
      <c r="N258" t="s">
        <v>42</v>
      </c>
      <c r="O258" t="s">
        <v>25</v>
      </c>
      <c r="P258">
        <v>4.18</v>
      </c>
      <c r="Q258" t="s">
        <v>34</v>
      </c>
      <c r="R258">
        <v>4.5199999999999996</v>
      </c>
      <c r="S258" t="s">
        <v>43</v>
      </c>
      <c r="T258" t="str">
        <f t="shared" si="6"/>
        <v>High</v>
      </c>
      <c r="U258" t="str">
        <f t="shared" si="7"/>
        <v>Expert</v>
      </c>
    </row>
    <row r="259" spans="1:21" x14ac:dyDescent="0.35">
      <c r="A259" t="s">
        <v>332</v>
      </c>
      <c r="B259" t="s">
        <v>77</v>
      </c>
      <c r="C259" t="s">
        <v>31</v>
      </c>
      <c r="D259" t="s">
        <v>22</v>
      </c>
      <c r="E259" t="s">
        <v>33</v>
      </c>
      <c r="F259">
        <v>19</v>
      </c>
      <c r="G259">
        <v>0.15</v>
      </c>
      <c r="H259">
        <v>0.35</v>
      </c>
      <c r="I259" t="s">
        <v>24</v>
      </c>
      <c r="J259">
        <v>190427</v>
      </c>
      <c r="K259" t="s">
        <v>25</v>
      </c>
      <c r="L259">
        <v>33</v>
      </c>
      <c r="M259">
        <v>30</v>
      </c>
      <c r="N259" t="s">
        <v>42</v>
      </c>
      <c r="O259" t="s">
        <v>25</v>
      </c>
      <c r="P259">
        <v>4.0599999999999996</v>
      </c>
      <c r="Q259" t="s">
        <v>34</v>
      </c>
      <c r="R259">
        <v>1.54</v>
      </c>
      <c r="S259" t="s">
        <v>28</v>
      </c>
      <c r="T259" t="str">
        <f t="shared" ref="T259:T322" si="8">IF(AND(G259&lt;0.4,H259&gt;=0.7),"Very High",
IF(AND(G259&gt;=0.7,H259&lt;0.5),"Very Low",
IF(G259&lt;H259,"High","Moderate")))</f>
        <v>High</v>
      </c>
      <c r="U259" t="str">
        <f t="shared" ref="U259:U322" si="9">_xlfn.IFS(F259&lt;=2,"Beginner",F259&lt;=8,"Intermediate",F259&lt;=15,"Experienced",F259&lt;=25,"Expert")</f>
        <v>Expert</v>
      </c>
    </row>
    <row r="260" spans="1:21" x14ac:dyDescent="0.35">
      <c r="A260" t="s">
        <v>333</v>
      </c>
      <c r="B260" t="s">
        <v>156</v>
      </c>
      <c r="C260" t="s">
        <v>31</v>
      </c>
      <c r="D260" t="s">
        <v>69</v>
      </c>
      <c r="E260" t="s">
        <v>33</v>
      </c>
      <c r="F260">
        <v>23</v>
      </c>
      <c r="G260">
        <v>0.2</v>
      </c>
      <c r="H260">
        <v>0.38</v>
      </c>
      <c r="I260" t="s">
        <v>60</v>
      </c>
      <c r="J260">
        <v>137109</v>
      </c>
      <c r="K260" t="s">
        <v>25</v>
      </c>
      <c r="L260">
        <v>38</v>
      </c>
      <c r="M260">
        <v>36</v>
      </c>
      <c r="N260" t="s">
        <v>35</v>
      </c>
      <c r="O260" t="s">
        <v>25</v>
      </c>
      <c r="P260">
        <v>4.78</v>
      </c>
      <c r="Q260" t="s">
        <v>34</v>
      </c>
      <c r="R260">
        <v>4.47</v>
      </c>
      <c r="S260" t="s">
        <v>43</v>
      </c>
      <c r="T260" t="str">
        <f t="shared" si="8"/>
        <v>High</v>
      </c>
      <c r="U260" t="str">
        <f t="shared" si="9"/>
        <v>Expert</v>
      </c>
    </row>
    <row r="261" spans="1:21" x14ac:dyDescent="0.35">
      <c r="A261" t="s">
        <v>334</v>
      </c>
      <c r="B261" t="s">
        <v>30</v>
      </c>
      <c r="C261" t="s">
        <v>52</v>
      </c>
      <c r="D261" t="s">
        <v>22</v>
      </c>
      <c r="E261" t="s">
        <v>41</v>
      </c>
      <c r="F261">
        <v>16</v>
      </c>
      <c r="G261">
        <v>0.09</v>
      </c>
      <c r="H261">
        <v>0.78</v>
      </c>
      <c r="I261" t="s">
        <v>24</v>
      </c>
      <c r="J261">
        <v>129712</v>
      </c>
      <c r="K261" t="s">
        <v>42</v>
      </c>
      <c r="L261">
        <v>19</v>
      </c>
      <c r="M261">
        <v>56</v>
      </c>
      <c r="N261" t="s">
        <v>35</v>
      </c>
      <c r="O261" t="s">
        <v>25</v>
      </c>
      <c r="P261">
        <v>3.56</v>
      </c>
      <c r="Q261" t="s">
        <v>34</v>
      </c>
      <c r="R261">
        <v>4.9400000000000004</v>
      </c>
      <c r="S261" t="s">
        <v>47</v>
      </c>
      <c r="T261" t="str">
        <f t="shared" si="8"/>
        <v>Very High</v>
      </c>
      <c r="U261" t="str">
        <f t="shared" si="9"/>
        <v>Expert</v>
      </c>
    </row>
    <row r="262" spans="1:21" x14ac:dyDescent="0.35">
      <c r="A262" t="s">
        <v>335</v>
      </c>
      <c r="B262" t="s">
        <v>91</v>
      </c>
      <c r="C262" t="s">
        <v>82</v>
      </c>
      <c r="D262" t="s">
        <v>69</v>
      </c>
      <c r="E262" t="s">
        <v>70</v>
      </c>
      <c r="F262">
        <v>19</v>
      </c>
      <c r="G262">
        <v>0.85</v>
      </c>
      <c r="H262">
        <v>0.81</v>
      </c>
      <c r="I262" t="s">
        <v>24</v>
      </c>
      <c r="J262">
        <v>104950</v>
      </c>
      <c r="K262" t="s">
        <v>27</v>
      </c>
      <c r="L262">
        <v>23</v>
      </c>
      <c r="M262">
        <v>58</v>
      </c>
      <c r="N262" t="s">
        <v>35</v>
      </c>
      <c r="O262" t="s">
        <v>36</v>
      </c>
      <c r="P262">
        <v>4.49</v>
      </c>
      <c r="Q262" t="s">
        <v>34</v>
      </c>
      <c r="R262">
        <v>1.36</v>
      </c>
      <c r="S262" t="s">
        <v>28</v>
      </c>
      <c r="T262" t="str">
        <f t="shared" si="8"/>
        <v>Moderate</v>
      </c>
      <c r="U262" t="str">
        <f t="shared" si="9"/>
        <v>Expert</v>
      </c>
    </row>
    <row r="263" spans="1:21" x14ac:dyDescent="0.35">
      <c r="A263" t="s">
        <v>336</v>
      </c>
      <c r="B263" t="s">
        <v>91</v>
      </c>
      <c r="C263" t="s">
        <v>46</v>
      </c>
      <c r="D263" t="s">
        <v>59</v>
      </c>
      <c r="E263" t="s">
        <v>23</v>
      </c>
      <c r="F263">
        <v>2</v>
      </c>
      <c r="G263">
        <v>0.42</v>
      </c>
      <c r="H263">
        <v>0.56000000000000005</v>
      </c>
      <c r="I263" t="s">
        <v>34</v>
      </c>
      <c r="J263">
        <v>76891</v>
      </c>
      <c r="K263" t="s">
        <v>42</v>
      </c>
      <c r="L263">
        <v>34</v>
      </c>
      <c r="M263">
        <v>50</v>
      </c>
      <c r="N263" t="s">
        <v>26</v>
      </c>
      <c r="O263" t="s">
        <v>25</v>
      </c>
      <c r="P263">
        <v>4.16</v>
      </c>
      <c r="Q263" t="s">
        <v>24</v>
      </c>
      <c r="R263">
        <v>1.36</v>
      </c>
      <c r="S263" t="s">
        <v>28</v>
      </c>
      <c r="T263" t="str">
        <f t="shared" si="8"/>
        <v>High</v>
      </c>
      <c r="U263" t="str">
        <f t="shared" si="9"/>
        <v>Beginner</v>
      </c>
    </row>
    <row r="264" spans="1:21" x14ac:dyDescent="0.35">
      <c r="A264" t="s">
        <v>337</v>
      </c>
      <c r="B264" t="s">
        <v>96</v>
      </c>
      <c r="C264" t="s">
        <v>58</v>
      </c>
      <c r="D264" t="s">
        <v>32</v>
      </c>
      <c r="E264" t="s">
        <v>70</v>
      </c>
      <c r="F264">
        <v>18</v>
      </c>
      <c r="G264">
        <v>0.6</v>
      </c>
      <c r="H264">
        <v>0.33</v>
      </c>
      <c r="I264" t="s">
        <v>60</v>
      </c>
      <c r="J264">
        <v>174269</v>
      </c>
      <c r="K264" t="s">
        <v>25</v>
      </c>
      <c r="L264">
        <v>0</v>
      </c>
      <c r="M264">
        <v>57</v>
      </c>
      <c r="N264" t="s">
        <v>35</v>
      </c>
      <c r="O264" t="s">
        <v>25</v>
      </c>
      <c r="P264">
        <v>4.3099999999999996</v>
      </c>
      <c r="Q264" t="s">
        <v>24</v>
      </c>
      <c r="R264">
        <v>2.68</v>
      </c>
      <c r="S264" t="s">
        <v>43</v>
      </c>
      <c r="T264" t="str">
        <f t="shared" si="8"/>
        <v>Moderate</v>
      </c>
      <c r="U264" t="str">
        <f t="shared" si="9"/>
        <v>Expert</v>
      </c>
    </row>
    <row r="265" spans="1:21" x14ac:dyDescent="0.35">
      <c r="A265" t="s">
        <v>338</v>
      </c>
      <c r="B265" t="s">
        <v>91</v>
      </c>
      <c r="C265" t="s">
        <v>107</v>
      </c>
      <c r="D265" t="s">
        <v>49</v>
      </c>
      <c r="E265" t="s">
        <v>41</v>
      </c>
      <c r="F265">
        <v>19</v>
      </c>
      <c r="G265">
        <v>0.05</v>
      </c>
      <c r="H265">
        <v>0.8</v>
      </c>
      <c r="I265" t="s">
        <v>34</v>
      </c>
      <c r="J265">
        <v>33200</v>
      </c>
      <c r="K265" t="s">
        <v>25</v>
      </c>
      <c r="L265">
        <v>3</v>
      </c>
      <c r="M265">
        <v>48</v>
      </c>
      <c r="N265" t="s">
        <v>26</v>
      </c>
      <c r="O265" t="s">
        <v>36</v>
      </c>
      <c r="P265">
        <v>3.36</v>
      </c>
      <c r="Q265" t="s">
        <v>34</v>
      </c>
      <c r="R265">
        <v>1.32</v>
      </c>
      <c r="S265" t="s">
        <v>28</v>
      </c>
      <c r="T265" t="str">
        <f t="shared" si="8"/>
        <v>Very High</v>
      </c>
      <c r="U265" t="str">
        <f t="shared" si="9"/>
        <v>Expert</v>
      </c>
    </row>
    <row r="266" spans="1:21" x14ac:dyDescent="0.35">
      <c r="A266" t="s">
        <v>339</v>
      </c>
      <c r="B266" t="s">
        <v>147</v>
      </c>
      <c r="C266" t="s">
        <v>58</v>
      </c>
      <c r="D266" t="s">
        <v>32</v>
      </c>
      <c r="E266" t="s">
        <v>41</v>
      </c>
      <c r="F266">
        <v>21</v>
      </c>
      <c r="G266">
        <v>0.09</v>
      </c>
      <c r="H266">
        <v>0.32</v>
      </c>
      <c r="I266" t="s">
        <v>60</v>
      </c>
      <c r="J266">
        <v>201252</v>
      </c>
      <c r="K266" t="s">
        <v>27</v>
      </c>
      <c r="L266">
        <v>9</v>
      </c>
      <c r="M266">
        <v>40</v>
      </c>
      <c r="N266" t="s">
        <v>35</v>
      </c>
      <c r="O266" t="s">
        <v>25</v>
      </c>
      <c r="P266">
        <v>2.33</v>
      </c>
      <c r="Q266" t="s">
        <v>24</v>
      </c>
      <c r="R266">
        <v>1.65</v>
      </c>
      <c r="S266" t="s">
        <v>43</v>
      </c>
      <c r="T266" t="str">
        <f t="shared" si="8"/>
        <v>High</v>
      </c>
      <c r="U266" t="str">
        <f t="shared" si="9"/>
        <v>Expert</v>
      </c>
    </row>
    <row r="267" spans="1:21" x14ac:dyDescent="0.35">
      <c r="A267" t="s">
        <v>340</v>
      </c>
      <c r="B267" t="s">
        <v>45</v>
      </c>
      <c r="C267" t="s">
        <v>52</v>
      </c>
      <c r="D267" t="s">
        <v>80</v>
      </c>
      <c r="E267" t="s">
        <v>41</v>
      </c>
      <c r="F267">
        <v>9</v>
      </c>
      <c r="G267">
        <v>0.74</v>
      </c>
      <c r="H267">
        <v>0.46</v>
      </c>
      <c r="I267" t="s">
        <v>34</v>
      </c>
      <c r="J267">
        <v>129336</v>
      </c>
      <c r="K267" t="s">
        <v>25</v>
      </c>
      <c r="L267">
        <v>-3</v>
      </c>
      <c r="M267">
        <v>52</v>
      </c>
      <c r="N267" t="s">
        <v>42</v>
      </c>
      <c r="O267" t="s">
        <v>36</v>
      </c>
      <c r="P267">
        <v>3.58</v>
      </c>
      <c r="Q267" t="s">
        <v>24</v>
      </c>
      <c r="R267">
        <v>3.78</v>
      </c>
      <c r="S267" t="s">
        <v>28</v>
      </c>
      <c r="T267" t="str">
        <f t="shared" si="8"/>
        <v>Very Low</v>
      </c>
      <c r="U267" t="str">
        <f t="shared" si="9"/>
        <v>Experienced</v>
      </c>
    </row>
    <row r="268" spans="1:21" x14ac:dyDescent="0.35">
      <c r="A268" t="s">
        <v>341</v>
      </c>
      <c r="B268" t="s">
        <v>62</v>
      </c>
      <c r="C268" t="s">
        <v>52</v>
      </c>
      <c r="D268" t="s">
        <v>22</v>
      </c>
      <c r="E268" t="s">
        <v>70</v>
      </c>
      <c r="F268">
        <v>8</v>
      </c>
      <c r="G268">
        <v>0.49</v>
      </c>
      <c r="H268">
        <v>0.74</v>
      </c>
      <c r="I268" t="s">
        <v>60</v>
      </c>
      <c r="J268">
        <v>215284</v>
      </c>
      <c r="K268" t="s">
        <v>27</v>
      </c>
      <c r="L268">
        <v>29</v>
      </c>
      <c r="M268">
        <v>41</v>
      </c>
      <c r="N268" t="s">
        <v>35</v>
      </c>
      <c r="O268" t="s">
        <v>27</v>
      </c>
      <c r="P268">
        <v>3.69</v>
      </c>
      <c r="Q268" t="s">
        <v>34</v>
      </c>
      <c r="R268">
        <v>2.97</v>
      </c>
      <c r="S268" t="s">
        <v>47</v>
      </c>
      <c r="T268" t="str">
        <f t="shared" si="8"/>
        <v>High</v>
      </c>
      <c r="U268" t="str">
        <f t="shared" si="9"/>
        <v>Intermediate</v>
      </c>
    </row>
    <row r="269" spans="1:21" x14ac:dyDescent="0.35">
      <c r="A269" t="s">
        <v>342</v>
      </c>
      <c r="B269" t="s">
        <v>102</v>
      </c>
      <c r="C269" t="s">
        <v>46</v>
      </c>
      <c r="D269" t="s">
        <v>69</v>
      </c>
      <c r="E269" t="s">
        <v>23</v>
      </c>
      <c r="F269">
        <v>1</v>
      </c>
      <c r="G269">
        <v>7.0000000000000007E-2</v>
      </c>
      <c r="H269">
        <v>0.69</v>
      </c>
      <c r="I269" t="s">
        <v>34</v>
      </c>
      <c r="J269">
        <v>60913</v>
      </c>
      <c r="K269" t="s">
        <v>42</v>
      </c>
      <c r="L269">
        <v>25</v>
      </c>
      <c r="M269">
        <v>55</v>
      </c>
      <c r="N269" t="s">
        <v>26</v>
      </c>
      <c r="O269" t="s">
        <v>25</v>
      </c>
      <c r="P269">
        <v>2.0299999999999998</v>
      </c>
      <c r="Q269" t="s">
        <v>24</v>
      </c>
      <c r="R269">
        <v>3.76</v>
      </c>
      <c r="S269" t="s">
        <v>43</v>
      </c>
      <c r="T269" t="str">
        <f t="shared" si="8"/>
        <v>High</v>
      </c>
      <c r="U269" t="str">
        <f t="shared" si="9"/>
        <v>Beginner</v>
      </c>
    </row>
    <row r="270" spans="1:21" x14ac:dyDescent="0.35">
      <c r="A270" t="s">
        <v>343</v>
      </c>
      <c r="B270" t="s">
        <v>30</v>
      </c>
      <c r="C270" t="s">
        <v>52</v>
      </c>
      <c r="D270" t="s">
        <v>22</v>
      </c>
      <c r="E270" t="s">
        <v>41</v>
      </c>
      <c r="F270">
        <v>5</v>
      </c>
      <c r="G270">
        <v>0.74</v>
      </c>
      <c r="H270">
        <v>0.28999999999999998</v>
      </c>
      <c r="I270" t="s">
        <v>24</v>
      </c>
      <c r="J270">
        <v>117368</v>
      </c>
      <c r="K270" t="s">
        <v>42</v>
      </c>
      <c r="L270">
        <v>43</v>
      </c>
      <c r="M270">
        <v>40</v>
      </c>
      <c r="N270" t="s">
        <v>26</v>
      </c>
      <c r="O270" t="s">
        <v>36</v>
      </c>
      <c r="P270">
        <v>4.75</v>
      </c>
      <c r="Q270" t="s">
        <v>24</v>
      </c>
      <c r="R270">
        <v>3.58</v>
      </c>
      <c r="S270" t="s">
        <v>43</v>
      </c>
      <c r="T270" t="str">
        <f t="shared" si="8"/>
        <v>Very Low</v>
      </c>
      <c r="U270" t="str">
        <f t="shared" si="9"/>
        <v>Intermediate</v>
      </c>
    </row>
    <row r="271" spans="1:21" x14ac:dyDescent="0.35">
      <c r="A271" t="s">
        <v>344</v>
      </c>
      <c r="B271" t="s">
        <v>65</v>
      </c>
      <c r="C271" t="s">
        <v>31</v>
      </c>
      <c r="D271" t="s">
        <v>22</v>
      </c>
      <c r="E271" t="s">
        <v>70</v>
      </c>
      <c r="F271">
        <v>17</v>
      </c>
      <c r="G271">
        <v>0.78</v>
      </c>
      <c r="H271">
        <v>0.93</v>
      </c>
      <c r="I271" t="s">
        <v>60</v>
      </c>
      <c r="J271">
        <v>44685</v>
      </c>
      <c r="K271" t="s">
        <v>25</v>
      </c>
      <c r="L271">
        <v>3</v>
      </c>
      <c r="M271">
        <v>48</v>
      </c>
      <c r="N271" t="s">
        <v>26</v>
      </c>
      <c r="O271" t="s">
        <v>36</v>
      </c>
      <c r="P271">
        <v>4.4000000000000004</v>
      </c>
      <c r="Q271" t="s">
        <v>34</v>
      </c>
      <c r="R271">
        <v>1.26</v>
      </c>
      <c r="S271" t="s">
        <v>47</v>
      </c>
      <c r="T271" t="str">
        <f t="shared" si="8"/>
        <v>High</v>
      </c>
      <c r="U271" t="str">
        <f t="shared" si="9"/>
        <v>Expert</v>
      </c>
    </row>
    <row r="272" spans="1:21" x14ac:dyDescent="0.35">
      <c r="A272" t="s">
        <v>345</v>
      </c>
      <c r="B272" t="s">
        <v>51</v>
      </c>
      <c r="C272" t="s">
        <v>46</v>
      </c>
      <c r="D272" t="s">
        <v>40</v>
      </c>
      <c r="E272" t="s">
        <v>70</v>
      </c>
      <c r="F272">
        <v>22</v>
      </c>
      <c r="G272">
        <v>0.81</v>
      </c>
      <c r="H272">
        <v>0.65</v>
      </c>
      <c r="I272" t="s">
        <v>34</v>
      </c>
      <c r="J272">
        <v>132122</v>
      </c>
      <c r="K272" t="s">
        <v>27</v>
      </c>
      <c r="L272">
        <v>-8</v>
      </c>
      <c r="M272">
        <v>38</v>
      </c>
      <c r="N272" t="s">
        <v>42</v>
      </c>
      <c r="O272" t="s">
        <v>25</v>
      </c>
      <c r="P272">
        <v>3.49</v>
      </c>
      <c r="Q272" t="s">
        <v>24</v>
      </c>
      <c r="R272">
        <v>2.4900000000000002</v>
      </c>
      <c r="S272" t="s">
        <v>43</v>
      </c>
      <c r="T272" t="str">
        <f t="shared" si="8"/>
        <v>Moderate</v>
      </c>
      <c r="U272" t="str">
        <f t="shared" si="9"/>
        <v>Expert</v>
      </c>
    </row>
    <row r="273" spans="1:21" x14ac:dyDescent="0.35">
      <c r="A273" t="s">
        <v>346</v>
      </c>
      <c r="B273" t="s">
        <v>45</v>
      </c>
      <c r="C273" t="s">
        <v>107</v>
      </c>
      <c r="D273" t="s">
        <v>80</v>
      </c>
      <c r="E273" t="s">
        <v>41</v>
      </c>
      <c r="F273">
        <v>25</v>
      </c>
      <c r="G273">
        <v>0.39</v>
      </c>
      <c r="H273">
        <v>0.23</v>
      </c>
      <c r="I273" t="s">
        <v>34</v>
      </c>
      <c r="J273">
        <v>82978</v>
      </c>
      <c r="K273" t="s">
        <v>27</v>
      </c>
      <c r="L273">
        <v>-1</v>
      </c>
      <c r="M273">
        <v>36</v>
      </c>
      <c r="N273" t="s">
        <v>42</v>
      </c>
      <c r="O273" t="s">
        <v>36</v>
      </c>
      <c r="P273">
        <v>4.2</v>
      </c>
      <c r="Q273" t="s">
        <v>34</v>
      </c>
      <c r="R273">
        <v>4.0999999999999996</v>
      </c>
      <c r="S273" t="s">
        <v>47</v>
      </c>
      <c r="T273" t="str">
        <f t="shared" si="8"/>
        <v>Moderate</v>
      </c>
      <c r="U273" t="str">
        <f t="shared" si="9"/>
        <v>Expert</v>
      </c>
    </row>
    <row r="274" spans="1:21" x14ac:dyDescent="0.35">
      <c r="A274" t="s">
        <v>347</v>
      </c>
      <c r="B274" t="s">
        <v>65</v>
      </c>
      <c r="C274" t="s">
        <v>21</v>
      </c>
      <c r="D274" t="s">
        <v>75</v>
      </c>
      <c r="E274" t="s">
        <v>70</v>
      </c>
      <c r="F274">
        <v>1</v>
      </c>
      <c r="G274">
        <v>0.7</v>
      </c>
      <c r="H274">
        <v>0.56000000000000005</v>
      </c>
      <c r="I274" t="s">
        <v>60</v>
      </c>
      <c r="J274">
        <v>217086</v>
      </c>
      <c r="K274" t="s">
        <v>27</v>
      </c>
      <c r="L274">
        <v>45</v>
      </c>
      <c r="M274">
        <v>32</v>
      </c>
      <c r="N274" t="s">
        <v>42</v>
      </c>
      <c r="O274" t="s">
        <v>36</v>
      </c>
      <c r="P274">
        <v>4.67</v>
      </c>
      <c r="Q274" t="s">
        <v>24</v>
      </c>
      <c r="R274">
        <v>3.08</v>
      </c>
      <c r="S274" t="s">
        <v>28</v>
      </c>
      <c r="T274" t="str">
        <f t="shared" si="8"/>
        <v>Moderate</v>
      </c>
      <c r="U274" t="str">
        <f t="shared" si="9"/>
        <v>Beginner</v>
      </c>
    </row>
    <row r="275" spans="1:21" x14ac:dyDescent="0.35">
      <c r="A275" t="s">
        <v>348</v>
      </c>
      <c r="B275" t="s">
        <v>91</v>
      </c>
      <c r="C275" t="s">
        <v>21</v>
      </c>
      <c r="D275" t="s">
        <v>66</v>
      </c>
      <c r="E275" t="s">
        <v>33</v>
      </c>
      <c r="F275">
        <v>5</v>
      </c>
      <c r="G275">
        <v>0.22</v>
      </c>
      <c r="H275">
        <v>0.42</v>
      </c>
      <c r="I275" t="s">
        <v>34</v>
      </c>
      <c r="J275">
        <v>113663</v>
      </c>
      <c r="K275" t="s">
        <v>25</v>
      </c>
      <c r="L275">
        <v>-10</v>
      </c>
      <c r="M275">
        <v>60</v>
      </c>
      <c r="N275" t="s">
        <v>26</v>
      </c>
      <c r="O275" t="s">
        <v>27</v>
      </c>
      <c r="P275">
        <v>3.54</v>
      </c>
      <c r="Q275" t="s">
        <v>24</v>
      </c>
      <c r="R275">
        <v>3.17</v>
      </c>
      <c r="S275" t="s">
        <v>28</v>
      </c>
      <c r="T275" t="str">
        <f t="shared" si="8"/>
        <v>High</v>
      </c>
      <c r="U275" t="str">
        <f t="shared" si="9"/>
        <v>Intermediate</v>
      </c>
    </row>
    <row r="276" spans="1:21" x14ac:dyDescent="0.35">
      <c r="A276" t="s">
        <v>349</v>
      </c>
      <c r="B276" t="s">
        <v>20</v>
      </c>
      <c r="C276" t="s">
        <v>107</v>
      </c>
      <c r="D276" t="s">
        <v>75</v>
      </c>
      <c r="E276" t="s">
        <v>33</v>
      </c>
      <c r="F276">
        <v>0</v>
      </c>
      <c r="G276">
        <v>0.2</v>
      </c>
      <c r="H276">
        <v>0.45</v>
      </c>
      <c r="I276" t="s">
        <v>34</v>
      </c>
      <c r="J276">
        <v>118798</v>
      </c>
      <c r="K276" t="s">
        <v>27</v>
      </c>
      <c r="L276">
        <v>-7</v>
      </c>
      <c r="M276">
        <v>33</v>
      </c>
      <c r="N276" t="s">
        <v>42</v>
      </c>
      <c r="O276" t="s">
        <v>25</v>
      </c>
      <c r="P276">
        <v>2.2599999999999998</v>
      </c>
      <c r="Q276" t="s">
        <v>34</v>
      </c>
      <c r="R276">
        <v>1.72</v>
      </c>
      <c r="S276" t="s">
        <v>28</v>
      </c>
      <c r="T276" t="str">
        <f t="shared" si="8"/>
        <v>High</v>
      </c>
      <c r="U276" t="str">
        <f t="shared" si="9"/>
        <v>Beginner</v>
      </c>
    </row>
    <row r="277" spans="1:21" x14ac:dyDescent="0.35">
      <c r="A277" t="s">
        <v>350</v>
      </c>
      <c r="B277" t="s">
        <v>91</v>
      </c>
      <c r="C277" t="s">
        <v>46</v>
      </c>
      <c r="D277" t="s">
        <v>32</v>
      </c>
      <c r="E277" t="s">
        <v>41</v>
      </c>
      <c r="F277">
        <v>25</v>
      </c>
      <c r="G277">
        <v>0.73</v>
      </c>
      <c r="H277">
        <v>0.84</v>
      </c>
      <c r="I277" t="s">
        <v>60</v>
      </c>
      <c r="J277">
        <v>50590</v>
      </c>
      <c r="K277" t="s">
        <v>42</v>
      </c>
      <c r="L277">
        <v>-4</v>
      </c>
      <c r="M277">
        <v>44</v>
      </c>
      <c r="N277" t="s">
        <v>42</v>
      </c>
      <c r="O277" t="s">
        <v>27</v>
      </c>
      <c r="P277">
        <v>3.93</v>
      </c>
      <c r="Q277" t="s">
        <v>34</v>
      </c>
      <c r="R277">
        <v>2.88</v>
      </c>
      <c r="S277" t="s">
        <v>47</v>
      </c>
      <c r="T277" t="str">
        <f t="shared" si="8"/>
        <v>High</v>
      </c>
      <c r="U277" t="str">
        <f t="shared" si="9"/>
        <v>Expert</v>
      </c>
    </row>
    <row r="278" spans="1:21" x14ac:dyDescent="0.35">
      <c r="A278" t="s">
        <v>351</v>
      </c>
      <c r="B278" t="s">
        <v>91</v>
      </c>
      <c r="C278" t="s">
        <v>107</v>
      </c>
      <c r="D278" t="s">
        <v>75</v>
      </c>
      <c r="E278" t="s">
        <v>41</v>
      </c>
      <c r="F278">
        <v>15</v>
      </c>
      <c r="G278">
        <v>0.68</v>
      </c>
      <c r="H278">
        <v>0.73</v>
      </c>
      <c r="I278" t="s">
        <v>24</v>
      </c>
      <c r="J278">
        <v>115134</v>
      </c>
      <c r="K278" t="s">
        <v>42</v>
      </c>
      <c r="L278">
        <v>20</v>
      </c>
      <c r="M278">
        <v>44</v>
      </c>
      <c r="N278" t="s">
        <v>35</v>
      </c>
      <c r="O278" t="s">
        <v>36</v>
      </c>
      <c r="P278">
        <v>4.3</v>
      </c>
      <c r="Q278" t="s">
        <v>24</v>
      </c>
      <c r="R278">
        <v>3.03</v>
      </c>
      <c r="S278" t="s">
        <v>43</v>
      </c>
      <c r="T278" t="str">
        <f t="shared" si="8"/>
        <v>High</v>
      </c>
      <c r="U278" t="str">
        <f t="shared" si="9"/>
        <v>Experienced</v>
      </c>
    </row>
    <row r="279" spans="1:21" x14ac:dyDescent="0.35">
      <c r="A279" t="s">
        <v>352</v>
      </c>
      <c r="B279" t="s">
        <v>57</v>
      </c>
      <c r="C279" t="s">
        <v>46</v>
      </c>
      <c r="D279" t="s">
        <v>59</v>
      </c>
      <c r="E279" t="s">
        <v>33</v>
      </c>
      <c r="F279">
        <v>15</v>
      </c>
      <c r="G279">
        <v>0.53</v>
      </c>
      <c r="H279">
        <v>0.52</v>
      </c>
      <c r="I279" t="s">
        <v>34</v>
      </c>
      <c r="J279">
        <v>138381</v>
      </c>
      <c r="K279" t="s">
        <v>25</v>
      </c>
      <c r="L279">
        <v>11</v>
      </c>
      <c r="M279">
        <v>36</v>
      </c>
      <c r="N279" t="s">
        <v>26</v>
      </c>
      <c r="O279" t="s">
        <v>27</v>
      </c>
      <c r="P279">
        <v>3.29</v>
      </c>
      <c r="Q279" t="s">
        <v>34</v>
      </c>
      <c r="R279">
        <v>3.27</v>
      </c>
      <c r="S279" t="s">
        <v>43</v>
      </c>
      <c r="T279" t="str">
        <f t="shared" si="8"/>
        <v>Moderate</v>
      </c>
      <c r="U279" t="str">
        <f t="shared" si="9"/>
        <v>Experienced</v>
      </c>
    </row>
    <row r="280" spans="1:21" x14ac:dyDescent="0.35">
      <c r="A280" t="s">
        <v>353</v>
      </c>
      <c r="B280" t="s">
        <v>68</v>
      </c>
      <c r="C280" t="s">
        <v>107</v>
      </c>
      <c r="D280" t="s">
        <v>32</v>
      </c>
      <c r="E280" t="s">
        <v>70</v>
      </c>
      <c r="F280">
        <v>12</v>
      </c>
      <c r="G280">
        <v>0.57999999999999996</v>
      </c>
      <c r="H280">
        <v>0.56999999999999995</v>
      </c>
      <c r="I280" t="s">
        <v>24</v>
      </c>
      <c r="J280">
        <v>175512</v>
      </c>
      <c r="K280" t="s">
        <v>27</v>
      </c>
      <c r="L280">
        <v>-4</v>
      </c>
      <c r="M280">
        <v>51</v>
      </c>
      <c r="N280" t="s">
        <v>26</v>
      </c>
      <c r="O280" t="s">
        <v>36</v>
      </c>
      <c r="P280">
        <v>2.98</v>
      </c>
      <c r="Q280" t="s">
        <v>24</v>
      </c>
      <c r="R280">
        <v>1.36</v>
      </c>
      <c r="S280" t="s">
        <v>47</v>
      </c>
      <c r="T280" t="str">
        <f t="shared" si="8"/>
        <v>Moderate</v>
      </c>
      <c r="U280" t="str">
        <f t="shared" si="9"/>
        <v>Experienced</v>
      </c>
    </row>
    <row r="281" spans="1:21" x14ac:dyDescent="0.35">
      <c r="A281" t="s">
        <v>354</v>
      </c>
      <c r="B281" t="s">
        <v>91</v>
      </c>
      <c r="C281" t="s">
        <v>39</v>
      </c>
      <c r="D281" t="s">
        <v>59</v>
      </c>
      <c r="E281" t="s">
        <v>70</v>
      </c>
      <c r="F281">
        <v>9</v>
      </c>
      <c r="G281">
        <v>0.53</v>
      </c>
      <c r="H281">
        <v>0.51</v>
      </c>
      <c r="I281" t="s">
        <v>60</v>
      </c>
      <c r="J281">
        <v>181501</v>
      </c>
      <c r="K281" t="s">
        <v>27</v>
      </c>
      <c r="L281">
        <v>9</v>
      </c>
      <c r="M281">
        <v>59</v>
      </c>
      <c r="N281" t="s">
        <v>42</v>
      </c>
      <c r="O281" t="s">
        <v>27</v>
      </c>
      <c r="P281">
        <v>4.95</v>
      </c>
      <c r="Q281" t="s">
        <v>34</v>
      </c>
      <c r="R281">
        <v>4.96</v>
      </c>
      <c r="S281" t="s">
        <v>28</v>
      </c>
      <c r="T281" t="str">
        <f t="shared" si="8"/>
        <v>Moderate</v>
      </c>
      <c r="U281" t="str">
        <f t="shared" si="9"/>
        <v>Experienced</v>
      </c>
    </row>
    <row r="282" spans="1:21" x14ac:dyDescent="0.35">
      <c r="A282" t="s">
        <v>355</v>
      </c>
      <c r="B282" t="s">
        <v>73</v>
      </c>
      <c r="C282" t="s">
        <v>58</v>
      </c>
      <c r="D282" t="s">
        <v>80</v>
      </c>
      <c r="E282" t="s">
        <v>70</v>
      </c>
      <c r="F282">
        <v>3</v>
      </c>
      <c r="G282">
        <v>0.82</v>
      </c>
      <c r="H282">
        <v>0.25</v>
      </c>
      <c r="I282" t="s">
        <v>34</v>
      </c>
      <c r="J282">
        <v>173886</v>
      </c>
      <c r="K282" t="s">
        <v>25</v>
      </c>
      <c r="L282">
        <v>5</v>
      </c>
      <c r="M282">
        <v>43</v>
      </c>
      <c r="N282" t="s">
        <v>26</v>
      </c>
      <c r="O282" t="s">
        <v>27</v>
      </c>
      <c r="P282">
        <v>3.18</v>
      </c>
      <c r="Q282" t="s">
        <v>34</v>
      </c>
      <c r="R282">
        <v>3.85</v>
      </c>
      <c r="S282" t="s">
        <v>43</v>
      </c>
      <c r="T282" t="str">
        <f t="shared" si="8"/>
        <v>Very Low</v>
      </c>
      <c r="U282" t="str">
        <f t="shared" si="9"/>
        <v>Intermediate</v>
      </c>
    </row>
    <row r="283" spans="1:21" x14ac:dyDescent="0.35">
      <c r="A283" t="s">
        <v>356</v>
      </c>
      <c r="B283" t="s">
        <v>94</v>
      </c>
      <c r="C283" t="s">
        <v>82</v>
      </c>
      <c r="D283" t="s">
        <v>66</v>
      </c>
      <c r="E283" t="s">
        <v>33</v>
      </c>
      <c r="F283">
        <v>4</v>
      </c>
      <c r="G283">
        <v>0.55000000000000004</v>
      </c>
      <c r="H283">
        <v>0.87</v>
      </c>
      <c r="I283" t="s">
        <v>24</v>
      </c>
      <c r="J283">
        <v>124447</v>
      </c>
      <c r="K283" t="s">
        <v>25</v>
      </c>
      <c r="L283">
        <v>31</v>
      </c>
      <c r="M283">
        <v>30</v>
      </c>
      <c r="N283" t="s">
        <v>35</v>
      </c>
      <c r="O283" t="s">
        <v>27</v>
      </c>
      <c r="P283">
        <v>4.6500000000000004</v>
      </c>
      <c r="Q283" t="s">
        <v>34</v>
      </c>
      <c r="R283">
        <v>4.9000000000000004</v>
      </c>
      <c r="S283" t="s">
        <v>47</v>
      </c>
      <c r="T283" t="str">
        <f t="shared" si="8"/>
        <v>High</v>
      </c>
      <c r="U283" t="str">
        <f t="shared" si="9"/>
        <v>Intermediate</v>
      </c>
    </row>
    <row r="284" spans="1:21" x14ac:dyDescent="0.35">
      <c r="A284" t="s">
        <v>357</v>
      </c>
      <c r="B284" t="s">
        <v>77</v>
      </c>
      <c r="C284" t="s">
        <v>82</v>
      </c>
      <c r="D284" t="s">
        <v>49</v>
      </c>
      <c r="E284" t="s">
        <v>23</v>
      </c>
      <c r="F284">
        <v>17</v>
      </c>
      <c r="G284">
        <v>0.85</v>
      </c>
      <c r="H284">
        <v>0.75</v>
      </c>
      <c r="I284" t="s">
        <v>34</v>
      </c>
      <c r="J284">
        <v>141595</v>
      </c>
      <c r="K284" t="s">
        <v>42</v>
      </c>
      <c r="L284">
        <v>12</v>
      </c>
      <c r="M284">
        <v>37</v>
      </c>
      <c r="N284" t="s">
        <v>35</v>
      </c>
      <c r="O284" t="s">
        <v>36</v>
      </c>
      <c r="P284">
        <v>3.81</v>
      </c>
      <c r="Q284" t="s">
        <v>34</v>
      </c>
      <c r="R284">
        <v>4.3899999999999997</v>
      </c>
      <c r="S284" t="s">
        <v>47</v>
      </c>
      <c r="T284" t="str">
        <f t="shared" si="8"/>
        <v>Moderate</v>
      </c>
      <c r="U284" t="str">
        <f t="shared" si="9"/>
        <v>Expert</v>
      </c>
    </row>
    <row r="285" spans="1:21" x14ac:dyDescent="0.35">
      <c r="A285" t="s">
        <v>358</v>
      </c>
      <c r="B285" t="s">
        <v>89</v>
      </c>
      <c r="C285" t="s">
        <v>21</v>
      </c>
      <c r="D285" t="s">
        <v>32</v>
      </c>
      <c r="E285" t="s">
        <v>70</v>
      </c>
      <c r="F285">
        <v>14</v>
      </c>
      <c r="G285">
        <v>0.48</v>
      </c>
      <c r="H285">
        <v>0.49</v>
      </c>
      <c r="I285" t="s">
        <v>60</v>
      </c>
      <c r="J285">
        <v>182113</v>
      </c>
      <c r="K285" t="s">
        <v>25</v>
      </c>
      <c r="L285">
        <v>23</v>
      </c>
      <c r="M285">
        <v>58</v>
      </c>
      <c r="N285" t="s">
        <v>26</v>
      </c>
      <c r="O285" t="s">
        <v>25</v>
      </c>
      <c r="P285">
        <v>2.74</v>
      </c>
      <c r="Q285" t="s">
        <v>24</v>
      </c>
      <c r="R285">
        <v>3.74</v>
      </c>
      <c r="S285" t="s">
        <v>28</v>
      </c>
      <c r="T285" t="str">
        <f t="shared" si="8"/>
        <v>High</v>
      </c>
      <c r="U285" t="str">
        <f t="shared" si="9"/>
        <v>Experienced</v>
      </c>
    </row>
    <row r="286" spans="1:21" x14ac:dyDescent="0.35">
      <c r="A286" t="s">
        <v>359</v>
      </c>
      <c r="B286" t="s">
        <v>94</v>
      </c>
      <c r="C286" t="s">
        <v>74</v>
      </c>
      <c r="D286" t="s">
        <v>66</v>
      </c>
      <c r="E286" t="s">
        <v>70</v>
      </c>
      <c r="F286">
        <v>5</v>
      </c>
      <c r="G286">
        <v>0.51</v>
      </c>
      <c r="H286">
        <v>0.56999999999999995</v>
      </c>
      <c r="I286" t="s">
        <v>24</v>
      </c>
      <c r="J286">
        <v>116904</v>
      </c>
      <c r="K286" t="s">
        <v>27</v>
      </c>
      <c r="L286">
        <v>28</v>
      </c>
      <c r="M286">
        <v>53</v>
      </c>
      <c r="N286" t="s">
        <v>42</v>
      </c>
      <c r="O286" t="s">
        <v>27</v>
      </c>
      <c r="P286">
        <v>4.3600000000000003</v>
      </c>
      <c r="Q286" t="s">
        <v>34</v>
      </c>
      <c r="R286">
        <v>1.25</v>
      </c>
      <c r="S286" t="s">
        <v>43</v>
      </c>
      <c r="T286" t="str">
        <f t="shared" si="8"/>
        <v>High</v>
      </c>
      <c r="U286" t="str">
        <f t="shared" si="9"/>
        <v>Intermediate</v>
      </c>
    </row>
    <row r="287" spans="1:21" x14ac:dyDescent="0.35">
      <c r="A287" t="s">
        <v>360</v>
      </c>
      <c r="B287" t="s">
        <v>54</v>
      </c>
      <c r="C287" t="s">
        <v>31</v>
      </c>
      <c r="D287" t="s">
        <v>32</v>
      </c>
      <c r="E287" t="s">
        <v>70</v>
      </c>
      <c r="F287">
        <v>8</v>
      </c>
      <c r="G287">
        <v>0.49</v>
      </c>
      <c r="H287">
        <v>0.3</v>
      </c>
      <c r="I287" t="s">
        <v>34</v>
      </c>
      <c r="J287">
        <v>50148</v>
      </c>
      <c r="K287" t="s">
        <v>25</v>
      </c>
      <c r="L287">
        <v>37</v>
      </c>
      <c r="M287">
        <v>33</v>
      </c>
      <c r="N287" t="s">
        <v>26</v>
      </c>
      <c r="O287" t="s">
        <v>25</v>
      </c>
      <c r="P287">
        <v>4.7300000000000004</v>
      </c>
      <c r="Q287" t="s">
        <v>24</v>
      </c>
      <c r="R287">
        <v>3.64</v>
      </c>
      <c r="S287" t="s">
        <v>43</v>
      </c>
      <c r="T287" t="str">
        <f t="shared" si="8"/>
        <v>Moderate</v>
      </c>
      <c r="U287" t="str">
        <f t="shared" si="9"/>
        <v>Intermediate</v>
      </c>
    </row>
    <row r="288" spans="1:21" x14ac:dyDescent="0.35">
      <c r="A288" t="s">
        <v>361</v>
      </c>
      <c r="B288" t="s">
        <v>45</v>
      </c>
      <c r="C288" t="s">
        <v>82</v>
      </c>
      <c r="D288" t="s">
        <v>22</v>
      </c>
      <c r="E288" t="s">
        <v>33</v>
      </c>
      <c r="F288">
        <v>15</v>
      </c>
      <c r="G288">
        <v>0.77</v>
      </c>
      <c r="H288">
        <v>0.88</v>
      </c>
      <c r="I288" t="s">
        <v>34</v>
      </c>
      <c r="J288">
        <v>119875</v>
      </c>
      <c r="K288" t="s">
        <v>42</v>
      </c>
      <c r="L288">
        <v>5</v>
      </c>
      <c r="M288">
        <v>51</v>
      </c>
      <c r="N288" t="s">
        <v>42</v>
      </c>
      <c r="O288" t="s">
        <v>27</v>
      </c>
      <c r="P288">
        <v>3.91</v>
      </c>
      <c r="Q288" t="s">
        <v>24</v>
      </c>
      <c r="R288">
        <v>3.31</v>
      </c>
      <c r="S288" t="s">
        <v>43</v>
      </c>
      <c r="T288" t="str">
        <f t="shared" si="8"/>
        <v>High</v>
      </c>
      <c r="U288" t="str">
        <f t="shared" si="9"/>
        <v>Experienced</v>
      </c>
    </row>
    <row r="289" spans="1:21" x14ac:dyDescent="0.35">
      <c r="A289" t="s">
        <v>362</v>
      </c>
      <c r="B289" t="s">
        <v>89</v>
      </c>
      <c r="C289" t="s">
        <v>55</v>
      </c>
      <c r="D289" t="s">
        <v>59</v>
      </c>
      <c r="E289" t="s">
        <v>23</v>
      </c>
      <c r="F289">
        <v>21</v>
      </c>
      <c r="G289">
        <v>0.2</v>
      </c>
      <c r="H289">
        <v>0.52</v>
      </c>
      <c r="I289" t="s">
        <v>60</v>
      </c>
      <c r="J289">
        <v>109001</v>
      </c>
      <c r="K289" t="s">
        <v>42</v>
      </c>
      <c r="L289">
        <v>20</v>
      </c>
      <c r="M289">
        <v>38</v>
      </c>
      <c r="N289" t="s">
        <v>35</v>
      </c>
      <c r="O289" t="s">
        <v>27</v>
      </c>
      <c r="P289">
        <v>4.6100000000000003</v>
      </c>
      <c r="Q289" t="s">
        <v>24</v>
      </c>
      <c r="R289">
        <v>2.16</v>
      </c>
      <c r="S289" t="s">
        <v>43</v>
      </c>
      <c r="T289" t="str">
        <f t="shared" si="8"/>
        <v>High</v>
      </c>
      <c r="U289" t="str">
        <f t="shared" si="9"/>
        <v>Expert</v>
      </c>
    </row>
    <row r="290" spans="1:21" x14ac:dyDescent="0.35">
      <c r="A290" t="s">
        <v>363</v>
      </c>
      <c r="B290" t="s">
        <v>54</v>
      </c>
      <c r="C290" t="s">
        <v>74</v>
      </c>
      <c r="D290" t="s">
        <v>66</v>
      </c>
      <c r="E290" t="s">
        <v>70</v>
      </c>
      <c r="F290">
        <v>25</v>
      </c>
      <c r="G290">
        <v>0.37</v>
      </c>
      <c r="H290">
        <v>0.87</v>
      </c>
      <c r="I290" t="s">
        <v>24</v>
      </c>
      <c r="J290">
        <v>190035</v>
      </c>
      <c r="K290" t="s">
        <v>42</v>
      </c>
      <c r="L290">
        <v>31</v>
      </c>
      <c r="M290">
        <v>48</v>
      </c>
      <c r="N290" t="s">
        <v>42</v>
      </c>
      <c r="O290" t="s">
        <v>36</v>
      </c>
      <c r="P290">
        <v>4.32</v>
      </c>
      <c r="Q290" t="s">
        <v>24</v>
      </c>
      <c r="R290">
        <v>3.94</v>
      </c>
      <c r="S290" t="s">
        <v>28</v>
      </c>
      <c r="T290" t="str">
        <f t="shared" si="8"/>
        <v>Very High</v>
      </c>
      <c r="U290" t="str">
        <f t="shared" si="9"/>
        <v>Expert</v>
      </c>
    </row>
    <row r="291" spans="1:21" x14ac:dyDescent="0.35">
      <c r="A291" t="s">
        <v>364</v>
      </c>
      <c r="B291" t="s">
        <v>156</v>
      </c>
      <c r="C291" t="s">
        <v>52</v>
      </c>
      <c r="D291" t="s">
        <v>40</v>
      </c>
      <c r="E291" t="s">
        <v>41</v>
      </c>
      <c r="F291">
        <v>21</v>
      </c>
      <c r="G291">
        <v>0.54</v>
      </c>
      <c r="H291">
        <v>0.73</v>
      </c>
      <c r="I291" t="s">
        <v>34</v>
      </c>
      <c r="J291">
        <v>47813</v>
      </c>
      <c r="K291" t="s">
        <v>42</v>
      </c>
      <c r="L291">
        <v>4</v>
      </c>
      <c r="M291">
        <v>53</v>
      </c>
      <c r="N291" t="s">
        <v>42</v>
      </c>
      <c r="O291" t="s">
        <v>36</v>
      </c>
      <c r="P291">
        <v>2.58</v>
      </c>
      <c r="Q291" t="s">
        <v>24</v>
      </c>
      <c r="R291">
        <v>3.48</v>
      </c>
      <c r="S291" t="s">
        <v>47</v>
      </c>
      <c r="T291" t="str">
        <f t="shared" si="8"/>
        <v>High</v>
      </c>
      <c r="U291" t="str">
        <f t="shared" si="9"/>
        <v>Expert</v>
      </c>
    </row>
    <row r="292" spans="1:21" x14ac:dyDescent="0.35">
      <c r="A292" t="s">
        <v>365</v>
      </c>
      <c r="B292" t="s">
        <v>38</v>
      </c>
      <c r="C292" t="s">
        <v>82</v>
      </c>
      <c r="D292" t="s">
        <v>40</v>
      </c>
      <c r="E292" t="s">
        <v>33</v>
      </c>
      <c r="F292">
        <v>8</v>
      </c>
      <c r="G292">
        <v>0.59</v>
      </c>
      <c r="H292">
        <v>0.5</v>
      </c>
      <c r="I292" t="s">
        <v>34</v>
      </c>
      <c r="J292">
        <v>199844</v>
      </c>
      <c r="K292" t="s">
        <v>42</v>
      </c>
      <c r="L292">
        <v>32</v>
      </c>
      <c r="M292">
        <v>59</v>
      </c>
      <c r="N292" t="s">
        <v>35</v>
      </c>
      <c r="O292" t="s">
        <v>27</v>
      </c>
      <c r="P292">
        <v>3.36</v>
      </c>
      <c r="Q292" t="s">
        <v>34</v>
      </c>
      <c r="R292">
        <v>4.08</v>
      </c>
      <c r="S292" t="s">
        <v>28</v>
      </c>
      <c r="T292" t="str">
        <f t="shared" si="8"/>
        <v>Moderate</v>
      </c>
      <c r="U292" t="str">
        <f t="shared" si="9"/>
        <v>Intermediate</v>
      </c>
    </row>
    <row r="293" spans="1:21" x14ac:dyDescent="0.35">
      <c r="A293" t="s">
        <v>366</v>
      </c>
      <c r="B293" t="s">
        <v>54</v>
      </c>
      <c r="C293" t="s">
        <v>31</v>
      </c>
      <c r="D293" t="s">
        <v>32</v>
      </c>
      <c r="E293" t="s">
        <v>23</v>
      </c>
      <c r="F293">
        <v>2</v>
      </c>
      <c r="G293">
        <v>0.11</v>
      </c>
      <c r="H293">
        <v>0.51</v>
      </c>
      <c r="I293" t="s">
        <v>34</v>
      </c>
      <c r="J293">
        <v>45744</v>
      </c>
      <c r="K293" t="s">
        <v>25</v>
      </c>
      <c r="L293">
        <v>29</v>
      </c>
      <c r="M293">
        <v>42</v>
      </c>
      <c r="N293" t="s">
        <v>35</v>
      </c>
      <c r="O293" t="s">
        <v>27</v>
      </c>
      <c r="P293">
        <v>3.48</v>
      </c>
      <c r="Q293" t="s">
        <v>24</v>
      </c>
      <c r="R293">
        <v>3.16</v>
      </c>
      <c r="S293" t="s">
        <v>43</v>
      </c>
      <c r="T293" t="str">
        <f t="shared" si="8"/>
        <v>High</v>
      </c>
      <c r="U293" t="str">
        <f t="shared" si="9"/>
        <v>Beginner</v>
      </c>
    </row>
    <row r="294" spans="1:21" x14ac:dyDescent="0.35">
      <c r="A294" t="s">
        <v>367</v>
      </c>
      <c r="B294" t="s">
        <v>91</v>
      </c>
      <c r="C294" t="s">
        <v>58</v>
      </c>
      <c r="D294" t="s">
        <v>49</v>
      </c>
      <c r="E294" t="s">
        <v>33</v>
      </c>
      <c r="F294">
        <v>20</v>
      </c>
      <c r="G294">
        <v>0.08</v>
      </c>
      <c r="H294">
        <v>0.26</v>
      </c>
      <c r="I294" t="s">
        <v>60</v>
      </c>
      <c r="J294">
        <v>95692</v>
      </c>
      <c r="K294" t="s">
        <v>25</v>
      </c>
      <c r="L294">
        <v>-8</v>
      </c>
      <c r="M294">
        <v>51</v>
      </c>
      <c r="N294" t="s">
        <v>42</v>
      </c>
      <c r="O294" t="s">
        <v>36</v>
      </c>
      <c r="P294">
        <v>2.4500000000000002</v>
      </c>
      <c r="Q294" t="s">
        <v>34</v>
      </c>
      <c r="R294">
        <v>4.62</v>
      </c>
      <c r="S294" t="s">
        <v>28</v>
      </c>
      <c r="T294" t="str">
        <f t="shared" si="8"/>
        <v>High</v>
      </c>
      <c r="U294" t="str">
        <f t="shared" si="9"/>
        <v>Expert</v>
      </c>
    </row>
    <row r="295" spans="1:21" x14ac:dyDescent="0.35">
      <c r="A295" t="s">
        <v>368</v>
      </c>
      <c r="B295" t="s">
        <v>20</v>
      </c>
      <c r="C295" t="s">
        <v>39</v>
      </c>
      <c r="D295" t="s">
        <v>75</v>
      </c>
      <c r="E295" t="s">
        <v>23</v>
      </c>
      <c r="F295">
        <v>22</v>
      </c>
      <c r="G295">
        <v>0.44</v>
      </c>
      <c r="H295">
        <v>0.87</v>
      </c>
      <c r="I295" t="s">
        <v>34</v>
      </c>
      <c r="J295">
        <v>48376</v>
      </c>
      <c r="K295" t="s">
        <v>25</v>
      </c>
      <c r="L295">
        <v>26</v>
      </c>
      <c r="M295">
        <v>47</v>
      </c>
      <c r="N295" t="s">
        <v>42</v>
      </c>
      <c r="O295" t="s">
        <v>36</v>
      </c>
      <c r="P295">
        <v>4.05</v>
      </c>
      <c r="Q295" t="s">
        <v>34</v>
      </c>
      <c r="R295">
        <v>1.22</v>
      </c>
      <c r="S295" t="s">
        <v>28</v>
      </c>
      <c r="T295" t="str">
        <f t="shared" si="8"/>
        <v>High</v>
      </c>
      <c r="U295" t="str">
        <f t="shared" si="9"/>
        <v>Expert</v>
      </c>
    </row>
    <row r="296" spans="1:21" x14ac:dyDescent="0.35">
      <c r="A296" t="s">
        <v>369</v>
      </c>
      <c r="B296" t="s">
        <v>102</v>
      </c>
      <c r="C296" t="s">
        <v>82</v>
      </c>
      <c r="D296" t="s">
        <v>80</v>
      </c>
      <c r="E296" t="s">
        <v>41</v>
      </c>
      <c r="F296">
        <v>12</v>
      </c>
      <c r="G296">
        <v>0.81</v>
      </c>
      <c r="H296">
        <v>0.8</v>
      </c>
      <c r="I296" t="s">
        <v>60</v>
      </c>
      <c r="J296">
        <v>106010</v>
      </c>
      <c r="K296" t="s">
        <v>25</v>
      </c>
      <c r="L296">
        <v>9</v>
      </c>
      <c r="M296">
        <v>52</v>
      </c>
      <c r="N296" t="s">
        <v>42</v>
      </c>
      <c r="O296" t="s">
        <v>25</v>
      </c>
      <c r="P296">
        <v>3.89</v>
      </c>
      <c r="Q296" t="s">
        <v>34</v>
      </c>
      <c r="R296">
        <v>2.95</v>
      </c>
      <c r="S296" t="s">
        <v>28</v>
      </c>
      <c r="T296" t="str">
        <f t="shared" si="8"/>
        <v>Moderate</v>
      </c>
      <c r="U296" t="str">
        <f t="shared" si="9"/>
        <v>Experienced</v>
      </c>
    </row>
    <row r="297" spans="1:21" x14ac:dyDescent="0.35">
      <c r="A297" t="s">
        <v>370</v>
      </c>
      <c r="B297" t="s">
        <v>45</v>
      </c>
      <c r="C297" t="s">
        <v>55</v>
      </c>
      <c r="D297" t="s">
        <v>66</v>
      </c>
      <c r="E297" t="s">
        <v>23</v>
      </c>
      <c r="F297">
        <v>17</v>
      </c>
      <c r="G297">
        <v>0.95</v>
      </c>
      <c r="H297">
        <v>0.39</v>
      </c>
      <c r="I297" t="s">
        <v>34</v>
      </c>
      <c r="J297">
        <v>131913</v>
      </c>
      <c r="K297" t="s">
        <v>25</v>
      </c>
      <c r="L297">
        <v>-8</v>
      </c>
      <c r="M297">
        <v>40</v>
      </c>
      <c r="N297" t="s">
        <v>35</v>
      </c>
      <c r="O297" t="s">
        <v>36</v>
      </c>
      <c r="P297">
        <v>4.3600000000000003</v>
      </c>
      <c r="Q297" t="s">
        <v>24</v>
      </c>
      <c r="R297">
        <v>2.62</v>
      </c>
      <c r="S297" t="s">
        <v>47</v>
      </c>
      <c r="T297" t="str">
        <f t="shared" si="8"/>
        <v>Very Low</v>
      </c>
      <c r="U297" t="str">
        <f t="shared" si="9"/>
        <v>Expert</v>
      </c>
    </row>
    <row r="298" spans="1:21" x14ac:dyDescent="0.35">
      <c r="A298" t="s">
        <v>371</v>
      </c>
      <c r="B298" t="s">
        <v>89</v>
      </c>
      <c r="C298" t="s">
        <v>46</v>
      </c>
      <c r="D298" t="s">
        <v>75</v>
      </c>
      <c r="E298" t="s">
        <v>33</v>
      </c>
      <c r="F298">
        <v>22</v>
      </c>
      <c r="G298">
        <v>0.71</v>
      </c>
      <c r="H298">
        <v>0.59</v>
      </c>
      <c r="I298" t="s">
        <v>60</v>
      </c>
      <c r="J298">
        <v>34997</v>
      </c>
      <c r="K298" t="s">
        <v>25</v>
      </c>
      <c r="L298">
        <v>-10</v>
      </c>
      <c r="M298">
        <v>35</v>
      </c>
      <c r="N298" t="s">
        <v>26</v>
      </c>
      <c r="O298" t="s">
        <v>25</v>
      </c>
      <c r="P298">
        <v>4.71</v>
      </c>
      <c r="Q298" t="s">
        <v>24</v>
      </c>
      <c r="R298">
        <v>2.82</v>
      </c>
      <c r="S298" t="s">
        <v>47</v>
      </c>
      <c r="T298" t="str">
        <f t="shared" si="8"/>
        <v>Moderate</v>
      </c>
      <c r="U298" t="str">
        <f t="shared" si="9"/>
        <v>Expert</v>
      </c>
    </row>
    <row r="299" spans="1:21" x14ac:dyDescent="0.35">
      <c r="A299" t="s">
        <v>372</v>
      </c>
      <c r="B299" t="s">
        <v>102</v>
      </c>
      <c r="C299" t="s">
        <v>52</v>
      </c>
      <c r="D299" t="s">
        <v>63</v>
      </c>
      <c r="E299" t="s">
        <v>23</v>
      </c>
      <c r="F299">
        <v>10</v>
      </c>
      <c r="G299">
        <v>0.59</v>
      </c>
      <c r="H299">
        <v>0.69</v>
      </c>
      <c r="I299" t="s">
        <v>24</v>
      </c>
      <c r="J299">
        <v>46543</v>
      </c>
      <c r="K299" t="s">
        <v>27</v>
      </c>
      <c r="L299">
        <v>26</v>
      </c>
      <c r="M299">
        <v>47</v>
      </c>
      <c r="N299" t="s">
        <v>35</v>
      </c>
      <c r="O299" t="s">
        <v>36</v>
      </c>
      <c r="P299">
        <v>4.51</v>
      </c>
      <c r="Q299" t="s">
        <v>24</v>
      </c>
      <c r="R299">
        <v>4.0599999999999996</v>
      </c>
      <c r="S299" t="s">
        <v>28</v>
      </c>
      <c r="T299" t="str">
        <f t="shared" si="8"/>
        <v>High</v>
      </c>
      <c r="U299" t="str">
        <f t="shared" si="9"/>
        <v>Experienced</v>
      </c>
    </row>
    <row r="300" spans="1:21" x14ac:dyDescent="0.35">
      <c r="A300" t="s">
        <v>373</v>
      </c>
      <c r="B300" t="s">
        <v>147</v>
      </c>
      <c r="C300" t="s">
        <v>55</v>
      </c>
      <c r="D300" t="s">
        <v>32</v>
      </c>
      <c r="E300" t="s">
        <v>23</v>
      </c>
      <c r="F300">
        <v>7</v>
      </c>
      <c r="G300">
        <v>0.18</v>
      </c>
      <c r="H300">
        <v>0.53</v>
      </c>
      <c r="I300" t="s">
        <v>60</v>
      </c>
      <c r="J300">
        <v>212529</v>
      </c>
      <c r="K300" t="s">
        <v>25</v>
      </c>
      <c r="L300">
        <v>-2</v>
      </c>
      <c r="M300">
        <v>33</v>
      </c>
      <c r="N300" t="s">
        <v>26</v>
      </c>
      <c r="O300" t="s">
        <v>27</v>
      </c>
      <c r="P300">
        <v>3.13</v>
      </c>
      <c r="Q300" t="s">
        <v>24</v>
      </c>
      <c r="R300">
        <v>1.06</v>
      </c>
      <c r="S300" t="s">
        <v>43</v>
      </c>
      <c r="T300" t="str">
        <f t="shared" si="8"/>
        <v>High</v>
      </c>
      <c r="U300" t="str">
        <f t="shared" si="9"/>
        <v>Intermediate</v>
      </c>
    </row>
    <row r="301" spans="1:21" x14ac:dyDescent="0.35">
      <c r="A301" t="s">
        <v>374</v>
      </c>
      <c r="B301" t="s">
        <v>62</v>
      </c>
      <c r="C301" t="s">
        <v>52</v>
      </c>
      <c r="D301" t="s">
        <v>49</v>
      </c>
      <c r="E301" t="s">
        <v>33</v>
      </c>
      <c r="F301">
        <v>6</v>
      </c>
      <c r="G301">
        <v>0.88</v>
      </c>
      <c r="H301">
        <v>0.76</v>
      </c>
      <c r="I301" t="s">
        <v>24</v>
      </c>
      <c r="J301">
        <v>185642</v>
      </c>
      <c r="K301" t="s">
        <v>27</v>
      </c>
      <c r="L301">
        <v>7</v>
      </c>
      <c r="M301">
        <v>46</v>
      </c>
      <c r="N301" t="s">
        <v>42</v>
      </c>
      <c r="O301" t="s">
        <v>36</v>
      </c>
      <c r="P301">
        <v>2.72</v>
      </c>
      <c r="Q301" t="s">
        <v>24</v>
      </c>
      <c r="R301">
        <v>3.44</v>
      </c>
      <c r="S301" t="s">
        <v>47</v>
      </c>
      <c r="T301" t="str">
        <f t="shared" si="8"/>
        <v>Moderate</v>
      </c>
      <c r="U301" t="str">
        <f t="shared" si="9"/>
        <v>Intermediate</v>
      </c>
    </row>
    <row r="302" spans="1:21" x14ac:dyDescent="0.35">
      <c r="A302" t="s">
        <v>375</v>
      </c>
      <c r="B302" t="s">
        <v>68</v>
      </c>
      <c r="C302" t="s">
        <v>55</v>
      </c>
      <c r="D302" t="s">
        <v>40</v>
      </c>
      <c r="E302" t="s">
        <v>70</v>
      </c>
      <c r="F302">
        <v>24</v>
      </c>
      <c r="G302">
        <v>0.43</v>
      </c>
      <c r="H302">
        <v>0.64</v>
      </c>
      <c r="I302" t="s">
        <v>60</v>
      </c>
      <c r="J302">
        <v>80306</v>
      </c>
      <c r="K302" t="s">
        <v>27</v>
      </c>
      <c r="L302">
        <v>4</v>
      </c>
      <c r="M302">
        <v>44</v>
      </c>
      <c r="N302" t="s">
        <v>26</v>
      </c>
      <c r="O302" t="s">
        <v>27</v>
      </c>
      <c r="P302">
        <v>2.62</v>
      </c>
      <c r="Q302" t="s">
        <v>24</v>
      </c>
      <c r="R302">
        <v>1.77</v>
      </c>
      <c r="S302" t="s">
        <v>47</v>
      </c>
      <c r="T302" t="str">
        <f t="shared" si="8"/>
        <v>High</v>
      </c>
      <c r="U302" t="str">
        <f t="shared" si="9"/>
        <v>Expert</v>
      </c>
    </row>
    <row r="303" spans="1:21" x14ac:dyDescent="0.35">
      <c r="A303" t="s">
        <v>376</v>
      </c>
      <c r="B303" t="s">
        <v>54</v>
      </c>
      <c r="C303" t="s">
        <v>74</v>
      </c>
      <c r="D303" t="s">
        <v>22</v>
      </c>
      <c r="E303" t="s">
        <v>23</v>
      </c>
      <c r="F303">
        <v>1</v>
      </c>
      <c r="G303">
        <v>0.63</v>
      </c>
      <c r="H303">
        <v>0.43</v>
      </c>
      <c r="I303" t="s">
        <v>24</v>
      </c>
      <c r="J303">
        <v>143946</v>
      </c>
      <c r="K303" t="s">
        <v>27</v>
      </c>
      <c r="L303">
        <v>-7</v>
      </c>
      <c r="M303">
        <v>59</v>
      </c>
      <c r="N303" t="s">
        <v>26</v>
      </c>
      <c r="O303" t="s">
        <v>25</v>
      </c>
      <c r="P303">
        <v>2.4700000000000002</v>
      </c>
      <c r="Q303" t="s">
        <v>24</v>
      </c>
      <c r="R303">
        <v>2.94</v>
      </c>
      <c r="S303" t="s">
        <v>47</v>
      </c>
      <c r="T303" t="str">
        <f t="shared" si="8"/>
        <v>Moderate</v>
      </c>
      <c r="U303" t="str">
        <f t="shared" si="9"/>
        <v>Beginner</v>
      </c>
    </row>
    <row r="304" spans="1:21" x14ac:dyDescent="0.35">
      <c r="A304" t="s">
        <v>377</v>
      </c>
      <c r="B304" t="s">
        <v>57</v>
      </c>
      <c r="C304" t="s">
        <v>21</v>
      </c>
      <c r="D304" t="s">
        <v>63</v>
      </c>
      <c r="E304" t="s">
        <v>33</v>
      </c>
      <c r="F304">
        <v>3</v>
      </c>
      <c r="G304">
        <v>0.43</v>
      </c>
      <c r="H304">
        <v>0.79</v>
      </c>
      <c r="I304" t="s">
        <v>24</v>
      </c>
      <c r="J304">
        <v>115376</v>
      </c>
      <c r="K304" t="s">
        <v>27</v>
      </c>
      <c r="L304">
        <v>16</v>
      </c>
      <c r="M304">
        <v>57</v>
      </c>
      <c r="N304" t="s">
        <v>35</v>
      </c>
      <c r="O304" t="s">
        <v>36</v>
      </c>
      <c r="P304">
        <v>4.67</v>
      </c>
      <c r="Q304" t="s">
        <v>24</v>
      </c>
      <c r="R304">
        <v>2.88</v>
      </c>
      <c r="S304" t="s">
        <v>43</v>
      </c>
      <c r="T304" t="str">
        <f t="shared" si="8"/>
        <v>High</v>
      </c>
      <c r="U304" t="str">
        <f t="shared" si="9"/>
        <v>Intermediate</v>
      </c>
    </row>
    <row r="305" spans="1:21" x14ac:dyDescent="0.35">
      <c r="A305" t="s">
        <v>378</v>
      </c>
      <c r="B305" t="s">
        <v>147</v>
      </c>
      <c r="C305" t="s">
        <v>82</v>
      </c>
      <c r="D305" t="s">
        <v>49</v>
      </c>
      <c r="E305" t="s">
        <v>33</v>
      </c>
      <c r="F305">
        <v>20</v>
      </c>
      <c r="G305">
        <v>0.89</v>
      </c>
      <c r="H305">
        <v>0.56000000000000005</v>
      </c>
      <c r="I305" t="s">
        <v>34</v>
      </c>
      <c r="J305">
        <v>131536</v>
      </c>
      <c r="K305" t="s">
        <v>42</v>
      </c>
      <c r="L305">
        <v>2</v>
      </c>
      <c r="M305">
        <v>40</v>
      </c>
      <c r="N305" t="s">
        <v>35</v>
      </c>
      <c r="O305" t="s">
        <v>25</v>
      </c>
      <c r="P305">
        <v>4.08</v>
      </c>
      <c r="Q305" t="s">
        <v>24</v>
      </c>
      <c r="R305">
        <v>2.12</v>
      </c>
      <c r="S305" t="s">
        <v>47</v>
      </c>
      <c r="T305" t="str">
        <f t="shared" si="8"/>
        <v>Moderate</v>
      </c>
      <c r="U305" t="str">
        <f t="shared" si="9"/>
        <v>Expert</v>
      </c>
    </row>
    <row r="306" spans="1:21" x14ac:dyDescent="0.35">
      <c r="A306" t="s">
        <v>379</v>
      </c>
      <c r="B306" t="s">
        <v>77</v>
      </c>
      <c r="C306" t="s">
        <v>82</v>
      </c>
      <c r="D306" t="s">
        <v>22</v>
      </c>
      <c r="E306" t="s">
        <v>33</v>
      </c>
      <c r="F306">
        <v>2</v>
      </c>
      <c r="G306">
        <v>0.85</v>
      </c>
      <c r="H306">
        <v>0.68</v>
      </c>
      <c r="I306" t="s">
        <v>34</v>
      </c>
      <c r="J306">
        <v>197247</v>
      </c>
      <c r="K306" t="s">
        <v>27</v>
      </c>
      <c r="L306">
        <v>21</v>
      </c>
      <c r="M306">
        <v>57</v>
      </c>
      <c r="N306" t="s">
        <v>35</v>
      </c>
      <c r="O306" t="s">
        <v>27</v>
      </c>
      <c r="P306">
        <v>3.42</v>
      </c>
      <c r="Q306" t="s">
        <v>34</v>
      </c>
      <c r="R306">
        <v>2.12</v>
      </c>
      <c r="S306" t="s">
        <v>28</v>
      </c>
      <c r="T306" t="str">
        <f t="shared" si="8"/>
        <v>Moderate</v>
      </c>
      <c r="U306" t="str">
        <f t="shared" si="9"/>
        <v>Beginner</v>
      </c>
    </row>
    <row r="307" spans="1:21" x14ac:dyDescent="0.35">
      <c r="A307" t="s">
        <v>380</v>
      </c>
      <c r="B307" t="s">
        <v>38</v>
      </c>
      <c r="C307" t="s">
        <v>58</v>
      </c>
      <c r="D307" t="s">
        <v>69</v>
      </c>
      <c r="E307" t="s">
        <v>41</v>
      </c>
      <c r="F307">
        <v>1</v>
      </c>
      <c r="G307">
        <v>0.85</v>
      </c>
      <c r="H307">
        <v>0.67</v>
      </c>
      <c r="I307" t="s">
        <v>34</v>
      </c>
      <c r="J307">
        <v>69051</v>
      </c>
      <c r="K307" t="s">
        <v>27</v>
      </c>
      <c r="L307">
        <v>39</v>
      </c>
      <c r="M307">
        <v>46</v>
      </c>
      <c r="N307" t="s">
        <v>35</v>
      </c>
      <c r="O307" t="s">
        <v>36</v>
      </c>
      <c r="P307">
        <v>3.59</v>
      </c>
      <c r="Q307" t="s">
        <v>34</v>
      </c>
      <c r="R307">
        <v>4.24</v>
      </c>
      <c r="S307" t="s">
        <v>28</v>
      </c>
      <c r="T307" t="str">
        <f t="shared" si="8"/>
        <v>Moderate</v>
      </c>
      <c r="U307" t="str">
        <f t="shared" si="9"/>
        <v>Beginner</v>
      </c>
    </row>
    <row r="308" spans="1:21" x14ac:dyDescent="0.35">
      <c r="A308" t="s">
        <v>381</v>
      </c>
      <c r="B308" t="s">
        <v>94</v>
      </c>
      <c r="C308" t="s">
        <v>39</v>
      </c>
      <c r="D308" t="s">
        <v>32</v>
      </c>
      <c r="E308" t="s">
        <v>70</v>
      </c>
      <c r="F308">
        <v>9</v>
      </c>
      <c r="G308">
        <v>0.12</v>
      </c>
      <c r="H308">
        <v>0.79</v>
      </c>
      <c r="I308" t="s">
        <v>24</v>
      </c>
      <c r="J308">
        <v>211707</v>
      </c>
      <c r="K308" t="s">
        <v>27</v>
      </c>
      <c r="L308">
        <v>-5</v>
      </c>
      <c r="M308">
        <v>30</v>
      </c>
      <c r="N308" t="s">
        <v>42</v>
      </c>
      <c r="O308" t="s">
        <v>27</v>
      </c>
      <c r="P308">
        <v>2.91</v>
      </c>
      <c r="Q308" t="s">
        <v>34</v>
      </c>
      <c r="R308">
        <v>4.43</v>
      </c>
      <c r="S308" t="s">
        <v>28</v>
      </c>
      <c r="T308" t="str">
        <f t="shared" si="8"/>
        <v>Very High</v>
      </c>
      <c r="U308" t="str">
        <f t="shared" si="9"/>
        <v>Experienced</v>
      </c>
    </row>
    <row r="309" spans="1:21" x14ac:dyDescent="0.35">
      <c r="A309" t="s">
        <v>382</v>
      </c>
      <c r="B309" t="s">
        <v>91</v>
      </c>
      <c r="C309" t="s">
        <v>58</v>
      </c>
      <c r="D309" t="s">
        <v>40</v>
      </c>
      <c r="E309" t="s">
        <v>23</v>
      </c>
      <c r="F309">
        <v>22</v>
      </c>
      <c r="G309">
        <v>0.84</v>
      </c>
      <c r="H309">
        <v>0.52</v>
      </c>
      <c r="I309" t="s">
        <v>34</v>
      </c>
      <c r="J309">
        <v>127103</v>
      </c>
      <c r="K309" t="s">
        <v>27</v>
      </c>
      <c r="L309">
        <v>-8</v>
      </c>
      <c r="M309">
        <v>39</v>
      </c>
      <c r="N309" t="s">
        <v>42</v>
      </c>
      <c r="O309" t="s">
        <v>36</v>
      </c>
      <c r="P309">
        <v>4.09</v>
      </c>
      <c r="Q309" t="s">
        <v>24</v>
      </c>
      <c r="R309">
        <v>4.1500000000000004</v>
      </c>
      <c r="S309" t="s">
        <v>47</v>
      </c>
      <c r="T309" t="str">
        <f t="shared" si="8"/>
        <v>Moderate</v>
      </c>
      <c r="U309" t="str">
        <f t="shared" si="9"/>
        <v>Expert</v>
      </c>
    </row>
    <row r="310" spans="1:21" x14ac:dyDescent="0.35">
      <c r="A310" t="s">
        <v>383</v>
      </c>
      <c r="B310" t="s">
        <v>73</v>
      </c>
      <c r="C310" t="s">
        <v>74</v>
      </c>
      <c r="D310" t="s">
        <v>63</v>
      </c>
      <c r="E310" t="s">
        <v>33</v>
      </c>
      <c r="F310">
        <v>20</v>
      </c>
      <c r="G310">
        <v>0.15</v>
      </c>
      <c r="H310">
        <v>0.49</v>
      </c>
      <c r="I310" t="s">
        <v>60</v>
      </c>
      <c r="J310">
        <v>192302</v>
      </c>
      <c r="K310" t="s">
        <v>27</v>
      </c>
      <c r="L310">
        <v>-6</v>
      </c>
      <c r="M310">
        <v>47</v>
      </c>
      <c r="N310" t="s">
        <v>26</v>
      </c>
      <c r="O310" t="s">
        <v>25</v>
      </c>
      <c r="P310">
        <v>2.42</v>
      </c>
      <c r="Q310" t="s">
        <v>34</v>
      </c>
      <c r="R310">
        <v>1.95</v>
      </c>
      <c r="S310" t="s">
        <v>47</v>
      </c>
      <c r="T310" t="str">
        <f t="shared" si="8"/>
        <v>High</v>
      </c>
      <c r="U310" t="str">
        <f t="shared" si="9"/>
        <v>Expert</v>
      </c>
    </row>
    <row r="311" spans="1:21" x14ac:dyDescent="0.35">
      <c r="A311" t="s">
        <v>384</v>
      </c>
      <c r="B311" t="s">
        <v>147</v>
      </c>
      <c r="C311" t="s">
        <v>74</v>
      </c>
      <c r="D311" t="s">
        <v>49</v>
      </c>
      <c r="E311" t="s">
        <v>23</v>
      </c>
      <c r="F311">
        <v>16</v>
      </c>
      <c r="G311">
        <v>0.66</v>
      </c>
      <c r="H311">
        <v>0.42</v>
      </c>
      <c r="I311" t="s">
        <v>60</v>
      </c>
      <c r="J311">
        <v>46611</v>
      </c>
      <c r="K311" t="s">
        <v>25</v>
      </c>
      <c r="L311">
        <v>20</v>
      </c>
      <c r="M311">
        <v>52</v>
      </c>
      <c r="N311" t="s">
        <v>26</v>
      </c>
      <c r="O311" t="s">
        <v>27</v>
      </c>
      <c r="P311">
        <v>4.4800000000000004</v>
      </c>
      <c r="Q311" t="s">
        <v>34</v>
      </c>
      <c r="R311">
        <v>2.81</v>
      </c>
      <c r="S311" t="s">
        <v>43</v>
      </c>
      <c r="T311" t="str">
        <f t="shared" si="8"/>
        <v>Moderate</v>
      </c>
      <c r="U311" t="str">
        <f t="shared" si="9"/>
        <v>Expert</v>
      </c>
    </row>
    <row r="312" spans="1:21" x14ac:dyDescent="0.35">
      <c r="A312" t="s">
        <v>385</v>
      </c>
      <c r="B312" t="s">
        <v>45</v>
      </c>
      <c r="C312" t="s">
        <v>21</v>
      </c>
      <c r="D312" t="s">
        <v>32</v>
      </c>
      <c r="E312" t="s">
        <v>70</v>
      </c>
      <c r="F312">
        <v>3</v>
      </c>
      <c r="G312">
        <v>0.12</v>
      </c>
      <c r="H312">
        <v>0.91</v>
      </c>
      <c r="I312" t="s">
        <v>60</v>
      </c>
      <c r="J312">
        <v>105595</v>
      </c>
      <c r="K312" t="s">
        <v>25</v>
      </c>
      <c r="L312">
        <v>21</v>
      </c>
      <c r="M312">
        <v>34</v>
      </c>
      <c r="N312" t="s">
        <v>35</v>
      </c>
      <c r="O312" t="s">
        <v>27</v>
      </c>
      <c r="P312">
        <v>4.8600000000000003</v>
      </c>
      <c r="Q312" t="s">
        <v>24</v>
      </c>
      <c r="R312">
        <v>2.17</v>
      </c>
      <c r="S312" t="s">
        <v>28</v>
      </c>
      <c r="T312" t="str">
        <f t="shared" si="8"/>
        <v>Very High</v>
      </c>
      <c r="U312" t="str">
        <f t="shared" si="9"/>
        <v>Intermediate</v>
      </c>
    </row>
    <row r="313" spans="1:21" x14ac:dyDescent="0.35">
      <c r="A313" t="s">
        <v>386</v>
      </c>
      <c r="B313" t="s">
        <v>45</v>
      </c>
      <c r="C313" t="s">
        <v>58</v>
      </c>
      <c r="D313" t="s">
        <v>59</v>
      </c>
      <c r="E313" t="s">
        <v>70</v>
      </c>
      <c r="F313">
        <v>13</v>
      </c>
      <c r="G313">
        <v>0.71</v>
      </c>
      <c r="H313">
        <v>0.22</v>
      </c>
      <c r="I313" t="s">
        <v>60</v>
      </c>
      <c r="J313">
        <v>79561</v>
      </c>
      <c r="K313" t="s">
        <v>42</v>
      </c>
      <c r="L313">
        <v>31</v>
      </c>
      <c r="M313">
        <v>50</v>
      </c>
      <c r="N313" t="s">
        <v>42</v>
      </c>
      <c r="O313" t="s">
        <v>36</v>
      </c>
      <c r="P313">
        <v>3.78</v>
      </c>
      <c r="Q313" t="s">
        <v>34</v>
      </c>
      <c r="R313">
        <v>2.83</v>
      </c>
      <c r="S313" t="s">
        <v>28</v>
      </c>
      <c r="T313" t="str">
        <f t="shared" si="8"/>
        <v>Very Low</v>
      </c>
      <c r="U313" t="str">
        <f t="shared" si="9"/>
        <v>Experienced</v>
      </c>
    </row>
    <row r="314" spans="1:21" x14ac:dyDescent="0.35">
      <c r="A314" t="s">
        <v>387</v>
      </c>
      <c r="B314" t="s">
        <v>106</v>
      </c>
      <c r="C314" t="s">
        <v>74</v>
      </c>
      <c r="D314" t="s">
        <v>66</v>
      </c>
      <c r="E314" t="s">
        <v>23</v>
      </c>
      <c r="F314">
        <v>5</v>
      </c>
      <c r="G314">
        <v>0.49</v>
      </c>
      <c r="H314">
        <v>0.97</v>
      </c>
      <c r="I314" t="s">
        <v>60</v>
      </c>
      <c r="J314">
        <v>42404</v>
      </c>
      <c r="K314" t="s">
        <v>25</v>
      </c>
      <c r="L314">
        <v>35</v>
      </c>
      <c r="M314">
        <v>47</v>
      </c>
      <c r="N314" t="s">
        <v>42</v>
      </c>
      <c r="O314" t="s">
        <v>25</v>
      </c>
      <c r="P314">
        <v>4.92</v>
      </c>
      <c r="Q314" t="s">
        <v>24</v>
      </c>
      <c r="R314">
        <v>1.65</v>
      </c>
      <c r="S314" t="s">
        <v>47</v>
      </c>
      <c r="T314" t="str">
        <f t="shared" si="8"/>
        <v>High</v>
      </c>
      <c r="U314" t="str">
        <f t="shared" si="9"/>
        <v>Intermediate</v>
      </c>
    </row>
    <row r="315" spans="1:21" x14ac:dyDescent="0.35">
      <c r="A315" t="s">
        <v>388</v>
      </c>
      <c r="B315" t="s">
        <v>73</v>
      </c>
      <c r="C315" t="s">
        <v>74</v>
      </c>
      <c r="D315" t="s">
        <v>63</v>
      </c>
      <c r="E315" t="s">
        <v>33</v>
      </c>
      <c r="F315">
        <v>11</v>
      </c>
      <c r="G315">
        <v>0.28000000000000003</v>
      </c>
      <c r="H315">
        <v>0.35</v>
      </c>
      <c r="I315" t="s">
        <v>34</v>
      </c>
      <c r="J315">
        <v>177452</v>
      </c>
      <c r="K315" t="s">
        <v>27</v>
      </c>
      <c r="L315">
        <v>0</v>
      </c>
      <c r="M315">
        <v>47</v>
      </c>
      <c r="N315" t="s">
        <v>42</v>
      </c>
      <c r="O315" t="s">
        <v>25</v>
      </c>
      <c r="P315">
        <v>4.76</v>
      </c>
      <c r="Q315" t="s">
        <v>34</v>
      </c>
      <c r="R315">
        <v>4.72</v>
      </c>
      <c r="S315" t="s">
        <v>47</v>
      </c>
      <c r="T315" t="str">
        <f t="shared" si="8"/>
        <v>High</v>
      </c>
      <c r="U315" t="str">
        <f t="shared" si="9"/>
        <v>Experienced</v>
      </c>
    </row>
    <row r="316" spans="1:21" x14ac:dyDescent="0.35">
      <c r="A316" t="s">
        <v>389</v>
      </c>
      <c r="B316" t="s">
        <v>62</v>
      </c>
      <c r="C316" t="s">
        <v>46</v>
      </c>
      <c r="D316" t="s">
        <v>32</v>
      </c>
      <c r="E316" t="s">
        <v>23</v>
      </c>
      <c r="F316">
        <v>10</v>
      </c>
      <c r="G316">
        <v>0.35</v>
      </c>
      <c r="H316">
        <v>0.76</v>
      </c>
      <c r="I316" t="s">
        <v>60</v>
      </c>
      <c r="J316">
        <v>154232</v>
      </c>
      <c r="K316" t="s">
        <v>25</v>
      </c>
      <c r="L316">
        <v>36</v>
      </c>
      <c r="M316">
        <v>45</v>
      </c>
      <c r="N316" t="s">
        <v>35</v>
      </c>
      <c r="O316" t="s">
        <v>25</v>
      </c>
      <c r="P316">
        <v>4.03</v>
      </c>
      <c r="Q316" t="s">
        <v>24</v>
      </c>
      <c r="R316">
        <v>2.23</v>
      </c>
      <c r="S316" t="s">
        <v>43</v>
      </c>
      <c r="T316" t="str">
        <f t="shared" si="8"/>
        <v>Very High</v>
      </c>
      <c r="U316" t="str">
        <f t="shared" si="9"/>
        <v>Experienced</v>
      </c>
    </row>
    <row r="317" spans="1:21" x14ac:dyDescent="0.35">
      <c r="A317" t="s">
        <v>390</v>
      </c>
      <c r="B317" t="s">
        <v>65</v>
      </c>
      <c r="C317" t="s">
        <v>39</v>
      </c>
      <c r="D317" t="s">
        <v>66</v>
      </c>
      <c r="E317" t="s">
        <v>33</v>
      </c>
      <c r="F317">
        <v>0</v>
      </c>
      <c r="G317">
        <v>0.1</v>
      </c>
      <c r="H317">
        <v>0.71</v>
      </c>
      <c r="I317" t="s">
        <v>24</v>
      </c>
      <c r="J317">
        <v>182943</v>
      </c>
      <c r="K317" t="s">
        <v>27</v>
      </c>
      <c r="L317">
        <v>44</v>
      </c>
      <c r="M317">
        <v>44</v>
      </c>
      <c r="N317" t="s">
        <v>26</v>
      </c>
      <c r="O317" t="s">
        <v>27</v>
      </c>
      <c r="P317">
        <v>4.87</v>
      </c>
      <c r="Q317" t="s">
        <v>34</v>
      </c>
      <c r="R317">
        <v>1.78</v>
      </c>
      <c r="S317" t="s">
        <v>43</v>
      </c>
      <c r="T317" t="str">
        <f t="shared" si="8"/>
        <v>Very High</v>
      </c>
      <c r="U317" t="str">
        <f t="shared" si="9"/>
        <v>Beginner</v>
      </c>
    </row>
    <row r="318" spans="1:21" x14ac:dyDescent="0.35">
      <c r="A318" t="s">
        <v>391</v>
      </c>
      <c r="B318" t="s">
        <v>147</v>
      </c>
      <c r="C318" t="s">
        <v>58</v>
      </c>
      <c r="D318" t="s">
        <v>66</v>
      </c>
      <c r="E318" t="s">
        <v>70</v>
      </c>
      <c r="F318">
        <v>11</v>
      </c>
      <c r="G318">
        <v>0.69</v>
      </c>
      <c r="H318">
        <v>0.54</v>
      </c>
      <c r="I318" t="s">
        <v>34</v>
      </c>
      <c r="J318">
        <v>131217</v>
      </c>
      <c r="K318" t="s">
        <v>42</v>
      </c>
      <c r="L318">
        <v>45</v>
      </c>
      <c r="M318">
        <v>47</v>
      </c>
      <c r="N318" t="s">
        <v>35</v>
      </c>
      <c r="O318" t="s">
        <v>25</v>
      </c>
      <c r="P318">
        <v>4.18</v>
      </c>
      <c r="Q318" t="s">
        <v>34</v>
      </c>
      <c r="R318">
        <v>3.97</v>
      </c>
      <c r="S318" t="s">
        <v>43</v>
      </c>
      <c r="T318" t="str">
        <f t="shared" si="8"/>
        <v>Moderate</v>
      </c>
      <c r="U318" t="str">
        <f t="shared" si="9"/>
        <v>Experienced</v>
      </c>
    </row>
    <row r="319" spans="1:21" x14ac:dyDescent="0.35">
      <c r="A319" t="s">
        <v>392</v>
      </c>
      <c r="B319" t="s">
        <v>102</v>
      </c>
      <c r="C319" t="s">
        <v>31</v>
      </c>
      <c r="D319" t="s">
        <v>49</v>
      </c>
      <c r="E319" t="s">
        <v>70</v>
      </c>
      <c r="F319">
        <v>2</v>
      </c>
      <c r="G319">
        <v>0.8</v>
      </c>
      <c r="H319">
        <v>0.67</v>
      </c>
      <c r="I319" t="s">
        <v>60</v>
      </c>
      <c r="J319">
        <v>67654</v>
      </c>
      <c r="K319" t="s">
        <v>42</v>
      </c>
      <c r="L319">
        <v>-5</v>
      </c>
      <c r="M319">
        <v>30</v>
      </c>
      <c r="N319" t="s">
        <v>42</v>
      </c>
      <c r="O319" t="s">
        <v>27</v>
      </c>
      <c r="P319">
        <v>4.74</v>
      </c>
      <c r="Q319" t="s">
        <v>34</v>
      </c>
      <c r="R319">
        <v>1.7</v>
      </c>
      <c r="S319" t="s">
        <v>43</v>
      </c>
      <c r="T319" t="str">
        <f t="shared" si="8"/>
        <v>Moderate</v>
      </c>
      <c r="U319" t="str">
        <f t="shared" si="9"/>
        <v>Beginner</v>
      </c>
    </row>
    <row r="320" spans="1:21" x14ac:dyDescent="0.35">
      <c r="A320" t="s">
        <v>393</v>
      </c>
      <c r="B320" t="s">
        <v>38</v>
      </c>
      <c r="C320" t="s">
        <v>31</v>
      </c>
      <c r="D320" t="s">
        <v>49</v>
      </c>
      <c r="E320" t="s">
        <v>23</v>
      </c>
      <c r="F320">
        <v>7</v>
      </c>
      <c r="G320">
        <v>0.55000000000000004</v>
      </c>
      <c r="H320">
        <v>0.23</v>
      </c>
      <c r="I320" t="s">
        <v>24</v>
      </c>
      <c r="J320">
        <v>109165</v>
      </c>
      <c r="K320" t="s">
        <v>25</v>
      </c>
      <c r="L320">
        <v>-1</v>
      </c>
      <c r="M320">
        <v>38</v>
      </c>
      <c r="N320" t="s">
        <v>42</v>
      </c>
      <c r="O320" t="s">
        <v>27</v>
      </c>
      <c r="P320">
        <v>4.5</v>
      </c>
      <c r="Q320" t="s">
        <v>34</v>
      </c>
      <c r="R320">
        <v>1.5</v>
      </c>
      <c r="S320" t="s">
        <v>28</v>
      </c>
      <c r="T320" t="str">
        <f t="shared" si="8"/>
        <v>Moderate</v>
      </c>
      <c r="U320" t="str">
        <f t="shared" si="9"/>
        <v>Intermediate</v>
      </c>
    </row>
    <row r="321" spans="1:21" x14ac:dyDescent="0.35">
      <c r="A321" t="s">
        <v>394</v>
      </c>
      <c r="B321" t="s">
        <v>89</v>
      </c>
      <c r="C321" t="s">
        <v>21</v>
      </c>
      <c r="D321" t="s">
        <v>22</v>
      </c>
      <c r="E321" t="s">
        <v>70</v>
      </c>
      <c r="F321">
        <v>18</v>
      </c>
      <c r="G321">
        <v>0.63</v>
      </c>
      <c r="H321">
        <v>0.22</v>
      </c>
      <c r="I321" t="s">
        <v>34</v>
      </c>
      <c r="J321">
        <v>102670</v>
      </c>
      <c r="K321" t="s">
        <v>27</v>
      </c>
      <c r="L321">
        <v>17</v>
      </c>
      <c r="M321">
        <v>57</v>
      </c>
      <c r="N321" t="s">
        <v>42</v>
      </c>
      <c r="O321" t="s">
        <v>27</v>
      </c>
      <c r="P321">
        <v>4.0599999999999996</v>
      </c>
      <c r="Q321" t="s">
        <v>24</v>
      </c>
      <c r="R321">
        <v>2.4900000000000002</v>
      </c>
      <c r="S321" t="s">
        <v>28</v>
      </c>
      <c r="T321" t="str">
        <f t="shared" si="8"/>
        <v>Moderate</v>
      </c>
      <c r="U321" t="str">
        <f t="shared" si="9"/>
        <v>Expert</v>
      </c>
    </row>
    <row r="322" spans="1:21" x14ac:dyDescent="0.35">
      <c r="A322" t="s">
        <v>395</v>
      </c>
      <c r="B322" t="s">
        <v>106</v>
      </c>
      <c r="C322" t="s">
        <v>74</v>
      </c>
      <c r="D322" t="s">
        <v>32</v>
      </c>
      <c r="E322" t="s">
        <v>41</v>
      </c>
      <c r="F322">
        <v>8</v>
      </c>
      <c r="G322">
        <v>0.18</v>
      </c>
      <c r="H322">
        <v>0.56000000000000005</v>
      </c>
      <c r="I322" t="s">
        <v>34</v>
      </c>
      <c r="J322">
        <v>211739</v>
      </c>
      <c r="K322" t="s">
        <v>42</v>
      </c>
      <c r="L322">
        <v>30</v>
      </c>
      <c r="M322">
        <v>59</v>
      </c>
      <c r="N322" t="s">
        <v>42</v>
      </c>
      <c r="O322" t="s">
        <v>25</v>
      </c>
      <c r="P322">
        <v>2.87</v>
      </c>
      <c r="Q322" t="s">
        <v>24</v>
      </c>
      <c r="R322">
        <v>3.06</v>
      </c>
      <c r="S322" t="s">
        <v>28</v>
      </c>
      <c r="T322" t="str">
        <f t="shared" si="8"/>
        <v>High</v>
      </c>
      <c r="U322" t="str">
        <f t="shared" si="9"/>
        <v>Intermediate</v>
      </c>
    </row>
    <row r="323" spans="1:21" x14ac:dyDescent="0.35">
      <c r="A323" t="s">
        <v>396</v>
      </c>
      <c r="B323" t="s">
        <v>54</v>
      </c>
      <c r="C323" t="s">
        <v>74</v>
      </c>
      <c r="D323" t="s">
        <v>40</v>
      </c>
      <c r="E323" t="s">
        <v>70</v>
      </c>
      <c r="F323">
        <v>4</v>
      </c>
      <c r="G323">
        <v>0.33</v>
      </c>
      <c r="H323">
        <v>0.87</v>
      </c>
      <c r="I323" t="s">
        <v>24</v>
      </c>
      <c r="J323">
        <v>108924</v>
      </c>
      <c r="K323" t="s">
        <v>25</v>
      </c>
      <c r="L323">
        <v>23</v>
      </c>
      <c r="M323">
        <v>39</v>
      </c>
      <c r="N323" t="s">
        <v>42</v>
      </c>
      <c r="O323" t="s">
        <v>36</v>
      </c>
      <c r="P323">
        <v>3.24</v>
      </c>
      <c r="Q323" t="s">
        <v>24</v>
      </c>
      <c r="R323">
        <v>1.41</v>
      </c>
      <c r="S323" t="s">
        <v>47</v>
      </c>
      <c r="T323" t="str">
        <f t="shared" ref="T323:T386" si="10">IF(AND(G323&lt;0.4,H323&gt;=0.7),"Very High",
IF(AND(G323&gt;=0.7,H323&lt;0.5),"Very Low",
IF(G323&lt;H323,"High","Moderate")))</f>
        <v>Very High</v>
      </c>
      <c r="U323" t="str">
        <f t="shared" ref="U323:U386" si="11">_xlfn.IFS(F323&lt;=2,"Beginner",F323&lt;=8,"Intermediate",F323&lt;=15,"Experienced",F323&lt;=25,"Expert")</f>
        <v>Intermediate</v>
      </c>
    </row>
    <row r="324" spans="1:21" x14ac:dyDescent="0.35">
      <c r="A324" t="s">
        <v>397</v>
      </c>
      <c r="B324" t="s">
        <v>156</v>
      </c>
      <c r="C324" t="s">
        <v>107</v>
      </c>
      <c r="D324" t="s">
        <v>63</v>
      </c>
      <c r="E324" t="s">
        <v>70</v>
      </c>
      <c r="F324">
        <v>22</v>
      </c>
      <c r="G324">
        <v>0.46</v>
      </c>
      <c r="H324">
        <v>0.26</v>
      </c>
      <c r="I324" t="s">
        <v>34</v>
      </c>
      <c r="J324">
        <v>64401</v>
      </c>
      <c r="K324" t="s">
        <v>25</v>
      </c>
      <c r="L324">
        <v>42</v>
      </c>
      <c r="M324">
        <v>44</v>
      </c>
      <c r="N324" t="s">
        <v>26</v>
      </c>
      <c r="O324" t="s">
        <v>27</v>
      </c>
      <c r="P324">
        <v>4.29</v>
      </c>
      <c r="Q324" t="s">
        <v>34</v>
      </c>
      <c r="R324">
        <v>1.69</v>
      </c>
      <c r="S324" t="s">
        <v>43</v>
      </c>
      <c r="T324" t="str">
        <f t="shared" si="10"/>
        <v>Moderate</v>
      </c>
      <c r="U324" t="str">
        <f t="shared" si="11"/>
        <v>Expert</v>
      </c>
    </row>
    <row r="325" spans="1:21" x14ac:dyDescent="0.35">
      <c r="A325" t="s">
        <v>398</v>
      </c>
      <c r="B325" t="s">
        <v>62</v>
      </c>
      <c r="C325" t="s">
        <v>82</v>
      </c>
      <c r="D325" t="s">
        <v>59</v>
      </c>
      <c r="E325" t="s">
        <v>33</v>
      </c>
      <c r="F325">
        <v>2</v>
      </c>
      <c r="G325">
        <v>0.82</v>
      </c>
      <c r="H325">
        <v>0.31</v>
      </c>
      <c r="I325" t="s">
        <v>34</v>
      </c>
      <c r="J325">
        <v>89395</v>
      </c>
      <c r="K325" t="s">
        <v>27</v>
      </c>
      <c r="L325">
        <v>38</v>
      </c>
      <c r="M325">
        <v>55</v>
      </c>
      <c r="N325" t="s">
        <v>35</v>
      </c>
      <c r="O325" t="s">
        <v>25</v>
      </c>
      <c r="P325">
        <v>2.06</v>
      </c>
      <c r="Q325" t="s">
        <v>34</v>
      </c>
      <c r="R325">
        <v>4.03</v>
      </c>
      <c r="S325" t="s">
        <v>47</v>
      </c>
      <c r="T325" t="str">
        <f t="shared" si="10"/>
        <v>Very Low</v>
      </c>
      <c r="U325" t="str">
        <f t="shared" si="11"/>
        <v>Beginner</v>
      </c>
    </row>
    <row r="326" spans="1:21" x14ac:dyDescent="0.35">
      <c r="A326" t="s">
        <v>399</v>
      </c>
      <c r="B326" t="s">
        <v>62</v>
      </c>
      <c r="C326" t="s">
        <v>58</v>
      </c>
      <c r="D326" t="s">
        <v>40</v>
      </c>
      <c r="E326" t="s">
        <v>41</v>
      </c>
      <c r="F326">
        <v>19</v>
      </c>
      <c r="G326">
        <v>0.16</v>
      </c>
      <c r="H326">
        <v>0.4</v>
      </c>
      <c r="I326" t="s">
        <v>24</v>
      </c>
      <c r="J326">
        <v>47366</v>
      </c>
      <c r="K326" t="s">
        <v>27</v>
      </c>
      <c r="L326">
        <v>2</v>
      </c>
      <c r="M326">
        <v>35</v>
      </c>
      <c r="N326" t="s">
        <v>26</v>
      </c>
      <c r="O326" t="s">
        <v>36</v>
      </c>
      <c r="P326">
        <v>2.09</v>
      </c>
      <c r="Q326" t="s">
        <v>24</v>
      </c>
      <c r="R326">
        <v>4.38</v>
      </c>
      <c r="S326" t="s">
        <v>43</v>
      </c>
      <c r="T326" t="str">
        <f t="shared" si="10"/>
        <v>High</v>
      </c>
      <c r="U326" t="str">
        <f t="shared" si="11"/>
        <v>Expert</v>
      </c>
    </row>
    <row r="327" spans="1:21" x14ac:dyDescent="0.35">
      <c r="A327" t="s">
        <v>400</v>
      </c>
      <c r="B327" t="s">
        <v>65</v>
      </c>
      <c r="C327" t="s">
        <v>39</v>
      </c>
      <c r="D327" t="s">
        <v>59</v>
      </c>
      <c r="E327" t="s">
        <v>70</v>
      </c>
      <c r="F327">
        <v>5</v>
      </c>
      <c r="G327">
        <v>0.11</v>
      </c>
      <c r="H327">
        <v>0.85</v>
      </c>
      <c r="I327" t="s">
        <v>60</v>
      </c>
      <c r="J327">
        <v>33665</v>
      </c>
      <c r="K327" t="s">
        <v>25</v>
      </c>
      <c r="L327">
        <v>36</v>
      </c>
      <c r="M327">
        <v>33</v>
      </c>
      <c r="N327" t="s">
        <v>35</v>
      </c>
      <c r="O327" t="s">
        <v>27</v>
      </c>
      <c r="P327">
        <v>4.55</v>
      </c>
      <c r="Q327" t="s">
        <v>34</v>
      </c>
      <c r="R327">
        <v>2.4700000000000002</v>
      </c>
      <c r="S327" t="s">
        <v>28</v>
      </c>
      <c r="T327" t="str">
        <f t="shared" si="10"/>
        <v>Very High</v>
      </c>
      <c r="U327" t="str">
        <f t="shared" si="11"/>
        <v>Intermediate</v>
      </c>
    </row>
    <row r="328" spans="1:21" x14ac:dyDescent="0.35">
      <c r="A328" t="s">
        <v>401</v>
      </c>
      <c r="B328" t="s">
        <v>65</v>
      </c>
      <c r="C328" t="s">
        <v>39</v>
      </c>
      <c r="D328" t="s">
        <v>69</v>
      </c>
      <c r="E328" t="s">
        <v>41</v>
      </c>
      <c r="F328">
        <v>24</v>
      </c>
      <c r="G328">
        <v>0.37</v>
      </c>
      <c r="H328">
        <v>0.5</v>
      </c>
      <c r="I328" t="s">
        <v>34</v>
      </c>
      <c r="J328">
        <v>86170</v>
      </c>
      <c r="K328" t="s">
        <v>25</v>
      </c>
      <c r="L328">
        <v>19</v>
      </c>
      <c r="M328">
        <v>33</v>
      </c>
      <c r="N328" t="s">
        <v>26</v>
      </c>
      <c r="O328" t="s">
        <v>25</v>
      </c>
      <c r="P328">
        <v>3.49</v>
      </c>
      <c r="Q328" t="s">
        <v>34</v>
      </c>
      <c r="R328">
        <v>3.82</v>
      </c>
      <c r="S328" t="s">
        <v>28</v>
      </c>
      <c r="T328" t="str">
        <f t="shared" si="10"/>
        <v>High</v>
      </c>
      <c r="U328" t="str">
        <f t="shared" si="11"/>
        <v>Expert</v>
      </c>
    </row>
    <row r="329" spans="1:21" x14ac:dyDescent="0.35">
      <c r="A329" t="s">
        <v>402</v>
      </c>
      <c r="B329" t="s">
        <v>62</v>
      </c>
      <c r="C329" t="s">
        <v>107</v>
      </c>
      <c r="D329" t="s">
        <v>59</v>
      </c>
      <c r="E329" t="s">
        <v>23</v>
      </c>
      <c r="F329">
        <v>9</v>
      </c>
      <c r="G329">
        <v>0.15</v>
      </c>
      <c r="H329">
        <v>0.42</v>
      </c>
      <c r="I329" t="s">
        <v>34</v>
      </c>
      <c r="J329">
        <v>187388</v>
      </c>
      <c r="K329" t="s">
        <v>25</v>
      </c>
      <c r="L329">
        <v>44</v>
      </c>
      <c r="M329">
        <v>32</v>
      </c>
      <c r="N329" t="s">
        <v>42</v>
      </c>
      <c r="O329" t="s">
        <v>27</v>
      </c>
      <c r="P329">
        <v>3.1</v>
      </c>
      <c r="Q329" t="s">
        <v>24</v>
      </c>
      <c r="R329">
        <v>4.99</v>
      </c>
      <c r="S329" t="s">
        <v>43</v>
      </c>
      <c r="T329" t="str">
        <f t="shared" si="10"/>
        <v>High</v>
      </c>
      <c r="U329" t="str">
        <f t="shared" si="11"/>
        <v>Experienced</v>
      </c>
    </row>
    <row r="330" spans="1:21" x14ac:dyDescent="0.35">
      <c r="A330" t="s">
        <v>403</v>
      </c>
      <c r="B330" t="s">
        <v>38</v>
      </c>
      <c r="C330" t="s">
        <v>21</v>
      </c>
      <c r="D330" t="s">
        <v>32</v>
      </c>
      <c r="E330" t="s">
        <v>41</v>
      </c>
      <c r="F330">
        <v>11</v>
      </c>
      <c r="G330">
        <v>0.16</v>
      </c>
      <c r="H330">
        <v>0.51</v>
      </c>
      <c r="I330" t="s">
        <v>24</v>
      </c>
      <c r="J330">
        <v>212199</v>
      </c>
      <c r="K330" t="s">
        <v>42</v>
      </c>
      <c r="L330">
        <v>2</v>
      </c>
      <c r="M330">
        <v>49</v>
      </c>
      <c r="N330" t="s">
        <v>42</v>
      </c>
      <c r="O330" t="s">
        <v>25</v>
      </c>
      <c r="P330">
        <v>2.7</v>
      </c>
      <c r="Q330" t="s">
        <v>34</v>
      </c>
      <c r="R330">
        <v>3.9</v>
      </c>
      <c r="S330" t="s">
        <v>43</v>
      </c>
      <c r="T330" t="str">
        <f t="shared" si="10"/>
        <v>High</v>
      </c>
      <c r="U330" t="str">
        <f t="shared" si="11"/>
        <v>Experienced</v>
      </c>
    </row>
    <row r="331" spans="1:21" x14ac:dyDescent="0.35">
      <c r="A331" t="s">
        <v>404</v>
      </c>
      <c r="B331" t="s">
        <v>54</v>
      </c>
      <c r="C331" t="s">
        <v>82</v>
      </c>
      <c r="D331" t="s">
        <v>49</v>
      </c>
      <c r="E331" t="s">
        <v>41</v>
      </c>
      <c r="F331">
        <v>3</v>
      </c>
      <c r="G331">
        <v>0.91</v>
      </c>
      <c r="H331">
        <v>0.98</v>
      </c>
      <c r="I331" t="s">
        <v>34</v>
      </c>
      <c r="J331">
        <v>164064</v>
      </c>
      <c r="K331" t="s">
        <v>42</v>
      </c>
      <c r="L331">
        <v>21</v>
      </c>
      <c r="M331">
        <v>37</v>
      </c>
      <c r="N331" t="s">
        <v>26</v>
      </c>
      <c r="O331" t="s">
        <v>25</v>
      </c>
      <c r="P331">
        <v>2.09</v>
      </c>
      <c r="Q331" t="s">
        <v>24</v>
      </c>
      <c r="R331">
        <v>4.32</v>
      </c>
      <c r="S331" t="s">
        <v>43</v>
      </c>
      <c r="T331" t="str">
        <f t="shared" si="10"/>
        <v>High</v>
      </c>
      <c r="U331" t="str">
        <f t="shared" si="11"/>
        <v>Intermediate</v>
      </c>
    </row>
    <row r="332" spans="1:21" x14ac:dyDescent="0.35">
      <c r="A332" t="s">
        <v>405</v>
      </c>
      <c r="B332" t="s">
        <v>45</v>
      </c>
      <c r="C332" t="s">
        <v>55</v>
      </c>
      <c r="D332" t="s">
        <v>49</v>
      </c>
      <c r="E332" t="s">
        <v>23</v>
      </c>
      <c r="F332">
        <v>6</v>
      </c>
      <c r="G332">
        <v>0.19</v>
      </c>
      <c r="H332">
        <v>0.69</v>
      </c>
      <c r="I332" t="s">
        <v>34</v>
      </c>
      <c r="J332">
        <v>55253</v>
      </c>
      <c r="K332" t="s">
        <v>27</v>
      </c>
      <c r="L332">
        <v>21</v>
      </c>
      <c r="M332">
        <v>45</v>
      </c>
      <c r="N332" t="s">
        <v>26</v>
      </c>
      <c r="O332" t="s">
        <v>36</v>
      </c>
      <c r="P332">
        <v>3.63</v>
      </c>
      <c r="Q332" t="s">
        <v>24</v>
      </c>
      <c r="R332">
        <v>4.8099999999999996</v>
      </c>
      <c r="S332" t="s">
        <v>47</v>
      </c>
      <c r="T332" t="str">
        <f t="shared" si="10"/>
        <v>High</v>
      </c>
      <c r="U332" t="str">
        <f t="shared" si="11"/>
        <v>Intermediate</v>
      </c>
    </row>
    <row r="333" spans="1:21" x14ac:dyDescent="0.35">
      <c r="A333" t="s">
        <v>406</v>
      </c>
      <c r="B333" t="s">
        <v>20</v>
      </c>
      <c r="C333" t="s">
        <v>31</v>
      </c>
      <c r="D333" t="s">
        <v>32</v>
      </c>
      <c r="E333" t="s">
        <v>23</v>
      </c>
      <c r="F333">
        <v>13</v>
      </c>
      <c r="G333">
        <v>0.45</v>
      </c>
      <c r="H333">
        <v>0.23</v>
      </c>
      <c r="I333" t="s">
        <v>24</v>
      </c>
      <c r="J333">
        <v>76365</v>
      </c>
      <c r="K333" t="s">
        <v>42</v>
      </c>
      <c r="L333">
        <v>35</v>
      </c>
      <c r="M333">
        <v>42</v>
      </c>
      <c r="N333" t="s">
        <v>42</v>
      </c>
      <c r="O333" t="s">
        <v>25</v>
      </c>
      <c r="P333">
        <v>3.71</v>
      </c>
      <c r="Q333" t="s">
        <v>34</v>
      </c>
      <c r="R333">
        <v>3.64</v>
      </c>
      <c r="S333" t="s">
        <v>28</v>
      </c>
      <c r="T333" t="str">
        <f t="shared" si="10"/>
        <v>Moderate</v>
      </c>
      <c r="U333" t="str">
        <f t="shared" si="11"/>
        <v>Experienced</v>
      </c>
    </row>
    <row r="334" spans="1:21" x14ac:dyDescent="0.35">
      <c r="A334" t="s">
        <v>407</v>
      </c>
      <c r="B334" t="s">
        <v>147</v>
      </c>
      <c r="C334" t="s">
        <v>31</v>
      </c>
      <c r="D334" t="s">
        <v>63</v>
      </c>
      <c r="E334" t="s">
        <v>41</v>
      </c>
      <c r="F334">
        <v>0</v>
      </c>
      <c r="G334">
        <v>0.57999999999999996</v>
      </c>
      <c r="H334">
        <v>0.5</v>
      </c>
      <c r="I334" t="s">
        <v>60</v>
      </c>
      <c r="J334">
        <v>207337</v>
      </c>
      <c r="K334" t="s">
        <v>25</v>
      </c>
      <c r="L334">
        <v>-2</v>
      </c>
      <c r="M334">
        <v>56</v>
      </c>
      <c r="N334" t="s">
        <v>42</v>
      </c>
      <c r="O334" t="s">
        <v>36</v>
      </c>
      <c r="P334">
        <v>4.43</v>
      </c>
      <c r="Q334" t="s">
        <v>24</v>
      </c>
      <c r="R334">
        <v>4.0599999999999996</v>
      </c>
      <c r="S334" t="s">
        <v>28</v>
      </c>
      <c r="T334" t="str">
        <f t="shared" si="10"/>
        <v>Moderate</v>
      </c>
      <c r="U334" t="str">
        <f t="shared" si="11"/>
        <v>Beginner</v>
      </c>
    </row>
    <row r="335" spans="1:21" x14ac:dyDescent="0.35">
      <c r="A335" t="s">
        <v>408</v>
      </c>
      <c r="B335" t="s">
        <v>57</v>
      </c>
      <c r="C335" t="s">
        <v>39</v>
      </c>
      <c r="D335" t="s">
        <v>66</v>
      </c>
      <c r="E335" t="s">
        <v>41</v>
      </c>
      <c r="F335">
        <v>22</v>
      </c>
      <c r="G335">
        <v>0.42</v>
      </c>
      <c r="H335">
        <v>0.24</v>
      </c>
      <c r="I335" t="s">
        <v>24</v>
      </c>
      <c r="J335">
        <v>94023</v>
      </c>
      <c r="K335" t="s">
        <v>42</v>
      </c>
      <c r="L335">
        <v>-3</v>
      </c>
      <c r="M335">
        <v>40</v>
      </c>
      <c r="N335" t="s">
        <v>35</v>
      </c>
      <c r="O335" t="s">
        <v>25</v>
      </c>
      <c r="P335">
        <v>3.62</v>
      </c>
      <c r="Q335" t="s">
        <v>24</v>
      </c>
      <c r="R335">
        <v>2.84</v>
      </c>
      <c r="S335" t="s">
        <v>43</v>
      </c>
      <c r="T335" t="str">
        <f t="shared" si="10"/>
        <v>Moderate</v>
      </c>
      <c r="U335" t="str">
        <f t="shared" si="11"/>
        <v>Expert</v>
      </c>
    </row>
    <row r="336" spans="1:21" x14ac:dyDescent="0.35">
      <c r="A336" t="s">
        <v>409</v>
      </c>
      <c r="B336" t="s">
        <v>68</v>
      </c>
      <c r="C336" t="s">
        <v>107</v>
      </c>
      <c r="D336" t="s">
        <v>40</v>
      </c>
      <c r="E336" t="s">
        <v>33</v>
      </c>
      <c r="F336">
        <v>10</v>
      </c>
      <c r="G336">
        <v>0.39</v>
      </c>
      <c r="H336">
        <v>0.51</v>
      </c>
      <c r="I336" t="s">
        <v>34</v>
      </c>
      <c r="J336">
        <v>180087</v>
      </c>
      <c r="K336" t="s">
        <v>27</v>
      </c>
      <c r="L336">
        <v>41</v>
      </c>
      <c r="M336">
        <v>54</v>
      </c>
      <c r="N336" t="s">
        <v>26</v>
      </c>
      <c r="O336" t="s">
        <v>36</v>
      </c>
      <c r="P336">
        <v>2.5</v>
      </c>
      <c r="Q336" t="s">
        <v>34</v>
      </c>
      <c r="R336">
        <v>2.4500000000000002</v>
      </c>
      <c r="S336" t="s">
        <v>43</v>
      </c>
      <c r="T336" t="str">
        <f t="shared" si="10"/>
        <v>High</v>
      </c>
      <c r="U336" t="str">
        <f t="shared" si="11"/>
        <v>Experienced</v>
      </c>
    </row>
    <row r="337" spans="1:21" x14ac:dyDescent="0.35">
      <c r="A337" t="s">
        <v>410</v>
      </c>
      <c r="B337" t="s">
        <v>96</v>
      </c>
      <c r="C337" t="s">
        <v>39</v>
      </c>
      <c r="D337" t="s">
        <v>22</v>
      </c>
      <c r="E337" t="s">
        <v>41</v>
      </c>
      <c r="F337">
        <v>22</v>
      </c>
      <c r="G337">
        <v>0.28999999999999998</v>
      </c>
      <c r="H337">
        <v>0.43</v>
      </c>
      <c r="I337" t="s">
        <v>60</v>
      </c>
      <c r="J337">
        <v>180345</v>
      </c>
      <c r="K337" t="s">
        <v>25</v>
      </c>
      <c r="L337">
        <v>27</v>
      </c>
      <c r="M337">
        <v>40</v>
      </c>
      <c r="N337" t="s">
        <v>42</v>
      </c>
      <c r="O337" t="s">
        <v>25</v>
      </c>
      <c r="P337">
        <v>3.7</v>
      </c>
      <c r="Q337" t="s">
        <v>34</v>
      </c>
      <c r="R337">
        <v>2.71</v>
      </c>
      <c r="S337" t="s">
        <v>43</v>
      </c>
      <c r="T337" t="str">
        <f t="shared" si="10"/>
        <v>High</v>
      </c>
      <c r="U337" t="str">
        <f t="shared" si="11"/>
        <v>Expert</v>
      </c>
    </row>
    <row r="338" spans="1:21" x14ac:dyDescent="0.35">
      <c r="A338" t="s">
        <v>411</v>
      </c>
      <c r="B338" t="s">
        <v>94</v>
      </c>
      <c r="C338" t="s">
        <v>52</v>
      </c>
      <c r="D338" t="s">
        <v>66</v>
      </c>
      <c r="E338" t="s">
        <v>23</v>
      </c>
      <c r="F338">
        <v>21</v>
      </c>
      <c r="G338">
        <v>0.44</v>
      </c>
      <c r="H338">
        <v>0.63</v>
      </c>
      <c r="I338" t="s">
        <v>60</v>
      </c>
      <c r="J338">
        <v>82448</v>
      </c>
      <c r="K338" t="s">
        <v>25</v>
      </c>
      <c r="L338">
        <v>-9</v>
      </c>
      <c r="M338">
        <v>50</v>
      </c>
      <c r="N338" t="s">
        <v>26</v>
      </c>
      <c r="O338" t="s">
        <v>27</v>
      </c>
      <c r="P338">
        <v>4.59</v>
      </c>
      <c r="Q338" t="s">
        <v>34</v>
      </c>
      <c r="R338">
        <v>1.85</v>
      </c>
      <c r="S338" t="s">
        <v>28</v>
      </c>
      <c r="T338" t="str">
        <f t="shared" si="10"/>
        <v>High</v>
      </c>
      <c r="U338" t="str">
        <f t="shared" si="11"/>
        <v>Expert</v>
      </c>
    </row>
    <row r="339" spans="1:21" x14ac:dyDescent="0.35">
      <c r="A339" t="s">
        <v>412</v>
      </c>
      <c r="B339" t="s">
        <v>62</v>
      </c>
      <c r="C339" t="s">
        <v>52</v>
      </c>
      <c r="D339" t="s">
        <v>69</v>
      </c>
      <c r="E339" t="s">
        <v>70</v>
      </c>
      <c r="F339">
        <v>2</v>
      </c>
      <c r="G339">
        <v>0.47</v>
      </c>
      <c r="H339">
        <v>0.39</v>
      </c>
      <c r="I339" t="s">
        <v>60</v>
      </c>
      <c r="J339">
        <v>209649</v>
      </c>
      <c r="K339" t="s">
        <v>25</v>
      </c>
      <c r="L339">
        <v>44</v>
      </c>
      <c r="M339">
        <v>43</v>
      </c>
      <c r="N339" t="s">
        <v>42</v>
      </c>
      <c r="O339" t="s">
        <v>36</v>
      </c>
      <c r="P339">
        <v>3.94</v>
      </c>
      <c r="Q339" t="s">
        <v>34</v>
      </c>
      <c r="R339">
        <v>3.75</v>
      </c>
      <c r="S339" t="s">
        <v>47</v>
      </c>
      <c r="T339" t="str">
        <f t="shared" si="10"/>
        <v>Moderate</v>
      </c>
      <c r="U339" t="str">
        <f t="shared" si="11"/>
        <v>Beginner</v>
      </c>
    </row>
    <row r="340" spans="1:21" x14ac:dyDescent="0.35">
      <c r="A340" t="s">
        <v>413</v>
      </c>
      <c r="B340" t="s">
        <v>20</v>
      </c>
      <c r="C340" t="s">
        <v>52</v>
      </c>
      <c r="D340" t="s">
        <v>69</v>
      </c>
      <c r="E340" t="s">
        <v>41</v>
      </c>
      <c r="F340">
        <v>6</v>
      </c>
      <c r="G340">
        <v>0.77</v>
      </c>
      <c r="H340">
        <v>0.45</v>
      </c>
      <c r="I340" t="s">
        <v>24</v>
      </c>
      <c r="J340">
        <v>157240</v>
      </c>
      <c r="K340" t="s">
        <v>42</v>
      </c>
      <c r="L340">
        <v>-2</v>
      </c>
      <c r="M340">
        <v>30</v>
      </c>
      <c r="N340" t="s">
        <v>42</v>
      </c>
      <c r="O340" t="s">
        <v>36</v>
      </c>
      <c r="P340">
        <v>3.98</v>
      </c>
      <c r="Q340" t="s">
        <v>24</v>
      </c>
      <c r="R340">
        <v>3.58</v>
      </c>
      <c r="S340" t="s">
        <v>47</v>
      </c>
      <c r="T340" t="str">
        <f t="shared" si="10"/>
        <v>Very Low</v>
      </c>
      <c r="U340" t="str">
        <f t="shared" si="11"/>
        <v>Intermediate</v>
      </c>
    </row>
    <row r="341" spans="1:21" x14ac:dyDescent="0.35">
      <c r="A341" t="s">
        <v>414</v>
      </c>
      <c r="B341" t="s">
        <v>147</v>
      </c>
      <c r="C341" t="s">
        <v>21</v>
      </c>
      <c r="D341" t="s">
        <v>69</v>
      </c>
      <c r="E341" t="s">
        <v>33</v>
      </c>
      <c r="F341">
        <v>7</v>
      </c>
      <c r="G341">
        <v>0.83</v>
      </c>
      <c r="H341">
        <v>0.91</v>
      </c>
      <c r="I341" t="s">
        <v>24</v>
      </c>
      <c r="J341">
        <v>136694</v>
      </c>
      <c r="K341" t="s">
        <v>27</v>
      </c>
      <c r="L341">
        <v>37</v>
      </c>
      <c r="M341">
        <v>46</v>
      </c>
      <c r="N341" t="s">
        <v>35</v>
      </c>
      <c r="O341" t="s">
        <v>27</v>
      </c>
      <c r="P341">
        <v>3.99</v>
      </c>
      <c r="Q341" t="s">
        <v>34</v>
      </c>
      <c r="R341">
        <v>2.99</v>
      </c>
      <c r="S341" t="s">
        <v>47</v>
      </c>
      <c r="T341" t="str">
        <f t="shared" si="10"/>
        <v>High</v>
      </c>
      <c r="U341" t="str">
        <f t="shared" si="11"/>
        <v>Intermediate</v>
      </c>
    </row>
    <row r="342" spans="1:21" x14ac:dyDescent="0.35">
      <c r="A342" t="s">
        <v>415</v>
      </c>
      <c r="B342" t="s">
        <v>94</v>
      </c>
      <c r="C342" t="s">
        <v>39</v>
      </c>
      <c r="D342" t="s">
        <v>32</v>
      </c>
      <c r="E342" t="s">
        <v>41</v>
      </c>
      <c r="F342">
        <v>5</v>
      </c>
      <c r="G342">
        <v>0.57999999999999996</v>
      </c>
      <c r="H342">
        <v>0.51</v>
      </c>
      <c r="I342" t="s">
        <v>24</v>
      </c>
      <c r="J342">
        <v>91849</v>
      </c>
      <c r="K342" t="s">
        <v>42</v>
      </c>
      <c r="L342">
        <v>18</v>
      </c>
      <c r="M342">
        <v>43</v>
      </c>
      <c r="N342" t="s">
        <v>42</v>
      </c>
      <c r="O342" t="s">
        <v>27</v>
      </c>
      <c r="P342">
        <v>2.17</v>
      </c>
      <c r="Q342" t="s">
        <v>34</v>
      </c>
      <c r="R342">
        <v>3.8</v>
      </c>
      <c r="S342" t="s">
        <v>47</v>
      </c>
      <c r="T342" t="str">
        <f t="shared" si="10"/>
        <v>Moderate</v>
      </c>
      <c r="U342" t="str">
        <f t="shared" si="11"/>
        <v>Intermediate</v>
      </c>
    </row>
    <row r="343" spans="1:21" x14ac:dyDescent="0.35">
      <c r="A343" t="s">
        <v>416</v>
      </c>
      <c r="B343" t="s">
        <v>147</v>
      </c>
      <c r="C343" t="s">
        <v>107</v>
      </c>
      <c r="D343" t="s">
        <v>63</v>
      </c>
      <c r="E343" t="s">
        <v>70</v>
      </c>
      <c r="F343">
        <v>0</v>
      </c>
      <c r="G343">
        <v>0.92</v>
      </c>
      <c r="H343">
        <v>0.89</v>
      </c>
      <c r="I343" t="s">
        <v>60</v>
      </c>
      <c r="J343">
        <v>67987</v>
      </c>
      <c r="K343" t="s">
        <v>27</v>
      </c>
      <c r="L343">
        <v>-8</v>
      </c>
      <c r="M343">
        <v>56</v>
      </c>
      <c r="N343" t="s">
        <v>26</v>
      </c>
      <c r="O343" t="s">
        <v>27</v>
      </c>
      <c r="P343">
        <v>4.4000000000000004</v>
      </c>
      <c r="Q343" t="s">
        <v>24</v>
      </c>
      <c r="R343">
        <v>3.76</v>
      </c>
      <c r="S343" t="s">
        <v>28</v>
      </c>
      <c r="T343" t="str">
        <f t="shared" si="10"/>
        <v>Moderate</v>
      </c>
      <c r="U343" t="str">
        <f t="shared" si="11"/>
        <v>Beginner</v>
      </c>
    </row>
    <row r="344" spans="1:21" x14ac:dyDescent="0.35">
      <c r="A344" t="s">
        <v>417</v>
      </c>
      <c r="B344" t="s">
        <v>68</v>
      </c>
      <c r="C344" t="s">
        <v>55</v>
      </c>
      <c r="D344" t="s">
        <v>59</v>
      </c>
      <c r="E344" t="s">
        <v>23</v>
      </c>
      <c r="F344">
        <v>12</v>
      </c>
      <c r="G344">
        <v>0.91</v>
      </c>
      <c r="H344">
        <v>0.49</v>
      </c>
      <c r="I344" t="s">
        <v>24</v>
      </c>
      <c r="J344">
        <v>209633</v>
      </c>
      <c r="K344" t="s">
        <v>42</v>
      </c>
      <c r="L344">
        <v>6</v>
      </c>
      <c r="M344">
        <v>39</v>
      </c>
      <c r="N344" t="s">
        <v>35</v>
      </c>
      <c r="O344" t="s">
        <v>25</v>
      </c>
      <c r="P344">
        <v>2.89</v>
      </c>
      <c r="Q344" t="s">
        <v>24</v>
      </c>
      <c r="R344">
        <v>4.66</v>
      </c>
      <c r="S344" t="s">
        <v>28</v>
      </c>
      <c r="T344" t="str">
        <f t="shared" si="10"/>
        <v>Very Low</v>
      </c>
      <c r="U344" t="str">
        <f t="shared" si="11"/>
        <v>Experienced</v>
      </c>
    </row>
    <row r="345" spans="1:21" x14ac:dyDescent="0.35">
      <c r="A345" t="s">
        <v>418</v>
      </c>
      <c r="B345" t="s">
        <v>94</v>
      </c>
      <c r="C345" t="s">
        <v>74</v>
      </c>
      <c r="D345" t="s">
        <v>69</v>
      </c>
      <c r="E345" t="s">
        <v>41</v>
      </c>
      <c r="F345">
        <v>5</v>
      </c>
      <c r="G345">
        <v>0.79</v>
      </c>
      <c r="H345">
        <v>0.94</v>
      </c>
      <c r="I345" t="s">
        <v>60</v>
      </c>
      <c r="J345">
        <v>153493</v>
      </c>
      <c r="K345" t="s">
        <v>42</v>
      </c>
      <c r="L345">
        <v>22</v>
      </c>
      <c r="M345">
        <v>32</v>
      </c>
      <c r="N345" t="s">
        <v>42</v>
      </c>
      <c r="O345" t="s">
        <v>36</v>
      </c>
      <c r="P345">
        <v>3.81</v>
      </c>
      <c r="Q345" t="s">
        <v>34</v>
      </c>
      <c r="R345">
        <v>2.81</v>
      </c>
      <c r="S345" t="s">
        <v>47</v>
      </c>
      <c r="T345" t="str">
        <f t="shared" si="10"/>
        <v>High</v>
      </c>
      <c r="U345" t="str">
        <f t="shared" si="11"/>
        <v>Intermediate</v>
      </c>
    </row>
    <row r="346" spans="1:21" x14ac:dyDescent="0.35">
      <c r="A346" t="s">
        <v>419</v>
      </c>
      <c r="B346" t="s">
        <v>30</v>
      </c>
      <c r="C346" t="s">
        <v>46</v>
      </c>
      <c r="D346" t="s">
        <v>40</v>
      </c>
      <c r="E346" t="s">
        <v>41</v>
      </c>
      <c r="F346">
        <v>5</v>
      </c>
      <c r="G346">
        <v>0.05</v>
      </c>
      <c r="H346">
        <v>0.36</v>
      </c>
      <c r="I346" t="s">
        <v>24</v>
      </c>
      <c r="J346">
        <v>110097</v>
      </c>
      <c r="K346" t="s">
        <v>27</v>
      </c>
      <c r="L346">
        <v>35</v>
      </c>
      <c r="M346">
        <v>54</v>
      </c>
      <c r="N346" t="s">
        <v>26</v>
      </c>
      <c r="O346" t="s">
        <v>25</v>
      </c>
      <c r="P346">
        <v>4.54</v>
      </c>
      <c r="Q346" t="s">
        <v>34</v>
      </c>
      <c r="R346">
        <v>4.17</v>
      </c>
      <c r="S346" t="s">
        <v>43</v>
      </c>
      <c r="T346" t="str">
        <f t="shared" si="10"/>
        <v>High</v>
      </c>
      <c r="U346" t="str">
        <f t="shared" si="11"/>
        <v>Intermediate</v>
      </c>
    </row>
    <row r="347" spans="1:21" x14ac:dyDescent="0.35">
      <c r="A347" t="s">
        <v>420</v>
      </c>
      <c r="B347" t="s">
        <v>45</v>
      </c>
      <c r="C347" t="s">
        <v>52</v>
      </c>
      <c r="D347" t="s">
        <v>63</v>
      </c>
      <c r="E347" t="s">
        <v>33</v>
      </c>
      <c r="F347">
        <v>12</v>
      </c>
      <c r="G347">
        <v>0.79</v>
      </c>
      <c r="H347">
        <v>0.83</v>
      </c>
      <c r="I347" t="s">
        <v>34</v>
      </c>
      <c r="J347">
        <v>82078</v>
      </c>
      <c r="K347" t="s">
        <v>27</v>
      </c>
      <c r="L347">
        <v>4</v>
      </c>
      <c r="M347">
        <v>30</v>
      </c>
      <c r="N347" t="s">
        <v>35</v>
      </c>
      <c r="O347" t="s">
        <v>27</v>
      </c>
      <c r="P347">
        <v>3.94</v>
      </c>
      <c r="Q347" t="s">
        <v>24</v>
      </c>
      <c r="R347">
        <v>4.63</v>
      </c>
      <c r="S347" t="s">
        <v>43</v>
      </c>
      <c r="T347" t="str">
        <f t="shared" si="10"/>
        <v>High</v>
      </c>
      <c r="U347" t="str">
        <f t="shared" si="11"/>
        <v>Experienced</v>
      </c>
    </row>
    <row r="348" spans="1:21" x14ac:dyDescent="0.35">
      <c r="A348" t="s">
        <v>421</v>
      </c>
      <c r="B348" t="s">
        <v>45</v>
      </c>
      <c r="C348" t="s">
        <v>74</v>
      </c>
      <c r="D348" t="s">
        <v>32</v>
      </c>
      <c r="E348" t="s">
        <v>41</v>
      </c>
      <c r="F348">
        <v>0</v>
      </c>
      <c r="G348">
        <v>0.61</v>
      </c>
      <c r="H348">
        <v>0.67</v>
      </c>
      <c r="I348" t="s">
        <v>60</v>
      </c>
      <c r="J348">
        <v>69125</v>
      </c>
      <c r="K348" t="s">
        <v>27</v>
      </c>
      <c r="L348">
        <v>17</v>
      </c>
      <c r="M348">
        <v>54</v>
      </c>
      <c r="N348" t="s">
        <v>42</v>
      </c>
      <c r="O348" t="s">
        <v>27</v>
      </c>
      <c r="P348">
        <v>3.48</v>
      </c>
      <c r="Q348" t="s">
        <v>24</v>
      </c>
      <c r="R348">
        <v>3.85</v>
      </c>
      <c r="S348" t="s">
        <v>47</v>
      </c>
      <c r="T348" t="str">
        <f t="shared" si="10"/>
        <v>High</v>
      </c>
      <c r="U348" t="str">
        <f t="shared" si="11"/>
        <v>Beginner</v>
      </c>
    </row>
    <row r="349" spans="1:21" x14ac:dyDescent="0.35">
      <c r="A349" t="s">
        <v>422</v>
      </c>
      <c r="B349" t="s">
        <v>102</v>
      </c>
      <c r="C349" t="s">
        <v>52</v>
      </c>
      <c r="D349" t="s">
        <v>32</v>
      </c>
      <c r="E349" t="s">
        <v>23</v>
      </c>
      <c r="F349">
        <v>25</v>
      </c>
      <c r="G349">
        <v>0.82</v>
      </c>
      <c r="H349">
        <v>0.67</v>
      </c>
      <c r="I349" t="s">
        <v>24</v>
      </c>
      <c r="J349">
        <v>104178</v>
      </c>
      <c r="K349" t="s">
        <v>25</v>
      </c>
      <c r="L349">
        <v>8</v>
      </c>
      <c r="M349">
        <v>38</v>
      </c>
      <c r="N349" t="s">
        <v>35</v>
      </c>
      <c r="O349" t="s">
        <v>27</v>
      </c>
      <c r="P349">
        <v>3.35</v>
      </c>
      <c r="Q349" t="s">
        <v>24</v>
      </c>
      <c r="R349">
        <v>2.48</v>
      </c>
      <c r="S349" t="s">
        <v>28</v>
      </c>
      <c r="T349" t="str">
        <f t="shared" si="10"/>
        <v>Moderate</v>
      </c>
      <c r="U349" t="str">
        <f t="shared" si="11"/>
        <v>Expert</v>
      </c>
    </row>
    <row r="350" spans="1:21" x14ac:dyDescent="0.35">
      <c r="A350" t="s">
        <v>423</v>
      </c>
      <c r="B350" t="s">
        <v>96</v>
      </c>
      <c r="C350" t="s">
        <v>52</v>
      </c>
      <c r="D350" t="s">
        <v>22</v>
      </c>
      <c r="E350" t="s">
        <v>70</v>
      </c>
      <c r="F350">
        <v>2</v>
      </c>
      <c r="G350">
        <v>0.93</v>
      </c>
      <c r="H350">
        <v>0.51</v>
      </c>
      <c r="I350" t="s">
        <v>24</v>
      </c>
      <c r="J350">
        <v>85631</v>
      </c>
      <c r="K350" t="s">
        <v>27</v>
      </c>
      <c r="L350">
        <v>-7</v>
      </c>
      <c r="M350">
        <v>31</v>
      </c>
      <c r="N350" t="s">
        <v>42</v>
      </c>
      <c r="O350" t="s">
        <v>25</v>
      </c>
      <c r="P350">
        <v>3.41</v>
      </c>
      <c r="Q350" t="s">
        <v>34</v>
      </c>
      <c r="R350">
        <v>4.99</v>
      </c>
      <c r="S350" t="s">
        <v>28</v>
      </c>
      <c r="T350" t="str">
        <f t="shared" si="10"/>
        <v>Moderate</v>
      </c>
      <c r="U350" t="str">
        <f t="shared" si="11"/>
        <v>Beginner</v>
      </c>
    </row>
    <row r="351" spans="1:21" x14ac:dyDescent="0.35">
      <c r="A351" t="s">
        <v>424</v>
      </c>
      <c r="B351" t="s">
        <v>106</v>
      </c>
      <c r="C351" t="s">
        <v>55</v>
      </c>
      <c r="D351" t="s">
        <v>75</v>
      </c>
      <c r="E351" t="s">
        <v>33</v>
      </c>
      <c r="F351">
        <v>8</v>
      </c>
      <c r="G351">
        <v>0.32</v>
      </c>
      <c r="H351">
        <v>0.51</v>
      </c>
      <c r="I351" t="s">
        <v>24</v>
      </c>
      <c r="J351">
        <v>127229</v>
      </c>
      <c r="K351" t="s">
        <v>27</v>
      </c>
      <c r="L351">
        <v>21</v>
      </c>
      <c r="M351">
        <v>59</v>
      </c>
      <c r="N351" t="s">
        <v>42</v>
      </c>
      <c r="O351" t="s">
        <v>36</v>
      </c>
      <c r="P351">
        <v>2.4</v>
      </c>
      <c r="Q351" t="s">
        <v>34</v>
      </c>
      <c r="R351">
        <v>3.84</v>
      </c>
      <c r="S351" t="s">
        <v>43</v>
      </c>
      <c r="T351" t="str">
        <f t="shared" si="10"/>
        <v>High</v>
      </c>
      <c r="U351" t="str">
        <f t="shared" si="11"/>
        <v>Intermediate</v>
      </c>
    </row>
    <row r="352" spans="1:21" x14ac:dyDescent="0.35">
      <c r="A352" t="s">
        <v>425</v>
      </c>
      <c r="B352" t="s">
        <v>147</v>
      </c>
      <c r="C352" t="s">
        <v>52</v>
      </c>
      <c r="D352" t="s">
        <v>66</v>
      </c>
      <c r="E352" t="s">
        <v>70</v>
      </c>
      <c r="F352">
        <v>19</v>
      </c>
      <c r="G352">
        <v>0.93</v>
      </c>
      <c r="H352">
        <v>0.59</v>
      </c>
      <c r="I352" t="s">
        <v>34</v>
      </c>
      <c r="J352">
        <v>103662</v>
      </c>
      <c r="K352" t="s">
        <v>27</v>
      </c>
      <c r="L352">
        <v>10</v>
      </c>
      <c r="M352">
        <v>43</v>
      </c>
      <c r="N352" t="s">
        <v>35</v>
      </c>
      <c r="O352" t="s">
        <v>36</v>
      </c>
      <c r="P352">
        <v>4.21</v>
      </c>
      <c r="Q352" t="s">
        <v>34</v>
      </c>
      <c r="R352">
        <v>4.05</v>
      </c>
      <c r="S352" t="s">
        <v>47</v>
      </c>
      <c r="T352" t="str">
        <f t="shared" si="10"/>
        <v>Moderate</v>
      </c>
      <c r="U352" t="str">
        <f t="shared" si="11"/>
        <v>Expert</v>
      </c>
    </row>
    <row r="353" spans="1:21" x14ac:dyDescent="0.35">
      <c r="A353" t="s">
        <v>426</v>
      </c>
      <c r="B353" t="s">
        <v>91</v>
      </c>
      <c r="C353" t="s">
        <v>52</v>
      </c>
      <c r="D353" t="s">
        <v>40</v>
      </c>
      <c r="E353" t="s">
        <v>23</v>
      </c>
      <c r="F353">
        <v>1</v>
      </c>
      <c r="G353">
        <v>0.08</v>
      </c>
      <c r="H353">
        <v>0.41</v>
      </c>
      <c r="I353" t="s">
        <v>34</v>
      </c>
      <c r="J353">
        <v>215063</v>
      </c>
      <c r="K353" t="s">
        <v>42</v>
      </c>
      <c r="L353">
        <v>35</v>
      </c>
      <c r="M353">
        <v>47</v>
      </c>
      <c r="N353" t="s">
        <v>42</v>
      </c>
      <c r="O353" t="s">
        <v>36</v>
      </c>
      <c r="P353">
        <v>3.48</v>
      </c>
      <c r="Q353" t="s">
        <v>24</v>
      </c>
      <c r="R353">
        <v>1.49</v>
      </c>
      <c r="S353" t="s">
        <v>47</v>
      </c>
      <c r="T353" t="str">
        <f t="shared" si="10"/>
        <v>High</v>
      </c>
      <c r="U353" t="str">
        <f t="shared" si="11"/>
        <v>Beginner</v>
      </c>
    </row>
    <row r="354" spans="1:21" x14ac:dyDescent="0.35">
      <c r="A354" t="s">
        <v>427</v>
      </c>
      <c r="B354" t="s">
        <v>38</v>
      </c>
      <c r="C354" t="s">
        <v>39</v>
      </c>
      <c r="D354" t="s">
        <v>22</v>
      </c>
      <c r="E354" t="s">
        <v>41</v>
      </c>
      <c r="F354">
        <v>16</v>
      </c>
      <c r="G354">
        <v>0.51</v>
      </c>
      <c r="H354">
        <v>0.42</v>
      </c>
      <c r="I354" t="s">
        <v>60</v>
      </c>
      <c r="J354">
        <v>203837</v>
      </c>
      <c r="K354" t="s">
        <v>25</v>
      </c>
      <c r="L354">
        <v>16</v>
      </c>
      <c r="M354">
        <v>59</v>
      </c>
      <c r="N354" t="s">
        <v>35</v>
      </c>
      <c r="O354" t="s">
        <v>25</v>
      </c>
      <c r="P354">
        <v>4.3</v>
      </c>
      <c r="Q354" t="s">
        <v>24</v>
      </c>
      <c r="R354">
        <v>4.55</v>
      </c>
      <c r="S354" t="s">
        <v>47</v>
      </c>
      <c r="T354" t="str">
        <f t="shared" si="10"/>
        <v>Moderate</v>
      </c>
      <c r="U354" t="str">
        <f t="shared" si="11"/>
        <v>Expert</v>
      </c>
    </row>
    <row r="355" spans="1:21" x14ac:dyDescent="0.35">
      <c r="A355" t="s">
        <v>428</v>
      </c>
      <c r="B355" t="s">
        <v>91</v>
      </c>
      <c r="C355" t="s">
        <v>107</v>
      </c>
      <c r="D355" t="s">
        <v>49</v>
      </c>
      <c r="E355" t="s">
        <v>70</v>
      </c>
      <c r="F355">
        <v>19</v>
      </c>
      <c r="G355">
        <v>0.8</v>
      </c>
      <c r="H355">
        <v>0.32</v>
      </c>
      <c r="I355" t="s">
        <v>60</v>
      </c>
      <c r="J355">
        <v>51250</v>
      </c>
      <c r="K355" t="s">
        <v>25</v>
      </c>
      <c r="L355">
        <v>11</v>
      </c>
      <c r="M355">
        <v>31</v>
      </c>
      <c r="N355" t="s">
        <v>26</v>
      </c>
      <c r="O355" t="s">
        <v>27</v>
      </c>
      <c r="P355">
        <v>4.8499999999999996</v>
      </c>
      <c r="Q355" t="s">
        <v>34</v>
      </c>
      <c r="R355">
        <v>4.79</v>
      </c>
      <c r="S355" t="s">
        <v>28</v>
      </c>
      <c r="T355" t="str">
        <f t="shared" si="10"/>
        <v>Very Low</v>
      </c>
      <c r="U355" t="str">
        <f t="shared" si="11"/>
        <v>Expert</v>
      </c>
    </row>
    <row r="356" spans="1:21" x14ac:dyDescent="0.35">
      <c r="A356" t="s">
        <v>429</v>
      </c>
      <c r="B356" t="s">
        <v>77</v>
      </c>
      <c r="C356" t="s">
        <v>52</v>
      </c>
      <c r="D356" t="s">
        <v>40</v>
      </c>
      <c r="E356" t="s">
        <v>23</v>
      </c>
      <c r="F356">
        <v>8</v>
      </c>
      <c r="G356">
        <v>0.77</v>
      </c>
      <c r="H356">
        <v>0.79</v>
      </c>
      <c r="I356" t="s">
        <v>24</v>
      </c>
      <c r="J356">
        <v>173433</v>
      </c>
      <c r="K356" t="s">
        <v>25</v>
      </c>
      <c r="L356">
        <v>39</v>
      </c>
      <c r="M356">
        <v>57</v>
      </c>
      <c r="N356" t="s">
        <v>42</v>
      </c>
      <c r="O356" t="s">
        <v>25</v>
      </c>
      <c r="P356">
        <v>2.06</v>
      </c>
      <c r="Q356" t="s">
        <v>24</v>
      </c>
      <c r="R356">
        <v>1.65</v>
      </c>
      <c r="S356" t="s">
        <v>43</v>
      </c>
      <c r="T356" t="str">
        <f t="shared" si="10"/>
        <v>High</v>
      </c>
      <c r="U356" t="str">
        <f t="shared" si="11"/>
        <v>Intermediate</v>
      </c>
    </row>
    <row r="357" spans="1:21" x14ac:dyDescent="0.35">
      <c r="A357" t="s">
        <v>430</v>
      </c>
      <c r="B357" t="s">
        <v>77</v>
      </c>
      <c r="C357" t="s">
        <v>82</v>
      </c>
      <c r="D357" t="s">
        <v>63</v>
      </c>
      <c r="E357" t="s">
        <v>41</v>
      </c>
      <c r="F357">
        <v>11</v>
      </c>
      <c r="G357">
        <v>0.44</v>
      </c>
      <c r="H357">
        <v>0.84</v>
      </c>
      <c r="I357" t="s">
        <v>60</v>
      </c>
      <c r="J357">
        <v>111291</v>
      </c>
      <c r="K357" t="s">
        <v>25</v>
      </c>
      <c r="L357">
        <v>21</v>
      </c>
      <c r="M357">
        <v>44</v>
      </c>
      <c r="N357" t="s">
        <v>42</v>
      </c>
      <c r="O357" t="s">
        <v>36</v>
      </c>
      <c r="P357">
        <v>2.81</v>
      </c>
      <c r="Q357" t="s">
        <v>34</v>
      </c>
      <c r="R357">
        <v>1.36</v>
      </c>
      <c r="S357" t="s">
        <v>43</v>
      </c>
      <c r="T357" t="str">
        <f t="shared" si="10"/>
        <v>High</v>
      </c>
      <c r="U357" t="str">
        <f t="shared" si="11"/>
        <v>Experienced</v>
      </c>
    </row>
    <row r="358" spans="1:21" x14ac:dyDescent="0.35">
      <c r="A358" t="s">
        <v>431</v>
      </c>
      <c r="B358" t="s">
        <v>57</v>
      </c>
      <c r="C358" t="s">
        <v>82</v>
      </c>
      <c r="D358" t="s">
        <v>49</v>
      </c>
      <c r="E358" t="s">
        <v>41</v>
      </c>
      <c r="F358">
        <v>9</v>
      </c>
      <c r="G358">
        <v>0.51</v>
      </c>
      <c r="H358">
        <v>0.97</v>
      </c>
      <c r="I358" t="s">
        <v>34</v>
      </c>
      <c r="J358">
        <v>207324</v>
      </c>
      <c r="K358" t="s">
        <v>42</v>
      </c>
      <c r="L358">
        <v>-5</v>
      </c>
      <c r="M358">
        <v>59</v>
      </c>
      <c r="N358" t="s">
        <v>42</v>
      </c>
      <c r="O358" t="s">
        <v>36</v>
      </c>
      <c r="P358">
        <v>2.4500000000000002</v>
      </c>
      <c r="Q358" t="s">
        <v>24</v>
      </c>
      <c r="R358">
        <v>3.74</v>
      </c>
      <c r="S358" t="s">
        <v>43</v>
      </c>
      <c r="T358" t="str">
        <f t="shared" si="10"/>
        <v>High</v>
      </c>
      <c r="U358" t="str">
        <f t="shared" si="11"/>
        <v>Experienced</v>
      </c>
    </row>
    <row r="359" spans="1:21" x14ac:dyDescent="0.35">
      <c r="A359" t="s">
        <v>432</v>
      </c>
      <c r="B359" t="s">
        <v>65</v>
      </c>
      <c r="C359" t="s">
        <v>21</v>
      </c>
      <c r="D359" t="s">
        <v>80</v>
      </c>
      <c r="E359" t="s">
        <v>23</v>
      </c>
      <c r="F359">
        <v>13</v>
      </c>
      <c r="G359">
        <v>0.09</v>
      </c>
      <c r="H359">
        <v>0.26</v>
      </c>
      <c r="I359" t="s">
        <v>24</v>
      </c>
      <c r="J359">
        <v>41821</v>
      </c>
      <c r="K359" t="s">
        <v>42</v>
      </c>
      <c r="L359">
        <v>32</v>
      </c>
      <c r="M359">
        <v>53</v>
      </c>
      <c r="N359" t="s">
        <v>26</v>
      </c>
      <c r="O359" t="s">
        <v>36</v>
      </c>
      <c r="P359">
        <v>3.07</v>
      </c>
      <c r="Q359" t="s">
        <v>24</v>
      </c>
      <c r="R359">
        <v>4.07</v>
      </c>
      <c r="S359" t="s">
        <v>47</v>
      </c>
      <c r="T359" t="str">
        <f t="shared" si="10"/>
        <v>High</v>
      </c>
      <c r="U359" t="str">
        <f t="shared" si="11"/>
        <v>Experienced</v>
      </c>
    </row>
    <row r="360" spans="1:21" x14ac:dyDescent="0.35">
      <c r="A360" t="s">
        <v>433</v>
      </c>
      <c r="B360" t="s">
        <v>62</v>
      </c>
      <c r="C360" t="s">
        <v>74</v>
      </c>
      <c r="D360" t="s">
        <v>22</v>
      </c>
      <c r="E360" t="s">
        <v>23</v>
      </c>
      <c r="F360">
        <v>24</v>
      </c>
      <c r="G360">
        <v>0.81</v>
      </c>
      <c r="H360">
        <v>0.24</v>
      </c>
      <c r="I360" t="s">
        <v>60</v>
      </c>
      <c r="J360">
        <v>139117</v>
      </c>
      <c r="K360" t="s">
        <v>42</v>
      </c>
      <c r="L360">
        <v>29</v>
      </c>
      <c r="M360">
        <v>55</v>
      </c>
      <c r="N360" t="s">
        <v>42</v>
      </c>
      <c r="O360" t="s">
        <v>36</v>
      </c>
      <c r="P360">
        <v>4.9000000000000004</v>
      </c>
      <c r="Q360" t="s">
        <v>24</v>
      </c>
      <c r="R360">
        <v>1.84</v>
      </c>
      <c r="S360" t="s">
        <v>47</v>
      </c>
      <c r="T360" t="str">
        <f t="shared" si="10"/>
        <v>Very Low</v>
      </c>
      <c r="U360" t="str">
        <f t="shared" si="11"/>
        <v>Expert</v>
      </c>
    </row>
    <row r="361" spans="1:21" x14ac:dyDescent="0.35">
      <c r="A361" t="s">
        <v>434</v>
      </c>
      <c r="B361" t="s">
        <v>91</v>
      </c>
      <c r="C361" t="s">
        <v>52</v>
      </c>
      <c r="D361" t="s">
        <v>22</v>
      </c>
      <c r="E361" t="s">
        <v>23</v>
      </c>
      <c r="F361">
        <v>9</v>
      </c>
      <c r="G361">
        <v>0.16</v>
      </c>
      <c r="H361">
        <v>0.34</v>
      </c>
      <c r="I361" t="s">
        <v>60</v>
      </c>
      <c r="J361">
        <v>155074</v>
      </c>
      <c r="K361" t="s">
        <v>27</v>
      </c>
      <c r="L361">
        <v>13</v>
      </c>
      <c r="M361">
        <v>52</v>
      </c>
      <c r="N361" t="s">
        <v>26</v>
      </c>
      <c r="O361" t="s">
        <v>27</v>
      </c>
      <c r="P361">
        <v>4.03</v>
      </c>
      <c r="Q361" t="s">
        <v>34</v>
      </c>
      <c r="R361">
        <v>1.35</v>
      </c>
      <c r="S361" t="s">
        <v>47</v>
      </c>
      <c r="T361" t="str">
        <f t="shared" si="10"/>
        <v>High</v>
      </c>
      <c r="U361" t="str">
        <f t="shared" si="11"/>
        <v>Experienced</v>
      </c>
    </row>
    <row r="362" spans="1:21" x14ac:dyDescent="0.35">
      <c r="A362" t="s">
        <v>435</v>
      </c>
      <c r="B362" t="s">
        <v>102</v>
      </c>
      <c r="C362" t="s">
        <v>107</v>
      </c>
      <c r="D362" t="s">
        <v>32</v>
      </c>
      <c r="E362" t="s">
        <v>33</v>
      </c>
      <c r="F362">
        <v>13</v>
      </c>
      <c r="G362">
        <v>0.68</v>
      </c>
      <c r="H362">
        <v>0.35</v>
      </c>
      <c r="I362" t="s">
        <v>60</v>
      </c>
      <c r="J362">
        <v>37029</v>
      </c>
      <c r="K362" t="s">
        <v>27</v>
      </c>
      <c r="L362">
        <v>2</v>
      </c>
      <c r="M362">
        <v>32</v>
      </c>
      <c r="N362" t="s">
        <v>42</v>
      </c>
      <c r="O362" t="s">
        <v>36</v>
      </c>
      <c r="P362">
        <v>2.44</v>
      </c>
      <c r="Q362" t="s">
        <v>34</v>
      </c>
      <c r="R362">
        <v>1.0900000000000001</v>
      </c>
      <c r="S362" t="s">
        <v>47</v>
      </c>
      <c r="T362" t="str">
        <f t="shared" si="10"/>
        <v>Moderate</v>
      </c>
      <c r="U362" t="str">
        <f t="shared" si="11"/>
        <v>Experienced</v>
      </c>
    </row>
    <row r="363" spans="1:21" x14ac:dyDescent="0.35">
      <c r="A363" t="s">
        <v>436</v>
      </c>
      <c r="B363" t="s">
        <v>62</v>
      </c>
      <c r="C363" t="s">
        <v>46</v>
      </c>
      <c r="D363" t="s">
        <v>69</v>
      </c>
      <c r="E363" t="s">
        <v>41</v>
      </c>
      <c r="F363">
        <v>10</v>
      </c>
      <c r="G363">
        <v>0.82</v>
      </c>
      <c r="H363">
        <v>0.66</v>
      </c>
      <c r="I363" t="s">
        <v>24</v>
      </c>
      <c r="J363">
        <v>82779</v>
      </c>
      <c r="K363" t="s">
        <v>25</v>
      </c>
      <c r="L363">
        <v>30</v>
      </c>
      <c r="M363">
        <v>57</v>
      </c>
      <c r="N363" t="s">
        <v>26</v>
      </c>
      <c r="O363" t="s">
        <v>36</v>
      </c>
      <c r="P363">
        <v>4.9400000000000004</v>
      </c>
      <c r="Q363" t="s">
        <v>34</v>
      </c>
      <c r="R363">
        <v>3.95</v>
      </c>
      <c r="S363" t="s">
        <v>28</v>
      </c>
      <c r="T363" t="str">
        <f t="shared" si="10"/>
        <v>Moderate</v>
      </c>
      <c r="U363" t="str">
        <f t="shared" si="11"/>
        <v>Experienced</v>
      </c>
    </row>
    <row r="364" spans="1:21" x14ac:dyDescent="0.35">
      <c r="A364" t="s">
        <v>437</v>
      </c>
      <c r="B364" t="s">
        <v>89</v>
      </c>
      <c r="C364" t="s">
        <v>39</v>
      </c>
      <c r="D364" t="s">
        <v>75</v>
      </c>
      <c r="E364" t="s">
        <v>41</v>
      </c>
      <c r="F364">
        <v>13</v>
      </c>
      <c r="G364">
        <v>0.57999999999999996</v>
      </c>
      <c r="H364">
        <v>0.68</v>
      </c>
      <c r="I364" t="s">
        <v>60</v>
      </c>
      <c r="J364">
        <v>207908</v>
      </c>
      <c r="K364" t="s">
        <v>42</v>
      </c>
      <c r="L364">
        <v>25</v>
      </c>
      <c r="M364">
        <v>32</v>
      </c>
      <c r="N364" t="s">
        <v>42</v>
      </c>
      <c r="O364" t="s">
        <v>27</v>
      </c>
      <c r="P364">
        <v>3.25</v>
      </c>
      <c r="Q364" t="s">
        <v>34</v>
      </c>
      <c r="R364">
        <v>1.47</v>
      </c>
      <c r="S364" t="s">
        <v>28</v>
      </c>
      <c r="T364" t="str">
        <f t="shared" si="10"/>
        <v>High</v>
      </c>
      <c r="U364" t="str">
        <f t="shared" si="11"/>
        <v>Experienced</v>
      </c>
    </row>
    <row r="365" spans="1:21" x14ac:dyDescent="0.35">
      <c r="A365" t="s">
        <v>438</v>
      </c>
      <c r="B365" t="s">
        <v>57</v>
      </c>
      <c r="C365" t="s">
        <v>55</v>
      </c>
      <c r="D365" t="s">
        <v>59</v>
      </c>
      <c r="E365" t="s">
        <v>70</v>
      </c>
      <c r="F365">
        <v>19</v>
      </c>
      <c r="G365">
        <v>0.7</v>
      </c>
      <c r="H365">
        <v>0.56999999999999995</v>
      </c>
      <c r="I365" t="s">
        <v>60</v>
      </c>
      <c r="J365">
        <v>144848</v>
      </c>
      <c r="K365" t="s">
        <v>27</v>
      </c>
      <c r="L365">
        <v>19</v>
      </c>
      <c r="M365">
        <v>34</v>
      </c>
      <c r="N365" t="s">
        <v>42</v>
      </c>
      <c r="O365" t="s">
        <v>27</v>
      </c>
      <c r="P365">
        <v>4.13</v>
      </c>
      <c r="Q365" t="s">
        <v>34</v>
      </c>
      <c r="R365">
        <v>4.33</v>
      </c>
      <c r="S365" t="s">
        <v>28</v>
      </c>
      <c r="T365" t="str">
        <f t="shared" si="10"/>
        <v>Moderate</v>
      </c>
      <c r="U365" t="str">
        <f t="shared" si="11"/>
        <v>Expert</v>
      </c>
    </row>
    <row r="366" spans="1:21" x14ac:dyDescent="0.35">
      <c r="A366" t="s">
        <v>439</v>
      </c>
      <c r="B366" t="s">
        <v>51</v>
      </c>
      <c r="C366" t="s">
        <v>39</v>
      </c>
      <c r="D366" t="s">
        <v>32</v>
      </c>
      <c r="E366" t="s">
        <v>23</v>
      </c>
      <c r="F366">
        <v>3</v>
      </c>
      <c r="G366">
        <v>0.72</v>
      </c>
      <c r="H366">
        <v>0.73</v>
      </c>
      <c r="I366" t="s">
        <v>34</v>
      </c>
      <c r="J366">
        <v>63841</v>
      </c>
      <c r="K366" t="s">
        <v>42</v>
      </c>
      <c r="L366">
        <v>9</v>
      </c>
      <c r="M366">
        <v>37</v>
      </c>
      <c r="N366" t="s">
        <v>35</v>
      </c>
      <c r="O366" t="s">
        <v>27</v>
      </c>
      <c r="P366">
        <v>2.14</v>
      </c>
      <c r="Q366" t="s">
        <v>24</v>
      </c>
      <c r="R366">
        <v>2.44</v>
      </c>
      <c r="S366" t="s">
        <v>43</v>
      </c>
      <c r="T366" t="str">
        <f t="shared" si="10"/>
        <v>High</v>
      </c>
      <c r="U366" t="str">
        <f t="shared" si="11"/>
        <v>Intermediate</v>
      </c>
    </row>
    <row r="367" spans="1:21" x14ac:dyDescent="0.35">
      <c r="A367" t="s">
        <v>440</v>
      </c>
      <c r="B367" t="s">
        <v>68</v>
      </c>
      <c r="C367" t="s">
        <v>55</v>
      </c>
      <c r="D367" t="s">
        <v>59</v>
      </c>
      <c r="E367" t="s">
        <v>23</v>
      </c>
      <c r="F367">
        <v>8</v>
      </c>
      <c r="G367">
        <v>0.35</v>
      </c>
      <c r="H367">
        <v>0.28999999999999998</v>
      </c>
      <c r="I367" t="s">
        <v>34</v>
      </c>
      <c r="J367">
        <v>89425</v>
      </c>
      <c r="K367" t="s">
        <v>42</v>
      </c>
      <c r="L367">
        <v>39</v>
      </c>
      <c r="M367">
        <v>31</v>
      </c>
      <c r="N367" t="s">
        <v>26</v>
      </c>
      <c r="O367" t="s">
        <v>36</v>
      </c>
      <c r="P367">
        <v>4.6900000000000004</v>
      </c>
      <c r="Q367" t="s">
        <v>24</v>
      </c>
      <c r="R367">
        <v>3.83</v>
      </c>
      <c r="S367" t="s">
        <v>43</v>
      </c>
      <c r="T367" t="str">
        <f t="shared" si="10"/>
        <v>Moderate</v>
      </c>
      <c r="U367" t="str">
        <f t="shared" si="11"/>
        <v>Intermediate</v>
      </c>
    </row>
    <row r="368" spans="1:21" x14ac:dyDescent="0.35">
      <c r="A368" t="s">
        <v>441</v>
      </c>
      <c r="B368" t="s">
        <v>102</v>
      </c>
      <c r="C368" t="s">
        <v>74</v>
      </c>
      <c r="D368" t="s">
        <v>32</v>
      </c>
      <c r="E368" t="s">
        <v>70</v>
      </c>
      <c r="F368">
        <v>22</v>
      </c>
      <c r="G368">
        <v>0.51</v>
      </c>
      <c r="H368">
        <v>0.33</v>
      </c>
      <c r="I368" t="s">
        <v>34</v>
      </c>
      <c r="J368">
        <v>60948</v>
      </c>
      <c r="K368" t="s">
        <v>27</v>
      </c>
      <c r="L368">
        <v>21</v>
      </c>
      <c r="M368">
        <v>53</v>
      </c>
      <c r="N368" t="s">
        <v>35</v>
      </c>
      <c r="O368" t="s">
        <v>25</v>
      </c>
      <c r="P368">
        <v>3.94</v>
      </c>
      <c r="Q368" t="s">
        <v>34</v>
      </c>
      <c r="R368">
        <v>4.28</v>
      </c>
      <c r="S368" t="s">
        <v>47</v>
      </c>
      <c r="T368" t="str">
        <f t="shared" si="10"/>
        <v>Moderate</v>
      </c>
      <c r="U368" t="str">
        <f t="shared" si="11"/>
        <v>Expert</v>
      </c>
    </row>
    <row r="369" spans="1:21" x14ac:dyDescent="0.35">
      <c r="A369" t="s">
        <v>442</v>
      </c>
      <c r="B369" t="s">
        <v>65</v>
      </c>
      <c r="C369" t="s">
        <v>82</v>
      </c>
      <c r="D369" t="s">
        <v>40</v>
      </c>
      <c r="E369" t="s">
        <v>70</v>
      </c>
      <c r="F369">
        <v>11</v>
      </c>
      <c r="G369">
        <v>0.8</v>
      </c>
      <c r="H369">
        <v>0.56999999999999995</v>
      </c>
      <c r="I369" t="s">
        <v>60</v>
      </c>
      <c r="J369">
        <v>105171</v>
      </c>
      <c r="K369" t="s">
        <v>42</v>
      </c>
      <c r="L369">
        <v>13</v>
      </c>
      <c r="M369">
        <v>50</v>
      </c>
      <c r="N369" t="s">
        <v>26</v>
      </c>
      <c r="O369" t="s">
        <v>25</v>
      </c>
      <c r="P369">
        <v>2.4500000000000002</v>
      </c>
      <c r="Q369" t="s">
        <v>34</v>
      </c>
      <c r="R369">
        <v>4.1500000000000004</v>
      </c>
      <c r="S369" t="s">
        <v>47</v>
      </c>
      <c r="T369" t="str">
        <f t="shared" si="10"/>
        <v>Moderate</v>
      </c>
      <c r="U369" t="str">
        <f t="shared" si="11"/>
        <v>Experienced</v>
      </c>
    </row>
    <row r="370" spans="1:21" x14ac:dyDescent="0.35">
      <c r="A370" t="s">
        <v>443</v>
      </c>
      <c r="B370" t="s">
        <v>106</v>
      </c>
      <c r="C370" t="s">
        <v>58</v>
      </c>
      <c r="D370" t="s">
        <v>80</v>
      </c>
      <c r="E370" t="s">
        <v>41</v>
      </c>
      <c r="F370">
        <v>2</v>
      </c>
      <c r="G370">
        <v>0.66</v>
      </c>
      <c r="H370">
        <v>0.95</v>
      </c>
      <c r="I370" t="s">
        <v>34</v>
      </c>
      <c r="J370">
        <v>146019</v>
      </c>
      <c r="K370" t="s">
        <v>42</v>
      </c>
      <c r="L370">
        <v>15</v>
      </c>
      <c r="M370">
        <v>54</v>
      </c>
      <c r="N370" t="s">
        <v>35</v>
      </c>
      <c r="O370" t="s">
        <v>36</v>
      </c>
      <c r="P370">
        <v>2.1800000000000002</v>
      </c>
      <c r="Q370" t="s">
        <v>24</v>
      </c>
      <c r="R370">
        <v>3.64</v>
      </c>
      <c r="S370" t="s">
        <v>28</v>
      </c>
      <c r="T370" t="str">
        <f t="shared" si="10"/>
        <v>High</v>
      </c>
      <c r="U370" t="str">
        <f t="shared" si="11"/>
        <v>Beginner</v>
      </c>
    </row>
    <row r="371" spans="1:21" x14ac:dyDescent="0.35">
      <c r="A371" t="s">
        <v>444</v>
      </c>
      <c r="B371" t="s">
        <v>62</v>
      </c>
      <c r="C371" t="s">
        <v>74</v>
      </c>
      <c r="D371" t="s">
        <v>63</v>
      </c>
      <c r="E371" t="s">
        <v>41</v>
      </c>
      <c r="F371">
        <v>8</v>
      </c>
      <c r="G371">
        <v>0.41</v>
      </c>
      <c r="H371">
        <v>0.74</v>
      </c>
      <c r="I371" t="s">
        <v>60</v>
      </c>
      <c r="J371">
        <v>175125</v>
      </c>
      <c r="K371" t="s">
        <v>27</v>
      </c>
      <c r="L371">
        <v>-1</v>
      </c>
      <c r="M371">
        <v>52</v>
      </c>
      <c r="N371" t="s">
        <v>42</v>
      </c>
      <c r="O371" t="s">
        <v>36</v>
      </c>
      <c r="P371">
        <v>3.93</v>
      </c>
      <c r="Q371" t="s">
        <v>34</v>
      </c>
      <c r="R371">
        <v>3.79</v>
      </c>
      <c r="S371" t="s">
        <v>28</v>
      </c>
      <c r="T371" t="str">
        <f t="shared" si="10"/>
        <v>High</v>
      </c>
      <c r="U371" t="str">
        <f t="shared" si="11"/>
        <v>Intermediate</v>
      </c>
    </row>
    <row r="372" spans="1:21" x14ac:dyDescent="0.35">
      <c r="A372" t="s">
        <v>445</v>
      </c>
      <c r="B372" t="s">
        <v>65</v>
      </c>
      <c r="C372" t="s">
        <v>55</v>
      </c>
      <c r="D372" t="s">
        <v>66</v>
      </c>
      <c r="E372" t="s">
        <v>33</v>
      </c>
      <c r="F372">
        <v>2</v>
      </c>
      <c r="G372">
        <v>0.4</v>
      </c>
      <c r="H372">
        <v>0.77</v>
      </c>
      <c r="I372" t="s">
        <v>60</v>
      </c>
      <c r="J372">
        <v>63031</v>
      </c>
      <c r="K372" t="s">
        <v>27</v>
      </c>
      <c r="L372">
        <v>9</v>
      </c>
      <c r="M372">
        <v>46</v>
      </c>
      <c r="N372" t="s">
        <v>42</v>
      </c>
      <c r="O372" t="s">
        <v>27</v>
      </c>
      <c r="P372">
        <v>2.48</v>
      </c>
      <c r="Q372" t="s">
        <v>24</v>
      </c>
      <c r="R372">
        <v>4.5599999999999996</v>
      </c>
      <c r="S372" t="s">
        <v>28</v>
      </c>
      <c r="T372" t="str">
        <f t="shared" si="10"/>
        <v>High</v>
      </c>
      <c r="U372" t="str">
        <f t="shared" si="11"/>
        <v>Beginner</v>
      </c>
    </row>
    <row r="373" spans="1:21" x14ac:dyDescent="0.35">
      <c r="A373" t="s">
        <v>446</v>
      </c>
      <c r="B373" t="s">
        <v>65</v>
      </c>
      <c r="C373" t="s">
        <v>74</v>
      </c>
      <c r="D373" t="s">
        <v>40</v>
      </c>
      <c r="E373" t="s">
        <v>41</v>
      </c>
      <c r="F373">
        <v>24</v>
      </c>
      <c r="G373">
        <v>0.71</v>
      </c>
      <c r="H373">
        <v>0.86</v>
      </c>
      <c r="I373" t="s">
        <v>60</v>
      </c>
      <c r="J373">
        <v>98093</v>
      </c>
      <c r="K373" t="s">
        <v>25</v>
      </c>
      <c r="L373">
        <v>18</v>
      </c>
      <c r="M373">
        <v>39</v>
      </c>
      <c r="N373" t="s">
        <v>26</v>
      </c>
      <c r="O373" t="s">
        <v>27</v>
      </c>
      <c r="P373">
        <v>2.02</v>
      </c>
      <c r="Q373" t="s">
        <v>34</v>
      </c>
      <c r="R373">
        <v>4.93</v>
      </c>
      <c r="S373" t="s">
        <v>28</v>
      </c>
      <c r="T373" t="str">
        <f t="shared" si="10"/>
        <v>High</v>
      </c>
      <c r="U373" t="str">
        <f t="shared" si="11"/>
        <v>Expert</v>
      </c>
    </row>
    <row r="374" spans="1:21" x14ac:dyDescent="0.35">
      <c r="A374" t="s">
        <v>447</v>
      </c>
      <c r="B374" t="s">
        <v>106</v>
      </c>
      <c r="C374" t="s">
        <v>52</v>
      </c>
      <c r="D374" t="s">
        <v>80</v>
      </c>
      <c r="E374" t="s">
        <v>33</v>
      </c>
      <c r="F374">
        <v>3</v>
      </c>
      <c r="G374">
        <v>0.76</v>
      </c>
      <c r="H374">
        <v>0.76</v>
      </c>
      <c r="I374" t="s">
        <v>34</v>
      </c>
      <c r="J374">
        <v>206274</v>
      </c>
      <c r="K374" t="s">
        <v>27</v>
      </c>
      <c r="L374">
        <v>27</v>
      </c>
      <c r="M374">
        <v>36</v>
      </c>
      <c r="N374" t="s">
        <v>42</v>
      </c>
      <c r="O374" t="s">
        <v>36</v>
      </c>
      <c r="P374">
        <v>2.29</v>
      </c>
      <c r="Q374" t="s">
        <v>34</v>
      </c>
      <c r="R374">
        <v>4.3099999999999996</v>
      </c>
      <c r="S374" t="s">
        <v>47</v>
      </c>
      <c r="T374" t="str">
        <f t="shared" si="10"/>
        <v>Moderate</v>
      </c>
      <c r="U374" t="str">
        <f t="shared" si="11"/>
        <v>Intermediate</v>
      </c>
    </row>
    <row r="375" spans="1:21" x14ac:dyDescent="0.35">
      <c r="A375" t="s">
        <v>448</v>
      </c>
      <c r="B375" t="s">
        <v>65</v>
      </c>
      <c r="C375" t="s">
        <v>52</v>
      </c>
      <c r="D375" t="s">
        <v>22</v>
      </c>
      <c r="E375" t="s">
        <v>23</v>
      </c>
      <c r="F375">
        <v>8</v>
      </c>
      <c r="G375">
        <v>0.48</v>
      </c>
      <c r="H375">
        <v>0.55000000000000004</v>
      </c>
      <c r="I375" t="s">
        <v>60</v>
      </c>
      <c r="J375">
        <v>126808</v>
      </c>
      <c r="K375" t="s">
        <v>42</v>
      </c>
      <c r="L375">
        <v>30</v>
      </c>
      <c r="M375">
        <v>43</v>
      </c>
      <c r="N375" t="s">
        <v>42</v>
      </c>
      <c r="O375" t="s">
        <v>27</v>
      </c>
      <c r="P375">
        <v>4.79</v>
      </c>
      <c r="Q375" t="s">
        <v>34</v>
      </c>
      <c r="R375">
        <v>3.93</v>
      </c>
      <c r="S375" t="s">
        <v>43</v>
      </c>
      <c r="T375" t="str">
        <f t="shared" si="10"/>
        <v>High</v>
      </c>
      <c r="U375" t="str">
        <f t="shared" si="11"/>
        <v>Intermediate</v>
      </c>
    </row>
    <row r="376" spans="1:21" x14ac:dyDescent="0.35">
      <c r="A376" t="s">
        <v>449</v>
      </c>
      <c r="B376" t="s">
        <v>65</v>
      </c>
      <c r="C376" t="s">
        <v>55</v>
      </c>
      <c r="D376" t="s">
        <v>40</v>
      </c>
      <c r="E376" t="s">
        <v>33</v>
      </c>
      <c r="F376">
        <v>14</v>
      </c>
      <c r="G376">
        <v>0.69</v>
      </c>
      <c r="H376">
        <v>0.3</v>
      </c>
      <c r="I376" t="s">
        <v>34</v>
      </c>
      <c r="J376">
        <v>214686</v>
      </c>
      <c r="K376" t="s">
        <v>25</v>
      </c>
      <c r="L376">
        <v>37</v>
      </c>
      <c r="M376">
        <v>35</v>
      </c>
      <c r="N376" t="s">
        <v>26</v>
      </c>
      <c r="O376" t="s">
        <v>36</v>
      </c>
      <c r="P376">
        <v>4.7699999999999996</v>
      </c>
      <c r="Q376" t="s">
        <v>24</v>
      </c>
      <c r="R376">
        <v>3.41</v>
      </c>
      <c r="S376" t="s">
        <v>43</v>
      </c>
      <c r="T376" t="str">
        <f t="shared" si="10"/>
        <v>Moderate</v>
      </c>
      <c r="U376" t="str">
        <f t="shared" si="11"/>
        <v>Experienced</v>
      </c>
    </row>
    <row r="377" spans="1:21" x14ac:dyDescent="0.35">
      <c r="A377" t="s">
        <v>450</v>
      </c>
      <c r="B377" t="s">
        <v>62</v>
      </c>
      <c r="C377" t="s">
        <v>74</v>
      </c>
      <c r="D377" t="s">
        <v>66</v>
      </c>
      <c r="E377" t="s">
        <v>70</v>
      </c>
      <c r="F377">
        <v>15</v>
      </c>
      <c r="G377">
        <v>0.09</v>
      </c>
      <c r="H377">
        <v>0.32</v>
      </c>
      <c r="I377" t="s">
        <v>24</v>
      </c>
      <c r="J377">
        <v>127377</v>
      </c>
      <c r="K377" t="s">
        <v>25</v>
      </c>
      <c r="L377">
        <v>-1</v>
      </c>
      <c r="M377">
        <v>55</v>
      </c>
      <c r="N377" t="s">
        <v>26</v>
      </c>
      <c r="O377" t="s">
        <v>36</v>
      </c>
      <c r="P377">
        <v>2.15</v>
      </c>
      <c r="Q377" t="s">
        <v>34</v>
      </c>
      <c r="R377">
        <v>4.5599999999999996</v>
      </c>
      <c r="S377" t="s">
        <v>47</v>
      </c>
      <c r="T377" t="str">
        <f t="shared" si="10"/>
        <v>High</v>
      </c>
      <c r="U377" t="str">
        <f t="shared" si="11"/>
        <v>Experienced</v>
      </c>
    </row>
    <row r="378" spans="1:21" x14ac:dyDescent="0.35">
      <c r="A378" t="s">
        <v>451</v>
      </c>
      <c r="B378" t="s">
        <v>89</v>
      </c>
      <c r="C378" t="s">
        <v>46</v>
      </c>
      <c r="D378" t="s">
        <v>66</v>
      </c>
      <c r="E378" t="s">
        <v>23</v>
      </c>
      <c r="F378">
        <v>10</v>
      </c>
      <c r="G378">
        <v>0.36</v>
      </c>
      <c r="H378">
        <v>0.89</v>
      </c>
      <c r="I378" t="s">
        <v>34</v>
      </c>
      <c r="J378">
        <v>139464</v>
      </c>
      <c r="K378" t="s">
        <v>42</v>
      </c>
      <c r="L378">
        <v>43</v>
      </c>
      <c r="M378">
        <v>53</v>
      </c>
      <c r="N378" t="s">
        <v>26</v>
      </c>
      <c r="O378" t="s">
        <v>25</v>
      </c>
      <c r="P378">
        <v>4.29</v>
      </c>
      <c r="Q378" t="s">
        <v>34</v>
      </c>
      <c r="R378">
        <v>4.05</v>
      </c>
      <c r="S378" t="s">
        <v>28</v>
      </c>
      <c r="T378" t="str">
        <f t="shared" si="10"/>
        <v>Very High</v>
      </c>
      <c r="U378" t="str">
        <f t="shared" si="11"/>
        <v>Experienced</v>
      </c>
    </row>
    <row r="379" spans="1:21" x14ac:dyDescent="0.35">
      <c r="A379" t="s">
        <v>452</v>
      </c>
      <c r="B379" t="s">
        <v>30</v>
      </c>
      <c r="C379" t="s">
        <v>55</v>
      </c>
      <c r="D379" t="s">
        <v>75</v>
      </c>
      <c r="E379" t="s">
        <v>23</v>
      </c>
      <c r="F379">
        <v>23</v>
      </c>
      <c r="G379">
        <v>0.61</v>
      </c>
      <c r="H379">
        <v>0.51</v>
      </c>
      <c r="I379" t="s">
        <v>34</v>
      </c>
      <c r="J379">
        <v>133650</v>
      </c>
      <c r="K379" t="s">
        <v>27</v>
      </c>
      <c r="L379">
        <v>-5</v>
      </c>
      <c r="M379">
        <v>57</v>
      </c>
      <c r="N379" t="s">
        <v>35</v>
      </c>
      <c r="O379" t="s">
        <v>27</v>
      </c>
      <c r="P379">
        <v>2.0699999999999998</v>
      </c>
      <c r="Q379" t="s">
        <v>34</v>
      </c>
      <c r="R379">
        <v>3.24</v>
      </c>
      <c r="S379" t="s">
        <v>47</v>
      </c>
      <c r="T379" t="str">
        <f t="shared" si="10"/>
        <v>Moderate</v>
      </c>
      <c r="U379" t="str">
        <f t="shared" si="11"/>
        <v>Expert</v>
      </c>
    </row>
    <row r="380" spans="1:21" x14ac:dyDescent="0.35">
      <c r="A380" t="s">
        <v>453</v>
      </c>
      <c r="B380" t="s">
        <v>68</v>
      </c>
      <c r="C380" t="s">
        <v>55</v>
      </c>
      <c r="D380" t="s">
        <v>32</v>
      </c>
      <c r="E380" t="s">
        <v>41</v>
      </c>
      <c r="F380">
        <v>8</v>
      </c>
      <c r="G380">
        <v>0.73</v>
      </c>
      <c r="H380">
        <v>0.6</v>
      </c>
      <c r="I380" t="s">
        <v>24</v>
      </c>
      <c r="J380">
        <v>34892</v>
      </c>
      <c r="K380" t="s">
        <v>25</v>
      </c>
      <c r="L380">
        <v>43</v>
      </c>
      <c r="M380">
        <v>52</v>
      </c>
      <c r="N380" t="s">
        <v>26</v>
      </c>
      <c r="O380" t="s">
        <v>36</v>
      </c>
      <c r="P380">
        <v>2.25</v>
      </c>
      <c r="Q380" t="s">
        <v>34</v>
      </c>
      <c r="R380">
        <v>2.61</v>
      </c>
      <c r="S380" t="s">
        <v>47</v>
      </c>
      <c r="T380" t="str">
        <f t="shared" si="10"/>
        <v>Moderate</v>
      </c>
      <c r="U380" t="str">
        <f t="shared" si="11"/>
        <v>Intermediate</v>
      </c>
    </row>
    <row r="381" spans="1:21" x14ac:dyDescent="0.35">
      <c r="A381" t="s">
        <v>454</v>
      </c>
      <c r="B381" t="s">
        <v>45</v>
      </c>
      <c r="C381" t="s">
        <v>21</v>
      </c>
      <c r="D381" t="s">
        <v>40</v>
      </c>
      <c r="E381" t="s">
        <v>33</v>
      </c>
      <c r="F381">
        <v>9</v>
      </c>
      <c r="G381">
        <v>0.82</v>
      </c>
      <c r="H381">
        <v>0.45</v>
      </c>
      <c r="I381" t="s">
        <v>24</v>
      </c>
      <c r="J381">
        <v>97417</v>
      </c>
      <c r="K381" t="s">
        <v>25</v>
      </c>
      <c r="L381">
        <v>6</v>
      </c>
      <c r="M381">
        <v>54</v>
      </c>
      <c r="N381" t="s">
        <v>35</v>
      </c>
      <c r="O381" t="s">
        <v>25</v>
      </c>
      <c r="P381">
        <v>2.92</v>
      </c>
      <c r="Q381" t="s">
        <v>34</v>
      </c>
      <c r="R381">
        <v>3.71</v>
      </c>
      <c r="S381" t="s">
        <v>47</v>
      </c>
      <c r="T381" t="str">
        <f t="shared" si="10"/>
        <v>Very Low</v>
      </c>
      <c r="U381" t="str">
        <f t="shared" si="11"/>
        <v>Experienced</v>
      </c>
    </row>
    <row r="382" spans="1:21" x14ac:dyDescent="0.35">
      <c r="A382" t="s">
        <v>455</v>
      </c>
      <c r="B382" t="s">
        <v>54</v>
      </c>
      <c r="C382" t="s">
        <v>52</v>
      </c>
      <c r="D382" t="s">
        <v>40</v>
      </c>
      <c r="E382" t="s">
        <v>41</v>
      </c>
      <c r="F382">
        <v>6</v>
      </c>
      <c r="G382">
        <v>0.14000000000000001</v>
      </c>
      <c r="H382">
        <v>0.31</v>
      </c>
      <c r="I382" t="s">
        <v>24</v>
      </c>
      <c r="J382">
        <v>114991</v>
      </c>
      <c r="K382" t="s">
        <v>27</v>
      </c>
      <c r="L382">
        <v>27</v>
      </c>
      <c r="M382">
        <v>37</v>
      </c>
      <c r="N382" t="s">
        <v>42</v>
      </c>
      <c r="O382" t="s">
        <v>27</v>
      </c>
      <c r="P382">
        <v>4.26</v>
      </c>
      <c r="Q382" t="s">
        <v>34</v>
      </c>
      <c r="R382">
        <v>4.8</v>
      </c>
      <c r="S382" t="s">
        <v>43</v>
      </c>
      <c r="T382" t="str">
        <f t="shared" si="10"/>
        <v>High</v>
      </c>
      <c r="U382" t="str">
        <f t="shared" si="11"/>
        <v>Intermediate</v>
      </c>
    </row>
    <row r="383" spans="1:21" x14ac:dyDescent="0.35">
      <c r="A383" t="s">
        <v>456</v>
      </c>
      <c r="B383" t="s">
        <v>57</v>
      </c>
      <c r="C383" t="s">
        <v>58</v>
      </c>
      <c r="D383" t="s">
        <v>66</v>
      </c>
      <c r="E383" t="s">
        <v>41</v>
      </c>
      <c r="F383">
        <v>7</v>
      </c>
      <c r="G383">
        <v>0.11</v>
      </c>
      <c r="H383">
        <v>0.22</v>
      </c>
      <c r="I383" t="s">
        <v>60</v>
      </c>
      <c r="J383">
        <v>196079</v>
      </c>
      <c r="K383" t="s">
        <v>27</v>
      </c>
      <c r="L383">
        <v>40</v>
      </c>
      <c r="M383">
        <v>34</v>
      </c>
      <c r="N383" t="s">
        <v>42</v>
      </c>
      <c r="O383" t="s">
        <v>27</v>
      </c>
      <c r="P383">
        <v>3.22</v>
      </c>
      <c r="Q383" t="s">
        <v>24</v>
      </c>
      <c r="R383">
        <v>4.3899999999999997</v>
      </c>
      <c r="S383" t="s">
        <v>28</v>
      </c>
      <c r="T383" t="str">
        <f t="shared" si="10"/>
        <v>High</v>
      </c>
      <c r="U383" t="str">
        <f t="shared" si="11"/>
        <v>Intermediate</v>
      </c>
    </row>
    <row r="384" spans="1:21" x14ac:dyDescent="0.35">
      <c r="A384" t="s">
        <v>457</v>
      </c>
      <c r="B384" t="s">
        <v>91</v>
      </c>
      <c r="C384" t="s">
        <v>58</v>
      </c>
      <c r="D384" t="s">
        <v>75</v>
      </c>
      <c r="E384" t="s">
        <v>23</v>
      </c>
      <c r="F384">
        <v>19</v>
      </c>
      <c r="G384">
        <v>0.27</v>
      </c>
      <c r="H384">
        <v>0.95</v>
      </c>
      <c r="I384" t="s">
        <v>34</v>
      </c>
      <c r="J384">
        <v>175529</v>
      </c>
      <c r="K384" t="s">
        <v>27</v>
      </c>
      <c r="L384">
        <v>0</v>
      </c>
      <c r="M384">
        <v>30</v>
      </c>
      <c r="N384" t="s">
        <v>35</v>
      </c>
      <c r="O384" t="s">
        <v>36</v>
      </c>
      <c r="P384">
        <v>2.82</v>
      </c>
      <c r="Q384" t="s">
        <v>34</v>
      </c>
      <c r="R384">
        <v>4.3600000000000003</v>
      </c>
      <c r="S384" t="s">
        <v>43</v>
      </c>
      <c r="T384" t="str">
        <f t="shared" si="10"/>
        <v>Very High</v>
      </c>
      <c r="U384" t="str">
        <f t="shared" si="11"/>
        <v>Expert</v>
      </c>
    </row>
    <row r="385" spans="1:21" x14ac:dyDescent="0.35">
      <c r="A385" t="s">
        <v>458</v>
      </c>
      <c r="B385" t="s">
        <v>45</v>
      </c>
      <c r="C385" t="s">
        <v>52</v>
      </c>
      <c r="D385" t="s">
        <v>40</v>
      </c>
      <c r="E385" t="s">
        <v>33</v>
      </c>
      <c r="F385">
        <v>23</v>
      </c>
      <c r="G385">
        <v>0.72</v>
      </c>
      <c r="H385">
        <v>0.64</v>
      </c>
      <c r="I385" t="s">
        <v>60</v>
      </c>
      <c r="J385">
        <v>108810</v>
      </c>
      <c r="K385" t="s">
        <v>42</v>
      </c>
      <c r="L385">
        <v>17</v>
      </c>
      <c r="M385">
        <v>36</v>
      </c>
      <c r="N385" t="s">
        <v>26</v>
      </c>
      <c r="O385" t="s">
        <v>27</v>
      </c>
      <c r="P385">
        <v>4.87</v>
      </c>
      <c r="Q385" t="s">
        <v>34</v>
      </c>
      <c r="R385">
        <v>4.54</v>
      </c>
      <c r="S385" t="s">
        <v>43</v>
      </c>
      <c r="T385" t="str">
        <f t="shared" si="10"/>
        <v>Moderate</v>
      </c>
      <c r="U385" t="str">
        <f t="shared" si="11"/>
        <v>Expert</v>
      </c>
    </row>
    <row r="386" spans="1:21" x14ac:dyDescent="0.35">
      <c r="A386" t="s">
        <v>459</v>
      </c>
      <c r="B386" t="s">
        <v>30</v>
      </c>
      <c r="C386" t="s">
        <v>58</v>
      </c>
      <c r="D386" t="s">
        <v>32</v>
      </c>
      <c r="E386" t="s">
        <v>41</v>
      </c>
      <c r="F386">
        <v>19</v>
      </c>
      <c r="G386">
        <v>0.36</v>
      </c>
      <c r="H386">
        <v>0.56000000000000005</v>
      </c>
      <c r="I386" t="s">
        <v>34</v>
      </c>
      <c r="J386">
        <v>187158</v>
      </c>
      <c r="K386" t="s">
        <v>25</v>
      </c>
      <c r="L386">
        <v>-10</v>
      </c>
      <c r="M386">
        <v>51</v>
      </c>
      <c r="N386" t="s">
        <v>35</v>
      </c>
      <c r="O386" t="s">
        <v>36</v>
      </c>
      <c r="P386">
        <v>3.67</v>
      </c>
      <c r="Q386" t="s">
        <v>34</v>
      </c>
      <c r="R386">
        <v>4.05</v>
      </c>
      <c r="S386" t="s">
        <v>28</v>
      </c>
      <c r="T386" t="str">
        <f t="shared" si="10"/>
        <v>High</v>
      </c>
      <c r="U386" t="str">
        <f t="shared" si="11"/>
        <v>Expert</v>
      </c>
    </row>
    <row r="387" spans="1:21" x14ac:dyDescent="0.35">
      <c r="A387" t="s">
        <v>460</v>
      </c>
      <c r="B387" t="s">
        <v>77</v>
      </c>
      <c r="C387" t="s">
        <v>74</v>
      </c>
      <c r="D387" t="s">
        <v>69</v>
      </c>
      <c r="E387" t="s">
        <v>33</v>
      </c>
      <c r="F387">
        <v>24</v>
      </c>
      <c r="G387">
        <v>0.66</v>
      </c>
      <c r="H387">
        <v>0.48</v>
      </c>
      <c r="I387" t="s">
        <v>60</v>
      </c>
      <c r="J387">
        <v>128664</v>
      </c>
      <c r="K387" t="s">
        <v>25</v>
      </c>
      <c r="L387">
        <v>-3</v>
      </c>
      <c r="M387">
        <v>44</v>
      </c>
      <c r="N387" t="s">
        <v>42</v>
      </c>
      <c r="O387" t="s">
        <v>25</v>
      </c>
      <c r="P387">
        <v>3.33</v>
      </c>
      <c r="Q387" t="s">
        <v>24</v>
      </c>
      <c r="R387">
        <v>3.97</v>
      </c>
      <c r="S387" t="s">
        <v>43</v>
      </c>
      <c r="T387" t="str">
        <f t="shared" ref="T387:T450" si="12">IF(AND(G387&lt;0.4,H387&gt;=0.7),"Very High",
IF(AND(G387&gt;=0.7,H387&lt;0.5),"Very Low",
IF(G387&lt;H387,"High","Moderate")))</f>
        <v>Moderate</v>
      </c>
      <c r="U387" t="str">
        <f t="shared" ref="U387:U450" si="13">_xlfn.IFS(F387&lt;=2,"Beginner",F387&lt;=8,"Intermediate",F387&lt;=15,"Experienced",F387&lt;=25,"Expert")</f>
        <v>Expert</v>
      </c>
    </row>
    <row r="388" spans="1:21" x14ac:dyDescent="0.35">
      <c r="A388" t="s">
        <v>461</v>
      </c>
      <c r="B388" t="s">
        <v>73</v>
      </c>
      <c r="C388" t="s">
        <v>31</v>
      </c>
      <c r="D388" t="s">
        <v>49</v>
      </c>
      <c r="E388" t="s">
        <v>33</v>
      </c>
      <c r="F388">
        <v>0</v>
      </c>
      <c r="G388">
        <v>0.25</v>
      </c>
      <c r="H388">
        <v>0.97</v>
      </c>
      <c r="I388" t="s">
        <v>24</v>
      </c>
      <c r="J388">
        <v>125158</v>
      </c>
      <c r="K388" t="s">
        <v>27</v>
      </c>
      <c r="L388">
        <v>15</v>
      </c>
      <c r="M388">
        <v>33</v>
      </c>
      <c r="N388" t="s">
        <v>42</v>
      </c>
      <c r="O388" t="s">
        <v>27</v>
      </c>
      <c r="P388">
        <v>3.5</v>
      </c>
      <c r="Q388" t="s">
        <v>24</v>
      </c>
      <c r="R388">
        <v>3.21</v>
      </c>
      <c r="S388" t="s">
        <v>28</v>
      </c>
      <c r="T388" t="str">
        <f t="shared" si="12"/>
        <v>Very High</v>
      </c>
      <c r="U388" t="str">
        <f t="shared" si="13"/>
        <v>Beginner</v>
      </c>
    </row>
    <row r="389" spans="1:21" x14ac:dyDescent="0.35">
      <c r="A389" t="s">
        <v>462</v>
      </c>
      <c r="B389" t="s">
        <v>65</v>
      </c>
      <c r="C389" t="s">
        <v>31</v>
      </c>
      <c r="D389" t="s">
        <v>59</v>
      </c>
      <c r="E389" t="s">
        <v>41</v>
      </c>
      <c r="F389">
        <v>22</v>
      </c>
      <c r="G389">
        <v>0.28000000000000003</v>
      </c>
      <c r="H389">
        <v>0.65</v>
      </c>
      <c r="I389" t="s">
        <v>60</v>
      </c>
      <c r="J389">
        <v>89759</v>
      </c>
      <c r="K389" t="s">
        <v>27</v>
      </c>
      <c r="L389">
        <v>29</v>
      </c>
      <c r="M389">
        <v>38</v>
      </c>
      <c r="N389" t="s">
        <v>26</v>
      </c>
      <c r="O389" t="s">
        <v>27</v>
      </c>
      <c r="P389">
        <v>4.6500000000000004</v>
      </c>
      <c r="Q389" t="s">
        <v>24</v>
      </c>
      <c r="R389">
        <v>4.75</v>
      </c>
      <c r="S389" t="s">
        <v>28</v>
      </c>
      <c r="T389" t="str">
        <f t="shared" si="12"/>
        <v>High</v>
      </c>
      <c r="U389" t="str">
        <f t="shared" si="13"/>
        <v>Expert</v>
      </c>
    </row>
    <row r="390" spans="1:21" x14ac:dyDescent="0.35">
      <c r="A390" t="s">
        <v>463</v>
      </c>
      <c r="B390" t="s">
        <v>89</v>
      </c>
      <c r="C390" t="s">
        <v>74</v>
      </c>
      <c r="D390" t="s">
        <v>80</v>
      </c>
      <c r="E390" t="s">
        <v>41</v>
      </c>
      <c r="F390">
        <v>23</v>
      </c>
      <c r="G390">
        <v>0.3</v>
      </c>
      <c r="H390">
        <v>0.74</v>
      </c>
      <c r="I390" t="s">
        <v>24</v>
      </c>
      <c r="J390">
        <v>152312</v>
      </c>
      <c r="K390" t="s">
        <v>25</v>
      </c>
      <c r="L390">
        <v>7</v>
      </c>
      <c r="M390">
        <v>59</v>
      </c>
      <c r="N390" t="s">
        <v>42</v>
      </c>
      <c r="O390" t="s">
        <v>27</v>
      </c>
      <c r="P390">
        <v>3.35</v>
      </c>
      <c r="Q390" t="s">
        <v>24</v>
      </c>
      <c r="R390">
        <v>2.57</v>
      </c>
      <c r="S390" t="s">
        <v>43</v>
      </c>
      <c r="T390" t="str">
        <f t="shared" si="12"/>
        <v>Very High</v>
      </c>
      <c r="U390" t="str">
        <f t="shared" si="13"/>
        <v>Expert</v>
      </c>
    </row>
    <row r="391" spans="1:21" x14ac:dyDescent="0.35">
      <c r="A391" t="s">
        <v>464</v>
      </c>
      <c r="B391" t="s">
        <v>51</v>
      </c>
      <c r="C391" t="s">
        <v>74</v>
      </c>
      <c r="D391" t="s">
        <v>66</v>
      </c>
      <c r="E391" t="s">
        <v>41</v>
      </c>
      <c r="F391">
        <v>20</v>
      </c>
      <c r="G391">
        <v>0.91</v>
      </c>
      <c r="H391">
        <v>0.92</v>
      </c>
      <c r="I391" t="s">
        <v>60</v>
      </c>
      <c r="J391">
        <v>81610</v>
      </c>
      <c r="K391" t="s">
        <v>25</v>
      </c>
      <c r="L391">
        <v>-9</v>
      </c>
      <c r="M391">
        <v>45</v>
      </c>
      <c r="N391" t="s">
        <v>42</v>
      </c>
      <c r="O391" t="s">
        <v>25</v>
      </c>
      <c r="P391">
        <v>3.78</v>
      </c>
      <c r="Q391" t="s">
        <v>34</v>
      </c>
      <c r="R391">
        <v>4.3600000000000003</v>
      </c>
      <c r="S391" t="s">
        <v>47</v>
      </c>
      <c r="T391" t="str">
        <f t="shared" si="12"/>
        <v>High</v>
      </c>
      <c r="U391" t="str">
        <f t="shared" si="13"/>
        <v>Expert</v>
      </c>
    </row>
    <row r="392" spans="1:21" x14ac:dyDescent="0.35">
      <c r="A392" t="s">
        <v>465</v>
      </c>
      <c r="B392" t="s">
        <v>57</v>
      </c>
      <c r="C392" t="s">
        <v>21</v>
      </c>
      <c r="D392" t="s">
        <v>22</v>
      </c>
      <c r="E392" t="s">
        <v>23</v>
      </c>
      <c r="F392">
        <v>24</v>
      </c>
      <c r="G392">
        <v>0.8</v>
      </c>
      <c r="H392">
        <v>0.85</v>
      </c>
      <c r="I392" t="s">
        <v>24</v>
      </c>
      <c r="J392">
        <v>166229</v>
      </c>
      <c r="K392" t="s">
        <v>27</v>
      </c>
      <c r="L392">
        <v>18</v>
      </c>
      <c r="M392">
        <v>48</v>
      </c>
      <c r="N392" t="s">
        <v>35</v>
      </c>
      <c r="O392" t="s">
        <v>25</v>
      </c>
      <c r="P392">
        <v>4.92</v>
      </c>
      <c r="Q392" t="s">
        <v>24</v>
      </c>
      <c r="R392">
        <v>2.5099999999999998</v>
      </c>
      <c r="S392" t="s">
        <v>28</v>
      </c>
      <c r="T392" t="str">
        <f t="shared" si="12"/>
        <v>High</v>
      </c>
      <c r="U392" t="str">
        <f t="shared" si="13"/>
        <v>Expert</v>
      </c>
    </row>
    <row r="393" spans="1:21" x14ac:dyDescent="0.35">
      <c r="A393" t="s">
        <v>466</v>
      </c>
      <c r="B393" t="s">
        <v>45</v>
      </c>
      <c r="C393" t="s">
        <v>21</v>
      </c>
      <c r="D393" t="s">
        <v>75</v>
      </c>
      <c r="E393" t="s">
        <v>41</v>
      </c>
      <c r="F393">
        <v>9</v>
      </c>
      <c r="G393">
        <v>0.1</v>
      </c>
      <c r="H393">
        <v>0.68</v>
      </c>
      <c r="I393" t="s">
        <v>34</v>
      </c>
      <c r="J393">
        <v>143204</v>
      </c>
      <c r="K393" t="s">
        <v>42</v>
      </c>
      <c r="L393">
        <v>-4</v>
      </c>
      <c r="M393">
        <v>49</v>
      </c>
      <c r="N393" t="s">
        <v>42</v>
      </c>
      <c r="O393" t="s">
        <v>25</v>
      </c>
      <c r="P393">
        <v>4.59</v>
      </c>
      <c r="Q393" t="s">
        <v>24</v>
      </c>
      <c r="R393">
        <v>2.81</v>
      </c>
      <c r="S393" t="s">
        <v>43</v>
      </c>
      <c r="T393" t="str">
        <f t="shared" si="12"/>
        <v>High</v>
      </c>
      <c r="U393" t="str">
        <f t="shared" si="13"/>
        <v>Experienced</v>
      </c>
    </row>
    <row r="394" spans="1:21" x14ac:dyDescent="0.35">
      <c r="A394" t="s">
        <v>467</v>
      </c>
      <c r="B394" t="s">
        <v>77</v>
      </c>
      <c r="C394" t="s">
        <v>21</v>
      </c>
      <c r="D394" t="s">
        <v>22</v>
      </c>
      <c r="E394" t="s">
        <v>33</v>
      </c>
      <c r="F394">
        <v>18</v>
      </c>
      <c r="G394">
        <v>0.57999999999999996</v>
      </c>
      <c r="H394">
        <v>0.28999999999999998</v>
      </c>
      <c r="I394" t="s">
        <v>24</v>
      </c>
      <c r="J394">
        <v>33221</v>
      </c>
      <c r="K394" t="s">
        <v>27</v>
      </c>
      <c r="L394">
        <v>22</v>
      </c>
      <c r="M394">
        <v>38</v>
      </c>
      <c r="N394" t="s">
        <v>42</v>
      </c>
      <c r="O394" t="s">
        <v>36</v>
      </c>
      <c r="P394">
        <v>3.44</v>
      </c>
      <c r="Q394" t="s">
        <v>34</v>
      </c>
      <c r="R394">
        <v>1.74</v>
      </c>
      <c r="S394" t="s">
        <v>47</v>
      </c>
      <c r="T394" t="str">
        <f t="shared" si="12"/>
        <v>Moderate</v>
      </c>
      <c r="U394" t="str">
        <f t="shared" si="13"/>
        <v>Expert</v>
      </c>
    </row>
    <row r="395" spans="1:21" x14ac:dyDescent="0.35">
      <c r="A395" t="s">
        <v>468</v>
      </c>
      <c r="B395" t="s">
        <v>147</v>
      </c>
      <c r="C395" t="s">
        <v>31</v>
      </c>
      <c r="D395" t="s">
        <v>22</v>
      </c>
      <c r="E395" t="s">
        <v>33</v>
      </c>
      <c r="F395">
        <v>4</v>
      </c>
      <c r="G395">
        <v>0.57999999999999996</v>
      </c>
      <c r="H395">
        <v>0.61</v>
      </c>
      <c r="I395" t="s">
        <v>34</v>
      </c>
      <c r="J395">
        <v>200840</v>
      </c>
      <c r="K395" t="s">
        <v>42</v>
      </c>
      <c r="L395">
        <v>28</v>
      </c>
      <c r="M395">
        <v>40</v>
      </c>
      <c r="N395" t="s">
        <v>42</v>
      </c>
      <c r="O395" t="s">
        <v>36</v>
      </c>
      <c r="P395">
        <v>4.91</v>
      </c>
      <c r="Q395" t="s">
        <v>24</v>
      </c>
      <c r="R395">
        <v>1.23</v>
      </c>
      <c r="S395" t="s">
        <v>28</v>
      </c>
      <c r="T395" t="str">
        <f t="shared" si="12"/>
        <v>High</v>
      </c>
      <c r="U395" t="str">
        <f t="shared" si="13"/>
        <v>Intermediate</v>
      </c>
    </row>
    <row r="396" spans="1:21" x14ac:dyDescent="0.35">
      <c r="A396" t="s">
        <v>469</v>
      </c>
      <c r="B396" t="s">
        <v>45</v>
      </c>
      <c r="C396" t="s">
        <v>74</v>
      </c>
      <c r="D396" t="s">
        <v>59</v>
      </c>
      <c r="E396" t="s">
        <v>23</v>
      </c>
      <c r="F396">
        <v>22</v>
      </c>
      <c r="G396">
        <v>0.93</v>
      </c>
      <c r="H396">
        <v>0.71</v>
      </c>
      <c r="I396" t="s">
        <v>60</v>
      </c>
      <c r="J396">
        <v>82759</v>
      </c>
      <c r="K396" t="s">
        <v>42</v>
      </c>
      <c r="L396">
        <v>28</v>
      </c>
      <c r="M396">
        <v>52</v>
      </c>
      <c r="N396" t="s">
        <v>42</v>
      </c>
      <c r="O396" t="s">
        <v>27</v>
      </c>
      <c r="P396">
        <v>3.7</v>
      </c>
      <c r="Q396" t="s">
        <v>34</v>
      </c>
      <c r="R396">
        <v>3.46</v>
      </c>
      <c r="S396" t="s">
        <v>43</v>
      </c>
      <c r="T396" t="str">
        <f t="shared" si="12"/>
        <v>Moderate</v>
      </c>
      <c r="U396" t="str">
        <f t="shared" si="13"/>
        <v>Expert</v>
      </c>
    </row>
    <row r="397" spans="1:21" x14ac:dyDescent="0.35">
      <c r="A397" t="s">
        <v>470</v>
      </c>
      <c r="B397" t="s">
        <v>57</v>
      </c>
      <c r="C397" t="s">
        <v>39</v>
      </c>
      <c r="D397" t="s">
        <v>49</v>
      </c>
      <c r="E397" t="s">
        <v>33</v>
      </c>
      <c r="F397">
        <v>7</v>
      </c>
      <c r="G397">
        <v>0.87</v>
      </c>
      <c r="H397">
        <v>0.59</v>
      </c>
      <c r="I397" t="s">
        <v>34</v>
      </c>
      <c r="J397">
        <v>30969</v>
      </c>
      <c r="K397" t="s">
        <v>27</v>
      </c>
      <c r="L397">
        <v>39</v>
      </c>
      <c r="M397">
        <v>60</v>
      </c>
      <c r="N397" t="s">
        <v>42</v>
      </c>
      <c r="O397" t="s">
        <v>27</v>
      </c>
      <c r="P397">
        <v>3.13</v>
      </c>
      <c r="Q397" t="s">
        <v>34</v>
      </c>
      <c r="R397">
        <v>1.74</v>
      </c>
      <c r="S397" t="s">
        <v>47</v>
      </c>
      <c r="T397" t="str">
        <f t="shared" si="12"/>
        <v>Moderate</v>
      </c>
      <c r="U397" t="str">
        <f t="shared" si="13"/>
        <v>Intermediate</v>
      </c>
    </row>
    <row r="398" spans="1:21" x14ac:dyDescent="0.35">
      <c r="A398" t="s">
        <v>471</v>
      </c>
      <c r="B398" t="s">
        <v>38</v>
      </c>
      <c r="C398" t="s">
        <v>74</v>
      </c>
      <c r="D398" t="s">
        <v>75</v>
      </c>
      <c r="E398" t="s">
        <v>41</v>
      </c>
      <c r="F398">
        <v>6</v>
      </c>
      <c r="G398">
        <v>0.15</v>
      </c>
      <c r="H398">
        <v>0.43</v>
      </c>
      <c r="I398" t="s">
        <v>24</v>
      </c>
      <c r="J398">
        <v>80961</v>
      </c>
      <c r="K398" t="s">
        <v>42</v>
      </c>
      <c r="L398">
        <v>1</v>
      </c>
      <c r="M398">
        <v>37</v>
      </c>
      <c r="N398" t="s">
        <v>42</v>
      </c>
      <c r="O398" t="s">
        <v>27</v>
      </c>
      <c r="P398">
        <v>2.52</v>
      </c>
      <c r="Q398" t="s">
        <v>24</v>
      </c>
      <c r="R398">
        <v>1.71</v>
      </c>
      <c r="S398" t="s">
        <v>47</v>
      </c>
      <c r="T398" t="str">
        <f t="shared" si="12"/>
        <v>High</v>
      </c>
      <c r="U398" t="str">
        <f t="shared" si="13"/>
        <v>Intermediate</v>
      </c>
    </row>
    <row r="399" spans="1:21" x14ac:dyDescent="0.35">
      <c r="A399" t="s">
        <v>472</v>
      </c>
      <c r="B399" t="s">
        <v>30</v>
      </c>
      <c r="C399" t="s">
        <v>39</v>
      </c>
      <c r="D399" t="s">
        <v>66</v>
      </c>
      <c r="E399" t="s">
        <v>23</v>
      </c>
      <c r="F399">
        <v>7</v>
      </c>
      <c r="G399">
        <v>0.66</v>
      </c>
      <c r="H399">
        <v>0.5</v>
      </c>
      <c r="I399" t="s">
        <v>34</v>
      </c>
      <c r="J399">
        <v>59089</v>
      </c>
      <c r="K399" t="s">
        <v>42</v>
      </c>
      <c r="L399">
        <v>32</v>
      </c>
      <c r="M399">
        <v>35</v>
      </c>
      <c r="N399" t="s">
        <v>26</v>
      </c>
      <c r="O399" t="s">
        <v>27</v>
      </c>
      <c r="P399">
        <v>4.6399999999999997</v>
      </c>
      <c r="Q399" t="s">
        <v>24</v>
      </c>
      <c r="R399">
        <v>1.47</v>
      </c>
      <c r="S399" t="s">
        <v>47</v>
      </c>
      <c r="T399" t="str">
        <f t="shared" si="12"/>
        <v>Moderate</v>
      </c>
      <c r="U399" t="str">
        <f t="shared" si="13"/>
        <v>Intermediate</v>
      </c>
    </row>
    <row r="400" spans="1:21" x14ac:dyDescent="0.35">
      <c r="A400" t="s">
        <v>473</v>
      </c>
      <c r="B400" t="s">
        <v>73</v>
      </c>
      <c r="C400" t="s">
        <v>46</v>
      </c>
      <c r="D400" t="s">
        <v>22</v>
      </c>
      <c r="E400" t="s">
        <v>33</v>
      </c>
      <c r="F400">
        <v>17</v>
      </c>
      <c r="G400">
        <v>0.59</v>
      </c>
      <c r="H400">
        <v>0.97</v>
      </c>
      <c r="I400" t="s">
        <v>34</v>
      </c>
      <c r="J400">
        <v>94107</v>
      </c>
      <c r="K400" t="s">
        <v>25</v>
      </c>
      <c r="L400">
        <v>10</v>
      </c>
      <c r="M400">
        <v>37</v>
      </c>
      <c r="N400" t="s">
        <v>35</v>
      </c>
      <c r="O400" t="s">
        <v>27</v>
      </c>
      <c r="P400">
        <v>4.3899999999999997</v>
      </c>
      <c r="Q400" t="s">
        <v>24</v>
      </c>
      <c r="R400">
        <v>4.41</v>
      </c>
      <c r="S400" t="s">
        <v>28</v>
      </c>
      <c r="T400" t="str">
        <f t="shared" si="12"/>
        <v>High</v>
      </c>
      <c r="U400" t="str">
        <f t="shared" si="13"/>
        <v>Expert</v>
      </c>
    </row>
    <row r="401" spans="1:21" x14ac:dyDescent="0.35">
      <c r="A401" t="s">
        <v>474</v>
      </c>
      <c r="B401" t="s">
        <v>65</v>
      </c>
      <c r="C401" t="s">
        <v>74</v>
      </c>
      <c r="D401" t="s">
        <v>49</v>
      </c>
      <c r="E401" t="s">
        <v>23</v>
      </c>
      <c r="F401">
        <v>5</v>
      </c>
      <c r="G401">
        <v>0.11</v>
      </c>
      <c r="H401">
        <v>0.6</v>
      </c>
      <c r="I401" t="s">
        <v>34</v>
      </c>
      <c r="J401">
        <v>199101</v>
      </c>
      <c r="K401" t="s">
        <v>27</v>
      </c>
      <c r="L401">
        <v>13</v>
      </c>
      <c r="M401">
        <v>46</v>
      </c>
      <c r="N401" t="s">
        <v>26</v>
      </c>
      <c r="O401" t="s">
        <v>36</v>
      </c>
      <c r="P401">
        <v>4.1500000000000004</v>
      </c>
      <c r="Q401" t="s">
        <v>34</v>
      </c>
      <c r="R401">
        <v>2.9</v>
      </c>
      <c r="S401" t="s">
        <v>28</v>
      </c>
      <c r="T401" t="str">
        <f t="shared" si="12"/>
        <v>High</v>
      </c>
      <c r="U401" t="str">
        <f t="shared" si="13"/>
        <v>Intermediate</v>
      </c>
    </row>
    <row r="402" spans="1:21" x14ac:dyDescent="0.35">
      <c r="A402" t="s">
        <v>475</v>
      </c>
      <c r="B402" t="s">
        <v>94</v>
      </c>
      <c r="C402" t="s">
        <v>52</v>
      </c>
      <c r="D402" t="s">
        <v>22</v>
      </c>
      <c r="E402" t="s">
        <v>33</v>
      </c>
      <c r="F402">
        <v>11</v>
      </c>
      <c r="G402">
        <v>0.83</v>
      </c>
      <c r="H402">
        <v>0.51</v>
      </c>
      <c r="I402" t="s">
        <v>34</v>
      </c>
      <c r="J402">
        <v>110215</v>
      </c>
      <c r="K402" t="s">
        <v>27</v>
      </c>
      <c r="L402">
        <v>-5</v>
      </c>
      <c r="M402">
        <v>34</v>
      </c>
      <c r="N402" t="s">
        <v>35</v>
      </c>
      <c r="O402" t="s">
        <v>36</v>
      </c>
      <c r="P402">
        <v>3.33</v>
      </c>
      <c r="Q402" t="s">
        <v>34</v>
      </c>
      <c r="R402">
        <v>1.92</v>
      </c>
      <c r="S402" t="s">
        <v>47</v>
      </c>
      <c r="T402" t="str">
        <f t="shared" si="12"/>
        <v>Moderate</v>
      </c>
      <c r="U402" t="str">
        <f t="shared" si="13"/>
        <v>Experienced</v>
      </c>
    </row>
    <row r="403" spans="1:21" x14ac:dyDescent="0.35">
      <c r="A403" t="s">
        <v>476</v>
      </c>
      <c r="B403" t="s">
        <v>54</v>
      </c>
      <c r="C403" t="s">
        <v>52</v>
      </c>
      <c r="D403" t="s">
        <v>75</v>
      </c>
      <c r="E403" t="s">
        <v>33</v>
      </c>
      <c r="F403">
        <v>14</v>
      </c>
      <c r="G403">
        <v>0.42</v>
      </c>
      <c r="H403">
        <v>0.84</v>
      </c>
      <c r="I403" t="s">
        <v>24</v>
      </c>
      <c r="J403">
        <v>113105</v>
      </c>
      <c r="K403" t="s">
        <v>42</v>
      </c>
      <c r="L403">
        <v>31</v>
      </c>
      <c r="M403">
        <v>32</v>
      </c>
      <c r="N403" t="s">
        <v>42</v>
      </c>
      <c r="O403" t="s">
        <v>25</v>
      </c>
      <c r="P403">
        <v>2.88</v>
      </c>
      <c r="Q403" t="s">
        <v>24</v>
      </c>
      <c r="R403">
        <v>4.1399999999999997</v>
      </c>
      <c r="S403" t="s">
        <v>47</v>
      </c>
      <c r="T403" t="str">
        <f t="shared" si="12"/>
        <v>High</v>
      </c>
      <c r="U403" t="str">
        <f t="shared" si="13"/>
        <v>Experienced</v>
      </c>
    </row>
    <row r="404" spans="1:21" x14ac:dyDescent="0.35">
      <c r="A404" t="s">
        <v>477</v>
      </c>
      <c r="B404" t="s">
        <v>30</v>
      </c>
      <c r="C404" t="s">
        <v>31</v>
      </c>
      <c r="D404" t="s">
        <v>66</v>
      </c>
      <c r="E404" t="s">
        <v>70</v>
      </c>
      <c r="F404">
        <v>6</v>
      </c>
      <c r="G404">
        <v>0.08</v>
      </c>
      <c r="H404">
        <v>0.36</v>
      </c>
      <c r="I404" t="s">
        <v>60</v>
      </c>
      <c r="J404">
        <v>81549</v>
      </c>
      <c r="K404" t="s">
        <v>27</v>
      </c>
      <c r="L404">
        <v>-2</v>
      </c>
      <c r="M404">
        <v>57</v>
      </c>
      <c r="N404" t="s">
        <v>26</v>
      </c>
      <c r="O404" t="s">
        <v>27</v>
      </c>
      <c r="P404">
        <v>3.63</v>
      </c>
      <c r="Q404" t="s">
        <v>34</v>
      </c>
      <c r="R404">
        <v>1.03</v>
      </c>
      <c r="S404" t="s">
        <v>43</v>
      </c>
      <c r="T404" t="str">
        <f t="shared" si="12"/>
        <v>High</v>
      </c>
      <c r="U404" t="str">
        <f t="shared" si="13"/>
        <v>Intermediate</v>
      </c>
    </row>
    <row r="405" spans="1:21" x14ac:dyDescent="0.35">
      <c r="A405" t="s">
        <v>478</v>
      </c>
      <c r="B405" t="s">
        <v>65</v>
      </c>
      <c r="C405" t="s">
        <v>82</v>
      </c>
      <c r="D405" t="s">
        <v>69</v>
      </c>
      <c r="E405" t="s">
        <v>33</v>
      </c>
      <c r="F405">
        <v>7</v>
      </c>
      <c r="G405">
        <v>0.73</v>
      </c>
      <c r="H405">
        <v>0.21</v>
      </c>
      <c r="I405" t="s">
        <v>60</v>
      </c>
      <c r="J405">
        <v>201466</v>
      </c>
      <c r="K405" t="s">
        <v>27</v>
      </c>
      <c r="L405">
        <v>3</v>
      </c>
      <c r="M405">
        <v>45</v>
      </c>
      <c r="N405" t="s">
        <v>35</v>
      </c>
      <c r="O405" t="s">
        <v>27</v>
      </c>
      <c r="P405">
        <v>3.76</v>
      </c>
      <c r="Q405" t="s">
        <v>34</v>
      </c>
      <c r="R405">
        <v>3.89</v>
      </c>
      <c r="S405" t="s">
        <v>43</v>
      </c>
      <c r="T405" t="str">
        <f t="shared" si="12"/>
        <v>Very Low</v>
      </c>
      <c r="U405" t="str">
        <f t="shared" si="13"/>
        <v>Intermediate</v>
      </c>
    </row>
    <row r="406" spans="1:21" x14ac:dyDescent="0.35">
      <c r="A406" t="s">
        <v>479</v>
      </c>
      <c r="B406" t="s">
        <v>91</v>
      </c>
      <c r="C406" t="s">
        <v>55</v>
      </c>
      <c r="D406" t="s">
        <v>75</v>
      </c>
      <c r="E406" t="s">
        <v>70</v>
      </c>
      <c r="F406">
        <v>4</v>
      </c>
      <c r="G406">
        <v>0.9</v>
      </c>
      <c r="H406">
        <v>0.53</v>
      </c>
      <c r="I406" t="s">
        <v>60</v>
      </c>
      <c r="J406">
        <v>144997</v>
      </c>
      <c r="K406" t="s">
        <v>25</v>
      </c>
      <c r="L406">
        <v>9</v>
      </c>
      <c r="M406">
        <v>60</v>
      </c>
      <c r="N406" t="s">
        <v>26</v>
      </c>
      <c r="O406" t="s">
        <v>25</v>
      </c>
      <c r="P406">
        <v>3.5</v>
      </c>
      <c r="Q406" t="s">
        <v>34</v>
      </c>
      <c r="R406">
        <v>2.36</v>
      </c>
      <c r="S406" t="s">
        <v>43</v>
      </c>
      <c r="T406" t="str">
        <f t="shared" si="12"/>
        <v>Moderate</v>
      </c>
      <c r="U406" t="str">
        <f t="shared" si="13"/>
        <v>Intermediate</v>
      </c>
    </row>
    <row r="407" spans="1:21" x14ac:dyDescent="0.35">
      <c r="A407" t="s">
        <v>480</v>
      </c>
      <c r="B407" t="s">
        <v>30</v>
      </c>
      <c r="C407" t="s">
        <v>46</v>
      </c>
      <c r="D407" t="s">
        <v>22</v>
      </c>
      <c r="E407" t="s">
        <v>23</v>
      </c>
      <c r="F407">
        <v>12</v>
      </c>
      <c r="G407">
        <v>0.76</v>
      </c>
      <c r="H407">
        <v>0.93</v>
      </c>
      <c r="I407" t="s">
        <v>24</v>
      </c>
      <c r="J407">
        <v>70289</v>
      </c>
      <c r="K407" t="s">
        <v>42</v>
      </c>
      <c r="L407">
        <v>-6</v>
      </c>
      <c r="M407">
        <v>47</v>
      </c>
      <c r="N407" t="s">
        <v>42</v>
      </c>
      <c r="O407" t="s">
        <v>25</v>
      </c>
      <c r="P407">
        <v>3.42</v>
      </c>
      <c r="Q407" t="s">
        <v>34</v>
      </c>
      <c r="R407">
        <v>3.28</v>
      </c>
      <c r="S407" t="s">
        <v>43</v>
      </c>
      <c r="T407" t="str">
        <f t="shared" si="12"/>
        <v>High</v>
      </c>
      <c r="U407" t="str">
        <f t="shared" si="13"/>
        <v>Experienced</v>
      </c>
    </row>
    <row r="408" spans="1:21" x14ac:dyDescent="0.35">
      <c r="A408" t="s">
        <v>481</v>
      </c>
      <c r="B408" t="s">
        <v>89</v>
      </c>
      <c r="C408" t="s">
        <v>58</v>
      </c>
      <c r="D408" t="s">
        <v>32</v>
      </c>
      <c r="E408" t="s">
        <v>33</v>
      </c>
      <c r="F408">
        <v>2</v>
      </c>
      <c r="G408">
        <v>0.21</v>
      </c>
      <c r="H408">
        <v>0.85</v>
      </c>
      <c r="I408" t="s">
        <v>34</v>
      </c>
      <c r="J408">
        <v>188168</v>
      </c>
      <c r="K408" t="s">
        <v>42</v>
      </c>
      <c r="L408">
        <v>3</v>
      </c>
      <c r="M408">
        <v>37</v>
      </c>
      <c r="N408" t="s">
        <v>42</v>
      </c>
      <c r="O408" t="s">
        <v>27</v>
      </c>
      <c r="P408">
        <v>3.57</v>
      </c>
      <c r="Q408" t="s">
        <v>34</v>
      </c>
      <c r="R408">
        <v>1.23</v>
      </c>
      <c r="S408" t="s">
        <v>28</v>
      </c>
      <c r="T408" t="str">
        <f t="shared" si="12"/>
        <v>Very High</v>
      </c>
      <c r="U408" t="str">
        <f t="shared" si="13"/>
        <v>Beginner</v>
      </c>
    </row>
    <row r="409" spans="1:21" x14ac:dyDescent="0.35">
      <c r="A409" t="s">
        <v>482</v>
      </c>
      <c r="B409" t="s">
        <v>20</v>
      </c>
      <c r="C409" t="s">
        <v>52</v>
      </c>
      <c r="D409" t="s">
        <v>49</v>
      </c>
      <c r="E409" t="s">
        <v>41</v>
      </c>
      <c r="F409">
        <v>12</v>
      </c>
      <c r="G409">
        <v>0.4</v>
      </c>
      <c r="H409">
        <v>0.98</v>
      </c>
      <c r="I409" t="s">
        <v>24</v>
      </c>
      <c r="J409">
        <v>63852</v>
      </c>
      <c r="K409" t="s">
        <v>25</v>
      </c>
      <c r="L409">
        <v>45</v>
      </c>
      <c r="M409">
        <v>36</v>
      </c>
      <c r="N409" t="s">
        <v>42</v>
      </c>
      <c r="O409" t="s">
        <v>36</v>
      </c>
      <c r="P409">
        <v>4.45</v>
      </c>
      <c r="Q409" t="s">
        <v>34</v>
      </c>
      <c r="R409">
        <v>1.64</v>
      </c>
      <c r="S409" t="s">
        <v>28</v>
      </c>
      <c r="T409" t="str">
        <f t="shared" si="12"/>
        <v>High</v>
      </c>
      <c r="U409" t="str">
        <f t="shared" si="13"/>
        <v>Experienced</v>
      </c>
    </row>
    <row r="410" spans="1:21" x14ac:dyDescent="0.35">
      <c r="A410" t="s">
        <v>483</v>
      </c>
      <c r="B410" t="s">
        <v>96</v>
      </c>
      <c r="C410" t="s">
        <v>46</v>
      </c>
      <c r="D410" t="s">
        <v>59</v>
      </c>
      <c r="E410" t="s">
        <v>70</v>
      </c>
      <c r="F410">
        <v>18</v>
      </c>
      <c r="G410">
        <v>0.06</v>
      </c>
      <c r="H410">
        <v>0.31</v>
      </c>
      <c r="I410" t="s">
        <v>34</v>
      </c>
      <c r="J410">
        <v>46769</v>
      </c>
      <c r="K410" t="s">
        <v>42</v>
      </c>
      <c r="L410">
        <v>19</v>
      </c>
      <c r="M410">
        <v>48</v>
      </c>
      <c r="N410" t="s">
        <v>35</v>
      </c>
      <c r="O410" t="s">
        <v>27</v>
      </c>
      <c r="P410">
        <v>2.27</v>
      </c>
      <c r="Q410" t="s">
        <v>34</v>
      </c>
      <c r="R410">
        <v>2.39</v>
      </c>
      <c r="S410" t="s">
        <v>28</v>
      </c>
      <c r="T410" t="str">
        <f t="shared" si="12"/>
        <v>High</v>
      </c>
      <c r="U410" t="str">
        <f t="shared" si="13"/>
        <v>Expert</v>
      </c>
    </row>
    <row r="411" spans="1:21" x14ac:dyDescent="0.35">
      <c r="A411" t="s">
        <v>484</v>
      </c>
      <c r="B411" t="s">
        <v>96</v>
      </c>
      <c r="C411" t="s">
        <v>82</v>
      </c>
      <c r="D411" t="s">
        <v>22</v>
      </c>
      <c r="E411" t="s">
        <v>41</v>
      </c>
      <c r="F411">
        <v>12</v>
      </c>
      <c r="G411">
        <v>0.86</v>
      </c>
      <c r="H411">
        <v>0.78</v>
      </c>
      <c r="I411" t="s">
        <v>60</v>
      </c>
      <c r="J411">
        <v>150016</v>
      </c>
      <c r="K411" t="s">
        <v>25</v>
      </c>
      <c r="L411">
        <v>5</v>
      </c>
      <c r="M411">
        <v>58</v>
      </c>
      <c r="N411" t="s">
        <v>35</v>
      </c>
      <c r="O411" t="s">
        <v>36</v>
      </c>
      <c r="P411">
        <v>4.6500000000000004</v>
      </c>
      <c r="Q411" t="s">
        <v>34</v>
      </c>
      <c r="R411">
        <v>3.67</v>
      </c>
      <c r="S411" t="s">
        <v>47</v>
      </c>
      <c r="T411" t="str">
        <f t="shared" si="12"/>
        <v>Moderate</v>
      </c>
      <c r="U411" t="str">
        <f t="shared" si="13"/>
        <v>Experienced</v>
      </c>
    </row>
    <row r="412" spans="1:21" x14ac:dyDescent="0.35">
      <c r="A412" t="s">
        <v>485</v>
      </c>
      <c r="B412" t="s">
        <v>94</v>
      </c>
      <c r="C412" t="s">
        <v>107</v>
      </c>
      <c r="D412" t="s">
        <v>32</v>
      </c>
      <c r="E412" t="s">
        <v>70</v>
      </c>
      <c r="F412">
        <v>6</v>
      </c>
      <c r="G412">
        <v>0.12</v>
      </c>
      <c r="H412">
        <v>0.28000000000000003</v>
      </c>
      <c r="I412" t="s">
        <v>60</v>
      </c>
      <c r="J412">
        <v>115462</v>
      </c>
      <c r="K412" t="s">
        <v>25</v>
      </c>
      <c r="L412">
        <v>19</v>
      </c>
      <c r="M412">
        <v>30</v>
      </c>
      <c r="N412" t="s">
        <v>35</v>
      </c>
      <c r="O412" t="s">
        <v>27</v>
      </c>
      <c r="P412">
        <v>4.08</v>
      </c>
      <c r="Q412" t="s">
        <v>34</v>
      </c>
      <c r="R412">
        <v>2.52</v>
      </c>
      <c r="S412" t="s">
        <v>28</v>
      </c>
      <c r="T412" t="str">
        <f t="shared" si="12"/>
        <v>High</v>
      </c>
      <c r="U412" t="str">
        <f t="shared" si="13"/>
        <v>Intermediate</v>
      </c>
    </row>
    <row r="413" spans="1:21" x14ac:dyDescent="0.35">
      <c r="A413" t="s">
        <v>486</v>
      </c>
      <c r="B413" t="s">
        <v>91</v>
      </c>
      <c r="C413" t="s">
        <v>107</v>
      </c>
      <c r="D413" t="s">
        <v>49</v>
      </c>
      <c r="E413" t="s">
        <v>41</v>
      </c>
      <c r="F413">
        <v>2</v>
      </c>
      <c r="G413">
        <v>0.69</v>
      </c>
      <c r="H413">
        <v>0.31</v>
      </c>
      <c r="I413" t="s">
        <v>60</v>
      </c>
      <c r="J413">
        <v>205713</v>
      </c>
      <c r="K413" t="s">
        <v>27</v>
      </c>
      <c r="L413">
        <v>5</v>
      </c>
      <c r="M413">
        <v>52</v>
      </c>
      <c r="N413" t="s">
        <v>42</v>
      </c>
      <c r="O413" t="s">
        <v>25</v>
      </c>
      <c r="P413">
        <v>3.41</v>
      </c>
      <c r="Q413" t="s">
        <v>34</v>
      </c>
      <c r="R413">
        <v>4.37</v>
      </c>
      <c r="S413" t="s">
        <v>47</v>
      </c>
      <c r="T413" t="str">
        <f t="shared" si="12"/>
        <v>Moderate</v>
      </c>
      <c r="U413" t="str">
        <f t="shared" si="13"/>
        <v>Beginner</v>
      </c>
    </row>
    <row r="414" spans="1:21" x14ac:dyDescent="0.35">
      <c r="A414" t="s">
        <v>487</v>
      </c>
      <c r="B414" t="s">
        <v>45</v>
      </c>
      <c r="C414" t="s">
        <v>58</v>
      </c>
      <c r="D414" t="s">
        <v>66</v>
      </c>
      <c r="E414" t="s">
        <v>33</v>
      </c>
      <c r="F414">
        <v>14</v>
      </c>
      <c r="G414">
        <v>0.16</v>
      </c>
      <c r="H414">
        <v>0.79</v>
      </c>
      <c r="I414" t="s">
        <v>34</v>
      </c>
      <c r="J414">
        <v>74159</v>
      </c>
      <c r="K414" t="s">
        <v>25</v>
      </c>
      <c r="L414">
        <v>3</v>
      </c>
      <c r="M414">
        <v>52</v>
      </c>
      <c r="N414" t="s">
        <v>35</v>
      </c>
      <c r="O414" t="s">
        <v>27</v>
      </c>
      <c r="P414">
        <v>3.6</v>
      </c>
      <c r="Q414" t="s">
        <v>34</v>
      </c>
      <c r="R414">
        <v>3.79</v>
      </c>
      <c r="S414" t="s">
        <v>28</v>
      </c>
      <c r="T414" t="str">
        <f t="shared" si="12"/>
        <v>Very High</v>
      </c>
      <c r="U414" t="str">
        <f t="shared" si="13"/>
        <v>Experienced</v>
      </c>
    </row>
    <row r="415" spans="1:21" x14ac:dyDescent="0.35">
      <c r="A415" t="s">
        <v>488</v>
      </c>
      <c r="B415" t="s">
        <v>102</v>
      </c>
      <c r="C415" t="s">
        <v>39</v>
      </c>
      <c r="D415" t="s">
        <v>63</v>
      </c>
      <c r="E415" t="s">
        <v>33</v>
      </c>
      <c r="F415">
        <v>6</v>
      </c>
      <c r="G415">
        <v>0.1</v>
      </c>
      <c r="H415">
        <v>0.2</v>
      </c>
      <c r="I415" t="s">
        <v>24</v>
      </c>
      <c r="J415">
        <v>128931</v>
      </c>
      <c r="K415" t="s">
        <v>25</v>
      </c>
      <c r="L415">
        <v>16</v>
      </c>
      <c r="M415">
        <v>30</v>
      </c>
      <c r="N415" t="s">
        <v>35</v>
      </c>
      <c r="O415" t="s">
        <v>36</v>
      </c>
      <c r="P415">
        <v>4.46</v>
      </c>
      <c r="Q415" t="s">
        <v>24</v>
      </c>
      <c r="R415">
        <v>1.88</v>
      </c>
      <c r="S415" t="s">
        <v>47</v>
      </c>
      <c r="T415" t="str">
        <f t="shared" si="12"/>
        <v>High</v>
      </c>
      <c r="U415" t="str">
        <f t="shared" si="13"/>
        <v>Intermediate</v>
      </c>
    </row>
    <row r="416" spans="1:21" x14ac:dyDescent="0.35">
      <c r="A416" t="s">
        <v>489</v>
      </c>
      <c r="B416" t="s">
        <v>102</v>
      </c>
      <c r="C416" t="s">
        <v>46</v>
      </c>
      <c r="D416" t="s">
        <v>59</v>
      </c>
      <c r="E416" t="s">
        <v>23</v>
      </c>
      <c r="F416">
        <v>13</v>
      </c>
      <c r="G416">
        <v>0.15</v>
      </c>
      <c r="H416">
        <v>0.46</v>
      </c>
      <c r="I416" t="s">
        <v>24</v>
      </c>
      <c r="J416">
        <v>177339</v>
      </c>
      <c r="K416" t="s">
        <v>25</v>
      </c>
      <c r="L416">
        <v>3</v>
      </c>
      <c r="M416">
        <v>33</v>
      </c>
      <c r="N416" t="s">
        <v>42</v>
      </c>
      <c r="O416" t="s">
        <v>36</v>
      </c>
      <c r="P416">
        <v>2.52</v>
      </c>
      <c r="Q416" t="s">
        <v>34</v>
      </c>
      <c r="R416">
        <v>3.62</v>
      </c>
      <c r="S416" t="s">
        <v>47</v>
      </c>
      <c r="T416" t="str">
        <f t="shared" si="12"/>
        <v>High</v>
      </c>
      <c r="U416" t="str">
        <f t="shared" si="13"/>
        <v>Experienced</v>
      </c>
    </row>
    <row r="417" spans="1:21" x14ac:dyDescent="0.35">
      <c r="A417" t="s">
        <v>490</v>
      </c>
      <c r="B417" t="s">
        <v>102</v>
      </c>
      <c r="C417" t="s">
        <v>52</v>
      </c>
      <c r="D417" t="s">
        <v>66</v>
      </c>
      <c r="E417" t="s">
        <v>23</v>
      </c>
      <c r="F417">
        <v>3</v>
      </c>
      <c r="G417">
        <v>0.63</v>
      </c>
      <c r="H417">
        <v>0.49</v>
      </c>
      <c r="I417" t="s">
        <v>60</v>
      </c>
      <c r="J417">
        <v>47650</v>
      </c>
      <c r="K417" t="s">
        <v>27</v>
      </c>
      <c r="L417">
        <v>40</v>
      </c>
      <c r="M417">
        <v>59</v>
      </c>
      <c r="N417" t="s">
        <v>26</v>
      </c>
      <c r="O417" t="s">
        <v>25</v>
      </c>
      <c r="P417">
        <v>2.76</v>
      </c>
      <c r="Q417" t="s">
        <v>24</v>
      </c>
      <c r="R417">
        <v>3.4</v>
      </c>
      <c r="S417" t="s">
        <v>28</v>
      </c>
      <c r="T417" t="str">
        <f t="shared" si="12"/>
        <v>Moderate</v>
      </c>
      <c r="U417" t="str">
        <f t="shared" si="13"/>
        <v>Intermediate</v>
      </c>
    </row>
    <row r="418" spans="1:21" x14ac:dyDescent="0.35">
      <c r="A418" t="s">
        <v>491</v>
      </c>
      <c r="B418" t="s">
        <v>45</v>
      </c>
      <c r="C418" t="s">
        <v>74</v>
      </c>
      <c r="D418" t="s">
        <v>75</v>
      </c>
      <c r="E418" t="s">
        <v>23</v>
      </c>
      <c r="F418">
        <v>12</v>
      </c>
      <c r="G418">
        <v>0.34</v>
      </c>
      <c r="H418">
        <v>0.87</v>
      </c>
      <c r="I418" t="s">
        <v>60</v>
      </c>
      <c r="J418">
        <v>156387</v>
      </c>
      <c r="K418" t="s">
        <v>27</v>
      </c>
      <c r="L418">
        <v>37</v>
      </c>
      <c r="M418">
        <v>37</v>
      </c>
      <c r="N418" t="s">
        <v>26</v>
      </c>
      <c r="O418" t="s">
        <v>27</v>
      </c>
      <c r="P418">
        <v>4.1100000000000003</v>
      </c>
      <c r="Q418" t="s">
        <v>24</v>
      </c>
      <c r="R418">
        <v>1.93</v>
      </c>
      <c r="S418" t="s">
        <v>28</v>
      </c>
      <c r="T418" t="str">
        <f t="shared" si="12"/>
        <v>Very High</v>
      </c>
      <c r="U418" t="str">
        <f t="shared" si="13"/>
        <v>Experienced</v>
      </c>
    </row>
    <row r="419" spans="1:21" x14ac:dyDescent="0.35">
      <c r="A419" t="s">
        <v>492</v>
      </c>
      <c r="B419" t="s">
        <v>106</v>
      </c>
      <c r="C419" t="s">
        <v>74</v>
      </c>
      <c r="D419" t="s">
        <v>49</v>
      </c>
      <c r="E419" t="s">
        <v>70</v>
      </c>
      <c r="F419">
        <v>6</v>
      </c>
      <c r="G419">
        <v>0.73</v>
      </c>
      <c r="H419">
        <v>0.69</v>
      </c>
      <c r="I419" t="s">
        <v>24</v>
      </c>
      <c r="J419">
        <v>45708</v>
      </c>
      <c r="K419" t="s">
        <v>42</v>
      </c>
      <c r="L419">
        <v>3</v>
      </c>
      <c r="M419">
        <v>50</v>
      </c>
      <c r="N419" t="s">
        <v>35</v>
      </c>
      <c r="O419" t="s">
        <v>25</v>
      </c>
      <c r="P419">
        <v>4.7699999999999996</v>
      </c>
      <c r="Q419" t="s">
        <v>34</v>
      </c>
      <c r="R419">
        <v>3.96</v>
      </c>
      <c r="S419" t="s">
        <v>43</v>
      </c>
      <c r="T419" t="str">
        <f t="shared" si="12"/>
        <v>Moderate</v>
      </c>
      <c r="U419" t="str">
        <f t="shared" si="13"/>
        <v>Intermediate</v>
      </c>
    </row>
    <row r="420" spans="1:21" x14ac:dyDescent="0.35">
      <c r="A420" t="s">
        <v>493</v>
      </c>
      <c r="B420" t="s">
        <v>156</v>
      </c>
      <c r="C420" t="s">
        <v>39</v>
      </c>
      <c r="D420" t="s">
        <v>63</v>
      </c>
      <c r="E420" t="s">
        <v>70</v>
      </c>
      <c r="F420">
        <v>7</v>
      </c>
      <c r="G420">
        <v>0.76</v>
      </c>
      <c r="H420">
        <v>0.53</v>
      </c>
      <c r="I420" t="s">
        <v>24</v>
      </c>
      <c r="J420">
        <v>105616</v>
      </c>
      <c r="K420" t="s">
        <v>27</v>
      </c>
      <c r="L420">
        <v>-7</v>
      </c>
      <c r="M420">
        <v>59</v>
      </c>
      <c r="N420" t="s">
        <v>26</v>
      </c>
      <c r="O420" t="s">
        <v>25</v>
      </c>
      <c r="P420">
        <v>4.4000000000000004</v>
      </c>
      <c r="Q420" t="s">
        <v>24</v>
      </c>
      <c r="R420">
        <v>3.43</v>
      </c>
      <c r="S420" t="s">
        <v>43</v>
      </c>
      <c r="T420" t="str">
        <f t="shared" si="12"/>
        <v>Moderate</v>
      </c>
      <c r="U420" t="str">
        <f t="shared" si="13"/>
        <v>Intermediate</v>
      </c>
    </row>
    <row r="421" spans="1:21" x14ac:dyDescent="0.35">
      <c r="A421" t="s">
        <v>494</v>
      </c>
      <c r="B421" t="s">
        <v>106</v>
      </c>
      <c r="C421" t="s">
        <v>39</v>
      </c>
      <c r="D421" t="s">
        <v>32</v>
      </c>
      <c r="E421" t="s">
        <v>41</v>
      </c>
      <c r="F421">
        <v>5</v>
      </c>
      <c r="G421">
        <v>0.49</v>
      </c>
      <c r="H421">
        <v>0.95</v>
      </c>
      <c r="I421" t="s">
        <v>60</v>
      </c>
      <c r="J421">
        <v>43659</v>
      </c>
      <c r="K421" t="s">
        <v>27</v>
      </c>
      <c r="L421">
        <v>43</v>
      </c>
      <c r="M421">
        <v>55</v>
      </c>
      <c r="N421" t="s">
        <v>35</v>
      </c>
      <c r="O421" t="s">
        <v>25</v>
      </c>
      <c r="P421">
        <v>3.52</v>
      </c>
      <c r="Q421" t="s">
        <v>34</v>
      </c>
      <c r="R421">
        <v>3.9</v>
      </c>
      <c r="S421" t="s">
        <v>43</v>
      </c>
      <c r="T421" t="str">
        <f t="shared" si="12"/>
        <v>High</v>
      </c>
      <c r="U421" t="str">
        <f t="shared" si="13"/>
        <v>Intermediate</v>
      </c>
    </row>
    <row r="422" spans="1:21" x14ac:dyDescent="0.35">
      <c r="A422" t="s">
        <v>495</v>
      </c>
      <c r="B422" t="s">
        <v>91</v>
      </c>
      <c r="C422" t="s">
        <v>39</v>
      </c>
      <c r="D422" t="s">
        <v>66</v>
      </c>
      <c r="E422" t="s">
        <v>23</v>
      </c>
      <c r="F422">
        <v>2</v>
      </c>
      <c r="G422">
        <v>0.6</v>
      </c>
      <c r="H422">
        <v>0.44</v>
      </c>
      <c r="I422" t="s">
        <v>34</v>
      </c>
      <c r="J422">
        <v>181105</v>
      </c>
      <c r="K422" t="s">
        <v>42</v>
      </c>
      <c r="L422">
        <v>14</v>
      </c>
      <c r="M422">
        <v>35</v>
      </c>
      <c r="N422" t="s">
        <v>42</v>
      </c>
      <c r="O422" t="s">
        <v>36</v>
      </c>
      <c r="P422">
        <v>3.27</v>
      </c>
      <c r="Q422" t="s">
        <v>34</v>
      </c>
      <c r="R422">
        <v>4.04</v>
      </c>
      <c r="S422" t="s">
        <v>43</v>
      </c>
      <c r="T422" t="str">
        <f t="shared" si="12"/>
        <v>Moderate</v>
      </c>
      <c r="U422" t="str">
        <f t="shared" si="13"/>
        <v>Beginner</v>
      </c>
    </row>
    <row r="423" spans="1:21" x14ac:dyDescent="0.35">
      <c r="A423" t="s">
        <v>496</v>
      </c>
      <c r="B423" t="s">
        <v>20</v>
      </c>
      <c r="C423" t="s">
        <v>82</v>
      </c>
      <c r="D423" t="s">
        <v>80</v>
      </c>
      <c r="E423" t="s">
        <v>33</v>
      </c>
      <c r="F423">
        <v>8</v>
      </c>
      <c r="G423">
        <v>0.73</v>
      </c>
      <c r="H423">
        <v>0.93</v>
      </c>
      <c r="I423" t="s">
        <v>34</v>
      </c>
      <c r="J423">
        <v>186023</v>
      </c>
      <c r="K423" t="s">
        <v>42</v>
      </c>
      <c r="L423">
        <v>9</v>
      </c>
      <c r="M423">
        <v>44</v>
      </c>
      <c r="N423" t="s">
        <v>42</v>
      </c>
      <c r="O423" t="s">
        <v>36</v>
      </c>
      <c r="P423">
        <v>3.69</v>
      </c>
      <c r="Q423" t="s">
        <v>34</v>
      </c>
      <c r="R423">
        <v>1.29</v>
      </c>
      <c r="S423" t="s">
        <v>47</v>
      </c>
      <c r="T423" t="str">
        <f t="shared" si="12"/>
        <v>High</v>
      </c>
      <c r="U423" t="str">
        <f t="shared" si="13"/>
        <v>Intermediate</v>
      </c>
    </row>
    <row r="424" spans="1:21" x14ac:dyDescent="0.35">
      <c r="A424" t="s">
        <v>497</v>
      </c>
      <c r="B424" t="s">
        <v>94</v>
      </c>
      <c r="C424" t="s">
        <v>52</v>
      </c>
      <c r="D424" t="s">
        <v>63</v>
      </c>
      <c r="E424" t="s">
        <v>23</v>
      </c>
      <c r="F424">
        <v>15</v>
      </c>
      <c r="G424">
        <v>0.71</v>
      </c>
      <c r="H424">
        <v>0.5</v>
      </c>
      <c r="I424" t="s">
        <v>34</v>
      </c>
      <c r="J424">
        <v>136051</v>
      </c>
      <c r="K424" t="s">
        <v>27</v>
      </c>
      <c r="L424">
        <v>27</v>
      </c>
      <c r="M424">
        <v>32</v>
      </c>
      <c r="N424" t="s">
        <v>42</v>
      </c>
      <c r="O424" t="s">
        <v>25</v>
      </c>
      <c r="P424">
        <v>4.9800000000000004</v>
      </c>
      <c r="Q424" t="s">
        <v>24</v>
      </c>
      <c r="R424">
        <v>2.54</v>
      </c>
      <c r="S424" t="s">
        <v>28</v>
      </c>
      <c r="T424" t="str">
        <f t="shared" si="12"/>
        <v>Moderate</v>
      </c>
      <c r="U424" t="str">
        <f t="shared" si="13"/>
        <v>Experienced</v>
      </c>
    </row>
    <row r="425" spans="1:21" x14ac:dyDescent="0.35">
      <c r="A425" t="s">
        <v>498</v>
      </c>
      <c r="B425" t="s">
        <v>89</v>
      </c>
      <c r="C425" t="s">
        <v>74</v>
      </c>
      <c r="D425" t="s">
        <v>75</v>
      </c>
      <c r="E425" t="s">
        <v>23</v>
      </c>
      <c r="F425">
        <v>13</v>
      </c>
      <c r="G425">
        <v>0.87</v>
      </c>
      <c r="H425">
        <v>0.77</v>
      </c>
      <c r="I425" t="s">
        <v>60</v>
      </c>
      <c r="J425">
        <v>163590</v>
      </c>
      <c r="K425" t="s">
        <v>25</v>
      </c>
      <c r="L425">
        <v>5</v>
      </c>
      <c r="M425">
        <v>45</v>
      </c>
      <c r="N425" t="s">
        <v>35</v>
      </c>
      <c r="O425" t="s">
        <v>36</v>
      </c>
      <c r="P425">
        <v>3.89</v>
      </c>
      <c r="Q425" t="s">
        <v>24</v>
      </c>
      <c r="R425">
        <v>3.79</v>
      </c>
      <c r="S425" t="s">
        <v>28</v>
      </c>
      <c r="T425" t="str">
        <f t="shared" si="12"/>
        <v>Moderate</v>
      </c>
      <c r="U425" t="str">
        <f t="shared" si="13"/>
        <v>Experienced</v>
      </c>
    </row>
    <row r="426" spans="1:21" x14ac:dyDescent="0.35">
      <c r="A426" t="s">
        <v>499</v>
      </c>
      <c r="B426" t="s">
        <v>51</v>
      </c>
      <c r="C426" t="s">
        <v>58</v>
      </c>
      <c r="D426" t="s">
        <v>40</v>
      </c>
      <c r="E426" t="s">
        <v>41</v>
      </c>
      <c r="F426">
        <v>20</v>
      </c>
      <c r="G426">
        <v>0.27</v>
      </c>
      <c r="H426">
        <v>0.66</v>
      </c>
      <c r="I426" t="s">
        <v>60</v>
      </c>
      <c r="J426">
        <v>203697</v>
      </c>
      <c r="K426" t="s">
        <v>42</v>
      </c>
      <c r="L426">
        <v>15</v>
      </c>
      <c r="M426">
        <v>52</v>
      </c>
      <c r="N426" t="s">
        <v>26</v>
      </c>
      <c r="O426" t="s">
        <v>25</v>
      </c>
      <c r="P426">
        <v>3.56</v>
      </c>
      <c r="Q426" t="s">
        <v>24</v>
      </c>
      <c r="R426">
        <v>4.5</v>
      </c>
      <c r="S426" t="s">
        <v>47</v>
      </c>
      <c r="T426" t="str">
        <f t="shared" si="12"/>
        <v>High</v>
      </c>
      <c r="U426" t="str">
        <f t="shared" si="13"/>
        <v>Expert</v>
      </c>
    </row>
    <row r="427" spans="1:21" x14ac:dyDescent="0.35">
      <c r="A427" t="s">
        <v>500</v>
      </c>
      <c r="B427" t="s">
        <v>68</v>
      </c>
      <c r="C427" t="s">
        <v>46</v>
      </c>
      <c r="D427" t="s">
        <v>63</v>
      </c>
      <c r="E427" t="s">
        <v>33</v>
      </c>
      <c r="F427">
        <v>8</v>
      </c>
      <c r="G427">
        <v>0.42</v>
      </c>
      <c r="H427">
        <v>0.89</v>
      </c>
      <c r="I427" t="s">
        <v>60</v>
      </c>
      <c r="J427">
        <v>53297</v>
      </c>
      <c r="K427" t="s">
        <v>25</v>
      </c>
      <c r="L427">
        <v>37</v>
      </c>
      <c r="M427">
        <v>42</v>
      </c>
      <c r="N427" t="s">
        <v>26</v>
      </c>
      <c r="O427" t="s">
        <v>36</v>
      </c>
      <c r="P427">
        <v>2.02</v>
      </c>
      <c r="Q427" t="s">
        <v>24</v>
      </c>
      <c r="R427">
        <v>4.2699999999999996</v>
      </c>
      <c r="S427" t="s">
        <v>47</v>
      </c>
      <c r="T427" t="str">
        <f t="shared" si="12"/>
        <v>High</v>
      </c>
      <c r="U427" t="str">
        <f t="shared" si="13"/>
        <v>Intermediate</v>
      </c>
    </row>
    <row r="428" spans="1:21" x14ac:dyDescent="0.35">
      <c r="A428" t="s">
        <v>501</v>
      </c>
      <c r="B428" t="s">
        <v>51</v>
      </c>
      <c r="C428" t="s">
        <v>74</v>
      </c>
      <c r="D428" t="s">
        <v>32</v>
      </c>
      <c r="E428" t="s">
        <v>33</v>
      </c>
      <c r="F428">
        <v>6</v>
      </c>
      <c r="G428">
        <v>0.64</v>
      </c>
      <c r="H428">
        <v>0.78</v>
      </c>
      <c r="I428" t="s">
        <v>34</v>
      </c>
      <c r="J428">
        <v>74730</v>
      </c>
      <c r="K428" t="s">
        <v>25</v>
      </c>
      <c r="L428">
        <v>22</v>
      </c>
      <c r="M428">
        <v>60</v>
      </c>
      <c r="N428" t="s">
        <v>35</v>
      </c>
      <c r="O428" t="s">
        <v>36</v>
      </c>
      <c r="P428">
        <v>3.7</v>
      </c>
      <c r="Q428" t="s">
        <v>24</v>
      </c>
      <c r="R428">
        <v>1.74</v>
      </c>
      <c r="S428" t="s">
        <v>47</v>
      </c>
      <c r="T428" t="str">
        <f t="shared" si="12"/>
        <v>High</v>
      </c>
      <c r="U428" t="str">
        <f t="shared" si="13"/>
        <v>Intermediate</v>
      </c>
    </row>
    <row r="429" spans="1:21" x14ac:dyDescent="0.35">
      <c r="A429" t="s">
        <v>502</v>
      </c>
      <c r="B429" t="s">
        <v>51</v>
      </c>
      <c r="C429" t="s">
        <v>21</v>
      </c>
      <c r="D429" t="s">
        <v>66</v>
      </c>
      <c r="E429" t="s">
        <v>41</v>
      </c>
      <c r="F429">
        <v>12</v>
      </c>
      <c r="G429">
        <v>0.61</v>
      </c>
      <c r="H429">
        <v>0.69</v>
      </c>
      <c r="I429" t="s">
        <v>24</v>
      </c>
      <c r="J429">
        <v>196837</v>
      </c>
      <c r="K429" t="s">
        <v>42</v>
      </c>
      <c r="L429">
        <v>-6</v>
      </c>
      <c r="M429">
        <v>40</v>
      </c>
      <c r="N429" t="s">
        <v>35</v>
      </c>
      <c r="O429" t="s">
        <v>27</v>
      </c>
      <c r="P429">
        <v>2.7</v>
      </c>
      <c r="Q429" t="s">
        <v>34</v>
      </c>
      <c r="R429">
        <v>3.69</v>
      </c>
      <c r="S429" t="s">
        <v>47</v>
      </c>
      <c r="T429" t="str">
        <f t="shared" si="12"/>
        <v>High</v>
      </c>
      <c r="U429" t="str">
        <f t="shared" si="13"/>
        <v>Experienced</v>
      </c>
    </row>
    <row r="430" spans="1:21" x14ac:dyDescent="0.35">
      <c r="A430" t="s">
        <v>503</v>
      </c>
      <c r="B430" t="s">
        <v>68</v>
      </c>
      <c r="C430" t="s">
        <v>39</v>
      </c>
      <c r="D430" t="s">
        <v>80</v>
      </c>
      <c r="E430" t="s">
        <v>41</v>
      </c>
      <c r="F430">
        <v>12</v>
      </c>
      <c r="G430">
        <v>0.65</v>
      </c>
      <c r="H430">
        <v>0.82</v>
      </c>
      <c r="I430" t="s">
        <v>60</v>
      </c>
      <c r="J430">
        <v>40973</v>
      </c>
      <c r="K430" t="s">
        <v>27</v>
      </c>
      <c r="L430">
        <v>38</v>
      </c>
      <c r="M430">
        <v>38</v>
      </c>
      <c r="N430" t="s">
        <v>42</v>
      </c>
      <c r="O430" t="s">
        <v>36</v>
      </c>
      <c r="P430">
        <v>4.2699999999999996</v>
      </c>
      <c r="Q430" t="s">
        <v>34</v>
      </c>
      <c r="R430">
        <v>2.35</v>
      </c>
      <c r="S430" t="s">
        <v>28</v>
      </c>
      <c r="T430" t="str">
        <f t="shared" si="12"/>
        <v>High</v>
      </c>
      <c r="U430" t="str">
        <f t="shared" si="13"/>
        <v>Experienced</v>
      </c>
    </row>
    <row r="431" spans="1:21" x14ac:dyDescent="0.35">
      <c r="A431" t="s">
        <v>504</v>
      </c>
      <c r="B431" t="s">
        <v>30</v>
      </c>
      <c r="C431" t="s">
        <v>21</v>
      </c>
      <c r="D431" t="s">
        <v>75</v>
      </c>
      <c r="E431" t="s">
        <v>23</v>
      </c>
      <c r="F431">
        <v>22</v>
      </c>
      <c r="G431">
        <v>0.39</v>
      </c>
      <c r="H431">
        <v>0.25</v>
      </c>
      <c r="I431" t="s">
        <v>34</v>
      </c>
      <c r="J431">
        <v>123330</v>
      </c>
      <c r="K431" t="s">
        <v>27</v>
      </c>
      <c r="L431">
        <v>43</v>
      </c>
      <c r="M431">
        <v>58</v>
      </c>
      <c r="N431" t="s">
        <v>35</v>
      </c>
      <c r="O431" t="s">
        <v>25</v>
      </c>
      <c r="P431">
        <v>3.81</v>
      </c>
      <c r="Q431" t="s">
        <v>34</v>
      </c>
      <c r="R431">
        <v>4.8</v>
      </c>
      <c r="S431" t="s">
        <v>47</v>
      </c>
      <c r="T431" t="str">
        <f t="shared" si="12"/>
        <v>Moderate</v>
      </c>
      <c r="U431" t="str">
        <f t="shared" si="13"/>
        <v>Expert</v>
      </c>
    </row>
    <row r="432" spans="1:21" x14ac:dyDescent="0.35">
      <c r="A432" t="s">
        <v>505</v>
      </c>
      <c r="B432" t="s">
        <v>156</v>
      </c>
      <c r="C432" t="s">
        <v>74</v>
      </c>
      <c r="D432" t="s">
        <v>75</v>
      </c>
      <c r="E432" t="s">
        <v>70</v>
      </c>
      <c r="F432">
        <v>21</v>
      </c>
      <c r="G432">
        <v>0.05</v>
      </c>
      <c r="H432">
        <v>0.7</v>
      </c>
      <c r="I432" t="s">
        <v>34</v>
      </c>
      <c r="J432">
        <v>114458</v>
      </c>
      <c r="K432" t="s">
        <v>25</v>
      </c>
      <c r="L432">
        <v>28</v>
      </c>
      <c r="M432">
        <v>45</v>
      </c>
      <c r="N432" t="s">
        <v>42</v>
      </c>
      <c r="O432" t="s">
        <v>27</v>
      </c>
      <c r="P432">
        <v>3.84</v>
      </c>
      <c r="Q432" t="s">
        <v>24</v>
      </c>
      <c r="R432">
        <v>2.39</v>
      </c>
      <c r="S432" t="s">
        <v>43</v>
      </c>
      <c r="T432" t="str">
        <f t="shared" si="12"/>
        <v>Very High</v>
      </c>
      <c r="U432" t="str">
        <f t="shared" si="13"/>
        <v>Expert</v>
      </c>
    </row>
    <row r="433" spans="1:21" x14ac:dyDescent="0.35">
      <c r="A433" t="s">
        <v>506</v>
      </c>
      <c r="B433" t="s">
        <v>65</v>
      </c>
      <c r="C433" t="s">
        <v>58</v>
      </c>
      <c r="D433" t="s">
        <v>32</v>
      </c>
      <c r="E433" t="s">
        <v>23</v>
      </c>
      <c r="F433">
        <v>25</v>
      </c>
      <c r="G433">
        <v>0.69</v>
      </c>
      <c r="H433">
        <v>0.89</v>
      </c>
      <c r="I433" t="s">
        <v>24</v>
      </c>
      <c r="J433">
        <v>179918</v>
      </c>
      <c r="K433" t="s">
        <v>42</v>
      </c>
      <c r="L433">
        <v>43</v>
      </c>
      <c r="M433">
        <v>51</v>
      </c>
      <c r="N433" t="s">
        <v>26</v>
      </c>
      <c r="O433" t="s">
        <v>36</v>
      </c>
      <c r="P433">
        <v>2.5</v>
      </c>
      <c r="Q433" t="s">
        <v>34</v>
      </c>
      <c r="R433">
        <v>4.82</v>
      </c>
      <c r="S433" t="s">
        <v>43</v>
      </c>
      <c r="T433" t="str">
        <f t="shared" si="12"/>
        <v>High</v>
      </c>
      <c r="U433" t="str">
        <f t="shared" si="13"/>
        <v>Expert</v>
      </c>
    </row>
    <row r="434" spans="1:21" x14ac:dyDescent="0.35">
      <c r="A434" t="s">
        <v>507</v>
      </c>
      <c r="B434" t="s">
        <v>94</v>
      </c>
      <c r="C434" t="s">
        <v>58</v>
      </c>
      <c r="D434" t="s">
        <v>32</v>
      </c>
      <c r="E434" t="s">
        <v>70</v>
      </c>
      <c r="F434">
        <v>12</v>
      </c>
      <c r="G434">
        <v>0.9</v>
      </c>
      <c r="H434">
        <v>0.75</v>
      </c>
      <c r="I434" t="s">
        <v>34</v>
      </c>
      <c r="J434">
        <v>57648</v>
      </c>
      <c r="K434" t="s">
        <v>25</v>
      </c>
      <c r="L434">
        <v>36</v>
      </c>
      <c r="M434">
        <v>38</v>
      </c>
      <c r="N434" t="s">
        <v>26</v>
      </c>
      <c r="O434" t="s">
        <v>36</v>
      </c>
      <c r="P434">
        <v>4.8499999999999996</v>
      </c>
      <c r="Q434" t="s">
        <v>24</v>
      </c>
      <c r="R434">
        <v>3.66</v>
      </c>
      <c r="S434" t="s">
        <v>28</v>
      </c>
      <c r="T434" t="str">
        <f t="shared" si="12"/>
        <v>Moderate</v>
      </c>
      <c r="U434" t="str">
        <f t="shared" si="13"/>
        <v>Experienced</v>
      </c>
    </row>
    <row r="435" spans="1:21" x14ac:dyDescent="0.35">
      <c r="A435" t="s">
        <v>508</v>
      </c>
      <c r="B435" t="s">
        <v>96</v>
      </c>
      <c r="C435" t="s">
        <v>52</v>
      </c>
      <c r="D435" t="s">
        <v>80</v>
      </c>
      <c r="E435" t="s">
        <v>23</v>
      </c>
      <c r="F435">
        <v>25</v>
      </c>
      <c r="G435">
        <v>0.88</v>
      </c>
      <c r="H435">
        <v>0.25</v>
      </c>
      <c r="I435" t="s">
        <v>24</v>
      </c>
      <c r="J435">
        <v>119974</v>
      </c>
      <c r="K435" t="s">
        <v>25</v>
      </c>
      <c r="L435">
        <v>6</v>
      </c>
      <c r="M435">
        <v>33</v>
      </c>
      <c r="N435" t="s">
        <v>42</v>
      </c>
      <c r="O435" t="s">
        <v>25</v>
      </c>
      <c r="P435">
        <v>2.33</v>
      </c>
      <c r="Q435" t="s">
        <v>34</v>
      </c>
      <c r="R435">
        <v>3.96</v>
      </c>
      <c r="S435" t="s">
        <v>47</v>
      </c>
      <c r="T435" t="str">
        <f t="shared" si="12"/>
        <v>Very Low</v>
      </c>
      <c r="U435" t="str">
        <f t="shared" si="13"/>
        <v>Expert</v>
      </c>
    </row>
    <row r="436" spans="1:21" x14ac:dyDescent="0.35">
      <c r="A436" t="s">
        <v>509</v>
      </c>
      <c r="B436" t="s">
        <v>62</v>
      </c>
      <c r="C436" t="s">
        <v>58</v>
      </c>
      <c r="D436" t="s">
        <v>22</v>
      </c>
      <c r="E436" t="s">
        <v>33</v>
      </c>
      <c r="F436">
        <v>12</v>
      </c>
      <c r="G436">
        <v>0.91</v>
      </c>
      <c r="H436">
        <v>0.66</v>
      </c>
      <c r="I436" t="s">
        <v>34</v>
      </c>
      <c r="J436">
        <v>30440</v>
      </c>
      <c r="K436" t="s">
        <v>42</v>
      </c>
      <c r="L436">
        <v>39</v>
      </c>
      <c r="M436">
        <v>41</v>
      </c>
      <c r="N436" t="s">
        <v>26</v>
      </c>
      <c r="O436" t="s">
        <v>25</v>
      </c>
      <c r="P436">
        <v>3.56</v>
      </c>
      <c r="Q436" t="s">
        <v>24</v>
      </c>
      <c r="R436">
        <v>1.43</v>
      </c>
      <c r="S436" t="s">
        <v>47</v>
      </c>
      <c r="T436" t="str">
        <f t="shared" si="12"/>
        <v>Moderate</v>
      </c>
      <c r="U436" t="str">
        <f t="shared" si="13"/>
        <v>Experienced</v>
      </c>
    </row>
    <row r="437" spans="1:21" x14ac:dyDescent="0.35">
      <c r="A437" t="s">
        <v>510</v>
      </c>
      <c r="B437" t="s">
        <v>106</v>
      </c>
      <c r="C437" t="s">
        <v>58</v>
      </c>
      <c r="D437" t="s">
        <v>22</v>
      </c>
      <c r="E437" t="s">
        <v>70</v>
      </c>
      <c r="F437">
        <v>9</v>
      </c>
      <c r="G437">
        <v>0.66</v>
      </c>
      <c r="H437">
        <v>0.32</v>
      </c>
      <c r="I437" t="s">
        <v>60</v>
      </c>
      <c r="J437">
        <v>104289</v>
      </c>
      <c r="K437" t="s">
        <v>27</v>
      </c>
      <c r="L437">
        <v>-3</v>
      </c>
      <c r="M437">
        <v>38</v>
      </c>
      <c r="N437" t="s">
        <v>26</v>
      </c>
      <c r="O437" t="s">
        <v>27</v>
      </c>
      <c r="P437">
        <v>3.43</v>
      </c>
      <c r="Q437" t="s">
        <v>24</v>
      </c>
      <c r="R437">
        <v>2.98</v>
      </c>
      <c r="S437" t="s">
        <v>28</v>
      </c>
      <c r="T437" t="str">
        <f t="shared" si="12"/>
        <v>Moderate</v>
      </c>
      <c r="U437" t="str">
        <f t="shared" si="13"/>
        <v>Experienced</v>
      </c>
    </row>
    <row r="438" spans="1:21" x14ac:dyDescent="0.35">
      <c r="A438" t="s">
        <v>511</v>
      </c>
      <c r="B438" t="s">
        <v>73</v>
      </c>
      <c r="C438" t="s">
        <v>82</v>
      </c>
      <c r="D438" t="s">
        <v>49</v>
      </c>
      <c r="E438" t="s">
        <v>23</v>
      </c>
      <c r="F438">
        <v>9</v>
      </c>
      <c r="G438">
        <v>0.81</v>
      </c>
      <c r="H438">
        <v>0.94</v>
      </c>
      <c r="I438" t="s">
        <v>60</v>
      </c>
      <c r="J438">
        <v>89001</v>
      </c>
      <c r="K438" t="s">
        <v>25</v>
      </c>
      <c r="L438">
        <v>-9</v>
      </c>
      <c r="M438">
        <v>47</v>
      </c>
      <c r="N438" t="s">
        <v>42</v>
      </c>
      <c r="O438" t="s">
        <v>36</v>
      </c>
      <c r="P438">
        <v>3.27</v>
      </c>
      <c r="Q438" t="s">
        <v>34</v>
      </c>
      <c r="R438">
        <v>4.96</v>
      </c>
      <c r="S438" t="s">
        <v>43</v>
      </c>
      <c r="T438" t="str">
        <f t="shared" si="12"/>
        <v>High</v>
      </c>
      <c r="U438" t="str">
        <f t="shared" si="13"/>
        <v>Experienced</v>
      </c>
    </row>
    <row r="439" spans="1:21" x14ac:dyDescent="0.35">
      <c r="A439" t="s">
        <v>512</v>
      </c>
      <c r="B439" t="s">
        <v>106</v>
      </c>
      <c r="C439" t="s">
        <v>74</v>
      </c>
      <c r="D439" t="s">
        <v>22</v>
      </c>
      <c r="E439" t="s">
        <v>41</v>
      </c>
      <c r="F439">
        <v>22</v>
      </c>
      <c r="G439">
        <v>0.68</v>
      </c>
      <c r="H439">
        <v>0.63</v>
      </c>
      <c r="I439" t="s">
        <v>34</v>
      </c>
      <c r="J439">
        <v>55511</v>
      </c>
      <c r="K439" t="s">
        <v>42</v>
      </c>
      <c r="L439">
        <v>31</v>
      </c>
      <c r="M439">
        <v>35</v>
      </c>
      <c r="N439" t="s">
        <v>26</v>
      </c>
      <c r="O439" t="s">
        <v>25</v>
      </c>
      <c r="P439">
        <v>3.33</v>
      </c>
      <c r="Q439" t="s">
        <v>34</v>
      </c>
      <c r="R439">
        <v>2.16</v>
      </c>
      <c r="S439" t="s">
        <v>47</v>
      </c>
      <c r="T439" t="str">
        <f t="shared" si="12"/>
        <v>Moderate</v>
      </c>
      <c r="U439" t="str">
        <f t="shared" si="13"/>
        <v>Expert</v>
      </c>
    </row>
    <row r="440" spans="1:21" x14ac:dyDescent="0.35">
      <c r="A440" t="s">
        <v>513</v>
      </c>
      <c r="B440" t="s">
        <v>106</v>
      </c>
      <c r="C440" t="s">
        <v>52</v>
      </c>
      <c r="D440" t="s">
        <v>69</v>
      </c>
      <c r="E440" t="s">
        <v>33</v>
      </c>
      <c r="F440">
        <v>1</v>
      </c>
      <c r="G440">
        <v>0.7</v>
      </c>
      <c r="H440">
        <v>0.65</v>
      </c>
      <c r="I440" t="s">
        <v>24</v>
      </c>
      <c r="J440">
        <v>207816</v>
      </c>
      <c r="K440" t="s">
        <v>42</v>
      </c>
      <c r="L440">
        <v>20</v>
      </c>
      <c r="M440">
        <v>35</v>
      </c>
      <c r="N440" t="s">
        <v>35</v>
      </c>
      <c r="O440" t="s">
        <v>25</v>
      </c>
      <c r="P440">
        <v>4.9400000000000004</v>
      </c>
      <c r="Q440" t="s">
        <v>34</v>
      </c>
      <c r="R440">
        <v>3.37</v>
      </c>
      <c r="S440" t="s">
        <v>47</v>
      </c>
      <c r="T440" t="str">
        <f t="shared" si="12"/>
        <v>Moderate</v>
      </c>
      <c r="U440" t="str">
        <f t="shared" si="13"/>
        <v>Beginner</v>
      </c>
    </row>
    <row r="441" spans="1:21" x14ac:dyDescent="0.35">
      <c r="A441" t="s">
        <v>514</v>
      </c>
      <c r="B441" t="s">
        <v>96</v>
      </c>
      <c r="C441" t="s">
        <v>21</v>
      </c>
      <c r="D441" t="s">
        <v>49</v>
      </c>
      <c r="E441" t="s">
        <v>23</v>
      </c>
      <c r="F441">
        <v>8</v>
      </c>
      <c r="G441">
        <v>0.32</v>
      </c>
      <c r="H441">
        <v>0.67</v>
      </c>
      <c r="I441" t="s">
        <v>60</v>
      </c>
      <c r="J441">
        <v>75216</v>
      </c>
      <c r="K441" t="s">
        <v>27</v>
      </c>
      <c r="L441">
        <v>18</v>
      </c>
      <c r="M441">
        <v>41</v>
      </c>
      <c r="N441" t="s">
        <v>35</v>
      </c>
      <c r="O441" t="s">
        <v>25</v>
      </c>
      <c r="P441">
        <v>2.35</v>
      </c>
      <c r="Q441" t="s">
        <v>24</v>
      </c>
      <c r="R441">
        <v>2.96</v>
      </c>
      <c r="S441" t="s">
        <v>28</v>
      </c>
      <c r="T441" t="str">
        <f t="shared" si="12"/>
        <v>High</v>
      </c>
      <c r="U441" t="str">
        <f t="shared" si="13"/>
        <v>Intermediate</v>
      </c>
    </row>
    <row r="442" spans="1:21" x14ac:dyDescent="0.35">
      <c r="A442" t="s">
        <v>515</v>
      </c>
      <c r="B442" t="s">
        <v>96</v>
      </c>
      <c r="C442" t="s">
        <v>107</v>
      </c>
      <c r="D442" t="s">
        <v>69</v>
      </c>
      <c r="E442" t="s">
        <v>70</v>
      </c>
      <c r="F442">
        <v>18</v>
      </c>
      <c r="G442">
        <v>0.72</v>
      </c>
      <c r="H442">
        <v>0.83</v>
      </c>
      <c r="I442" t="s">
        <v>24</v>
      </c>
      <c r="J442">
        <v>77473</v>
      </c>
      <c r="K442" t="s">
        <v>25</v>
      </c>
      <c r="L442">
        <v>10</v>
      </c>
      <c r="M442">
        <v>32</v>
      </c>
      <c r="N442" t="s">
        <v>26</v>
      </c>
      <c r="O442" t="s">
        <v>27</v>
      </c>
      <c r="P442">
        <v>2.5499999999999998</v>
      </c>
      <c r="Q442" t="s">
        <v>24</v>
      </c>
      <c r="R442">
        <v>2.58</v>
      </c>
      <c r="S442" t="s">
        <v>28</v>
      </c>
      <c r="T442" t="str">
        <f t="shared" si="12"/>
        <v>High</v>
      </c>
      <c r="U442" t="str">
        <f t="shared" si="13"/>
        <v>Expert</v>
      </c>
    </row>
    <row r="443" spans="1:21" x14ac:dyDescent="0.35">
      <c r="A443" t="s">
        <v>516</v>
      </c>
      <c r="B443" t="s">
        <v>77</v>
      </c>
      <c r="C443" t="s">
        <v>82</v>
      </c>
      <c r="D443" t="s">
        <v>75</v>
      </c>
      <c r="E443" t="s">
        <v>23</v>
      </c>
      <c r="F443">
        <v>25</v>
      </c>
      <c r="G443">
        <v>0.92</v>
      </c>
      <c r="H443">
        <v>0.91</v>
      </c>
      <c r="I443" t="s">
        <v>34</v>
      </c>
      <c r="J443">
        <v>77360</v>
      </c>
      <c r="K443" t="s">
        <v>25</v>
      </c>
      <c r="L443">
        <v>-8</v>
      </c>
      <c r="M443">
        <v>34</v>
      </c>
      <c r="N443" t="s">
        <v>26</v>
      </c>
      <c r="O443" t="s">
        <v>25</v>
      </c>
      <c r="P443">
        <v>3.96</v>
      </c>
      <c r="Q443" t="s">
        <v>24</v>
      </c>
      <c r="R443">
        <v>3.25</v>
      </c>
      <c r="S443" t="s">
        <v>47</v>
      </c>
      <c r="T443" t="str">
        <f t="shared" si="12"/>
        <v>Moderate</v>
      </c>
      <c r="U443" t="str">
        <f t="shared" si="13"/>
        <v>Expert</v>
      </c>
    </row>
    <row r="444" spans="1:21" x14ac:dyDescent="0.35">
      <c r="A444" t="s">
        <v>517</v>
      </c>
      <c r="B444" t="s">
        <v>156</v>
      </c>
      <c r="C444" t="s">
        <v>39</v>
      </c>
      <c r="D444" t="s">
        <v>66</v>
      </c>
      <c r="E444" t="s">
        <v>41</v>
      </c>
      <c r="F444">
        <v>16</v>
      </c>
      <c r="G444">
        <v>0.38</v>
      </c>
      <c r="H444">
        <v>0.63</v>
      </c>
      <c r="I444" t="s">
        <v>34</v>
      </c>
      <c r="J444">
        <v>140900</v>
      </c>
      <c r="K444" t="s">
        <v>27</v>
      </c>
      <c r="L444">
        <v>24</v>
      </c>
      <c r="M444">
        <v>44</v>
      </c>
      <c r="N444" t="s">
        <v>35</v>
      </c>
      <c r="O444" t="s">
        <v>27</v>
      </c>
      <c r="P444">
        <v>3.47</v>
      </c>
      <c r="Q444" t="s">
        <v>34</v>
      </c>
      <c r="R444">
        <v>3.09</v>
      </c>
      <c r="S444" t="s">
        <v>43</v>
      </c>
      <c r="T444" t="str">
        <f t="shared" si="12"/>
        <v>High</v>
      </c>
      <c r="U444" t="str">
        <f t="shared" si="13"/>
        <v>Expert</v>
      </c>
    </row>
    <row r="445" spans="1:21" x14ac:dyDescent="0.35">
      <c r="A445" t="s">
        <v>518</v>
      </c>
      <c r="B445" t="s">
        <v>106</v>
      </c>
      <c r="C445" t="s">
        <v>46</v>
      </c>
      <c r="D445" t="s">
        <v>80</v>
      </c>
      <c r="E445" t="s">
        <v>33</v>
      </c>
      <c r="F445">
        <v>18</v>
      </c>
      <c r="G445">
        <v>0.22</v>
      </c>
      <c r="H445">
        <v>0.44</v>
      </c>
      <c r="I445" t="s">
        <v>34</v>
      </c>
      <c r="J445">
        <v>86416</v>
      </c>
      <c r="K445" t="s">
        <v>42</v>
      </c>
      <c r="L445">
        <v>-2</v>
      </c>
      <c r="M445">
        <v>53</v>
      </c>
      <c r="N445" t="s">
        <v>26</v>
      </c>
      <c r="O445" t="s">
        <v>36</v>
      </c>
      <c r="P445">
        <v>2.2200000000000002</v>
      </c>
      <c r="Q445" t="s">
        <v>34</v>
      </c>
      <c r="R445">
        <v>2.04</v>
      </c>
      <c r="S445" t="s">
        <v>28</v>
      </c>
      <c r="T445" t="str">
        <f t="shared" si="12"/>
        <v>High</v>
      </c>
      <c r="U445" t="str">
        <f t="shared" si="13"/>
        <v>Expert</v>
      </c>
    </row>
    <row r="446" spans="1:21" x14ac:dyDescent="0.35">
      <c r="A446" t="s">
        <v>519</v>
      </c>
      <c r="B446" t="s">
        <v>20</v>
      </c>
      <c r="C446" t="s">
        <v>39</v>
      </c>
      <c r="D446" t="s">
        <v>40</v>
      </c>
      <c r="E446" t="s">
        <v>70</v>
      </c>
      <c r="F446">
        <v>20</v>
      </c>
      <c r="G446">
        <v>0.66</v>
      </c>
      <c r="H446">
        <v>0.94</v>
      </c>
      <c r="I446" t="s">
        <v>60</v>
      </c>
      <c r="J446">
        <v>67550</v>
      </c>
      <c r="K446" t="s">
        <v>27</v>
      </c>
      <c r="L446">
        <v>2</v>
      </c>
      <c r="M446">
        <v>52</v>
      </c>
      <c r="N446" t="s">
        <v>42</v>
      </c>
      <c r="O446" t="s">
        <v>27</v>
      </c>
      <c r="P446">
        <v>3.97</v>
      </c>
      <c r="Q446" t="s">
        <v>24</v>
      </c>
      <c r="R446">
        <v>2.68</v>
      </c>
      <c r="S446" t="s">
        <v>47</v>
      </c>
      <c r="T446" t="str">
        <f t="shared" si="12"/>
        <v>High</v>
      </c>
      <c r="U446" t="str">
        <f t="shared" si="13"/>
        <v>Expert</v>
      </c>
    </row>
    <row r="447" spans="1:21" x14ac:dyDescent="0.35">
      <c r="A447" t="s">
        <v>520</v>
      </c>
      <c r="B447" t="s">
        <v>20</v>
      </c>
      <c r="C447" t="s">
        <v>52</v>
      </c>
      <c r="D447" t="s">
        <v>40</v>
      </c>
      <c r="E447" t="s">
        <v>70</v>
      </c>
      <c r="F447">
        <v>20</v>
      </c>
      <c r="G447">
        <v>0.12</v>
      </c>
      <c r="H447">
        <v>0.3</v>
      </c>
      <c r="I447" t="s">
        <v>24</v>
      </c>
      <c r="J447">
        <v>58833</v>
      </c>
      <c r="K447" t="s">
        <v>42</v>
      </c>
      <c r="L447">
        <v>11</v>
      </c>
      <c r="M447">
        <v>54</v>
      </c>
      <c r="N447" t="s">
        <v>42</v>
      </c>
      <c r="O447" t="s">
        <v>25</v>
      </c>
      <c r="P447">
        <v>4.6100000000000003</v>
      </c>
      <c r="Q447" t="s">
        <v>24</v>
      </c>
      <c r="R447">
        <v>2.09</v>
      </c>
      <c r="S447" t="s">
        <v>47</v>
      </c>
      <c r="T447" t="str">
        <f t="shared" si="12"/>
        <v>High</v>
      </c>
      <c r="U447" t="str">
        <f t="shared" si="13"/>
        <v>Expert</v>
      </c>
    </row>
    <row r="448" spans="1:21" x14ac:dyDescent="0.35">
      <c r="A448" t="s">
        <v>521</v>
      </c>
      <c r="B448" t="s">
        <v>89</v>
      </c>
      <c r="C448" t="s">
        <v>21</v>
      </c>
      <c r="D448" t="s">
        <v>80</v>
      </c>
      <c r="E448" t="s">
        <v>70</v>
      </c>
      <c r="F448">
        <v>22</v>
      </c>
      <c r="G448">
        <v>0.52</v>
      </c>
      <c r="H448">
        <v>0.89</v>
      </c>
      <c r="I448" t="s">
        <v>60</v>
      </c>
      <c r="J448">
        <v>184357</v>
      </c>
      <c r="K448" t="s">
        <v>42</v>
      </c>
      <c r="L448">
        <v>25</v>
      </c>
      <c r="M448">
        <v>38</v>
      </c>
      <c r="N448" t="s">
        <v>26</v>
      </c>
      <c r="O448" t="s">
        <v>25</v>
      </c>
      <c r="P448">
        <v>4.6900000000000004</v>
      </c>
      <c r="Q448" t="s">
        <v>24</v>
      </c>
      <c r="R448">
        <v>2.27</v>
      </c>
      <c r="S448" t="s">
        <v>43</v>
      </c>
      <c r="T448" t="str">
        <f t="shared" si="12"/>
        <v>High</v>
      </c>
      <c r="U448" t="str">
        <f t="shared" si="13"/>
        <v>Expert</v>
      </c>
    </row>
    <row r="449" spans="1:21" x14ac:dyDescent="0.35">
      <c r="A449" t="s">
        <v>522</v>
      </c>
      <c r="B449" t="s">
        <v>106</v>
      </c>
      <c r="C449" t="s">
        <v>82</v>
      </c>
      <c r="D449" t="s">
        <v>32</v>
      </c>
      <c r="E449" t="s">
        <v>23</v>
      </c>
      <c r="F449">
        <v>18</v>
      </c>
      <c r="G449">
        <v>0.16</v>
      </c>
      <c r="H449">
        <v>0.21</v>
      </c>
      <c r="I449" t="s">
        <v>60</v>
      </c>
      <c r="J449">
        <v>164628</v>
      </c>
      <c r="K449" t="s">
        <v>42</v>
      </c>
      <c r="L449">
        <v>-7</v>
      </c>
      <c r="M449">
        <v>59</v>
      </c>
      <c r="N449" t="s">
        <v>26</v>
      </c>
      <c r="O449" t="s">
        <v>27</v>
      </c>
      <c r="P449">
        <v>4.92</v>
      </c>
      <c r="Q449" t="s">
        <v>24</v>
      </c>
      <c r="R449">
        <v>3.71</v>
      </c>
      <c r="S449" t="s">
        <v>43</v>
      </c>
      <c r="T449" t="str">
        <f t="shared" si="12"/>
        <v>High</v>
      </c>
      <c r="U449" t="str">
        <f t="shared" si="13"/>
        <v>Expert</v>
      </c>
    </row>
    <row r="450" spans="1:21" x14ac:dyDescent="0.35">
      <c r="A450" t="s">
        <v>523</v>
      </c>
      <c r="B450" t="s">
        <v>57</v>
      </c>
      <c r="C450" t="s">
        <v>31</v>
      </c>
      <c r="D450" t="s">
        <v>40</v>
      </c>
      <c r="E450" t="s">
        <v>70</v>
      </c>
      <c r="F450">
        <v>13</v>
      </c>
      <c r="G450">
        <v>0.31</v>
      </c>
      <c r="H450">
        <v>0.95</v>
      </c>
      <c r="I450" t="s">
        <v>34</v>
      </c>
      <c r="J450">
        <v>166470</v>
      </c>
      <c r="K450" t="s">
        <v>25</v>
      </c>
      <c r="L450">
        <v>30</v>
      </c>
      <c r="M450">
        <v>32</v>
      </c>
      <c r="N450" t="s">
        <v>35</v>
      </c>
      <c r="O450" t="s">
        <v>27</v>
      </c>
      <c r="P450">
        <v>2.72</v>
      </c>
      <c r="Q450" t="s">
        <v>24</v>
      </c>
      <c r="R450">
        <v>1.66</v>
      </c>
      <c r="S450" t="s">
        <v>47</v>
      </c>
      <c r="T450" t="str">
        <f t="shared" si="12"/>
        <v>Very High</v>
      </c>
      <c r="U450" t="str">
        <f t="shared" si="13"/>
        <v>Experienced</v>
      </c>
    </row>
    <row r="451" spans="1:21" x14ac:dyDescent="0.35">
      <c r="A451" t="s">
        <v>524</v>
      </c>
      <c r="B451" t="s">
        <v>106</v>
      </c>
      <c r="C451" t="s">
        <v>107</v>
      </c>
      <c r="D451" t="s">
        <v>49</v>
      </c>
      <c r="E451" t="s">
        <v>41</v>
      </c>
      <c r="F451">
        <v>12</v>
      </c>
      <c r="G451">
        <v>0.92</v>
      </c>
      <c r="H451">
        <v>0.53</v>
      </c>
      <c r="I451" t="s">
        <v>24</v>
      </c>
      <c r="J451">
        <v>163348</v>
      </c>
      <c r="K451" t="s">
        <v>27</v>
      </c>
      <c r="L451">
        <v>2</v>
      </c>
      <c r="M451">
        <v>59</v>
      </c>
      <c r="N451" t="s">
        <v>26</v>
      </c>
      <c r="O451" t="s">
        <v>25</v>
      </c>
      <c r="P451">
        <v>4.1399999999999997</v>
      </c>
      <c r="Q451" t="s">
        <v>34</v>
      </c>
      <c r="R451">
        <v>1.98</v>
      </c>
      <c r="S451" t="s">
        <v>28</v>
      </c>
      <c r="T451" t="str">
        <f t="shared" ref="T451:T514" si="14">IF(AND(G451&lt;0.4,H451&gt;=0.7),"Very High",
IF(AND(G451&gt;=0.7,H451&lt;0.5),"Very Low",
IF(G451&lt;H451,"High","Moderate")))</f>
        <v>Moderate</v>
      </c>
      <c r="U451" t="str">
        <f t="shared" ref="U451:U514" si="15">_xlfn.IFS(F451&lt;=2,"Beginner",F451&lt;=8,"Intermediate",F451&lt;=15,"Experienced",F451&lt;=25,"Expert")</f>
        <v>Experienced</v>
      </c>
    </row>
    <row r="452" spans="1:21" x14ac:dyDescent="0.35">
      <c r="A452" t="s">
        <v>525</v>
      </c>
      <c r="B452" t="s">
        <v>65</v>
      </c>
      <c r="C452" t="s">
        <v>74</v>
      </c>
      <c r="D452" t="s">
        <v>75</v>
      </c>
      <c r="E452" t="s">
        <v>23</v>
      </c>
      <c r="F452">
        <v>15</v>
      </c>
      <c r="G452">
        <v>0.21</v>
      </c>
      <c r="H452">
        <v>0.49</v>
      </c>
      <c r="I452" t="s">
        <v>34</v>
      </c>
      <c r="J452">
        <v>64948</v>
      </c>
      <c r="K452" t="s">
        <v>25</v>
      </c>
      <c r="L452">
        <v>13</v>
      </c>
      <c r="M452">
        <v>33</v>
      </c>
      <c r="N452" t="s">
        <v>42</v>
      </c>
      <c r="O452" t="s">
        <v>27</v>
      </c>
      <c r="P452">
        <v>2.75</v>
      </c>
      <c r="Q452" t="s">
        <v>24</v>
      </c>
      <c r="R452">
        <v>2.16</v>
      </c>
      <c r="S452" t="s">
        <v>43</v>
      </c>
      <c r="T452" t="str">
        <f t="shared" si="14"/>
        <v>High</v>
      </c>
      <c r="U452" t="str">
        <f t="shared" si="15"/>
        <v>Experienced</v>
      </c>
    </row>
    <row r="453" spans="1:21" x14ac:dyDescent="0.35">
      <c r="A453" t="s">
        <v>526</v>
      </c>
      <c r="B453" t="s">
        <v>65</v>
      </c>
      <c r="C453" t="s">
        <v>58</v>
      </c>
      <c r="D453" t="s">
        <v>49</v>
      </c>
      <c r="E453" t="s">
        <v>23</v>
      </c>
      <c r="F453">
        <v>1</v>
      </c>
      <c r="G453">
        <v>0.56000000000000005</v>
      </c>
      <c r="H453">
        <v>0.37</v>
      </c>
      <c r="I453" t="s">
        <v>34</v>
      </c>
      <c r="J453">
        <v>109906</v>
      </c>
      <c r="K453" t="s">
        <v>25</v>
      </c>
      <c r="L453">
        <v>29</v>
      </c>
      <c r="M453">
        <v>44</v>
      </c>
      <c r="N453" t="s">
        <v>42</v>
      </c>
      <c r="O453" t="s">
        <v>36</v>
      </c>
      <c r="P453">
        <v>3.06</v>
      </c>
      <c r="Q453" t="s">
        <v>24</v>
      </c>
      <c r="R453">
        <v>2.4</v>
      </c>
      <c r="S453" t="s">
        <v>28</v>
      </c>
      <c r="T453" t="str">
        <f t="shared" si="14"/>
        <v>Moderate</v>
      </c>
      <c r="U453" t="str">
        <f t="shared" si="15"/>
        <v>Beginner</v>
      </c>
    </row>
    <row r="454" spans="1:21" x14ac:dyDescent="0.35">
      <c r="A454" t="s">
        <v>527</v>
      </c>
      <c r="B454" t="s">
        <v>65</v>
      </c>
      <c r="C454" t="s">
        <v>82</v>
      </c>
      <c r="D454" t="s">
        <v>69</v>
      </c>
      <c r="E454" t="s">
        <v>41</v>
      </c>
      <c r="F454">
        <v>15</v>
      </c>
      <c r="G454">
        <v>0.44</v>
      </c>
      <c r="H454">
        <v>0.36</v>
      </c>
      <c r="I454" t="s">
        <v>24</v>
      </c>
      <c r="J454">
        <v>168699</v>
      </c>
      <c r="K454" t="s">
        <v>25</v>
      </c>
      <c r="L454">
        <v>39</v>
      </c>
      <c r="M454">
        <v>51</v>
      </c>
      <c r="N454" t="s">
        <v>42</v>
      </c>
      <c r="O454" t="s">
        <v>25</v>
      </c>
      <c r="P454">
        <v>3.41</v>
      </c>
      <c r="Q454" t="s">
        <v>34</v>
      </c>
      <c r="R454">
        <v>2.2000000000000002</v>
      </c>
      <c r="S454" t="s">
        <v>43</v>
      </c>
      <c r="T454" t="str">
        <f t="shared" si="14"/>
        <v>Moderate</v>
      </c>
      <c r="U454" t="str">
        <f t="shared" si="15"/>
        <v>Experienced</v>
      </c>
    </row>
    <row r="455" spans="1:21" x14ac:dyDescent="0.35">
      <c r="A455" t="s">
        <v>528</v>
      </c>
      <c r="B455" t="s">
        <v>147</v>
      </c>
      <c r="C455" t="s">
        <v>52</v>
      </c>
      <c r="D455" t="s">
        <v>75</v>
      </c>
      <c r="E455" t="s">
        <v>70</v>
      </c>
      <c r="F455">
        <v>22</v>
      </c>
      <c r="G455">
        <v>0.64</v>
      </c>
      <c r="H455">
        <v>0.55000000000000004</v>
      </c>
      <c r="I455" t="s">
        <v>24</v>
      </c>
      <c r="J455">
        <v>66667</v>
      </c>
      <c r="K455" t="s">
        <v>25</v>
      </c>
      <c r="L455">
        <v>2</v>
      </c>
      <c r="M455">
        <v>39</v>
      </c>
      <c r="N455" t="s">
        <v>35</v>
      </c>
      <c r="O455" t="s">
        <v>25</v>
      </c>
      <c r="P455">
        <v>3.18</v>
      </c>
      <c r="Q455" t="s">
        <v>34</v>
      </c>
      <c r="R455">
        <v>4.5999999999999996</v>
      </c>
      <c r="S455" t="s">
        <v>47</v>
      </c>
      <c r="T455" t="str">
        <f t="shared" si="14"/>
        <v>Moderate</v>
      </c>
      <c r="U455" t="str">
        <f t="shared" si="15"/>
        <v>Expert</v>
      </c>
    </row>
    <row r="456" spans="1:21" x14ac:dyDescent="0.35">
      <c r="A456" t="s">
        <v>529</v>
      </c>
      <c r="B456" t="s">
        <v>106</v>
      </c>
      <c r="C456" t="s">
        <v>74</v>
      </c>
      <c r="D456" t="s">
        <v>69</v>
      </c>
      <c r="E456" t="s">
        <v>23</v>
      </c>
      <c r="F456">
        <v>4</v>
      </c>
      <c r="G456">
        <v>0.49</v>
      </c>
      <c r="H456">
        <v>0.59</v>
      </c>
      <c r="I456" t="s">
        <v>24</v>
      </c>
      <c r="J456">
        <v>208713</v>
      </c>
      <c r="K456" t="s">
        <v>25</v>
      </c>
      <c r="L456">
        <v>40</v>
      </c>
      <c r="M456">
        <v>30</v>
      </c>
      <c r="N456" t="s">
        <v>35</v>
      </c>
      <c r="O456" t="s">
        <v>25</v>
      </c>
      <c r="P456">
        <v>3.03</v>
      </c>
      <c r="Q456" t="s">
        <v>24</v>
      </c>
      <c r="R456">
        <v>4.07</v>
      </c>
      <c r="S456" t="s">
        <v>47</v>
      </c>
      <c r="T456" t="str">
        <f t="shared" si="14"/>
        <v>High</v>
      </c>
      <c r="U456" t="str">
        <f t="shared" si="15"/>
        <v>Intermediate</v>
      </c>
    </row>
    <row r="457" spans="1:21" x14ac:dyDescent="0.35">
      <c r="A457" t="s">
        <v>530</v>
      </c>
      <c r="B457" t="s">
        <v>45</v>
      </c>
      <c r="C457" t="s">
        <v>52</v>
      </c>
      <c r="D457" t="s">
        <v>59</v>
      </c>
      <c r="E457" t="s">
        <v>33</v>
      </c>
      <c r="F457">
        <v>23</v>
      </c>
      <c r="G457">
        <v>0.44</v>
      </c>
      <c r="H457">
        <v>0.43</v>
      </c>
      <c r="I457" t="s">
        <v>60</v>
      </c>
      <c r="J457">
        <v>157383</v>
      </c>
      <c r="K457" t="s">
        <v>25</v>
      </c>
      <c r="L457">
        <v>5</v>
      </c>
      <c r="M457">
        <v>38</v>
      </c>
      <c r="N457" t="s">
        <v>35</v>
      </c>
      <c r="O457" t="s">
        <v>36</v>
      </c>
      <c r="P457">
        <v>4.9800000000000004</v>
      </c>
      <c r="Q457" t="s">
        <v>24</v>
      </c>
      <c r="R457">
        <v>3.67</v>
      </c>
      <c r="S457" t="s">
        <v>43</v>
      </c>
      <c r="T457" t="str">
        <f t="shared" si="14"/>
        <v>Moderate</v>
      </c>
      <c r="U457" t="str">
        <f t="shared" si="15"/>
        <v>Expert</v>
      </c>
    </row>
    <row r="458" spans="1:21" x14ac:dyDescent="0.35">
      <c r="A458" t="s">
        <v>531</v>
      </c>
      <c r="B458" t="s">
        <v>106</v>
      </c>
      <c r="C458" t="s">
        <v>39</v>
      </c>
      <c r="D458" t="s">
        <v>40</v>
      </c>
      <c r="E458" t="s">
        <v>33</v>
      </c>
      <c r="F458">
        <v>12</v>
      </c>
      <c r="G458">
        <v>0.94</v>
      </c>
      <c r="H458">
        <v>0.67</v>
      </c>
      <c r="I458" t="s">
        <v>24</v>
      </c>
      <c r="J458">
        <v>196324</v>
      </c>
      <c r="K458" t="s">
        <v>42</v>
      </c>
      <c r="L458">
        <v>2</v>
      </c>
      <c r="M458">
        <v>59</v>
      </c>
      <c r="N458" t="s">
        <v>35</v>
      </c>
      <c r="O458" t="s">
        <v>36</v>
      </c>
      <c r="P458">
        <v>2.0499999999999998</v>
      </c>
      <c r="Q458" t="s">
        <v>24</v>
      </c>
      <c r="R458">
        <v>1.36</v>
      </c>
      <c r="S458" t="s">
        <v>47</v>
      </c>
      <c r="T458" t="str">
        <f t="shared" si="14"/>
        <v>Moderate</v>
      </c>
      <c r="U458" t="str">
        <f t="shared" si="15"/>
        <v>Experienced</v>
      </c>
    </row>
    <row r="459" spans="1:21" x14ac:dyDescent="0.35">
      <c r="A459" t="s">
        <v>532</v>
      </c>
      <c r="B459" t="s">
        <v>65</v>
      </c>
      <c r="C459" t="s">
        <v>52</v>
      </c>
      <c r="D459" t="s">
        <v>75</v>
      </c>
      <c r="E459" t="s">
        <v>70</v>
      </c>
      <c r="F459">
        <v>3</v>
      </c>
      <c r="G459">
        <v>0.25</v>
      </c>
      <c r="H459">
        <v>0.54</v>
      </c>
      <c r="I459" t="s">
        <v>34</v>
      </c>
      <c r="J459">
        <v>46082</v>
      </c>
      <c r="K459" t="s">
        <v>42</v>
      </c>
      <c r="L459">
        <v>7</v>
      </c>
      <c r="M459">
        <v>60</v>
      </c>
      <c r="N459" t="s">
        <v>42</v>
      </c>
      <c r="O459" t="s">
        <v>27</v>
      </c>
      <c r="P459">
        <v>3.25</v>
      </c>
      <c r="Q459" t="s">
        <v>34</v>
      </c>
      <c r="R459">
        <v>4.58</v>
      </c>
      <c r="S459" t="s">
        <v>47</v>
      </c>
      <c r="T459" t="str">
        <f t="shared" si="14"/>
        <v>High</v>
      </c>
      <c r="U459" t="str">
        <f t="shared" si="15"/>
        <v>Intermediate</v>
      </c>
    </row>
    <row r="460" spans="1:21" x14ac:dyDescent="0.35">
      <c r="A460" t="s">
        <v>533</v>
      </c>
      <c r="B460" t="s">
        <v>68</v>
      </c>
      <c r="C460" t="s">
        <v>52</v>
      </c>
      <c r="D460" t="s">
        <v>32</v>
      </c>
      <c r="E460" t="s">
        <v>70</v>
      </c>
      <c r="F460">
        <v>15</v>
      </c>
      <c r="G460">
        <v>0.24</v>
      </c>
      <c r="H460">
        <v>0.56999999999999995</v>
      </c>
      <c r="I460" t="s">
        <v>34</v>
      </c>
      <c r="J460">
        <v>188996</v>
      </c>
      <c r="K460" t="s">
        <v>42</v>
      </c>
      <c r="L460">
        <v>9</v>
      </c>
      <c r="M460">
        <v>33</v>
      </c>
      <c r="N460" t="s">
        <v>35</v>
      </c>
      <c r="O460" t="s">
        <v>27</v>
      </c>
      <c r="P460">
        <v>2.04</v>
      </c>
      <c r="Q460" t="s">
        <v>24</v>
      </c>
      <c r="R460">
        <v>2.3199999999999998</v>
      </c>
      <c r="S460" t="s">
        <v>28</v>
      </c>
      <c r="T460" t="str">
        <f t="shared" si="14"/>
        <v>High</v>
      </c>
      <c r="U460" t="str">
        <f t="shared" si="15"/>
        <v>Experienced</v>
      </c>
    </row>
    <row r="461" spans="1:21" x14ac:dyDescent="0.35">
      <c r="A461" t="s">
        <v>534</v>
      </c>
      <c r="B461" t="s">
        <v>106</v>
      </c>
      <c r="C461" t="s">
        <v>46</v>
      </c>
      <c r="D461" t="s">
        <v>40</v>
      </c>
      <c r="E461" t="s">
        <v>41</v>
      </c>
      <c r="F461">
        <v>18</v>
      </c>
      <c r="G461">
        <v>0.24</v>
      </c>
      <c r="H461">
        <v>0.5</v>
      </c>
      <c r="I461" t="s">
        <v>60</v>
      </c>
      <c r="J461">
        <v>57883</v>
      </c>
      <c r="K461" t="s">
        <v>25</v>
      </c>
      <c r="L461">
        <v>2</v>
      </c>
      <c r="M461">
        <v>52</v>
      </c>
      <c r="N461" t="s">
        <v>42</v>
      </c>
      <c r="O461" t="s">
        <v>25</v>
      </c>
      <c r="P461">
        <v>2.2200000000000002</v>
      </c>
      <c r="Q461" t="s">
        <v>34</v>
      </c>
      <c r="R461">
        <v>2.21</v>
      </c>
      <c r="S461" t="s">
        <v>43</v>
      </c>
      <c r="T461" t="str">
        <f t="shared" si="14"/>
        <v>High</v>
      </c>
      <c r="U461" t="str">
        <f t="shared" si="15"/>
        <v>Expert</v>
      </c>
    </row>
    <row r="462" spans="1:21" x14ac:dyDescent="0.35">
      <c r="A462" t="s">
        <v>535</v>
      </c>
      <c r="B462" t="s">
        <v>20</v>
      </c>
      <c r="C462" t="s">
        <v>74</v>
      </c>
      <c r="D462" t="s">
        <v>63</v>
      </c>
      <c r="E462" t="s">
        <v>23</v>
      </c>
      <c r="F462">
        <v>20</v>
      </c>
      <c r="G462">
        <v>0.22</v>
      </c>
      <c r="H462">
        <v>0.63</v>
      </c>
      <c r="I462" t="s">
        <v>60</v>
      </c>
      <c r="J462">
        <v>96198</v>
      </c>
      <c r="K462" t="s">
        <v>25</v>
      </c>
      <c r="L462">
        <v>17</v>
      </c>
      <c r="M462">
        <v>32</v>
      </c>
      <c r="N462" t="s">
        <v>42</v>
      </c>
      <c r="O462" t="s">
        <v>36</v>
      </c>
      <c r="P462">
        <v>3.57</v>
      </c>
      <c r="Q462" t="s">
        <v>24</v>
      </c>
      <c r="R462">
        <v>1.67</v>
      </c>
      <c r="S462" t="s">
        <v>43</v>
      </c>
      <c r="T462" t="str">
        <f t="shared" si="14"/>
        <v>High</v>
      </c>
      <c r="U462" t="str">
        <f t="shared" si="15"/>
        <v>Expert</v>
      </c>
    </row>
    <row r="463" spans="1:21" x14ac:dyDescent="0.35">
      <c r="A463" t="s">
        <v>536</v>
      </c>
      <c r="B463" t="s">
        <v>89</v>
      </c>
      <c r="C463" t="s">
        <v>55</v>
      </c>
      <c r="D463" t="s">
        <v>80</v>
      </c>
      <c r="E463" t="s">
        <v>41</v>
      </c>
      <c r="F463">
        <v>5</v>
      </c>
      <c r="G463">
        <v>0.93</v>
      </c>
      <c r="H463">
        <v>0.35</v>
      </c>
      <c r="I463" t="s">
        <v>34</v>
      </c>
      <c r="J463">
        <v>134200</v>
      </c>
      <c r="K463" t="s">
        <v>27</v>
      </c>
      <c r="L463">
        <v>14</v>
      </c>
      <c r="M463">
        <v>47</v>
      </c>
      <c r="N463" t="s">
        <v>42</v>
      </c>
      <c r="O463" t="s">
        <v>36</v>
      </c>
      <c r="P463">
        <v>3.82</v>
      </c>
      <c r="Q463" t="s">
        <v>24</v>
      </c>
      <c r="R463">
        <v>1.74</v>
      </c>
      <c r="S463" t="s">
        <v>47</v>
      </c>
      <c r="T463" t="str">
        <f t="shared" si="14"/>
        <v>Very Low</v>
      </c>
      <c r="U463" t="str">
        <f t="shared" si="15"/>
        <v>Intermediate</v>
      </c>
    </row>
    <row r="464" spans="1:21" x14ac:dyDescent="0.35">
      <c r="A464" t="s">
        <v>537</v>
      </c>
      <c r="B464" t="s">
        <v>57</v>
      </c>
      <c r="C464" t="s">
        <v>31</v>
      </c>
      <c r="D464" t="s">
        <v>66</v>
      </c>
      <c r="E464" t="s">
        <v>41</v>
      </c>
      <c r="F464">
        <v>5</v>
      </c>
      <c r="G464">
        <v>0.69</v>
      </c>
      <c r="H464">
        <v>0.61</v>
      </c>
      <c r="I464" t="s">
        <v>24</v>
      </c>
      <c r="J464">
        <v>109537</v>
      </c>
      <c r="K464" t="s">
        <v>25</v>
      </c>
      <c r="L464">
        <v>24</v>
      </c>
      <c r="M464">
        <v>37</v>
      </c>
      <c r="N464" t="s">
        <v>42</v>
      </c>
      <c r="O464" t="s">
        <v>25</v>
      </c>
      <c r="P464">
        <v>3.92</v>
      </c>
      <c r="Q464" t="s">
        <v>34</v>
      </c>
      <c r="R464">
        <v>4.71</v>
      </c>
      <c r="S464" t="s">
        <v>43</v>
      </c>
      <c r="T464" t="str">
        <f t="shared" si="14"/>
        <v>Moderate</v>
      </c>
      <c r="U464" t="str">
        <f t="shared" si="15"/>
        <v>Intermediate</v>
      </c>
    </row>
    <row r="465" spans="1:21" x14ac:dyDescent="0.35">
      <c r="A465" t="s">
        <v>538</v>
      </c>
      <c r="B465" t="s">
        <v>147</v>
      </c>
      <c r="C465" t="s">
        <v>74</v>
      </c>
      <c r="D465" t="s">
        <v>40</v>
      </c>
      <c r="E465" t="s">
        <v>70</v>
      </c>
      <c r="F465">
        <v>23</v>
      </c>
      <c r="G465">
        <v>0.05</v>
      </c>
      <c r="H465">
        <v>0.47</v>
      </c>
      <c r="I465" t="s">
        <v>24</v>
      </c>
      <c r="J465">
        <v>188638</v>
      </c>
      <c r="K465" t="s">
        <v>42</v>
      </c>
      <c r="L465">
        <v>29</v>
      </c>
      <c r="M465">
        <v>39</v>
      </c>
      <c r="N465" t="s">
        <v>42</v>
      </c>
      <c r="O465" t="s">
        <v>25</v>
      </c>
      <c r="P465">
        <v>3.88</v>
      </c>
      <c r="Q465" t="s">
        <v>24</v>
      </c>
      <c r="R465">
        <v>4.3</v>
      </c>
      <c r="S465" t="s">
        <v>47</v>
      </c>
      <c r="T465" t="str">
        <f t="shared" si="14"/>
        <v>High</v>
      </c>
      <c r="U465" t="str">
        <f t="shared" si="15"/>
        <v>Expert</v>
      </c>
    </row>
    <row r="466" spans="1:21" x14ac:dyDescent="0.35">
      <c r="A466" t="s">
        <v>539</v>
      </c>
      <c r="B466" t="s">
        <v>68</v>
      </c>
      <c r="C466" t="s">
        <v>52</v>
      </c>
      <c r="D466" t="s">
        <v>66</v>
      </c>
      <c r="E466" t="s">
        <v>33</v>
      </c>
      <c r="F466">
        <v>14</v>
      </c>
      <c r="G466">
        <v>0.93</v>
      </c>
      <c r="H466">
        <v>0.81</v>
      </c>
      <c r="I466" t="s">
        <v>24</v>
      </c>
      <c r="J466">
        <v>182898</v>
      </c>
      <c r="K466" t="s">
        <v>42</v>
      </c>
      <c r="L466">
        <v>7</v>
      </c>
      <c r="M466">
        <v>36</v>
      </c>
      <c r="N466" t="s">
        <v>26</v>
      </c>
      <c r="O466" t="s">
        <v>27</v>
      </c>
      <c r="P466">
        <v>4.42</v>
      </c>
      <c r="Q466" t="s">
        <v>34</v>
      </c>
      <c r="R466">
        <v>1.62</v>
      </c>
      <c r="S466" t="s">
        <v>47</v>
      </c>
      <c r="T466" t="str">
        <f t="shared" si="14"/>
        <v>Moderate</v>
      </c>
      <c r="U466" t="str">
        <f t="shared" si="15"/>
        <v>Experienced</v>
      </c>
    </row>
    <row r="467" spans="1:21" x14ac:dyDescent="0.35">
      <c r="A467" t="s">
        <v>540</v>
      </c>
      <c r="B467" t="s">
        <v>102</v>
      </c>
      <c r="C467" t="s">
        <v>46</v>
      </c>
      <c r="D467" t="s">
        <v>49</v>
      </c>
      <c r="E467" t="s">
        <v>33</v>
      </c>
      <c r="F467">
        <v>20</v>
      </c>
      <c r="G467">
        <v>0.46</v>
      </c>
      <c r="H467">
        <v>0.84</v>
      </c>
      <c r="I467" t="s">
        <v>34</v>
      </c>
      <c r="J467">
        <v>76166</v>
      </c>
      <c r="K467" t="s">
        <v>25</v>
      </c>
      <c r="L467">
        <v>9</v>
      </c>
      <c r="M467">
        <v>35</v>
      </c>
      <c r="N467" t="s">
        <v>35</v>
      </c>
      <c r="O467" t="s">
        <v>36</v>
      </c>
      <c r="P467">
        <v>4.0599999999999996</v>
      </c>
      <c r="Q467" t="s">
        <v>24</v>
      </c>
      <c r="R467">
        <v>1.28</v>
      </c>
      <c r="S467" t="s">
        <v>47</v>
      </c>
      <c r="T467" t="str">
        <f t="shared" si="14"/>
        <v>High</v>
      </c>
      <c r="U467" t="str">
        <f t="shared" si="15"/>
        <v>Expert</v>
      </c>
    </row>
    <row r="468" spans="1:21" x14ac:dyDescent="0.35">
      <c r="A468" t="s">
        <v>541</v>
      </c>
      <c r="B468" t="s">
        <v>77</v>
      </c>
      <c r="C468" t="s">
        <v>21</v>
      </c>
      <c r="D468" t="s">
        <v>69</v>
      </c>
      <c r="E468" t="s">
        <v>23</v>
      </c>
      <c r="F468">
        <v>0</v>
      </c>
      <c r="G468">
        <v>0.17</v>
      </c>
      <c r="H468">
        <v>0.79</v>
      </c>
      <c r="I468" t="s">
        <v>24</v>
      </c>
      <c r="J468">
        <v>33090</v>
      </c>
      <c r="K468" t="s">
        <v>25</v>
      </c>
      <c r="L468">
        <v>38</v>
      </c>
      <c r="M468">
        <v>56</v>
      </c>
      <c r="N468" t="s">
        <v>26</v>
      </c>
      <c r="O468" t="s">
        <v>25</v>
      </c>
      <c r="P468">
        <v>2.4</v>
      </c>
      <c r="Q468" t="s">
        <v>24</v>
      </c>
      <c r="R468">
        <v>2.0699999999999998</v>
      </c>
      <c r="S468" t="s">
        <v>28</v>
      </c>
      <c r="T468" t="str">
        <f t="shared" si="14"/>
        <v>Very High</v>
      </c>
      <c r="U468" t="str">
        <f t="shared" si="15"/>
        <v>Beginner</v>
      </c>
    </row>
    <row r="469" spans="1:21" x14ac:dyDescent="0.35">
      <c r="A469" t="s">
        <v>542</v>
      </c>
      <c r="B469" t="s">
        <v>89</v>
      </c>
      <c r="C469" t="s">
        <v>46</v>
      </c>
      <c r="D469" t="s">
        <v>49</v>
      </c>
      <c r="E469" t="s">
        <v>33</v>
      </c>
      <c r="F469">
        <v>9</v>
      </c>
      <c r="G469">
        <v>0.82</v>
      </c>
      <c r="H469">
        <v>0.27</v>
      </c>
      <c r="I469" t="s">
        <v>34</v>
      </c>
      <c r="J469">
        <v>66498</v>
      </c>
      <c r="K469" t="s">
        <v>42</v>
      </c>
      <c r="L469">
        <v>-1</v>
      </c>
      <c r="M469">
        <v>37</v>
      </c>
      <c r="N469" t="s">
        <v>35</v>
      </c>
      <c r="O469" t="s">
        <v>27</v>
      </c>
      <c r="P469">
        <v>4.08</v>
      </c>
      <c r="Q469" t="s">
        <v>24</v>
      </c>
      <c r="R469">
        <v>1.08</v>
      </c>
      <c r="S469" t="s">
        <v>47</v>
      </c>
      <c r="T469" t="str">
        <f t="shared" si="14"/>
        <v>Very Low</v>
      </c>
      <c r="U469" t="str">
        <f t="shared" si="15"/>
        <v>Experienced</v>
      </c>
    </row>
    <row r="470" spans="1:21" x14ac:dyDescent="0.35">
      <c r="A470" t="s">
        <v>543</v>
      </c>
      <c r="B470" t="s">
        <v>156</v>
      </c>
      <c r="C470" t="s">
        <v>39</v>
      </c>
      <c r="D470" t="s">
        <v>75</v>
      </c>
      <c r="E470" t="s">
        <v>33</v>
      </c>
      <c r="F470">
        <v>13</v>
      </c>
      <c r="G470">
        <v>0.51</v>
      </c>
      <c r="H470">
        <v>0.86</v>
      </c>
      <c r="I470" t="s">
        <v>34</v>
      </c>
      <c r="J470">
        <v>67181</v>
      </c>
      <c r="K470" t="s">
        <v>25</v>
      </c>
      <c r="L470">
        <v>12</v>
      </c>
      <c r="M470">
        <v>50</v>
      </c>
      <c r="N470" t="s">
        <v>42</v>
      </c>
      <c r="O470" t="s">
        <v>25</v>
      </c>
      <c r="P470">
        <v>4.7699999999999996</v>
      </c>
      <c r="Q470" t="s">
        <v>34</v>
      </c>
      <c r="R470">
        <v>3.75</v>
      </c>
      <c r="S470" t="s">
        <v>28</v>
      </c>
      <c r="T470" t="str">
        <f t="shared" si="14"/>
        <v>High</v>
      </c>
      <c r="U470" t="str">
        <f t="shared" si="15"/>
        <v>Experienced</v>
      </c>
    </row>
    <row r="471" spans="1:21" x14ac:dyDescent="0.35">
      <c r="A471" t="s">
        <v>544</v>
      </c>
      <c r="B471" t="s">
        <v>147</v>
      </c>
      <c r="C471" t="s">
        <v>21</v>
      </c>
      <c r="D471" t="s">
        <v>22</v>
      </c>
      <c r="E471" t="s">
        <v>70</v>
      </c>
      <c r="F471">
        <v>3</v>
      </c>
      <c r="G471">
        <v>0.25</v>
      </c>
      <c r="H471">
        <v>0.96</v>
      </c>
      <c r="I471" t="s">
        <v>34</v>
      </c>
      <c r="J471">
        <v>103875</v>
      </c>
      <c r="K471" t="s">
        <v>25</v>
      </c>
      <c r="L471">
        <v>-8</v>
      </c>
      <c r="M471">
        <v>49</v>
      </c>
      <c r="N471" t="s">
        <v>35</v>
      </c>
      <c r="O471" t="s">
        <v>25</v>
      </c>
      <c r="P471">
        <v>3.29</v>
      </c>
      <c r="Q471" t="s">
        <v>34</v>
      </c>
      <c r="R471">
        <v>3.4</v>
      </c>
      <c r="S471" t="s">
        <v>28</v>
      </c>
      <c r="T471" t="str">
        <f t="shared" si="14"/>
        <v>Very High</v>
      </c>
      <c r="U471" t="str">
        <f t="shared" si="15"/>
        <v>Intermediate</v>
      </c>
    </row>
    <row r="472" spans="1:21" x14ac:dyDescent="0.35">
      <c r="A472" t="s">
        <v>545</v>
      </c>
      <c r="B472" t="s">
        <v>45</v>
      </c>
      <c r="C472" t="s">
        <v>58</v>
      </c>
      <c r="D472" t="s">
        <v>32</v>
      </c>
      <c r="E472" t="s">
        <v>33</v>
      </c>
      <c r="F472">
        <v>10</v>
      </c>
      <c r="G472">
        <v>0.87</v>
      </c>
      <c r="H472">
        <v>0.72</v>
      </c>
      <c r="I472" t="s">
        <v>24</v>
      </c>
      <c r="J472">
        <v>99573</v>
      </c>
      <c r="K472" t="s">
        <v>42</v>
      </c>
      <c r="L472">
        <v>18</v>
      </c>
      <c r="M472">
        <v>53</v>
      </c>
      <c r="N472" t="s">
        <v>42</v>
      </c>
      <c r="O472" t="s">
        <v>25</v>
      </c>
      <c r="P472">
        <v>2.34</v>
      </c>
      <c r="Q472" t="s">
        <v>34</v>
      </c>
      <c r="R472">
        <v>4.84</v>
      </c>
      <c r="S472" t="s">
        <v>43</v>
      </c>
      <c r="T472" t="str">
        <f t="shared" si="14"/>
        <v>Moderate</v>
      </c>
      <c r="U472" t="str">
        <f t="shared" si="15"/>
        <v>Experienced</v>
      </c>
    </row>
    <row r="473" spans="1:21" x14ac:dyDescent="0.35">
      <c r="A473" t="s">
        <v>546</v>
      </c>
      <c r="B473" t="s">
        <v>94</v>
      </c>
      <c r="C473" t="s">
        <v>107</v>
      </c>
      <c r="D473" t="s">
        <v>69</v>
      </c>
      <c r="E473" t="s">
        <v>70</v>
      </c>
      <c r="F473">
        <v>4</v>
      </c>
      <c r="G473">
        <v>0.74</v>
      </c>
      <c r="H473">
        <v>0.48</v>
      </c>
      <c r="I473" t="s">
        <v>60</v>
      </c>
      <c r="J473">
        <v>159553</v>
      </c>
      <c r="K473" t="s">
        <v>25</v>
      </c>
      <c r="L473">
        <v>14</v>
      </c>
      <c r="M473">
        <v>43</v>
      </c>
      <c r="N473" t="s">
        <v>26</v>
      </c>
      <c r="O473" t="s">
        <v>36</v>
      </c>
      <c r="P473">
        <v>3.62</v>
      </c>
      <c r="Q473" t="s">
        <v>34</v>
      </c>
      <c r="R473">
        <v>3.13</v>
      </c>
      <c r="S473" t="s">
        <v>47</v>
      </c>
      <c r="T473" t="str">
        <f t="shared" si="14"/>
        <v>Very Low</v>
      </c>
      <c r="U473" t="str">
        <f t="shared" si="15"/>
        <v>Intermediate</v>
      </c>
    </row>
    <row r="474" spans="1:21" x14ac:dyDescent="0.35">
      <c r="A474" t="s">
        <v>547</v>
      </c>
      <c r="B474" t="s">
        <v>147</v>
      </c>
      <c r="C474" t="s">
        <v>55</v>
      </c>
      <c r="D474" t="s">
        <v>49</v>
      </c>
      <c r="E474" t="s">
        <v>33</v>
      </c>
      <c r="F474">
        <v>3</v>
      </c>
      <c r="G474">
        <v>0.38</v>
      </c>
      <c r="H474">
        <v>0.36</v>
      </c>
      <c r="I474" t="s">
        <v>24</v>
      </c>
      <c r="J474">
        <v>34496</v>
      </c>
      <c r="K474" t="s">
        <v>42</v>
      </c>
      <c r="L474">
        <v>13</v>
      </c>
      <c r="M474">
        <v>57</v>
      </c>
      <c r="N474" t="s">
        <v>35</v>
      </c>
      <c r="O474" t="s">
        <v>36</v>
      </c>
      <c r="P474">
        <v>3.38</v>
      </c>
      <c r="Q474" t="s">
        <v>34</v>
      </c>
      <c r="R474">
        <v>1.97</v>
      </c>
      <c r="S474" t="s">
        <v>47</v>
      </c>
      <c r="T474" t="str">
        <f t="shared" si="14"/>
        <v>Moderate</v>
      </c>
      <c r="U474" t="str">
        <f t="shared" si="15"/>
        <v>Intermediate</v>
      </c>
    </row>
    <row r="475" spans="1:21" x14ac:dyDescent="0.35">
      <c r="A475" t="s">
        <v>548</v>
      </c>
      <c r="B475" t="s">
        <v>147</v>
      </c>
      <c r="C475" t="s">
        <v>58</v>
      </c>
      <c r="D475" t="s">
        <v>40</v>
      </c>
      <c r="E475" t="s">
        <v>41</v>
      </c>
      <c r="F475">
        <v>15</v>
      </c>
      <c r="G475">
        <v>0.39</v>
      </c>
      <c r="H475">
        <v>0.22</v>
      </c>
      <c r="I475" t="s">
        <v>60</v>
      </c>
      <c r="J475">
        <v>141334</v>
      </c>
      <c r="K475" t="s">
        <v>25</v>
      </c>
      <c r="L475">
        <v>-9</v>
      </c>
      <c r="M475">
        <v>34</v>
      </c>
      <c r="N475" t="s">
        <v>42</v>
      </c>
      <c r="O475" t="s">
        <v>25</v>
      </c>
      <c r="P475">
        <v>2.2400000000000002</v>
      </c>
      <c r="Q475" t="s">
        <v>24</v>
      </c>
      <c r="R475">
        <v>1.05</v>
      </c>
      <c r="S475" t="s">
        <v>43</v>
      </c>
      <c r="T475" t="str">
        <f t="shared" si="14"/>
        <v>Moderate</v>
      </c>
      <c r="U475" t="str">
        <f t="shared" si="15"/>
        <v>Experienced</v>
      </c>
    </row>
    <row r="476" spans="1:21" x14ac:dyDescent="0.35">
      <c r="A476" t="s">
        <v>549</v>
      </c>
      <c r="B476" t="s">
        <v>94</v>
      </c>
      <c r="C476" t="s">
        <v>74</v>
      </c>
      <c r="D476" t="s">
        <v>49</v>
      </c>
      <c r="E476" t="s">
        <v>41</v>
      </c>
      <c r="F476">
        <v>9</v>
      </c>
      <c r="G476">
        <v>0.52</v>
      </c>
      <c r="H476">
        <v>0.95</v>
      </c>
      <c r="I476" t="s">
        <v>24</v>
      </c>
      <c r="J476">
        <v>153256</v>
      </c>
      <c r="K476" t="s">
        <v>25</v>
      </c>
      <c r="L476">
        <v>-7</v>
      </c>
      <c r="M476">
        <v>58</v>
      </c>
      <c r="N476" t="s">
        <v>26</v>
      </c>
      <c r="O476" t="s">
        <v>25</v>
      </c>
      <c r="P476">
        <v>3.81</v>
      </c>
      <c r="Q476" t="s">
        <v>24</v>
      </c>
      <c r="R476">
        <v>3.01</v>
      </c>
      <c r="S476" t="s">
        <v>47</v>
      </c>
      <c r="T476" t="str">
        <f t="shared" si="14"/>
        <v>High</v>
      </c>
      <c r="U476" t="str">
        <f t="shared" si="15"/>
        <v>Experienced</v>
      </c>
    </row>
    <row r="477" spans="1:21" x14ac:dyDescent="0.35">
      <c r="A477" t="s">
        <v>550</v>
      </c>
      <c r="B477" t="s">
        <v>54</v>
      </c>
      <c r="C477" t="s">
        <v>21</v>
      </c>
      <c r="D477" t="s">
        <v>80</v>
      </c>
      <c r="E477" t="s">
        <v>23</v>
      </c>
      <c r="F477">
        <v>4</v>
      </c>
      <c r="G477">
        <v>0.33</v>
      </c>
      <c r="H477">
        <v>0.38</v>
      </c>
      <c r="I477" t="s">
        <v>60</v>
      </c>
      <c r="J477">
        <v>71104</v>
      </c>
      <c r="K477" t="s">
        <v>25</v>
      </c>
      <c r="L477">
        <v>15</v>
      </c>
      <c r="M477">
        <v>49</v>
      </c>
      <c r="N477" t="s">
        <v>35</v>
      </c>
      <c r="O477" t="s">
        <v>25</v>
      </c>
      <c r="P477">
        <v>3.18</v>
      </c>
      <c r="Q477" t="s">
        <v>24</v>
      </c>
      <c r="R477">
        <v>4.2699999999999996</v>
      </c>
      <c r="S477" t="s">
        <v>43</v>
      </c>
      <c r="T477" t="str">
        <f t="shared" si="14"/>
        <v>High</v>
      </c>
      <c r="U477" t="str">
        <f t="shared" si="15"/>
        <v>Intermediate</v>
      </c>
    </row>
    <row r="478" spans="1:21" x14ac:dyDescent="0.35">
      <c r="A478" t="s">
        <v>551</v>
      </c>
      <c r="B478" t="s">
        <v>68</v>
      </c>
      <c r="C478" t="s">
        <v>21</v>
      </c>
      <c r="D478" t="s">
        <v>40</v>
      </c>
      <c r="E478" t="s">
        <v>70</v>
      </c>
      <c r="F478">
        <v>19</v>
      </c>
      <c r="G478">
        <v>0.38</v>
      </c>
      <c r="H478">
        <v>0.54</v>
      </c>
      <c r="I478" t="s">
        <v>34</v>
      </c>
      <c r="J478">
        <v>100757</v>
      </c>
      <c r="K478" t="s">
        <v>25</v>
      </c>
      <c r="L478">
        <v>5</v>
      </c>
      <c r="M478">
        <v>39</v>
      </c>
      <c r="N478" t="s">
        <v>35</v>
      </c>
      <c r="O478" t="s">
        <v>27</v>
      </c>
      <c r="P478">
        <v>2.3199999999999998</v>
      </c>
      <c r="Q478" t="s">
        <v>24</v>
      </c>
      <c r="R478">
        <v>3.39</v>
      </c>
      <c r="S478" t="s">
        <v>43</v>
      </c>
      <c r="T478" t="str">
        <f t="shared" si="14"/>
        <v>High</v>
      </c>
      <c r="U478" t="str">
        <f t="shared" si="15"/>
        <v>Expert</v>
      </c>
    </row>
    <row r="479" spans="1:21" x14ac:dyDescent="0.35">
      <c r="A479" t="s">
        <v>552</v>
      </c>
      <c r="B479" t="s">
        <v>73</v>
      </c>
      <c r="C479" t="s">
        <v>46</v>
      </c>
      <c r="D479" t="s">
        <v>49</v>
      </c>
      <c r="E479" t="s">
        <v>41</v>
      </c>
      <c r="F479">
        <v>1</v>
      </c>
      <c r="G479">
        <v>0.28999999999999998</v>
      </c>
      <c r="H479">
        <v>0.97</v>
      </c>
      <c r="I479" t="s">
        <v>34</v>
      </c>
      <c r="J479">
        <v>178058</v>
      </c>
      <c r="K479" t="s">
        <v>25</v>
      </c>
      <c r="L479">
        <v>9</v>
      </c>
      <c r="M479">
        <v>30</v>
      </c>
      <c r="N479" t="s">
        <v>42</v>
      </c>
      <c r="O479" t="s">
        <v>36</v>
      </c>
      <c r="P479">
        <v>4.88</v>
      </c>
      <c r="Q479" t="s">
        <v>24</v>
      </c>
      <c r="R479">
        <v>2.2599999999999998</v>
      </c>
      <c r="S479" t="s">
        <v>43</v>
      </c>
      <c r="T479" t="str">
        <f t="shared" si="14"/>
        <v>Very High</v>
      </c>
      <c r="U479" t="str">
        <f t="shared" si="15"/>
        <v>Beginner</v>
      </c>
    </row>
    <row r="480" spans="1:21" x14ac:dyDescent="0.35">
      <c r="A480" t="s">
        <v>553</v>
      </c>
      <c r="B480" t="s">
        <v>156</v>
      </c>
      <c r="C480" t="s">
        <v>46</v>
      </c>
      <c r="D480" t="s">
        <v>69</v>
      </c>
      <c r="E480" t="s">
        <v>23</v>
      </c>
      <c r="F480">
        <v>18</v>
      </c>
      <c r="G480">
        <v>0.5</v>
      </c>
      <c r="H480">
        <v>0.6</v>
      </c>
      <c r="I480" t="s">
        <v>24</v>
      </c>
      <c r="J480">
        <v>69370</v>
      </c>
      <c r="K480" t="s">
        <v>42</v>
      </c>
      <c r="L480">
        <v>0</v>
      </c>
      <c r="M480">
        <v>34</v>
      </c>
      <c r="N480" t="s">
        <v>26</v>
      </c>
      <c r="O480" t="s">
        <v>36</v>
      </c>
      <c r="P480">
        <v>2.2400000000000002</v>
      </c>
      <c r="Q480" t="s">
        <v>24</v>
      </c>
      <c r="R480">
        <v>4.8099999999999996</v>
      </c>
      <c r="S480" t="s">
        <v>47</v>
      </c>
      <c r="T480" t="str">
        <f t="shared" si="14"/>
        <v>High</v>
      </c>
      <c r="U480" t="str">
        <f t="shared" si="15"/>
        <v>Expert</v>
      </c>
    </row>
    <row r="481" spans="1:21" x14ac:dyDescent="0.35">
      <c r="A481" t="s">
        <v>554</v>
      </c>
      <c r="B481" t="s">
        <v>77</v>
      </c>
      <c r="C481" t="s">
        <v>52</v>
      </c>
      <c r="D481" t="s">
        <v>75</v>
      </c>
      <c r="E481" t="s">
        <v>23</v>
      </c>
      <c r="F481">
        <v>7</v>
      </c>
      <c r="G481">
        <v>0.76</v>
      </c>
      <c r="H481">
        <v>0.47</v>
      </c>
      <c r="I481" t="s">
        <v>24</v>
      </c>
      <c r="J481">
        <v>124454</v>
      </c>
      <c r="K481" t="s">
        <v>27</v>
      </c>
      <c r="L481">
        <v>28</v>
      </c>
      <c r="M481">
        <v>32</v>
      </c>
      <c r="N481" t="s">
        <v>35</v>
      </c>
      <c r="O481" t="s">
        <v>27</v>
      </c>
      <c r="P481">
        <v>3.88</v>
      </c>
      <c r="Q481" t="s">
        <v>34</v>
      </c>
      <c r="R481">
        <v>1.39</v>
      </c>
      <c r="S481" t="s">
        <v>47</v>
      </c>
      <c r="T481" t="str">
        <f t="shared" si="14"/>
        <v>Very Low</v>
      </c>
      <c r="U481" t="str">
        <f t="shared" si="15"/>
        <v>Intermediate</v>
      </c>
    </row>
    <row r="482" spans="1:21" x14ac:dyDescent="0.35">
      <c r="A482" t="s">
        <v>555</v>
      </c>
      <c r="B482" t="s">
        <v>51</v>
      </c>
      <c r="C482" t="s">
        <v>21</v>
      </c>
      <c r="D482" t="s">
        <v>66</v>
      </c>
      <c r="E482" t="s">
        <v>70</v>
      </c>
      <c r="F482">
        <v>11</v>
      </c>
      <c r="G482">
        <v>0.46</v>
      </c>
      <c r="H482">
        <v>0.33</v>
      </c>
      <c r="I482" t="s">
        <v>24</v>
      </c>
      <c r="J482">
        <v>107491</v>
      </c>
      <c r="K482" t="s">
        <v>25</v>
      </c>
      <c r="L482">
        <v>1</v>
      </c>
      <c r="M482">
        <v>52</v>
      </c>
      <c r="N482" t="s">
        <v>42</v>
      </c>
      <c r="O482" t="s">
        <v>36</v>
      </c>
      <c r="P482">
        <v>4.96</v>
      </c>
      <c r="Q482" t="s">
        <v>34</v>
      </c>
      <c r="R482">
        <v>4.05</v>
      </c>
      <c r="S482" t="s">
        <v>43</v>
      </c>
      <c r="T482" t="str">
        <f t="shared" si="14"/>
        <v>Moderate</v>
      </c>
      <c r="U482" t="str">
        <f t="shared" si="15"/>
        <v>Experienced</v>
      </c>
    </row>
    <row r="483" spans="1:21" x14ac:dyDescent="0.35">
      <c r="A483" t="s">
        <v>556</v>
      </c>
      <c r="B483" t="s">
        <v>106</v>
      </c>
      <c r="C483" t="s">
        <v>107</v>
      </c>
      <c r="D483" t="s">
        <v>63</v>
      </c>
      <c r="E483" t="s">
        <v>70</v>
      </c>
      <c r="F483">
        <v>11</v>
      </c>
      <c r="G483">
        <v>0.82</v>
      </c>
      <c r="H483">
        <v>0.52</v>
      </c>
      <c r="I483" t="s">
        <v>24</v>
      </c>
      <c r="J483">
        <v>192446</v>
      </c>
      <c r="K483" t="s">
        <v>27</v>
      </c>
      <c r="L483">
        <v>16</v>
      </c>
      <c r="M483">
        <v>46</v>
      </c>
      <c r="N483" t="s">
        <v>42</v>
      </c>
      <c r="O483" t="s">
        <v>36</v>
      </c>
      <c r="P483">
        <v>4.63</v>
      </c>
      <c r="Q483" t="s">
        <v>24</v>
      </c>
      <c r="R483">
        <v>3.48</v>
      </c>
      <c r="S483" t="s">
        <v>28</v>
      </c>
      <c r="T483" t="str">
        <f t="shared" si="14"/>
        <v>Moderate</v>
      </c>
      <c r="U483" t="str">
        <f t="shared" si="15"/>
        <v>Experienced</v>
      </c>
    </row>
    <row r="484" spans="1:21" x14ac:dyDescent="0.35">
      <c r="A484" t="s">
        <v>557</v>
      </c>
      <c r="B484" t="s">
        <v>38</v>
      </c>
      <c r="C484" t="s">
        <v>52</v>
      </c>
      <c r="D484" t="s">
        <v>40</v>
      </c>
      <c r="E484" t="s">
        <v>33</v>
      </c>
      <c r="F484">
        <v>12</v>
      </c>
      <c r="G484">
        <v>0.82</v>
      </c>
      <c r="H484">
        <v>0.43</v>
      </c>
      <c r="I484" t="s">
        <v>34</v>
      </c>
      <c r="J484">
        <v>71472</v>
      </c>
      <c r="K484" t="s">
        <v>27</v>
      </c>
      <c r="L484">
        <v>-5</v>
      </c>
      <c r="M484">
        <v>41</v>
      </c>
      <c r="N484" t="s">
        <v>42</v>
      </c>
      <c r="O484" t="s">
        <v>36</v>
      </c>
      <c r="P484">
        <v>3.93</v>
      </c>
      <c r="Q484" t="s">
        <v>34</v>
      </c>
      <c r="R484">
        <v>1.44</v>
      </c>
      <c r="S484" t="s">
        <v>47</v>
      </c>
      <c r="T484" t="str">
        <f t="shared" si="14"/>
        <v>Very Low</v>
      </c>
      <c r="U484" t="str">
        <f t="shared" si="15"/>
        <v>Experienced</v>
      </c>
    </row>
    <row r="485" spans="1:21" x14ac:dyDescent="0.35">
      <c r="A485" t="s">
        <v>558</v>
      </c>
      <c r="B485" t="s">
        <v>77</v>
      </c>
      <c r="C485" t="s">
        <v>107</v>
      </c>
      <c r="D485" t="s">
        <v>59</v>
      </c>
      <c r="E485" t="s">
        <v>23</v>
      </c>
      <c r="F485">
        <v>3</v>
      </c>
      <c r="G485">
        <v>0.41</v>
      </c>
      <c r="H485">
        <v>0.25</v>
      </c>
      <c r="I485" t="s">
        <v>34</v>
      </c>
      <c r="J485">
        <v>119764</v>
      </c>
      <c r="K485" t="s">
        <v>42</v>
      </c>
      <c r="L485">
        <v>-8</v>
      </c>
      <c r="M485">
        <v>47</v>
      </c>
      <c r="N485" t="s">
        <v>35</v>
      </c>
      <c r="O485" t="s">
        <v>36</v>
      </c>
      <c r="P485">
        <v>2.44</v>
      </c>
      <c r="Q485" t="s">
        <v>24</v>
      </c>
      <c r="R485">
        <v>2.2799999999999998</v>
      </c>
      <c r="S485" t="s">
        <v>47</v>
      </c>
      <c r="T485" t="str">
        <f t="shared" si="14"/>
        <v>Moderate</v>
      </c>
      <c r="U485" t="str">
        <f t="shared" si="15"/>
        <v>Intermediate</v>
      </c>
    </row>
    <row r="486" spans="1:21" x14ac:dyDescent="0.35">
      <c r="A486" t="s">
        <v>559</v>
      </c>
      <c r="B486" t="s">
        <v>94</v>
      </c>
      <c r="C486" t="s">
        <v>31</v>
      </c>
      <c r="D486" t="s">
        <v>66</v>
      </c>
      <c r="E486" t="s">
        <v>33</v>
      </c>
      <c r="F486">
        <v>2</v>
      </c>
      <c r="G486">
        <v>0.24</v>
      </c>
      <c r="H486">
        <v>0.22</v>
      </c>
      <c r="I486" t="s">
        <v>24</v>
      </c>
      <c r="J486">
        <v>209220</v>
      </c>
      <c r="K486" t="s">
        <v>25</v>
      </c>
      <c r="L486">
        <v>7</v>
      </c>
      <c r="M486">
        <v>42</v>
      </c>
      <c r="N486" t="s">
        <v>35</v>
      </c>
      <c r="O486" t="s">
        <v>36</v>
      </c>
      <c r="P486">
        <v>4.62</v>
      </c>
      <c r="Q486" t="s">
        <v>34</v>
      </c>
      <c r="R486">
        <v>4.49</v>
      </c>
      <c r="S486" t="s">
        <v>28</v>
      </c>
      <c r="T486" t="str">
        <f t="shared" si="14"/>
        <v>Moderate</v>
      </c>
      <c r="U486" t="str">
        <f t="shared" si="15"/>
        <v>Beginner</v>
      </c>
    </row>
    <row r="487" spans="1:21" x14ac:dyDescent="0.35">
      <c r="A487" t="s">
        <v>560</v>
      </c>
      <c r="B487" t="s">
        <v>51</v>
      </c>
      <c r="C487" t="s">
        <v>39</v>
      </c>
      <c r="D487" t="s">
        <v>63</v>
      </c>
      <c r="E487" t="s">
        <v>23</v>
      </c>
      <c r="F487">
        <v>15</v>
      </c>
      <c r="G487">
        <v>0.86</v>
      </c>
      <c r="H487">
        <v>0.54</v>
      </c>
      <c r="I487" t="s">
        <v>34</v>
      </c>
      <c r="J487">
        <v>107831</v>
      </c>
      <c r="K487" t="s">
        <v>27</v>
      </c>
      <c r="L487">
        <v>34</v>
      </c>
      <c r="M487">
        <v>55</v>
      </c>
      <c r="N487" t="s">
        <v>35</v>
      </c>
      <c r="O487" t="s">
        <v>27</v>
      </c>
      <c r="P487">
        <v>3.31</v>
      </c>
      <c r="Q487" t="s">
        <v>34</v>
      </c>
      <c r="R487">
        <v>4.29</v>
      </c>
      <c r="S487" t="s">
        <v>28</v>
      </c>
      <c r="T487" t="str">
        <f t="shared" si="14"/>
        <v>Moderate</v>
      </c>
      <c r="U487" t="str">
        <f t="shared" si="15"/>
        <v>Experienced</v>
      </c>
    </row>
    <row r="488" spans="1:21" x14ac:dyDescent="0.35">
      <c r="A488" t="s">
        <v>561</v>
      </c>
      <c r="B488" t="s">
        <v>156</v>
      </c>
      <c r="C488" t="s">
        <v>82</v>
      </c>
      <c r="D488" t="s">
        <v>49</v>
      </c>
      <c r="E488" t="s">
        <v>33</v>
      </c>
      <c r="F488">
        <v>15</v>
      </c>
      <c r="G488">
        <v>0.94</v>
      </c>
      <c r="H488">
        <v>0.94</v>
      </c>
      <c r="I488" t="s">
        <v>34</v>
      </c>
      <c r="J488">
        <v>112972</v>
      </c>
      <c r="K488" t="s">
        <v>25</v>
      </c>
      <c r="L488">
        <v>40</v>
      </c>
      <c r="M488">
        <v>51</v>
      </c>
      <c r="N488" t="s">
        <v>42</v>
      </c>
      <c r="O488" t="s">
        <v>36</v>
      </c>
      <c r="P488">
        <v>3.56</v>
      </c>
      <c r="Q488" t="s">
        <v>24</v>
      </c>
      <c r="R488">
        <v>4.95</v>
      </c>
      <c r="S488" t="s">
        <v>47</v>
      </c>
      <c r="T488" t="str">
        <f t="shared" si="14"/>
        <v>Moderate</v>
      </c>
      <c r="U488" t="str">
        <f t="shared" si="15"/>
        <v>Experienced</v>
      </c>
    </row>
    <row r="489" spans="1:21" x14ac:dyDescent="0.35">
      <c r="A489" t="s">
        <v>562</v>
      </c>
      <c r="B489" t="s">
        <v>96</v>
      </c>
      <c r="C489" t="s">
        <v>39</v>
      </c>
      <c r="D489" t="s">
        <v>63</v>
      </c>
      <c r="E489" t="s">
        <v>33</v>
      </c>
      <c r="F489">
        <v>6</v>
      </c>
      <c r="G489">
        <v>0.68</v>
      </c>
      <c r="H489">
        <v>0.81</v>
      </c>
      <c r="I489" t="s">
        <v>60</v>
      </c>
      <c r="J489">
        <v>187533</v>
      </c>
      <c r="K489" t="s">
        <v>27</v>
      </c>
      <c r="L489">
        <v>-10</v>
      </c>
      <c r="M489">
        <v>41</v>
      </c>
      <c r="N489" t="s">
        <v>42</v>
      </c>
      <c r="O489" t="s">
        <v>25</v>
      </c>
      <c r="P489">
        <v>2.91</v>
      </c>
      <c r="Q489" t="s">
        <v>34</v>
      </c>
      <c r="R489">
        <v>3.01</v>
      </c>
      <c r="S489" t="s">
        <v>47</v>
      </c>
      <c r="T489" t="str">
        <f t="shared" si="14"/>
        <v>High</v>
      </c>
      <c r="U489" t="str">
        <f t="shared" si="15"/>
        <v>Intermediate</v>
      </c>
    </row>
    <row r="490" spans="1:21" x14ac:dyDescent="0.35">
      <c r="A490" t="s">
        <v>563</v>
      </c>
      <c r="B490" t="s">
        <v>68</v>
      </c>
      <c r="C490" t="s">
        <v>82</v>
      </c>
      <c r="D490" t="s">
        <v>49</v>
      </c>
      <c r="E490" t="s">
        <v>23</v>
      </c>
      <c r="F490">
        <v>11</v>
      </c>
      <c r="G490">
        <v>0.43</v>
      </c>
      <c r="H490">
        <v>0.97</v>
      </c>
      <c r="I490" t="s">
        <v>24</v>
      </c>
      <c r="J490">
        <v>118034</v>
      </c>
      <c r="K490" t="s">
        <v>27</v>
      </c>
      <c r="L490">
        <v>28</v>
      </c>
      <c r="M490">
        <v>35</v>
      </c>
      <c r="N490" t="s">
        <v>26</v>
      </c>
      <c r="O490" t="s">
        <v>36</v>
      </c>
      <c r="P490">
        <v>3.14</v>
      </c>
      <c r="Q490" t="s">
        <v>34</v>
      </c>
      <c r="R490">
        <v>3.54</v>
      </c>
      <c r="S490" t="s">
        <v>28</v>
      </c>
      <c r="T490" t="str">
        <f t="shared" si="14"/>
        <v>High</v>
      </c>
      <c r="U490" t="str">
        <f t="shared" si="15"/>
        <v>Experienced</v>
      </c>
    </row>
    <row r="491" spans="1:21" x14ac:dyDescent="0.35">
      <c r="A491" t="s">
        <v>564</v>
      </c>
      <c r="B491" t="s">
        <v>68</v>
      </c>
      <c r="C491" t="s">
        <v>107</v>
      </c>
      <c r="D491" t="s">
        <v>22</v>
      </c>
      <c r="E491" t="s">
        <v>41</v>
      </c>
      <c r="F491">
        <v>20</v>
      </c>
      <c r="G491">
        <v>0.63</v>
      </c>
      <c r="H491">
        <v>0.69</v>
      </c>
      <c r="I491" t="s">
        <v>34</v>
      </c>
      <c r="J491">
        <v>137814</v>
      </c>
      <c r="K491" t="s">
        <v>27</v>
      </c>
      <c r="L491">
        <v>27</v>
      </c>
      <c r="M491">
        <v>55</v>
      </c>
      <c r="N491" t="s">
        <v>35</v>
      </c>
      <c r="O491" t="s">
        <v>27</v>
      </c>
      <c r="P491">
        <v>2.87</v>
      </c>
      <c r="Q491" t="s">
        <v>34</v>
      </c>
      <c r="R491">
        <v>1.85</v>
      </c>
      <c r="S491" t="s">
        <v>43</v>
      </c>
      <c r="T491" t="str">
        <f t="shared" si="14"/>
        <v>High</v>
      </c>
      <c r="U491" t="str">
        <f t="shared" si="15"/>
        <v>Expert</v>
      </c>
    </row>
    <row r="492" spans="1:21" x14ac:dyDescent="0.35">
      <c r="A492" t="s">
        <v>565</v>
      </c>
      <c r="B492" t="s">
        <v>96</v>
      </c>
      <c r="C492" t="s">
        <v>58</v>
      </c>
      <c r="D492" t="s">
        <v>63</v>
      </c>
      <c r="E492" t="s">
        <v>33</v>
      </c>
      <c r="F492">
        <v>16</v>
      </c>
      <c r="G492">
        <v>0.87</v>
      </c>
      <c r="H492">
        <v>0.53</v>
      </c>
      <c r="I492" t="s">
        <v>34</v>
      </c>
      <c r="J492">
        <v>199046</v>
      </c>
      <c r="K492" t="s">
        <v>42</v>
      </c>
      <c r="L492">
        <v>32</v>
      </c>
      <c r="M492">
        <v>38</v>
      </c>
      <c r="N492" t="s">
        <v>42</v>
      </c>
      <c r="O492" t="s">
        <v>36</v>
      </c>
      <c r="P492">
        <v>4.0199999999999996</v>
      </c>
      <c r="Q492" t="s">
        <v>24</v>
      </c>
      <c r="R492">
        <v>4.5999999999999996</v>
      </c>
      <c r="S492" t="s">
        <v>43</v>
      </c>
      <c r="T492" t="str">
        <f t="shared" si="14"/>
        <v>Moderate</v>
      </c>
      <c r="U492" t="str">
        <f t="shared" si="15"/>
        <v>Expert</v>
      </c>
    </row>
    <row r="493" spans="1:21" x14ac:dyDescent="0.35">
      <c r="A493" t="s">
        <v>566</v>
      </c>
      <c r="B493" t="s">
        <v>77</v>
      </c>
      <c r="C493" t="s">
        <v>74</v>
      </c>
      <c r="D493" t="s">
        <v>63</v>
      </c>
      <c r="E493" t="s">
        <v>33</v>
      </c>
      <c r="F493">
        <v>18</v>
      </c>
      <c r="G493">
        <v>0.76</v>
      </c>
      <c r="H493">
        <v>0.86</v>
      </c>
      <c r="I493" t="s">
        <v>34</v>
      </c>
      <c r="J493">
        <v>166043</v>
      </c>
      <c r="K493" t="s">
        <v>25</v>
      </c>
      <c r="L493">
        <v>25</v>
      </c>
      <c r="M493">
        <v>42</v>
      </c>
      <c r="N493" t="s">
        <v>35</v>
      </c>
      <c r="O493" t="s">
        <v>27</v>
      </c>
      <c r="P493">
        <v>3.93</v>
      </c>
      <c r="Q493" t="s">
        <v>24</v>
      </c>
      <c r="R493">
        <v>4.21</v>
      </c>
      <c r="S493" t="s">
        <v>28</v>
      </c>
      <c r="T493" t="str">
        <f t="shared" si="14"/>
        <v>High</v>
      </c>
      <c r="U493" t="str">
        <f t="shared" si="15"/>
        <v>Expert</v>
      </c>
    </row>
    <row r="494" spans="1:21" x14ac:dyDescent="0.35">
      <c r="A494" t="s">
        <v>567</v>
      </c>
      <c r="B494" t="s">
        <v>106</v>
      </c>
      <c r="C494" t="s">
        <v>55</v>
      </c>
      <c r="D494" t="s">
        <v>40</v>
      </c>
      <c r="E494" t="s">
        <v>23</v>
      </c>
      <c r="F494">
        <v>24</v>
      </c>
      <c r="G494">
        <v>0.19</v>
      </c>
      <c r="H494">
        <v>0.38</v>
      </c>
      <c r="I494" t="s">
        <v>60</v>
      </c>
      <c r="J494">
        <v>216128</v>
      </c>
      <c r="K494" t="s">
        <v>42</v>
      </c>
      <c r="L494">
        <v>43</v>
      </c>
      <c r="M494">
        <v>47</v>
      </c>
      <c r="N494" t="s">
        <v>35</v>
      </c>
      <c r="O494" t="s">
        <v>36</v>
      </c>
      <c r="P494">
        <v>2.61</v>
      </c>
      <c r="Q494" t="s">
        <v>24</v>
      </c>
      <c r="R494">
        <v>1.1000000000000001</v>
      </c>
      <c r="S494" t="s">
        <v>47</v>
      </c>
      <c r="T494" t="str">
        <f t="shared" si="14"/>
        <v>High</v>
      </c>
      <c r="U494" t="str">
        <f t="shared" si="15"/>
        <v>Expert</v>
      </c>
    </row>
    <row r="495" spans="1:21" x14ac:dyDescent="0.35">
      <c r="A495" t="s">
        <v>568</v>
      </c>
      <c r="B495" t="s">
        <v>147</v>
      </c>
      <c r="C495" t="s">
        <v>82</v>
      </c>
      <c r="D495" t="s">
        <v>59</v>
      </c>
      <c r="E495" t="s">
        <v>33</v>
      </c>
      <c r="F495">
        <v>9</v>
      </c>
      <c r="G495">
        <v>0.72</v>
      </c>
      <c r="H495">
        <v>0.3</v>
      </c>
      <c r="I495" t="s">
        <v>24</v>
      </c>
      <c r="J495">
        <v>148936</v>
      </c>
      <c r="K495" t="s">
        <v>27</v>
      </c>
      <c r="L495">
        <v>43</v>
      </c>
      <c r="M495">
        <v>37</v>
      </c>
      <c r="N495" t="s">
        <v>26</v>
      </c>
      <c r="O495" t="s">
        <v>36</v>
      </c>
      <c r="P495">
        <v>4.3099999999999996</v>
      </c>
      <c r="Q495" t="s">
        <v>24</v>
      </c>
      <c r="R495">
        <v>2.1</v>
      </c>
      <c r="S495" t="s">
        <v>47</v>
      </c>
      <c r="T495" t="str">
        <f t="shared" si="14"/>
        <v>Very Low</v>
      </c>
      <c r="U495" t="str">
        <f t="shared" si="15"/>
        <v>Experienced</v>
      </c>
    </row>
    <row r="496" spans="1:21" x14ac:dyDescent="0.35">
      <c r="A496" t="s">
        <v>569</v>
      </c>
      <c r="B496" t="s">
        <v>62</v>
      </c>
      <c r="C496" t="s">
        <v>31</v>
      </c>
      <c r="D496" t="s">
        <v>32</v>
      </c>
      <c r="E496" t="s">
        <v>41</v>
      </c>
      <c r="F496">
        <v>2</v>
      </c>
      <c r="G496">
        <v>0.88</v>
      </c>
      <c r="H496">
        <v>0.3</v>
      </c>
      <c r="I496" t="s">
        <v>34</v>
      </c>
      <c r="J496">
        <v>67181</v>
      </c>
      <c r="K496" t="s">
        <v>42</v>
      </c>
      <c r="L496">
        <v>43</v>
      </c>
      <c r="M496">
        <v>36</v>
      </c>
      <c r="N496" t="s">
        <v>42</v>
      </c>
      <c r="O496" t="s">
        <v>25</v>
      </c>
      <c r="P496">
        <v>3.47</v>
      </c>
      <c r="Q496" t="s">
        <v>24</v>
      </c>
      <c r="R496">
        <v>2.65</v>
      </c>
      <c r="S496" t="s">
        <v>43</v>
      </c>
      <c r="T496" t="str">
        <f t="shared" si="14"/>
        <v>Very Low</v>
      </c>
      <c r="U496" t="str">
        <f t="shared" si="15"/>
        <v>Beginner</v>
      </c>
    </row>
    <row r="497" spans="1:21" x14ac:dyDescent="0.35">
      <c r="A497" t="s">
        <v>570</v>
      </c>
      <c r="B497" t="s">
        <v>51</v>
      </c>
      <c r="C497" t="s">
        <v>82</v>
      </c>
      <c r="D497" t="s">
        <v>66</v>
      </c>
      <c r="E497" t="s">
        <v>41</v>
      </c>
      <c r="F497">
        <v>5</v>
      </c>
      <c r="G497">
        <v>0.85</v>
      </c>
      <c r="H497">
        <v>0.7</v>
      </c>
      <c r="I497" t="s">
        <v>60</v>
      </c>
      <c r="J497">
        <v>148195</v>
      </c>
      <c r="K497" t="s">
        <v>27</v>
      </c>
      <c r="L497">
        <v>30</v>
      </c>
      <c r="M497">
        <v>49</v>
      </c>
      <c r="N497" t="s">
        <v>35</v>
      </c>
      <c r="O497" t="s">
        <v>25</v>
      </c>
      <c r="P497">
        <v>4.93</v>
      </c>
      <c r="Q497" t="s">
        <v>34</v>
      </c>
      <c r="R497">
        <v>2.94</v>
      </c>
      <c r="S497" t="s">
        <v>28</v>
      </c>
      <c r="T497" t="str">
        <f t="shared" si="14"/>
        <v>Moderate</v>
      </c>
      <c r="U497" t="str">
        <f t="shared" si="15"/>
        <v>Intermediate</v>
      </c>
    </row>
    <row r="498" spans="1:21" x14ac:dyDescent="0.35">
      <c r="A498" t="s">
        <v>571</v>
      </c>
      <c r="B498" t="s">
        <v>20</v>
      </c>
      <c r="C498" t="s">
        <v>58</v>
      </c>
      <c r="D498" t="s">
        <v>80</v>
      </c>
      <c r="E498" t="s">
        <v>33</v>
      </c>
      <c r="F498">
        <v>6</v>
      </c>
      <c r="G498">
        <v>0.88</v>
      </c>
      <c r="H498">
        <v>0.35</v>
      </c>
      <c r="I498" t="s">
        <v>34</v>
      </c>
      <c r="J498">
        <v>37747</v>
      </c>
      <c r="K498" t="s">
        <v>25</v>
      </c>
      <c r="L498">
        <v>3</v>
      </c>
      <c r="M498">
        <v>30</v>
      </c>
      <c r="N498" t="s">
        <v>42</v>
      </c>
      <c r="O498" t="s">
        <v>25</v>
      </c>
      <c r="P498">
        <v>2.66</v>
      </c>
      <c r="Q498" t="s">
        <v>24</v>
      </c>
      <c r="R498">
        <v>2.0699999999999998</v>
      </c>
      <c r="S498" t="s">
        <v>43</v>
      </c>
      <c r="T498" t="str">
        <f t="shared" si="14"/>
        <v>Very Low</v>
      </c>
      <c r="U498" t="str">
        <f t="shared" si="15"/>
        <v>Intermediate</v>
      </c>
    </row>
    <row r="499" spans="1:21" x14ac:dyDescent="0.35">
      <c r="A499" t="s">
        <v>572</v>
      </c>
      <c r="B499" t="s">
        <v>96</v>
      </c>
      <c r="C499" t="s">
        <v>39</v>
      </c>
      <c r="D499" t="s">
        <v>66</v>
      </c>
      <c r="E499" t="s">
        <v>33</v>
      </c>
      <c r="F499">
        <v>6</v>
      </c>
      <c r="G499">
        <v>0.72</v>
      </c>
      <c r="H499">
        <v>0.59</v>
      </c>
      <c r="I499" t="s">
        <v>60</v>
      </c>
      <c r="J499">
        <v>164389</v>
      </c>
      <c r="K499" t="s">
        <v>27</v>
      </c>
      <c r="L499">
        <v>7</v>
      </c>
      <c r="M499">
        <v>60</v>
      </c>
      <c r="N499" t="s">
        <v>42</v>
      </c>
      <c r="O499" t="s">
        <v>25</v>
      </c>
      <c r="P499">
        <v>3.75</v>
      </c>
      <c r="Q499" t="s">
        <v>34</v>
      </c>
      <c r="R499">
        <v>1.66</v>
      </c>
      <c r="S499" t="s">
        <v>47</v>
      </c>
      <c r="T499" t="str">
        <f t="shared" si="14"/>
        <v>Moderate</v>
      </c>
      <c r="U499" t="str">
        <f t="shared" si="15"/>
        <v>Intermediate</v>
      </c>
    </row>
    <row r="500" spans="1:21" x14ac:dyDescent="0.35">
      <c r="A500" t="s">
        <v>573</v>
      </c>
      <c r="B500" t="s">
        <v>96</v>
      </c>
      <c r="C500" t="s">
        <v>52</v>
      </c>
      <c r="D500" t="s">
        <v>59</v>
      </c>
      <c r="E500" t="s">
        <v>70</v>
      </c>
      <c r="F500">
        <v>11</v>
      </c>
      <c r="G500">
        <v>0.78</v>
      </c>
      <c r="H500">
        <v>0.69</v>
      </c>
      <c r="I500" t="s">
        <v>60</v>
      </c>
      <c r="J500">
        <v>189198</v>
      </c>
      <c r="K500" t="s">
        <v>25</v>
      </c>
      <c r="L500">
        <v>18</v>
      </c>
      <c r="M500">
        <v>35</v>
      </c>
      <c r="N500" t="s">
        <v>35</v>
      </c>
      <c r="O500" t="s">
        <v>27</v>
      </c>
      <c r="P500">
        <v>2.76</v>
      </c>
      <c r="Q500" t="s">
        <v>34</v>
      </c>
      <c r="R500">
        <v>2.17</v>
      </c>
      <c r="S500" t="s">
        <v>28</v>
      </c>
      <c r="T500" t="str">
        <f t="shared" si="14"/>
        <v>Moderate</v>
      </c>
      <c r="U500" t="str">
        <f t="shared" si="15"/>
        <v>Experienced</v>
      </c>
    </row>
    <row r="501" spans="1:21" x14ac:dyDescent="0.35">
      <c r="A501" t="s">
        <v>574</v>
      </c>
      <c r="B501" t="s">
        <v>57</v>
      </c>
      <c r="C501" t="s">
        <v>21</v>
      </c>
      <c r="D501" t="s">
        <v>59</v>
      </c>
      <c r="E501" t="s">
        <v>70</v>
      </c>
      <c r="F501">
        <v>11</v>
      </c>
      <c r="G501">
        <v>0.34</v>
      </c>
      <c r="H501">
        <v>0.82</v>
      </c>
      <c r="I501" t="s">
        <v>24</v>
      </c>
      <c r="J501">
        <v>123780</v>
      </c>
      <c r="K501" t="s">
        <v>42</v>
      </c>
      <c r="L501">
        <v>-3</v>
      </c>
      <c r="M501">
        <v>30</v>
      </c>
      <c r="N501" t="s">
        <v>42</v>
      </c>
      <c r="O501" t="s">
        <v>27</v>
      </c>
      <c r="P501">
        <v>2.0299999999999998</v>
      </c>
      <c r="Q501" t="s">
        <v>34</v>
      </c>
      <c r="R501">
        <v>1.86</v>
      </c>
      <c r="S501" t="s">
        <v>28</v>
      </c>
      <c r="T501" t="str">
        <f t="shared" si="14"/>
        <v>Very High</v>
      </c>
      <c r="U501" t="str">
        <f t="shared" si="15"/>
        <v>Experienced</v>
      </c>
    </row>
    <row r="502" spans="1:21" x14ac:dyDescent="0.35">
      <c r="A502" t="s">
        <v>575</v>
      </c>
      <c r="B502" t="s">
        <v>54</v>
      </c>
      <c r="C502" t="s">
        <v>46</v>
      </c>
      <c r="D502" t="s">
        <v>40</v>
      </c>
      <c r="E502" t="s">
        <v>23</v>
      </c>
      <c r="F502">
        <v>21</v>
      </c>
      <c r="G502">
        <v>0.24</v>
      </c>
      <c r="H502">
        <v>0.37</v>
      </c>
      <c r="I502" t="s">
        <v>34</v>
      </c>
      <c r="J502">
        <v>177051</v>
      </c>
      <c r="K502" t="s">
        <v>42</v>
      </c>
      <c r="L502">
        <v>42</v>
      </c>
      <c r="M502">
        <v>40</v>
      </c>
      <c r="N502" t="s">
        <v>35</v>
      </c>
      <c r="O502" t="s">
        <v>25</v>
      </c>
      <c r="P502">
        <v>2.15</v>
      </c>
      <c r="Q502" t="s">
        <v>34</v>
      </c>
      <c r="R502">
        <v>2.99</v>
      </c>
      <c r="S502" t="s">
        <v>43</v>
      </c>
      <c r="T502" t="str">
        <f t="shared" si="14"/>
        <v>High</v>
      </c>
      <c r="U502" t="str">
        <f t="shared" si="15"/>
        <v>Expert</v>
      </c>
    </row>
    <row r="503" spans="1:21" x14ac:dyDescent="0.35">
      <c r="A503" t="s">
        <v>576</v>
      </c>
      <c r="B503" t="s">
        <v>62</v>
      </c>
      <c r="C503" t="s">
        <v>58</v>
      </c>
      <c r="D503" t="s">
        <v>22</v>
      </c>
      <c r="E503" t="s">
        <v>41</v>
      </c>
      <c r="F503">
        <v>14</v>
      </c>
      <c r="G503">
        <v>0.57999999999999996</v>
      </c>
      <c r="H503">
        <v>0.39</v>
      </c>
      <c r="I503" t="s">
        <v>34</v>
      </c>
      <c r="J503">
        <v>35575</v>
      </c>
      <c r="K503" t="s">
        <v>25</v>
      </c>
      <c r="L503">
        <v>43</v>
      </c>
      <c r="M503">
        <v>60</v>
      </c>
      <c r="N503" t="s">
        <v>42</v>
      </c>
      <c r="O503" t="s">
        <v>25</v>
      </c>
      <c r="P503">
        <v>4.6900000000000004</v>
      </c>
      <c r="Q503" t="s">
        <v>24</v>
      </c>
      <c r="R503">
        <v>2.35</v>
      </c>
      <c r="S503" t="s">
        <v>47</v>
      </c>
      <c r="T503" t="str">
        <f t="shared" si="14"/>
        <v>Moderate</v>
      </c>
      <c r="U503" t="str">
        <f t="shared" si="15"/>
        <v>Experienced</v>
      </c>
    </row>
    <row r="504" spans="1:21" x14ac:dyDescent="0.35">
      <c r="A504" t="s">
        <v>577</v>
      </c>
      <c r="B504" t="s">
        <v>96</v>
      </c>
      <c r="C504" t="s">
        <v>21</v>
      </c>
      <c r="D504" t="s">
        <v>80</v>
      </c>
      <c r="E504" t="s">
        <v>70</v>
      </c>
      <c r="F504">
        <v>15</v>
      </c>
      <c r="G504">
        <v>0.7</v>
      </c>
      <c r="H504">
        <v>0.42</v>
      </c>
      <c r="I504" t="s">
        <v>60</v>
      </c>
      <c r="J504">
        <v>120655</v>
      </c>
      <c r="K504" t="s">
        <v>25</v>
      </c>
      <c r="L504">
        <v>15</v>
      </c>
      <c r="M504">
        <v>39</v>
      </c>
      <c r="N504" t="s">
        <v>26</v>
      </c>
      <c r="O504" t="s">
        <v>36</v>
      </c>
      <c r="P504">
        <v>3.48</v>
      </c>
      <c r="Q504" t="s">
        <v>24</v>
      </c>
      <c r="R504">
        <v>4.37</v>
      </c>
      <c r="S504" t="s">
        <v>28</v>
      </c>
      <c r="T504" t="str">
        <f t="shared" si="14"/>
        <v>Very Low</v>
      </c>
      <c r="U504" t="str">
        <f t="shared" si="15"/>
        <v>Experienced</v>
      </c>
    </row>
    <row r="505" spans="1:21" x14ac:dyDescent="0.35">
      <c r="A505" t="s">
        <v>578</v>
      </c>
      <c r="B505" t="s">
        <v>94</v>
      </c>
      <c r="C505" t="s">
        <v>39</v>
      </c>
      <c r="D505" t="s">
        <v>32</v>
      </c>
      <c r="E505" t="s">
        <v>41</v>
      </c>
      <c r="F505">
        <v>6</v>
      </c>
      <c r="G505">
        <v>0.79</v>
      </c>
      <c r="H505">
        <v>0.31</v>
      </c>
      <c r="I505" t="s">
        <v>60</v>
      </c>
      <c r="J505">
        <v>114635</v>
      </c>
      <c r="K505" t="s">
        <v>42</v>
      </c>
      <c r="L505">
        <v>42</v>
      </c>
      <c r="M505">
        <v>58</v>
      </c>
      <c r="N505" t="s">
        <v>26</v>
      </c>
      <c r="O505" t="s">
        <v>25</v>
      </c>
      <c r="P505">
        <v>4.8</v>
      </c>
      <c r="Q505" t="s">
        <v>24</v>
      </c>
      <c r="R505">
        <v>2.04</v>
      </c>
      <c r="S505" t="s">
        <v>47</v>
      </c>
      <c r="T505" t="str">
        <f t="shared" si="14"/>
        <v>Very Low</v>
      </c>
      <c r="U505" t="str">
        <f t="shared" si="15"/>
        <v>Intermediate</v>
      </c>
    </row>
    <row r="506" spans="1:21" x14ac:dyDescent="0.35">
      <c r="A506" t="s">
        <v>579</v>
      </c>
      <c r="B506" t="s">
        <v>54</v>
      </c>
      <c r="C506" t="s">
        <v>82</v>
      </c>
      <c r="D506" t="s">
        <v>32</v>
      </c>
      <c r="E506" t="s">
        <v>23</v>
      </c>
      <c r="F506">
        <v>3</v>
      </c>
      <c r="G506">
        <v>0.28999999999999998</v>
      </c>
      <c r="H506">
        <v>0.74</v>
      </c>
      <c r="I506" t="s">
        <v>24</v>
      </c>
      <c r="J506">
        <v>129498</v>
      </c>
      <c r="K506" t="s">
        <v>42</v>
      </c>
      <c r="L506">
        <v>45</v>
      </c>
      <c r="M506">
        <v>34</v>
      </c>
      <c r="N506" t="s">
        <v>26</v>
      </c>
      <c r="O506" t="s">
        <v>36</v>
      </c>
      <c r="P506">
        <v>3.91</v>
      </c>
      <c r="Q506" t="s">
        <v>24</v>
      </c>
      <c r="R506">
        <v>3.09</v>
      </c>
      <c r="S506" t="s">
        <v>47</v>
      </c>
      <c r="T506" t="str">
        <f t="shared" si="14"/>
        <v>Very High</v>
      </c>
      <c r="U506" t="str">
        <f t="shared" si="15"/>
        <v>Intermediate</v>
      </c>
    </row>
    <row r="507" spans="1:21" x14ac:dyDescent="0.35">
      <c r="A507" t="s">
        <v>580</v>
      </c>
      <c r="B507" t="s">
        <v>45</v>
      </c>
      <c r="C507" t="s">
        <v>74</v>
      </c>
      <c r="D507" t="s">
        <v>80</v>
      </c>
      <c r="E507" t="s">
        <v>33</v>
      </c>
      <c r="F507">
        <v>21</v>
      </c>
      <c r="G507">
        <v>0.25</v>
      </c>
      <c r="H507">
        <v>0.41</v>
      </c>
      <c r="I507" t="s">
        <v>60</v>
      </c>
      <c r="J507">
        <v>107656</v>
      </c>
      <c r="K507" t="s">
        <v>27</v>
      </c>
      <c r="L507">
        <v>44</v>
      </c>
      <c r="M507">
        <v>36</v>
      </c>
      <c r="N507" t="s">
        <v>26</v>
      </c>
      <c r="O507" t="s">
        <v>25</v>
      </c>
      <c r="P507">
        <v>2.23</v>
      </c>
      <c r="Q507" t="s">
        <v>34</v>
      </c>
      <c r="R507">
        <v>1.24</v>
      </c>
      <c r="S507" t="s">
        <v>47</v>
      </c>
      <c r="T507" t="str">
        <f t="shared" si="14"/>
        <v>High</v>
      </c>
      <c r="U507" t="str">
        <f t="shared" si="15"/>
        <v>Expert</v>
      </c>
    </row>
    <row r="508" spans="1:21" x14ac:dyDescent="0.35">
      <c r="A508" t="s">
        <v>581</v>
      </c>
      <c r="B508" t="s">
        <v>65</v>
      </c>
      <c r="C508" t="s">
        <v>55</v>
      </c>
      <c r="D508" t="s">
        <v>63</v>
      </c>
      <c r="E508" t="s">
        <v>70</v>
      </c>
      <c r="F508">
        <v>22</v>
      </c>
      <c r="G508">
        <v>0.14000000000000001</v>
      </c>
      <c r="H508">
        <v>0.36</v>
      </c>
      <c r="I508" t="s">
        <v>34</v>
      </c>
      <c r="J508">
        <v>184802</v>
      </c>
      <c r="K508" t="s">
        <v>27</v>
      </c>
      <c r="L508">
        <v>-1</v>
      </c>
      <c r="M508">
        <v>57</v>
      </c>
      <c r="N508" t="s">
        <v>26</v>
      </c>
      <c r="O508" t="s">
        <v>25</v>
      </c>
      <c r="P508">
        <v>4.74</v>
      </c>
      <c r="Q508" t="s">
        <v>24</v>
      </c>
      <c r="R508">
        <v>4.67</v>
      </c>
      <c r="S508" t="s">
        <v>43</v>
      </c>
      <c r="T508" t="str">
        <f t="shared" si="14"/>
        <v>High</v>
      </c>
      <c r="U508" t="str">
        <f t="shared" si="15"/>
        <v>Expert</v>
      </c>
    </row>
    <row r="509" spans="1:21" x14ac:dyDescent="0.35">
      <c r="A509" t="s">
        <v>582</v>
      </c>
      <c r="B509" t="s">
        <v>68</v>
      </c>
      <c r="C509" t="s">
        <v>82</v>
      </c>
      <c r="D509" t="s">
        <v>49</v>
      </c>
      <c r="E509" t="s">
        <v>41</v>
      </c>
      <c r="F509">
        <v>23</v>
      </c>
      <c r="G509">
        <v>0.43</v>
      </c>
      <c r="H509">
        <v>0.74</v>
      </c>
      <c r="I509" t="s">
        <v>24</v>
      </c>
      <c r="J509">
        <v>181320</v>
      </c>
      <c r="K509" t="s">
        <v>25</v>
      </c>
      <c r="L509">
        <v>-9</v>
      </c>
      <c r="M509">
        <v>58</v>
      </c>
      <c r="N509" t="s">
        <v>42</v>
      </c>
      <c r="O509" t="s">
        <v>25</v>
      </c>
      <c r="P509">
        <v>2.8</v>
      </c>
      <c r="Q509" t="s">
        <v>34</v>
      </c>
      <c r="R509">
        <v>3.65</v>
      </c>
      <c r="S509" t="s">
        <v>43</v>
      </c>
      <c r="T509" t="str">
        <f t="shared" si="14"/>
        <v>High</v>
      </c>
      <c r="U509" t="str">
        <f t="shared" si="15"/>
        <v>Expert</v>
      </c>
    </row>
    <row r="510" spans="1:21" x14ac:dyDescent="0.35">
      <c r="A510" t="s">
        <v>583</v>
      </c>
      <c r="B510" t="s">
        <v>65</v>
      </c>
      <c r="C510" t="s">
        <v>74</v>
      </c>
      <c r="D510" t="s">
        <v>75</v>
      </c>
      <c r="E510" t="s">
        <v>23</v>
      </c>
      <c r="F510">
        <v>8</v>
      </c>
      <c r="G510">
        <v>0.24</v>
      </c>
      <c r="H510">
        <v>0.51</v>
      </c>
      <c r="I510" t="s">
        <v>34</v>
      </c>
      <c r="J510">
        <v>142944</v>
      </c>
      <c r="K510" t="s">
        <v>25</v>
      </c>
      <c r="L510">
        <v>-7</v>
      </c>
      <c r="M510">
        <v>50</v>
      </c>
      <c r="N510" t="s">
        <v>42</v>
      </c>
      <c r="O510" t="s">
        <v>27</v>
      </c>
      <c r="P510">
        <v>4.78</v>
      </c>
      <c r="Q510" t="s">
        <v>24</v>
      </c>
      <c r="R510">
        <v>2.1800000000000002</v>
      </c>
      <c r="S510" t="s">
        <v>43</v>
      </c>
      <c r="T510" t="str">
        <f t="shared" si="14"/>
        <v>High</v>
      </c>
      <c r="U510" t="str">
        <f t="shared" si="15"/>
        <v>Intermediate</v>
      </c>
    </row>
    <row r="511" spans="1:21" x14ac:dyDescent="0.35">
      <c r="A511" t="s">
        <v>584</v>
      </c>
      <c r="B511" t="s">
        <v>57</v>
      </c>
      <c r="C511" t="s">
        <v>21</v>
      </c>
      <c r="D511" t="s">
        <v>59</v>
      </c>
      <c r="E511" t="s">
        <v>41</v>
      </c>
      <c r="F511">
        <v>1</v>
      </c>
      <c r="G511">
        <v>0.44</v>
      </c>
      <c r="H511">
        <v>0.74</v>
      </c>
      <c r="I511" t="s">
        <v>24</v>
      </c>
      <c r="J511">
        <v>199435</v>
      </c>
      <c r="K511" t="s">
        <v>27</v>
      </c>
      <c r="L511">
        <v>7</v>
      </c>
      <c r="M511">
        <v>37</v>
      </c>
      <c r="N511" t="s">
        <v>35</v>
      </c>
      <c r="O511" t="s">
        <v>27</v>
      </c>
      <c r="P511">
        <v>2.2999999999999998</v>
      </c>
      <c r="Q511" t="s">
        <v>24</v>
      </c>
      <c r="R511">
        <v>4.53</v>
      </c>
      <c r="S511" t="s">
        <v>28</v>
      </c>
      <c r="T511" t="str">
        <f t="shared" si="14"/>
        <v>High</v>
      </c>
      <c r="U511" t="str">
        <f t="shared" si="15"/>
        <v>Beginner</v>
      </c>
    </row>
    <row r="512" spans="1:21" x14ac:dyDescent="0.35">
      <c r="A512" t="s">
        <v>585</v>
      </c>
      <c r="B512" t="s">
        <v>147</v>
      </c>
      <c r="C512" t="s">
        <v>31</v>
      </c>
      <c r="D512" t="s">
        <v>22</v>
      </c>
      <c r="E512" t="s">
        <v>70</v>
      </c>
      <c r="F512">
        <v>23</v>
      </c>
      <c r="G512">
        <v>0.28999999999999998</v>
      </c>
      <c r="H512">
        <v>0.36</v>
      </c>
      <c r="I512" t="s">
        <v>24</v>
      </c>
      <c r="J512">
        <v>83366</v>
      </c>
      <c r="K512" t="s">
        <v>25</v>
      </c>
      <c r="L512">
        <v>1</v>
      </c>
      <c r="M512">
        <v>46</v>
      </c>
      <c r="N512" t="s">
        <v>26</v>
      </c>
      <c r="O512" t="s">
        <v>27</v>
      </c>
      <c r="P512">
        <v>3.43</v>
      </c>
      <c r="Q512" t="s">
        <v>34</v>
      </c>
      <c r="R512">
        <v>4.41</v>
      </c>
      <c r="S512" t="s">
        <v>28</v>
      </c>
      <c r="T512" t="str">
        <f t="shared" si="14"/>
        <v>High</v>
      </c>
      <c r="U512" t="str">
        <f t="shared" si="15"/>
        <v>Expert</v>
      </c>
    </row>
    <row r="513" spans="1:21" x14ac:dyDescent="0.35">
      <c r="A513" t="s">
        <v>586</v>
      </c>
      <c r="B513" t="s">
        <v>156</v>
      </c>
      <c r="C513" t="s">
        <v>107</v>
      </c>
      <c r="D513" t="s">
        <v>69</v>
      </c>
      <c r="E513" t="s">
        <v>70</v>
      </c>
      <c r="F513">
        <v>0</v>
      </c>
      <c r="G513">
        <v>0.22</v>
      </c>
      <c r="H513">
        <v>0.91</v>
      </c>
      <c r="I513" t="s">
        <v>24</v>
      </c>
      <c r="J513">
        <v>67180</v>
      </c>
      <c r="K513" t="s">
        <v>42</v>
      </c>
      <c r="L513">
        <v>-6</v>
      </c>
      <c r="M513">
        <v>35</v>
      </c>
      <c r="N513" t="s">
        <v>26</v>
      </c>
      <c r="O513" t="s">
        <v>25</v>
      </c>
      <c r="P513">
        <v>3.78</v>
      </c>
      <c r="Q513" t="s">
        <v>34</v>
      </c>
      <c r="R513">
        <v>3.33</v>
      </c>
      <c r="S513" t="s">
        <v>43</v>
      </c>
      <c r="T513" t="str">
        <f t="shared" si="14"/>
        <v>Very High</v>
      </c>
      <c r="U513" t="str">
        <f t="shared" si="15"/>
        <v>Beginner</v>
      </c>
    </row>
    <row r="514" spans="1:21" x14ac:dyDescent="0.35">
      <c r="A514" t="s">
        <v>587</v>
      </c>
      <c r="B514" t="s">
        <v>57</v>
      </c>
      <c r="C514" t="s">
        <v>55</v>
      </c>
      <c r="D514" t="s">
        <v>80</v>
      </c>
      <c r="E514" t="s">
        <v>33</v>
      </c>
      <c r="F514">
        <v>24</v>
      </c>
      <c r="G514">
        <v>7.0000000000000007E-2</v>
      </c>
      <c r="H514">
        <v>0.74</v>
      </c>
      <c r="I514" t="s">
        <v>24</v>
      </c>
      <c r="J514">
        <v>106194</v>
      </c>
      <c r="K514" t="s">
        <v>25</v>
      </c>
      <c r="L514">
        <v>-4</v>
      </c>
      <c r="M514">
        <v>39</v>
      </c>
      <c r="N514" t="s">
        <v>26</v>
      </c>
      <c r="O514" t="s">
        <v>36</v>
      </c>
      <c r="P514">
        <v>3.36</v>
      </c>
      <c r="Q514" t="s">
        <v>34</v>
      </c>
      <c r="R514">
        <v>4.96</v>
      </c>
      <c r="S514" t="s">
        <v>43</v>
      </c>
      <c r="T514" t="str">
        <f t="shared" si="14"/>
        <v>Very High</v>
      </c>
      <c r="U514" t="str">
        <f t="shared" si="15"/>
        <v>Expert</v>
      </c>
    </row>
    <row r="515" spans="1:21" x14ac:dyDescent="0.35">
      <c r="A515" t="s">
        <v>588</v>
      </c>
      <c r="B515" t="s">
        <v>77</v>
      </c>
      <c r="C515" t="s">
        <v>107</v>
      </c>
      <c r="D515" t="s">
        <v>40</v>
      </c>
      <c r="E515" t="s">
        <v>70</v>
      </c>
      <c r="F515">
        <v>21</v>
      </c>
      <c r="G515">
        <v>0.32</v>
      </c>
      <c r="H515">
        <v>0.46</v>
      </c>
      <c r="I515" t="s">
        <v>60</v>
      </c>
      <c r="J515">
        <v>165746</v>
      </c>
      <c r="K515" t="s">
        <v>27</v>
      </c>
      <c r="L515">
        <v>30</v>
      </c>
      <c r="M515">
        <v>30</v>
      </c>
      <c r="N515" t="s">
        <v>35</v>
      </c>
      <c r="O515" t="s">
        <v>36</v>
      </c>
      <c r="P515">
        <v>4.57</v>
      </c>
      <c r="Q515" t="s">
        <v>24</v>
      </c>
      <c r="R515">
        <v>2.4300000000000002</v>
      </c>
      <c r="S515" t="s">
        <v>47</v>
      </c>
      <c r="T515" t="str">
        <f t="shared" ref="T515:T578" si="16">IF(AND(G515&lt;0.4,H515&gt;=0.7),"Very High",
IF(AND(G515&gt;=0.7,H515&lt;0.5),"Very Low",
IF(G515&lt;H515,"High","Moderate")))</f>
        <v>High</v>
      </c>
      <c r="U515" t="str">
        <f t="shared" ref="U515:U578" si="17">_xlfn.IFS(F515&lt;=2,"Beginner",F515&lt;=8,"Intermediate",F515&lt;=15,"Experienced",F515&lt;=25,"Expert")</f>
        <v>Expert</v>
      </c>
    </row>
    <row r="516" spans="1:21" x14ac:dyDescent="0.35">
      <c r="A516" t="s">
        <v>589</v>
      </c>
      <c r="B516" t="s">
        <v>68</v>
      </c>
      <c r="C516" t="s">
        <v>31</v>
      </c>
      <c r="D516" t="s">
        <v>80</v>
      </c>
      <c r="E516" t="s">
        <v>23</v>
      </c>
      <c r="F516">
        <v>16</v>
      </c>
      <c r="G516">
        <v>0.13</v>
      </c>
      <c r="H516">
        <v>0.93</v>
      </c>
      <c r="I516" t="s">
        <v>24</v>
      </c>
      <c r="J516">
        <v>129032</v>
      </c>
      <c r="K516" t="s">
        <v>42</v>
      </c>
      <c r="L516">
        <v>33</v>
      </c>
      <c r="M516">
        <v>41</v>
      </c>
      <c r="N516" t="s">
        <v>42</v>
      </c>
      <c r="O516" t="s">
        <v>36</v>
      </c>
      <c r="P516">
        <v>3.77</v>
      </c>
      <c r="Q516" t="s">
        <v>34</v>
      </c>
      <c r="R516">
        <v>2.2400000000000002</v>
      </c>
      <c r="S516" t="s">
        <v>47</v>
      </c>
      <c r="T516" t="str">
        <f t="shared" si="16"/>
        <v>Very High</v>
      </c>
      <c r="U516" t="str">
        <f t="shared" si="17"/>
        <v>Expert</v>
      </c>
    </row>
    <row r="517" spans="1:21" x14ac:dyDescent="0.35">
      <c r="A517" t="s">
        <v>590</v>
      </c>
      <c r="B517" t="s">
        <v>89</v>
      </c>
      <c r="C517" t="s">
        <v>82</v>
      </c>
      <c r="D517" t="s">
        <v>49</v>
      </c>
      <c r="E517" t="s">
        <v>33</v>
      </c>
      <c r="F517">
        <v>16</v>
      </c>
      <c r="G517">
        <v>0.76</v>
      </c>
      <c r="H517">
        <v>0.43</v>
      </c>
      <c r="I517" t="s">
        <v>34</v>
      </c>
      <c r="J517">
        <v>32184</v>
      </c>
      <c r="K517" t="s">
        <v>27</v>
      </c>
      <c r="L517">
        <v>25</v>
      </c>
      <c r="M517">
        <v>51</v>
      </c>
      <c r="N517" t="s">
        <v>35</v>
      </c>
      <c r="O517" t="s">
        <v>36</v>
      </c>
      <c r="P517">
        <v>3.46</v>
      </c>
      <c r="Q517" t="s">
        <v>24</v>
      </c>
      <c r="R517">
        <v>4.2</v>
      </c>
      <c r="S517" t="s">
        <v>47</v>
      </c>
      <c r="T517" t="str">
        <f t="shared" si="16"/>
        <v>Very Low</v>
      </c>
      <c r="U517" t="str">
        <f t="shared" si="17"/>
        <v>Expert</v>
      </c>
    </row>
    <row r="518" spans="1:21" x14ac:dyDescent="0.35">
      <c r="A518" t="s">
        <v>591</v>
      </c>
      <c r="B518" t="s">
        <v>147</v>
      </c>
      <c r="C518" t="s">
        <v>58</v>
      </c>
      <c r="D518" t="s">
        <v>75</v>
      </c>
      <c r="E518" t="s">
        <v>70</v>
      </c>
      <c r="F518">
        <v>4</v>
      </c>
      <c r="G518">
        <v>0.1</v>
      </c>
      <c r="H518">
        <v>0.44</v>
      </c>
      <c r="I518" t="s">
        <v>34</v>
      </c>
      <c r="J518">
        <v>142806</v>
      </c>
      <c r="K518" t="s">
        <v>42</v>
      </c>
      <c r="L518">
        <v>40</v>
      </c>
      <c r="M518">
        <v>57</v>
      </c>
      <c r="N518" t="s">
        <v>26</v>
      </c>
      <c r="O518" t="s">
        <v>27</v>
      </c>
      <c r="P518">
        <v>4.88</v>
      </c>
      <c r="Q518" t="s">
        <v>24</v>
      </c>
      <c r="R518">
        <v>4.8099999999999996</v>
      </c>
      <c r="S518" t="s">
        <v>28</v>
      </c>
      <c r="T518" t="str">
        <f t="shared" si="16"/>
        <v>High</v>
      </c>
      <c r="U518" t="str">
        <f t="shared" si="17"/>
        <v>Intermediate</v>
      </c>
    </row>
    <row r="519" spans="1:21" x14ac:dyDescent="0.35">
      <c r="A519" t="s">
        <v>592</v>
      </c>
      <c r="B519" t="s">
        <v>57</v>
      </c>
      <c r="C519" t="s">
        <v>52</v>
      </c>
      <c r="D519" t="s">
        <v>69</v>
      </c>
      <c r="E519" t="s">
        <v>23</v>
      </c>
      <c r="F519">
        <v>3</v>
      </c>
      <c r="G519">
        <v>0.31</v>
      </c>
      <c r="H519">
        <v>0.23</v>
      </c>
      <c r="I519" t="s">
        <v>34</v>
      </c>
      <c r="J519">
        <v>122964</v>
      </c>
      <c r="K519" t="s">
        <v>42</v>
      </c>
      <c r="L519">
        <v>28</v>
      </c>
      <c r="M519">
        <v>39</v>
      </c>
      <c r="N519" t="s">
        <v>35</v>
      </c>
      <c r="O519" t="s">
        <v>27</v>
      </c>
      <c r="P519">
        <v>3.31</v>
      </c>
      <c r="Q519" t="s">
        <v>34</v>
      </c>
      <c r="R519">
        <v>4.22</v>
      </c>
      <c r="S519" t="s">
        <v>47</v>
      </c>
      <c r="T519" t="str">
        <f t="shared" si="16"/>
        <v>Moderate</v>
      </c>
      <c r="U519" t="str">
        <f t="shared" si="17"/>
        <v>Intermediate</v>
      </c>
    </row>
    <row r="520" spans="1:21" x14ac:dyDescent="0.35">
      <c r="A520" t="s">
        <v>593</v>
      </c>
      <c r="B520" t="s">
        <v>38</v>
      </c>
      <c r="C520" t="s">
        <v>107</v>
      </c>
      <c r="D520" t="s">
        <v>80</v>
      </c>
      <c r="E520" t="s">
        <v>33</v>
      </c>
      <c r="F520">
        <v>12</v>
      </c>
      <c r="G520">
        <v>0.23</v>
      </c>
      <c r="H520">
        <v>0.44</v>
      </c>
      <c r="I520" t="s">
        <v>34</v>
      </c>
      <c r="J520">
        <v>107944</v>
      </c>
      <c r="K520" t="s">
        <v>25</v>
      </c>
      <c r="L520">
        <v>-2</v>
      </c>
      <c r="M520">
        <v>46</v>
      </c>
      <c r="N520" t="s">
        <v>42</v>
      </c>
      <c r="O520" t="s">
        <v>27</v>
      </c>
      <c r="P520">
        <v>2.94</v>
      </c>
      <c r="Q520" t="s">
        <v>34</v>
      </c>
      <c r="R520">
        <v>2.87</v>
      </c>
      <c r="S520" t="s">
        <v>43</v>
      </c>
      <c r="T520" t="str">
        <f t="shared" si="16"/>
        <v>High</v>
      </c>
      <c r="U520" t="str">
        <f t="shared" si="17"/>
        <v>Experienced</v>
      </c>
    </row>
    <row r="521" spans="1:21" x14ac:dyDescent="0.35">
      <c r="A521" t="s">
        <v>594</v>
      </c>
      <c r="B521" t="s">
        <v>77</v>
      </c>
      <c r="C521" t="s">
        <v>31</v>
      </c>
      <c r="D521" t="s">
        <v>59</v>
      </c>
      <c r="E521" t="s">
        <v>70</v>
      </c>
      <c r="F521">
        <v>4</v>
      </c>
      <c r="G521">
        <v>0.91</v>
      </c>
      <c r="H521">
        <v>0.53</v>
      </c>
      <c r="I521" t="s">
        <v>60</v>
      </c>
      <c r="J521">
        <v>66853</v>
      </c>
      <c r="K521" t="s">
        <v>27</v>
      </c>
      <c r="L521">
        <v>26</v>
      </c>
      <c r="M521">
        <v>58</v>
      </c>
      <c r="N521" t="s">
        <v>42</v>
      </c>
      <c r="O521" t="s">
        <v>25</v>
      </c>
      <c r="P521">
        <v>4.2699999999999996</v>
      </c>
      <c r="Q521" t="s">
        <v>34</v>
      </c>
      <c r="R521">
        <v>1.5</v>
      </c>
      <c r="S521" t="s">
        <v>28</v>
      </c>
      <c r="T521" t="str">
        <f t="shared" si="16"/>
        <v>Moderate</v>
      </c>
      <c r="U521" t="str">
        <f t="shared" si="17"/>
        <v>Intermediate</v>
      </c>
    </row>
    <row r="522" spans="1:21" x14ac:dyDescent="0.35">
      <c r="A522" t="s">
        <v>595</v>
      </c>
      <c r="B522" t="s">
        <v>68</v>
      </c>
      <c r="C522" t="s">
        <v>74</v>
      </c>
      <c r="D522" t="s">
        <v>22</v>
      </c>
      <c r="E522" t="s">
        <v>41</v>
      </c>
      <c r="F522">
        <v>9</v>
      </c>
      <c r="G522">
        <v>0.81</v>
      </c>
      <c r="H522">
        <v>0.27</v>
      </c>
      <c r="I522" t="s">
        <v>60</v>
      </c>
      <c r="J522">
        <v>100824</v>
      </c>
      <c r="K522" t="s">
        <v>42</v>
      </c>
      <c r="L522">
        <v>34</v>
      </c>
      <c r="M522">
        <v>40</v>
      </c>
      <c r="N522" t="s">
        <v>35</v>
      </c>
      <c r="O522" t="s">
        <v>25</v>
      </c>
      <c r="P522">
        <v>4.22</v>
      </c>
      <c r="Q522" t="s">
        <v>24</v>
      </c>
      <c r="R522">
        <v>3.81</v>
      </c>
      <c r="S522" t="s">
        <v>28</v>
      </c>
      <c r="T522" t="str">
        <f t="shared" si="16"/>
        <v>Very Low</v>
      </c>
      <c r="U522" t="str">
        <f t="shared" si="17"/>
        <v>Experienced</v>
      </c>
    </row>
    <row r="523" spans="1:21" x14ac:dyDescent="0.35">
      <c r="A523" t="s">
        <v>596</v>
      </c>
      <c r="B523" t="s">
        <v>62</v>
      </c>
      <c r="C523" t="s">
        <v>31</v>
      </c>
      <c r="D523" t="s">
        <v>75</v>
      </c>
      <c r="E523" t="s">
        <v>23</v>
      </c>
      <c r="F523">
        <v>19</v>
      </c>
      <c r="G523">
        <v>0.86</v>
      </c>
      <c r="H523">
        <v>0.71</v>
      </c>
      <c r="I523" t="s">
        <v>60</v>
      </c>
      <c r="J523">
        <v>70573</v>
      </c>
      <c r="K523" t="s">
        <v>25</v>
      </c>
      <c r="L523">
        <v>-3</v>
      </c>
      <c r="M523">
        <v>32</v>
      </c>
      <c r="N523" t="s">
        <v>35</v>
      </c>
      <c r="O523" t="s">
        <v>25</v>
      </c>
      <c r="P523">
        <v>3.81</v>
      </c>
      <c r="Q523" t="s">
        <v>24</v>
      </c>
      <c r="R523">
        <v>3.08</v>
      </c>
      <c r="S523" t="s">
        <v>47</v>
      </c>
      <c r="T523" t="str">
        <f t="shared" si="16"/>
        <v>Moderate</v>
      </c>
      <c r="U523" t="str">
        <f t="shared" si="17"/>
        <v>Expert</v>
      </c>
    </row>
    <row r="524" spans="1:21" x14ac:dyDescent="0.35">
      <c r="A524" t="s">
        <v>597</v>
      </c>
      <c r="B524" t="s">
        <v>62</v>
      </c>
      <c r="C524" t="s">
        <v>52</v>
      </c>
      <c r="D524" t="s">
        <v>49</v>
      </c>
      <c r="E524" t="s">
        <v>33</v>
      </c>
      <c r="F524">
        <v>7</v>
      </c>
      <c r="G524">
        <v>0.51</v>
      </c>
      <c r="H524">
        <v>0.51</v>
      </c>
      <c r="I524" t="s">
        <v>60</v>
      </c>
      <c r="J524">
        <v>61932</v>
      </c>
      <c r="K524" t="s">
        <v>42</v>
      </c>
      <c r="L524">
        <v>42</v>
      </c>
      <c r="M524">
        <v>49</v>
      </c>
      <c r="N524" t="s">
        <v>26</v>
      </c>
      <c r="O524" t="s">
        <v>36</v>
      </c>
      <c r="P524">
        <v>4.58</v>
      </c>
      <c r="Q524" t="s">
        <v>24</v>
      </c>
      <c r="R524">
        <v>2.73</v>
      </c>
      <c r="S524" t="s">
        <v>28</v>
      </c>
      <c r="T524" t="str">
        <f t="shared" si="16"/>
        <v>Moderate</v>
      </c>
      <c r="U524" t="str">
        <f t="shared" si="17"/>
        <v>Intermediate</v>
      </c>
    </row>
    <row r="525" spans="1:21" x14ac:dyDescent="0.35">
      <c r="A525" t="s">
        <v>598</v>
      </c>
      <c r="B525" t="s">
        <v>102</v>
      </c>
      <c r="C525" t="s">
        <v>107</v>
      </c>
      <c r="D525" t="s">
        <v>49</v>
      </c>
      <c r="E525" t="s">
        <v>70</v>
      </c>
      <c r="F525">
        <v>9</v>
      </c>
      <c r="G525">
        <v>0.2</v>
      </c>
      <c r="H525">
        <v>0.79</v>
      </c>
      <c r="I525" t="s">
        <v>60</v>
      </c>
      <c r="J525">
        <v>173309</v>
      </c>
      <c r="K525" t="s">
        <v>25</v>
      </c>
      <c r="L525">
        <v>27</v>
      </c>
      <c r="M525">
        <v>45</v>
      </c>
      <c r="N525" t="s">
        <v>42</v>
      </c>
      <c r="O525" t="s">
        <v>27</v>
      </c>
      <c r="P525">
        <v>2.83</v>
      </c>
      <c r="Q525" t="s">
        <v>34</v>
      </c>
      <c r="R525">
        <v>3.79</v>
      </c>
      <c r="S525" t="s">
        <v>47</v>
      </c>
      <c r="T525" t="str">
        <f t="shared" si="16"/>
        <v>Very High</v>
      </c>
      <c r="U525" t="str">
        <f t="shared" si="17"/>
        <v>Experienced</v>
      </c>
    </row>
    <row r="526" spans="1:21" x14ac:dyDescent="0.35">
      <c r="A526" t="s">
        <v>599</v>
      </c>
      <c r="B526" t="s">
        <v>62</v>
      </c>
      <c r="C526" t="s">
        <v>58</v>
      </c>
      <c r="D526" t="s">
        <v>22</v>
      </c>
      <c r="E526" t="s">
        <v>23</v>
      </c>
      <c r="F526">
        <v>1</v>
      </c>
      <c r="G526">
        <v>0.16</v>
      </c>
      <c r="H526">
        <v>0.51</v>
      </c>
      <c r="I526" t="s">
        <v>34</v>
      </c>
      <c r="J526">
        <v>182184</v>
      </c>
      <c r="K526" t="s">
        <v>25</v>
      </c>
      <c r="L526">
        <v>19</v>
      </c>
      <c r="M526">
        <v>58</v>
      </c>
      <c r="N526" t="s">
        <v>26</v>
      </c>
      <c r="O526" t="s">
        <v>36</v>
      </c>
      <c r="P526">
        <v>2.83</v>
      </c>
      <c r="Q526" t="s">
        <v>24</v>
      </c>
      <c r="R526">
        <v>2.4300000000000002</v>
      </c>
      <c r="S526" t="s">
        <v>28</v>
      </c>
      <c r="T526" t="str">
        <f t="shared" si="16"/>
        <v>High</v>
      </c>
      <c r="U526" t="str">
        <f t="shared" si="17"/>
        <v>Beginner</v>
      </c>
    </row>
    <row r="527" spans="1:21" x14ac:dyDescent="0.35">
      <c r="A527" t="s">
        <v>600</v>
      </c>
      <c r="B527" t="s">
        <v>38</v>
      </c>
      <c r="C527" t="s">
        <v>74</v>
      </c>
      <c r="D527" t="s">
        <v>49</v>
      </c>
      <c r="E527" t="s">
        <v>33</v>
      </c>
      <c r="F527">
        <v>8</v>
      </c>
      <c r="G527">
        <v>0.11</v>
      </c>
      <c r="H527">
        <v>0.72</v>
      </c>
      <c r="I527" t="s">
        <v>60</v>
      </c>
      <c r="J527">
        <v>122239</v>
      </c>
      <c r="K527" t="s">
        <v>42</v>
      </c>
      <c r="L527">
        <v>15</v>
      </c>
      <c r="M527">
        <v>32</v>
      </c>
      <c r="N527" t="s">
        <v>26</v>
      </c>
      <c r="O527" t="s">
        <v>36</v>
      </c>
      <c r="P527">
        <v>3.13</v>
      </c>
      <c r="Q527" t="s">
        <v>34</v>
      </c>
      <c r="R527">
        <v>3.42</v>
      </c>
      <c r="S527" t="s">
        <v>47</v>
      </c>
      <c r="T527" t="str">
        <f t="shared" si="16"/>
        <v>Very High</v>
      </c>
      <c r="U527" t="str">
        <f t="shared" si="17"/>
        <v>Intermediate</v>
      </c>
    </row>
    <row r="528" spans="1:21" x14ac:dyDescent="0.35">
      <c r="A528" t="s">
        <v>601</v>
      </c>
      <c r="B528" t="s">
        <v>51</v>
      </c>
      <c r="C528" t="s">
        <v>39</v>
      </c>
      <c r="D528" t="s">
        <v>40</v>
      </c>
      <c r="E528" t="s">
        <v>41</v>
      </c>
      <c r="F528">
        <v>15</v>
      </c>
      <c r="G528">
        <v>0.8</v>
      </c>
      <c r="H528">
        <v>0.25</v>
      </c>
      <c r="I528" t="s">
        <v>60</v>
      </c>
      <c r="J528">
        <v>37738</v>
      </c>
      <c r="K528" t="s">
        <v>42</v>
      </c>
      <c r="L528">
        <v>10</v>
      </c>
      <c r="M528">
        <v>54</v>
      </c>
      <c r="N528" t="s">
        <v>35</v>
      </c>
      <c r="O528" t="s">
        <v>27</v>
      </c>
      <c r="P528">
        <v>4.3899999999999997</v>
      </c>
      <c r="Q528" t="s">
        <v>24</v>
      </c>
      <c r="R528">
        <v>4.5999999999999996</v>
      </c>
      <c r="S528" t="s">
        <v>47</v>
      </c>
      <c r="T528" t="str">
        <f t="shared" si="16"/>
        <v>Very Low</v>
      </c>
      <c r="U528" t="str">
        <f t="shared" si="17"/>
        <v>Experienced</v>
      </c>
    </row>
    <row r="529" spans="1:21" x14ac:dyDescent="0.35">
      <c r="A529" t="s">
        <v>602</v>
      </c>
      <c r="B529" t="s">
        <v>147</v>
      </c>
      <c r="C529" t="s">
        <v>46</v>
      </c>
      <c r="D529" t="s">
        <v>75</v>
      </c>
      <c r="E529" t="s">
        <v>33</v>
      </c>
      <c r="F529">
        <v>10</v>
      </c>
      <c r="G529">
        <v>0.08</v>
      </c>
      <c r="H529">
        <v>0.79</v>
      </c>
      <c r="I529" t="s">
        <v>24</v>
      </c>
      <c r="J529">
        <v>145744</v>
      </c>
      <c r="K529" t="s">
        <v>27</v>
      </c>
      <c r="L529">
        <v>18</v>
      </c>
      <c r="M529">
        <v>42</v>
      </c>
      <c r="N529" t="s">
        <v>35</v>
      </c>
      <c r="O529" t="s">
        <v>27</v>
      </c>
      <c r="P529">
        <v>3.72</v>
      </c>
      <c r="Q529" t="s">
        <v>24</v>
      </c>
      <c r="R529">
        <v>1.78</v>
      </c>
      <c r="S529" t="s">
        <v>43</v>
      </c>
      <c r="T529" t="str">
        <f t="shared" si="16"/>
        <v>Very High</v>
      </c>
      <c r="U529" t="str">
        <f t="shared" si="17"/>
        <v>Experienced</v>
      </c>
    </row>
    <row r="530" spans="1:21" x14ac:dyDescent="0.35">
      <c r="A530" t="s">
        <v>603</v>
      </c>
      <c r="B530" t="s">
        <v>45</v>
      </c>
      <c r="C530" t="s">
        <v>46</v>
      </c>
      <c r="D530" t="s">
        <v>75</v>
      </c>
      <c r="E530" t="s">
        <v>41</v>
      </c>
      <c r="F530">
        <v>6</v>
      </c>
      <c r="G530">
        <v>0.78</v>
      </c>
      <c r="H530">
        <v>0.84</v>
      </c>
      <c r="I530" t="s">
        <v>24</v>
      </c>
      <c r="J530">
        <v>80409</v>
      </c>
      <c r="K530" t="s">
        <v>25</v>
      </c>
      <c r="L530">
        <v>-10</v>
      </c>
      <c r="M530">
        <v>41</v>
      </c>
      <c r="N530" t="s">
        <v>42</v>
      </c>
      <c r="O530" t="s">
        <v>27</v>
      </c>
      <c r="P530">
        <v>3.64</v>
      </c>
      <c r="Q530" t="s">
        <v>24</v>
      </c>
      <c r="R530">
        <v>2.36</v>
      </c>
      <c r="S530" t="s">
        <v>28</v>
      </c>
      <c r="T530" t="str">
        <f t="shared" si="16"/>
        <v>High</v>
      </c>
      <c r="U530" t="str">
        <f t="shared" si="17"/>
        <v>Intermediate</v>
      </c>
    </row>
    <row r="531" spans="1:21" x14ac:dyDescent="0.35">
      <c r="A531" t="s">
        <v>604</v>
      </c>
      <c r="B531" t="s">
        <v>45</v>
      </c>
      <c r="C531" t="s">
        <v>107</v>
      </c>
      <c r="D531" t="s">
        <v>69</v>
      </c>
      <c r="E531" t="s">
        <v>23</v>
      </c>
      <c r="F531">
        <v>2</v>
      </c>
      <c r="G531">
        <v>0.61</v>
      </c>
      <c r="H531">
        <v>0.64</v>
      </c>
      <c r="I531" t="s">
        <v>60</v>
      </c>
      <c r="J531">
        <v>66142</v>
      </c>
      <c r="K531" t="s">
        <v>25</v>
      </c>
      <c r="L531">
        <v>-2</v>
      </c>
      <c r="M531">
        <v>55</v>
      </c>
      <c r="N531" t="s">
        <v>26</v>
      </c>
      <c r="O531" t="s">
        <v>36</v>
      </c>
      <c r="P531">
        <v>2.2999999999999998</v>
      </c>
      <c r="Q531" t="s">
        <v>34</v>
      </c>
      <c r="R531">
        <v>1.92</v>
      </c>
      <c r="S531" t="s">
        <v>28</v>
      </c>
      <c r="T531" t="str">
        <f t="shared" si="16"/>
        <v>High</v>
      </c>
      <c r="U531" t="str">
        <f t="shared" si="17"/>
        <v>Beginner</v>
      </c>
    </row>
    <row r="532" spans="1:21" x14ac:dyDescent="0.35">
      <c r="A532" t="s">
        <v>605</v>
      </c>
      <c r="B532" t="s">
        <v>51</v>
      </c>
      <c r="C532" t="s">
        <v>31</v>
      </c>
      <c r="D532" t="s">
        <v>40</v>
      </c>
      <c r="E532" t="s">
        <v>33</v>
      </c>
      <c r="F532">
        <v>16</v>
      </c>
      <c r="G532">
        <v>0.28000000000000003</v>
      </c>
      <c r="H532">
        <v>0.76</v>
      </c>
      <c r="I532" t="s">
        <v>60</v>
      </c>
      <c r="J532">
        <v>47813</v>
      </c>
      <c r="K532" t="s">
        <v>27</v>
      </c>
      <c r="L532">
        <v>9</v>
      </c>
      <c r="M532">
        <v>42</v>
      </c>
      <c r="N532" t="s">
        <v>26</v>
      </c>
      <c r="O532" t="s">
        <v>25</v>
      </c>
      <c r="P532">
        <v>3.64</v>
      </c>
      <c r="Q532" t="s">
        <v>24</v>
      </c>
      <c r="R532">
        <v>3.33</v>
      </c>
      <c r="S532" t="s">
        <v>43</v>
      </c>
      <c r="T532" t="str">
        <f t="shared" si="16"/>
        <v>Very High</v>
      </c>
      <c r="U532" t="str">
        <f t="shared" si="17"/>
        <v>Expert</v>
      </c>
    </row>
    <row r="533" spans="1:21" x14ac:dyDescent="0.35">
      <c r="A533" t="s">
        <v>606</v>
      </c>
      <c r="B533" t="s">
        <v>106</v>
      </c>
      <c r="C533" t="s">
        <v>39</v>
      </c>
      <c r="D533" t="s">
        <v>80</v>
      </c>
      <c r="E533" t="s">
        <v>70</v>
      </c>
      <c r="F533">
        <v>24</v>
      </c>
      <c r="G533">
        <v>0.28000000000000003</v>
      </c>
      <c r="H533">
        <v>0.46</v>
      </c>
      <c r="I533" t="s">
        <v>60</v>
      </c>
      <c r="J533">
        <v>45569</v>
      </c>
      <c r="K533" t="s">
        <v>25</v>
      </c>
      <c r="L533">
        <v>5</v>
      </c>
      <c r="M533">
        <v>45</v>
      </c>
      <c r="N533" t="s">
        <v>35</v>
      </c>
      <c r="O533" t="s">
        <v>27</v>
      </c>
      <c r="P533">
        <v>4.71</v>
      </c>
      <c r="Q533" t="s">
        <v>24</v>
      </c>
      <c r="R533">
        <v>2.38</v>
      </c>
      <c r="S533" t="s">
        <v>47</v>
      </c>
      <c r="T533" t="str">
        <f t="shared" si="16"/>
        <v>High</v>
      </c>
      <c r="U533" t="str">
        <f t="shared" si="17"/>
        <v>Expert</v>
      </c>
    </row>
    <row r="534" spans="1:21" x14ac:dyDescent="0.35">
      <c r="A534" t="s">
        <v>607</v>
      </c>
      <c r="B534" t="s">
        <v>147</v>
      </c>
      <c r="C534" t="s">
        <v>52</v>
      </c>
      <c r="D534" t="s">
        <v>49</v>
      </c>
      <c r="E534" t="s">
        <v>70</v>
      </c>
      <c r="F534">
        <v>25</v>
      </c>
      <c r="G534">
        <v>0.14000000000000001</v>
      </c>
      <c r="H534">
        <v>0.59</v>
      </c>
      <c r="I534" t="s">
        <v>24</v>
      </c>
      <c r="J534">
        <v>89046</v>
      </c>
      <c r="K534" t="s">
        <v>25</v>
      </c>
      <c r="L534">
        <v>-7</v>
      </c>
      <c r="M534">
        <v>30</v>
      </c>
      <c r="N534" t="s">
        <v>35</v>
      </c>
      <c r="O534" t="s">
        <v>27</v>
      </c>
      <c r="P534">
        <v>3.82</v>
      </c>
      <c r="Q534" t="s">
        <v>34</v>
      </c>
      <c r="R534">
        <v>3.73</v>
      </c>
      <c r="S534" t="s">
        <v>28</v>
      </c>
      <c r="T534" t="str">
        <f t="shared" si="16"/>
        <v>High</v>
      </c>
      <c r="U534" t="str">
        <f t="shared" si="17"/>
        <v>Expert</v>
      </c>
    </row>
    <row r="535" spans="1:21" x14ac:dyDescent="0.35">
      <c r="A535" t="s">
        <v>608</v>
      </c>
      <c r="B535" t="s">
        <v>94</v>
      </c>
      <c r="C535" t="s">
        <v>52</v>
      </c>
      <c r="D535" t="s">
        <v>80</v>
      </c>
      <c r="E535" t="s">
        <v>33</v>
      </c>
      <c r="F535">
        <v>3</v>
      </c>
      <c r="G535">
        <v>0.4</v>
      </c>
      <c r="H535">
        <v>0.5</v>
      </c>
      <c r="I535" t="s">
        <v>34</v>
      </c>
      <c r="J535">
        <v>62830</v>
      </c>
      <c r="K535" t="s">
        <v>25</v>
      </c>
      <c r="L535">
        <v>29</v>
      </c>
      <c r="M535">
        <v>58</v>
      </c>
      <c r="N535" t="s">
        <v>42</v>
      </c>
      <c r="O535" t="s">
        <v>36</v>
      </c>
      <c r="P535">
        <v>2.58</v>
      </c>
      <c r="Q535" t="s">
        <v>34</v>
      </c>
      <c r="R535">
        <v>4.67</v>
      </c>
      <c r="S535" t="s">
        <v>47</v>
      </c>
      <c r="T535" t="str">
        <f t="shared" si="16"/>
        <v>High</v>
      </c>
      <c r="U535" t="str">
        <f t="shared" si="17"/>
        <v>Intermediate</v>
      </c>
    </row>
    <row r="536" spans="1:21" x14ac:dyDescent="0.35">
      <c r="A536" t="s">
        <v>609</v>
      </c>
      <c r="B536" t="s">
        <v>38</v>
      </c>
      <c r="C536" t="s">
        <v>58</v>
      </c>
      <c r="D536" t="s">
        <v>75</v>
      </c>
      <c r="E536" t="s">
        <v>33</v>
      </c>
      <c r="F536">
        <v>1</v>
      </c>
      <c r="G536">
        <v>0.72</v>
      </c>
      <c r="H536">
        <v>0.9</v>
      </c>
      <c r="I536" t="s">
        <v>24</v>
      </c>
      <c r="J536">
        <v>170566</v>
      </c>
      <c r="K536" t="s">
        <v>25</v>
      </c>
      <c r="L536">
        <v>-2</v>
      </c>
      <c r="M536">
        <v>44</v>
      </c>
      <c r="N536" t="s">
        <v>35</v>
      </c>
      <c r="O536" t="s">
        <v>36</v>
      </c>
      <c r="P536">
        <v>2.13</v>
      </c>
      <c r="Q536" t="s">
        <v>34</v>
      </c>
      <c r="R536">
        <v>3.41</v>
      </c>
      <c r="S536" t="s">
        <v>47</v>
      </c>
      <c r="T536" t="str">
        <f t="shared" si="16"/>
        <v>High</v>
      </c>
      <c r="U536" t="str">
        <f t="shared" si="17"/>
        <v>Beginner</v>
      </c>
    </row>
    <row r="537" spans="1:21" x14ac:dyDescent="0.35">
      <c r="A537" t="s">
        <v>610</v>
      </c>
      <c r="B537" t="s">
        <v>102</v>
      </c>
      <c r="C537" t="s">
        <v>107</v>
      </c>
      <c r="D537" t="s">
        <v>63</v>
      </c>
      <c r="E537" t="s">
        <v>33</v>
      </c>
      <c r="F537">
        <v>14</v>
      </c>
      <c r="G537">
        <v>0.64</v>
      </c>
      <c r="H537">
        <v>0.26</v>
      </c>
      <c r="I537" t="s">
        <v>60</v>
      </c>
      <c r="J537">
        <v>172513</v>
      </c>
      <c r="K537" t="s">
        <v>42</v>
      </c>
      <c r="L537">
        <v>13</v>
      </c>
      <c r="M537">
        <v>54</v>
      </c>
      <c r="N537" t="s">
        <v>26</v>
      </c>
      <c r="O537" t="s">
        <v>36</v>
      </c>
      <c r="P537">
        <v>4.6100000000000003</v>
      </c>
      <c r="Q537" t="s">
        <v>24</v>
      </c>
      <c r="R537">
        <v>3.11</v>
      </c>
      <c r="S537" t="s">
        <v>43</v>
      </c>
      <c r="T537" t="str">
        <f t="shared" si="16"/>
        <v>Moderate</v>
      </c>
      <c r="U537" t="str">
        <f t="shared" si="17"/>
        <v>Experienced</v>
      </c>
    </row>
    <row r="538" spans="1:21" x14ac:dyDescent="0.35">
      <c r="A538" t="s">
        <v>611</v>
      </c>
      <c r="B538" t="s">
        <v>89</v>
      </c>
      <c r="C538" t="s">
        <v>31</v>
      </c>
      <c r="D538" t="s">
        <v>40</v>
      </c>
      <c r="E538" t="s">
        <v>33</v>
      </c>
      <c r="F538">
        <v>4</v>
      </c>
      <c r="G538">
        <v>0.86</v>
      </c>
      <c r="H538">
        <v>0.76</v>
      </c>
      <c r="I538" t="s">
        <v>60</v>
      </c>
      <c r="J538">
        <v>193019</v>
      </c>
      <c r="K538" t="s">
        <v>25</v>
      </c>
      <c r="L538">
        <v>9</v>
      </c>
      <c r="M538">
        <v>53</v>
      </c>
      <c r="N538" t="s">
        <v>26</v>
      </c>
      <c r="O538" t="s">
        <v>25</v>
      </c>
      <c r="P538">
        <v>2.37</v>
      </c>
      <c r="Q538" t="s">
        <v>24</v>
      </c>
      <c r="R538">
        <v>1.1399999999999999</v>
      </c>
      <c r="S538" t="s">
        <v>47</v>
      </c>
      <c r="T538" t="str">
        <f t="shared" si="16"/>
        <v>Moderate</v>
      </c>
      <c r="U538" t="str">
        <f t="shared" si="17"/>
        <v>Intermediate</v>
      </c>
    </row>
    <row r="539" spans="1:21" x14ac:dyDescent="0.35">
      <c r="A539" t="s">
        <v>612</v>
      </c>
      <c r="B539" t="s">
        <v>45</v>
      </c>
      <c r="C539" t="s">
        <v>58</v>
      </c>
      <c r="D539" t="s">
        <v>66</v>
      </c>
      <c r="E539" t="s">
        <v>23</v>
      </c>
      <c r="F539">
        <v>15</v>
      </c>
      <c r="G539">
        <v>0.28999999999999998</v>
      </c>
      <c r="H539">
        <v>0.66</v>
      </c>
      <c r="I539" t="s">
        <v>24</v>
      </c>
      <c r="J539">
        <v>108751</v>
      </c>
      <c r="K539" t="s">
        <v>42</v>
      </c>
      <c r="L539">
        <v>14</v>
      </c>
      <c r="M539">
        <v>44</v>
      </c>
      <c r="N539" t="s">
        <v>35</v>
      </c>
      <c r="O539" t="s">
        <v>25</v>
      </c>
      <c r="P539">
        <v>2.62</v>
      </c>
      <c r="Q539" t="s">
        <v>24</v>
      </c>
      <c r="R539">
        <v>3.64</v>
      </c>
      <c r="S539" t="s">
        <v>28</v>
      </c>
      <c r="T539" t="str">
        <f t="shared" si="16"/>
        <v>High</v>
      </c>
      <c r="U539" t="str">
        <f t="shared" si="17"/>
        <v>Experienced</v>
      </c>
    </row>
    <row r="540" spans="1:21" x14ac:dyDescent="0.35">
      <c r="A540" t="s">
        <v>613</v>
      </c>
      <c r="B540" t="s">
        <v>54</v>
      </c>
      <c r="C540" t="s">
        <v>46</v>
      </c>
      <c r="D540" t="s">
        <v>59</v>
      </c>
      <c r="E540" t="s">
        <v>41</v>
      </c>
      <c r="F540">
        <v>10</v>
      </c>
      <c r="G540">
        <v>0.89</v>
      </c>
      <c r="H540">
        <v>0.92</v>
      </c>
      <c r="I540" t="s">
        <v>60</v>
      </c>
      <c r="J540">
        <v>118137</v>
      </c>
      <c r="K540" t="s">
        <v>27</v>
      </c>
      <c r="L540">
        <v>17</v>
      </c>
      <c r="M540">
        <v>57</v>
      </c>
      <c r="N540" t="s">
        <v>42</v>
      </c>
      <c r="O540" t="s">
        <v>27</v>
      </c>
      <c r="P540">
        <v>4.79</v>
      </c>
      <c r="Q540" t="s">
        <v>24</v>
      </c>
      <c r="R540">
        <v>4.2300000000000004</v>
      </c>
      <c r="S540" t="s">
        <v>28</v>
      </c>
      <c r="T540" t="str">
        <f t="shared" si="16"/>
        <v>High</v>
      </c>
      <c r="U540" t="str">
        <f t="shared" si="17"/>
        <v>Experienced</v>
      </c>
    </row>
    <row r="541" spans="1:21" x14ac:dyDescent="0.35">
      <c r="A541" t="s">
        <v>614</v>
      </c>
      <c r="B541" t="s">
        <v>91</v>
      </c>
      <c r="C541" t="s">
        <v>39</v>
      </c>
      <c r="D541" t="s">
        <v>32</v>
      </c>
      <c r="E541" t="s">
        <v>41</v>
      </c>
      <c r="F541">
        <v>8</v>
      </c>
      <c r="G541">
        <v>0.74</v>
      </c>
      <c r="H541">
        <v>0.41</v>
      </c>
      <c r="I541" t="s">
        <v>60</v>
      </c>
      <c r="J541">
        <v>129953</v>
      </c>
      <c r="K541" t="s">
        <v>42</v>
      </c>
      <c r="L541">
        <v>-5</v>
      </c>
      <c r="M541">
        <v>37</v>
      </c>
      <c r="N541" t="s">
        <v>26</v>
      </c>
      <c r="O541" t="s">
        <v>36</v>
      </c>
      <c r="P541">
        <v>3.01</v>
      </c>
      <c r="Q541" t="s">
        <v>34</v>
      </c>
      <c r="R541">
        <v>1.1499999999999999</v>
      </c>
      <c r="S541" t="s">
        <v>43</v>
      </c>
      <c r="T541" t="str">
        <f t="shared" si="16"/>
        <v>Very Low</v>
      </c>
      <c r="U541" t="str">
        <f t="shared" si="17"/>
        <v>Intermediate</v>
      </c>
    </row>
    <row r="542" spans="1:21" x14ac:dyDescent="0.35">
      <c r="A542" t="s">
        <v>615</v>
      </c>
      <c r="B542" t="s">
        <v>51</v>
      </c>
      <c r="C542" t="s">
        <v>107</v>
      </c>
      <c r="D542" t="s">
        <v>49</v>
      </c>
      <c r="E542" t="s">
        <v>41</v>
      </c>
      <c r="F542">
        <v>14</v>
      </c>
      <c r="G542">
        <v>0.56000000000000005</v>
      </c>
      <c r="H542">
        <v>0.45</v>
      </c>
      <c r="I542" t="s">
        <v>24</v>
      </c>
      <c r="J542">
        <v>99341</v>
      </c>
      <c r="K542" t="s">
        <v>42</v>
      </c>
      <c r="L542">
        <v>-8</v>
      </c>
      <c r="M542">
        <v>60</v>
      </c>
      <c r="N542" t="s">
        <v>42</v>
      </c>
      <c r="O542" t="s">
        <v>36</v>
      </c>
      <c r="P542">
        <v>3.91</v>
      </c>
      <c r="Q542" t="s">
        <v>24</v>
      </c>
      <c r="R542">
        <v>2.63</v>
      </c>
      <c r="S542" t="s">
        <v>28</v>
      </c>
      <c r="T542" t="str">
        <f t="shared" si="16"/>
        <v>Moderate</v>
      </c>
      <c r="U542" t="str">
        <f t="shared" si="17"/>
        <v>Experienced</v>
      </c>
    </row>
    <row r="543" spans="1:21" x14ac:dyDescent="0.35">
      <c r="A543" t="s">
        <v>616</v>
      </c>
      <c r="B543" t="s">
        <v>54</v>
      </c>
      <c r="C543" t="s">
        <v>107</v>
      </c>
      <c r="D543" t="s">
        <v>32</v>
      </c>
      <c r="E543" t="s">
        <v>33</v>
      </c>
      <c r="F543">
        <v>20</v>
      </c>
      <c r="G543">
        <v>0.45</v>
      </c>
      <c r="H543">
        <v>0.4</v>
      </c>
      <c r="I543" t="s">
        <v>24</v>
      </c>
      <c r="J543">
        <v>102389</v>
      </c>
      <c r="K543" t="s">
        <v>25</v>
      </c>
      <c r="L543">
        <v>45</v>
      </c>
      <c r="M543">
        <v>49</v>
      </c>
      <c r="N543" t="s">
        <v>26</v>
      </c>
      <c r="O543" t="s">
        <v>25</v>
      </c>
      <c r="P543">
        <v>2.7</v>
      </c>
      <c r="Q543" t="s">
        <v>24</v>
      </c>
      <c r="R543">
        <v>1.74</v>
      </c>
      <c r="S543" t="s">
        <v>28</v>
      </c>
      <c r="T543" t="str">
        <f t="shared" si="16"/>
        <v>Moderate</v>
      </c>
      <c r="U543" t="str">
        <f t="shared" si="17"/>
        <v>Expert</v>
      </c>
    </row>
    <row r="544" spans="1:21" x14ac:dyDescent="0.35">
      <c r="A544" t="s">
        <v>617</v>
      </c>
      <c r="B544" t="s">
        <v>20</v>
      </c>
      <c r="C544" t="s">
        <v>58</v>
      </c>
      <c r="D544" t="s">
        <v>22</v>
      </c>
      <c r="E544" t="s">
        <v>33</v>
      </c>
      <c r="F544">
        <v>11</v>
      </c>
      <c r="G544">
        <v>0.93</v>
      </c>
      <c r="H544">
        <v>0.21</v>
      </c>
      <c r="I544" t="s">
        <v>24</v>
      </c>
      <c r="J544">
        <v>122624</v>
      </c>
      <c r="K544" t="s">
        <v>25</v>
      </c>
      <c r="L544">
        <v>22</v>
      </c>
      <c r="M544">
        <v>44</v>
      </c>
      <c r="N544" t="s">
        <v>35</v>
      </c>
      <c r="O544" t="s">
        <v>27</v>
      </c>
      <c r="P544">
        <v>2.23</v>
      </c>
      <c r="Q544" t="s">
        <v>24</v>
      </c>
      <c r="R544">
        <v>2.2999999999999998</v>
      </c>
      <c r="S544" t="s">
        <v>43</v>
      </c>
      <c r="T544" t="str">
        <f t="shared" si="16"/>
        <v>Very Low</v>
      </c>
      <c r="U544" t="str">
        <f t="shared" si="17"/>
        <v>Experienced</v>
      </c>
    </row>
    <row r="545" spans="1:21" x14ac:dyDescent="0.35">
      <c r="A545" t="s">
        <v>618</v>
      </c>
      <c r="B545" t="s">
        <v>147</v>
      </c>
      <c r="C545" t="s">
        <v>107</v>
      </c>
      <c r="D545" t="s">
        <v>66</v>
      </c>
      <c r="E545" t="s">
        <v>41</v>
      </c>
      <c r="F545">
        <v>5</v>
      </c>
      <c r="G545">
        <v>0.6</v>
      </c>
      <c r="H545">
        <v>0.48</v>
      </c>
      <c r="I545" t="s">
        <v>34</v>
      </c>
      <c r="J545">
        <v>136990</v>
      </c>
      <c r="K545" t="s">
        <v>25</v>
      </c>
      <c r="L545">
        <v>8</v>
      </c>
      <c r="M545">
        <v>59</v>
      </c>
      <c r="N545" t="s">
        <v>35</v>
      </c>
      <c r="O545" t="s">
        <v>27</v>
      </c>
      <c r="P545">
        <v>2.08</v>
      </c>
      <c r="Q545" t="s">
        <v>24</v>
      </c>
      <c r="R545">
        <v>4.2300000000000004</v>
      </c>
      <c r="S545" t="s">
        <v>28</v>
      </c>
      <c r="T545" t="str">
        <f t="shared" si="16"/>
        <v>Moderate</v>
      </c>
      <c r="U545" t="str">
        <f t="shared" si="17"/>
        <v>Intermediate</v>
      </c>
    </row>
    <row r="546" spans="1:21" x14ac:dyDescent="0.35">
      <c r="A546" t="s">
        <v>619</v>
      </c>
      <c r="B546" t="s">
        <v>45</v>
      </c>
      <c r="C546" t="s">
        <v>21</v>
      </c>
      <c r="D546" t="s">
        <v>59</v>
      </c>
      <c r="E546" t="s">
        <v>23</v>
      </c>
      <c r="F546">
        <v>17</v>
      </c>
      <c r="G546">
        <v>0.19</v>
      </c>
      <c r="H546">
        <v>0.8</v>
      </c>
      <c r="I546" t="s">
        <v>60</v>
      </c>
      <c r="J546">
        <v>200187</v>
      </c>
      <c r="K546" t="s">
        <v>25</v>
      </c>
      <c r="L546">
        <v>44</v>
      </c>
      <c r="M546">
        <v>58</v>
      </c>
      <c r="N546" t="s">
        <v>26</v>
      </c>
      <c r="O546" t="s">
        <v>25</v>
      </c>
      <c r="P546">
        <v>3.82</v>
      </c>
      <c r="Q546" t="s">
        <v>34</v>
      </c>
      <c r="R546">
        <v>2.27</v>
      </c>
      <c r="S546" t="s">
        <v>47</v>
      </c>
      <c r="T546" t="str">
        <f t="shared" si="16"/>
        <v>Very High</v>
      </c>
      <c r="U546" t="str">
        <f t="shared" si="17"/>
        <v>Expert</v>
      </c>
    </row>
    <row r="547" spans="1:21" x14ac:dyDescent="0.35">
      <c r="A547" t="s">
        <v>620</v>
      </c>
      <c r="B547" t="s">
        <v>68</v>
      </c>
      <c r="C547" t="s">
        <v>39</v>
      </c>
      <c r="D547" t="s">
        <v>49</v>
      </c>
      <c r="E547" t="s">
        <v>23</v>
      </c>
      <c r="F547">
        <v>11</v>
      </c>
      <c r="G547">
        <v>0.93</v>
      </c>
      <c r="H547">
        <v>0.38</v>
      </c>
      <c r="I547" t="s">
        <v>24</v>
      </c>
      <c r="J547">
        <v>112527</v>
      </c>
      <c r="K547" t="s">
        <v>42</v>
      </c>
      <c r="L547">
        <v>25</v>
      </c>
      <c r="M547">
        <v>46</v>
      </c>
      <c r="N547" t="s">
        <v>35</v>
      </c>
      <c r="O547" t="s">
        <v>36</v>
      </c>
      <c r="P547">
        <v>3.96</v>
      </c>
      <c r="Q547" t="s">
        <v>24</v>
      </c>
      <c r="R547">
        <v>2.8</v>
      </c>
      <c r="S547" t="s">
        <v>43</v>
      </c>
      <c r="T547" t="str">
        <f t="shared" si="16"/>
        <v>Very Low</v>
      </c>
      <c r="U547" t="str">
        <f t="shared" si="17"/>
        <v>Experienced</v>
      </c>
    </row>
    <row r="548" spans="1:21" x14ac:dyDescent="0.35">
      <c r="A548" t="s">
        <v>621</v>
      </c>
      <c r="B548" t="s">
        <v>62</v>
      </c>
      <c r="C548" t="s">
        <v>74</v>
      </c>
      <c r="D548" t="s">
        <v>63</v>
      </c>
      <c r="E548" t="s">
        <v>41</v>
      </c>
      <c r="F548">
        <v>2</v>
      </c>
      <c r="G548">
        <v>0.57999999999999996</v>
      </c>
      <c r="H548">
        <v>0.31</v>
      </c>
      <c r="I548" t="s">
        <v>34</v>
      </c>
      <c r="J548">
        <v>98230</v>
      </c>
      <c r="K548" t="s">
        <v>42</v>
      </c>
      <c r="L548">
        <v>22</v>
      </c>
      <c r="M548">
        <v>34</v>
      </c>
      <c r="N548" t="s">
        <v>26</v>
      </c>
      <c r="O548" t="s">
        <v>36</v>
      </c>
      <c r="P548">
        <v>3.9</v>
      </c>
      <c r="Q548" t="s">
        <v>24</v>
      </c>
      <c r="R548">
        <v>4.5999999999999996</v>
      </c>
      <c r="S548" t="s">
        <v>43</v>
      </c>
      <c r="T548" t="str">
        <f t="shared" si="16"/>
        <v>Moderate</v>
      </c>
      <c r="U548" t="str">
        <f t="shared" si="17"/>
        <v>Beginner</v>
      </c>
    </row>
    <row r="549" spans="1:21" x14ac:dyDescent="0.35">
      <c r="A549" t="s">
        <v>622</v>
      </c>
      <c r="B549" t="s">
        <v>68</v>
      </c>
      <c r="C549" t="s">
        <v>82</v>
      </c>
      <c r="D549" t="s">
        <v>75</v>
      </c>
      <c r="E549" t="s">
        <v>23</v>
      </c>
      <c r="F549">
        <v>0</v>
      </c>
      <c r="G549">
        <v>0.28999999999999998</v>
      </c>
      <c r="H549">
        <v>0.64</v>
      </c>
      <c r="I549" t="s">
        <v>60</v>
      </c>
      <c r="J549">
        <v>153171</v>
      </c>
      <c r="K549" t="s">
        <v>25</v>
      </c>
      <c r="L549">
        <v>-6</v>
      </c>
      <c r="M549">
        <v>34</v>
      </c>
      <c r="N549" t="s">
        <v>26</v>
      </c>
      <c r="O549" t="s">
        <v>27</v>
      </c>
      <c r="P549">
        <v>4.76</v>
      </c>
      <c r="Q549" t="s">
        <v>34</v>
      </c>
      <c r="R549">
        <v>2.42</v>
      </c>
      <c r="S549" t="s">
        <v>43</v>
      </c>
      <c r="T549" t="str">
        <f t="shared" si="16"/>
        <v>High</v>
      </c>
      <c r="U549" t="str">
        <f t="shared" si="17"/>
        <v>Beginner</v>
      </c>
    </row>
    <row r="550" spans="1:21" x14ac:dyDescent="0.35">
      <c r="A550" t="s">
        <v>623</v>
      </c>
      <c r="B550" t="s">
        <v>77</v>
      </c>
      <c r="C550" t="s">
        <v>21</v>
      </c>
      <c r="D550" t="s">
        <v>75</v>
      </c>
      <c r="E550" t="s">
        <v>41</v>
      </c>
      <c r="F550">
        <v>23</v>
      </c>
      <c r="G550">
        <v>0.79</v>
      </c>
      <c r="H550">
        <v>0.47</v>
      </c>
      <c r="I550" t="s">
        <v>34</v>
      </c>
      <c r="J550">
        <v>189582</v>
      </c>
      <c r="K550" t="s">
        <v>42</v>
      </c>
      <c r="L550">
        <v>16</v>
      </c>
      <c r="M550">
        <v>50</v>
      </c>
      <c r="N550" t="s">
        <v>42</v>
      </c>
      <c r="O550" t="s">
        <v>27</v>
      </c>
      <c r="P550">
        <v>4.5</v>
      </c>
      <c r="Q550" t="s">
        <v>34</v>
      </c>
      <c r="R550">
        <v>4.03</v>
      </c>
      <c r="S550" t="s">
        <v>28</v>
      </c>
      <c r="T550" t="str">
        <f t="shared" si="16"/>
        <v>Very Low</v>
      </c>
      <c r="U550" t="str">
        <f t="shared" si="17"/>
        <v>Expert</v>
      </c>
    </row>
    <row r="551" spans="1:21" x14ac:dyDescent="0.35">
      <c r="A551" t="s">
        <v>624</v>
      </c>
      <c r="B551" t="s">
        <v>91</v>
      </c>
      <c r="C551" t="s">
        <v>52</v>
      </c>
      <c r="D551" t="s">
        <v>63</v>
      </c>
      <c r="E551" t="s">
        <v>23</v>
      </c>
      <c r="F551">
        <v>5</v>
      </c>
      <c r="G551">
        <v>0.86</v>
      </c>
      <c r="H551">
        <v>0.67</v>
      </c>
      <c r="I551" t="s">
        <v>60</v>
      </c>
      <c r="J551">
        <v>126960</v>
      </c>
      <c r="K551" t="s">
        <v>27</v>
      </c>
      <c r="L551">
        <v>27</v>
      </c>
      <c r="M551">
        <v>38</v>
      </c>
      <c r="N551" t="s">
        <v>35</v>
      </c>
      <c r="O551" t="s">
        <v>25</v>
      </c>
      <c r="P551">
        <v>2.89</v>
      </c>
      <c r="Q551" t="s">
        <v>34</v>
      </c>
      <c r="R551">
        <v>1.19</v>
      </c>
      <c r="S551" t="s">
        <v>28</v>
      </c>
      <c r="T551" t="str">
        <f t="shared" si="16"/>
        <v>Moderate</v>
      </c>
      <c r="U551" t="str">
        <f t="shared" si="17"/>
        <v>Intermediate</v>
      </c>
    </row>
    <row r="552" spans="1:21" x14ac:dyDescent="0.35">
      <c r="A552" t="s">
        <v>625</v>
      </c>
      <c r="B552" t="s">
        <v>94</v>
      </c>
      <c r="C552" t="s">
        <v>55</v>
      </c>
      <c r="D552" t="s">
        <v>66</v>
      </c>
      <c r="E552" t="s">
        <v>70</v>
      </c>
      <c r="F552">
        <v>3</v>
      </c>
      <c r="G552">
        <v>0.91</v>
      </c>
      <c r="H552">
        <v>0.23</v>
      </c>
      <c r="I552" t="s">
        <v>34</v>
      </c>
      <c r="J552">
        <v>85228</v>
      </c>
      <c r="K552" t="s">
        <v>42</v>
      </c>
      <c r="L552">
        <v>0</v>
      </c>
      <c r="M552">
        <v>33</v>
      </c>
      <c r="N552" t="s">
        <v>42</v>
      </c>
      <c r="O552" t="s">
        <v>36</v>
      </c>
      <c r="P552">
        <v>3.46</v>
      </c>
      <c r="Q552" t="s">
        <v>24</v>
      </c>
      <c r="R552">
        <v>4.54</v>
      </c>
      <c r="S552" t="s">
        <v>43</v>
      </c>
      <c r="T552" t="str">
        <f t="shared" si="16"/>
        <v>Very Low</v>
      </c>
      <c r="U552" t="str">
        <f t="shared" si="17"/>
        <v>Intermediate</v>
      </c>
    </row>
    <row r="553" spans="1:21" x14ac:dyDescent="0.35">
      <c r="A553" t="s">
        <v>626</v>
      </c>
      <c r="B553" t="s">
        <v>156</v>
      </c>
      <c r="C553" t="s">
        <v>46</v>
      </c>
      <c r="D553" t="s">
        <v>75</v>
      </c>
      <c r="E553" t="s">
        <v>33</v>
      </c>
      <c r="F553">
        <v>0</v>
      </c>
      <c r="G553">
        <v>0.24</v>
      </c>
      <c r="H553">
        <v>0.86</v>
      </c>
      <c r="I553" t="s">
        <v>34</v>
      </c>
      <c r="J553">
        <v>74263</v>
      </c>
      <c r="K553" t="s">
        <v>25</v>
      </c>
      <c r="L553">
        <v>13</v>
      </c>
      <c r="M553">
        <v>36</v>
      </c>
      <c r="N553" t="s">
        <v>42</v>
      </c>
      <c r="O553" t="s">
        <v>27</v>
      </c>
      <c r="P553">
        <v>3.28</v>
      </c>
      <c r="Q553" t="s">
        <v>34</v>
      </c>
      <c r="R553">
        <v>3.08</v>
      </c>
      <c r="S553" t="s">
        <v>43</v>
      </c>
      <c r="T553" t="str">
        <f t="shared" si="16"/>
        <v>Very High</v>
      </c>
      <c r="U553" t="str">
        <f t="shared" si="17"/>
        <v>Beginner</v>
      </c>
    </row>
    <row r="554" spans="1:21" x14ac:dyDescent="0.35">
      <c r="A554" t="s">
        <v>627</v>
      </c>
      <c r="B554" t="s">
        <v>54</v>
      </c>
      <c r="C554" t="s">
        <v>21</v>
      </c>
      <c r="D554" t="s">
        <v>63</v>
      </c>
      <c r="E554" t="s">
        <v>41</v>
      </c>
      <c r="F554">
        <v>23</v>
      </c>
      <c r="G554">
        <v>0.49</v>
      </c>
      <c r="H554">
        <v>0.27</v>
      </c>
      <c r="I554" t="s">
        <v>24</v>
      </c>
      <c r="J554">
        <v>65866</v>
      </c>
      <c r="K554" t="s">
        <v>27</v>
      </c>
      <c r="L554">
        <v>-6</v>
      </c>
      <c r="M554">
        <v>40</v>
      </c>
      <c r="N554" t="s">
        <v>35</v>
      </c>
      <c r="O554" t="s">
        <v>27</v>
      </c>
      <c r="P554">
        <v>3.01</v>
      </c>
      <c r="Q554" t="s">
        <v>34</v>
      </c>
      <c r="R554">
        <v>3.52</v>
      </c>
      <c r="S554" t="s">
        <v>28</v>
      </c>
      <c r="T554" t="str">
        <f t="shared" si="16"/>
        <v>Moderate</v>
      </c>
      <c r="U554" t="str">
        <f t="shared" si="17"/>
        <v>Expert</v>
      </c>
    </row>
    <row r="555" spans="1:21" x14ac:dyDescent="0.35">
      <c r="A555" t="s">
        <v>628</v>
      </c>
      <c r="B555" t="s">
        <v>30</v>
      </c>
      <c r="C555" t="s">
        <v>39</v>
      </c>
      <c r="D555" t="s">
        <v>80</v>
      </c>
      <c r="E555" t="s">
        <v>41</v>
      </c>
      <c r="F555">
        <v>20</v>
      </c>
      <c r="G555">
        <v>0.14000000000000001</v>
      </c>
      <c r="H555">
        <v>0.76</v>
      </c>
      <c r="I555" t="s">
        <v>60</v>
      </c>
      <c r="J555">
        <v>166654</v>
      </c>
      <c r="K555" t="s">
        <v>25</v>
      </c>
      <c r="L555">
        <v>5</v>
      </c>
      <c r="M555">
        <v>34</v>
      </c>
      <c r="N555" t="s">
        <v>26</v>
      </c>
      <c r="O555" t="s">
        <v>36</v>
      </c>
      <c r="P555">
        <v>4.62</v>
      </c>
      <c r="Q555" t="s">
        <v>24</v>
      </c>
      <c r="R555">
        <v>3.69</v>
      </c>
      <c r="S555" t="s">
        <v>43</v>
      </c>
      <c r="T555" t="str">
        <f t="shared" si="16"/>
        <v>Very High</v>
      </c>
      <c r="U555" t="str">
        <f t="shared" si="17"/>
        <v>Expert</v>
      </c>
    </row>
    <row r="556" spans="1:21" x14ac:dyDescent="0.35">
      <c r="A556" t="s">
        <v>629</v>
      </c>
      <c r="B556" t="s">
        <v>65</v>
      </c>
      <c r="C556" t="s">
        <v>39</v>
      </c>
      <c r="D556" t="s">
        <v>75</v>
      </c>
      <c r="E556" t="s">
        <v>23</v>
      </c>
      <c r="F556">
        <v>2</v>
      </c>
      <c r="G556">
        <v>0.17</v>
      </c>
      <c r="H556">
        <v>0.7</v>
      </c>
      <c r="I556" t="s">
        <v>34</v>
      </c>
      <c r="J556">
        <v>53255</v>
      </c>
      <c r="K556" t="s">
        <v>27</v>
      </c>
      <c r="L556">
        <v>29</v>
      </c>
      <c r="M556">
        <v>36</v>
      </c>
      <c r="N556" t="s">
        <v>26</v>
      </c>
      <c r="O556" t="s">
        <v>25</v>
      </c>
      <c r="P556">
        <v>2.12</v>
      </c>
      <c r="Q556" t="s">
        <v>34</v>
      </c>
      <c r="R556">
        <v>3.45</v>
      </c>
      <c r="S556" t="s">
        <v>28</v>
      </c>
      <c r="T556" t="str">
        <f t="shared" si="16"/>
        <v>Very High</v>
      </c>
      <c r="U556" t="str">
        <f t="shared" si="17"/>
        <v>Beginner</v>
      </c>
    </row>
    <row r="557" spans="1:21" x14ac:dyDescent="0.35">
      <c r="A557" t="s">
        <v>630</v>
      </c>
      <c r="B557" t="s">
        <v>89</v>
      </c>
      <c r="C557" t="s">
        <v>107</v>
      </c>
      <c r="D557" t="s">
        <v>69</v>
      </c>
      <c r="E557" t="s">
        <v>70</v>
      </c>
      <c r="F557">
        <v>17</v>
      </c>
      <c r="G557">
        <v>0.32</v>
      </c>
      <c r="H557">
        <v>0.38</v>
      </c>
      <c r="I557" t="s">
        <v>34</v>
      </c>
      <c r="J557">
        <v>106576</v>
      </c>
      <c r="K557" t="s">
        <v>42</v>
      </c>
      <c r="L557">
        <v>-4</v>
      </c>
      <c r="M557">
        <v>37</v>
      </c>
      <c r="N557" t="s">
        <v>35</v>
      </c>
      <c r="O557" t="s">
        <v>36</v>
      </c>
      <c r="P557">
        <v>3.26</v>
      </c>
      <c r="Q557" t="s">
        <v>34</v>
      </c>
      <c r="R557">
        <v>2.2999999999999998</v>
      </c>
      <c r="S557" t="s">
        <v>28</v>
      </c>
      <c r="T557" t="str">
        <f t="shared" si="16"/>
        <v>High</v>
      </c>
      <c r="U557" t="str">
        <f t="shared" si="17"/>
        <v>Expert</v>
      </c>
    </row>
    <row r="558" spans="1:21" x14ac:dyDescent="0.35">
      <c r="A558" t="s">
        <v>631</v>
      </c>
      <c r="B558" t="s">
        <v>89</v>
      </c>
      <c r="C558" t="s">
        <v>107</v>
      </c>
      <c r="D558" t="s">
        <v>22</v>
      </c>
      <c r="E558" t="s">
        <v>23</v>
      </c>
      <c r="F558">
        <v>21</v>
      </c>
      <c r="G558">
        <v>0.36</v>
      </c>
      <c r="H558">
        <v>0.51</v>
      </c>
      <c r="I558" t="s">
        <v>24</v>
      </c>
      <c r="J558">
        <v>63569</v>
      </c>
      <c r="K558" t="s">
        <v>25</v>
      </c>
      <c r="L558">
        <v>8</v>
      </c>
      <c r="M558">
        <v>38</v>
      </c>
      <c r="N558" t="s">
        <v>26</v>
      </c>
      <c r="O558" t="s">
        <v>25</v>
      </c>
      <c r="P558">
        <v>4.67</v>
      </c>
      <c r="Q558" t="s">
        <v>34</v>
      </c>
      <c r="R558">
        <v>1.24</v>
      </c>
      <c r="S558" t="s">
        <v>43</v>
      </c>
      <c r="T558" t="str">
        <f t="shared" si="16"/>
        <v>High</v>
      </c>
      <c r="U558" t="str">
        <f t="shared" si="17"/>
        <v>Expert</v>
      </c>
    </row>
    <row r="559" spans="1:21" x14ac:dyDescent="0.35">
      <c r="A559" t="s">
        <v>632</v>
      </c>
      <c r="B559" t="s">
        <v>54</v>
      </c>
      <c r="C559" t="s">
        <v>107</v>
      </c>
      <c r="D559" t="s">
        <v>59</v>
      </c>
      <c r="E559" t="s">
        <v>70</v>
      </c>
      <c r="F559">
        <v>20</v>
      </c>
      <c r="G559">
        <v>0.43</v>
      </c>
      <c r="H559">
        <v>0.41</v>
      </c>
      <c r="I559" t="s">
        <v>24</v>
      </c>
      <c r="J559">
        <v>44321</v>
      </c>
      <c r="K559" t="s">
        <v>42</v>
      </c>
      <c r="L559">
        <v>18</v>
      </c>
      <c r="M559">
        <v>43</v>
      </c>
      <c r="N559" t="s">
        <v>35</v>
      </c>
      <c r="O559" t="s">
        <v>27</v>
      </c>
      <c r="P559">
        <v>4.63</v>
      </c>
      <c r="Q559" t="s">
        <v>24</v>
      </c>
      <c r="R559">
        <v>4.12</v>
      </c>
      <c r="S559" t="s">
        <v>47</v>
      </c>
      <c r="T559" t="str">
        <f t="shared" si="16"/>
        <v>Moderate</v>
      </c>
      <c r="U559" t="str">
        <f t="shared" si="17"/>
        <v>Expert</v>
      </c>
    </row>
    <row r="560" spans="1:21" x14ac:dyDescent="0.35">
      <c r="A560" t="s">
        <v>633</v>
      </c>
      <c r="B560" t="s">
        <v>20</v>
      </c>
      <c r="C560" t="s">
        <v>21</v>
      </c>
      <c r="D560" t="s">
        <v>75</v>
      </c>
      <c r="E560" t="s">
        <v>33</v>
      </c>
      <c r="F560">
        <v>11</v>
      </c>
      <c r="G560">
        <v>0.13</v>
      </c>
      <c r="H560">
        <v>0.76</v>
      </c>
      <c r="I560" t="s">
        <v>60</v>
      </c>
      <c r="J560">
        <v>122458</v>
      </c>
      <c r="K560" t="s">
        <v>25</v>
      </c>
      <c r="L560">
        <v>0</v>
      </c>
      <c r="M560">
        <v>56</v>
      </c>
      <c r="N560" t="s">
        <v>26</v>
      </c>
      <c r="O560" t="s">
        <v>36</v>
      </c>
      <c r="P560">
        <v>4.58</v>
      </c>
      <c r="Q560" t="s">
        <v>24</v>
      </c>
      <c r="R560">
        <v>2.16</v>
      </c>
      <c r="S560" t="s">
        <v>47</v>
      </c>
      <c r="T560" t="str">
        <f t="shared" si="16"/>
        <v>Very High</v>
      </c>
      <c r="U560" t="str">
        <f t="shared" si="17"/>
        <v>Experienced</v>
      </c>
    </row>
    <row r="561" spans="1:21" x14ac:dyDescent="0.35">
      <c r="A561" t="s">
        <v>634</v>
      </c>
      <c r="B561" t="s">
        <v>65</v>
      </c>
      <c r="C561" t="s">
        <v>21</v>
      </c>
      <c r="D561" t="s">
        <v>80</v>
      </c>
      <c r="E561" t="s">
        <v>23</v>
      </c>
      <c r="F561">
        <v>25</v>
      </c>
      <c r="G561">
        <v>0.27</v>
      </c>
      <c r="H561">
        <v>0.21</v>
      </c>
      <c r="I561" t="s">
        <v>34</v>
      </c>
      <c r="J561">
        <v>35250</v>
      </c>
      <c r="K561" t="s">
        <v>25</v>
      </c>
      <c r="L561">
        <v>0</v>
      </c>
      <c r="M561">
        <v>39</v>
      </c>
      <c r="N561" t="s">
        <v>42</v>
      </c>
      <c r="O561" t="s">
        <v>25</v>
      </c>
      <c r="P561">
        <v>2.69</v>
      </c>
      <c r="Q561" t="s">
        <v>24</v>
      </c>
      <c r="R561">
        <v>1.1399999999999999</v>
      </c>
      <c r="S561" t="s">
        <v>28</v>
      </c>
      <c r="T561" t="str">
        <f t="shared" si="16"/>
        <v>Moderate</v>
      </c>
      <c r="U561" t="str">
        <f t="shared" si="17"/>
        <v>Expert</v>
      </c>
    </row>
    <row r="562" spans="1:21" x14ac:dyDescent="0.35">
      <c r="A562" t="s">
        <v>635</v>
      </c>
      <c r="B562" t="s">
        <v>45</v>
      </c>
      <c r="C562" t="s">
        <v>21</v>
      </c>
      <c r="D562" t="s">
        <v>80</v>
      </c>
      <c r="E562" t="s">
        <v>23</v>
      </c>
      <c r="F562">
        <v>0</v>
      </c>
      <c r="G562">
        <v>0.79</v>
      </c>
      <c r="H562">
        <v>0.89</v>
      </c>
      <c r="I562" t="s">
        <v>24</v>
      </c>
      <c r="J562">
        <v>52260</v>
      </c>
      <c r="K562" t="s">
        <v>27</v>
      </c>
      <c r="L562">
        <v>43</v>
      </c>
      <c r="M562">
        <v>47</v>
      </c>
      <c r="N562" t="s">
        <v>26</v>
      </c>
      <c r="O562" t="s">
        <v>25</v>
      </c>
      <c r="P562">
        <v>2.29</v>
      </c>
      <c r="Q562" t="s">
        <v>34</v>
      </c>
      <c r="R562">
        <v>1.78</v>
      </c>
      <c r="S562" t="s">
        <v>28</v>
      </c>
      <c r="T562" t="str">
        <f t="shared" si="16"/>
        <v>High</v>
      </c>
      <c r="U562" t="str">
        <f t="shared" si="17"/>
        <v>Beginner</v>
      </c>
    </row>
    <row r="563" spans="1:21" x14ac:dyDescent="0.35">
      <c r="A563" t="s">
        <v>636</v>
      </c>
      <c r="B563" t="s">
        <v>38</v>
      </c>
      <c r="C563" t="s">
        <v>107</v>
      </c>
      <c r="D563" t="s">
        <v>69</v>
      </c>
      <c r="E563" t="s">
        <v>70</v>
      </c>
      <c r="F563">
        <v>13</v>
      </c>
      <c r="G563">
        <v>0.46</v>
      </c>
      <c r="H563">
        <v>0.28000000000000003</v>
      </c>
      <c r="I563" t="s">
        <v>24</v>
      </c>
      <c r="J563">
        <v>201979</v>
      </c>
      <c r="K563" t="s">
        <v>25</v>
      </c>
      <c r="L563">
        <v>16</v>
      </c>
      <c r="M563">
        <v>47</v>
      </c>
      <c r="N563" t="s">
        <v>42</v>
      </c>
      <c r="O563" t="s">
        <v>36</v>
      </c>
      <c r="P563">
        <v>2.85</v>
      </c>
      <c r="Q563" t="s">
        <v>24</v>
      </c>
      <c r="R563">
        <v>2.5299999999999998</v>
      </c>
      <c r="S563" t="s">
        <v>43</v>
      </c>
      <c r="T563" t="str">
        <f t="shared" si="16"/>
        <v>Moderate</v>
      </c>
      <c r="U563" t="str">
        <f t="shared" si="17"/>
        <v>Experienced</v>
      </c>
    </row>
    <row r="564" spans="1:21" x14ac:dyDescent="0.35">
      <c r="A564" t="s">
        <v>637</v>
      </c>
      <c r="B564" t="s">
        <v>89</v>
      </c>
      <c r="C564" t="s">
        <v>46</v>
      </c>
      <c r="D564" t="s">
        <v>40</v>
      </c>
      <c r="E564" t="s">
        <v>70</v>
      </c>
      <c r="F564">
        <v>10</v>
      </c>
      <c r="G564">
        <v>0.41</v>
      </c>
      <c r="H564">
        <v>0.38</v>
      </c>
      <c r="I564" t="s">
        <v>24</v>
      </c>
      <c r="J564">
        <v>126946</v>
      </c>
      <c r="K564" t="s">
        <v>27</v>
      </c>
      <c r="L564">
        <v>-5</v>
      </c>
      <c r="M564">
        <v>33</v>
      </c>
      <c r="N564" t="s">
        <v>26</v>
      </c>
      <c r="O564" t="s">
        <v>25</v>
      </c>
      <c r="P564">
        <v>2.62</v>
      </c>
      <c r="Q564" t="s">
        <v>34</v>
      </c>
      <c r="R564">
        <v>3.37</v>
      </c>
      <c r="S564" t="s">
        <v>47</v>
      </c>
      <c r="T564" t="str">
        <f t="shared" si="16"/>
        <v>Moderate</v>
      </c>
      <c r="U564" t="str">
        <f t="shared" si="17"/>
        <v>Experienced</v>
      </c>
    </row>
    <row r="565" spans="1:21" x14ac:dyDescent="0.35">
      <c r="A565" t="s">
        <v>638</v>
      </c>
      <c r="B565" t="s">
        <v>30</v>
      </c>
      <c r="C565" t="s">
        <v>82</v>
      </c>
      <c r="D565" t="s">
        <v>75</v>
      </c>
      <c r="E565" t="s">
        <v>70</v>
      </c>
      <c r="F565">
        <v>22</v>
      </c>
      <c r="G565">
        <v>0.74</v>
      </c>
      <c r="H565">
        <v>0.4</v>
      </c>
      <c r="I565" t="s">
        <v>60</v>
      </c>
      <c r="J565">
        <v>111646</v>
      </c>
      <c r="K565" t="s">
        <v>27</v>
      </c>
      <c r="L565">
        <v>16</v>
      </c>
      <c r="M565">
        <v>57</v>
      </c>
      <c r="N565" t="s">
        <v>35</v>
      </c>
      <c r="O565" t="s">
        <v>36</v>
      </c>
      <c r="P565">
        <v>4.07</v>
      </c>
      <c r="Q565" t="s">
        <v>34</v>
      </c>
      <c r="R565">
        <v>3.18</v>
      </c>
      <c r="S565" t="s">
        <v>43</v>
      </c>
      <c r="T565" t="str">
        <f t="shared" si="16"/>
        <v>Very Low</v>
      </c>
      <c r="U565" t="str">
        <f t="shared" si="17"/>
        <v>Expert</v>
      </c>
    </row>
    <row r="566" spans="1:21" x14ac:dyDescent="0.35">
      <c r="A566" t="s">
        <v>639</v>
      </c>
      <c r="B566" t="s">
        <v>68</v>
      </c>
      <c r="C566" t="s">
        <v>52</v>
      </c>
      <c r="D566" t="s">
        <v>40</v>
      </c>
      <c r="E566" t="s">
        <v>23</v>
      </c>
      <c r="F566">
        <v>4</v>
      </c>
      <c r="G566">
        <v>0.55000000000000004</v>
      </c>
      <c r="H566">
        <v>0.78</v>
      </c>
      <c r="I566" t="s">
        <v>24</v>
      </c>
      <c r="J566">
        <v>51347</v>
      </c>
      <c r="K566" t="s">
        <v>25</v>
      </c>
      <c r="L566">
        <v>23</v>
      </c>
      <c r="M566">
        <v>53</v>
      </c>
      <c r="N566" t="s">
        <v>35</v>
      </c>
      <c r="O566" t="s">
        <v>25</v>
      </c>
      <c r="P566">
        <v>2.59</v>
      </c>
      <c r="Q566" t="s">
        <v>24</v>
      </c>
      <c r="R566">
        <v>1.1599999999999999</v>
      </c>
      <c r="S566" t="s">
        <v>43</v>
      </c>
      <c r="T566" t="str">
        <f t="shared" si="16"/>
        <v>High</v>
      </c>
      <c r="U566" t="str">
        <f t="shared" si="17"/>
        <v>Intermediate</v>
      </c>
    </row>
    <row r="567" spans="1:21" x14ac:dyDescent="0.35">
      <c r="A567" t="s">
        <v>640</v>
      </c>
      <c r="B567" t="s">
        <v>94</v>
      </c>
      <c r="C567" t="s">
        <v>31</v>
      </c>
      <c r="D567" t="s">
        <v>66</v>
      </c>
      <c r="E567" t="s">
        <v>70</v>
      </c>
      <c r="F567">
        <v>19</v>
      </c>
      <c r="G567">
        <v>0.43</v>
      </c>
      <c r="H567">
        <v>0.21</v>
      </c>
      <c r="I567" t="s">
        <v>34</v>
      </c>
      <c r="J567">
        <v>60823</v>
      </c>
      <c r="K567" t="s">
        <v>27</v>
      </c>
      <c r="L567">
        <v>31</v>
      </c>
      <c r="M567">
        <v>35</v>
      </c>
      <c r="N567" t="s">
        <v>35</v>
      </c>
      <c r="O567" t="s">
        <v>36</v>
      </c>
      <c r="P567">
        <v>3.57</v>
      </c>
      <c r="Q567" t="s">
        <v>24</v>
      </c>
      <c r="R567">
        <v>4.21</v>
      </c>
      <c r="S567" t="s">
        <v>28</v>
      </c>
      <c r="T567" t="str">
        <f t="shared" si="16"/>
        <v>Moderate</v>
      </c>
      <c r="U567" t="str">
        <f t="shared" si="17"/>
        <v>Expert</v>
      </c>
    </row>
    <row r="568" spans="1:21" x14ac:dyDescent="0.35">
      <c r="A568" t="s">
        <v>641</v>
      </c>
      <c r="B568" t="s">
        <v>106</v>
      </c>
      <c r="C568" t="s">
        <v>82</v>
      </c>
      <c r="D568" t="s">
        <v>80</v>
      </c>
      <c r="E568" t="s">
        <v>23</v>
      </c>
      <c r="F568">
        <v>0</v>
      </c>
      <c r="G568">
        <v>0.89</v>
      </c>
      <c r="H568">
        <v>0.93</v>
      </c>
      <c r="I568" t="s">
        <v>34</v>
      </c>
      <c r="J568">
        <v>218777</v>
      </c>
      <c r="K568" t="s">
        <v>42</v>
      </c>
      <c r="L568">
        <v>1</v>
      </c>
      <c r="M568">
        <v>34</v>
      </c>
      <c r="N568" t="s">
        <v>42</v>
      </c>
      <c r="O568" t="s">
        <v>25</v>
      </c>
      <c r="P568">
        <v>4.9800000000000004</v>
      </c>
      <c r="Q568" t="s">
        <v>24</v>
      </c>
      <c r="R568">
        <v>2.25</v>
      </c>
      <c r="S568" t="s">
        <v>47</v>
      </c>
      <c r="T568" t="str">
        <f t="shared" si="16"/>
        <v>High</v>
      </c>
      <c r="U568" t="str">
        <f t="shared" si="17"/>
        <v>Beginner</v>
      </c>
    </row>
    <row r="569" spans="1:21" x14ac:dyDescent="0.35">
      <c r="A569" t="s">
        <v>642</v>
      </c>
      <c r="B569" t="s">
        <v>45</v>
      </c>
      <c r="C569" t="s">
        <v>74</v>
      </c>
      <c r="D569" t="s">
        <v>80</v>
      </c>
      <c r="E569" t="s">
        <v>33</v>
      </c>
      <c r="F569">
        <v>11</v>
      </c>
      <c r="G569">
        <v>0.1</v>
      </c>
      <c r="H569">
        <v>0.56999999999999995</v>
      </c>
      <c r="I569" t="s">
        <v>60</v>
      </c>
      <c r="J569">
        <v>71013</v>
      </c>
      <c r="K569" t="s">
        <v>25</v>
      </c>
      <c r="L569">
        <v>2</v>
      </c>
      <c r="M569">
        <v>38</v>
      </c>
      <c r="N569" t="s">
        <v>42</v>
      </c>
      <c r="O569" t="s">
        <v>36</v>
      </c>
      <c r="P569">
        <v>3.75</v>
      </c>
      <c r="Q569" t="s">
        <v>34</v>
      </c>
      <c r="R569">
        <v>2.4700000000000002</v>
      </c>
      <c r="S569" t="s">
        <v>43</v>
      </c>
      <c r="T569" t="str">
        <f t="shared" si="16"/>
        <v>High</v>
      </c>
      <c r="U569" t="str">
        <f t="shared" si="17"/>
        <v>Experienced</v>
      </c>
    </row>
    <row r="570" spans="1:21" x14ac:dyDescent="0.35">
      <c r="A570" t="s">
        <v>643</v>
      </c>
      <c r="B570" t="s">
        <v>54</v>
      </c>
      <c r="C570" t="s">
        <v>46</v>
      </c>
      <c r="D570" t="s">
        <v>40</v>
      </c>
      <c r="E570" t="s">
        <v>33</v>
      </c>
      <c r="F570">
        <v>25</v>
      </c>
      <c r="G570">
        <v>0.14000000000000001</v>
      </c>
      <c r="H570">
        <v>0.37</v>
      </c>
      <c r="I570" t="s">
        <v>60</v>
      </c>
      <c r="J570">
        <v>76746</v>
      </c>
      <c r="K570" t="s">
        <v>27</v>
      </c>
      <c r="L570">
        <v>31</v>
      </c>
      <c r="M570">
        <v>54</v>
      </c>
      <c r="N570" t="s">
        <v>42</v>
      </c>
      <c r="O570" t="s">
        <v>36</v>
      </c>
      <c r="P570">
        <v>3.73</v>
      </c>
      <c r="Q570" t="s">
        <v>34</v>
      </c>
      <c r="R570">
        <v>4.87</v>
      </c>
      <c r="S570" t="s">
        <v>28</v>
      </c>
      <c r="T570" t="str">
        <f t="shared" si="16"/>
        <v>High</v>
      </c>
      <c r="U570" t="str">
        <f t="shared" si="17"/>
        <v>Expert</v>
      </c>
    </row>
    <row r="571" spans="1:21" x14ac:dyDescent="0.35">
      <c r="A571" t="s">
        <v>644</v>
      </c>
      <c r="B571" t="s">
        <v>106</v>
      </c>
      <c r="C571" t="s">
        <v>82</v>
      </c>
      <c r="D571" t="s">
        <v>49</v>
      </c>
      <c r="E571" t="s">
        <v>41</v>
      </c>
      <c r="F571">
        <v>10</v>
      </c>
      <c r="G571">
        <v>0.13</v>
      </c>
      <c r="H571">
        <v>0.83</v>
      </c>
      <c r="I571" t="s">
        <v>24</v>
      </c>
      <c r="J571">
        <v>68401</v>
      </c>
      <c r="K571" t="s">
        <v>25</v>
      </c>
      <c r="L571">
        <v>-2</v>
      </c>
      <c r="M571">
        <v>46</v>
      </c>
      <c r="N571" t="s">
        <v>42</v>
      </c>
      <c r="O571" t="s">
        <v>36</v>
      </c>
      <c r="P571">
        <v>3.99</v>
      </c>
      <c r="Q571" t="s">
        <v>34</v>
      </c>
      <c r="R571">
        <v>2.21</v>
      </c>
      <c r="S571" t="s">
        <v>47</v>
      </c>
      <c r="T571" t="str">
        <f t="shared" si="16"/>
        <v>Very High</v>
      </c>
      <c r="U571" t="str">
        <f t="shared" si="17"/>
        <v>Experienced</v>
      </c>
    </row>
    <row r="572" spans="1:21" x14ac:dyDescent="0.35">
      <c r="A572" t="s">
        <v>645</v>
      </c>
      <c r="B572" t="s">
        <v>65</v>
      </c>
      <c r="C572" t="s">
        <v>74</v>
      </c>
      <c r="D572" t="s">
        <v>80</v>
      </c>
      <c r="E572" t="s">
        <v>41</v>
      </c>
      <c r="F572">
        <v>19</v>
      </c>
      <c r="G572">
        <v>0.4</v>
      </c>
      <c r="H572">
        <v>0.56999999999999995</v>
      </c>
      <c r="I572" t="s">
        <v>24</v>
      </c>
      <c r="J572">
        <v>111726</v>
      </c>
      <c r="K572" t="s">
        <v>25</v>
      </c>
      <c r="L572">
        <v>30</v>
      </c>
      <c r="M572">
        <v>56</v>
      </c>
      <c r="N572" t="s">
        <v>42</v>
      </c>
      <c r="O572" t="s">
        <v>27</v>
      </c>
      <c r="P572">
        <v>2.4300000000000002</v>
      </c>
      <c r="Q572" t="s">
        <v>34</v>
      </c>
      <c r="R572">
        <v>3.24</v>
      </c>
      <c r="S572" t="s">
        <v>43</v>
      </c>
      <c r="T572" t="str">
        <f t="shared" si="16"/>
        <v>High</v>
      </c>
      <c r="U572" t="str">
        <f t="shared" si="17"/>
        <v>Expert</v>
      </c>
    </row>
    <row r="573" spans="1:21" x14ac:dyDescent="0.35">
      <c r="A573" t="s">
        <v>646</v>
      </c>
      <c r="B573" t="s">
        <v>147</v>
      </c>
      <c r="C573" t="s">
        <v>52</v>
      </c>
      <c r="D573" t="s">
        <v>59</v>
      </c>
      <c r="E573" t="s">
        <v>33</v>
      </c>
      <c r="F573">
        <v>12</v>
      </c>
      <c r="G573">
        <v>0.83</v>
      </c>
      <c r="H573">
        <v>0.88</v>
      </c>
      <c r="I573" t="s">
        <v>34</v>
      </c>
      <c r="J573">
        <v>205646</v>
      </c>
      <c r="K573" t="s">
        <v>25</v>
      </c>
      <c r="L573">
        <v>37</v>
      </c>
      <c r="M573">
        <v>30</v>
      </c>
      <c r="N573" t="s">
        <v>35</v>
      </c>
      <c r="O573" t="s">
        <v>36</v>
      </c>
      <c r="P573">
        <v>3.08</v>
      </c>
      <c r="Q573" t="s">
        <v>24</v>
      </c>
      <c r="R573">
        <v>1.02</v>
      </c>
      <c r="S573" t="s">
        <v>43</v>
      </c>
      <c r="T573" t="str">
        <f t="shared" si="16"/>
        <v>High</v>
      </c>
      <c r="U573" t="str">
        <f t="shared" si="17"/>
        <v>Experienced</v>
      </c>
    </row>
    <row r="574" spans="1:21" x14ac:dyDescent="0.35">
      <c r="A574" t="s">
        <v>647</v>
      </c>
      <c r="B574" t="s">
        <v>89</v>
      </c>
      <c r="C574" t="s">
        <v>52</v>
      </c>
      <c r="D574" t="s">
        <v>75</v>
      </c>
      <c r="E574" t="s">
        <v>70</v>
      </c>
      <c r="F574">
        <v>8</v>
      </c>
      <c r="G574">
        <v>0.6</v>
      </c>
      <c r="H574">
        <v>0.23</v>
      </c>
      <c r="I574" t="s">
        <v>60</v>
      </c>
      <c r="J574">
        <v>102076</v>
      </c>
      <c r="K574" t="s">
        <v>25</v>
      </c>
      <c r="L574">
        <v>26</v>
      </c>
      <c r="M574">
        <v>56</v>
      </c>
      <c r="N574" t="s">
        <v>35</v>
      </c>
      <c r="O574" t="s">
        <v>27</v>
      </c>
      <c r="P574">
        <v>4.78</v>
      </c>
      <c r="Q574" t="s">
        <v>34</v>
      </c>
      <c r="R574">
        <v>2.96</v>
      </c>
      <c r="S574" t="s">
        <v>43</v>
      </c>
      <c r="T574" t="str">
        <f t="shared" si="16"/>
        <v>Moderate</v>
      </c>
      <c r="U574" t="str">
        <f t="shared" si="17"/>
        <v>Intermediate</v>
      </c>
    </row>
    <row r="575" spans="1:21" x14ac:dyDescent="0.35">
      <c r="A575" t="s">
        <v>648</v>
      </c>
      <c r="B575" t="s">
        <v>51</v>
      </c>
      <c r="C575" t="s">
        <v>82</v>
      </c>
      <c r="D575" t="s">
        <v>40</v>
      </c>
      <c r="E575" t="s">
        <v>23</v>
      </c>
      <c r="F575">
        <v>3</v>
      </c>
      <c r="G575">
        <v>0.6</v>
      </c>
      <c r="H575">
        <v>0.76</v>
      </c>
      <c r="I575" t="s">
        <v>24</v>
      </c>
      <c r="J575">
        <v>214979</v>
      </c>
      <c r="K575" t="s">
        <v>42</v>
      </c>
      <c r="L575">
        <v>30</v>
      </c>
      <c r="M575">
        <v>52</v>
      </c>
      <c r="N575" t="s">
        <v>35</v>
      </c>
      <c r="O575" t="s">
        <v>36</v>
      </c>
      <c r="P575">
        <v>2.29</v>
      </c>
      <c r="Q575" t="s">
        <v>34</v>
      </c>
      <c r="R575">
        <v>4.93</v>
      </c>
      <c r="S575" t="s">
        <v>47</v>
      </c>
      <c r="T575" t="str">
        <f t="shared" si="16"/>
        <v>High</v>
      </c>
      <c r="U575" t="str">
        <f t="shared" si="17"/>
        <v>Intermediate</v>
      </c>
    </row>
    <row r="576" spans="1:21" x14ac:dyDescent="0.35">
      <c r="A576" t="s">
        <v>649</v>
      </c>
      <c r="B576" t="s">
        <v>65</v>
      </c>
      <c r="C576" t="s">
        <v>58</v>
      </c>
      <c r="D576" t="s">
        <v>69</v>
      </c>
      <c r="E576" t="s">
        <v>23</v>
      </c>
      <c r="F576">
        <v>21</v>
      </c>
      <c r="G576">
        <v>0.87</v>
      </c>
      <c r="H576">
        <v>0.66</v>
      </c>
      <c r="I576" t="s">
        <v>60</v>
      </c>
      <c r="J576">
        <v>126011</v>
      </c>
      <c r="K576" t="s">
        <v>25</v>
      </c>
      <c r="L576">
        <v>-6</v>
      </c>
      <c r="M576">
        <v>36</v>
      </c>
      <c r="N576" t="s">
        <v>26</v>
      </c>
      <c r="O576" t="s">
        <v>25</v>
      </c>
      <c r="P576">
        <v>4.1900000000000004</v>
      </c>
      <c r="Q576" t="s">
        <v>24</v>
      </c>
      <c r="R576">
        <v>1.69</v>
      </c>
      <c r="S576" t="s">
        <v>47</v>
      </c>
      <c r="T576" t="str">
        <f t="shared" si="16"/>
        <v>Moderate</v>
      </c>
      <c r="U576" t="str">
        <f t="shared" si="17"/>
        <v>Expert</v>
      </c>
    </row>
    <row r="577" spans="1:21" x14ac:dyDescent="0.35">
      <c r="A577" t="s">
        <v>650</v>
      </c>
      <c r="B577" t="s">
        <v>62</v>
      </c>
      <c r="C577" t="s">
        <v>31</v>
      </c>
      <c r="D577" t="s">
        <v>80</v>
      </c>
      <c r="E577" t="s">
        <v>70</v>
      </c>
      <c r="F577">
        <v>3</v>
      </c>
      <c r="G577">
        <v>0.72</v>
      </c>
      <c r="H577">
        <v>0.86</v>
      </c>
      <c r="I577" t="s">
        <v>34</v>
      </c>
      <c r="J577">
        <v>30845</v>
      </c>
      <c r="K577" t="s">
        <v>42</v>
      </c>
      <c r="L577">
        <v>26</v>
      </c>
      <c r="M577">
        <v>56</v>
      </c>
      <c r="N577" t="s">
        <v>26</v>
      </c>
      <c r="O577" t="s">
        <v>25</v>
      </c>
      <c r="P577">
        <v>3.7</v>
      </c>
      <c r="Q577" t="s">
        <v>34</v>
      </c>
      <c r="R577">
        <v>1.35</v>
      </c>
      <c r="S577" t="s">
        <v>47</v>
      </c>
      <c r="T577" t="str">
        <f t="shared" si="16"/>
        <v>High</v>
      </c>
      <c r="U577" t="str">
        <f t="shared" si="17"/>
        <v>Intermediate</v>
      </c>
    </row>
    <row r="578" spans="1:21" x14ac:dyDescent="0.35">
      <c r="A578" t="s">
        <v>651</v>
      </c>
      <c r="B578" t="s">
        <v>156</v>
      </c>
      <c r="C578" t="s">
        <v>39</v>
      </c>
      <c r="D578" t="s">
        <v>63</v>
      </c>
      <c r="E578" t="s">
        <v>23</v>
      </c>
      <c r="F578">
        <v>2</v>
      </c>
      <c r="G578">
        <v>0.61</v>
      </c>
      <c r="H578">
        <v>0.22</v>
      </c>
      <c r="I578" t="s">
        <v>60</v>
      </c>
      <c r="J578">
        <v>74390</v>
      </c>
      <c r="K578" t="s">
        <v>25</v>
      </c>
      <c r="L578">
        <v>9</v>
      </c>
      <c r="M578">
        <v>56</v>
      </c>
      <c r="N578" t="s">
        <v>26</v>
      </c>
      <c r="O578" t="s">
        <v>27</v>
      </c>
      <c r="P578">
        <v>4.83</v>
      </c>
      <c r="Q578" t="s">
        <v>24</v>
      </c>
      <c r="R578">
        <v>3.99</v>
      </c>
      <c r="S578" t="s">
        <v>28</v>
      </c>
      <c r="T578" t="str">
        <f t="shared" si="16"/>
        <v>Moderate</v>
      </c>
      <c r="U578" t="str">
        <f t="shared" si="17"/>
        <v>Beginner</v>
      </c>
    </row>
    <row r="579" spans="1:21" x14ac:dyDescent="0.35">
      <c r="A579" t="s">
        <v>652</v>
      </c>
      <c r="B579" t="s">
        <v>30</v>
      </c>
      <c r="C579" t="s">
        <v>52</v>
      </c>
      <c r="D579" t="s">
        <v>59</v>
      </c>
      <c r="E579" t="s">
        <v>33</v>
      </c>
      <c r="F579">
        <v>8</v>
      </c>
      <c r="G579">
        <v>0.31</v>
      </c>
      <c r="H579">
        <v>0.42</v>
      </c>
      <c r="I579" t="s">
        <v>24</v>
      </c>
      <c r="J579">
        <v>178121</v>
      </c>
      <c r="K579" t="s">
        <v>25</v>
      </c>
      <c r="L579">
        <v>8</v>
      </c>
      <c r="M579">
        <v>38</v>
      </c>
      <c r="N579" t="s">
        <v>26</v>
      </c>
      <c r="O579" t="s">
        <v>36</v>
      </c>
      <c r="P579">
        <v>2.79</v>
      </c>
      <c r="Q579" t="s">
        <v>34</v>
      </c>
      <c r="R579">
        <v>2.42</v>
      </c>
      <c r="S579" t="s">
        <v>43</v>
      </c>
      <c r="T579" t="str">
        <f t="shared" ref="T579:T642" si="18">IF(AND(G579&lt;0.4,H579&gt;=0.7),"Very High",
IF(AND(G579&gt;=0.7,H579&lt;0.5),"Very Low",
IF(G579&lt;H579,"High","Moderate")))</f>
        <v>High</v>
      </c>
      <c r="U579" t="str">
        <f t="shared" ref="U579:U642" si="19">_xlfn.IFS(F579&lt;=2,"Beginner",F579&lt;=8,"Intermediate",F579&lt;=15,"Experienced",F579&lt;=25,"Expert")</f>
        <v>Intermediate</v>
      </c>
    </row>
    <row r="580" spans="1:21" x14ac:dyDescent="0.35">
      <c r="A580" t="s">
        <v>653</v>
      </c>
      <c r="B580" t="s">
        <v>102</v>
      </c>
      <c r="C580" t="s">
        <v>52</v>
      </c>
      <c r="D580" t="s">
        <v>63</v>
      </c>
      <c r="E580" t="s">
        <v>70</v>
      </c>
      <c r="F580">
        <v>6</v>
      </c>
      <c r="G580">
        <v>0.57999999999999996</v>
      </c>
      <c r="H580">
        <v>0.32</v>
      </c>
      <c r="I580" t="s">
        <v>34</v>
      </c>
      <c r="J580">
        <v>179084</v>
      </c>
      <c r="K580" t="s">
        <v>27</v>
      </c>
      <c r="L580">
        <v>22</v>
      </c>
      <c r="M580">
        <v>47</v>
      </c>
      <c r="N580" t="s">
        <v>26</v>
      </c>
      <c r="O580" t="s">
        <v>36</v>
      </c>
      <c r="P580">
        <v>2.27</v>
      </c>
      <c r="Q580" t="s">
        <v>24</v>
      </c>
      <c r="R580">
        <v>2.0299999999999998</v>
      </c>
      <c r="S580" t="s">
        <v>43</v>
      </c>
      <c r="T580" t="str">
        <f t="shared" si="18"/>
        <v>Moderate</v>
      </c>
      <c r="U580" t="str">
        <f t="shared" si="19"/>
        <v>Intermediate</v>
      </c>
    </row>
    <row r="581" spans="1:21" x14ac:dyDescent="0.35">
      <c r="A581" t="s">
        <v>654</v>
      </c>
      <c r="B581" t="s">
        <v>96</v>
      </c>
      <c r="C581" t="s">
        <v>46</v>
      </c>
      <c r="D581" t="s">
        <v>75</v>
      </c>
      <c r="E581" t="s">
        <v>70</v>
      </c>
      <c r="F581">
        <v>22</v>
      </c>
      <c r="G581">
        <v>0.47</v>
      </c>
      <c r="H581">
        <v>0.46</v>
      </c>
      <c r="I581" t="s">
        <v>24</v>
      </c>
      <c r="J581">
        <v>177788</v>
      </c>
      <c r="K581" t="s">
        <v>27</v>
      </c>
      <c r="L581">
        <v>12</v>
      </c>
      <c r="M581">
        <v>57</v>
      </c>
      <c r="N581" t="s">
        <v>35</v>
      </c>
      <c r="O581" t="s">
        <v>25</v>
      </c>
      <c r="P581">
        <v>3.26</v>
      </c>
      <c r="Q581" t="s">
        <v>34</v>
      </c>
      <c r="R581">
        <v>2.35</v>
      </c>
      <c r="S581" t="s">
        <v>47</v>
      </c>
      <c r="T581" t="str">
        <f t="shared" si="18"/>
        <v>Moderate</v>
      </c>
      <c r="U581" t="str">
        <f t="shared" si="19"/>
        <v>Expert</v>
      </c>
    </row>
    <row r="582" spans="1:21" x14ac:dyDescent="0.35">
      <c r="A582" t="s">
        <v>655</v>
      </c>
      <c r="B582" t="s">
        <v>77</v>
      </c>
      <c r="C582" t="s">
        <v>107</v>
      </c>
      <c r="D582" t="s">
        <v>22</v>
      </c>
      <c r="E582" t="s">
        <v>23</v>
      </c>
      <c r="F582">
        <v>23</v>
      </c>
      <c r="G582">
        <v>0.54</v>
      </c>
      <c r="H582">
        <v>0.79</v>
      </c>
      <c r="I582" t="s">
        <v>34</v>
      </c>
      <c r="J582">
        <v>145083</v>
      </c>
      <c r="K582" t="s">
        <v>42</v>
      </c>
      <c r="L582">
        <v>43</v>
      </c>
      <c r="M582">
        <v>37</v>
      </c>
      <c r="N582" t="s">
        <v>42</v>
      </c>
      <c r="O582" t="s">
        <v>27</v>
      </c>
      <c r="P582">
        <v>3.12</v>
      </c>
      <c r="Q582" t="s">
        <v>34</v>
      </c>
      <c r="R582">
        <v>2.93</v>
      </c>
      <c r="S582" t="s">
        <v>43</v>
      </c>
      <c r="T582" t="str">
        <f t="shared" si="18"/>
        <v>High</v>
      </c>
      <c r="U582" t="str">
        <f t="shared" si="19"/>
        <v>Expert</v>
      </c>
    </row>
    <row r="583" spans="1:21" x14ac:dyDescent="0.35">
      <c r="A583" t="s">
        <v>656</v>
      </c>
      <c r="B583" t="s">
        <v>38</v>
      </c>
      <c r="C583" t="s">
        <v>58</v>
      </c>
      <c r="D583" t="s">
        <v>32</v>
      </c>
      <c r="E583" t="s">
        <v>33</v>
      </c>
      <c r="F583">
        <v>9</v>
      </c>
      <c r="G583">
        <v>0.75</v>
      </c>
      <c r="H583">
        <v>0.95</v>
      </c>
      <c r="I583" t="s">
        <v>60</v>
      </c>
      <c r="J583">
        <v>135054</v>
      </c>
      <c r="K583" t="s">
        <v>27</v>
      </c>
      <c r="L583">
        <v>23</v>
      </c>
      <c r="M583">
        <v>36</v>
      </c>
      <c r="N583" t="s">
        <v>26</v>
      </c>
      <c r="O583" t="s">
        <v>25</v>
      </c>
      <c r="P583">
        <v>2.39</v>
      </c>
      <c r="Q583" t="s">
        <v>34</v>
      </c>
      <c r="R583">
        <v>4.1500000000000004</v>
      </c>
      <c r="S583" t="s">
        <v>47</v>
      </c>
      <c r="T583" t="str">
        <f t="shared" si="18"/>
        <v>High</v>
      </c>
      <c r="U583" t="str">
        <f t="shared" si="19"/>
        <v>Experienced</v>
      </c>
    </row>
    <row r="584" spans="1:21" x14ac:dyDescent="0.35">
      <c r="A584" t="s">
        <v>657</v>
      </c>
      <c r="B584" t="s">
        <v>106</v>
      </c>
      <c r="C584" t="s">
        <v>39</v>
      </c>
      <c r="D584" t="s">
        <v>32</v>
      </c>
      <c r="E584" t="s">
        <v>70</v>
      </c>
      <c r="F584">
        <v>9</v>
      </c>
      <c r="G584">
        <v>0.46</v>
      </c>
      <c r="H584">
        <v>0.33</v>
      </c>
      <c r="I584" t="s">
        <v>24</v>
      </c>
      <c r="J584">
        <v>30221</v>
      </c>
      <c r="K584" t="s">
        <v>25</v>
      </c>
      <c r="L584">
        <v>5</v>
      </c>
      <c r="M584">
        <v>57</v>
      </c>
      <c r="N584" t="s">
        <v>35</v>
      </c>
      <c r="O584" t="s">
        <v>36</v>
      </c>
      <c r="P584">
        <v>2.27</v>
      </c>
      <c r="Q584" t="s">
        <v>24</v>
      </c>
      <c r="R584">
        <v>1.62</v>
      </c>
      <c r="S584" t="s">
        <v>28</v>
      </c>
      <c r="T584" t="str">
        <f t="shared" si="18"/>
        <v>Moderate</v>
      </c>
      <c r="U584" t="str">
        <f t="shared" si="19"/>
        <v>Experienced</v>
      </c>
    </row>
    <row r="585" spans="1:21" x14ac:dyDescent="0.35">
      <c r="A585" t="s">
        <v>658</v>
      </c>
      <c r="B585" t="s">
        <v>102</v>
      </c>
      <c r="C585" t="s">
        <v>107</v>
      </c>
      <c r="D585" t="s">
        <v>69</v>
      </c>
      <c r="E585" t="s">
        <v>23</v>
      </c>
      <c r="F585">
        <v>22</v>
      </c>
      <c r="G585">
        <v>0.47</v>
      </c>
      <c r="H585">
        <v>0.74</v>
      </c>
      <c r="I585" t="s">
        <v>24</v>
      </c>
      <c r="J585">
        <v>213180</v>
      </c>
      <c r="K585" t="s">
        <v>25</v>
      </c>
      <c r="L585">
        <v>14</v>
      </c>
      <c r="M585">
        <v>34</v>
      </c>
      <c r="N585" t="s">
        <v>42</v>
      </c>
      <c r="O585" t="s">
        <v>25</v>
      </c>
      <c r="P585">
        <v>3.2</v>
      </c>
      <c r="Q585" t="s">
        <v>34</v>
      </c>
      <c r="R585">
        <v>4.59</v>
      </c>
      <c r="S585" t="s">
        <v>28</v>
      </c>
      <c r="T585" t="str">
        <f t="shared" si="18"/>
        <v>High</v>
      </c>
      <c r="U585" t="str">
        <f t="shared" si="19"/>
        <v>Expert</v>
      </c>
    </row>
    <row r="586" spans="1:21" x14ac:dyDescent="0.35">
      <c r="A586" t="s">
        <v>659</v>
      </c>
      <c r="B586" t="s">
        <v>51</v>
      </c>
      <c r="C586" t="s">
        <v>39</v>
      </c>
      <c r="D586" t="s">
        <v>63</v>
      </c>
      <c r="E586" t="s">
        <v>70</v>
      </c>
      <c r="F586">
        <v>10</v>
      </c>
      <c r="G586">
        <v>0.92</v>
      </c>
      <c r="H586">
        <v>0.22</v>
      </c>
      <c r="I586" t="s">
        <v>60</v>
      </c>
      <c r="J586">
        <v>189520</v>
      </c>
      <c r="K586" t="s">
        <v>25</v>
      </c>
      <c r="L586">
        <v>29</v>
      </c>
      <c r="M586">
        <v>49</v>
      </c>
      <c r="N586" t="s">
        <v>42</v>
      </c>
      <c r="O586" t="s">
        <v>25</v>
      </c>
      <c r="P586">
        <v>3.94</v>
      </c>
      <c r="Q586" t="s">
        <v>24</v>
      </c>
      <c r="R586">
        <v>3</v>
      </c>
      <c r="S586" t="s">
        <v>47</v>
      </c>
      <c r="T586" t="str">
        <f t="shared" si="18"/>
        <v>Very Low</v>
      </c>
      <c r="U586" t="str">
        <f t="shared" si="19"/>
        <v>Experienced</v>
      </c>
    </row>
    <row r="587" spans="1:21" x14ac:dyDescent="0.35">
      <c r="A587" t="s">
        <v>660</v>
      </c>
      <c r="B587" t="s">
        <v>62</v>
      </c>
      <c r="C587" t="s">
        <v>31</v>
      </c>
      <c r="D587" t="s">
        <v>69</v>
      </c>
      <c r="E587" t="s">
        <v>23</v>
      </c>
      <c r="F587">
        <v>1</v>
      </c>
      <c r="G587">
        <v>0.4</v>
      </c>
      <c r="H587">
        <v>0.34</v>
      </c>
      <c r="I587" t="s">
        <v>34</v>
      </c>
      <c r="J587">
        <v>69517</v>
      </c>
      <c r="K587" t="s">
        <v>42</v>
      </c>
      <c r="L587">
        <v>1</v>
      </c>
      <c r="M587">
        <v>35</v>
      </c>
      <c r="N587" t="s">
        <v>42</v>
      </c>
      <c r="O587" t="s">
        <v>27</v>
      </c>
      <c r="P587">
        <v>3.55</v>
      </c>
      <c r="Q587" t="s">
        <v>24</v>
      </c>
      <c r="R587">
        <v>2.86</v>
      </c>
      <c r="S587" t="s">
        <v>47</v>
      </c>
      <c r="T587" t="str">
        <f t="shared" si="18"/>
        <v>Moderate</v>
      </c>
      <c r="U587" t="str">
        <f t="shared" si="19"/>
        <v>Beginner</v>
      </c>
    </row>
    <row r="588" spans="1:21" x14ac:dyDescent="0.35">
      <c r="A588" t="s">
        <v>661</v>
      </c>
      <c r="B588" t="s">
        <v>91</v>
      </c>
      <c r="C588" t="s">
        <v>58</v>
      </c>
      <c r="D588" t="s">
        <v>49</v>
      </c>
      <c r="E588" t="s">
        <v>23</v>
      </c>
      <c r="F588">
        <v>13</v>
      </c>
      <c r="G588">
        <v>0.17</v>
      </c>
      <c r="H588">
        <v>0.6</v>
      </c>
      <c r="I588" t="s">
        <v>24</v>
      </c>
      <c r="J588">
        <v>209909</v>
      </c>
      <c r="K588" t="s">
        <v>42</v>
      </c>
      <c r="L588">
        <v>17</v>
      </c>
      <c r="M588">
        <v>38</v>
      </c>
      <c r="N588" t="s">
        <v>26</v>
      </c>
      <c r="O588" t="s">
        <v>27</v>
      </c>
      <c r="P588">
        <v>2.35</v>
      </c>
      <c r="Q588" t="s">
        <v>34</v>
      </c>
      <c r="R588">
        <v>3.01</v>
      </c>
      <c r="S588" t="s">
        <v>43</v>
      </c>
      <c r="T588" t="str">
        <f t="shared" si="18"/>
        <v>High</v>
      </c>
      <c r="U588" t="str">
        <f t="shared" si="19"/>
        <v>Experienced</v>
      </c>
    </row>
    <row r="589" spans="1:21" x14ac:dyDescent="0.35">
      <c r="A589" t="s">
        <v>662</v>
      </c>
      <c r="B589" t="s">
        <v>45</v>
      </c>
      <c r="C589" t="s">
        <v>82</v>
      </c>
      <c r="D589" t="s">
        <v>75</v>
      </c>
      <c r="E589" t="s">
        <v>70</v>
      </c>
      <c r="F589">
        <v>22</v>
      </c>
      <c r="G589">
        <v>0.93</v>
      </c>
      <c r="H589">
        <v>0.62</v>
      </c>
      <c r="I589" t="s">
        <v>60</v>
      </c>
      <c r="J589">
        <v>130524</v>
      </c>
      <c r="K589" t="s">
        <v>42</v>
      </c>
      <c r="L589">
        <v>2</v>
      </c>
      <c r="M589">
        <v>46</v>
      </c>
      <c r="N589" t="s">
        <v>26</v>
      </c>
      <c r="O589" t="s">
        <v>27</v>
      </c>
      <c r="P589">
        <v>4.62</v>
      </c>
      <c r="Q589" t="s">
        <v>34</v>
      </c>
      <c r="R589">
        <v>1.19</v>
      </c>
      <c r="S589" t="s">
        <v>43</v>
      </c>
      <c r="T589" t="str">
        <f t="shared" si="18"/>
        <v>Moderate</v>
      </c>
      <c r="U589" t="str">
        <f t="shared" si="19"/>
        <v>Expert</v>
      </c>
    </row>
    <row r="590" spans="1:21" x14ac:dyDescent="0.35">
      <c r="A590" t="s">
        <v>663</v>
      </c>
      <c r="B590" t="s">
        <v>147</v>
      </c>
      <c r="C590" t="s">
        <v>31</v>
      </c>
      <c r="D590" t="s">
        <v>69</v>
      </c>
      <c r="E590" t="s">
        <v>70</v>
      </c>
      <c r="F590">
        <v>21</v>
      </c>
      <c r="G590">
        <v>0.38</v>
      </c>
      <c r="H590">
        <v>0.9</v>
      </c>
      <c r="I590" t="s">
        <v>34</v>
      </c>
      <c r="J590">
        <v>209932</v>
      </c>
      <c r="K590" t="s">
        <v>25</v>
      </c>
      <c r="L590">
        <v>24</v>
      </c>
      <c r="M590">
        <v>38</v>
      </c>
      <c r="N590" t="s">
        <v>35</v>
      </c>
      <c r="O590" t="s">
        <v>36</v>
      </c>
      <c r="P590">
        <v>3.07</v>
      </c>
      <c r="Q590" t="s">
        <v>24</v>
      </c>
      <c r="R590">
        <v>2.79</v>
      </c>
      <c r="S590" t="s">
        <v>43</v>
      </c>
      <c r="T590" t="str">
        <f t="shared" si="18"/>
        <v>Very High</v>
      </c>
      <c r="U590" t="str">
        <f t="shared" si="19"/>
        <v>Expert</v>
      </c>
    </row>
    <row r="591" spans="1:21" x14ac:dyDescent="0.35">
      <c r="A591" t="s">
        <v>664</v>
      </c>
      <c r="B591" t="s">
        <v>45</v>
      </c>
      <c r="C591" t="s">
        <v>55</v>
      </c>
      <c r="D591" t="s">
        <v>40</v>
      </c>
      <c r="E591" t="s">
        <v>33</v>
      </c>
      <c r="F591">
        <v>23</v>
      </c>
      <c r="G591">
        <v>0.53</v>
      </c>
      <c r="H591">
        <v>0.51</v>
      </c>
      <c r="I591" t="s">
        <v>24</v>
      </c>
      <c r="J591">
        <v>75936</v>
      </c>
      <c r="K591" t="s">
        <v>27</v>
      </c>
      <c r="L591">
        <v>21</v>
      </c>
      <c r="M591">
        <v>43</v>
      </c>
      <c r="N591" t="s">
        <v>42</v>
      </c>
      <c r="O591" t="s">
        <v>36</v>
      </c>
      <c r="P591">
        <v>4.92</v>
      </c>
      <c r="Q591" t="s">
        <v>24</v>
      </c>
      <c r="R591">
        <v>4.68</v>
      </c>
      <c r="S591" t="s">
        <v>28</v>
      </c>
      <c r="T591" t="str">
        <f t="shared" si="18"/>
        <v>Moderate</v>
      </c>
      <c r="U591" t="str">
        <f t="shared" si="19"/>
        <v>Expert</v>
      </c>
    </row>
    <row r="592" spans="1:21" x14ac:dyDescent="0.35">
      <c r="A592" t="s">
        <v>665</v>
      </c>
      <c r="B592" t="s">
        <v>96</v>
      </c>
      <c r="C592" t="s">
        <v>55</v>
      </c>
      <c r="D592" t="s">
        <v>40</v>
      </c>
      <c r="E592" t="s">
        <v>70</v>
      </c>
      <c r="F592">
        <v>20</v>
      </c>
      <c r="G592">
        <v>0.6</v>
      </c>
      <c r="H592">
        <v>0.77</v>
      </c>
      <c r="I592" t="s">
        <v>60</v>
      </c>
      <c r="J592">
        <v>56508</v>
      </c>
      <c r="K592" t="s">
        <v>42</v>
      </c>
      <c r="L592">
        <v>17</v>
      </c>
      <c r="M592">
        <v>42</v>
      </c>
      <c r="N592" t="s">
        <v>35</v>
      </c>
      <c r="O592" t="s">
        <v>25</v>
      </c>
      <c r="P592">
        <v>4.8499999999999996</v>
      </c>
      <c r="Q592" t="s">
        <v>34</v>
      </c>
      <c r="R592">
        <v>3.89</v>
      </c>
      <c r="S592" t="s">
        <v>28</v>
      </c>
      <c r="T592" t="str">
        <f t="shared" si="18"/>
        <v>High</v>
      </c>
      <c r="U592" t="str">
        <f t="shared" si="19"/>
        <v>Expert</v>
      </c>
    </row>
    <row r="593" spans="1:21" x14ac:dyDescent="0.35">
      <c r="A593" t="s">
        <v>666</v>
      </c>
      <c r="B593" t="s">
        <v>65</v>
      </c>
      <c r="C593" t="s">
        <v>55</v>
      </c>
      <c r="D593" t="s">
        <v>59</v>
      </c>
      <c r="E593" t="s">
        <v>41</v>
      </c>
      <c r="F593">
        <v>11</v>
      </c>
      <c r="G593">
        <v>0.56000000000000005</v>
      </c>
      <c r="H593">
        <v>0.99</v>
      </c>
      <c r="I593" t="s">
        <v>60</v>
      </c>
      <c r="J593">
        <v>191370</v>
      </c>
      <c r="K593" t="s">
        <v>42</v>
      </c>
      <c r="L593">
        <v>3</v>
      </c>
      <c r="M593">
        <v>54</v>
      </c>
      <c r="N593" t="s">
        <v>42</v>
      </c>
      <c r="O593" t="s">
        <v>36</v>
      </c>
      <c r="P593">
        <v>4.24</v>
      </c>
      <c r="Q593" t="s">
        <v>24</v>
      </c>
      <c r="R593">
        <v>2.11</v>
      </c>
      <c r="S593" t="s">
        <v>28</v>
      </c>
      <c r="T593" t="str">
        <f t="shared" si="18"/>
        <v>High</v>
      </c>
      <c r="U593" t="str">
        <f t="shared" si="19"/>
        <v>Experienced</v>
      </c>
    </row>
    <row r="594" spans="1:21" x14ac:dyDescent="0.35">
      <c r="A594" t="s">
        <v>667</v>
      </c>
      <c r="B594" t="s">
        <v>94</v>
      </c>
      <c r="C594" t="s">
        <v>82</v>
      </c>
      <c r="D594" t="s">
        <v>66</v>
      </c>
      <c r="E594" t="s">
        <v>70</v>
      </c>
      <c r="F594">
        <v>14</v>
      </c>
      <c r="G594">
        <v>0.3</v>
      </c>
      <c r="H594">
        <v>0.52</v>
      </c>
      <c r="I594" t="s">
        <v>60</v>
      </c>
      <c r="J594">
        <v>34907</v>
      </c>
      <c r="K594" t="s">
        <v>27</v>
      </c>
      <c r="L594">
        <v>10</v>
      </c>
      <c r="M594">
        <v>33</v>
      </c>
      <c r="N594" t="s">
        <v>35</v>
      </c>
      <c r="O594" t="s">
        <v>25</v>
      </c>
      <c r="P594">
        <v>2.0499999999999998</v>
      </c>
      <c r="Q594" t="s">
        <v>34</v>
      </c>
      <c r="R594">
        <v>1.88</v>
      </c>
      <c r="S594" t="s">
        <v>28</v>
      </c>
      <c r="T594" t="str">
        <f t="shared" si="18"/>
        <v>High</v>
      </c>
      <c r="U594" t="str">
        <f t="shared" si="19"/>
        <v>Experienced</v>
      </c>
    </row>
    <row r="595" spans="1:21" x14ac:dyDescent="0.35">
      <c r="A595" t="s">
        <v>668</v>
      </c>
      <c r="B595" t="s">
        <v>30</v>
      </c>
      <c r="C595" t="s">
        <v>74</v>
      </c>
      <c r="D595" t="s">
        <v>63</v>
      </c>
      <c r="E595" t="s">
        <v>23</v>
      </c>
      <c r="F595">
        <v>4</v>
      </c>
      <c r="G595">
        <v>0.48</v>
      </c>
      <c r="H595">
        <v>0.64</v>
      </c>
      <c r="I595" t="s">
        <v>34</v>
      </c>
      <c r="J595">
        <v>119902</v>
      </c>
      <c r="K595" t="s">
        <v>27</v>
      </c>
      <c r="L595">
        <v>21</v>
      </c>
      <c r="M595">
        <v>36</v>
      </c>
      <c r="N595" t="s">
        <v>26</v>
      </c>
      <c r="O595" t="s">
        <v>27</v>
      </c>
      <c r="P595">
        <v>2.5099999999999998</v>
      </c>
      <c r="Q595" t="s">
        <v>34</v>
      </c>
      <c r="R595">
        <v>2.02</v>
      </c>
      <c r="S595" t="s">
        <v>47</v>
      </c>
      <c r="T595" t="str">
        <f t="shared" si="18"/>
        <v>High</v>
      </c>
      <c r="U595" t="str">
        <f t="shared" si="19"/>
        <v>Intermediate</v>
      </c>
    </row>
    <row r="596" spans="1:21" x14ac:dyDescent="0.35">
      <c r="A596" t="s">
        <v>669</v>
      </c>
      <c r="B596" t="s">
        <v>62</v>
      </c>
      <c r="C596" t="s">
        <v>31</v>
      </c>
      <c r="D596" t="s">
        <v>63</v>
      </c>
      <c r="E596" t="s">
        <v>23</v>
      </c>
      <c r="F596">
        <v>21</v>
      </c>
      <c r="G596">
        <v>0.24</v>
      </c>
      <c r="H596">
        <v>0.98</v>
      </c>
      <c r="I596" t="s">
        <v>34</v>
      </c>
      <c r="J596">
        <v>126781</v>
      </c>
      <c r="K596" t="s">
        <v>25</v>
      </c>
      <c r="L596">
        <v>-1</v>
      </c>
      <c r="M596">
        <v>49</v>
      </c>
      <c r="N596" t="s">
        <v>26</v>
      </c>
      <c r="O596" t="s">
        <v>25</v>
      </c>
      <c r="P596">
        <v>3.87</v>
      </c>
      <c r="Q596" t="s">
        <v>34</v>
      </c>
      <c r="R596">
        <v>2.66</v>
      </c>
      <c r="S596" t="s">
        <v>47</v>
      </c>
      <c r="T596" t="str">
        <f t="shared" si="18"/>
        <v>Very High</v>
      </c>
      <c r="U596" t="str">
        <f t="shared" si="19"/>
        <v>Expert</v>
      </c>
    </row>
    <row r="597" spans="1:21" x14ac:dyDescent="0.35">
      <c r="A597" t="s">
        <v>670</v>
      </c>
      <c r="B597" t="s">
        <v>68</v>
      </c>
      <c r="C597" t="s">
        <v>52</v>
      </c>
      <c r="D597" t="s">
        <v>59</v>
      </c>
      <c r="E597" t="s">
        <v>33</v>
      </c>
      <c r="F597">
        <v>3</v>
      </c>
      <c r="G597">
        <v>0.17</v>
      </c>
      <c r="H597">
        <v>0.68</v>
      </c>
      <c r="I597" t="s">
        <v>60</v>
      </c>
      <c r="J597">
        <v>62373</v>
      </c>
      <c r="K597" t="s">
        <v>42</v>
      </c>
      <c r="L597">
        <v>1</v>
      </c>
      <c r="M597">
        <v>57</v>
      </c>
      <c r="N597" t="s">
        <v>35</v>
      </c>
      <c r="O597" t="s">
        <v>27</v>
      </c>
      <c r="P597">
        <v>4.9400000000000004</v>
      </c>
      <c r="Q597" t="s">
        <v>34</v>
      </c>
      <c r="R597">
        <v>2.41</v>
      </c>
      <c r="S597" t="s">
        <v>47</v>
      </c>
      <c r="T597" t="str">
        <f t="shared" si="18"/>
        <v>High</v>
      </c>
      <c r="U597" t="str">
        <f t="shared" si="19"/>
        <v>Intermediate</v>
      </c>
    </row>
    <row r="598" spans="1:21" x14ac:dyDescent="0.35">
      <c r="A598" t="s">
        <v>671</v>
      </c>
      <c r="B598" t="s">
        <v>30</v>
      </c>
      <c r="C598" t="s">
        <v>55</v>
      </c>
      <c r="D598" t="s">
        <v>80</v>
      </c>
      <c r="E598" t="s">
        <v>23</v>
      </c>
      <c r="F598">
        <v>7</v>
      </c>
      <c r="G598">
        <v>0.85</v>
      </c>
      <c r="H598">
        <v>0.96</v>
      </c>
      <c r="I598" t="s">
        <v>34</v>
      </c>
      <c r="J598">
        <v>196779</v>
      </c>
      <c r="K598" t="s">
        <v>42</v>
      </c>
      <c r="L598">
        <v>38</v>
      </c>
      <c r="M598">
        <v>44</v>
      </c>
      <c r="N598" t="s">
        <v>42</v>
      </c>
      <c r="O598" t="s">
        <v>36</v>
      </c>
      <c r="P598">
        <v>2.4700000000000002</v>
      </c>
      <c r="Q598" t="s">
        <v>24</v>
      </c>
      <c r="R598">
        <v>2.6</v>
      </c>
      <c r="S598" t="s">
        <v>47</v>
      </c>
      <c r="T598" t="str">
        <f t="shared" si="18"/>
        <v>High</v>
      </c>
      <c r="U598" t="str">
        <f t="shared" si="19"/>
        <v>Intermediate</v>
      </c>
    </row>
    <row r="599" spans="1:21" x14ac:dyDescent="0.35">
      <c r="A599" t="s">
        <v>672</v>
      </c>
      <c r="B599" t="s">
        <v>102</v>
      </c>
      <c r="C599" t="s">
        <v>58</v>
      </c>
      <c r="D599" t="s">
        <v>22</v>
      </c>
      <c r="E599" t="s">
        <v>33</v>
      </c>
      <c r="F599">
        <v>4</v>
      </c>
      <c r="G599">
        <v>0.64</v>
      </c>
      <c r="H599">
        <v>0.97</v>
      </c>
      <c r="I599" t="s">
        <v>60</v>
      </c>
      <c r="J599">
        <v>137556</v>
      </c>
      <c r="K599" t="s">
        <v>27</v>
      </c>
      <c r="L599">
        <v>22</v>
      </c>
      <c r="M599">
        <v>32</v>
      </c>
      <c r="N599" t="s">
        <v>26</v>
      </c>
      <c r="O599" t="s">
        <v>27</v>
      </c>
      <c r="P599">
        <v>4.2</v>
      </c>
      <c r="Q599" t="s">
        <v>24</v>
      </c>
      <c r="R599">
        <v>2.2999999999999998</v>
      </c>
      <c r="S599" t="s">
        <v>47</v>
      </c>
      <c r="T599" t="str">
        <f t="shared" si="18"/>
        <v>High</v>
      </c>
      <c r="U599" t="str">
        <f t="shared" si="19"/>
        <v>Intermediate</v>
      </c>
    </row>
    <row r="600" spans="1:21" x14ac:dyDescent="0.35">
      <c r="A600" t="s">
        <v>673</v>
      </c>
      <c r="B600" t="s">
        <v>96</v>
      </c>
      <c r="C600" t="s">
        <v>55</v>
      </c>
      <c r="D600" t="s">
        <v>80</v>
      </c>
      <c r="E600" t="s">
        <v>33</v>
      </c>
      <c r="F600">
        <v>5</v>
      </c>
      <c r="G600">
        <v>0.72</v>
      </c>
      <c r="H600">
        <v>0.9</v>
      </c>
      <c r="I600" t="s">
        <v>34</v>
      </c>
      <c r="J600">
        <v>201472</v>
      </c>
      <c r="K600" t="s">
        <v>42</v>
      </c>
      <c r="L600">
        <v>36</v>
      </c>
      <c r="M600">
        <v>57</v>
      </c>
      <c r="N600" t="s">
        <v>35</v>
      </c>
      <c r="O600" t="s">
        <v>25</v>
      </c>
      <c r="P600">
        <v>3.42</v>
      </c>
      <c r="Q600" t="s">
        <v>24</v>
      </c>
      <c r="R600">
        <v>2.29</v>
      </c>
      <c r="S600" t="s">
        <v>43</v>
      </c>
      <c r="T600" t="str">
        <f t="shared" si="18"/>
        <v>High</v>
      </c>
      <c r="U600" t="str">
        <f t="shared" si="19"/>
        <v>Intermediate</v>
      </c>
    </row>
    <row r="601" spans="1:21" x14ac:dyDescent="0.35">
      <c r="A601" t="s">
        <v>674</v>
      </c>
      <c r="B601" t="s">
        <v>57</v>
      </c>
      <c r="C601" t="s">
        <v>82</v>
      </c>
      <c r="D601" t="s">
        <v>49</v>
      </c>
      <c r="E601" t="s">
        <v>41</v>
      </c>
      <c r="F601">
        <v>25</v>
      </c>
      <c r="G601">
        <v>0.46</v>
      </c>
      <c r="H601">
        <v>0.74</v>
      </c>
      <c r="I601" t="s">
        <v>60</v>
      </c>
      <c r="J601">
        <v>146301</v>
      </c>
      <c r="K601" t="s">
        <v>42</v>
      </c>
      <c r="L601">
        <v>45</v>
      </c>
      <c r="M601">
        <v>59</v>
      </c>
      <c r="N601" t="s">
        <v>35</v>
      </c>
      <c r="O601" t="s">
        <v>25</v>
      </c>
      <c r="P601">
        <v>3.39</v>
      </c>
      <c r="Q601" t="s">
        <v>24</v>
      </c>
      <c r="R601">
        <v>1.03</v>
      </c>
      <c r="S601" t="s">
        <v>47</v>
      </c>
      <c r="T601" t="str">
        <f t="shared" si="18"/>
        <v>High</v>
      </c>
      <c r="U601" t="str">
        <f t="shared" si="19"/>
        <v>Expert</v>
      </c>
    </row>
    <row r="602" spans="1:21" x14ac:dyDescent="0.35">
      <c r="A602" t="s">
        <v>675</v>
      </c>
      <c r="B602" t="s">
        <v>68</v>
      </c>
      <c r="C602" t="s">
        <v>46</v>
      </c>
      <c r="D602" t="s">
        <v>80</v>
      </c>
      <c r="E602" t="s">
        <v>41</v>
      </c>
      <c r="F602">
        <v>14</v>
      </c>
      <c r="G602">
        <v>0.91</v>
      </c>
      <c r="H602">
        <v>0.9</v>
      </c>
      <c r="I602" t="s">
        <v>34</v>
      </c>
      <c r="J602">
        <v>170860</v>
      </c>
      <c r="K602" t="s">
        <v>27</v>
      </c>
      <c r="L602">
        <v>-7</v>
      </c>
      <c r="M602">
        <v>39</v>
      </c>
      <c r="N602" t="s">
        <v>42</v>
      </c>
      <c r="O602" t="s">
        <v>27</v>
      </c>
      <c r="P602">
        <v>4.3099999999999996</v>
      </c>
      <c r="Q602" t="s">
        <v>34</v>
      </c>
      <c r="R602">
        <v>2.6</v>
      </c>
      <c r="S602" t="s">
        <v>28</v>
      </c>
      <c r="T602" t="str">
        <f t="shared" si="18"/>
        <v>Moderate</v>
      </c>
      <c r="U602" t="str">
        <f t="shared" si="19"/>
        <v>Experienced</v>
      </c>
    </row>
    <row r="603" spans="1:21" x14ac:dyDescent="0.35">
      <c r="A603" t="s">
        <v>676</v>
      </c>
      <c r="B603" t="s">
        <v>51</v>
      </c>
      <c r="C603" t="s">
        <v>74</v>
      </c>
      <c r="D603" t="s">
        <v>69</v>
      </c>
      <c r="E603" t="s">
        <v>70</v>
      </c>
      <c r="F603">
        <v>4</v>
      </c>
      <c r="G603">
        <v>0.73</v>
      </c>
      <c r="H603">
        <v>0.66</v>
      </c>
      <c r="I603" t="s">
        <v>24</v>
      </c>
      <c r="J603">
        <v>59303</v>
      </c>
      <c r="K603" t="s">
        <v>42</v>
      </c>
      <c r="L603">
        <v>3</v>
      </c>
      <c r="M603">
        <v>38</v>
      </c>
      <c r="N603" t="s">
        <v>35</v>
      </c>
      <c r="O603" t="s">
        <v>36</v>
      </c>
      <c r="P603">
        <v>3.93</v>
      </c>
      <c r="Q603" t="s">
        <v>24</v>
      </c>
      <c r="R603">
        <v>2.83</v>
      </c>
      <c r="S603" t="s">
        <v>28</v>
      </c>
      <c r="T603" t="str">
        <f t="shared" si="18"/>
        <v>Moderate</v>
      </c>
      <c r="U603" t="str">
        <f t="shared" si="19"/>
        <v>Intermediate</v>
      </c>
    </row>
    <row r="604" spans="1:21" x14ac:dyDescent="0.35">
      <c r="A604" t="s">
        <v>677</v>
      </c>
      <c r="B604" t="s">
        <v>38</v>
      </c>
      <c r="C604" t="s">
        <v>31</v>
      </c>
      <c r="D604" t="s">
        <v>22</v>
      </c>
      <c r="E604" t="s">
        <v>41</v>
      </c>
      <c r="F604">
        <v>24</v>
      </c>
      <c r="G604">
        <v>0.35</v>
      </c>
      <c r="H604">
        <v>0.56000000000000005</v>
      </c>
      <c r="I604" t="s">
        <v>24</v>
      </c>
      <c r="J604">
        <v>97612</v>
      </c>
      <c r="K604" t="s">
        <v>25</v>
      </c>
      <c r="L604">
        <v>23</v>
      </c>
      <c r="M604">
        <v>39</v>
      </c>
      <c r="N604" t="s">
        <v>35</v>
      </c>
      <c r="O604" t="s">
        <v>25</v>
      </c>
      <c r="P604">
        <v>4.6399999999999997</v>
      </c>
      <c r="Q604" t="s">
        <v>34</v>
      </c>
      <c r="R604">
        <v>3.86</v>
      </c>
      <c r="S604" t="s">
        <v>43</v>
      </c>
      <c r="T604" t="str">
        <f t="shared" si="18"/>
        <v>High</v>
      </c>
      <c r="U604" t="str">
        <f t="shared" si="19"/>
        <v>Expert</v>
      </c>
    </row>
    <row r="605" spans="1:21" x14ac:dyDescent="0.35">
      <c r="A605" t="s">
        <v>678</v>
      </c>
      <c r="B605" t="s">
        <v>106</v>
      </c>
      <c r="C605" t="s">
        <v>82</v>
      </c>
      <c r="D605" t="s">
        <v>22</v>
      </c>
      <c r="E605" t="s">
        <v>70</v>
      </c>
      <c r="F605">
        <v>12</v>
      </c>
      <c r="G605">
        <v>0.32</v>
      </c>
      <c r="H605">
        <v>0.79</v>
      </c>
      <c r="I605" t="s">
        <v>34</v>
      </c>
      <c r="J605">
        <v>212211</v>
      </c>
      <c r="K605" t="s">
        <v>27</v>
      </c>
      <c r="L605">
        <v>4</v>
      </c>
      <c r="M605">
        <v>30</v>
      </c>
      <c r="N605" t="s">
        <v>35</v>
      </c>
      <c r="O605" t="s">
        <v>27</v>
      </c>
      <c r="P605">
        <v>2.91</v>
      </c>
      <c r="Q605" t="s">
        <v>24</v>
      </c>
      <c r="R605">
        <v>2.04</v>
      </c>
      <c r="S605" t="s">
        <v>28</v>
      </c>
      <c r="T605" t="str">
        <f t="shared" si="18"/>
        <v>Very High</v>
      </c>
      <c r="U605" t="str">
        <f t="shared" si="19"/>
        <v>Experienced</v>
      </c>
    </row>
    <row r="606" spans="1:21" x14ac:dyDescent="0.35">
      <c r="A606" t="s">
        <v>679</v>
      </c>
      <c r="B606" t="s">
        <v>96</v>
      </c>
      <c r="C606" t="s">
        <v>107</v>
      </c>
      <c r="D606" t="s">
        <v>32</v>
      </c>
      <c r="E606" t="s">
        <v>23</v>
      </c>
      <c r="F606">
        <v>5</v>
      </c>
      <c r="G606">
        <v>0.82</v>
      </c>
      <c r="H606">
        <v>0.45</v>
      </c>
      <c r="I606" t="s">
        <v>34</v>
      </c>
      <c r="J606">
        <v>128136</v>
      </c>
      <c r="K606" t="s">
        <v>42</v>
      </c>
      <c r="L606">
        <v>-10</v>
      </c>
      <c r="M606">
        <v>51</v>
      </c>
      <c r="N606" t="s">
        <v>35</v>
      </c>
      <c r="O606" t="s">
        <v>36</v>
      </c>
      <c r="P606">
        <v>2.67</v>
      </c>
      <c r="Q606" t="s">
        <v>24</v>
      </c>
      <c r="R606">
        <v>1.9</v>
      </c>
      <c r="S606" t="s">
        <v>43</v>
      </c>
      <c r="T606" t="str">
        <f t="shared" si="18"/>
        <v>Very Low</v>
      </c>
      <c r="U606" t="str">
        <f t="shared" si="19"/>
        <v>Intermediate</v>
      </c>
    </row>
    <row r="607" spans="1:21" x14ac:dyDescent="0.35">
      <c r="A607" t="s">
        <v>680</v>
      </c>
      <c r="B607" t="s">
        <v>65</v>
      </c>
      <c r="C607" t="s">
        <v>39</v>
      </c>
      <c r="D607" t="s">
        <v>59</v>
      </c>
      <c r="E607" t="s">
        <v>70</v>
      </c>
      <c r="F607">
        <v>21</v>
      </c>
      <c r="G607">
        <v>0.46</v>
      </c>
      <c r="H607">
        <v>0.92</v>
      </c>
      <c r="I607" t="s">
        <v>24</v>
      </c>
      <c r="J607">
        <v>33198</v>
      </c>
      <c r="K607" t="s">
        <v>42</v>
      </c>
      <c r="L607">
        <v>30</v>
      </c>
      <c r="M607">
        <v>33</v>
      </c>
      <c r="N607" t="s">
        <v>42</v>
      </c>
      <c r="O607" t="s">
        <v>27</v>
      </c>
      <c r="P607">
        <v>2.2000000000000002</v>
      </c>
      <c r="Q607" t="s">
        <v>24</v>
      </c>
      <c r="R607">
        <v>4.88</v>
      </c>
      <c r="S607" t="s">
        <v>47</v>
      </c>
      <c r="T607" t="str">
        <f t="shared" si="18"/>
        <v>High</v>
      </c>
      <c r="U607" t="str">
        <f t="shared" si="19"/>
        <v>Expert</v>
      </c>
    </row>
    <row r="608" spans="1:21" x14ac:dyDescent="0.35">
      <c r="A608" t="s">
        <v>681</v>
      </c>
      <c r="B608" t="s">
        <v>57</v>
      </c>
      <c r="C608" t="s">
        <v>107</v>
      </c>
      <c r="D608" t="s">
        <v>32</v>
      </c>
      <c r="E608" t="s">
        <v>41</v>
      </c>
      <c r="F608">
        <v>19</v>
      </c>
      <c r="G608">
        <v>0.21</v>
      </c>
      <c r="H608">
        <v>0.94</v>
      </c>
      <c r="I608" t="s">
        <v>34</v>
      </c>
      <c r="J608">
        <v>94248</v>
      </c>
      <c r="K608" t="s">
        <v>27</v>
      </c>
      <c r="L608">
        <v>7</v>
      </c>
      <c r="M608">
        <v>32</v>
      </c>
      <c r="N608" t="s">
        <v>26</v>
      </c>
      <c r="O608" t="s">
        <v>25</v>
      </c>
      <c r="P608">
        <v>4.2</v>
      </c>
      <c r="Q608" t="s">
        <v>24</v>
      </c>
      <c r="R608">
        <v>4.62</v>
      </c>
      <c r="S608" t="s">
        <v>47</v>
      </c>
      <c r="T608" t="str">
        <f t="shared" si="18"/>
        <v>Very High</v>
      </c>
      <c r="U608" t="str">
        <f t="shared" si="19"/>
        <v>Expert</v>
      </c>
    </row>
    <row r="609" spans="1:21" x14ac:dyDescent="0.35">
      <c r="A609" t="s">
        <v>682</v>
      </c>
      <c r="B609" t="s">
        <v>20</v>
      </c>
      <c r="C609" t="s">
        <v>58</v>
      </c>
      <c r="D609" t="s">
        <v>63</v>
      </c>
      <c r="E609" t="s">
        <v>41</v>
      </c>
      <c r="F609">
        <v>6</v>
      </c>
      <c r="G609">
        <v>0.74</v>
      </c>
      <c r="H609">
        <v>0.57999999999999996</v>
      </c>
      <c r="I609" t="s">
        <v>34</v>
      </c>
      <c r="J609">
        <v>55760</v>
      </c>
      <c r="K609" t="s">
        <v>25</v>
      </c>
      <c r="L609">
        <v>18</v>
      </c>
      <c r="M609">
        <v>32</v>
      </c>
      <c r="N609" t="s">
        <v>42</v>
      </c>
      <c r="O609" t="s">
        <v>25</v>
      </c>
      <c r="P609">
        <v>2.2999999999999998</v>
      </c>
      <c r="Q609" t="s">
        <v>24</v>
      </c>
      <c r="R609">
        <v>3.39</v>
      </c>
      <c r="S609" t="s">
        <v>43</v>
      </c>
      <c r="T609" t="str">
        <f t="shared" si="18"/>
        <v>Moderate</v>
      </c>
      <c r="U609" t="str">
        <f t="shared" si="19"/>
        <v>Intermediate</v>
      </c>
    </row>
    <row r="610" spans="1:21" x14ac:dyDescent="0.35">
      <c r="A610" t="s">
        <v>683</v>
      </c>
      <c r="B610" t="s">
        <v>77</v>
      </c>
      <c r="C610" t="s">
        <v>107</v>
      </c>
      <c r="D610" t="s">
        <v>75</v>
      </c>
      <c r="E610" t="s">
        <v>70</v>
      </c>
      <c r="F610">
        <v>24</v>
      </c>
      <c r="G610">
        <v>0.75</v>
      </c>
      <c r="H610">
        <v>0.35</v>
      </c>
      <c r="I610" t="s">
        <v>34</v>
      </c>
      <c r="J610">
        <v>196443</v>
      </c>
      <c r="K610" t="s">
        <v>27</v>
      </c>
      <c r="L610">
        <v>7</v>
      </c>
      <c r="M610">
        <v>45</v>
      </c>
      <c r="N610" t="s">
        <v>26</v>
      </c>
      <c r="O610" t="s">
        <v>25</v>
      </c>
      <c r="P610">
        <v>2.99</v>
      </c>
      <c r="Q610" t="s">
        <v>34</v>
      </c>
      <c r="R610">
        <v>3.06</v>
      </c>
      <c r="S610" t="s">
        <v>28</v>
      </c>
      <c r="T610" t="str">
        <f t="shared" si="18"/>
        <v>Very Low</v>
      </c>
      <c r="U610" t="str">
        <f t="shared" si="19"/>
        <v>Expert</v>
      </c>
    </row>
    <row r="611" spans="1:21" x14ac:dyDescent="0.35">
      <c r="A611" t="s">
        <v>684</v>
      </c>
      <c r="B611" t="s">
        <v>68</v>
      </c>
      <c r="C611" t="s">
        <v>82</v>
      </c>
      <c r="D611" t="s">
        <v>49</v>
      </c>
      <c r="E611" t="s">
        <v>41</v>
      </c>
      <c r="F611">
        <v>10</v>
      </c>
      <c r="G611">
        <v>0.56000000000000005</v>
      </c>
      <c r="H611">
        <v>0.44</v>
      </c>
      <c r="I611" t="s">
        <v>60</v>
      </c>
      <c r="J611">
        <v>145354</v>
      </c>
      <c r="K611" t="s">
        <v>42</v>
      </c>
      <c r="L611">
        <v>21</v>
      </c>
      <c r="M611">
        <v>35</v>
      </c>
      <c r="N611" t="s">
        <v>35</v>
      </c>
      <c r="O611" t="s">
        <v>25</v>
      </c>
      <c r="P611">
        <v>4.28</v>
      </c>
      <c r="Q611" t="s">
        <v>34</v>
      </c>
      <c r="R611">
        <v>1.38</v>
      </c>
      <c r="S611" t="s">
        <v>43</v>
      </c>
      <c r="T611" t="str">
        <f t="shared" si="18"/>
        <v>Moderate</v>
      </c>
      <c r="U611" t="str">
        <f t="shared" si="19"/>
        <v>Experienced</v>
      </c>
    </row>
    <row r="612" spans="1:21" x14ac:dyDescent="0.35">
      <c r="A612" t="s">
        <v>685</v>
      </c>
      <c r="B612" t="s">
        <v>62</v>
      </c>
      <c r="C612" t="s">
        <v>74</v>
      </c>
      <c r="D612" t="s">
        <v>80</v>
      </c>
      <c r="E612" t="s">
        <v>23</v>
      </c>
      <c r="F612">
        <v>3</v>
      </c>
      <c r="G612">
        <v>0.74</v>
      </c>
      <c r="H612">
        <v>0.37</v>
      </c>
      <c r="I612" t="s">
        <v>60</v>
      </c>
      <c r="J612">
        <v>161538</v>
      </c>
      <c r="K612" t="s">
        <v>42</v>
      </c>
      <c r="L612">
        <v>29</v>
      </c>
      <c r="M612">
        <v>36</v>
      </c>
      <c r="N612" t="s">
        <v>26</v>
      </c>
      <c r="O612" t="s">
        <v>27</v>
      </c>
      <c r="P612">
        <v>2.46</v>
      </c>
      <c r="Q612" t="s">
        <v>24</v>
      </c>
      <c r="R612">
        <v>1.77</v>
      </c>
      <c r="S612" t="s">
        <v>43</v>
      </c>
      <c r="T612" t="str">
        <f t="shared" si="18"/>
        <v>Very Low</v>
      </c>
      <c r="U612" t="str">
        <f t="shared" si="19"/>
        <v>Intermediate</v>
      </c>
    </row>
    <row r="613" spans="1:21" x14ac:dyDescent="0.35">
      <c r="A613" t="s">
        <v>686</v>
      </c>
      <c r="B613" t="s">
        <v>54</v>
      </c>
      <c r="C613" t="s">
        <v>39</v>
      </c>
      <c r="D613" t="s">
        <v>66</v>
      </c>
      <c r="E613" t="s">
        <v>23</v>
      </c>
      <c r="F613">
        <v>9</v>
      </c>
      <c r="G613">
        <v>0.93</v>
      </c>
      <c r="H613">
        <v>0.72</v>
      </c>
      <c r="I613" t="s">
        <v>34</v>
      </c>
      <c r="J613">
        <v>139290</v>
      </c>
      <c r="K613" t="s">
        <v>25</v>
      </c>
      <c r="L613">
        <v>9</v>
      </c>
      <c r="M613">
        <v>40</v>
      </c>
      <c r="N613" t="s">
        <v>26</v>
      </c>
      <c r="O613" t="s">
        <v>36</v>
      </c>
      <c r="P613">
        <v>4.49</v>
      </c>
      <c r="Q613" t="s">
        <v>34</v>
      </c>
      <c r="R613">
        <v>2.8</v>
      </c>
      <c r="S613" t="s">
        <v>43</v>
      </c>
      <c r="T613" t="str">
        <f t="shared" si="18"/>
        <v>Moderate</v>
      </c>
      <c r="U613" t="str">
        <f t="shared" si="19"/>
        <v>Experienced</v>
      </c>
    </row>
    <row r="614" spans="1:21" x14ac:dyDescent="0.35">
      <c r="A614" t="s">
        <v>687</v>
      </c>
      <c r="B614" t="s">
        <v>54</v>
      </c>
      <c r="C614" t="s">
        <v>58</v>
      </c>
      <c r="D614" t="s">
        <v>59</v>
      </c>
      <c r="E614" t="s">
        <v>33</v>
      </c>
      <c r="F614">
        <v>21</v>
      </c>
      <c r="G614">
        <v>0.63</v>
      </c>
      <c r="H614">
        <v>0.31</v>
      </c>
      <c r="I614" t="s">
        <v>60</v>
      </c>
      <c r="J614">
        <v>149770</v>
      </c>
      <c r="K614" t="s">
        <v>42</v>
      </c>
      <c r="L614">
        <v>8</v>
      </c>
      <c r="M614">
        <v>56</v>
      </c>
      <c r="N614" t="s">
        <v>42</v>
      </c>
      <c r="O614" t="s">
        <v>25</v>
      </c>
      <c r="P614">
        <v>2.97</v>
      </c>
      <c r="Q614" t="s">
        <v>34</v>
      </c>
      <c r="R614">
        <v>2.2999999999999998</v>
      </c>
      <c r="S614" t="s">
        <v>28</v>
      </c>
      <c r="T614" t="str">
        <f t="shared" si="18"/>
        <v>Moderate</v>
      </c>
      <c r="U614" t="str">
        <f t="shared" si="19"/>
        <v>Expert</v>
      </c>
    </row>
    <row r="615" spans="1:21" x14ac:dyDescent="0.35">
      <c r="A615" t="s">
        <v>688</v>
      </c>
      <c r="B615" t="s">
        <v>30</v>
      </c>
      <c r="C615" t="s">
        <v>107</v>
      </c>
      <c r="D615" t="s">
        <v>22</v>
      </c>
      <c r="E615" t="s">
        <v>23</v>
      </c>
      <c r="F615">
        <v>1</v>
      </c>
      <c r="G615">
        <v>0.3</v>
      </c>
      <c r="H615">
        <v>0.26</v>
      </c>
      <c r="I615" t="s">
        <v>60</v>
      </c>
      <c r="J615">
        <v>72052</v>
      </c>
      <c r="K615" t="s">
        <v>42</v>
      </c>
      <c r="L615">
        <v>34</v>
      </c>
      <c r="M615">
        <v>60</v>
      </c>
      <c r="N615" t="s">
        <v>26</v>
      </c>
      <c r="O615" t="s">
        <v>36</v>
      </c>
      <c r="P615">
        <v>2.75</v>
      </c>
      <c r="Q615" t="s">
        <v>34</v>
      </c>
      <c r="R615">
        <v>1.24</v>
      </c>
      <c r="S615" t="s">
        <v>47</v>
      </c>
      <c r="T615" t="str">
        <f t="shared" si="18"/>
        <v>Moderate</v>
      </c>
      <c r="U615" t="str">
        <f t="shared" si="19"/>
        <v>Beginner</v>
      </c>
    </row>
    <row r="616" spans="1:21" x14ac:dyDescent="0.35">
      <c r="A616" t="s">
        <v>689</v>
      </c>
      <c r="B616" t="s">
        <v>30</v>
      </c>
      <c r="C616" t="s">
        <v>52</v>
      </c>
      <c r="D616" t="s">
        <v>32</v>
      </c>
      <c r="E616" t="s">
        <v>33</v>
      </c>
      <c r="F616">
        <v>18</v>
      </c>
      <c r="G616">
        <v>0.15</v>
      </c>
      <c r="H616">
        <v>0.31</v>
      </c>
      <c r="I616" t="s">
        <v>34</v>
      </c>
      <c r="J616">
        <v>49395</v>
      </c>
      <c r="K616" t="s">
        <v>27</v>
      </c>
      <c r="L616">
        <v>2</v>
      </c>
      <c r="M616">
        <v>47</v>
      </c>
      <c r="N616" t="s">
        <v>35</v>
      </c>
      <c r="O616" t="s">
        <v>36</v>
      </c>
      <c r="P616">
        <v>2.74</v>
      </c>
      <c r="Q616" t="s">
        <v>34</v>
      </c>
      <c r="R616">
        <v>3.23</v>
      </c>
      <c r="S616" t="s">
        <v>43</v>
      </c>
      <c r="T616" t="str">
        <f t="shared" si="18"/>
        <v>High</v>
      </c>
      <c r="U616" t="str">
        <f t="shared" si="19"/>
        <v>Expert</v>
      </c>
    </row>
    <row r="617" spans="1:21" x14ac:dyDescent="0.35">
      <c r="A617" t="s">
        <v>690</v>
      </c>
      <c r="B617" t="s">
        <v>102</v>
      </c>
      <c r="C617" t="s">
        <v>82</v>
      </c>
      <c r="D617" t="s">
        <v>63</v>
      </c>
      <c r="E617" t="s">
        <v>23</v>
      </c>
      <c r="F617">
        <v>7</v>
      </c>
      <c r="G617">
        <v>0.91</v>
      </c>
      <c r="H617">
        <v>0.49</v>
      </c>
      <c r="I617" t="s">
        <v>34</v>
      </c>
      <c r="J617">
        <v>146874</v>
      </c>
      <c r="K617" t="s">
        <v>42</v>
      </c>
      <c r="L617">
        <v>11</v>
      </c>
      <c r="M617">
        <v>36</v>
      </c>
      <c r="N617" t="s">
        <v>26</v>
      </c>
      <c r="O617" t="s">
        <v>27</v>
      </c>
      <c r="P617">
        <v>2.78</v>
      </c>
      <c r="Q617" t="s">
        <v>24</v>
      </c>
      <c r="R617">
        <v>1.56</v>
      </c>
      <c r="S617" t="s">
        <v>28</v>
      </c>
      <c r="T617" t="str">
        <f t="shared" si="18"/>
        <v>Very Low</v>
      </c>
      <c r="U617" t="str">
        <f t="shared" si="19"/>
        <v>Intermediate</v>
      </c>
    </row>
    <row r="618" spans="1:21" x14ac:dyDescent="0.35">
      <c r="A618" t="s">
        <v>691</v>
      </c>
      <c r="B618" t="s">
        <v>156</v>
      </c>
      <c r="C618" t="s">
        <v>46</v>
      </c>
      <c r="D618" t="s">
        <v>69</v>
      </c>
      <c r="E618" t="s">
        <v>41</v>
      </c>
      <c r="F618">
        <v>16</v>
      </c>
      <c r="G618">
        <v>0.1</v>
      </c>
      <c r="H618">
        <v>0.98</v>
      </c>
      <c r="I618" t="s">
        <v>34</v>
      </c>
      <c r="J618">
        <v>127904</v>
      </c>
      <c r="K618" t="s">
        <v>27</v>
      </c>
      <c r="L618">
        <v>21</v>
      </c>
      <c r="M618">
        <v>39</v>
      </c>
      <c r="N618" t="s">
        <v>26</v>
      </c>
      <c r="O618" t="s">
        <v>36</v>
      </c>
      <c r="P618">
        <v>3.9</v>
      </c>
      <c r="Q618" t="s">
        <v>24</v>
      </c>
      <c r="R618">
        <v>3.26</v>
      </c>
      <c r="S618" t="s">
        <v>28</v>
      </c>
      <c r="T618" t="str">
        <f t="shared" si="18"/>
        <v>Very High</v>
      </c>
      <c r="U618" t="str">
        <f t="shared" si="19"/>
        <v>Expert</v>
      </c>
    </row>
    <row r="619" spans="1:21" x14ac:dyDescent="0.35">
      <c r="A619" t="s">
        <v>692</v>
      </c>
      <c r="B619" t="s">
        <v>102</v>
      </c>
      <c r="C619" t="s">
        <v>21</v>
      </c>
      <c r="D619" t="s">
        <v>69</v>
      </c>
      <c r="E619" t="s">
        <v>70</v>
      </c>
      <c r="F619">
        <v>14</v>
      </c>
      <c r="G619">
        <v>0.56999999999999995</v>
      </c>
      <c r="H619">
        <v>0.56999999999999995</v>
      </c>
      <c r="I619" t="s">
        <v>34</v>
      </c>
      <c r="J619">
        <v>200439</v>
      </c>
      <c r="K619" t="s">
        <v>27</v>
      </c>
      <c r="L619">
        <v>-1</v>
      </c>
      <c r="M619">
        <v>50</v>
      </c>
      <c r="N619" t="s">
        <v>42</v>
      </c>
      <c r="O619" t="s">
        <v>25</v>
      </c>
      <c r="P619">
        <v>2.5499999999999998</v>
      </c>
      <c r="Q619" t="s">
        <v>34</v>
      </c>
      <c r="R619">
        <v>2.82</v>
      </c>
      <c r="S619" t="s">
        <v>28</v>
      </c>
      <c r="T619" t="str">
        <f t="shared" si="18"/>
        <v>Moderate</v>
      </c>
      <c r="U619" t="str">
        <f t="shared" si="19"/>
        <v>Experienced</v>
      </c>
    </row>
    <row r="620" spans="1:21" x14ac:dyDescent="0.35">
      <c r="A620" t="s">
        <v>693</v>
      </c>
      <c r="B620" t="s">
        <v>106</v>
      </c>
      <c r="C620" t="s">
        <v>31</v>
      </c>
      <c r="D620" t="s">
        <v>59</v>
      </c>
      <c r="E620" t="s">
        <v>70</v>
      </c>
      <c r="F620">
        <v>17</v>
      </c>
      <c r="G620">
        <v>7.0000000000000007E-2</v>
      </c>
      <c r="H620">
        <v>0.38</v>
      </c>
      <c r="I620" t="s">
        <v>34</v>
      </c>
      <c r="J620">
        <v>141974</v>
      </c>
      <c r="K620" t="s">
        <v>27</v>
      </c>
      <c r="L620">
        <v>32</v>
      </c>
      <c r="M620">
        <v>36</v>
      </c>
      <c r="N620" t="s">
        <v>26</v>
      </c>
      <c r="O620" t="s">
        <v>36</v>
      </c>
      <c r="P620">
        <v>4.68</v>
      </c>
      <c r="Q620" t="s">
        <v>24</v>
      </c>
      <c r="R620">
        <v>1.76</v>
      </c>
      <c r="S620" t="s">
        <v>47</v>
      </c>
      <c r="T620" t="str">
        <f t="shared" si="18"/>
        <v>High</v>
      </c>
      <c r="U620" t="str">
        <f t="shared" si="19"/>
        <v>Expert</v>
      </c>
    </row>
    <row r="621" spans="1:21" x14ac:dyDescent="0.35">
      <c r="A621" t="s">
        <v>694</v>
      </c>
      <c r="B621" t="s">
        <v>106</v>
      </c>
      <c r="C621" t="s">
        <v>55</v>
      </c>
      <c r="D621" t="s">
        <v>63</v>
      </c>
      <c r="E621" t="s">
        <v>41</v>
      </c>
      <c r="F621">
        <v>10</v>
      </c>
      <c r="G621">
        <v>0.53</v>
      </c>
      <c r="H621">
        <v>0.95</v>
      </c>
      <c r="I621" t="s">
        <v>34</v>
      </c>
      <c r="J621">
        <v>40342</v>
      </c>
      <c r="K621" t="s">
        <v>25</v>
      </c>
      <c r="L621">
        <v>32</v>
      </c>
      <c r="M621">
        <v>36</v>
      </c>
      <c r="N621" t="s">
        <v>35</v>
      </c>
      <c r="O621" t="s">
        <v>36</v>
      </c>
      <c r="P621">
        <v>2.4900000000000002</v>
      </c>
      <c r="Q621" t="s">
        <v>34</v>
      </c>
      <c r="R621">
        <v>1.93</v>
      </c>
      <c r="S621" t="s">
        <v>47</v>
      </c>
      <c r="T621" t="str">
        <f t="shared" si="18"/>
        <v>High</v>
      </c>
      <c r="U621" t="str">
        <f t="shared" si="19"/>
        <v>Experienced</v>
      </c>
    </row>
    <row r="622" spans="1:21" x14ac:dyDescent="0.35">
      <c r="A622" t="s">
        <v>695</v>
      </c>
      <c r="B622" t="s">
        <v>96</v>
      </c>
      <c r="C622" t="s">
        <v>58</v>
      </c>
      <c r="D622" t="s">
        <v>49</v>
      </c>
      <c r="E622" t="s">
        <v>23</v>
      </c>
      <c r="F622">
        <v>12</v>
      </c>
      <c r="G622">
        <v>0.9</v>
      </c>
      <c r="H622">
        <v>0.22</v>
      </c>
      <c r="I622" t="s">
        <v>24</v>
      </c>
      <c r="J622">
        <v>84679</v>
      </c>
      <c r="K622" t="s">
        <v>25</v>
      </c>
      <c r="L622">
        <v>39</v>
      </c>
      <c r="M622">
        <v>42</v>
      </c>
      <c r="N622" t="s">
        <v>26</v>
      </c>
      <c r="O622" t="s">
        <v>25</v>
      </c>
      <c r="P622">
        <v>2.2799999999999998</v>
      </c>
      <c r="Q622" t="s">
        <v>24</v>
      </c>
      <c r="R622">
        <v>3.03</v>
      </c>
      <c r="S622" t="s">
        <v>28</v>
      </c>
      <c r="T622" t="str">
        <f t="shared" si="18"/>
        <v>Very Low</v>
      </c>
      <c r="U622" t="str">
        <f t="shared" si="19"/>
        <v>Experienced</v>
      </c>
    </row>
    <row r="623" spans="1:21" x14ac:dyDescent="0.35">
      <c r="A623" t="s">
        <v>696</v>
      </c>
      <c r="B623" t="s">
        <v>30</v>
      </c>
      <c r="C623" t="s">
        <v>52</v>
      </c>
      <c r="D623" t="s">
        <v>59</v>
      </c>
      <c r="E623" t="s">
        <v>33</v>
      </c>
      <c r="F623">
        <v>2</v>
      </c>
      <c r="G623">
        <v>0.9</v>
      </c>
      <c r="H623">
        <v>0.79</v>
      </c>
      <c r="I623" t="s">
        <v>60</v>
      </c>
      <c r="J623">
        <v>123949</v>
      </c>
      <c r="K623" t="s">
        <v>42</v>
      </c>
      <c r="L623">
        <v>20</v>
      </c>
      <c r="M623">
        <v>38</v>
      </c>
      <c r="N623" t="s">
        <v>26</v>
      </c>
      <c r="O623" t="s">
        <v>25</v>
      </c>
      <c r="P623">
        <v>4.83</v>
      </c>
      <c r="Q623" t="s">
        <v>24</v>
      </c>
      <c r="R623">
        <v>1.03</v>
      </c>
      <c r="S623" t="s">
        <v>43</v>
      </c>
      <c r="T623" t="str">
        <f t="shared" si="18"/>
        <v>Moderate</v>
      </c>
      <c r="U623" t="str">
        <f t="shared" si="19"/>
        <v>Beginner</v>
      </c>
    </row>
    <row r="624" spans="1:21" x14ac:dyDescent="0.35">
      <c r="A624" t="s">
        <v>697</v>
      </c>
      <c r="B624" t="s">
        <v>57</v>
      </c>
      <c r="C624" t="s">
        <v>21</v>
      </c>
      <c r="D624" t="s">
        <v>69</v>
      </c>
      <c r="E624" t="s">
        <v>23</v>
      </c>
      <c r="F624">
        <v>0</v>
      </c>
      <c r="G624">
        <v>0.44</v>
      </c>
      <c r="H624">
        <v>0.87</v>
      </c>
      <c r="I624" t="s">
        <v>34</v>
      </c>
      <c r="J624">
        <v>108825</v>
      </c>
      <c r="K624" t="s">
        <v>27</v>
      </c>
      <c r="L624">
        <v>31</v>
      </c>
      <c r="M624">
        <v>58</v>
      </c>
      <c r="N624" t="s">
        <v>42</v>
      </c>
      <c r="O624" t="s">
        <v>25</v>
      </c>
      <c r="P624">
        <v>2.42</v>
      </c>
      <c r="Q624" t="s">
        <v>24</v>
      </c>
      <c r="R624">
        <v>1.71</v>
      </c>
      <c r="S624" t="s">
        <v>47</v>
      </c>
      <c r="T624" t="str">
        <f t="shared" si="18"/>
        <v>High</v>
      </c>
      <c r="U624" t="str">
        <f t="shared" si="19"/>
        <v>Beginner</v>
      </c>
    </row>
    <row r="625" spans="1:21" x14ac:dyDescent="0.35">
      <c r="A625" t="s">
        <v>698</v>
      </c>
      <c r="B625" t="s">
        <v>102</v>
      </c>
      <c r="C625" t="s">
        <v>31</v>
      </c>
      <c r="D625" t="s">
        <v>63</v>
      </c>
      <c r="E625" t="s">
        <v>23</v>
      </c>
      <c r="F625">
        <v>5</v>
      </c>
      <c r="G625">
        <v>0.47</v>
      </c>
      <c r="H625">
        <v>0.23</v>
      </c>
      <c r="I625" t="s">
        <v>34</v>
      </c>
      <c r="J625">
        <v>186291</v>
      </c>
      <c r="K625" t="s">
        <v>25</v>
      </c>
      <c r="L625">
        <v>1</v>
      </c>
      <c r="M625">
        <v>59</v>
      </c>
      <c r="N625" t="s">
        <v>26</v>
      </c>
      <c r="O625" t="s">
        <v>25</v>
      </c>
      <c r="P625">
        <v>4.2300000000000004</v>
      </c>
      <c r="Q625" t="s">
        <v>24</v>
      </c>
      <c r="R625">
        <v>2.46</v>
      </c>
      <c r="S625" t="s">
        <v>47</v>
      </c>
      <c r="T625" t="str">
        <f t="shared" si="18"/>
        <v>Moderate</v>
      </c>
      <c r="U625" t="str">
        <f t="shared" si="19"/>
        <v>Intermediate</v>
      </c>
    </row>
    <row r="626" spans="1:21" x14ac:dyDescent="0.35">
      <c r="A626" t="s">
        <v>699</v>
      </c>
      <c r="B626" t="s">
        <v>77</v>
      </c>
      <c r="C626" t="s">
        <v>74</v>
      </c>
      <c r="D626" t="s">
        <v>75</v>
      </c>
      <c r="E626" t="s">
        <v>41</v>
      </c>
      <c r="F626">
        <v>10</v>
      </c>
      <c r="G626">
        <v>0.41</v>
      </c>
      <c r="H626">
        <v>0.49</v>
      </c>
      <c r="I626" t="s">
        <v>24</v>
      </c>
      <c r="J626">
        <v>99515</v>
      </c>
      <c r="K626" t="s">
        <v>42</v>
      </c>
      <c r="L626">
        <v>-8</v>
      </c>
      <c r="M626">
        <v>53</v>
      </c>
      <c r="N626" t="s">
        <v>35</v>
      </c>
      <c r="O626" t="s">
        <v>36</v>
      </c>
      <c r="P626">
        <v>2.14</v>
      </c>
      <c r="Q626" t="s">
        <v>34</v>
      </c>
      <c r="R626">
        <v>4.05</v>
      </c>
      <c r="S626" t="s">
        <v>28</v>
      </c>
      <c r="T626" t="str">
        <f t="shared" si="18"/>
        <v>High</v>
      </c>
      <c r="U626" t="str">
        <f t="shared" si="19"/>
        <v>Experienced</v>
      </c>
    </row>
    <row r="627" spans="1:21" x14ac:dyDescent="0.35">
      <c r="A627" t="s">
        <v>700</v>
      </c>
      <c r="B627" t="s">
        <v>68</v>
      </c>
      <c r="C627" t="s">
        <v>107</v>
      </c>
      <c r="D627" t="s">
        <v>49</v>
      </c>
      <c r="E627" t="s">
        <v>23</v>
      </c>
      <c r="F627">
        <v>17</v>
      </c>
      <c r="G627">
        <v>0.86</v>
      </c>
      <c r="H627">
        <v>0.27</v>
      </c>
      <c r="I627" t="s">
        <v>34</v>
      </c>
      <c r="J627">
        <v>47386</v>
      </c>
      <c r="K627" t="s">
        <v>25</v>
      </c>
      <c r="L627">
        <v>44</v>
      </c>
      <c r="M627">
        <v>49</v>
      </c>
      <c r="N627" t="s">
        <v>26</v>
      </c>
      <c r="O627" t="s">
        <v>25</v>
      </c>
      <c r="P627">
        <v>2.93</v>
      </c>
      <c r="Q627" t="s">
        <v>34</v>
      </c>
      <c r="R627">
        <v>4.5999999999999996</v>
      </c>
      <c r="S627" t="s">
        <v>43</v>
      </c>
      <c r="T627" t="str">
        <f t="shared" si="18"/>
        <v>Very Low</v>
      </c>
      <c r="U627" t="str">
        <f t="shared" si="19"/>
        <v>Expert</v>
      </c>
    </row>
    <row r="628" spans="1:21" x14ac:dyDescent="0.35">
      <c r="A628" t="s">
        <v>701</v>
      </c>
      <c r="B628" t="s">
        <v>102</v>
      </c>
      <c r="C628" t="s">
        <v>82</v>
      </c>
      <c r="D628" t="s">
        <v>59</v>
      </c>
      <c r="E628" t="s">
        <v>33</v>
      </c>
      <c r="F628">
        <v>25</v>
      </c>
      <c r="G628">
        <v>0.49</v>
      </c>
      <c r="H628">
        <v>0.86</v>
      </c>
      <c r="I628" t="s">
        <v>24</v>
      </c>
      <c r="J628">
        <v>179747</v>
      </c>
      <c r="K628" t="s">
        <v>25</v>
      </c>
      <c r="L628">
        <v>32</v>
      </c>
      <c r="M628">
        <v>32</v>
      </c>
      <c r="N628" t="s">
        <v>26</v>
      </c>
      <c r="O628" t="s">
        <v>25</v>
      </c>
      <c r="P628">
        <v>4.1500000000000004</v>
      </c>
      <c r="Q628" t="s">
        <v>34</v>
      </c>
      <c r="R628">
        <v>4.55</v>
      </c>
      <c r="S628" t="s">
        <v>47</v>
      </c>
      <c r="T628" t="str">
        <f t="shared" si="18"/>
        <v>High</v>
      </c>
      <c r="U628" t="str">
        <f t="shared" si="19"/>
        <v>Expert</v>
      </c>
    </row>
    <row r="629" spans="1:21" x14ac:dyDescent="0.35">
      <c r="A629" t="s">
        <v>702</v>
      </c>
      <c r="B629" t="s">
        <v>38</v>
      </c>
      <c r="C629" t="s">
        <v>55</v>
      </c>
      <c r="D629" t="s">
        <v>80</v>
      </c>
      <c r="E629" t="s">
        <v>70</v>
      </c>
      <c r="F629">
        <v>24</v>
      </c>
      <c r="G629">
        <v>0.64</v>
      </c>
      <c r="H629">
        <v>0.46</v>
      </c>
      <c r="I629" t="s">
        <v>24</v>
      </c>
      <c r="J629">
        <v>151149</v>
      </c>
      <c r="K629" t="s">
        <v>42</v>
      </c>
      <c r="L629">
        <v>17</v>
      </c>
      <c r="M629">
        <v>41</v>
      </c>
      <c r="N629" t="s">
        <v>26</v>
      </c>
      <c r="O629" t="s">
        <v>25</v>
      </c>
      <c r="P629">
        <v>3.74</v>
      </c>
      <c r="Q629" t="s">
        <v>24</v>
      </c>
      <c r="R629">
        <v>3.99</v>
      </c>
      <c r="S629" t="s">
        <v>43</v>
      </c>
      <c r="T629" t="str">
        <f t="shared" si="18"/>
        <v>Moderate</v>
      </c>
      <c r="U629" t="str">
        <f t="shared" si="19"/>
        <v>Expert</v>
      </c>
    </row>
    <row r="630" spans="1:21" x14ac:dyDescent="0.35">
      <c r="A630" t="s">
        <v>703</v>
      </c>
      <c r="B630" t="s">
        <v>51</v>
      </c>
      <c r="C630" t="s">
        <v>52</v>
      </c>
      <c r="D630" t="s">
        <v>63</v>
      </c>
      <c r="E630" t="s">
        <v>41</v>
      </c>
      <c r="F630">
        <v>18</v>
      </c>
      <c r="G630">
        <v>0.18</v>
      </c>
      <c r="H630">
        <v>0.23</v>
      </c>
      <c r="I630" t="s">
        <v>34</v>
      </c>
      <c r="J630">
        <v>92345</v>
      </c>
      <c r="K630" t="s">
        <v>42</v>
      </c>
      <c r="L630">
        <v>44</v>
      </c>
      <c r="M630">
        <v>41</v>
      </c>
      <c r="N630" t="s">
        <v>35</v>
      </c>
      <c r="O630" t="s">
        <v>27</v>
      </c>
      <c r="P630">
        <v>4.6100000000000003</v>
      </c>
      <c r="Q630" t="s">
        <v>34</v>
      </c>
      <c r="R630">
        <v>2.81</v>
      </c>
      <c r="S630" t="s">
        <v>47</v>
      </c>
      <c r="T630" t="str">
        <f t="shared" si="18"/>
        <v>High</v>
      </c>
      <c r="U630" t="str">
        <f t="shared" si="19"/>
        <v>Expert</v>
      </c>
    </row>
    <row r="631" spans="1:21" x14ac:dyDescent="0.35">
      <c r="A631" t="s">
        <v>704</v>
      </c>
      <c r="B631" t="s">
        <v>51</v>
      </c>
      <c r="C631" t="s">
        <v>31</v>
      </c>
      <c r="D631" t="s">
        <v>63</v>
      </c>
      <c r="E631" t="s">
        <v>23</v>
      </c>
      <c r="F631">
        <v>24</v>
      </c>
      <c r="G631">
        <v>0.74</v>
      </c>
      <c r="H631">
        <v>0.93</v>
      </c>
      <c r="I631" t="s">
        <v>60</v>
      </c>
      <c r="J631">
        <v>118409</v>
      </c>
      <c r="K631" t="s">
        <v>42</v>
      </c>
      <c r="L631">
        <v>32</v>
      </c>
      <c r="M631">
        <v>33</v>
      </c>
      <c r="N631" t="s">
        <v>26</v>
      </c>
      <c r="O631" t="s">
        <v>36</v>
      </c>
      <c r="P631">
        <v>4.29</v>
      </c>
      <c r="Q631" t="s">
        <v>34</v>
      </c>
      <c r="R631">
        <v>1.25</v>
      </c>
      <c r="S631" t="s">
        <v>43</v>
      </c>
      <c r="T631" t="str">
        <f t="shared" si="18"/>
        <v>High</v>
      </c>
      <c r="U631" t="str">
        <f t="shared" si="19"/>
        <v>Expert</v>
      </c>
    </row>
    <row r="632" spans="1:21" x14ac:dyDescent="0.35">
      <c r="A632" t="s">
        <v>705</v>
      </c>
      <c r="B632" t="s">
        <v>147</v>
      </c>
      <c r="C632" t="s">
        <v>31</v>
      </c>
      <c r="D632" t="s">
        <v>49</v>
      </c>
      <c r="E632" t="s">
        <v>23</v>
      </c>
      <c r="F632">
        <v>17</v>
      </c>
      <c r="G632">
        <v>0.16</v>
      </c>
      <c r="H632">
        <v>0.76</v>
      </c>
      <c r="I632" t="s">
        <v>24</v>
      </c>
      <c r="J632">
        <v>63108</v>
      </c>
      <c r="K632" t="s">
        <v>27</v>
      </c>
      <c r="L632">
        <v>1</v>
      </c>
      <c r="M632">
        <v>42</v>
      </c>
      <c r="N632" t="s">
        <v>26</v>
      </c>
      <c r="O632" t="s">
        <v>25</v>
      </c>
      <c r="P632">
        <v>2.4300000000000002</v>
      </c>
      <c r="Q632" t="s">
        <v>24</v>
      </c>
      <c r="R632">
        <v>4.0999999999999996</v>
      </c>
      <c r="S632" t="s">
        <v>47</v>
      </c>
      <c r="T632" t="str">
        <f t="shared" si="18"/>
        <v>Very High</v>
      </c>
      <c r="U632" t="str">
        <f t="shared" si="19"/>
        <v>Expert</v>
      </c>
    </row>
    <row r="633" spans="1:21" x14ac:dyDescent="0.35">
      <c r="A633" t="s">
        <v>706</v>
      </c>
      <c r="B633" t="s">
        <v>51</v>
      </c>
      <c r="C633" t="s">
        <v>74</v>
      </c>
      <c r="D633" t="s">
        <v>32</v>
      </c>
      <c r="E633" t="s">
        <v>41</v>
      </c>
      <c r="F633">
        <v>21</v>
      </c>
      <c r="G633">
        <v>0.38</v>
      </c>
      <c r="H633">
        <v>0.38</v>
      </c>
      <c r="I633" t="s">
        <v>24</v>
      </c>
      <c r="J633">
        <v>169164</v>
      </c>
      <c r="K633" t="s">
        <v>27</v>
      </c>
      <c r="L633">
        <v>30</v>
      </c>
      <c r="M633">
        <v>57</v>
      </c>
      <c r="N633" t="s">
        <v>26</v>
      </c>
      <c r="O633" t="s">
        <v>25</v>
      </c>
      <c r="P633">
        <v>4.53</v>
      </c>
      <c r="Q633" t="s">
        <v>24</v>
      </c>
      <c r="R633">
        <v>3.16</v>
      </c>
      <c r="S633" t="s">
        <v>28</v>
      </c>
      <c r="T633" t="str">
        <f t="shared" si="18"/>
        <v>Moderate</v>
      </c>
      <c r="U633" t="str">
        <f t="shared" si="19"/>
        <v>Expert</v>
      </c>
    </row>
    <row r="634" spans="1:21" x14ac:dyDescent="0.35">
      <c r="A634" t="s">
        <v>707</v>
      </c>
      <c r="B634" t="s">
        <v>91</v>
      </c>
      <c r="C634" t="s">
        <v>74</v>
      </c>
      <c r="D634" t="s">
        <v>32</v>
      </c>
      <c r="E634" t="s">
        <v>70</v>
      </c>
      <c r="F634">
        <v>0</v>
      </c>
      <c r="G634">
        <v>0.86</v>
      </c>
      <c r="H634">
        <v>0.97</v>
      </c>
      <c r="I634" t="s">
        <v>24</v>
      </c>
      <c r="J634">
        <v>154923</v>
      </c>
      <c r="K634" t="s">
        <v>42</v>
      </c>
      <c r="L634">
        <v>35</v>
      </c>
      <c r="M634">
        <v>47</v>
      </c>
      <c r="N634" t="s">
        <v>26</v>
      </c>
      <c r="O634" t="s">
        <v>36</v>
      </c>
      <c r="P634">
        <v>2.63</v>
      </c>
      <c r="Q634" t="s">
        <v>24</v>
      </c>
      <c r="R634">
        <v>1.24</v>
      </c>
      <c r="S634" t="s">
        <v>43</v>
      </c>
      <c r="T634" t="str">
        <f t="shared" si="18"/>
        <v>High</v>
      </c>
      <c r="U634" t="str">
        <f t="shared" si="19"/>
        <v>Beginner</v>
      </c>
    </row>
    <row r="635" spans="1:21" x14ac:dyDescent="0.35">
      <c r="A635" t="s">
        <v>708</v>
      </c>
      <c r="B635" t="s">
        <v>96</v>
      </c>
      <c r="C635" t="s">
        <v>82</v>
      </c>
      <c r="D635" t="s">
        <v>69</v>
      </c>
      <c r="E635" t="s">
        <v>23</v>
      </c>
      <c r="F635">
        <v>18</v>
      </c>
      <c r="G635">
        <v>0.92</v>
      </c>
      <c r="H635">
        <v>0.97</v>
      </c>
      <c r="I635" t="s">
        <v>24</v>
      </c>
      <c r="J635">
        <v>93560</v>
      </c>
      <c r="K635" t="s">
        <v>25</v>
      </c>
      <c r="L635">
        <v>43</v>
      </c>
      <c r="M635">
        <v>41</v>
      </c>
      <c r="N635" t="s">
        <v>35</v>
      </c>
      <c r="O635" t="s">
        <v>25</v>
      </c>
      <c r="P635">
        <v>4.8899999999999997</v>
      </c>
      <c r="Q635" t="s">
        <v>34</v>
      </c>
      <c r="R635">
        <v>1.56</v>
      </c>
      <c r="S635" t="s">
        <v>43</v>
      </c>
      <c r="T635" t="str">
        <f t="shared" si="18"/>
        <v>High</v>
      </c>
      <c r="U635" t="str">
        <f t="shared" si="19"/>
        <v>Expert</v>
      </c>
    </row>
    <row r="636" spans="1:21" x14ac:dyDescent="0.35">
      <c r="A636" t="s">
        <v>709</v>
      </c>
      <c r="B636" t="s">
        <v>156</v>
      </c>
      <c r="C636" t="s">
        <v>21</v>
      </c>
      <c r="D636" t="s">
        <v>80</v>
      </c>
      <c r="E636" t="s">
        <v>70</v>
      </c>
      <c r="F636">
        <v>16</v>
      </c>
      <c r="G636">
        <v>0.18</v>
      </c>
      <c r="H636">
        <v>0.42</v>
      </c>
      <c r="I636" t="s">
        <v>24</v>
      </c>
      <c r="J636">
        <v>115844</v>
      </c>
      <c r="K636" t="s">
        <v>27</v>
      </c>
      <c r="L636">
        <v>28</v>
      </c>
      <c r="M636">
        <v>45</v>
      </c>
      <c r="N636" t="s">
        <v>35</v>
      </c>
      <c r="O636" t="s">
        <v>27</v>
      </c>
      <c r="P636">
        <v>3.31</v>
      </c>
      <c r="Q636" t="s">
        <v>24</v>
      </c>
      <c r="R636">
        <v>3.17</v>
      </c>
      <c r="S636" t="s">
        <v>28</v>
      </c>
      <c r="T636" t="str">
        <f t="shared" si="18"/>
        <v>High</v>
      </c>
      <c r="U636" t="str">
        <f t="shared" si="19"/>
        <v>Expert</v>
      </c>
    </row>
    <row r="637" spans="1:21" x14ac:dyDescent="0.35">
      <c r="A637" t="s">
        <v>710</v>
      </c>
      <c r="B637" t="s">
        <v>91</v>
      </c>
      <c r="C637" t="s">
        <v>52</v>
      </c>
      <c r="D637" t="s">
        <v>22</v>
      </c>
      <c r="E637" t="s">
        <v>33</v>
      </c>
      <c r="F637">
        <v>22</v>
      </c>
      <c r="G637">
        <v>0.39</v>
      </c>
      <c r="H637">
        <v>0.9</v>
      </c>
      <c r="I637" t="s">
        <v>60</v>
      </c>
      <c r="J637">
        <v>59579</v>
      </c>
      <c r="K637" t="s">
        <v>42</v>
      </c>
      <c r="L637">
        <v>38</v>
      </c>
      <c r="M637">
        <v>39</v>
      </c>
      <c r="N637" t="s">
        <v>35</v>
      </c>
      <c r="O637" t="s">
        <v>27</v>
      </c>
      <c r="P637">
        <v>2.31</v>
      </c>
      <c r="Q637" t="s">
        <v>34</v>
      </c>
      <c r="R637">
        <v>1.97</v>
      </c>
      <c r="S637" t="s">
        <v>28</v>
      </c>
      <c r="T637" t="str">
        <f t="shared" si="18"/>
        <v>Very High</v>
      </c>
      <c r="U637" t="str">
        <f t="shared" si="19"/>
        <v>Expert</v>
      </c>
    </row>
    <row r="638" spans="1:21" x14ac:dyDescent="0.35">
      <c r="A638" t="s">
        <v>711</v>
      </c>
      <c r="B638" t="s">
        <v>54</v>
      </c>
      <c r="C638" t="s">
        <v>55</v>
      </c>
      <c r="D638" t="s">
        <v>63</v>
      </c>
      <c r="E638" t="s">
        <v>23</v>
      </c>
      <c r="F638">
        <v>21</v>
      </c>
      <c r="G638">
        <v>0.3</v>
      </c>
      <c r="H638">
        <v>0.77</v>
      </c>
      <c r="I638" t="s">
        <v>34</v>
      </c>
      <c r="J638">
        <v>102316</v>
      </c>
      <c r="K638" t="s">
        <v>42</v>
      </c>
      <c r="L638">
        <v>-5</v>
      </c>
      <c r="M638">
        <v>30</v>
      </c>
      <c r="N638" t="s">
        <v>35</v>
      </c>
      <c r="O638" t="s">
        <v>27</v>
      </c>
      <c r="P638">
        <v>4.42</v>
      </c>
      <c r="Q638" t="s">
        <v>24</v>
      </c>
      <c r="R638">
        <v>3.34</v>
      </c>
      <c r="S638" t="s">
        <v>47</v>
      </c>
      <c r="T638" t="str">
        <f t="shared" si="18"/>
        <v>Very High</v>
      </c>
      <c r="U638" t="str">
        <f t="shared" si="19"/>
        <v>Expert</v>
      </c>
    </row>
    <row r="639" spans="1:21" x14ac:dyDescent="0.35">
      <c r="A639" t="s">
        <v>712</v>
      </c>
      <c r="B639" t="s">
        <v>96</v>
      </c>
      <c r="C639" t="s">
        <v>58</v>
      </c>
      <c r="D639" t="s">
        <v>22</v>
      </c>
      <c r="E639" t="s">
        <v>41</v>
      </c>
      <c r="F639">
        <v>18</v>
      </c>
      <c r="G639">
        <v>0.39</v>
      </c>
      <c r="H639">
        <v>0.61</v>
      </c>
      <c r="I639" t="s">
        <v>60</v>
      </c>
      <c r="J639">
        <v>204996</v>
      </c>
      <c r="K639" t="s">
        <v>25</v>
      </c>
      <c r="L639">
        <v>26</v>
      </c>
      <c r="M639">
        <v>33</v>
      </c>
      <c r="N639" t="s">
        <v>35</v>
      </c>
      <c r="O639" t="s">
        <v>25</v>
      </c>
      <c r="P639">
        <v>3.08</v>
      </c>
      <c r="Q639" t="s">
        <v>34</v>
      </c>
      <c r="R639">
        <v>4.26</v>
      </c>
      <c r="S639" t="s">
        <v>28</v>
      </c>
      <c r="T639" t="str">
        <f t="shared" si="18"/>
        <v>High</v>
      </c>
      <c r="U639" t="str">
        <f t="shared" si="19"/>
        <v>Expert</v>
      </c>
    </row>
    <row r="640" spans="1:21" x14ac:dyDescent="0.35">
      <c r="A640" t="s">
        <v>713</v>
      </c>
      <c r="B640" t="s">
        <v>94</v>
      </c>
      <c r="C640" t="s">
        <v>58</v>
      </c>
      <c r="D640" t="s">
        <v>59</v>
      </c>
      <c r="E640" t="s">
        <v>33</v>
      </c>
      <c r="F640">
        <v>0</v>
      </c>
      <c r="G640">
        <v>0.56999999999999995</v>
      </c>
      <c r="H640">
        <v>0.61</v>
      </c>
      <c r="I640" t="s">
        <v>60</v>
      </c>
      <c r="J640">
        <v>134514</v>
      </c>
      <c r="K640" t="s">
        <v>42</v>
      </c>
      <c r="L640">
        <v>-4</v>
      </c>
      <c r="M640">
        <v>39</v>
      </c>
      <c r="N640" t="s">
        <v>42</v>
      </c>
      <c r="O640" t="s">
        <v>25</v>
      </c>
      <c r="P640">
        <v>4.1900000000000004</v>
      </c>
      <c r="Q640" t="s">
        <v>34</v>
      </c>
      <c r="R640">
        <v>2.4300000000000002</v>
      </c>
      <c r="S640" t="s">
        <v>28</v>
      </c>
      <c r="T640" t="str">
        <f t="shared" si="18"/>
        <v>High</v>
      </c>
      <c r="U640" t="str">
        <f t="shared" si="19"/>
        <v>Beginner</v>
      </c>
    </row>
    <row r="641" spans="1:21" x14ac:dyDescent="0.35">
      <c r="A641" t="s">
        <v>714</v>
      </c>
      <c r="B641" t="s">
        <v>54</v>
      </c>
      <c r="C641" t="s">
        <v>82</v>
      </c>
      <c r="D641" t="s">
        <v>59</v>
      </c>
      <c r="E641" t="s">
        <v>70</v>
      </c>
      <c r="F641">
        <v>23</v>
      </c>
      <c r="G641">
        <v>0.09</v>
      </c>
      <c r="H641">
        <v>0.56000000000000005</v>
      </c>
      <c r="I641" t="s">
        <v>34</v>
      </c>
      <c r="J641">
        <v>196410</v>
      </c>
      <c r="K641" t="s">
        <v>42</v>
      </c>
      <c r="L641">
        <v>39</v>
      </c>
      <c r="M641">
        <v>56</v>
      </c>
      <c r="N641" t="s">
        <v>35</v>
      </c>
      <c r="O641" t="s">
        <v>36</v>
      </c>
      <c r="P641">
        <v>4.57</v>
      </c>
      <c r="Q641" t="s">
        <v>34</v>
      </c>
      <c r="R641">
        <v>2.41</v>
      </c>
      <c r="S641" t="s">
        <v>28</v>
      </c>
      <c r="T641" t="str">
        <f t="shared" si="18"/>
        <v>High</v>
      </c>
      <c r="U641" t="str">
        <f t="shared" si="19"/>
        <v>Expert</v>
      </c>
    </row>
    <row r="642" spans="1:21" x14ac:dyDescent="0.35">
      <c r="A642" t="s">
        <v>715</v>
      </c>
      <c r="B642" t="s">
        <v>77</v>
      </c>
      <c r="C642" t="s">
        <v>107</v>
      </c>
      <c r="D642" t="s">
        <v>32</v>
      </c>
      <c r="E642" t="s">
        <v>23</v>
      </c>
      <c r="F642">
        <v>6</v>
      </c>
      <c r="G642">
        <v>0.7</v>
      </c>
      <c r="H642">
        <v>0.71</v>
      </c>
      <c r="I642" t="s">
        <v>34</v>
      </c>
      <c r="J642">
        <v>112031</v>
      </c>
      <c r="K642" t="s">
        <v>27</v>
      </c>
      <c r="L642">
        <v>21</v>
      </c>
      <c r="M642">
        <v>41</v>
      </c>
      <c r="N642" t="s">
        <v>42</v>
      </c>
      <c r="O642" t="s">
        <v>36</v>
      </c>
      <c r="P642">
        <v>4.6900000000000004</v>
      </c>
      <c r="Q642" t="s">
        <v>24</v>
      </c>
      <c r="R642">
        <v>4.84</v>
      </c>
      <c r="S642" t="s">
        <v>43</v>
      </c>
      <c r="T642" t="str">
        <f t="shared" si="18"/>
        <v>High</v>
      </c>
      <c r="U642" t="str">
        <f t="shared" si="19"/>
        <v>Intermediate</v>
      </c>
    </row>
    <row r="643" spans="1:21" x14ac:dyDescent="0.35">
      <c r="A643" t="s">
        <v>716</v>
      </c>
      <c r="B643" t="s">
        <v>62</v>
      </c>
      <c r="C643" t="s">
        <v>55</v>
      </c>
      <c r="D643" t="s">
        <v>80</v>
      </c>
      <c r="E643" t="s">
        <v>33</v>
      </c>
      <c r="F643">
        <v>12</v>
      </c>
      <c r="G643">
        <v>0.87</v>
      </c>
      <c r="H643">
        <v>0.75</v>
      </c>
      <c r="I643" t="s">
        <v>60</v>
      </c>
      <c r="J643">
        <v>176927</v>
      </c>
      <c r="K643" t="s">
        <v>27</v>
      </c>
      <c r="L643">
        <v>-6</v>
      </c>
      <c r="M643">
        <v>36</v>
      </c>
      <c r="N643" t="s">
        <v>35</v>
      </c>
      <c r="O643" t="s">
        <v>25</v>
      </c>
      <c r="P643">
        <v>4.13</v>
      </c>
      <c r="Q643" t="s">
        <v>34</v>
      </c>
      <c r="R643">
        <v>4.41</v>
      </c>
      <c r="S643" t="s">
        <v>47</v>
      </c>
      <c r="T643" t="str">
        <f t="shared" ref="T643:T706" si="20">IF(AND(G643&lt;0.4,H643&gt;=0.7),"Very High",
IF(AND(G643&gt;=0.7,H643&lt;0.5),"Very Low",
IF(G643&lt;H643,"High","Moderate")))</f>
        <v>Moderate</v>
      </c>
      <c r="U643" t="str">
        <f t="shared" ref="U643:U706" si="21">_xlfn.IFS(F643&lt;=2,"Beginner",F643&lt;=8,"Intermediate",F643&lt;=15,"Experienced",F643&lt;=25,"Expert")</f>
        <v>Experienced</v>
      </c>
    </row>
    <row r="644" spans="1:21" x14ac:dyDescent="0.35">
      <c r="A644" t="s">
        <v>717</v>
      </c>
      <c r="B644" t="s">
        <v>77</v>
      </c>
      <c r="C644" t="s">
        <v>46</v>
      </c>
      <c r="D644" t="s">
        <v>40</v>
      </c>
      <c r="E644" t="s">
        <v>70</v>
      </c>
      <c r="F644">
        <v>7</v>
      </c>
      <c r="G644">
        <v>0.14000000000000001</v>
      </c>
      <c r="H644">
        <v>0.96</v>
      </c>
      <c r="I644" t="s">
        <v>34</v>
      </c>
      <c r="J644">
        <v>107047</v>
      </c>
      <c r="K644" t="s">
        <v>25</v>
      </c>
      <c r="L644">
        <v>5</v>
      </c>
      <c r="M644">
        <v>47</v>
      </c>
      <c r="N644" t="s">
        <v>35</v>
      </c>
      <c r="O644" t="s">
        <v>27</v>
      </c>
      <c r="P644">
        <v>4.9800000000000004</v>
      </c>
      <c r="Q644" t="s">
        <v>24</v>
      </c>
      <c r="R644">
        <v>2.98</v>
      </c>
      <c r="S644" t="s">
        <v>28</v>
      </c>
      <c r="T644" t="str">
        <f t="shared" si="20"/>
        <v>Very High</v>
      </c>
      <c r="U644" t="str">
        <f t="shared" si="21"/>
        <v>Intermediate</v>
      </c>
    </row>
    <row r="645" spans="1:21" x14ac:dyDescent="0.35">
      <c r="A645" t="s">
        <v>718</v>
      </c>
      <c r="B645" t="s">
        <v>57</v>
      </c>
      <c r="C645" t="s">
        <v>58</v>
      </c>
      <c r="D645" t="s">
        <v>22</v>
      </c>
      <c r="E645" t="s">
        <v>23</v>
      </c>
      <c r="F645">
        <v>14</v>
      </c>
      <c r="G645">
        <v>0.78</v>
      </c>
      <c r="H645">
        <v>0.31</v>
      </c>
      <c r="I645" t="s">
        <v>34</v>
      </c>
      <c r="J645">
        <v>107802</v>
      </c>
      <c r="K645" t="s">
        <v>27</v>
      </c>
      <c r="L645">
        <v>25</v>
      </c>
      <c r="M645">
        <v>48</v>
      </c>
      <c r="N645" t="s">
        <v>35</v>
      </c>
      <c r="O645" t="s">
        <v>36</v>
      </c>
      <c r="P645">
        <v>2.56</v>
      </c>
      <c r="Q645" t="s">
        <v>34</v>
      </c>
      <c r="R645">
        <v>3.51</v>
      </c>
      <c r="S645" t="s">
        <v>43</v>
      </c>
      <c r="T645" t="str">
        <f t="shared" si="20"/>
        <v>Very Low</v>
      </c>
      <c r="U645" t="str">
        <f t="shared" si="21"/>
        <v>Experienced</v>
      </c>
    </row>
    <row r="646" spans="1:21" x14ac:dyDescent="0.35">
      <c r="A646" t="s">
        <v>719</v>
      </c>
      <c r="B646" t="s">
        <v>20</v>
      </c>
      <c r="C646" t="s">
        <v>74</v>
      </c>
      <c r="D646" t="s">
        <v>40</v>
      </c>
      <c r="E646" t="s">
        <v>33</v>
      </c>
      <c r="F646">
        <v>10</v>
      </c>
      <c r="G646">
        <v>0.86</v>
      </c>
      <c r="H646">
        <v>0.94</v>
      </c>
      <c r="I646" t="s">
        <v>60</v>
      </c>
      <c r="J646">
        <v>113926</v>
      </c>
      <c r="K646" t="s">
        <v>25</v>
      </c>
      <c r="L646">
        <v>40</v>
      </c>
      <c r="M646">
        <v>47</v>
      </c>
      <c r="N646" t="s">
        <v>26</v>
      </c>
      <c r="O646" t="s">
        <v>25</v>
      </c>
      <c r="P646">
        <v>2.29</v>
      </c>
      <c r="Q646" t="s">
        <v>34</v>
      </c>
      <c r="R646">
        <v>3.14</v>
      </c>
      <c r="S646" t="s">
        <v>47</v>
      </c>
      <c r="T646" t="str">
        <f t="shared" si="20"/>
        <v>High</v>
      </c>
      <c r="U646" t="str">
        <f t="shared" si="21"/>
        <v>Experienced</v>
      </c>
    </row>
    <row r="647" spans="1:21" x14ac:dyDescent="0.35">
      <c r="A647" t="s">
        <v>720</v>
      </c>
      <c r="B647" t="s">
        <v>91</v>
      </c>
      <c r="C647" t="s">
        <v>107</v>
      </c>
      <c r="D647" t="s">
        <v>22</v>
      </c>
      <c r="E647" t="s">
        <v>23</v>
      </c>
      <c r="F647">
        <v>2</v>
      </c>
      <c r="G647">
        <v>0.56999999999999995</v>
      </c>
      <c r="H647">
        <v>0.24</v>
      </c>
      <c r="I647" t="s">
        <v>24</v>
      </c>
      <c r="J647">
        <v>192216</v>
      </c>
      <c r="K647" t="s">
        <v>25</v>
      </c>
      <c r="L647">
        <v>25</v>
      </c>
      <c r="M647">
        <v>44</v>
      </c>
      <c r="N647" t="s">
        <v>26</v>
      </c>
      <c r="O647" t="s">
        <v>27</v>
      </c>
      <c r="P647">
        <v>2.17</v>
      </c>
      <c r="Q647" t="s">
        <v>34</v>
      </c>
      <c r="R647">
        <v>2.91</v>
      </c>
      <c r="S647" t="s">
        <v>28</v>
      </c>
      <c r="T647" t="str">
        <f t="shared" si="20"/>
        <v>Moderate</v>
      </c>
      <c r="U647" t="str">
        <f t="shared" si="21"/>
        <v>Beginner</v>
      </c>
    </row>
    <row r="648" spans="1:21" x14ac:dyDescent="0.35">
      <c r="A648" t="s">
        <v>721</v>
      </c>
      <c r="B648" t="s">
        <v>77</v>
      </c>
      <c r="C648" t="s">
        <v>107</v>
      </c>
      <c r="D648" t="s">
        <v>69</v>
      </c>
      <c r="E648" t="s">
        <v>33</v>
      </c>
      <c r="F648">
        <v>12</v>
      </c>
      <c r="G648">
        <v>0.3</v>
      </c>
      <c r="H648">
        <v>0.4</v>
      </c>
      <c r="I648" t="s">
        <v>24</v>
      </c>
      <c r="J648">
        <v>37229</v>
      </c>
      <c r="K648" t="s">
        <v>27</v>
      </c>
      <c r="L648">
        <v>18</v>
      </c>
      <c r="M648">
        <v>39</v>
      </c>
      <c r="N648" t="s">
        <v>26</v>
      </c>
      <c r="O648" t="s">
        <v>27</v>
      </c>
      <c r="P648">
        <v>4.0199999999999996</v>
      </c>
      <c r="Q648" t="s">
        <v>34</v>
      </c>
      <c r="R648">
        <v>1.93</v>
      </c>
      <c r="S648" t="s">
        <v>28</v>
      </c>
      <c r="T648" t="str">
        <f t="shared" si="20"/>
        <v>High</v>
      </c>
      <c r="U648" t="str">
        <f t="shared" si="21"/>
        <v>Experienced</v>
      </c>
    </row>
    <row r="649" spans="1:21" x14ac:dyDescent="0.35">
      <c r="A649" t="s">
        <v>722</v>
      </c>
      <c r="B649" t="s">
        <v>77</v>
      </c>
      <c r="C649" t="s">
        <v>21</v>
      </c>
      <c r="D649" t="s">
        <v>80</v>
      </c>
      <c r="E649" t="s">
        <v>23</v>
      </c>
      <c r="F649">
        <v>23</v>
      </c>
      <c r="G649">
        <v>0.73</v>
      </c>
      <c r="H649">
        <v>0.66</v>
      </c>
      <c r="I649" t="s">
        <v>24</v>
      </c>
      <c r="J649">
        <v>48615</v>
      </c>
      <c r="K649" t="s">
        <v>27</v>
      </c>
      <c r="L649">
        <v>2</v>
      </c>
      <c r="M649">
        <v>37</v>
      </c>
      <c r="N649" t="s">
        <v>26</v>
      </c>
      <c r="O649" t="s">
        <v>25</v>
      </c>
      <c r="P649">
        <v>4.51</v>
      </c>
      <c r="Q649" t="s">
        <v>24</v>
      </c>
      <c r="R649">
        <v>3.6</v>
      </c>
      <c r="S649" t="s">
        <v>43</v>
      </c>
      <c r="T649" t="str">
        <f t="shared" si="20"/>
        <v>Moderate</v>
      </c>
      <c r="U649" t="str">
        <f t="shared" si="21"/>
        <v>Expert</v>
      </c>
    </row>
    <row r="650" spans="1:21" x14ac:dyDescent="0.35">
      <c r="A650" t="s">
        <v>723</v>
      </c>
      <c r="B650" t="s">
        <v>96</v>
      </c>
      <c r="C650" t="s">
        <v>52</v>
      </c>
      <c r="D650" t="s">
        <v>69</v>
      </c>
      <c r="E650" t="s">
        <v>23</v>
      </c>
      <c r="F650">
        <v>4</v>
      </c>
      <c r="G650">
        <v>0.9</v>
      </c>
      <c r="H650">
        <v>0.65</v>
      </c>
      <c r="I650" t="s">
        <v>34</v>
      </c>
      <c r="J650">
        <v>209661</v>
      </c>
      <c r="K650" t="s">
        <v>25</v>
      </c>
      <c r="L650">
        <v>-4</v>
      </c>
      <c r="M650">
        <v>39</v>
      </c>
      <c r="N650" t="s">
        <v>42</v>
      </c>
      <c r="O650" t="s">
        <v>25</v>
      </c>
      <c r="P650">
        <v>4.12</v>
      </c>
      <c r="Q650" t="s">
        <v>34</v>
      </c>
      <c r="R650">
        <v>3</v>
      </c>
      <c r="S650" t="s">
        <v>47</v>
      </c>
      <c r="T650" t="str">
        <f t="shared" si="20"/>
        <v>Moderate</v>
      </c>
      <c r="U650" t="str">
        <f t="shared" si="21"/>
        <v>Intermediate</v>
      </c>
    </row>
    <row r="651" spans="1:21" x14ac:dyDescent="0.35">
      <c r="A651" t="s">
        <v>724</v>
      </c>
      <c r="B651" t="s">
        <v>65</v>
      </c>
      <c r="C651" t="s">
        <v>31</v>
      </c>
      <c r="D651" t="s">
        <v>75</v>
      </c>
      <c r="E651" t="s">
        <v>41</v>
      </c>
      <c r="F651">
        <v>17</v>
      </c>
      <c r="G651">
        <v>0.62</v>
      </c>
      <c r="H651">
        <v>0.47</v>
      </c>
      <c r="I651" t="s">
        <v>24</v>
      </c>
      <c r="J651">
        <v>54648</v>
      </c>
      <c r="K651" t="s">
        <v>27</v>
      </c>
      <c r="L651">
        <v>13</v>
      </c>
      <c r="M651">
        <v>33</v>
      </c>
      <c r="N651" t="s">
        <v>35</v>
      </c>
      <c r="O651" t="s">
        <v>25</v>
      </c>
      <c r="P651">
        <v>4.8899999999999997</v>
      </c>
      <c r="Q651" t="s">
        <v>24</v>
      </c>
      <c r="R651">
        <v>1.02</v>
      </c>
      <c r="S651" t="s">
        <v>43</v>
      </c>
      <c r="T651" t="str">
        <f t="shared" si="20"/>
        <v>Moderate</v>
      </c>
      <c r="U651" t="str">
        <f t="shared" si="21"/>
        <v>Expert</v>
      </c>
    </row>
    <row r="652" spans="1:21" x14ac:dyDescent="0.35">
      <c r="A652" t="s">
        <v>725</v>
      </c>
      <c r="B652" t="s">
        <v>102</v>
      </c>
      <c r="C652" t="s">
        <v>74</v>
      </c>
      <c r="D652" t="s">
        <v>40</v>
      </c>
      <c r="E652" t="s">
        <v>33</v>
      </c>
      <c r="F652">
        <v>19</v>
      </c>
      <c r="G652">
        <v>0.62</v>
      </c>
      <c r="H652">
        <v>0.59</v>
      </c>
      <c r="I652" t="s">
        <v>34</v>
      </c>
      <c r="J652">
        <v>170303</v>
      </c>
      <c r="K652" t="s">
        <v>27</v>
      </c>
      <c r="L652">
        <v>1</v>
      </c>
      <c r="M652">
        <v>58</v>
      </c>
      <c r="N652" t="s">
        <v>42</v>
      </c>
      <c r="O652" t="s">
        <v>27</v>
      </c>
      <c r="P652">
        <v>4.54</v>
      </c>
      <c r="Q652" t="s">
        <v>24</v>
      </c>
      <c r="R652">
        <v>3.03</v>
      </c>
      <c r="S652" t="s">
        <v>43</v>
      </c>
      <c r="T652" t="str">
        <f t="shared" si="20"/>
        <v>Moderate</v>
      </c>
      <c r="U652" t="str">
        <f t="shared" si="21"/>
        <v>Expert</v>
      </c>
    </row>
    <row r="653" spans="1:21" x14ac:dyDescent="0.35">
      <c r="A653" t="s">
        <v>726</v>
      </c>
      <c r="B653" t="s">
        <v>51</v>
      </c>
      <c r="C653" t="s">
        <v>46</v>
      </c>
      <c r="D653" t="s">
        <v>80</v>
      </c>
      <c r="E653" t="s">
        <v>33</v>
      </c>
      <c r="F653">
        <v>3</v>
      </c>
      <c r="G653">
        <v>0.89</v>
      </c>
      <c r="H653">
        <v>0.28999999999999998</v>
      </c>
      <c r="I653" t="s">
        <v>34</v>
      </c>
      <c r="J653">
        <v>209052</v>
      </c>
      <c r="K653" t="s">
        <v>25</v>
      </c>
      <c r="L653">
        <v>28</v>
      </c>
      <c r="M653">
        <v>34</v>
      </c>
      <c r="N653" t="s">
        <v>26</v>
      </c>
      <c r="O653" t="s">
        <v>36</v>
      </c>
      <c r="P653">
        <v>4.8099999999999996</v>
      </c>
      <c r="Q653" t="s">
        <v>34</v>
      </c>
      <c r="R653">
        <v>4.1399999999999997</v>
      </c>
      <c r="S653" t="s">
        <v>47</v>
      </c>
      <c r="T653" t="str">
        <f t="shared" si="20"/>
        <v>Very Low</v>
      </c>
      <c r="U653" t="str">
        <f t="shared" si="21"/>
        <v>Intermediate</v>
      </c>
    </row>
    <row r="654" spans="1:21" x14ac:dyDescent="0.35">
      <c r="A654" t="s">
        <v>727</v>
      </c>
      <c r="B654" t="s">
        <v>102</v>
      </c>
      <c r="C654" t="s">
        <v>52</v>
      </c>
      <c r="D654" t="s">
        <v>75</v>
      </c>
      <c r="E654" t="s">
        <v>70</v>
      </c>
      <c r="F654">
        <v>1</v>
      </c>
      <c r="G654">
        <v>0.18</v>
      </c>
      <c r="H654">
        <v>0.96</v>
      </c>
      <c r="I654" t="s">
        <v>34</v>
      </c>
      <c r="J654">
        <v>158651</v>
      </c>
      <c r="K654" t="s">
        <v>27</v>
      </c>
      <c r="L654">
        <v>35</v>
      </c>
      <c r="M654">
        <v>54</v>
      </c>
      <c r="N654" t="s">
        <v>26</v>
      </c>
      <c r="O654" t="s">
        <v>25</v>
      </c>
      <c r="P654">
        <v>4.54</v>
      </c>
      <c r="Q654" t="s">
        <v>24</v>
      </c>
      <c r="R654">
        <v>3.65</v>
      </c>
      <c r="S654" t="s">
        <v>43</v>
      </c>
      <c r="T654" t="str">
        <f t="shared" si="20"/>
        <v>Very High</v>
      </c>
      <c r="U654" t="str">
        <f t="shared" si="21"/>
        <v>Beginner</v>
      </c>
    </row>
    <row r="655" spans="1:21" x14ac:dyDescent="0.35">
      <c r="A655" t="s">
        <v>728</v>
      </c>
      <c r="B655" t="s">
        <v>94</v>
      </c>
      <c r="C655" t="s">
        <v>52</v>
      </c>
      <c r="D655" t="s">
        <v>69</v>
      </c>
      <c r="E655" t="s">
        <v>23</v>
      </c>
      <c r="F655">
        <v>2</v>
      </c>
      <c r="G655">
        <v>0.74</v>
      </c>
      <c r="H655">
        <v>0.43</v>
      </c>
      <c r="I655" t="s">
        <v>34</v>
      </c>
      <c r="J655">
        <v>194191</v>
      </c>
      <c r="K655" t="s">
        <v>25</v>
      </c>
      <c r="L655">
        <v>21</v>
      </c>
      <c r="M655">
        <v>33</v>
      </c>
      <c r="N655" t="s">
        <v>42</v>
      </c>
      <c r="O655" t="s">
        <v>27</v>
      </c>
      <c r="P655">
        <v>3.45</v>
      </c>
      <c r="Q655" t="s">
        <v>34</v>
      </c>
      <c r="R655">
        <v>2.2200000000000002</v>
      </c>
      <c r="S655" t="s">
        <v>43</v>
      </c>
      <c r="T655" t="str">
        <f t="shared" si="20"/>
        <v>Very Low</v>
      </c>
      <c r="U655" t="str">
        <f t="shared" si="21"/>
        <v>Beginner</v>
      </c>
    </row>
    <row r="656" spans="1:21" x14ac:dyDescent="0.35">
      <c r="A656" t="s">
        <v>729</v>
      </c>
      <c r="B656" t="s">
        <v>38</v>
      </c>
      <c r="C656" t="s">
        <v>55</v>
      </c>
      <c r="D656" t="s">
        <v>32</v>
      </c>
      <c r="E656" t="s">
        <v>70</v>
      </c>
      <c r="F656">
        <v>23</v>
      </c>
      <c r="G656">
        <v>0.9</v>
      </c>
      <c r="H656">
        <v>0.44</v>
      </c>
      <c r="I656" t="s">
        <v>24</v>
      </c>
      <c r="J656">
        <v>184001</v>
      </c>
      <c r="K656" t="s">
        <v>27</v>
      </c>
      <c r="L656">
        <v>-9</v>
      </c>
      <c r="M656">
        <v>31</v>
      </c>
      <c r="N656" t="s">
        <v>42</v>
      </c>
      <c r="O656" t="s">
        <v>36</v>
      </c>
      <c r="P656">
        <v>2.56</v>
      </c>
      <c r="Q656" t="s">
        <v>24</v>
      </c>
      <c r="R656">
        <v>4.29</v>
      </c>
      <c r="S656" t="s">
        <v>28</v>
      </c>
      <c r="T656" t="str">
        <f t="shared" si="20"/>
        <v>Very Low</v>
      </c>
      <c r="U656" t="str">
        <f t="shared" si="21"/>
        <v>Expert</v>
      </c>
    </row>
    <row r="657" spans="1:21" x14ac:dyDescent="0.35">
      <c r="A657" t="s">
        <v>730</v>
      </c>
      <c r="B657" t="s">
        <v>91</v>
      </c>
      <c r="C657" t="s">
        <v>82</v>
      </c>
      <c r="D657" t="s">
        <v>59</v>
      </c>
      <c r="E657" t="s">
        <v>70</v>
      </c>
      <c r="F657">
        <v>2</v>
      </c>
      <c r="G657">
        <v>0.68</v>
      </c>
      <c r="H657">
        <v>0.92</v>
      </c>
      <c r="I657" t="s">
        <v>60</v>
      </c>
      <c r="J657">
        <v>55860</v>
      </c>
      <c r="K657" t="s">
        <v>25</v>
      </c>
      <c r="L657">
        <v>21</v>
      </c>
      <c r="M657">
        <v>36</v>
      </c>
      <c r="N657" t="s">
        <v>26</v>
      </c>
      <c r="O657" t="s">
        <v>27</v>
      </c>
      <c r="P657">
        <v>3.84</v>
      </c>
      <c r="Q657" t="s">
        <v>24</v>
      </c>
      <c r="R657">
        <v>4.6900000000000004</v>
      </c>
      <c r="S657" t="s">
        <v>47</v>
      </c>
      <c r="T657" t="str">
        <f t="shared" si="20"/>
        <v>High</v>
      </c>
      <c r="U657" t="str">
        <f t="shared" si="21"/>
        <v>Beginner</v>
      </c>
    </row>
    <row r="658" spans="1:21" x14ac:dyDescent="0.35">
      <c r="A658" t="s">
        <v>731</v>
      </c>
      <c r="B658" t="s">
        <v>51</v>
      </c>
      <c r="C658" t="s">
        <v>52</v>
      </c>
      <c r="D658" t="s">
        <v>59</v>
      </c>
      <c r="E658" t="s">
        <v>70</v>
      </c>
      <c r="F658">
        <v>12</v>
      </c>
      <c r="G658">
        <v>0.64</v>
      </c>
      <c r="H658">
        <v>0.92</v>
      </c>
      <c r="I658" t="s">
        <v>24</v>
      </c>
      <c r="J658">
        <v>116704</v>
      </c>
      <c r="K658" t="s">
        <v>25</v>
      </c>
      <c r="L658">
        <v>-1</v>
      </c>
      <c r="M658">
        <v>49</v>
      </c>
      <c r="N658" t="s">
        <v>35</v>
      </c>
      <c r="O658" t="s">
        <v>27</v>
      </c>
      <c r="P658">
        <v>4.01</v>
      </c>
      <c r="Q658" t="s">
        <v>34</v>
      </c>
      <c r="R658">
        <v>3.72</v>
      </c>
      <c r="S658" t="s">
        <v>28</v>
      </c>
      <c r="T658" t="str">
        <f t="shared" si="20"/>
        <v>High</v>
      </c>
      <c r="U658" t="str">
        <f t="shared" si="21"/>
        <v>Experienced</v>
      </c>
    </row>
    <row r="659" spans="1:21" x14ac:dyDescent="0.35">
      <c r="A659" t="s">
        <v>732</v>
      </c>
      <c r="B659" t="s">
        <v>102</v>
      </c>
      <c r="C659" t="s">
        <v>107</v>
      </c>
      <c r="D659" t="s">
        <v>66</v>
      </c>
      <c r="E659" t="s">
        <v>41</v>
      </c>
      <c r="F659">
        <v>20</v>
      </c>
      <c r="G659">
        <v>0.42</v>
      </c>
      <c r="H659">
        <v>0.53</v>
      </c>
      <c r="I659" t="s">
        <v>60</v>
      </c>
      <c r="J659">
        <v>102898</v>
      </c>
      <c r="K659" t="s">
        <v>42</v>
      </c>
      <c r="L659">
        <v>-8</v>
      </c>
      <c r="M659">
        <v>52</v>
      </c>
      <c r="N659" t="s">
        <v>42</v>
      </c>
      <c r="O659" t="s">
        <v>25</v>
      </c>
      <c r="P659">
        <v>3.99</v>
      </c>
      <c r="Q659" t="s">
        <v>24</v>
      </c>
      <c r="R659">
        <v>1.28</v>
      </c>
      <c r="S659" t="s">
        <v>47</v>
      </c>
      <c r="T659" t="str">
        <f t="shared" si="20"/>
        <v>High</v>
      </c>
      <c r="U659" t="str">
        <f t="shared" si="21"/>
        <v>Expert</v>
      </c>
    </row>
    <row r="660" spans="1:21" x14ac:dyDescent="0.35">
      <c r="A660" t="s">
        <v>733</v>
      </c>
      <c r="B660" t="s">
        <v>96</v>
      </c>
      <c r="C660" t="s">
        <v>31</v>
      </c>
      <c r="D660" t="s">
        <v>80</v>
      </c>
      <c r="E660" t="s">
        <v>70</v>
      </c>
      <c r="F660">
        <v>9</v>
      </c>
      <c r="G660">
        <v>0.22</v>
      </c>
      <c r="H660">
        <v>0.46</v>
      </c>
      <c r="I660" t="s">
        <v>60</v>
      </c>
      <c r="J660">
        <v>97239</v>
      </c>
      <c r="K660" t="s">
        <v>42</v>
      </c>
      <c r="L660">
        <v>-4</v>
      </c>
      <c r="M660">
        <v>54</v>
      </c>
      <c r="N660" t="s">
        <v>35</v>
      </c>
      <c r="O660" t="s">
        <v>36</v>
      </c>
      <c r="P660">
        <v>4.47</v>
      </c>
      <c r="Q660" t="s">
        <v>24</v>
      </c>
      <c r="R660">
        <v>4.8</v>
      </c>
      <c r="S660" t="s">
        <v>28</v>
      </c>
      <c r="T660" t="str">
        <f t="shared" si="20"/>
        <v>High</v>
      </c>
      <c r="U660" t="str">
        <f t="shared" si="21"/>
        <v>Experienced</v>
      </c>
    </row>
    <row r="661" spans="1:21" x14ac:dyDescent="0.35">
      <c r="A661" t="s">
        <v>734</v>
      </c>
      <c r="B661" t="s">
        <v>51</v>
      </c>
      <c r="C661" t="s">
        <v>21</v>
      </c>
      <c r="D661" t="s">
        <v>40</v>
      </c>
      <c r="E661" t="s">
        <v>33</v>
      </c>
      <c r="F661">
        <v>13</v>
      </c>
      <c r="G661">
        <v>0.15</v>
      </c>
      <c r="H661">
        <v>0.23</v>
      </c>
      <c r="I661" t="s">
        <v>60</v>
      </c>
      <c r="J661">
        <v>131728</v>
      </c>
      <c r="K661" t="s">
        <v>42</v>
      </c>
      <c r="L661">
        <v>18</v>
      </c>
      <c r="M661">
        <v>53</v>
      </c>
      <c r="N661" t="s">
        <v>35</v>
      </c>
      <c r="O661" t="s">
        <v>36</v>
      </c>
      <c r="P661">
        <v>3.79</v>
      </c>
      <c r="Q661" t="s">
        <v>24</v>
      </c>
      <c r="R661">
        <v>3.65</v>
      </c>
      <c r="S661" t="s">
        <v>28</v>
      </c>
      <c r="T661" t="str">
        <f t="shared" si="20"/>
        <v>High</v>
      </c>
      <c r="U661" t="str">
        <f t="shared" si="21"/>
        <v>Experienced</v>
      </c>
    </row>
    <row r="662" spans="1:21" x14ac:dyDescent="0.35">
      <c r="A662" t="s">
        <v>735</v>
      </c>
      <c r="B662" t="s">
        <v>51</v>
      </c>
      <c r="C662" t="s">
        <v>74</v>
      </c>
      <c r="D662" t="s">
        <v>49</v>
      </c>
      <c r="E662" t="s">
        <v>33</v>
      </c>
      <c r="F662">
        <v>20</v>
      </c>
      <c r="G662">
        <v>0.06</v>
      </c>
      <c r="H662">
        <v>0.32</v>
      </c>
      <c r="I662" t="s">
        <v>24</v>
      </c>
      <c r="J662">
        <v>95746</v>
      </c>
      <c r="K662" t="s">
        <v>42</v>
      </c>
      <c r="L662">
        <v>14</v>
      </c>
      <c r="M662">
        <v>34</v>
      </c>
      <c r="N662" t="s">
        <v>42</v>
      </c>
      <c r="O662" t="s">
        <v>27</v>
      </c>
      <c r="P662">
        <v>2.19</v>
      </c>
      <c r="Q662" t="s">
        <v>24</v>
      </c>
      <c r="R662">
        <v>3.51</v>
      </c>
      <c r="S662" t="s">
        <v>43</v>
      </c>
      <c r="T662" t="str">
        <f t="shared" si="20"/>
        <v>High</v>
      </c>
      <c r="U662" t="str">
        <f t="shared" si="21"/>
        <v>Expert</v>
      </c>
    </row>
    <row r="663" spans="1:21" x14ac:dyDescent="0.35">
      <c r="A663" t="s">
        <v>736</v>
      </c>
      <c r="B663" t="s">
        <v>20</v>
      </c>
      <c r="C663" t="s">
        <v>74</v>
      </c>
      <c r="D663" t="s">
        <v>75</v>
      </c>
      <c r="E663" t="s">
        <v>41</v>
      </c>
      <c r="F663">
        <v>21</v>
      </c>
      <c r="G663">
        <v>0.53</v>
      </c>
      <c r="H663">
        <v>0.64</v>
      </c>
      <c r="I663" t="s">
        <v>24</v>
      </c>
      <c r="J663">
        <v>67581</v>
      </c>
      <c r="K663" t="s">
        <v>42</v>
      </c>
      <c r="L663">
        <v>23</v>
      </c>
      <c r="M663">
        <v>47</v>
      </c>
      <c r="N663" t="s">
        <v>35</v>
      </c>
      <c r="O663" t="s">
        <v>27</v>
      </c>
      <c r="P663">
        <v>4.16</v>
      </c>
      <c r="Q663" t="s">
        <v>34</v>
      </c>
      <c r="R663">
        <v>2.48</v>
      </c>
      <c r="S663" t="s">
        <v>47</v>
      </c>
      <c r="T663" t="str">
        <f t="shared" si="20"/>
        <v>High</v>
      </c>
      <c r="U663" t="str">
        <f t="shared" si="21"/>
        <v>Expert</v>
      </c>
    </row>
    <row r="664" spans="1:21" x14ac:dyDescent="0.35">
      <c r="A664" t="s">
        <v>737</v>
      </c>
      <c r="B664" t="s">
        <v>38</v>
      </c>
      <c r="C664" t="s">
        <v>21</v>
      </c>
      <c r="D664" t="s">
        <v>59</v>
      </c>
      <c r="E664" t="s">
        <v>41</v>
      </c>
      <c r="F664">
        <v>18</v>
      </c>
      <c r="G664">
        <v>0.05</v>
      </c>
      <c r="H664">
        <v>0.25</v>
      </c>
      <c r="I664" t="s">
        <v>60</v>
      </c>
      <c r="J664">
        <v>131587</v>
      </c>
      <c r="K664" t="s">
        <v>25</v>
      </c>
      <c r="L664">
        <v>-9</v>
      </c>
      <c r="M664">
        <v>50</v>
      </c>
      <c r="N664" t="s">
        <v>42</v>
      </c>
      <c r="O664" t="s">
        <v>27</v>
      </c>
      <c r="P664">
        <v>3.93</v>
      </c>
      <c r="Q664" t="s">
        <v>34</v>
      </c>
      <c r="R664">
        <v>3.74</v>
      </c>
      <c r="S664" t="s">
        <v>43</v>
      </c>
      <c r="T664" t="str">
        <f t="shared" si="20"/>
        <v>High</v>
      </c>
      <c r="U664" t="str">
        <f t="shared" si="21"/>
        <v>Expert</v>
      </c>
    </row>
    <row r="665" spans="1:21" x14ac:dyDescent="0.35">
      <c r="A665" t="s">
        <v>738</v>
      </c>
      <c r="B665" t="s">
        <v>20</v>
      </c>
      <c r="C665" t="s">
        <v>74</v>
      </c>
      <c r="D665" t="s">
        <v>59</v>
      </c>
      <c r="E665" t="s">
        <v>33</v>
      </c>
      <c r="F665">
        <v>9</v>
      </c>
      <c r="G665">
        <v>0.48</v>
      </c>
      <c r="H665">
        <v>0.91</v>
      </c>
      <c r="I665" t="s">
        <v>60</v>
      </c>
      <c r="J665">
        <v>149071</v>
      </c>
      <c r="K665" t="s">
        <v>27</v>
      </c>
      <c r="L665">
        <v>1</v>
      </c>
      <c r="M665">
        <v>60</v>
      </c>
      <c r="N665" t="s">
        <v>42</v>
      </c>
      <c r="O665" t="s">
        <v>36</v>
      </c>
      <c r="P665">
        <v>4.6500000000000004</v>
      </c>
      <c r="Q665" t="s">
        <v>34</v>
      </c>
      <c r="R665">
        <v>3.96</v>
      </c>
      <c r="S665" t="s">
        <v>43</v>
      </c>
      <c r="T665" t="str">
        <f t="shared" si="20"/>
        <v>High</v>
      </c>
      <c r="U665" t="str">
        <f t="shared" si="21"/>
        <v>Experienced</v>
      </c>
    </row>
    <row r="666" spans="1:21" x14ac:dyDescent="0.35">
      <c r="A666" t="s">
        <v>739</v>
      </c>
      <c r="B666" t="s">
        <v>106</v>
      </c>
      <c r="C666" t="s">
        <v>74</v>
      </c>
      <c r="D666" t="s">
        <v>59</v>
      </c>
      <c r="E666" t="s">
        <v>23</v>
      </c>
      <c r="F666">
        <v>13</v>
      </c>
      <c r="G666">
        <v>0.84</v>
      </c>
      <c r="H666">
        <v>0.87</v>
      </c>
      <c r="I666" t="s">
        <v>34</v>
      </c>
      <c r="J666">
        <v>135442</v>
      </c>
      <c r="K666" t="s">
        <v>42</v>
      </c>
      <c r="L666">
        <v>36</v>
      </c>
      <c r="M666">
        <v>44</v>
      </c>
      <c r="N666" t="s">
        <v>42</v>
      </c>
      <c r="O666" t="s">
        <v>36</v>
      </c>
      <c r="P666">
        <v>3.39</v>
      </c>
      <c r="Q666" t="s">
        <v>34</v>
      </c>
      <c r="R666">
        <v>2.2999999999999998</v>
      </c>
      <c r="S666" t="s">
        <v>43</v>
      </c>
      <c r="T666" t="str">
        <f t="shared" si="20"/>
        <v>High</v>
      </c>
      <c r="U666" t="str">
        <f t="shared" si="21"/>
        <v>Experienced</v>
      </c>
    </row>
    <row r="667" spans="1:21" x14ac:dyDescent="0.35">
      <c r="A667" t="s">
        <v>740</v>
      </c>
      <c r="B667" t="s">
        <v>77</v>
      </c>
      <c r="C667" t="s">
        <v>74</v>
      </c>
      <c r="D667" t="s">
        <v>49</v>
      </c>
      <c r="E667" t="s">
        <v>23</v>
      </c>
      <c r="F667">
        <v>11</v>
      </c>
      <c r="G667">
        <v>0.69</v>
      </c>
      <c r="H667">
        <v>0.65</v>
      </c>
      <c r="I667" t="s">
        <v>60</v>
      </c>
      <c r="J667">
        <v>202838</v>
      </c>
      <c r="K667" t="s">
        <v>42</v>
      </c>
      <c r="L667">
        <v>3</v>
      </c>
      <c r="M667">
        <v>42</v>
      </c>
      <c r="N667" t="s">
        <v>35</v>
      </c>
      <c r="O667" t="s">
        <v>36</v>
      </c>
      <c r="P667">
        <v>2.33</v>
      </c>
      <c r="Q667" t="s">
        <v>34</v>
      </c>
      <c r="R667">
        <v>2.2000000000000002</v>
      </c>
      <c r="S667" t="s">
        <v>28</v>
      </c>
      <c r="T667" t="str">
        <f t="shared" si="20"/>
        <v>Moderate</v>
      </c>
      <c r="U667" t="str">
        <f t="shared" si="21"/>
        <v>Experienced</v>
      </c>
    </row>
    <row r="668" spans="1:21" x14ac:dyDescent="0.35">
      <c r="A668" t="s">
        <v>741</v>
      </c>
      <c r="B668" t="s">
        <v>51</v>
      </c>
      <c r="C668" t="s">
        <v>107</v>
      </c>
      <c r="D668" t="s">
        <v>75</v>
      </c>
      <c r="E668" t="s">
        <v>33</v>
      </c>
      <c r="F668">
        <v>12</v>
      </c>
      <c r="G668">
        <v>0.64</v>
      </c>
      <c r="H668">
        <v>0.94</v>
      </c>
      <c r="I668" t="s">
        <v>60</v>
      </c>
      <c r="J668">
        <v>143189</v>
      </c>
      <c r="K668" t="s">
        <v>27</v>
      </c>
      <c r="L668">
        <v>1</v>
      </c>
      <c r="M668">
        <v>38</v>
      </c>
      <c r="N668" t="s">
        <v>26</v>
      </c>
      <c r="O668" t="s">
        <v>27</v>
      </c>
      <c r="P668">
        <v>3.69</v>
      </c>
      <c r="Q668" t="s">
        <v>24</v>
      </c>
      <c r="R668">
        <v>3.56</v>
      </c>
      <c r="S668" t="s">
        <v>28</v>
      </c>
      <c r="T668" t="str">
        <f t="shared" si="20"/>
        <v>High</v>
      </c>
      <c r="U668" t="str">
        <f t="shared" si="21"/>
        <v>Experienced</v>
      </c>
    </row>
    <row r="669" spans="1:21" x14ac:dyDescent="0.35">
      <c r="A669" t="s">
        <v>742</v>
      </c>
      <c r="B669" t="s">
        <v>30</v>
      </c>
      <c r="C669" t="s">
        <v>46</v>
      </c>
      <c r="D669" t="s">
        <v>22</v>
      </c>
      <c r="E669" t="s">
        <v>41</v>
      </c>
      <c r="F669">
        <v>21</v>
      </c>
      <c r="G669">
        <v>0.27</v>
      </c>
      <c r="H669">
        <v>0.78</v>
      </c>
      <c r="I669" t="s">
        <v>24</v>
      </c>
      <c r="J669">
        <v>157581</v>
      </c>
      <c r="K669" t="s">
        <v>25</v>
      </c>
      <c r="L669">
        <v>-5</v>
      </c>
      <c r="M669">
        <v>30</v>
      </c>
      <c r="N669" t="s">
        <v>35</v>
      </c>
      <c r="O669" t="s">
        <v>25</v>
      </c>
      <c r="P669">
        <v>2.99</v>
      </c>
      <c r="Q669" t="s">
        <v>24</v>
      </c>
      <c r="R669">
        <v>2.25</v>
      </c>
      <c r="S669" t="s">
        <v>43</v>
      </c>
      <c r="T669" t="str">
        <f t="shared" si="20"/>
        <v>Very High</v>
      </c>
      <c r="U669" t="str">
        <f t="shared" si="21"/>
        <v>Expert</v>
      </c>
    </row>
    <row r="670" spans="1:21" x14ac:dyDescent="0.35">
      <c r="A670" t="s">
        <v>743</v>
      </c>
      <c r="B670" t="s">
        <v>38</v>
      </c>
      <c r="C670" t="s">
        <v>107</v>
      </c>
      <c r="D670" t="s">
        <v>49</v>
      </c>
      <c r="E670" t="s">
        <v>70</v>
      </c>
      <c r="F670">
        <v>22</v>
      </c>
      <c r="G670">
        <v>0.11</v>
      </c>
      <c r="H670">
        <v>0.69</v>
      </c>
      <c r="I670" t="s">
        <v>24</v>
      </c>
      <c r="J670">
        <v>112706</v>
      </c>
      <c r="K670" t="s">
        <v>42</v>
      </c>
      <c r="L670">
        <v>9</v>
      </c>
      <c r="M670">
        <v>33</v>
      </c>
      <c r="N670" t="s">
        <v>26</v>
      </c>
      <c r="O670" t="s">
        <v>25</v>
      </c>
      <c r="P670">
        <v>4.7</v>
      </c>
      <c r="Q670" t="s">
        <v>24</v>
      </c>
      <c r="R670">
        <v>1.65</v>
      </c>
      <c r="S670" t="s">
        <v>47</v>
      </c>
      <c r="T670" t="str">
        <f t="shared" si="20"/>
        <v>High</v>
      </c>
      <c r="U670" t="str">
        <f t="shared" si="21"/>
        <v>Expert</v>
      </c>
    </row>
    <row r="671" spans="1:21" x14ac:dyDescent="0.35">
      <c r="A671" t="s">
        <v>744</v>
      </c>
      <c r="B671" t="s">
        <v>91</v>
      </c>
      <c r="C671" t="s">
        <v>21</v>
      </c>
      <c r="D671" t="s">
        <v>75</v>
      </c>
      <c r="E671" t="s">
        <v>33</v>
      </c>
      <c r="F671">
        <v>12</v>
      </c>
      <c r="G671">
        <v>0.93</v>
      </c>
      <c r="H671">
        <v>0.72</v>
      </c>
      <c r="I671" t="s">
        <v>34</v>
      </c>
      <c r="J671">
        <v>68442</v>
      </c>
      <c r="K671" t="s">
        <v>42</v>
      </c>
      <c r="L671">
        <v>20</v>
      </c>
      <c r="M671">
        <v>35</v>
      </c>
      <c r="N671" t="s">
        <v>35</v>
      </c>
      <c r="O671" t="s">
        <v>27</v>
      </c>
      <c r="P671">
        <v>4.0599999999999996</v>
      </c>
      <c r="Q671" t="s">
        <v>34</v>
      </c>
      <c r="R671">
        <v>4.72</v>
      </c>
      <c r="S671" t="s">
        <v>28</v>
      </c>
      <c r="T671" t="str">
        <f t="shared" si="20"/>
        <v>Moderate</v>
      </c>
      <c r="U671" t="str">
        <f t="shared" si="21"/>
        <v>Experienced</v>
      </c>
    </row>
    <row r="672" spans="1:21" x14ac:dyDescent="0.35">
      <c r="A672" t="s">
        <v>745</v>
      </c>
      <c r="B672" t="s">
        <v>147</v>
      </c>
      <c r="C672" t="s">
        <v>21</v>
      </c>
      <c r="D672" t="s">
        <v>32</v>
      </c>
      <c r="E672" t="s">
        <v>33</v>
      </c>
      <c r="F672">
        <v>19</v>
      </c>
      <c r="G672">
        <v>0.56000000000000005</v>
      </c>
      <c r="H672">
        <v>0.9</v>
      </c>
      <c r="I672" t="s">
        <v>34</v>
      </c>
      <c r="J672">
        <v>52284</v>
      </c>
      <c r="K672" t="s">
        <v>27</v>
      </c>
      <c r="L672">
        <v>15</v>
      </c>
      <c r="M672">
        <v>59</v>
      </c>
      <c r="N672" t="s">
        <v>35</v>
      </c>
      <c r="O672" t="s">
        <v>25</v>
      </c>
      <c r="P672">
        <v>4.9800000000000004</v>
      </c>
      <c r="Q672" t="s">
        <v>24</v>
      </c>
      <c r="R672">
        <v>4.8499999999999996</v>
      </c>
      <c r="S672" t="s">
        <v>43</v>
      </c>
      <c r="T672" t="str">
        <f t="shared" si="20"/>
        <v>High</v>
      </c>
      <c r="U672" t="str">
        <f t="shared" si="21"/>
        <v>Expert</v>
      </c>
    </row>
    <row r="673" spans="1:21" x14ac:dyDescent="0.35">
      <c r="A673" t="s">
        <v>746</v>
      </c>
      <c r="B673" t="s">
        <v>147</v>
      </c>
      <c r="C673" t="s">
        <v>31</v>
      </c>
      <c r="D673" t="s">
        <v>59</v>
      </c>
      <c r="E673" t="s">
        <v>70</v>
      </c>
      <c r="F673">
        <v>16</v>
      </c>
      <c r="G673">
        <v>0.85</v>
      </c>
      <c r="H673">
        <v>0.53</v>
      </c>
      <c r="I673" t="s">
        <v>24</v>
      </c>
      <c r="J673">
        <v>74318</v>
      </c>
      <c r="K673" t="s">
        <v>42</v>
      </c>
      <c r="L673">
        <v>10</v>
      </c>
      <c r="M673">
        <v>58</v>
      </c>
      <c r="N673" t="s">
        <v>35</v>
      </c>
      <c r="O673" t="s">
        <v>25</v>
      </c>
      <c r="P673">
        <v>3.95</v>
      </c>
      <c r="Q673" t="s">
        <v>34</v>
      </c>
      <c r="R673">
        <v>2.0499999999999998</v>
      </c>
      <c r="S673" t="s">
        <v>43</v>
      </c>
      <c r="T673" t="str">
        <f t="shared" si="20"/>
        <v>Moderate</v>
      </c>
      <c r="U673" t="str">
        <f t="shared" si="21"/>
        <v>Expert</v>
      </c>
    </row>
    <row r="674" spans="1:21" x14ac:dyDescent="0.35">
      <c r="A674" t="s">
        <v>747</v>
      </c>
      <c r="B674" t="s">
        <v>156</v>
      </c>
      <c r="C674" t="s">
        <v>46</v>
      </c>
      <c r="D674" t="s">
        <v>75</v>
      </c>
      <c r="E674" t="s">
        <v>70</v>
      </c>
      <c r="F674">
        <v>12</v>
      </c>
      <c r="G674">
        <v>0.35</v>
      </c>
      <c r="H674">
        <v>0.22</v>
      </c>
      <c r="I674" t="s">
        <v>24</v>
      </c>
      <c r="J674">
        <v>193622</v>
      </c>
      <c r="K674" t="s">
        <v>42</v>
      </c>
      <c r="L674">
        <v>14</v>
      </c>
      <c r="M674">
        <v>42</v>
      </c>
      <c r="N674" t="s">
        <v>35</v>
      </c>
      <c r="O674" t="s">
        <v>27</v>
      </c>
      <c r="P674">
        <v>4.0199999999999996</v>
      </c>
      <c r="Q674" t="s">
        <v>34</v>
      </c>
      <c r="R674">
        <v>2.34</v>
      </c>
      <c r="S674" t="s">
        <v>28</v>
      </c>
      <c r="T674" t="str">
        <f t="shared" si="20"/>
        <v>Moderate</v>
      </c>
      <c r="U674" t="str">
        <f t="shared" si="21"/>
        <v>Experienced</v>
      </c>
    </row>
    <row r="675" spans="1:21" x14ac:dyDescent="0.35">
      <c r="A675" t="s">
        <v>748</v>
      </c>
      <c r="B675" t="s">
        <v>45</v>
      </c>
      <c r="C675" t="s">
        <v>107</v>
      </c>
      <c r="D675" t="s">
        <v>40</v>
      </c>
      <c r="E675" t="s">
        <v>70</v>
      </c>
      <c r="F675">
        <v>16</v>
      </c>
      <c r="G675">
        <v>0.55000000000000004</v>
      </c>
      <c r="H675">
        <v>0.59</v>
      </c>
      <c r="I675" t="s">
        <v>24</v>
      </c>
      <c r="J675">
        <v>99906</v>
      </c>
      <c r="K675" t="s">
        <v>25</v>
      </c>
      <c r="L675">
        <v>41</v>
      </c>
      <c r="M675">
        <v>34</v>
      </c>
      <c r="N675" t="s">
        <v>35</v>
      </c>
      <c r="O675" t="s">
        <v>25</v>
      </c>
      <c r="P675">
        <v>2.2200000000000002</v>
      </c>
      <c r="Q675" t="s">
        <v>34</v>
      </c>
      <c r="R675">
        <v>1.26</v>
      </c>
      <c r="S675" t="s">
        <v>28</v>
      </c>
      <c r="T675" t="str">
        <f t="shared" si="20"/>
        <v>High</v>
      </c>
      <c r="U675" t="str">
        <f t="shared" si="21"/>
        <v>Expert</v>
      </c>
    </row>
    <row r="676" spans="1:21" x14ac:dyDescent="0.35">
      <c r="A676" t="s">
        <v>749</v>
      </c>
      <c r="B676" t="s">
        <v>45</v>
      </c>
      <c r="C676" t="s">
        <v>82</v>
      </c>
      <c r="D676" t="s">
        <v>22</v>
      </c>
      <c r="E676" t="s">
        <v>23</v>
      </c>
      <c r="F676">
        <v>20</v>
      </c>
      <c r="G676">
        <v>0.06</v>
      </c>
      <c r="H676">
        <v>0.84</v>
      </c>
      <c r="I676" t="s">
        <v>34</v>
      </c>
      <c r="J676">
        <v>191863</v>
      </c>
      <c r="K676" t="s">
        <v>27</v>
      </c>
      <c r="L676">
        <v>-4</v>
      </c>
      <c r="M676">
        <v>49</v>
      </c>
      <c r="N676" t="s">
        <v>35</v>
      </c>
      <c r="O676" t="s">
        <v>25</v>
      </c>
      <c r="P676">
        <v>4.1100000000000003</v>
      </c>
      <c r="Q676" t="s">
        <v>24</v>
      </c>
      <c r="R676">
        <v>4.67</v>
      </c>
      <c r="S676" t="s">
        <v>47</v>
      </c>
      <c r="T676" t="str">
        <f t="shared" si="20"/>
        <v>Very High</v>
      </c>
      <c r="U676" t="str">
        <f t="shared" si="21"/>
        <v>Expert</v>
      </c>
    </row>
    <row r="677" spans="1:21" x14ac:dyDescent="0.35">
      <c r="A677" t="s">
        <v>750</v>
      </c>
      <c r="B677" t="s">
        <v>45</v>
      </c>
      <c r="C677" t="s">
        <v>52</v>
      </c>
      <c r="D677" t="s">
        <v>63</v>
      </c>
      <c r="E677" t="s">
        <v>33</v>
      </c>
      <c r="F677">
        <v>15</v>
      </c>
      <c r="G677">
        <v>0.76</v>
      </c>
      <c r="H677">
        <v>0.38</v>
      </c>
      <c r="I677" t="s">
        <v>24</v>
      </c>
      <c r="J677">
        <v>43106</v>
      </c>
      <c r="K677" t="s">
        <v>27</v>
      </c>
      <c r="L677">
        <v>21</v>
      </c>
      <c r="M677">
        <v>49</v>
      </c>
      <c r="N677" t="s">
        <v>26</v>
      </c>
      <c r="O677" t="s">
        <v>25</v>
      </c>
      <c r="P677">
        <v>3.41</v>
      </c>
      <c r="Q677" t="s">
        <v>24</v>
      </c>
      <c r="R677">
        <v>2.77</v>
      </c>
      <c r="S677" t="s">
        <v>28</v>
      </c>
      <c r="T677" t="str">
        <f t="shared" si="20"/>
        <v>Very Low</v>
      </c>
      <c r="U677" t="str">
        <f t="shared" si="21"/>
        <v>Experienced</v>
      </c>
    </row>
    <row r="678" spans="1:21" x14ac:dyDescent="0.35">
      <c r="A678" t="s">
        <v>751</v>
      </c>
      <c r="B678" t="s">
        <v>102</v>
      </c>
      <c r="C678" t="s">
        <v>21</v>
      </c>
      <c r="D678" t="s">
        <v>40</v>
      </c>
      <c r="E678" t="s">
        <v>33</v>
      </c>
      <c r="F678">
        <v>5</v>
      </c>
      <c r="G678">
        <v>0.28999999999999998</v>
      </c>
      <c r="H678">
        <v>0.89</v>
      </c>
      <c r="I678" t="s">
        <v>34</v>
      </c>
      <c r="J678">
        <v>180846</v>
      </c>
      <c r="K678" t="s">
        <v>25</v>
      </c>
      <c r="L678">
        <v>0</v>
      </c>
      <c r="M678">
        <v>42</v>
      </c>
      <c r="N678" t="s">
        <v>26</v>
      </c>
      <c r="O678" t="s">
        <v>27</v>
      </c>
      <c r="P678">
        <v>2.89</v>
      </c>
      <c r="Q678" t="s">
        <v>34</v>
      </c>
      <c r="R678">
        <v>3.03</v>
      </c>
      <c r="S678" t="s">
        <v>43</v>
      </c>
      <c r="T678" t="str">
        <f t="shared" si="20"/>
        <v>Very High</v>
      </c>
      <c r="U678" t="str">
        <f t="shared" si="21"/>
        <v>Intermediate</v>
      </c>
    </row>
    <row r="679" spans="1:21" x14ac:dyDescent="0.35">
      <c r="A679" t="s">
        <v>752</v>
      </c>
      <c r="B679" t="s">
        <v>54</v>
      </c>
      <c r="C679" t="s">
        <v>31</v>
      </c>
      <c r="D679" t="s">
        <v>32</v>
      </c>
      <c r="E679" t="s">
        <v>41</v>
      </c>
      <c r="F679">
        <v>1</v>
      </c>
      <c r="G679">
        <v>0.27</v>
      </c>
      <c r="H679">
        <v>0.21</v>
      </c>
      <c r="I679" t="s">
        <v>24</v>
      </c>
      <c r="J679">
        <v>209183</v>
      </c>
      <c r="K679" t="s">
        <v>42</v>
      </c>
      <c r="L679">
        <v>12</v>
      </c>
      <c r="M679">
        <v>58</v>
      </c>
      <c r="N679" t="s">
        <v>26</v>
      </c>
      <c r="O679" t="s">
        <v>25</v>
      </c>
      <c r="P679">
        <v>3.86</v>
      </c>
      <c r="Q679" t="s">
        <v>34</v>
      </c>
      <c r="R679">
        <v>1.32</v>
      </c>
      <c r="S679" t="s">
        <v>28</v>
      </c>
      <c r="T679" t="str">
        <f t="shared" si="20"/>
        <v>Moderate</v>
      </c>
      <c r="U679" t="str">
        <f t="shared" si="21"/>
        <v>Beginner</v>
      </c>
    </row>
    <row r="680" spans="1:21" x14ac:dyDescent="0.35">
      <c r="A680" t="s">
        <v>753</v>
      </c>
      <c r="B680" t="s">
        <v>38</v>
      </c>
      <c r="C680" t="s">
        <v>31</v>
      </c>
      <c r="D680" t="s">
        <v>63</v>
      </c>
      <c r="E680" t="s">
        <v>23</v>
      </c>
      <c r="F680">
        <v>11</v>
      </c>
      <c r="G680">
        <v>0.68</v>
      </c>
      <c r="H680">
        <v>0.68</v>
      </c>
      <c r="I680" t="s">
        <v>60</v>
      </c>
      <c r="J680">
        <v>47269</v>
      </c>
      <c r="K680" t="s">
        <v>42</v>
      </c>
      <c r="L680">
        <v>13</v>
      </c>
      <c r="M680">
        <v>45</v>
      </c>
      <c r="N680" t="s">
        <v>42</v>
      </c>
      <c r="O680" t="s">
        <v>36</v>
      </c>
      <c r="P680">
        <v>2.94</v>
      </c>
      <c r="Q680" t="s">
        <v>24</v>
      </c>
      <c r="R680">
        <v>1.91</v>
      </c>
      <c r="S680" t="s">
        <v>47</v>
      </c>
      <c r="T680" t="str">
        <f t="shared" si="20"/>
        <v>Moderate</v>
      </c>
      <c r="U680" t="str">
        <f t="shared" si="21"/>
        <v>Experienced</v>
      </c>
    </row>
    <row r="681" spans="1:21" x14ac:dyDescent="0.35">
      <c r="A681" t="s">
        <v>754</v>
      </c>
      <c r="B681" t="s">
        <v>91</v>
      </c>
      <c r="C681" t="s">
        <v>107</v>
      </c>
      <c r="D681" t="s">
        <v>49</v>
      </c>
      <c r="E681" t="s">
        <v>33</v>
      </c>
      <c r="F681">
        <v>4</v>
      </c>
      <c r="G681">
        <v>0.84</v>
      </c>
      <c r="H681">
        <v>0.46</v>
      </c>
      <c r="I681" t="s">
        <v>60</v>
      </c>
      <c r="J681">
        <v>135707</v>
      </c>
      <c r="K681" t="s">
        <v>42</v>
      </c>
      <c r="L681">
        <v>16</v>
      </c>
      <c r="M681">
        <v>60</v>
      </c>
      <c r="N681" t="s">
        <v>35</v>
      </c>
      <c r="O681" t="s">
        <v>25</v>
      </c>
      <c r="P681">
        <v>4.3600000000000003</v>
      </c>
      <c r="Q681" t="s">
        <v>34</v>
      </c>
      <c r="R681">
        <v>4.96</v>
      </c>
      <c r="S681" t="s">
        <v>28</v>
      </c>
      <c r="T681" t="str">
        <f t="shared" si="20"/>
        <v>Very Low</v>
      </c>
      <c r="U681" t="str">
        <f t="shared" si="21"/>
        <v>Intermediate</v>
      </c>
    </row>
    <row r="682" spans="1:21" x14ac:dyDescent="0.35">
      <c r="A682" t="s">
        <v>755</v>
      </c>
      <c r="B682" t="s">
        <v>106</v>
      </c>
      <c r="C682" t="s">
        <v>46</v>
      </c>
      <c r="D682" t="s">
        <v>32</v>
      </c>
      <c r="E682" t="s">
        <v>33</v>
      </c>
      <c r="F682">
        <v>3</v>
      </c>
      <c r="G682">
        <v>0.76</v>
      </c>
      <c r="H682">
        <v>0.72</v>
      </c>
      <c r="I682" t="s">
        <v>24</v>
      </c>
      <c r="J682">
        <v>75293</v>
      </c>
      <c r="K682" t="s">
        <v>42</v>
      </c>
      <c r="L682">
        <v>20</v>
      </c>
      <c r="M682">
        <v>34</v>
      </c>
      <c r="N682" t="s">
        <v>42</v>
      </c>
      <c r="O682" t="s">
        <v>36</v>
      </c>
      <c r="P682">
        <v>2.59</v>
      </c>
      <c r="Q682" t="s">
        <v>34</v>
      </c>
      <c r="R682">
        <v>2.57</v>
      </c>
      <c r="S682" t="s">
        <v>43</v>
      </c>
      <c r="T682" t="str">
        <f t="shared" si="20"/>
        <v>Moderate</v>
      </c>
      <c r="U682" t="str">
        <f t="shared" si="21"/>
        <v>Intermediate</v>
      </c>
    </row>
    <row r="683" spans="1:21" x14ac:dyDescent="0.35">
      <c r="A683" t="s">
        <v>756</v>
      </c>
      <c r="B683" t="s">
        <v>89</v>
      </c>
      <c r="C683" t="s">
        <v>58</v>
      </c>
      <c r="D683" t="s">
        <v>63</v>
      </c>
      <c r="E683" t="s">
        <v>41</v>
      </c>
      <c r="F683">
        <v>2</v>
      </c>
      <c r="G683">
        <v>0.5</v>
      </c>
      <c r="H683">
        <v>0.54</v>
      </c>
      <c r="I683" t="s">
        <v>34</v>
      </c>
      <c r="J683">
        <v>71896</v>
      </c>
      <c r="K683" t="s">
        <v>27</v>
      </c>
      <c r="L683">
        <v>20</v>
      </c>
      <c r="M683">
        <v>49</v>
      </c>
      <c r="N683" t="s">
        <v>42</v>
      </c>
      <c r="O683" t="s">
        <v>25</v>
      </c>
      <c r="P683">
        <v>2.71</v>
      </c>
      <c r="Q683" t="s">
        <v>34</v>
      </c>
      <c r="R683">
        <v>4.21</v>
      </c>
      <c r="S683" t="s">
        <v>43</v>
      </c>
      <c r="T683" t="str">
        <f t="shared" si="20"/>
        <v>High</v>
      </c>
      <c r="U683" t="str">
        <f t="shared" si="21"/>
        <v>Beginner</v>
      </c>
    </row>
    <row r="684" spans="1:21" x14ac:dyDescent="0.35">
      <c r="A684" t="s">
        <v>757</v>
      </c>
      <c r="B684" t="s">
        <v>77</v>
      </c>
      <c r="C684" t="s">
        <v>82</v>
      </c>
      <c r="D684" t="s">
        <v>80</v>
      </c>
      <c r="E684" t="s">
        <v>70</v>
      </c>
      <c r="F684">
        <v>10</v>
      </c>
      <c r="G684">
        <v>0.67</v>
      </c>
      <c r="H684">
        <v>0.54</v>
      </c>
      <c r="I684" t="s">
        <v>60</v>
      </c>
      <c r="J684">
        <v>61941</v>
      </c>
      <c r="K684" t="s">
        <v>42</v>
      </c>
      <c r="L684">
        <v>41</v>
      </c>
      <c r="M684">
        <v>52</v>
      </c>
      <c r="N684" t="s">
        <v>35</v>
      </c>
      <c r="O684" t="s">
        <v>36</v>
      </c>
      <c r="P684">
        <v>3.7</v>
      </c>
      <c r="Q684" t="s">
        <v>34</v>
      </c>
      <c r="R684">
        <v>1.25</v>
      </c>
      <c r="S684" t="s">
        <v>43</v>
      </c>
      <c r="T684" t="str">
        <f t="shared" si="20"/>
        <v>Moderate</v>
      </c>
      <c r="U684" t="str">
        <f t="shared" si="21"/>
        <v>Experienced</v>
      </c>
    </row>
    <row r="685" spans="1:21" x14ac:dyDescent="0.35">
      <c r="A685" t="s">
        <v>758</v>
      </c>
      <c r="B685" t="s">
        <v>89</v>
      </c>
      <c r="C685" t="s">
        <v>31</v>
      </c>
      <c r="D685" t="s">
        <v>80</v>
      </c>
      <c r="E685" t="s">
        <v>70</v>
      </c>
      <c r="F685">
        <v>18</v>
      </c>
      <c r="G685">
        <v>0.26</v>
      </c>
      <c r="H685">
        <v>0.89</v>
      </c>
      <c r="I685" t="s">
        <v>34</v>
      </c>
      <c r="J685">
        <v>111929</v>
      </c>
      <c r="K685" t="s">
        <v>27</v>
      </c>
      <c r="L685">
        <v>2</v>
      </c>
      <c r="M685">
        <v>58</v>
      </c>
      <c r="N685" t="s">
        <v>35</v>
      </c>
      <c r="O685" t="s">
        <v>36</v>
      </c>
      <c r="P685">
        <v>4.34</v>
      </c>
      <c r="Q685" t="s">
        <v>24</v>
      </c>
      <c r="R685">
        <v>3.83</v>
      </c>
      <c r="S685" t="s">
        <v>28</v>
      </c>
      <c r="T685" t="str">
        <f t="shared" si="20"/>
        <v>Very High</v>
      </c>
      <c r="U685" t="str">
        <f t="shared" si="21"/>
        <v>Expert</v>
      </c>
    </row>
    <row r="686" spans="1:21" x14ac:dyDescent="0.35">
      <c r="A686" t="s">
        <v>759</v>
      </c>
      <c r="B686" t="s">
        <v>96</v>
      </c>
      <c r="C686" t="s">
        <v>82</v>
      </c>
      <c r="D686" t="s">
        <v>22</v>
      </c>
      <c r="E686" t="s">
        <v>70</v>
      </c>
      <c r="F686">
        <v>2</v>
      </c>
      <c r="G686">
        <v>7.0000000000000007E-2</v>
      </c>
      <c r="H686">
        <v>0.6</v>
      </c>
      <c r="I686" t="s">
        <v>60</v>
      </c>
      <c r="J686">
        <v>55056</v>
      </c>
      <c r="K686" t="s">
        <v>42</v>
      </c>
      <c r="L686">
        <v>19</v>
      </c>
      <c r="M686">
        <v>49</v>
      </c>
      <c r="N686" t="s">
        <v>26</v>
      </c>
      <c r="O686" t="s">
        <v>36</v>
      </c>
      <c r="P686">
        <v>2.2000000000000002</v>
      </c>
      <c r="Q686" t="s">
        <v>34</v>
      </c>
      <c r="R686">
        <v>4.1100000000000003</v>
      </c>
      <c r="S686" t="s">
        <v>43</v>
      </c>
      <c r="T686" t="str">
        <f t="shared" si="20"/>
        <v>High</v>
      </c>
      <c r="U686" t="str">
        <f t="shared" si="21"/>
        <v>Beginner</v>
      </c>
    </row>
    <row r="687" spans="1:21" x14ac:dyDescent="0.35">
      <c r="A687" t="s">
        <v>760</v>
      </c>
      <c r="B687" t="s">
        <v>77</v>
      </c>
      <c r="C687" t="s">
        <v>107</v>
      </c>
      <c r="D687" t="s">
        <v>80</v>
      </c>
      <c r="E687" t="s">
        <v>33</v>
      </c>
      <c r="F687">
        <v>25</v>
      </c>
      <c r="G687">
        <v>0.25</v>
      </c>
      <c r="H687">
        <v>0.2</v>
      </c>
      <c r="I687" t="s">
        <v>34</v>
      </c>
      <c r="J687">
        <v>123367</v>
      </c>
      <c r="K687" t="s">
        <v>42</v>
      </c>
      <c r="L687">
        <v>21</v>
      </c>
      <c r="M687">
        <v>40</v>
      </c>
      <c r="N687" t="s">
        <v>26</v>
      </c>
      <c r="O687" t="s">
        <v>27</v>
      </c>
      <c r="P687">
        <v>2.6</v>
      </c>
      <c r="Q687" t="s">
        <v>24</v>
      </c>
      <c r="R687">
        <v>4.83</v>
      </c>
      <c r="S687" t="s">
        <v>28</v>
      </c>
      <c r="T687" t="str">
        <f t="shared" si="20"/>
        <v>Moderate</v>
      </c>
      <c r="U687" t="str">
        <f t="shared" si="21"/>
        <v>Expert</v>
      </c>
    </row>
    <row r="688" spans="1:21" x14ac:dyDescent="0.35">
      <c r="A688" t="s">
        <v>761</v>
      </c>
      <c r="B688" t="s">
        <v>96</v>
      </c>
      <c r="C688" t="s">
        <v>52</v>
      </c>
      <c r="D688" t="s">
        <v>75</v>
      </c>
      <c r="E688" t="s">
        <v>70</v>
      </c>
      <c r="F688">
        <v>8</v>
      </c>
      <c r="G688">
        <v>0.52</v>
      </c>
      <c r="H688">
        <v>0.6</v>
      </c>
      <c r="I688" t="s">
        <v>24</v>
      </c>
      <c r="J688">
        <v>95071</v>
      </c>
      <c r="K688" t="s">
        <v>25</v>
      </c>
      <c r="L688">
        <v>8</v>
      </c>
      <c r="M688">
        <v>30</v>
      </c>
      <c r="N688" t="s">
        <v>35</v>
      </c>
      <c r="O688" t="s">
        <v>27</v>
      </c>
      <c r="P688">
        <v>3.93</v>
      </c>
      <c r="Q688" t="s">
        <v>34</v>
      </c>
      <c r="R688">
        <v>1.31</v>
      </c>
      <c r="S688" t="s">
        <v>43</v>
      </c>
      <c r="T688" t="str">
        <f t="shared" si="20"/>
        <v>High</v>
      </c>
      <c r="U688" t="str">
        <f t="shared" si="21"/>
        <v>Intermediate</v>
      </c>
    </row>
    <row r="689" spans="1:21" x14ac:dyDescent="0.35">
      <c r="A689" t="s">
        <v>762</v>
      </c>
      <c r="B689" t="s">
        <v>91</v>
      </c>
      <c r="C689" t="s">
        <v>31</v>
      </c>
      <c r="D689" t="s">
        <v>59</v>
      </c>
      <c r="E689" t="s">
        <v>23</v>
      </c>
      <c r="F689">
        <v>9</v>
      </c>
      <c r="G689">
        <v>0.45</v>
      </c>
      <c r="H689">
        <v>0.45</v>
      </c>
      <c r="I689" t="s">
        <v>24</v>
      </c>
      <c r="J689">
        <v>101710</v>
      </c>
      <c r="K689" t="s">
        <v>27</v>
      </c>
      <c r="L689">
        <v>-2</v>
      </c>
      <c r="M689">
        <v>40</v>
      </c>
      <c r="N689" t="s">
        <v>35</v>
      </c>
      <c r="O689" t="s">
        <v>25</v>
      </c>
      <c r="P689">
        <v>2.16</v>
      </c>
      <c r="Q689" t="s">
        <v>34</v>
      </c>
      <c r="R689">
        <v>3.21</v>
      </c>
      <c r="S689" t="s">
        <v>43</v>
      </c>
      <c r="T689" t="str">
        <f t="shared" si="20"/>
        <v>Moderate</v>
      </c>
      <c r="U689" t="str">
        <f t="shared" si="21"/>
        <v>Experienced</v>
      </c>
    </row>
    <row r="690" spans="1:21" x14ac:dyDescent="0.35">
      <c r="A690" t="s">
        <v>763</v>
      </c>
      <c r="B690" t="s">
        <v>30</v>
      </c>
      <c r="C690" t="s">
        <v>46</v>
      </c>
      <c r="D690" t="s">
        <v>75</v>
      </c>
      <c r="E690" t="s">
        <v>70</v>
      </c>
      <c r="F690">
        <v>10</v>
      </c>
      <c r="G690">
        <v>0.44</v>
      </c>
      <c r="H690">
        <v>0.46</v>
      </c>
      <c r="I690" t="s">
        <v>60</v>
      </c>
      <c r="J690">
        <v>76661</v>
      </c>
      <c r="K690" t="s">
        <v>27</v>
      </c>
      <c r="L690">
        <v>-8</v>
      </c>
      <c r="M690">
        <v>58</v>
      </c>
      <c r="N690" t="s">
        <v>26</v>
      </c>
      <c r="O690" t="s">
        <v>25</v>
      </c>
      <c r="P690">
        <v>4.17</v>
      </c>
      <c r="Q690" t="s">
        <v>24</v>
      </c>
      <c r="R690">
        <v>2.99</v>
      </c>
      <c r="S690" t="s">
        <v>47</v>
      </c>
      <c r="T690" t="str">
        <f t="shared" si="20"/>
        <v>High</v>
      </c>
      <c r="U690" t="str">
        <f t="shared" si="21"/>
        <v>Experienced</v>
      </c>
    </row>
    <row r="691" spans="1:21" x14ac:dyDescent="0.35">
      <c r="A691" t="s">
        <v>764</v>
      </c>
      <c r="B691" t="s">
        <v>30</v>
      </c>
      <c r="C691" t="s">
        <v>21</v>
      </c>
      <c r="D691" t="s">
        <v>69</v>
      </c>
      <c r="E691" t="s">
        <v>70</v>
      </c>
      <c r="F691">
        <v>24</v>
      </c>
      <c r="G691">
        <v>0.26</v>
      </c>
      <c r="H691">
        <v>0.8</v>
      </c>
      <c r="I691" t="s">
        <v>24</v>
      </c>
      <c r="J691">
        <v>123606</v>
      </c>
      <c r="K691" t="s">
        <v>42</v>
      </c>
      <c r="L691">
        <v>15</v>
      </c>
      <c r="M691">
        <v>47</v>
      </c>
      <c r="N691" t="s">
        <v>35</v>
      </c>
      <c r="O691" t="s">
        <v>27</v>
      </c>
      <c r="P691">
        <v>3.25</v>
      </c>
      <c r="Q691" t="s">
        <v>34</v>
      </c>
      <c r="R691">
        <v>3.78</v>
      </c>
      <c r="S691" t="s">
        <v>28</v>
      </c>
      <c r="T691" t="str">
        <f t="shared" si="20"/>
        <v>Very High</v>
      </c>
      <c r="U691" t="str">
        <f t="shared" si="21"/>
        <v>Expert</v>
      </c>
    </row>
    <row r="692" spans="1:21" x14ac:dyDescent="0.35">
      <c r="A692" t="s">
        <v>765</v>
      </c>
      <c r="B692" t="s">
        <v>57</v>
      </c>
      <c r="C692" t="s">
        <v>39</v>
      </c>
      <c r="D692" t="s">
        <v>75</v>
      </c>
      <c r="E692" t="s">
        <v>41</v>
      </c>
      <c r="F692">
        <v>1</v>
      </c>
      <c r="G692">
        <v>0.15</v>
      </c>
      <c r="H692">
        <v>0.92</v>
      </c>
      <c r="I692" t="s">
        <v>60</v>
      </c>
      <c r="J692">
        <v>98355</v>
      </c>
      <c r="K692" t="s">
        <v>27</v>
      </c>
      <c r="L692">
        <v>4</v>
      </c>
      <c r="M692">
        <v>45</v>
      </c>
      <c r="N692" t="s">
        <v>35</v>
      </c>
      <c r="O692" t="s">
        <v>25</v>
      </c>
      <c r="P692">
        <v>2.66</v>
      </c>
      <c r="Q692" t="s">
        <v>24</v>
      </c>
      <c r="R692">
        <v>4.8</v>
      </c>
      <c r="S692" t="s">
        <v>47</v>
      </c>
      <c r="T692" t="str">
        <f t="shared" si="20"/>
        <v>Very High</v>
      </c>
      <c r="U692" t="str">
        <f t="shared" si="21"/>
        <v>Beginner</v>
      </c>
    </row>
    <row r="693" spans="1:21" x14ac:dyDescent="0.35">
      <c r="A693" t="s">
        <v>766</v>
      </c>
      <c r="B693" t="s">
        <v>94</v>
      </c>
      <c r="C693" t="s">
        <v>55</v>
      </c>
      <c r="D693" t="s">
        <v>40</v>
      </c>
      <c r="E693" t="s">
        <v>41</v>
      </c>
      <c r="F693">
        <v>6</v>
      </c>
      <c r="G693">
        <v>0.74</v>
      </c>
      <c r="H693">
        <v>0.59</v>
      </c>
      <c r="I693" t="s">
        <v>60</v>
      </c>
      <c r="J693">
        <v>205542</v>
      </c>
      <c r="K693" t="s">
        <v>25</v>
      </c>
      <c r="L693">
        <v>3</v>
      </c>
      <c r="M693">
        <v>37</v>
      </c>
      <c r="N693" t="s">
        <v>26</v>
      </c>
      <c r="O693" t="s">
        <v>36</v>
      </c>
      <c r="P693">
        <v>2.02</v>
      </c>
      <c r="Q693" t="s">
        <v>24</v>
      </c>
      <c r="R693">
        <v>3.33</v>
      </c>
      <c r="S693" t="s">
        <v>43</v>
      </c>
      <c r="T693" t="str">
        <f t="shared" si="20"/>
        <v>Moderate</v>
      </c>
      <c r="U693" t="str">
        <f t="shared" si="21"/>
        <v>Intermediate</v>
      </c>
    </row>
    <row r="694" spans="1:21" x14ac:dyDescent="0.35">
      <c r="A694" t="s">
        <v>767</v>
      </c>
      <c r="B694" t="s">
        <v>62</v>
      </c>
      <c r="C694" t="s">
        <v>31</v>
      </c>
      <c r="D694" t="s">
        <v>80</v>
      </c>
      <c r="E694" t="s">
        <v>70</v>
      </c>
      <c r="F694">
        <v>16</v>
      </c>
      <c r="G694">
        <v>0.06</v>
      </c>
      <c r="H694">
        <v>0.7</v>
      </c>
      <c r="I694" t="s">
        <v>34</v>
      </c>
      <c r="J694">
        <v>193261</v>
      </c>
      <c r="K694" t="s">
        <v>25</v>
      </c>
      <c r="L694">
        <v>43</v>
      </c>
      <c r="M694">
        <v>36</v>
      </c>
      <c r="N694" t="s">
        <v>26</v>
      </c>
      <c r="O694" t="s">
        <v>36</v>
      </c>
      <c r="P694">
        <v>3</v>
      </c>
      <c r="Q694" t="s">
        <v>34</v>
      </c>
      <c r="R694">
        <v>4.59</v>
      </c>
      <c r="S694" t="s">
        <v>43</v>
      </c>
      <c r="T694" t="str">
        <f t="shared" si="20"/>
        <v>Very High</v>
      </c>
      <c r="U694" t="str">
        <f t="shared" si="21"/>
        <v>Expert</v>
      </c>
    </row>
    <row r="695" spans="1:21" x14ac:dyDescent="0.35">
      <c r="A695" t="s">
        <v>768</v>
      </c>
      <c r="B695" t="s">
        <v>65</v>
      </c>
      <c r="C695" t="s">
        <v>52</v>
      </c>
      <c r="D695" t="s">
        <v>59</v>
      </c>
      <c r="E695" t="s">
        <v>33</v>
      </c>
      <c r="F695">
        <v>3</v>
      </c>
      <c r="G695">
        <v>0.45</v>
      </c>
      <c r="H695">
        <v>0.96</v>
      </c>
      <c r="I695" t="s">
        <v>24</v>
      </c>
      <c r="J695">
        <v>206120</v>
      </c>
      <c r="K695" t="s">
        <v>42</v>
      </c>
      <c r="L695">
        <v>41</v>
      </c>
      <c r="M695">
        <v>33</v>
      </c>
      <c r="N695" t="s">
        <v>26</v>
      </c>
      <c r="O695" t="s">
        <v>25</v>
      </c>
      <c r="P695">
        <v>2.6</v>
      </c>
      <c r="Q695" t="s">
        <v>34</v>
      </c>
      <c r="R695">
        <v>4.33</v>
      </c>
      <c r="S695" t="s">
        <v>28</v>
      </c>
      <c r="T695" t="str">
        <f t="shared" si="20"/>
        <v>High</v>
      </c>
      <c r="U695" t="str">
        <f t="shared" si="21"/>
        <v>Intermediate</v>
      </c>
    </row>
    <row r="696" spans="1:21" x14ac:dyDescent="0.35">
      <c r="A696" t="s">
        <v>769</v>
      </c>
      <c r="B696" t="s">
        <v>102</v>
      </c>
      <c r="C696" t="s">
        <v>55</v>
      </c>
      <c r="D696" t="s">
        <v>75</v>
      </c>
      <c r="E696" t="s">
        <v>70</v>
      </c>
      <c r="F696">
        <v>0</v>
      </c>
      <c r="G696">
        <v>0.63</v>
      </c>
      <c r="H696">
        <v>0.38</v>
      </c>
      <c r="I696" t="s">
        <v>24</v>
      </c>
      <c r="J696">
        <v>96147</v>
      </c>
      <c r="K696" t="s">
        <v>25</v>
      </c>
      <c r="L696">
        <v>45</v>
      </c>
      <c r="M696">
        <v>40</v>
      </c>
      <c r="N696" t="s">
        <v>35</v>
      </c>
      <c r="O696" t="s">
        <v>36</v>
      </c>
      <c r="P696">
        <v>4.84</v>
      </c>
      <c r="Q696" t="s">
        <v>34</v>
      </c>
      <c r="R696">
        <v>3.88</v>
      </c>
      <c r="S696" t="s">
        <v>43</v>
      </c>
      <c r="T696" t="str">
        <f t="shared" si="20"/>
        <v>Moderate</v>
      </c>
      <c r="U696" t="str">
        <f t="shared" si="21"/>
        <v>Beginner</v>
      </c>
    </row>
    <row r="697" spans="1:21" x14ac:dyDescent="0.35">
      <c r="A697" t="s">
        <v>770</v>
      </c>
      <c r="B697" t="s">
        <v>45</v>
      </c>
      <c r="C697" t="s">
        <v>46</v>
      </c>
      <c r="D697" t="s">
        <v>40</v>
      </c>
      <c r="E697" t="s">
        <v>41</v>
      </c>
      <c r="F697">
        <v>0</v>
      </c>
      <c r="G697">
        <v>0.77</v>
      </c>
      <c r="H697">
        <v>0.73</v>
      </c>
      <c r="I697" t="s">
        <v>60</v>
      </c>
      <c r="J697">
        <v>95147</v>
      </c>
      <c r="K697" t="s">
        <v>25</v>
      </c>
      <c r="L697">
        <v>44</v>
      </c>
      <c r="M697">
        <v>30</v>
      </c>
      <c r="N697" t="s">
        <v>42</v>
      </c>
      <c r="O697" t="s">
        <v>25</v>
      </c>
      <c r="P697">
        <v>2.91</v>
      </c>
      <c r="Q697" t="s">
        <v>34</v>
      </c>
      <c r="R697">
        <v>3.91</v>
      </c>
      <c r="S697" t="s">
        <v>47</v>
      </c>
      <c r="T697" t="str">
        <f t="shared" si="20"/>
        <v>Moderate</v>
      </c>
      <c r="U697" t="str">
        <f t="shared" si="21"/>
        <v>Beginner</v>
      </c>
    </row>
    <row r="698" spans="1:21" x14ac:dyDescent="0.35">
      <c r="A698" t="s">
        <v>771</v>
      </c>
      <c r="B698" t="s">
        <v>45</v>
      </c>
      <c r="C698" t="s">
        <v>31</v>
      </c>
      <c r="D698" t="s">
        <v>69</v>
      </c>
      <c r="E698" t="s">
        <v>41</v>
      </c>
      <c r="F698">
        <v>9</v>
      </c>
      <c r="G698">
        <v>0.63</v>
      </c>
      <c r="H698">
        <v>0.97</v>
      </c>
      <c r="I698" t="s">
        <v>24</v>
      </c>
      <c r="J698">
        <v>127732</v>
      </c>
      <c r="K698" t="s">
        <v>25</v>
      </c>
      <c r="L698">
        <v>9</v>
      </c>
      <c r="M698">
        <v>34</v>
      </c>
      <c r="N698" t="s">
        <v>42</v>
      </c>
      <c r="O698" t="s">
        <v>36</v>
      </c>
      <c r="P698">
        <v>4.79</v>
      </c>
      <c r="Q698" t="s">
        <v>24</v>
      </c>
      <c r="R698">
        <v>1.48</v>
      </c>
      <c r="S698" t="s">
        <v>28</v>
      </c>
      <c r="T698" t="str">
        <f t="shared" si="20"/>
        <v>High</v>
      </c>
      <c r="U698" t="str">
        <f t="shared" si="21"/>
        <v>Experienced</v>
      </c>
    </row>
    <row r="699" spans="1:21" x14ac:dyDescent="0.35">
      <c r="A699" t="s">
        <v>772</v>
      </c>
      <c r="B699" t="s">
        <v>38</v>
      </c>
      <c r="C699" t="s">
        <v>55</v>
      </c>
      <c r="D699" t="s">
        <v>66</v>
      </c>
      <c r="E699" t="s">
        <v>70</v>
      </c>
      <c r="F699">
        <v>0</v>
      </c>
      <c r="G699">
        <v>0.15</v>
      </c>
      <c r="H699">
        <v>0.77</v>
      </c>
      <c r="I699" t="s">
        <v>60</v>
      </c>
      <c r="J699">
        <v>149339</v>
      </c>
      <c r="K699" t="s">
        <v>27</v>
      </c>
      <c r="L699">
        <v>20</v>
      </c>
      <c r="M699">
        <v>32</v>
      </c>
      <c r="N699" t="s">
        <v>26</v>
      </c>
      <c r="O699" t="s">
        <v>27</v>
      </c>
      <c r="P699">
        <v>2.46</v>
      </c>
      <c r="Q699" t="s">
        <v>24</v>
      </c>
      <c r="R699">
        <v>2.59</v>
      </c>
      <c r="S699" t="s">
        <v>43</v>
      </c>
      <c r="T699" t="str">
        <f t="shared" si="20"/>
        <v>Very High</v>
      </c>
      <c r="U699" t="str">
        <f t="shared" si="21"/>
        <v>Beginner</v>
      </c>
    </row>
    <row r="700" spans="1:21" x14ac:dyDescent="0.35">
      <c r="A700" t="s">
        <v>773</v>
      </c>
      <c r="B700" t="s">
        <v>38</v>
      </c>
      <c r="C700" t="s">
        <v>58</v>
      </c>
      <c r="D700" t="s">
        <v>40</v>
      </c>
      <c r="E700" t="s">
        <v>70</v>
      </c>
      <c r="F700">
        <v>22</v>
      </c>
      <c r="G700">
        <v>0.8</v>
      </c>
      <c r="H700">
        <v>0.53</v>
      </c>
      <c r="I700" t="s">
        <v>34</v>
      </c>
      <c r="J700">
        <v>33478</v>
      </c>
      <c r="K700" t="s">
        <v>27</v>
      </c>
      <c r="L700">
        <v>20</v>
      </c>
      <c r="M700">
        <v>36</v>
      </c>
      <c r="N700" t="s">
        <v>42</v>
      </c>
      <c r="O700" t="s">
        <v>25</v>
      </c>
      <c r="P700">
        <v>4.01</v>
      </c>
      <c r="Q700" t="s">
        <v>24</v>
      </c>
      <c r="R700">
        <v>1.94</v>
      </c>
      <c r="S700" t="s">
        <v>43</v>
      </c>
      <c r="T700" t="str">
        <f t="shared" si="20"/>
        <v>Moderate</v>
      </c>
      <c r="U700" t="str">
        <f t="shared" si="21"/>
        <v>Expert</v>
      </c>
    </row>
    <row r="701" spans="1:21" x14ac:dyDescent="0.35">
      <c r="A701" t="s">
        <v>774</v>
      </c>
      <c r="B701" t="s">
        <v>62</v>
      </c>
      <c r="C701" t="s">
        <v>74</v>
      </c>
      <c r="D701" t="s">
        <v>40</v>
      </c>
      <c r="E701" t="s">
        <v>70</v>
      </c>
      <c r="F701">
        <v>14</v>
      </c>
      <c r="G701">
        <v>0.76</v>
      </c>
      <c r="H701">
        <v>0.77</v>
      </c>
      <c r="I701" t="s">
        <v>34</v>
      </c>
      <c r="J701">
        <v>42397</v>
      </c>
      <c r="K701" t="s">
        <v>27</v>
      </c>
      <c r="L701">
        <v>0</v>
      </c>
      <c r="M701">
        <v>41</v>
      </c>
      <c r="N701" t="s">
        <v>26</v>
      </c>
      <c r="O701" t="s">
        <v>36</v>
      </c>
      <c r="P701">
        <v>4.18</v>
      </c>
      <c r="Q701" t="s">
        <v>24</v>
      </c>
      <c r="R701">
        <v>2.2799999999999998</v>
      </c>
      <c r="S701" t="s">
        <v>28</v>
      </c>
      <c r="T701" t="str">
        <f t="shared" si="20"/>
        <v>High</v>
      </c>
      <c r="U701" t="str">
        <f t="shared" si="21"/>
        <v>Experienced</v>
      </c>
    </row>
    <row r="702" spans="1:21" x14ac:dyDescent="0.35">
      <c r="A702" t="s">
        <v>775</v>
      </c>
      <c r="B702" t="s">
        <v>89</v>
      </c>
      <c r="C702" t="s">
        <v>55</v>
      </c>
      <c r="D702" t="s">
        <v>69</v>
      </c>
      <c r="E702" t="s">
        <v>70</v>
      </c>
      <c r="F702">
        <v>13</v>
      </c>
      <c r="G702">
        <v>0.94</v>
      </c>
      <c r="H702">
        <v>0.81</v>
      </c>
      <c r="I702" t="s">
        <v>24</v>
      </c>
      <c r="J702">
        <v>68701</v>
      </c>
      <c r="K702" t="s">
        <v>27</v>
      </c>
      <c r="L702">
        <v>6</v>
      </c>
      <c r="M702">
        <v>58</v>
      </c>
      <c r="N702" t="s">
        <v>35</v>
      </c>
      <c r="O702" t="s">
        <v>36</v>
      </c>
      <c r="P702">
        <v>4.7699999999999996</v>
      </c>
      <c r="Q702" t="s">
        <v>34</v>
      </c>
      <c r="R702">
        <v>2.8</v>
      </c>
      <c r="S702" t="s">
        <v>28</v>
      </c>
      <c r="T702" t="str">
        <f t="shared" si="20"/>
        <v>Moderate</v>
      </c>
      <c r="U702" t="str">
        <f t="shared" si="21"/>
        <v>Experienced</v>
      </c>
    </row>
    <row r="703" spans="1:21" x14ac:dyDescent="0.35">
      <c r="A703" t="s">
        <v>776</v>
      </c>
      <c r="B703" t="s">
        <v>38</v>
      </c>
      <c r="C703" t="s">
        <v>82</v>
      </c>
      <c r="D703" t="s">
        <v>59</v>
      </c>
      <c r="E703" t="s">
        <v>23</v>
      </c>
      <c r="F703">
        <v>2</v>
      </c>
      <c r="G703">
        <v>0.36</v>
      </c>
      <c r="H703">
        <v>0.7</v>
      </c>
      <c r="I703" t="s">
        <v>34</v>
      </c>
      <c r="J703">
        <v>71793</v>
      </c>
      <c r="K703" t="s">
        <v>25</v>
      </c>
      <c r="L703">
        <v>22</v>
      </c>
      <c r="M703">
        <v>47</v>
      </c>
      <c r="N703" t="s">
        <v>35</v>
      </c>
      <c r="O703" t="s">
        <v>27</v>
      </c>
      <c r="P703">
        <v>2.31</v>
      </c>
      <c r="Q703" t="s">
        <v>24</v>
      </c>
      <c r="R703">
        <v>2.02</v>
      </c>
      <c r="S703" t="s">
        <v>28</v>
      </c>
      <c r="T703" t="str">
        <f t="shared" si="20"/>
        <v>Very High</v>
      </c>
      <c r="U703" t="str">
        <f t="shared" si="21"/>
        <v>Beginner</v>
      </c>
    </row>
    <row r="704" spans="1:21" x14ac:dyDescent="0.35">
      <c r="A704" t="s">
        <v>777</v>
      </c>
      <c r="B704" t="s">
        <v>20</v>
      </c>
      <c r="C704" t="s">
        <v>52</v>
      </c>
      <c r="D704" t="s">
        <v>80</v>
      </c>
      <c r="E704" t="s">
        <v>23</v>
      </c>
      <c r="F704">
        <v>7</v>
      </c>
      <c r="G704">
        <v>0.34</v>
      </c>
      <c r="H704">
        <v>0.86</v>
      </c>
      <c r="I704" t="s">
        <v>60</v>
      </c>
      <c r="J704">
        <v>127864</v>
      </c>
      <c r="K704" t="s">
        <v>42</v>
      </c>
      <c r="L704">
        <v>37</v>
      </c>
      <c r="M704">
        <v>43</v>
      </c>
      <c r="N704" t="s">
        <v>26</v>
      </c>
      <c r="O704" t="s">
        <v>25</v>
      </c>
      <c r="P704">
        <v>2.68</v>
      </c>
      <c r="Q704" t="s">
        <v>34</v>
      </c>
      <c r="R704">
        <v>1.62</v>
      </c>
      <c r="S704" t="s">
        <v>28</v>
      </c>
      <c r="T704" t="str">
        <f t="shared" si="20"/>
        <v>Very High</v>
      </c>
      <c r="U704" t="str">
        <f t="shared" si="21"/>
        <v>Intermediate</v>
      </c>
    </row>
    <row r="705" spans="1:21" x14ac:dyDescent="0.35">
      <c r="A705" t="s">
        <v>778</v>
      </c>
      <c r="B705" t="s">
        <v>57</v>
      </c>
      <c r="C705" t="s">
        <v>52</v>
      </c>
      <c r="D705" t="s">
        <v>66</v>
      </c>
      <c r="E705" t="s">
        <v>33</v>
      </c>
      <c r="F705">
        <v>17</v>
      </c>
      <c r="G705">
        <v>0.18</v>
      </c>
      <c r="H705">
        <v>0.26</v>
      </c>
      <c r="I705" t="s">
        <v>60</v>
      </c>
      <c r="J705">
        <v>110361</v>
      </c>
      <c r="K705" t="s">
        <v>25</v>
      </c>
      <c r="L705">
        <v>42</v>
      </c>
      <c r="M705">
        <v>36</v>
      </c>
      <c r="N705" t="s">
        <v>35</v>
      </c>
      <c r="O705" t="s">
        <v>25</v>
      </c>
      <c r="P705">
        <v>2.09</v>
      </c>
      <c r="Q705" t="s">
        <v>24</v>
      </c>
      <c r="R705">
        <v>1.83</v>
      </c>
      <c r="S705" t="s">
        <v>28</v>
      </c>
      <c r="T705" t="str">
        <f t="shared" si="20"/>
        <v>High</v>
      </c>
      <c r="U705" t="str">
        <f t="shared" si="21"/>
        <v>Expert</v>
      </c>
    </row>
    <row r="706" spans="1:21" x14ac:dyDescent="0.35">
      <c r="A706" t="s">
        <v>779</v>
      </c>
      <c r="B706" t="s">
        <v>96</v>
      </c>
      <c r="C706" t="s">
        <v>58</v>
      </c>
      <c r="D706" t="s">
        <v>22</v>
      </c>
      <c r="E706" t="s">
        <v>70</v>
      </c>
      <c r="F706">
        <v>10</v>
      </c>
      <c r="G706">
        <v>0.91</v>
      </c>
      <c r="H706">
        <v>0.53</v>
      </c>
      <c r="I706" t="s">
        <v>34</v>
      </c>
      <c r="J706">
        <v>123720</v>
      </c>
      <c r="K706" t="s">
        <v>42</v>
      </c>
      <c r="L706">
        <v>3</v>
      </c>
      <c r="M706">
        <v>39</v>
      </c>
      <c r="N706" t="s">
        <v>42</v>
      </c>
      <c r="O706" t="s">
        <v>27</v>
      </c>
      <c r="P706">
        <v>3.77</v>
      </c>
      <c r="Q706" t="s">
        <v>34</v>
      </c>
      <c r="R706">
        <v>3.54</v>
      </c>
      <c r="S706" t="s">
        <v>28</v>
      </c>
      <c r="T706" t="str">
        <f t="shared" si="20"/>
        <v>Moderate</v>
      </c>
      <c r="U706" t="str">
        <f t="shared" si="21"/>
        <v>Experienced</v>
      </c>
    </row>
    <row r="707" spans="1:21" x14ac:dyDescent="0.35">
      <c r="A707" t="s">
        <v>780</v>
      </c>
      <c r="B707" t="s">
        <v>89</v>
      </c>
      <c r="C707" t="s">
        <v>52</v>
      </c>
      <c r="D707" t="s">
        <v>80</v>
      </c>
      <c r="E707" t="s">
        <v>41</v>
      </c>
      <c r="F707">
        <v>13</v>
      </c>
      <c r="G707">
        <v>0.34</v>
      </c>
      <c r="H707">
        <v>0.22</v>
      </c>
      <c r="I707" t="s">
        <v>60</v>
      </c>
      <c r="J707">
        <v>213666</v>
      </c>
      <c r="K707" t="s">
        <v>27</v>
      </c>
      <c r="L707">
        <v>29</v>
      </c>
      <c r="M707">
        <v>58</v>
      </c>
      <c r="N707" t="s">
        <v>42</v>
      </c>
      <c r="O707" t="s">
        <v>27</v>
      </c>
      <c r="P707">
        <v>3.47</v>
      </c>
      <c r="Q707" t="s">
        <v>24</v>
      </c>
      <c r="R707">
        <v>2.52</v>
      </c>
      <c r="S707" t="s">
        <v>43</v>
      </c>
      <c r="T707" t="str">
        <f t="shared" ref="T707:T770" si="22">IF(AND(G707&lt;0.4,H707&gt;=0.7),"Very High",
IF(AND(G707&gt;=0.7,H707&lt;0.5),"Very Low",
IF(G707&lt;H707,"High","Moderate")))</f>
        <v>Moderate</v>
      </c>
      <c r="U707" t="str">
        <f t="shared" ref="U707:U770" si="23">_xlfn.IFS(F707&lt;=2,"Beginner",F707&lt;=8,"Intermediate",F707&lt;=15,"Experienced",F707&lt;=25,"Expert")</f>
        <v>Experienced</v>
      </c>
    </row>
    <row r="708" spans="1:21" x14ac:dyDescent="0.35">
      <c r="A708" t="s">
        <v>781</v>
      </c>
      <c r="B708" t="s">
        <v>68</v>
      </c>
      <c r="C708" t="s">
        <v>107</v>
      </c>
      <c r="D708" t="s">
        <v>69</v>
      </c>
      <c r="E708" t="s">
        <v>70</v>
      </c>
      <c r="F708">
        <v>7</v>
      </c>
      <c r="G708">
        <v>0.12</v>
      </c>
      <c r="H708">
        <v>0.77</v>
      </c>
      <c r="I708" t="s">
        <v>60</v>
      </c>
      <c r="J708">
        <v>217592</v>
      </c>
      <c r="K708" t="s">
        <v>42</v>
      </c>
      <c r="L708">
        <v>-8</v>
      </c>
      <c r="M708">
        <v>40</v>
      </c>
      <c r="N708" t="s">
        <v>42</v>
      </c>
      <c r="O708" t="s">
        <v>27</v>
      </c>
      <c r="P708">
        <v>4.33</v>
      </c>
      <c r="Q708" t="s">
        <v>34</v>
      </c>
      <c r="R708">
        <v>1.87</v>
      </c>
      <c r="S708" t="s">
        <v>43</v>
      </c>
      <c r="T708" t="str">
        <f t="shared" si="22"/>
        <v>Very High</v>
      </c>
      <c r="U708" t="str">
        <f t="shared" si="23"/>
        <v>Intermediate</v>
      </c>
    </row>
    <row r="709" spans="1:21" x14ac:dyDescent="0.35">
      <c r="A709" t="s">
        <v>782</v>
      </c>
      <c r="B709" t="s">
        <v>51</v>
      </c>
      <c r="C709" t="s">
        <v>107</v>
      </c>
      <c r="D709" t="s">
        <v>66</v>
      </c>
      <c r="E709" t="s">
        <v>23</v>
      </c>
      <c r="F709">
        <v>25</v>
      </c>
      <c r="G709">
        <v>0.89</v>
      </c>
      <c r="H709">
        <v>0.55000000000000004</v>
      </c>
      <c r="I709" t="s">
        <v>60</v>
      </c>
      <c r="J709">
        <v>161615</v>
      </c>
      <c r="K709" t="s">
        <v>27</v>
      </c>
      <c r="L709">
        <v>36</v>
      </c>
      <c r="M709">
        <v>31</v>
      </c>
      <c r="N709" t="s">
        <v>42</v>
      </c>
      <c r="O709" t="s">
        <v>27</v>
      </c>
      <c r="P709">
        <v>2.35</v>
      </c>
      <c r="Q709" t="s">
        <v>34</v>
      </c>
      <c r="R709">
        <v>1.7</v>
      </c>
      <c r="S709" t="s">
        <v>43</v>
      </c>
      <c r="T709" t="str">
        <f t="shared" si="22"/>
        <v>Moderate</v>
      </c>
      <c r="U709" t="str">
        <f t="shared" si="23"/>
        <v>Expert</v>
      </c>
    </row>
    <row r="710" spans="1:21" x14ac:dyDescent="0.35">
      <c r="A710" t="s">
        <v>783</v>
      </c>
      <c r="B710" t="s">
        <v>102</v>
      </c>
      <c r="C710" t="s">
        <v>107</v>
      </c>
      <c r="D710" t="s">
        <v>49</v>
      </c>
      <c r="E710" t="s">
        <v>33</v>
      </c>
      <c r="F710">
        <v>0</v>
      </c>
      <c r="G710">
        <v>0.43</v>
      </c>
      <c r="H710">
        <v>0.74</v>
      </c>
      <c r="I710" t="s">
        <v>34</v>
      </c>
      <c r="J710">
        <v>50138</v>
      </c>
      <c r="K710" t="s">
        <v>27</v>
      </c>
      <c r="L710">
        <v>41</v>
      </c>
      <c r="M710">
        <v>50</v>
      </c>
      <c r="N710" t="s">
        <v>35</v>
      </c>
      <c r="O710" t="s">
        <v>36</v>
      </c>
      <c r="P710">
        <v>2.13</v>
      </c>
      <c r="Q710" t="s">
        <v>24</v>
      </c>
      <c r="R710">
        <v>1.89</v>
      </c>
      <c r="S710" t="s">
        <v>28</v>
      </c>
      <c r="T710" t="str">
        <f t="shared" si="22"/>
        <v>High</v>
      </c>
      <c r="U710" t="str">
        <f t="shared" si="23"/>
        <v>Beginner</v>
      </c>
    </row>
    <row r="711" spans="1:21" x14ac:dyDescent="0.35">
      <c r="A711" t="s">
        <v>784</v>
      </c>
      <c r="B711" t="s">
        <v>38</v>
      </c>
      <c r="C711" t="s">
        <v>58</v>
      </c>
      <c r="D711" t="s">
        <v>49</v>
      </c>
      <c r="E711" t="s">
        <v>23</v>
      </c>
      <c r="F711">
        <v>11</v>
      </c>
      <c r="G711">
        <v>0.17</v>
      </c>
      <c r="H711">
        <v>0.97</v>
      </c>
      <c r="I711" t="s">
        <v>60</v>
      </c>
      <c r="J711">
        <v>188651</v>
      </c>
      <c r="K711" t="s">
        <v>42</v>
      </c>
      <c r="L711">
        <v>-9</v>
      </c>
      <c r="M711">
        <v>52</v>
      </c>
      <c r="N711" t="s">
        <v>26</v>
      </c>
      <c r="O711" t="s">
        <v>27</v>
      </c>
      <c r="P711">
        <v>3.1</v>
      </c>
      <c r="Q711" t="s">
        <v>24</v>
      </c>
      <c r="R711">
        <v>2.67</v>
      </c>
      <c r="S711" t="s">
        <v>47</v>
      </c>
      <c r="T711" t="str">
        <f t="shared" si="22"/>
        <v>Very High</v>
      </c>
      <c r="U711" t="str">
        <f t="shared" si="23"/>
        <v>Experienced</v>
      </c>
    </row>
    <row r="712" spans="1:21" x14ac:dyDescent="0.35">
      <c r="A712" t="s">
        <v>785</v>
      </c>
      <c r="B712" t="s">
        <v>89</v>
      </c>
      <c r="C712" t="s">
        <v>52</v>
      </c>
      <c r="D712" t="s">
        <v>80</v>
      </c>
      <c r="E712" t="s">
        <v>33</v>
      </c>
      <c r="F712">
        <v>4</v>
      </c>
      <c r="G712">
        <v>0.28999999999999998</v>
      </c>
      <c r="H712">
        <v>0.95</v>
      </c>
      <c r="I712" t="s">
        <v>24</v>
      </c>
      <c r="J712">
        <v>123753</v>
      </c>
      <c r="K712" t="s">
        <v>25</v>
      </c>
      <c r="L712">
        <v>0</v>
      </c>
      <c r="M712">
        <v>32</v>
      </c>
      <c r="N712" t="s">
        <v>26</v>
      </c>
      <c r="O712" t="s">
        <v>25</v>
      </c>
      <c r="P712">
        <v>3.99</v>
      </c>
      <c r="Q712" t="s">
        <v>34</v>
      </c>
      <c r="R712">
        <v>3.64</v>
      </c>
      <c r="S712" t="s">
        <v>28</v>
      </c>
      <c r="T712" t="str">
        <f t="shared" si="22"/>
        <v>Very High</v>
      </c>
      <c r="U712" t="str">
        <f t="shared" si="23"/>
        <v>Intermediate</v>
      </c>
    </row>
    <row r="713" spans="1:21" x14ac:dyDescent="0.35">
      <c r="A713" t="s">
        <v>786</v>
      </c>
      <c r="B713" t="s">
        <v>20</v>
      </c>
      <c r="C713" t="s">
        <v>58</v>
      </c>
      <c r="D713" t="s">
        <v>59</v>
      </c>
      <c r="E713" t="s">
        <v>33</v>
      </c>
      <c r="F713">
        <v>4</v>
      </c>
      <c r="G713">
        <v>0.64</v>
      </c>
      <c r="H713">
        <v>0.66</v>
      </c>
      <c r="I713" t="s">
        <v>34</v>
      </c>
      <c r="J713">
        <v>60369</v>
      </c>
      <c r="K713" t="s">
        <v>25</v>
      </c>
      <c r="L713">
        <v>37</v>
      </c>
      <c r="M713">
        <v>52</v>
      </c>
      <c r="N713" t="s">
        <v>42</v>
      </c>
      <c r="O713" t="s">
        <v>25</v>
      </c>
      <c r="P713">
        <v>3.12</v>
      </c>
      <c r="Q713" t="s">
        <v>24</v>
      </c>
      <c r="R713">
        <v>1.45</v>
      </c>
      <c r="S713" t="s">
        <v>28</v>
      </c>
      <c r="T713" t="str">
        <f t="shared" si="22"/>
        <v>High</v>
      </c>
      <c r="U713" t="str">
        <f t="shared" si="23"/>
        <v>Intermediate</v>
      </c>
    </row>
    <row r="714" spans="1:21" x14ac:dyDescent="0.35">
      <c r="A714" t="s">
        <v>787</v>
      </c>
      <c r="B714" t="s">
        <v>102</v>
      </c>
      <c r="C714" t="s">
        <v>39</v>
      </c>
      <c r="D714" t="s">
        <v>49</v>
      </c>
      <c r="E714" t="s">
        <v>23</v>
      </c>
      <c r="F714">
        <v>15</v>
      </c>
      <c r="G714">
        <v>0.17</v>
      </c>
      <c r="H714">
        <v>0.93</v>
      </c>
      <c r="I714" t="s">
        <v>24</v>
      </c>
      <c r="J714">
        <v>155931</v>
      </c>
      <c r="K714" t="s">
        <v>25</v>
      </c>
      <c r="L714">
        <v>1</v>
      </c>
      <c r="M714">
        <v>42</v>
      </c>
      <c r="N714" t="s">
        <v>26</v>
      </c>
      <c r="O714" t="s">
        <v>27</v>
      </c>
      <c r="P714">
        <v>3.88</v>
      </c>
      <c r="Q714" t="s">
        <v>24</v>
      </c>
      <c r="R714">
        <v>1.58</v>
      </c>
      <c r="S714" t="s">
        <v>47</v>
      </c>
      <c r="T714" t="str">
        <f t="shared" si="22"/>
        <v>Very High</v>
      </c>
      <c r="U714" t="str">
        <f t="shared" si="23"/>
        <v>Experienced</v>
      </c>
    </row>
    <row r="715" spans="1:21" x14ac:dyDescent="0.35">
      <c r="A715" t="s">
        <v>788</v>
      </c>
      <c r="B715" t="s">
        <v>147</v>
      </c>
      <c r="C715" t="s">
        <v>39</v>
      </c>
      <c r="D715" t="s">
        <v>66</v>
      </c>
      <c r="E715" t="s">
        <v>23</v>
      </c>
      <c r="F715">
        <v>1</v>
      </c>
      <c r="G715">
        <v>0.2</v>
      </c>
      <c r="H715">
        <v>0.7</v>
      </c>
      <c r="I715" t="s">
        <v>34</v>
      </c>
      <c r="J715">
        <v>138398</v>
      </c>
      <c r="K715" t="s">
        <v>25</v>
      </c>
      <c r="L715">
        <v>45</v>
      </c>
      <c r="M715">
        <v>40</v>
      </c>
      <c r="N715" t="s">
        <v>42</v>
      </c>
      <c r="O715" t="s">
        <v>25</v>
      </c>
      <c r="P715">
        <v>2.58</v>
      </c>
      <c r="Q715" t="s">
        <v>34</v>
      </c>
      <c r="R715">
        <v>2.56</v>
      </c>
      <c r="S715" t="s">
        <v>28</v>
      </c>
      <c r="T715" t="str">
        <f t="shared" si="22"/>
        <v>Very High</v>
      </c>
      <c r="U715" t="str">
        <f t="shared" si="23"/>
        <v>Beginner</v>
      </c>
    </row>
    <row r="716" spans="1:21" x14ac:dyDescent="0.35">
      <c r="A716" t="s">
        <v>789</v>
      </c>
      <c r="B716" t="s">
        <v>77</v>
      </c>
      <c r="C716" t="s">
        <v>55</v>
      </c>
      <c r="D716" t="s">
        <v>66</v>
      </c>
      <c r="E716" t="s">
        <v>23</v>
      </c>
      <c r="F716">
        <v>24</v>
      </c>
      <c r="G716">
        <v>0.83</v>
      </c>
      <c r="H716">
        <v>0.7</v>
      </c>
      <c r="I716" t="s">
        <v>24</v>
      </c>
      <c r="J716">
        <v>93265</v>
      </c>
      <c r="K716" t="s">
        <v>42</v>
      </c>
      <c r="L716">
        <v>28</v>
      </c>
      <c r="M716">
        <v>30</v>
      </c>
      <c r="N716" t="s">
        <v>42</v>
      </c>
      <c r="O716" t="s">
        <v>25</v>
      </c>
      <c r="P716">
        <v>3.69</v>
      </c>
      <c r="Q716" t="s">
        <v>24</v>
      </c>
      <c r="R716">
        <v>4.09</v>
      </c>
      <c r="S716" t="s">
        <v>47</v>
      </c>
      <c r="T716" t="str">
        <f t="shared" si="22"/>
        <v>Moderate</v>
      </c>
      <c r="U716" t="str">
        <f t="shared" si="23"/>
        <v>Expert</v>
      </c>
    </row>
    <row r="717" spans="1:21" x14ac:dyDescent="0.35">
      <c r="A717" t="s">
        <v>790</v>
      </c>
      <c r="B717" t="s">
        <v>20</v>
      </c>
      <c r="C717" t="s">
        <v>46</v>
      </c>
      <c r="D717" t="s">
        <v>63</v>
      </c>
      <c r="E717" t="s">
        <v>70</v>
      </c>
      <c r="F717">
        <v>15</v>
      </c>
      <c r="G717">
        <v>0.78</v>
      </c>
      <c r="H717">
        <v>0.92</v>
      </c>
      <c r="I717" t="s">
        <v>60</v>
      </c>
      <c r="J717">
        <v>109559</v>
      </c>
      <c r="K717" t="s">
        <v>42</v>
      </c>
      <c r="L717">
        <v>14</v>
      </c>
      <c r="M717">
        <v>54</v>
      </c>
      <c r="N717" t="s">
        <v>26</v>
      </c>
      <c r="O717" t="s">
        <v>27</v>
      </c>
      <c r="P717">
        <v>4.09</v>
      </c>
      <c r="Q717" t="s">
        <v>24</v>
      </c>
      <c r="R717">
        <v>2.88</v>
      </c>
      <c r="S717" t="s">
        <v>47</v>
      </c>
      <c r="T717" t="str">
        <f t="shared" si="22"/>
        <v>High</v>
      </c>
      <c r="U717" t="str">
        <f t="shared" si="23"/>
        <v>Experienced</v>
      </c>
    </row>
    <row r="718" spans="1:21" x14ac:dyDescent="0.35">
      <c r="A718" t="s">
        <v>791</v>
      </c>
      <c r="B718" t="s">
        <v>65</v>
      </c>
      <c r="C718" t="s">
        <v>39</v>
      </c>
      <c r="D718" t="s">
        <v>63</v>
      </c>
      <c r="E718" t="s">
        <v>70</v>
      </c>
      <c r="F718">
        <v>7</v>
      </c>
      <c r="G718">
        <v>0.89</v>
      </c>
      <c r="H718">
        <v>0.89</v>
      </c>
      <c r="I718" t="s">
        <v>60</v>
      </c>
      <c r="J718">
        <v>185827</v>
      </c>
      <c r="K718" t="s">
        <v>25</v>
      </c>
      <c r="L718">
        <v>12</v>
      </c>
      <c r="M718">
        <v>39</v>
      </c>
      <c r="N718" t="s">
        <v>35</v>
      </c>
      <c r="O718" t="s">
        <v>36</v>
      </c>
      <c r="P718">
        <v>3.55</v>
      </c>
      <c r="Q718" t="s">
        <v>34</v>
      </c>
      <c r="R718">
        <v>2.11</v>
      </c>
      <c r="S718" t="s">
        <v>28</v>
      </c>
      <c r="T718" t="str">
        <f t="shared" si="22"/>
        <v>Moderate</v>
      </c>
      <c r="U718" t="str">
        <f t="shared" si="23"/>
        <v>Intermediate</v>
      </c>
    </row>
    <row r="719" spans="1:21" x14ac:dyDescent="0.35">
      <c r="A719" t="s">
        <v>792</v>
      </c>
      <c r="B719" t="s">
        <v>102</v>
      </c>
      <c r="C719" t="s">
        <v>107</v>
      </c>
      <c r="D719" t="s">
        <v>22</v>
      </c>
      <c r="E719" t="s">
        <v>33</v>
      </c>
      <c r="F719">
        <v>3</v>
      </c>
      <c r="G719">
        <v>0.38</v>
      </c>
      <c r="H719">
        <v>0.63</v>
      </c>
      <c r="I719" t="s">
        <v>60</v>
      </c>
      <c r="J719">
        <v>114185</v>
      </c>
      <c r="K719" t="s">
        <v>27</v>
      </c>
      <c r="L719">
        <v>8</v>
      </c>
      <c r="M719">
        <v>50</v>
      </c>
      <c r="N719" t="s">
        <v>35</v>
      </c>
      <c r="O719" t="s">
        <v>25</v>
      </c>
      <c r="P719">
        <v>3.79</v>
      </c>
      <c r="Q719" t="s">
        <v>34</v>
      </c>
      <c r="R719">
        <v>1.73</v>
      </c>
      <c r="S719" t="s">
        <v>28</v>
      </c>
      <c r="T719" t="str">
        <f t="shared" si="22"/>
        <v>High</v>
      </c>
      <c r="U719" t="str">
        <f t="shared" si="23"/>
        <v>Intermediate</v>
      </c>
    </row>
    <row r="720" spans="1:21" x14ac:dyDescent="0.35">
      <c r="A720" t="s">
        <v>793</v>
      </c>
      <c r="B720" t="s">
        <v>106</v>
      </c>
      <c r="C720" t="s">
        <v>31</v>
      </c>
      <c r="D720" t="s">
        <v>22</v>
      </c>
      <c r="E720" t="s">
        <v>41</v>
      </c>
      <c r="F720">
        <v>8</v>
      </c>
      <c r="G720">
        <v>0.89</v>
      </c>
      <c r="H720">
        <v>0.56000000000000005</v>
      </c>
      <c r="I720" t="s">
        <v>24</v>
      </c>
      <c r="J720">
        <v>119495</v>
      </c>
      <c r="K720" t="s">
        <v>42</v>
      </c>
      <c r="L720">
        <v>42</v>
      </c>
      <c r="M720">
        <v>47</v>
      </c>
      <c r="N720" t="s">
        <v>42</v>
      </c>
      <c r="O720" t="s">
        <v>25</v>
      </c>
      <c r="P720">
        <v>2.2000000000000002</v>
      </c>
      <c r="Q720" t="s">
        <v>34</v>
      </c>
      <c r="R720">
        <v>4.71</v>
      </c>
      <c r="S720" t="s">
        <v>43</v>
      </c>
      <c r="T720" t="str">
        <f t="shared" si="22"/>
        <v>Moderate</v>
      </c>
      <c r="U720" t="str">
        <f t="shared" si="23"/>
        <v>Intermediate</v>
      </c>
    </row>
    <row r="721" spans="1:21" x14ac:dyDescent="0.35">
      <c r="A721" t="s">
        <v>794</v>
      </c>
      <c r="B721" t="s">
        <v>77</v>
      </c>
      <c r="C721" t="s">
        <v>21</v>
      </c>
      <c r="D721" t="s">
        <v>49</v>
      </c>
      <c r="E721" t="s">
        <v>23</v>
      </c>
      <c r="F721">
        <v>12</v>
      </c>
      <c r="G721">
        <v>0.93</v>
      </c>
      <c r="H721">
        <v>0.7</v>
      </c>
      <c r="I721" t="s">
        <v>34</v>
      </c>
      <c r="J721">
        <v>158335</v>
      </c>
      <c r="K721" t="s">
        <v>25</v>
      </c>
      <c r="L721">
        <v>-2</v>
      </c>
      <c r="M721">
        <v>35</v>
      </c>
      <c r="N721" t="s">
        <v>35</v>
      </c>
      <c r="O721" t="s">
        <v>36</v>
      </c>
      <c r="P721">
        <v>4.28</v>
      </c>
      <c r="Q721" t="s">
        <v>24</v>
      </c>
      <c r="R721">
        <v>1.1599999999999999</v>
      </c>
      <c r="S721" t="s">
        <v>47</v>
      </c>
      <c r="T721" t="str">
        <f t="shared" si="22"/>
        <v>Moderate</v>
      </c>
      <c r="U721" t="str">
        <f t="shared" si="23"/>
        <v>Experienced</v>
      </c>
    </row>
    <row r="722" spans="1:21" x14ac:dyDescent="0.35">
      <c r="A722" t="s">
        <v>795</v>
      </c>
      <c r="B722" t="s">
        <v>73</v>
      </c>
      <c r="C722" t="s">
        <v>46</v>
      </c>
      <c r="D722" t="s">
        <v>75</v>
      </c>
      <c r="E722" t="s">
        <v>41</v>
      </c>
      <c r="F722">
        <v>3</v>
      </c>
      <c r="G722">
        <v>0.88</v>
      </c>
      <c r="H722">
        <v>0.74</v>
      </c>
      <c r="I722" t="s">
        <v>34</v>
      </c>
      <c r="J722">
        <v>83711</v>
      </c>
      <c r="K722" t="s">
        <v>27</v>
      </c>
      <c r="L722">
        <v>36</v>
      </c>
      <c r="M722">
        <v>38</v>
      </c>
      <c r="N722" t="s">
        <v>42</v>
      </c>
      <c r="O722" t="s">
        <v>36</v>
      </c>
      <c r="P722">
        <v>2.72</v>
      </c>
      <c r="Q722" t="s">
        <v>24</v>
      </c>
      <c r="R722">
        <v>3.47</v>
      </c>
      <c r="S722" t="s">
        <v>28</v>
      </c>
      <c r="T722" t="str">
        <f t="shared" si="22"/>
        <v>Moderate</v>
      </c>
      <c r="U722" t="str">
        <f t="shared" si="23"/>
        <v>Intermediate</v>
      </c>
    </row>
    <row r="723" spans="1:21" x14ac:dyDescent="0.35">
      <c r="A723" t="s">
        <v>796</v>
      </c>
      <c r="B723" t="s">
        <v>51</v>
      </c>
      <c r="C723" t="s">
        <v>52</v>
      </c>
      <c r="D723" t="s">
        <v>59</v>
      </c>
      <c r="E723" t="s">
        <v>41</v>
      </c>
      <c r="F723">
        <v>5</v>
      </c>
      <c r="G723">
        <v>0.55000000000000004</v>
      </c>
      <c r="H723">
        <v>0.45</v>
      </c>
      <c r="I723" t="s">
        <v>24</v>
      </c>
      <c r="J723">
        <v>87638</v>
      </c>
      <c r="K723" t="s">
        <v>27</v>
      </c>
      <c r="L723">
        <v>37</v>
      </c>
      <c r="M723">
        <v>49</v>
      </c>
      <c r="N723" t="s">
        <v>42</v>
      </c>
      <c r="O723" t="s">
        <v>36</v>
      </c>
      <c r="P723">
        <v>2.37</v>
      </c>
      <c r="Q723" t="s">
        <v>24</v>
      </c>
      <c r="R723">
        <v>4.38</v>
      </c>
      <c r="S723" t="s">
        <v>47</v>
      </c>
      <c r="T723" t="str">
        <f t="shared" si="22"/>
        <v>Moderate</v>
      </c>
      <c r="U723" t="str">
        <f t="shared" si="23"/>
        <v>Intermediate</v>
      </c>
    </row>
    <row r="724" spans="1:21" x14ac:dyDescent="0.35">
      <c r="A724" t="s">
        <v>797</v>
      </c>
      <c r="B724" t="s">
        <v>62</v>
      </c>
      <c r="C724" t="s">
        <v>52</v>
      </c>
      <c r="D724" t="s">
        <v>22</v>
      </c>
      <c r="E724" t="s">
        <v>23</v>
      </c>
      <c r="F724">
        <v>14</v>
      </c>
      <c r="G724">
        <v>0.25</v>
      </c>
      <c r="H724">
        <v>0.28000000000000003</v>
      </c>
      <c r="I724" t="s">
        <v>24</v>
      </c>
      <c r="J724">
        <v>92592</v>
      </c>
      <c r="K724" t="s">
        <v>25</v>
      </c>
      <c r="L724">
        <v>-4</v>
      </c>
      <c r="M724">
        <v>57</v>
      </c>
      <c r="N724" t="s">
        <v>35</v>
      </c>
      <c r="O724" t="s">
        <v>36</v>
      </c>
      <c r="P724">
        <v>4.1399999999999997</v>
      </c>
      <c r="Q724" t="s">
        <v>34</v>
      </c>
      <c r="R724">
        <v>1.6</v>
      </c>
      <c r="S724" t="s">
        <v>43</v>
      </c>
      <c r="T724" t="str">
        <f t="shared" si="22"/>
        <v>High</v>
      </c>
      <c r="U724" t="str">
        <f t="shared" si="23"/>
        <v>Experienced</v>
      </c>
    </row>
    <row r="725" spans="1:21" x14ac:dyDescent="0.35">
      <c r="A725" t="s">
        <v>798</v>
      </c>
      <c r="B725" t="s">
        <v>30</v>
      </c>
      <c r="C725" t="s">
        <v>58</v>
      </c>
      <c r="D725" t="s">
        <v>49</v>
      </c>
      <c r="E725" t="s">
        <v>23</v>
      </c>
      <c r="F725">
        <v>14</v>
      </c>
      <c r="G725">
        <v>0.44</v>
      </c>
      <c r="H725">
        <v>0.89</v>
      </c>
      <c r="I725" t="s">
        <v>60</v>
      </c>
      <c r="J725">
        <v>119728</v>
      </c>
      <c r="K725" t="s">
        <v>25</v>
      </c>
      <c r="L725">
        <v>13</v>
      </c>
      <c r="M725">
        <v>34</v>
      </c>
      <c r="N725" t="s">
        <v>26</v>
      </c>
      <c r="O725" t="s">
        <v>25</v>
      </c>
      <c r="P725">
        <v>3.8</v>
      </c>
      <c r="Q725" t="s">
        <v>34</v>
      </c>
      <c r="R725">
        <v>1.67</v>
      </c>
      <c r="S725" t="s">
        <v>43</v>
      </c>
      <c r="T725" t="str">
        <f t="shared" si="22"/>
        <v>High</v>
      </c>
      <c r="U725" t="str">
        <f t="shared" si="23"/>
        <v>Experienced</v>
      </c>
    </row>
    <row r="726" spans="1:21" x14ac:dyDescent="0.35">
      <c r="A726" t="s">
        <v>799</v>
      </c>
      <c r="B726" t="s">
        <v>96</v>
      </c>
      <c r="C726" t="s">
        <v>46</v>
      </c>
      <c r="D726" t="s">
        <v>49</v>
      </c>
      <c r="E726" t="s">
        <v>41</v>
      </c>
      <c r="F726">
        <v>21</v>
      </c>
      <c r="G726">
        <v>0.3</v>
      </c>
      <c r="H726">
        <v>0.76</v>
      </c>
      <c r="I726" t="s">
        <v>60</v>
      </c>
      <c r="J726">
        <v>90527</v>
      </c>
      <c r="K726" t="s">
        <v>25</v>
      </c>
      <c r="L726">
        <v>31</v>
      </c>
      <c r="M726">
        <v>52</v>
      </c>
      <c r="N726" t="s">
        <v>35</v>
      </c>
      <c r="O726" t="s">
        <v>36</v>
      </c>
      <c r="P726">
        <v>4.1399999999999997</v>
      </c>
      <c r="Q726" t="s">
        <v>24</v>
      </c>
      <c r="R726">
        <v>2.56</v>
      </c>
      <c r="S726" t="s">
        <v>43</v>
      </c>
      <c r="T726" t="str">
        <f t="shared" si="22"/>
        <v>Very High</v>
      </c>
      <c r="U726" t="str">
        <f t="shared" si="23"/>
        <v>Expert</v>
      </c>
    </row>
    <row r="727" spans="1:21" x14ac:dyDescent="0.35">
      <c r="A727" t="s">
        <v>800</v>
      </c>
      <c r="B727" t="s">
        <v>54</v>
      </c>
      <c r="C727" t="s">
        <v>74</v>
      </c>
      <c r="D727" t="s">
        <v>59</v>
      </c>
      <c r="E727" t="s">
        <v>70</v>
      </c>
      <c r="F727">
        <v>11</v>
      </c>
      <c r="G727">
        <v>0.45</v>
      </c>
      <c r="H727">
        <v>0.54</v>
      </c>
      <c r="I727" t="s">
        <v>34</v>
      </c>
      <c r="J727">
        <v>144651</v>
      </c>
      <c r="K727" t="s">
        <v>42</v>
      </c>
      <c r="L727">
        <v>0</v>
      </c>
      <c r="M727">
        <v>35</v>
      </c>
      <c r="N727" t="s">
        <v>35</v>
      </c>
      <c r="O727" t="s">
        <v>27</v>
      </c>
      <c r="P727">
        <v>3.94</v>
      </c>
      <c r="Q727" t="s">
        <v>24</v>
      </c>
      <c r="R727">
        <v>4.38</v>
      </c>
      <c r="S727" t="s">
        <v>43</v>
      </c>
      <c r="T727" t="str">
        <f t="shared" si="22"/>
        <v>High</v>
      </c>
      <c r="U727" t="str">
        <f t="shared" si="23"/>
        <v>Experienced</v>
      </c>
    </row>
    <row r="728" spans="1:21" x14ac:dyDescent="0.35">
      <c r="A728" t="s">
        <v>801</v>
      </c>
      <c r="B728" t="s">
        <v>54</v>
      </c>
      <c r="C728" t="s">
        <v>21</v>
      </c>
      <c r="D728" t="s">
        <v>80</v>
      </c>
      <c r="E728" t="s">
        <v>70</v>
      </c>
      <c r="F728">
        <v>14</v>
      </c>
      <c r="G728">
        <v>0.13</v>
      </c>
      <c r="H728">
        <v>0.75</v>
      </c>
      <c r="I728" t="s">
        <v>24</v>
      </c>
      <c r="J728">
        <v>43124</v>
      </c>
      <c r="K728" t="s">
        <v>42</v>
      </c>
      <c r="L728">
        <v>-1</v>
      </c>
      <c r="M728">
        <v>57</v>
      </c>
      <c r="N728" t="s">
        <v>42</v>
      </c>
      <c r="O728" t="s">
        <v>36</v>
      </c>
      <c r="P728">
        <v>4.6100000000000003</v>
      </c>
      <c r="Q728" t="s">
        <v>24</v>
      </c>
      <c r="R728">
        <v>1.92</v>
      </c>
      <c r="S728" t="s">
        <v>43</v>
      </c>
      <c r="T728" t="str">
        <f t="shared" si="22"/>
        <v>Very High</v>
      </c>
      <c r="U728" t="str">
        <f t="shared" si="23"/>
        <v>Experienced</v>
      </c>
    </row>
    <row r="729" spans="1:21" x14ac:dyDescent="0.35">
      <c r="A729" t="s">
        <v>802</v>
      </c>
      <c r="B729" t="s">
        <v>51</v>
      </c>
      <c r="C729" t="s">
        <v>31</v>
      </c>
      <c r="D729" t="s">
        <v>80</v>
      </c>
      <c r="E729" t="s">
        <v>23</v>
      </c>
      <c r="F729">
        <v>13</v>
      </c>
      <c r="G729">
        <v>0.13</v>
      </c>
      <c r="H729">
        <v>0.24</v>
      </c>
      <c r="I729" t="s">
        <v>24</v>
      </c>
      <c r="J729">
        <v>201605</v>
      </c>
      <c r="K729" t="s">
        <v>25</v>
      </c>
      <c r="L729">
        <v>-9</v>
      </c>
      <c r="M729">
        <v>55</v>
      </c>
      <c r="N729" t="s">
        <v>35</v>
      </c>
      <c r="O729" t="s">
        <v>27</v>
      </c>
      <c r="P729">
        <v>4.1399999999999997</v>
      </c>
      <c r="Q729" t="s">
        <v>24</v>
      </c>
      <c r="R729">
        <v>4.09</v>
      </c>
      <c r="S729" t="s">
        <v>43</v>
      </c>
      <c r="T729" t="str">
        <f t="shared" si="22"/>
        <v>High</v>
      </c>
      <c r="U729" t="str">
        <f t="shared" si="23"/>
        <v>Experienced</v>
      </c>
    </row>
    <row r="730" spans="1:21" x14ac:dyDescent="0.35">
      <c r="A730" t="s">
        <v>803</v>
      </c>
      <c r="B730" t="s">
        <v>20</v>
      </c>
      <c r="C730" t="s">
        <v>82</v>
      </c>
      <c r="D730" t="s">
        <v>59</v>
      </c>
      <c r="E730" t="s">
        <v>41</v>
      </c>
      <c r="F730">
        <v>10</v>
      </c>
      <c r="G730">
        <v>0.73</v>
      </c>
      <c r="H730">
        <v>0.77</v>
      </c>
      <c r="I730" t="s">
        <v>24</v>
      </c>
      <c r="J730">
        <v>70034</v>
      </c>
      <c r="K730" t="s">
        <v>42</v>
      </c>
      <c r="L730">
        <v>22</v>
      </c>
      <c r="M730">
        <v>56</v>
      </c>
      <c r="N730" t="s">
        <v>35</v>
      </c>
      <c r="O730" t="s">
        <v>27</v>
      </c>
      <c r="P730">
        <v>3.51</v>
      </c>
      <c r="Q730" t="s">
        <v>24</v>
      </c>
      <c r="R730">
        <v>2.58</v>
      </c>
      <c r="S730" t="s">
        <v>47</v>
      </c>
      <c r="T730" t="str">
        <f t="shared" si="22"/>
        <v>High</v>
      </c>
      <c r="U730" t="str">
        <f t="shared" si="23"/>
        <v>Experienced</v>
      </c>
    </row>
    <row r="731" spans="1:21" x14ac:dyDescent="0.35">
      <c r="A731" t="s">
        <v>804</v>
      </c>
      <c r="B731" t="s">
        <v>38</v>
      </c>
      <c r="C731" t="s">
        <v>31</v>
      </c>
      <c r="D731" t="s">
        <v>49</v>
      </c>
      <c r="E731" t="s">
        <v>33</v>
      </c>
      <c r="F731">
        <v>14</v>
      </c>
      <c r="G731">
        <v>0.27</v>
      </c>
      <c r="H731">
        <v>0.68</v>
      </c>
      <c r="I731" t="s">
        <v>24</v>
      </c>
      <c r="J731">
        <v>126256</v>
      </c>
      <c r="K731" t="s">
        <v>27</v>
      </c>
      <c r="L731">
        <v>-3</v>
      </c>
      <c r="M731">
        <v>52</v>
      </c>
      <c r="N731" t="s">
        <v>35</v>
      </c>
      <c r="O731" t="s">
        <v>25</v>
      </c>
      <c r="P731">
        <v>3.92</v>
      </c>
      <c r="Q731" t="s">
        <v>24</v>
      </c>
      <c r="R731">
        <v>1.27</v>
      </c>
      <c r="S731" t="s">
        <v>43</v>
      </c>
      <c r="T731" t="str">
        <f t="shared" si="22"/>
        <v>High</v>
      </c>
      <c r="U731" t="str">
        <f t="shared" si="23"/>
        <v>Experienced</v>
      </c>
    </row>
    <row r="732" spans="1:21" x14ac:dyDescent="0.35">
      <c r="A732" t="s">
        <v>805</v>
      </c>
      <c r="B732" t="s">
        <v>20</v>
      </c>
      <c r="C732" t="s">
        <v>55</v>
      </c>
      <c r="D732" t="s">
        <v>69</v>
      </c>
      <c r="E732" t="s">
        <v>23</v>
      </c>
      <c r="F732">
        <v>20</v>
      </c>
      <c r="G732">
        <v>0.77</v>
      </c>
      <c r="H732">
        <v>0.74</v>
      </c>
      <c r="I732" t="s">
        <v>60</v>
      </c>
      <c r="J732">
        <v>133551</v>
      </c>
      <c r="K732" t="s">
        <v>42</v>
      </c>
      <c r="L732">
        <v>40</v>
      </c>
      <c r="M732">
        <v>49</v>
      </c>
      <c r="N732" t="s">
        <v>26</v>
      </c>
      <c r="O732" t="s">
        <v>27</v>
      </c>
      <c r="P732">
        <v>4.51</v>
      </c>
      <c r="Q732" t="s">
        <v>34</v>
      </c>
      <c r="R732">
        <v>4.01</v>
      </c>
      <c r="S732" t="s">
        <v>28</v>
      </c>
      <c r="T732" t="str">
        <f t="shared" si="22"/>
        <v>Moderate</v>
      </c>
      <c r="U732" t="str">
        <f t="shared" si="23"/>
        <v>Expert</v>
      </c>
    </row>
    <row r="733" spans="1:21" x14ac:dyDescent="0.35">
      <c r="A733" t="s">
        <v>806</v>
      </c>
      <c r="B733" t="s">
        <v>62</v>
      </c>
      <c r="C733" t="s">
        <v>21</v>
      </c>
      <c r="D733" t="s">
        <v>22</v>
      </c>
      <c r="E733" t="s">
        <v>23</v>
      </c>
      <c r="F733">
        <v>12</v>
      </c>
      <c r="G733">
        <v>0.24</v>
      </c>
      <c r="H733">
        <v>0.67</v>
      </c>
      <c r="I733" t="s">
        <v>34</v>
      </c>
      <c r="J733">
        <v>126338</v>
      </c>
      <c r="K733" t="s">
        <v>42</v>
      </c>
      <c r="L733">
        <v>13</v>
      </c>
      <c r="M733">
        <v>30</v>
      </c>
      <c r="N733" t="s">
        <v>42</v>
      </c>
      <c r="O733" t="s">
        <v>36</v>
      </c>
      <c r="P733">
        <v>2.6</v>
      </c>
      <c r="Q733" t="s">
        <v>24</v>
      </c>
      <c r="R733">
        <v>1.86</v>
      </c>
      <c r="S733" t="s">
        <v>28</v>
      </c>
      <c r="T733" t="str">
        <f t="shared" si="22"/>
        <v>High</v>
      </c>
      <c r="U733" t="str">
        <f t="shared" si="23"/>
        <v>Experienced</v>
      </c>
    </row>
    <row r="734" spans="1:21" x14ac:dyDescent="0.35">
      <c r="A734" t="s">
        <v>807</v>
      </c>
      <c r="B734" t="s">
        <v>91</v>
      </c>
      <c r="C734" t="s">
        <v>31</v>
      </c>
      <c r="D734" t="s">
        <v>49</v>
      </c>
      <c r="E734" t="s">
        <v>23</v>
      </c>
      <c r="F734">
        <v>14</v>
      </c>
      <c r="G734">
        <v>0.27</v>
      </c>
      <c r="H734">
        <v>0.21</v>
      </c>
      <c r="I734" t="s">
        <v>60</v>
      </c>
      <c r="J734">
        <v>89525</v>
      </c>
      <c r="K734" t="s">
        <v>42</v>
      </c>
      <c r="L734">
        <v>13</v>
      </c>
      <c r="M734">
        <v>58</v>
      </c>
      <c r="N734" t="s">
        <v>35</v>
      </c>
      <c r="O734" t="s">
        <v>36</v>
      </c>
      <c r="P734">
        <v>2.39</v>
      </c>
      <c r="Q734" t="s">
        <v>24</v>
      </c>
      <c r="R734">
        <v>1.98</v>
      </c>
      <c r="S734" t="s">
        <v>47</v>
      </c>
      <c r="T734" t="str">
        <f t="shared" si="22"/>
        <v>Moderate</v>
      </c>
      <c r="U734" t="str">
        <f t="shared" si="23"/>
        <v>Experienced</v>
      </c>
    </row>
    <row r="735" spans="1:21" x14ac:dyDescent="0.35">
      <c r="A735" t="s">
        <v>808</v>
      </c>
      <c r="B735" t="s">
        <v>94</v>
      </c>
      <c r="C735" t="s">
        <v>21</v>
      </c>
      <c r="D735" t="s">
        <v>22</v>
      </c>
      <c r="E735" t="s">
        <v>70</v>
      </c>
      <c r="F735">
        <v>11</v>
      </c>
      <c r="G735">
        <v>0.37</v>
      </c>
      <c r="H735">
        <v>0.92</v>
      </c>
      <c r="I735" t="s">
        <v>60</v>
      </c>
      <c r="J735">
        <v>201293</v>
      </c>
      <c r="K735" t="s">
        <v>27</v>
      </c>
      <c r="L735">
        <v>20</v>
      </c>
      <c r="M735">
        <v>31</v>
      </c>
      <c r="N735" t="s">
        <v>42</v>
      </c>
      <c r="O735" t="s">
        <v>25</v>
      </c>
      <c r="P735">
        <v>3.06</v>
      </c>
      <c r="Q735" t="s">
        <v>24</v>
      </c>
      <c r="R735">
        <v>2.2400000000000002</v>
      </c>
      <c r="S735" t="s">
        <v>28</v>
      </c>
      <c r="T735" t="str">
        <f t="shared" si="22"/>
        <v>Very High</v>
      </c>
      <c r="U735" t="str">
        <f t="shared" si="23"/>
        <v>Experienced</v>
      </c>
    </row>
    <row r="736" spans="1:21" x14ac:dyDescent="0.35">
      <c r="A736" t="s">
        <v>809</v>
      </c>
      <c r="B736" t="s">
        <v>65</v>
      </c>
      <c r="C736" t="s">
        <v>39</v>
      </c>
      <c r="D736" t="s">
        <v>80</v>
      </c>
      <c r="E736" t="s">
        <v>70</v>
      </c>
      <c r="F736">
        <v>0</v>
      </c>
      <c r="G736">
        <v>0.69</v>
      </c>
      <c r="H736">
        <v>0.41</v>
      </c>
      <c r="I736" t="s">
        <v>34</v>
      </c>
      <c r="J736">
        <v>36470</v>
      </c>
      <c r="K736" t="s">
        <v>42</v>
      </c>
      <c r="L736">
        <v>11</v>
      </c>
      <c r="M736">
        <v>55</v>
      </c>
      <c r="N736" t="s">
        <v>26</v>
      </c>
      <c r="O736" t="s">
        <v>36</v>
      </c>
      <c r="P736">
        <v>3.04</v>
      </c>
      <c r="Q736" t="s">
        <v>34</v>
      </c>
      <c r="R736">
        <v>2.14</v>
      </c>
      <c r="S736" t="s">
        <v>47</v>
      </c>
      <c r="T736" t="str">
        <f t="shared" si="22"/>
        <v>Moderate</v>
      </c>
      <c r="U736" t="str">
        <f t="shared" si="23"/>
        <v>Beginner</v>
      </c>
    </row>
    <row r="737" spans="1:21" x14ac:dyDescent="0.35">
      <c r="A737" t="s">
        <v>810</v>
      </c>
      <c r="B737" t="s">
        <v>38</v>
      </c>
      <c r="C737" t="s">
        <v>55</v>
      </c>
      <c r="D737" t="s">
        <v>40</v>
      </c>
      <c r="E737" t="s">
        <v>33</v>
      </c>
      <c r="F737">
        <v>12</v>
      </c>
      <c r="G737">
        <v>0.74</v>
      </c>
      <c r="H737">
        <v>0.23</v>
      </c>
      <c r="I737" t="s">
        <v>34</v>
      </c>
      <c r="J737">
        <v>173652</v>
      </c>
      <c r="K737" t="s">
        <v>27</v>
      </c>
      <c r="L737">
        <v>35</v>
      </c>
      <c r="M737">
        <v>44</v>
      </c>
      <c r="N737" t="s">
        <v>26</v>
      </c>
      <c r="O737" t="s">
        <v>27</v>
      </c>
      <c r="P737">
        <v>3.91</v>
      </c>
      <c r="Q737" t="s">
        <v>24</v>
      </c>
      <c r="R737">
        <v>1.57</v>
      </c>
      <c r="S737" t="s">
        <v>47</v>
      </c>
      <c r="T737" t="str">
        <f t="shared" si="22"/>
        <v>Very Low</v>
      </c>
      <c r="U737" t="str">
        <f t="shared" si="23"/>
        <v>Experienced</v>
      </c>
    </row>
    <row r="738" spans="1:21" x14ac:dyDescent="0.35">
      <c r="A738" t="s">
        <v>811</v>
      </c>
      <c r="B738" t="s">
        <v>106</v>
      </c>
      <c r="C738" t="s">
        <v>39</v>
      </c>
      <c r="D738" t="s">
        <v>69</v>
      </c>
      <c r="E738" t="s">
        <v>33</v>
      </c>
      <c r="F738">
        <v>13</v>
      </c>
      <c r="G738">
        <v>0.25</v>
      </c>
      <c r="H738">
        <v>0.23</v>
      </c>
      <c r="I738" t="s">
        <v>24</v>
      </c>
      <c r="J738">
        <v>33175</v>
      </c>
      <c r="K738" t="s">
        <v>42</v>
      </c>
      <c r="L738">
        <v>25</v>
      </c>
      <c r="M738">
        <v>48</v>
      </c>
      <c r="N738" t="s">
        <v>42</v>
      </c>
      <c r="O738" t="s">
        <v>25</v>
      </c>
      <c r="P738">
        <v>2</v>
      </c>
      <c r="Q738" t="s">
        <v>24</v>
      </c>
      <c r="R738">
        <v>1.65</v>
      </c>
      <c r="S738" t="s">
        <v>47</v>
      </c>
      <c r="T738" t="str">
        <f t="shared" si="22"/>
        <v>Moderate</v>
      </c>
      <c r="U738" t="str">
        <f t="shared" si="23"/>
        <v>Experienced</v>
      </c>
    </row>
    <row r="739" spans="1:21" x14ac:dyDescent="0.35">
      <c r="A739" t="s">
        <v>812</v>
      </c>
      <c r="B739" t="s">
        <v>91</v>
      </c>
      <c r="C739" t="s">
        <v>74</v>
      </c>
      <c r="D739" t="s">
        <v>22</v>
      </c>
      <c r="E739" t="s">
        <v>70</v>
      </c>
      <c r="F739">
        <v>15</v>
      </c>
      <c r="G739">
        <v>0.88</v>
      </c>
      <c r="H739">
        <v>0.59</v>
      </c>
      <c r="I739" t="s">
        <v>34</v>
      </c>
      <c r="J739">
        <v>50963</v>
      </c>
      <c r="K739" t="s">
        <v>27</v>
      </c>
      <c r="L739">
        <v>25</v>
      </c>
      <c r="M739">
        <v>47</v>
      </c>
      <c r="N739" t="s">
        <v>26</v>
      </c>
      <c r="O739" t="s">
        <v>36</v>
      </c>
      <c r="P739">
        <v>3.89</v>
      </c>
      <c r="Q739" t="s">
        <v>34</v>
      </c>
      <c r="R739">
        <v>3.11</v>
      </c>
      <c r="S739" t="s">
        <v>28</v>
      </c>
      <c r="T739" t="str">
        <f t="shared" si="22"/>
        <v>Moderate</v>
      </c>
      <c r="U739" t="str">
        <f t="shared" si="23"/>
        <v>Experienced</v>
      </c>
    </row>
    <row r="740" spans="1:21" x14ac:dyDescent="0.35">
      <c r="A740" t="s">
        <v>813</v>
      </c>
      <c r="B740" t="s">
        <v>89</v>
      </c>
      <c r="C740" t="s">
        <v>52</v>
      </c>
      <c r="D740" t="s">
        <v>75</v>
      </c>
      <c r="E740" t="s">
        <v>70</v>
      </c>
      <c r="F740">
        <v>25</v>
      </c>
      <c r="G740">
        <v>0.28999999999999998</v>
      </c>
      <c r="H740">
        <v>0.94</v>
      </c>
      <c r="I740" t="s">
        <v>34</v>
      </c>
      <c r="J740">
        <v>108792</v>
      </c>
      <c r="K740" t="s">
        <v>25</v>
      </c>
      <c r="L740">
        <v>42</v>
      </c>
      <c r="M740">
        <v>34</v>
      </c>
      <c r="N740" t="s">
        <v>26</v>
      </c>
      <c r="O740" t="s">
        <v>25</v>
      </c>
      <c r="P740">
        <v>4.53</v>
      </c>
      <c r="Q740" t="s">
        <v>24</v>
      </c>
      <c r="R740">
        <v>4.5199999999999996</v>
      </c>
      <c r="S740" t="s">
        <v>47</v>
      </c>
      <c r="T740" t="str">
        <f t="shared" si="22"/>
        <v>Very High</v>
      </c>
      <c r="U740" t="str">
        <f t="shared" si="23"/>
        <v>Expert</v>
      </c>
    </row>
    <row r="741" spans="1:21" x14ac:dyDescent="0.35">
      <c r="A741" t="s">
        <v>814</v>
      </c>
      <c r="B741" t="s">
        <v>57</v>
      </c>
      <c r="C741" t="s">
        <v>82</v>
      </c>
      <c r="D741" t="s">
        <v>22</v>
      </c>
      <c r="E741" t="s">
        <v>23</v>
      </c>
      <c r="F741">
        <v>21</v>
      </c>
      <c r="G741">
        <v>0.43</v>
      </c>
      <c r="H741">
        <v>0.46</v>
      </c>
      <c r="I741" t="s">
        <v>24</v>
      </c>
      <c r="J741">
        <v>51267</v>
      </c>
      <c r="K741" t="s">
        <v>42</v>
      </c>
      <c r="L741">
        <v>-7</v>
      </c>
      <c r="M741">
        <v>43</v>
      </c>
      <c r="N741" t="s">
        <v>42</v>
      </c>
      <c r="O741" t="s">
        <v>36</v>
      </c>
      <c r="P741">
        <v>2.46</v>
      </c>
      <c r="Q741" t="s">
        <v>34</v>
      </c>
      <c r="R741">
        <v>4.91</v>
      </c>
      <c r="S741" t="s">
        <v>43</v>
      </c>
      <c r="T741" t="str">
        <f t="shared" si="22"/>
        <v>High</v>
      </c>
      <c r="U741" t="str">
        <f t="shared" si="23"/>
        <v>Expert</v>
      </c>
    </row>
    <row r="742" spans="1:21" x14ac:dyDescent="0.35">
      <c r="A742" t="s">
        <v>815</v>
      </c>
      <c r="B742" t="s">
        <v>96</v>
      </c>
      <c r="C742" t="s">
        <v>52</v>
      </c>
      <c r="D742" t="s">
        <v>59</v>
      </c>
      <c r="E742" t="s">
        <v>70</v>
      </c>
      <c r="F742">
        <v>7</v>
      </c>
      <c r="G742">
        <v>0.89</v>
      </c>
      <c r="H742">
        <v>0.51</v>
      </c>
      <c r="I742" t="s">
        <v>60</v>
      </c>
      <c r="J742">
        <v>86106</v>
      </c>
      <c r="K742" t="s">
        <v>25</v>
      </c>
      <c r="L742">
        <v>11</v>
      </c>
      <c r="M742">
        <v>35</v>
      </c>
      <c r="N742" t="s">
        <v>26</v>
      </c>
      <c r="O742" t="s">
        <v>36</v>
      </c>
      <c r="P742">
        <v>3.78</v>
      </c>
      <c r="Q742" t="s">
        <v>24</v>
      </c>
      <c r="R742">
        <v>1.4</v>
      </c>
      <c r="S742" t="s">
        <v>47</v>
      </c>
      <c r="T742" t="str">
        <f t="shared" si="22"/>
        <v>Moderate</v>
      </c>
      <c r="U742" t="str">
        <f t="shared" si="23"/>
        <v>Intermediate</v>
      </c>
    </row>
    <row r="743" spans="1:21" x14ac:dyDescent="0.35">
      <c r="A743" t="s">
        <v>816</v>
      </c>
      <c r="B743" t="s">
        <v>106</v>
      </c>
      <c r="C743" t="s">
        <v>58</v>
      </c>
      <c r="D743" t="s">
        <v>75</v>
      </c>
      <c r="E743" t="s">
        <v>23</v>
      </c>
      <c r="F743">
        <v>5</v>
      </c>
      <c r="G743">
        <v>0.86</v>
      </c>
      <c r="H743">
        <v>0.94</v>
      </c>
      <c r="I743" t="s">
        <v>24</v>
      </c>
      <c r="J743">
        <v>212814</v>
      </c>
      <c r="K743" t="s">
        <v>25</v>
      </c>
      <c r="L743">
        <v>8</v>
      </c>
      <c r="M743">
        <v>56</v>
      </c>
      <c r="N743" t="s">
        <v>42</v>
      </c>
      <c r="O743" t="s">
        <v>27</v>
      </c>
      <c r="P743">
        <v>4.0599999999999996</v>
      </c>
      <c r="Q743" t="s">
        <v>34</v>
      </c>
      <c r="R743">
        <v>3.66</v>
      </c>
      <c r="S743" t="s">
        <v>47</v>
      </c>
      <c r="T743" t="str">
        <f t="shared" si="22"/>
        <v>High</v>
      </c>
      <c r="U743" t="str">
        <f t="shared" si="23"/>
        <v>Intermediate</v>
      </c>
    </row>
    <row r="744" spans="1:21" x14ac:dyDescent="0.35">
      <c r="A744" t="s">
        <v>817</v>
      </c>
      <c r="B744" t="s">
        <v>73</v>
      </c>
      <c r="C744" t="s">
        <v>46</v>
      </c>
      <c r="D744" t="s">
        <v>75</v>
      </c>
      <c r="E744" t="s">
        <v>33</v>
      </c>
      <c r="F744">
        <v>25</v>
      </c>
      <c r="G744">
        <v>0.14000000000000001</v>
      </c>
      <c r="H744">
        <v>0.99</v>
      </c>
      <c r="I744" t="s">
        <v>24</v>
      </c>
      <c r="J744">
        <v>51586</v>
      </c>
      <c r="K744" t="s">
        <v>42</v>
      </c>
      <c r="L744">
        <v>42</v>
      </c>
      <c r="M744">
        <v>45</v>
      </c>
      <c r="N744" t="s">
        <v>35</v>
      </c>
      <c r="O744" t="s">
        <v>36</v>
      </c>
      <c r="P744">
        <v>3.78</v>
      </c>
      <c r="Q744" t="s">
        <v>24</v>
      </c>
      <c r="R744">
        <v>4.33</v>
      </c>
      <c r="S744" t="s">
        <v>43</v>
      </c>
      <c r="T744" t="str">
        <f t="shared" si="22"/>
        <v>Very High</v>
      </c>
      <c r="U744" t="str">
        <f t="shared" si="23"/>
        <v>Expert</v>
      </c>
    </row>
    <row r="745" spans="1:21" x14ac:dyDescent="0.35">
      <c r="A745" t="s">
        <v>818</v>
      </c>
      <c r="B745" t="s">
        <v>89</v>
      </c>
      <c r="C745" t="s">
        <v>46</v>
      </c>
      <c r="D745" t="s">
        <v>59</v>
      </c>
      <c r="E745" t="s">
        <v>70</v>
      </c>
      <c r="F745">
        <v>1</v>
      </c>
      <c r="G745">
        <v>0.63</v>
      </c>
      <c r="H745">
        <v>0.75</v>
      </c>
      <c r="I745" t="s">
        <v>34</v>
      </c>
      <c r="J745">
        <v>55197</v>
      </c>
      <c r="K745" t="s">
        <v>42</v>
      </c>
      <c r="L745">
        <v>32</v>
      </c>
      <c r="M745">
        <v>35</v>
      </c>
      <c r="N745" t="s">
        <v>26</v>
      </c>
      <c r="O745" t="s">
        <v>36</v>
      </c>
      <c r="P745">
        <v>4.43</v>
      </c>
      <c r="Q745" t="s">
        <v>34</v>
      </c>
      <c r="R745">
        <v>4.8099999999999996</v>
      </c>
      <c r="S745" t="s">
        <v>43</v>
      </c>
      <c r="T745" t="str">
        <f t="shared" si="22"/>
        <v>High</v>
      </c>
      <c r="U745" t="str">
        <f t="shared" si="23"/>
        <v>Beginner</v>
      </c>
    </row>
    <row r="746" spans="1:21" x14ac:dyDescent="0.35">
      <c r="A746" t="s">
        <v>819</v>
      </c>
      <c r="B746" t="s">
        <v>91</v>
      </c>
      <c r="C746" t="s">
        <v>82</v>
      </c>
      <c r="D746" t="s">
        <v>32</v>
      </c>
      <c r="E746" t="s">
        <v>41</v>
      </c>
      <c r="F746">
        <v>2</v>
      </c>
      <c r="G746">
        <v>0.33</v>
      </c>
      <c r="H746">
        <v>0.46</v>
      </c>
      <c r="I746" t="s">
        <v>24</v>
      </c>
      <c r="J746">
        <v>93093</v>
      </c>
      <c r="K746" t="s">
        <v>27</v>
      </c>
      <c r="L746">
        <v>-3</v>
      </c>
      <c r="M746">
        <v>34</v>
      </c>
      <c r="N746" t="s">
        <v>35</v>
      </c>
      <c r="O746" t="s">
        <v>36</v>
      </c>
      <c r="P746">
        <v>2.38</v>
      </c>
      <c r="Q746" t="s">
        <v>24</v>
      </c>
      <c r="R746">
        <v>2.13</v>
      </c>
      <c r="S746" t="s">
        <v>43</v>
      </c>
      <c r="T746" t="str">
        <f t="shared" si="22"/>
        <v>High</v>
      </c>
      <c r="U746" t="str">
        <f t="shared" si="23"/>
        <v>Beginner</v>
      </c>
    </row>
    <row r="747" spans="1:21" x14ac:dyDescent="0.35">
      <c r="A747" t="s">
        <v>820</v>
      </c>
      <c r="B747" t="s">
        <v>20</v>
      </c>
      <c r="C747" t="s">
        <v>46</v>
      </c>
      <c r="D747" t="s">
        <v>66</v>
      </c>
      <c r="E747" t="s">
        <v>33</v>
      </c>
      <c r="F747">
        <v>15</v>
      </c>
      <c r="G747">
        <v>0.89</v>
      </c>
      <c r="H747">
        <v>0.73</v>
      </c>
      <c r="I747" t="s">
        <v>60</v>
      </c>
      <c r="J747">
        <v>206066</v>
      </c>
      <c r="K747" t="s">
        <v>25</v>
      </c>
      <c r="L747">
        <v>13</v>
      </c>
      <c r="M747">
        <v>35</v>
      </c>
      <c r="N747" t="s">
        <v>42</v>
      </c>
      <c r="O747" t="s">
        <v>25</v>
      </c>
      <c r="P747">
        <v>3.04</v>
      </c>
      <c r="Q747" t="s">
        <v>24</v>
      </c>
      <c r="R747">
        <v>1.1299999999999999</v>
      </c>
      <c r="S747" t="s">
        <v>43</v>
      </c>
      <c r="T747" t="str">
        <f t="shared" si="22"/>
        <v>Moderate</v>
      </c>
      <c r="U747" t="str">
        <f t="shared" si="23"/>
        <v>Experienced</v>
      </c>
    </row>
    <row r="748" spans="1:21" x14ac:dyDescent="0.35">
      <c r="A748" t="s">
        <v>821</v>
      </c>
      <c r="B748" t="s">
        <v>30</v>
      </c>
      <c r="C748" t="s">
        <v>52</v>
      </c>
      <c r="D748" t="s">
        <v>63</v>
      </c>
      <c r="E748" t="s">
        <v>33</v>
      </c>
      <c r="F748">
        <v>0</v>
      </c>
      <c r="G748">
        <v>0.69</v>
      </c>
      <c r="H748">
        <v>0.46</v>
      </c>
      <c r="I748" t="s">
        <v>24</v>
      </c>
      <c r="J748">
        <v>64839</v>
      </c>
      <c r="K748" t="s">
        <v>42</v>
      </c>
      <c r="L748">
        <v>16</v>
      </c>
      <c r="M748">
        <v>32</v>
      </c>
      <c r="N748" t="s">
        <v>42</v>
      </c>
      <c r="O748" t="s">
        <v>36</v>
      </c>
      <c r="P748">
        <v>2.44</v>
      </c>
      <c r="Q748" t="s">
        <v>24</v>
      </c>
      <c r="R748">
        <v>1.96</v>
      </c>
      <c r="S748" t="s">
        <v>28</v>
      </c>
      <c r="T748" t="str">
        <f t="shared" si="22"/>
        <v>Moderate</v>
      </c>
      <c r="U748" t="str">
        <f t="shared" si="23"/>
        <v>Beginner</v>
      </c>
    </row>
    <row r="749" spans="1:21" x14ac:dyDescent="0.35">
      <c r="A749" t="s">
        <v>822</v>
      </c>
      <c r="B749" t="s">
        <v>77</v>
      </c>
      <c r="C749" t="s">
        <v>74</v>
      </c>
      <c r="D749" t="s">
        <v>63</v>
      </c>
      <c r="E749" t="s">
        <v>41</v>
      </c>
      <c r="F749">
        <v>3</v>
      </c>
      <c r="G749">
        <v>0.06</v>
      </c>
      <c r="H749">
        <v>0.48</v>
      </c>
      <c r="I749" t="s">
        <v>34</v>
      </c>
      <c r="J749">
        <v>119905</v>
      </c>
      <c r="K749" t="s">
        <v>27</v>
      </c>
      <c r="L749">
        <v>2</v>
      </c>
      <c r="M749">
        <v>36</v>
      </c>
      <c r="N749" t="s">
        <v>35</v>
      </c>
      <c r="O749" t="s">
        <v>36</v>
      </c>
      <c r="P749">
        <v>4.04</v>
      </c>
      <c r="Q749" t="s">
        <v>34</v>
      </c>
      <c r="R749">
        <v>3.12</v>
      </c>
      <c r="S749" t="s">
        <v>28</v>
      </c>
      <c r="T749" t="str">
        <f t="shared" si="22"/>
        <v>High</v>
      </c>
      <c r="U749" t="str">
        <f t="shared" si="23"/>
        <v>Intermediate</v>
      </c>
    </row>
    <row r="750" spans="1:21" x14ac:dyDescent="0.35">
      <c r="A750" t="s">
        <v>823</v>
      </c>
      <c r="B750" t="s">
        <v>73</v>
      </c>
      <c r="C750" t="s">
        <v>31</v>
      </c>
      <c r="D750" t="s">
        <v>63</v>
      </c>
      <c r="E750" t="s">
        <v>41</v>
      </c>
      <c r="F750">
        <v>13</v>
      </c>
      <c r="G750">
        <v>0.57999999999999996</v>
      </c>
      <c r="H750">
        <v>0.43</v>
      </c>
      <c r="I750" t="s">
        <v>60</v>
      </c>
      <c r="J750">
        <v>149652</v>
      </c>
      <c r="K750" t="s">
        <v>27</v>
      </c>
      <c r="L750">
        <v>40</v>
      </c>
      <c r="M750">
        <v>32</v>
      </c>
      <c r="N750" t="s">
        <v>42</v>
      </c>
      <c r="O750" t="s">
        <v>36</v>
      </c>
      <c r="P750">
        <v>4.79</v>
      </c>
      <c r="Q750" t="s">
        <v>24</v>
      </c>
      <c r="R750">
        <v>4.6900000000000004</v>
      </c>
      <c r="S750" t="s">
        <v>28</v>
      </c>
      <c r="T750" t="str">
        <f t="shared" si="22"/>
        <v>Moderate</v>
      </c>
      <c r="U750" t="str">
        <f t="shared" si="23"/>
        <v>Experienced</v>
      </c>
    </row>
    <row r="751" spans="1:21" x14ac:dyDescent="0.35">
      <c r="A751" t="s">
        <v>824</v>
      </c>
      <c r="B751" t="s">
        <v>38</v>
      </c>
      <c r="C751" t="s">
        <v>31</v>
      </c>
      <c r="D751" t="s">
        <v>69</v>
      </c>
      <c r="E751" t="s">
        <v>70</v>
      </c>
      <c r="F751">
        <v>0</v>
      </c>
      <c r="G751">
        <v>0.64</v>
      </c>
      <c r="H751">
        <v>0.23</v>
      </c>
      <c r="I751" t="s">
        <v>60</v>
      </c>
      <c r="J751">
        <v>90154</v>
      </c>
      <c r="K751" t="s">
        <v>25</v>
      </c>
      <c r="L751">
        <v>-8</v>
      </c>
      <c r="M751">
        <v>37</v>
      </c>
      <c r="N751" t="s">
        <v>42</v>
      </c>
      <c r="O751" t="s">
        <v>25</v>
      </c>
      <c r="P751">
        <v>3.19</v>
      </c>
      <c r="Q751" t="s">
        <v>34</v>
      </c>
      <c r="R751">
        <v>1.19</v>
      </c>
      <c r="S751" t="s">
        <v>47</v>
      </c>
      <c r="T751" t="str">
        <f t="shared" si="22"/>
        <v>Moderate</v>
      </c>
      <c r="U751" t="str">
        <f t="shared" si="23"/>
        <v>Beginner</v>
      </c>
    </row>
    <row r="752" spans="1:21" x14ac:dyDescent="0.35">
      <c r="A752" t="s">
        <v>825</v>
      </c>
      <c r="B752" t="s">
        <v>62</v>
      </c>
      <c r="C752" t="s">
        <v>46</v>
      </c>
      <c r="D752" t="s">
        <v>75</v>
      </c>
      <c r="E752" t="s">
        <v>23</v>
      </c>
      <c r="F752">
        <v>18</v>
      </c>
      <c r="G752">
        <v>0.91</v>
      </c>
      <c r="H752">
        <v>0.83</v>
      </c>
      <c r="I752" t="s">
        <v>24</v>
      </c>
      <c r="J752">
        <v>197777</v>
      </c>
      <c r="K752" t="s">
        <v>27</v>
      </c>
      <c r="L752">
        <v>32</v>
      </c>
      <c r="M752">
        <v>47</v>
      </c>
      <c r="N752" t="s">
        <v>42</v>
      </c>
      <c r="O752" t="s">
        <v>25</v>
      </c>
      <c r="P752">
        <v>4.57</v>
      </c>
      <c r="Q752" t="s">
        <v>34</v>
      </c>
      <c r="R752">
        <v>3.24</v>
      </c>
      <c r="S752" t="s">
        <v>43</v>
      </c>
      <c r="T752" t="str">
        <f t="shared" si="22"/>
        <v>Moderate</v>
      </c>
      <c r="U752" t="str">
        <f t="shared" si="23"/>
        <v>Expert</v>
      </c>
    </row>
    <row r="753" spans="1:21" x14ac:dyDescent="0.35">
      <c r="A753" t="s">
        <v>826</v>
      </c>
      <c r="B753" t="s">
        <v>89</v>
      </c>
      <c r="C753" t="s">
        <v>58</v>
      </c>
      <c r="D753" t="s">
        <v>40</v>
      </c>
      <c r="E753" t="s">
        <v>33</v>
      </c>
      <c r="F753">
        <v>23</v>
      </c>
      <c r="G753">
        <v>0.44</v>
      </c>
      <c r="H753">
        <v>0.46</v>
      </c>
      <c r="I753" t="s">
        <v>60</v>
      </c>
      <c r="J753">
        <v>94381</v>
      </c>
      <c r="K753" t="s">
        <v>42</v>
      </c>
      <c r="L753">
        <v>0</v>
      </c>
      <c r="M753">
        <v>51</v>
      </c>
      <c r="N753" t="s">
        <v>42</v>
      </c>
      <c r="O753" t="s">
        <v>27</v>
      </c>
      <c r="P753">
        <v>2.77</v>
      </c>
      <c r="Q753" t="s">
        <v>24</v>
      </c>
      <c r="R753">
        <v>4.62</v>
      </c>
      <c r="S753" t="s">
        <v>47</v>
      </c>
      <c r="T753" t="str">
        <f t="shared" si="22"/>
        <v>High</v>
      </c>
      <c r="U753" t="str">
        <f t="shared" si="23"/>
        <v>Expert</v>
      </c>
    </row>
    <row r="754" spans="1:21" x14ac:dyDescent="0.35">
      <c r="A754" t="s">
        <v>827</v>
      </c>
      <c r="B754" t="s">
        <v>45</v>
      </c>
      <c r="C754" t="s">
        <v>21</v>
      </c>
      <c r="D754" t="s">
        <v>32</v>
      </c>
      <c r="E754" t="s">
        <v>41</v>
      </c>
      <c r="F754">
        <v>0</v>
      </c>
      <c r="G754">
        <v>0.95</v>
      </c>
      <c r="H754">
        <v>0.75</v>
      </c>
      <c r="I754" t="s">
        <v>24</v>
      </c>
      <c r="J754">
        <v>197515</v>
      </c>
      <c r="K754" t="s">
        <v>25</v>
      </c>
      <c r="L754">
        <v>39</v>
      </c>
      <c r="M754">
        <v>54</v>
      </c>
      <c r="N754" t="s">
        <v>42</v>
      </c>
      <c r="O754" t="s">
        <v>25</v>
      </c>
      <c r="P754">
        <v>2.34</v>
      </c>
      <c r="Q754" t="s">
        <v>34</v>
      </c>
      <c r="R754">
        <v>2.35</v>
      </c>
      <c r="S754" t="s">
        <v>28</v>
      </c>
      <c r="T754" t="str">
        <f t="shared" si="22"/>
        <v>Moderate</v>
      </c>
      <c r="U754" t="str">
        <f t="shared" si="23"/>
        <v>Beginner</v>
      </c>
    </row>
    <row r="755" spans="1:21" x14ac:dyDescent="0.35">
      <c r="A755" t="s">
        <v>828</v>
      </c>
      <c r="B755" t="s">
        <v>147</v>
      </c>
      <c r="C755" t="s">
        <v>82</v>
      </c>
      <c r="D755" t="s">
        <v>69</v>
      </c>
      <c r="E755" t="s">
        <v>33</v>
      </c>
      <c r="F755">
        <v>17</v>
      </c>
      <c r="G755">
        <v>0.76</v>
      </c>
      <c r="H755">
        <v>0.48</v>
      </c>
      <c r="I755" t="s">
        <v>34</v>
      </c>
      <c r="J755">
        <v>54125</v>
      </c>
      <c r="K755" t="s">
        <v>27</v>
      </c>
      <c r="L755">
        <v>-9</v>
      </c>
      <c r="M755">
        <v>59</v>
      </c>
      <c r="N755" t="s">
        <v>26</v>
      </c>
      <c r="O755" t="s">
        <v>25</v>
      </c>
      <c r="P755">
        <v>4.9800000000000004</v>
      </c>
      <c r="Q755" t="s">
        <v>24</v>
      </c>
      <c r="R755">
        <v>1.58</v>
      </c>
      <c r="S755" t="s">
        <v>47</v>
      </c>
      <c r="T755" t="str">
        <f t="shared" si="22"/>
        <v>Very Low</v>
      </c>
      <c r="U755" t="str">
        <f t="shared" si="23"/>
        <v>Expert</v>
      </c>
    </row>
    <row r="756" spans="1:21" x14ac:dyDescent="0.35">
      <c r="A756" t="s">
        <v>829</v>
      </c>
      <c r="B756" t="s">
        <v>68</v>
      </c>
      <c r="C756" t="s">
        <v>55</v>
      </c>
      <c r="D756" t="s">
        <v>69</v>
      </c>
      <c r="E756" t="s">
        <v>33</v>
      </c>
      <c r="F756">
        <v>5</v>
      </c>
      <c r="G756">
        <v>0.82</v>
      </c>
      <c r="H756">
        <v>0.83</v>
      </c>
      <c r="I756" t="s">
        <v>24</v>
      </c>
      <c r="J756">
        <v>143351</v>
      </c>
      <c r="K756" t="s">
        <v>27</v>
      </c>
      <c r="L756">
        <v>30</v>
      </c>
      <c r="M756">
        <v>45</v>
      </c>
      <c r="N756" t="s">
        <v>26</v>
      </c>
      <c r="O756" t="s">
        <v>27</v>
      </c>
      <c r="P756">
        <v>4.09</v>
      </c>
      <c r="Q756" t="s">
        <v>24</v>
      </c>
      <c r="R756">
        <v>4.34</v>
      </c>
      <c r="S756" t="s">
        <v>43</v>
      </c>
      <c r="T756" t="str">
        <f t="shared" si="22"/>
        <v>High</v>
      </c>
      <c r="U756" t="str">
        <f t="shared" si="23"/>
        <v>Intermediate</v>
      </c>
    </row>
    <row r="757" spans="1:21" x14ac:dyDescent="0.35">
      <c r="A757" t="s">
        <v>830</v>
      </c>
      <c r="B757" t="s">
        <v>156</v>
      </c>
      <c r="C757" t="s">
        <v>74</v>
      </c>
      <c r="D757" t="s">
        <v>63</v>
      </c>
      <c r="E757" t="s">
        <v>23</v>
      </c>
      <c r="F757">
        <v>23</v>
      </c>
      <c r="G757">
        <v>0.46</v>
      </c>
      <c r="H757">
        <v>0.2</v>
      </c>
      <c r="I757" t="s">
        <v>24</v>
      </c>
      <c r="J757">
        <v>123171</v>
      </c>
      <c r="K757" t="s">
        <v>42</v>
      </c>
      <c r="L757">
        <v>45</v>
      </c>
      <c r="M757">
        <v>44</v>
      </c>
      <c r="N757" t="s">
        <v>35</v>
      </c>
      <c r="O757" t="s">
        <v>25</v>
      </c>
      <c r="P757">
        <v>4.53</v>
      </c>
      <c r="Q757" t="s">
        <v>24</v>
      </c>
      <c r="R757">
        <v>3.37</v>
      </c>
      <c r="S757" t="s">
        <v>43</v>
      </c>
      <c r="T757" t="str">
        <f t="shared" si="22"/>
        <v>Moderate</v>
      </c>
      <c r="U757" t="str">
        <f t="shared" si="23"/>
        <v>Expert</v>
      </c>
    </row>
    <row r="758" spans="1:21" x14ac:dyDescent="0.35">
      <c r="A758" t="s">
        <v>831</v>
      </c>
      <c r="B758" t="s">
        <v>62</v>
      </c>
      <c r="C758" t="s">
        <v>55</v>
      </c>
      <c r="D758" t="s">
        <v>69</v>
      </c>
      <c r="E758" t="s">
        <v>70</v>
      </c>
      <c r="F758">
        <v>1</v>
      </c>
      <c r="G758">
        <v>0.76</v>
      </c>
      <c r="H758">
        <v>0.7</v>
      </c>
      <c r="I758" t="s">
        <v>24</v>
      </c>
      <c r="J758">
        <v>94497</v>
      </c>
      <c r="K758" t="s">
        <v>25</v>
      </c>
      <c r="L758">
        <v>9</v>
      </c>
      <c r="M758">
        <v>51</v>
      </c>
      <c r="N758" t="s">
        <v>35</v>
      </c>
      <c r="O758" t="s">
        <v>27</v>
      </c>
      <c r="P758">
        <v>2.77</v>
      </c>
      <c r="Q758" t="s">
        <v>34</v>
      </c>
      <c r="R758">
        <v>5</v>
      </c>
      <c r="S758" t="s">
        <v>43</v>
      </c>
      <c r="T758" t="str">
        <f t="shared" si="22"/>
        <v>Moderate</v>
      </c>
      <c r="U758" t="str">
        <f t="shared" si="23"/>
        <v>Beginner</v>
      </c>
    </row>
    <row r="759" spans="1:21" x14ac:dyDescent="0.35">
      <c r="A759" t="s">
        <v>832</v>
      </c>
      <c r="B759" t="s">
        <v>156</v>
      </c>
      <c r="C759" t="s">
        <v>31</v>
      </c>
      <c r="D759" t="s">
        <v>63</v>
      </c>
      <c r="E759" t="s">
        <v>33</v>
      </c>
      <c r="F759">
        <v>22</v>
      </c>
      <c r="G759">
        <v>0.33</v>
      </c>
      <c r="H759">
        <v>0.44</v>
      </c>
      <c r="I759" t="s">
        <v>24</v>
      </c>
      <c r="J759">
        <v>35959</v>
      </c>
      <c r="K759" t="s">
        <v>25</v>
      </c>
      <c r="L759">
        <v>23</v>
      </c>
      <c r="M759">
        <v>49</v>
      </c>
      <c r="N759" t="s">
        <v>26</v>
      </c>
      <c r="O759" t="s">
        <v>25</v>
      </c>
      <c r="P759">
        <v>3.09</v>
      </c>
      <c r="Q759" t="s">
        <v>24</v>
      </c>
      <c r="R759">
        <v>4.9000000000000004</v>
      </c>
      <c r="S759" t="s">
        <v>43</v>
      </c>
      <c r="T759" t="str">
        <f t="shared" si="22"/>
        <v>High</v>
      </c>
      <c r="U759" t="str">
        <f t="shared" si="23"/>
        <v>Expert</v>
      </c>
    </row>
    <row r="760" spans="1:21" x14ac:dyDescent="0.35">
      <c r="A760" t="s">
        <v>833</v>
      </c>
      <c r="B760" t="s">
        <v>20</v>
      </c>
      <c r="C760" t="s">
        <v>55</v>
      </c>
      <c r="D760" t="s">
        <v>40</v>
      </c>
      <c r="E760" t="s">
        <v>70</v>
      </c>
      <c r="F760">
        <v>17</v>
      </c>
      <c r="G760">
        <v>0.12</v>
      </c>
      <c r="H760">
        <v>0.24</v>
      </c>
      <c r="I760" t="s">
        <v>60</v>
      </c>
      <c r="J760">
        <v>111654</v>
      </c>
      <c r="K760" t="s">
        <v>42</v>
      </c>
      <c r="L760">
        <v>-4</v>
      </c>
      <c r="M760">
        <v>58</v>
      </c>
      <c r="N760" t="s">
        <v>42</v>
      </c>
      <c r="O760" t="s">
        <v>25</v>
      </c>
      <c r="P760">
        <v>2.94</v>
      </c>
      <c r="Q760" t="s">
        <v>34</v>
      </c>
      <c r="R760">
        <v>1.37</v>
      </c>
      <c r="S760" t="s">
        <v>43</v>
      </c>
      <c r="T760" t="str">
        <f t="shared" si="22"/>
        <v>High</v>
      </c>
      <c r="U760" t="str">
        <f t="shared" si="23"/>
        <v>Expert</v>
      </c>
    </row>
    <row r="761" spans="1:21" x14ac:dyDescent="0.35">
      <c r="A761" t="s">
        <v>834</v>
      </c>
      <c r="B761" t="s">
        <v>89</v>
      </c>
      <c r="C761" t="s">
        <v>74</v>
      </c>
      <c r="D761" t="s">
        <v>69</v>
      </c>
      <c r="E761" t="s">
        <v>41</v>
      </c>
      <c r="F761">
        <v>8</v>
      </c>
      <c r="G761">
        <v>0.05</v>
      </c>
      <c r="H761">
        <v>0.9</v>
      </c>
      <c r="I761" t="s">
        <v>24</v>
      </c>
      <c r="J761">
        <v>41147</v>
      </c>
      <c r="K761" t="s">
        <v>27</v>
      </c>
      <c r="L761">
        <v>25</v>
      </c>
      <c r="M761">
        <v>58</v>
      </c>
      <c r="N761" t="s">
        <v>35</v>
      </c>
      <c r="O761" t="s">
        <v>25</v>
      </c>
      <c r="P761">
        <v>3</v>
      </c>
      <c r="Q761" t="s">
        <v>24</v>
      </c>
      <c r="R761">
        <v>3.59</v>
      </c>
      <c r="S761" t="s">
        <v>28</v>
      </c>
      <c r="T761" t="str">
        <f t="shared" si="22"/>
        <v>Very High</v>
      </c>
      <c r="U761" t="str">
        <f t="shared" si="23"/>
        <v>Intermediate</v>
      </c>
    </row>
    <row r="762" spans="1:21" x14ac:dyDescent="0.35">
      <c r="A762" t="s">
        <v>835</v>
      </c>
      <c r="B762" t="s">
        <v>65</v>
      </c>
      <c r="C762" t="s">
        <v>39</v>
      </c>
      <c r="D762" t="s">
        <v>69</v>
      </c>
      <c r="E762" t="s">
        <v>41</v>
      </c>
      <c r="F762">
        <v>21</v>
      </c>
      <c r="G762">
        <v>0.71</v>
      </c>
      <c r="H762">
        <v>0.3</v>
      </c>
      <c r="I762" t="s">
        <v>60</v>
      </c>
      <c r="J762">
        <v>208899</v>
      </c>
      <c r="K762" t="s">
        <v>42</v>
      </c>
      <c r="L762">
        <v>26</v>
      </c>
      <c r="M762">
        <v>55</v>
      </c>
      <c r="N762" t="s">
        <v>26</v>
      </c>
      <c r="O762" t="s">
        <v>25</v>
      </c>
      <c r="P762">
        <v>3.48</v>
      </c>
      <c r="Q762" t="s">
        <v>24</v>
      </c>
      <c r="R762">
        <v>1.24</v>
      </c>
      <c r="S762" t="s">
        <v>47</v>
      </c>
      <c r="T762" t="str">
        <f t="shared" si="22"/>
        <v>Very Low</v>
      </c>
      <c r="U762" t="str">
        <f t="shared" si="23"/>
        <v>Expert</v>
      </c>
    </row>
    <row r="763" spans="1:21" x14ac:dyDescent="0.35">
      <c r="A763" t="s">
        <v>836</v>
      </c>
      <c r="B763" t="s">
        <v>62</v>
      </c>
      <c r="C763" t="s">
        <v>31</v>
      </c>
      <c r="D763" t="s">
        <v>59</v>
      </c>
      <c r="E763" t="s">
        <v>41</v>
      </c>
      <c r="F763">
        <v>22</v>
      </c>
      <c r="G763">
        <v>0.93</v>
      </c>
      <c r="H763">
        <v>0.53</v>
      </c>
      <c r="I763" t="s">
        <v>34</v>
      </c>
      <c r="J763">
        <v>181606</v>
      </c>
      <c r="K763" t="s">
        <v>42</v>
      </c>
      <c r="L763">
        <v>31</v>
      </c>
      <c r="M763">
        <v>49</v>
      </c>
      <c r="N763" t="s">
        <v>42</v>
      </c>
      <c r="O763" t="s">
        <v>25</v>
      </c>
      <c r="P763">
        <v>4.93</v>
      </c>
      <c r="Q763" t="s">
        <v>34</v>
      </c>
      <c r="R763">
        <v>3.36</v>
      </c>
      <c r="S763" t="s">
        <v>28</v>
      </c>
      <c r="T763" t="str">
        <f t="shared" si="22"/>
        <v>Moderate</v>
      </c>
      <c r="U763" t="str">
        <f t="shared" si="23"/>
        <v>Expert</v>
      </c>
    </row>
    <row r="764" spans="1:21" x14ac:dyDescent="0.35">
      <c r="A764" t="s">
        <v>837</v>
      </c>
      <c r="B764" t="s">
        <v>73</v>
      </c>
      <c r="C764" t="s">
        <v>21</v>
      </c>
      <c r="D764" t="s">
        <v>69</v>
      </c>
      <c r="E764" t="s">
        <v>33</v>
      </c>
      <c r="F764">
        <v>6</v>
      </c>
      <c r="G764">
        <v>0.17</v>
      </c>
      <c r="H764">
        <v>0.23</v>
      </c>
      <c r="I764" t="s">
        <v>34</v>
      </c>
      <c r="J764">
        <v>95534</v>
      </c>
      <c r="K764" t="s">
        <v>25</v>
      </c>
      <c r="L764">
        <v>26</v>
      </c>
      <c r="M764">
        <v>30</v>
      </c>
      <c r="N764" t="s">
        <v>26</v>
      </c>
      <c r="O764" t="s">
        <v>25</v>
      </c>
      <c r="P764">
        <v>4.1500000000000004</v>
      </c>
      <c r="Q764" t="s">
        <v>24</v>
      </c>
      <c r="R764">
        <v>2.65</v>
      </c>
      <c r="S764" t="s">
        <v>43</v>
      </c>
      <c r="T764" t="str">
        <f t="shared" si="22"/>
        <v>High</v>
      </c>
      <c r="U764" t="str">
        <f t="shared" si="23"/>
        <v>Intermediate</v>
      </c>
    </row>
    <row r="765" spans="1:21" x14ac:dyDescent="0.35">
      <c r="A765" t="s">
        <v>838</v>
      </c>
      <c r="B765" t="s">
        <v>30</v>
      </c>
      <c r="C765" t="s">
        <v>52</v>
      </c>
      <c r="D765" t="s">
        <v>69</v>
      </c>
      <c r="E765" t="s">
        <v>70</v>
      </c>
      <c r="F765">
        <v>14</v>
      </c>
      <c r="G765">
        <v>0.63</v>
      </c>
      <c r="H765">
        <v>0.3</v>
      </c>
      <c r="I765" t="s">
        <v>60</v>
      </c>
      <c r="J765">
        <v>126667</v>
      </c>
      <c r="K765" t="s">
        <v>25</v>
      </c>
      <c r="L765">
        <v>44</v>
      </c>
      <c r="M765">
        <v>50</v>
      </c>
      <c r="N765" t="s">
        <v>35</v>
      </c>
      <c r="O765" t="s">
        <v>25</v>
      </c>
      <c r="P765">
        <v>3.17</v>
      </c>
      <c r="Q765" t="s">
        <v>24</v>
      </c>
      <c r="R765">
        <v>4.4800000000000004</v>
      </c>
      <c r="S765" t="s">
        <v>28</v>
      </c>
      <c r="T765" t="str">
        <f t="shared" si="22"/>
        <v>Moderate</v>
      </c>
      <c r="U765" t="str">
        <f t="shared" si="23"/>
        <v>Experienced</v>
      </c>
    </row>
    <row r="766" spans="1:21" x14ac:dyDescent="0.35">
      <c r="A766" t="s">
        <v>839</v>
      </c>
      <c r="B766" t="s">
        <v>51</v>
      </c>
      <c r="C766" t="s">
        <v>58</v>
      </c>
      <c r="D766" t="s">
        <v>75</v>
      </c>
      <c r="E766" t="s">
        <v>23</v>
      </c>
      <c r="F766">
        <v>16</v>
      </c>
      <c r="G766">
        <v>0.09</v>
      </c>
      <c r="H766">
        <v>0.2</v>
      </c>
      <c r="I766" t="s">
        <v>34</v>
      </c>
      <c r="J766">
        <v>151525</v>
      </c>
      <c r="K766" t="s">
        <v>25</v>
      </c>
      <c r="L766">
        <v>16</v>
      </c>
      <c r="M766">
        <v>33</v>
      </c>
      <c r="N766" t="s">
        <v>42</v>
      </c>
      <c r="O766" t="s">
        <v>25</v>
      </c>
      <c r="P766">
        <v>2.85</v>
      </c>
      <c r="Q766" t="s">
        <v>24</v>
      </c>
      <c r="R766">
        <v>2.7</v>
      </c>
      <c r="S766" t="s">
        <v>47</v>
      </c>
      <c r="T766" t="str">
        <f t="shared" si="22"/>
        <v>High</v>
      </c>
      <c r="U766" t="str">
        <f t="shared" si="23"/>
        <v>Expert</v>
      </c>
    </row>
    <row r="767" spans="1:21" x14ac:dyDescent="0.35">
      <c r="A767" t="s">
        <v>840</v>
      </c>
      <c r="B767" t="s">
        <v>89</v>
      </c>
      <c r="C767" t="s">
        <v>52</v>
      </c>
      <c r="D767" t="s">
        <v>66</v>
      </c>
      <c r="E767" t="s">
        <v>33</v>
      </c>
      <c r="F767">
        <v>15</v>
      </c>
      <c r="G767">
        <v>0.25</v>
      </c>
      <c r="H767">
        <v>0.36</v>
      </c>
      <c r="I767" t="s">
        <v>24</v>
      </c>
      <c r="J767">
        <v>102250</v>
      </c>
      <c r="K767" t="s">
        <v>42</v>
      </c>
      <c r="L767">
        <v>-2</v>
      </c>
      <c r="M767">
        <v>30</v>
      </c>
      <c r="N767" t="s">
        <v>35</v>
      </c>
      <c r="O767" t="s">
        <v>27</v>
      </c>
      <c r="P767">
        <v>3.46</v>
      </c>
      <c r="Q767" t="s">
        <v>24</v>
      </c>
      <c r="R767">
        <v>4.95</v>
      </c>
      <c r="S767" t="s">
        <v>28</v>
      </c>
      <c r="T767" t="str">
        <f t="shared" si="22"/>
        <v>High</v>
      </c>
      <c r="U767" t="str">
        <f t="shared" si="23"/>
        <v>Experienced</v>
      </c>
    </row>
    <row r="768" spans="1:21" x14ac:dyDescent="0.35">
      <c r="A768" t="s">
        <v>841</v>
      </c>
      <c r="B768" t="s">
        <v>65</v>
      </c>
      <c r="C768" t="s">
        <v>31</v>
      </c>
      <c r="D768" t="s">
        <v>69</v>
      </c>
      <c r="E768" t="s">
        <v>41</v>
      </c>
      <c r="F768">
        <v>2</v>
      </c>
      <c r="G768">
        <v>0.28000000000000003</v>
      </c>
      <c r="H768">
        <v>0.28000000000000003</v>
      </c>
      <c r="I768" t="s">
        <v>60</v>
      </c>
      <c r="J768">
        <v>202567</v>
      </c>
      <c r="K768" t="s">
        <v>25</v>
      </c>
      <c r="L768">
        <v>5</v>
      </c>
      <c r="M768">
        <v>58</v>
      </c>
      <c r="N768" t="s">
        <v>42</v>
      </c>
      <c r="O768" t="s">
        <v>36</v>
      </c>
      <c r="P768">
        <v>4.43</v>
      </c>
      <c r="Q768" t="s">
        <v>24</v>
      </c>
      <c r="R768">
        <v>3.51</v>
      </c>
      <c r="S768" t="s">
        <v>28</v>
      </c>
      <c r="T768" t="str">
        <f t="shared" si="22"/>
        <v>Moderate</v>
      </c>
      <c r="U768" t="str">
        <f t="shared" si="23"/>
        <v>Beginner</v>
      </c>
    </row>
    <row r="769" spans="1:21" x14ac:dyDescent="0.35">
      <c r="A769" t="s">
        <v>842</v>
      </c>
      <c r="B769" t="s">
        <v>38</v>
      </c>
      <c r="C769" t="s">
        <v>74</v>
      </c>
      <c r="D769" t="s">
        <v>75</v>
      </c>
      <c r="E769" t="s">
        <v>23</v>
      </c>
      <c r="F769">
        <v>6</v>
      </c>
      <c r="G769">
        <v>0.74</v>
      </c>
      <c r="H769">
        <v>0.81</v>
      </c>
      <c r="I769" t="s">
        <v>24</v>
      </c>
      <c r="J769">
        <v>140028</v>
      </c>
      <c r="K769" t="s">
        <v>25</v>
      </c>
      <c r="L769">
        <v>36</v>
      </c>
      <c r="M769">
        <v>39</v>
      </c>
      <c r="N769" t="s">
        <v>26</v>
      </c>
      <c r="O769" t="s">
        <v>36</v>
      </c>
      <c r="P769">
        <v>2.75</v>
      </c>
      <c r="Q769" t="s">
        <v>34</v>
      </c>
      <c r="R769">
        <v>3.34</v>
      </c>
      <c r="S769" t="s">
        <v>28</v>
      </c>
      <c r="T769" t="str">
        <f t="shared" si="22"/>
        <v>High</v>
      </c>
      <c r="U769" t="str">
        <f t="shared" si="23"/>
        <v>Intermediate</v>
      </c>
    </row>
    <row r="770" spans="1:21" x14ac:dyDescent="0.35">
      <c r="A770" t="s">
        <v>843</v>
      </c>
      <c r="B770" t="s">
        <v>147</v>
      </c>
      <c r="C770" t="s">
        <v>107</v>
      </c>
      <c r="D770" t="s">
        <v>59</v>
      </c>
      <c r="E770" t="s">
        <v>70</v>
      </c>
      <c r="F770">
        <v>15</v>
      </c>
      <c r="G770">
        <v>0.85</v>
      </c>
      <c r="H770">
        <v>0.46</v>
      </c>
      <c r="I770" t="s">
        <v>24</v>
      </c>
      <c r="J770">
        <v>118119</v>
      </c>
      <c r="K770" t="s">
        <v>42</v>
      </c>
      <c r="L770">
        <v>25</v>
      </c>
      <c r="M770">
        <v>30</v>
      </c>
      <c r="N770" t="s">
        <v>26</v>
      </c>
      <c r="O770" t="s">
        <v>25</v>
      </c>
      <c r="P770">
        <v>2.31</v>
      </c>
      <c r="Q770" t="s">
        <v>24</v>
      </c>
      <c r="R770">
        <v>1.93</v>
      </c>
      <c r="S770" t="s">
        <v>47</v>
      </c>
      <c r="T770" t="str">
        <f t="shared" si="22"/>
        <v>Very Low</v>
      </c>
      <c r="U770" t="str">
        <f t="shared" si="23"/>
        <v>Experienced</v>
      </c>
    </row>
    <row r="771" spans="1:21" x14ac:dyDescent="0.35">
      <c r="A771" t="s">
        <v>844</v>
      </c>
      <c r="B771" t="s">
        <v>106</v>
      </c>
      <c r="C771" t="s">
        <v>39</v>
      </c>
      <c r="D771" t="s">
        <v>59</v>
      </c>
      <c r="E771" t="s">
        <v>33</v>
      </c>
      <c r="F771">
        <v>11</v>
      </c>
      <c r="G771">
        <v>0.66</v>
      </c>
      <c r="H771">
        <v>0.97</v>
      </c>
      <c r="I771" t="s">
        <v>24</v>
      </c>
      <c r="J771">
        <v>145679</v>
      </c>
      <c r="K771" t="s">
        <v>25</v>
      </c>
      <c r="L771">
        <v>6</v>
      </c>
      <c r="M771">
        <v>30</v>
      </c>
      <c r="N771" t="s">
        <v>26</v>
      </c>
      <c r="O771" t="s">
        <v>36</v>
      </c>
      <c r="P771">
        <v>2.36</v>
      </c>
      <c r="Q771" t="s">
        <v>34</v>
      </c>
      <c r="R771">
        <v>3.57</v>
      </c>
      <c r="S771" t="s">
        <v>43</v>
      </c>
      <c r="T771" t="str">
        <f t="shared" ref="T771:T834" si="24">IF(AND(G771&lt;0.4,H771&gt;=0.7),"Very High",
IF(AND(G771&gt;=0.7,H771&lt;0.5),"Very Low",
IF(G771&lt;H771,"High","Moderate")))</f>
        <v>High</v>
      </c>
      <c r="U771" t="str">
        <f t="shared" ref="U771:U834" si="25">_xlfn.IFS(F771&lt;=2,"Beginner",F771&lt;=8,"Intermediate",F771&lt;=15,"Experienced",F771&lt;=25,"Expert")</f>
        <v>Experienced</v>
      </c>
    </row>
    <row r="772" spans="1:21" x14ac:dyDescent="0.35">
      <c r="A772" t="s">
        <v>845</v>
      </c>
      <c r="B772" t="s">
        <v>20</v>
      </c>
      <c r="C772" t="s">
        <v>39</v>
      </c>
      <c r="D772" t="s">
        <v>75</v>
      </c>
      <c r="E772" t="s">
        <v>23</v>
      </c>
      <c r="F772">
        <v>22</v>
      </c>
      <c r="G772">
        <v>0.16</v>
      </c>
      <c r="H772">
        <v>0.84</v>
      </c>
      <c r="I772" t="s">
        <v>34</v>
      </c>
      <c r="J772">
        <v>186846</v>
      </c>
      <c r="K772" t="s">
        <v>27</v>
      </c>
      <c r="L772">
        <v>0</v>
      </c>
      <c r="M772">
        <v>51</v>
      </c>
      <c r="N772" t="s">
        <v>26</v>
      </c>
      <c r="O772" t="s">
        <v>27</v>
      </c>
      <c r="P772">
        <v>2.02</v>
      </c>
      <c r="Q772" t="s">
        <v>34</v>
      </c>
      <c r="R772">
        <v>4.2699999999999996</v>
      </c>
      <c r="S772" t="s">
        <v>47</v>
      </c>
      <c r="T772" t="str">
        <f t="shared" si="24"/>
        <v>Very High</v>
      </c>
      <c r="U772" t="str">
        <f t="shared" si="25"/>
        <v>Expert</v>
      </c>
    </row>
    <row r="773" spans="1:21" x14ac:dyDescent="0.35">
      <c r="A773" t="s">
        <v>846</v>
      </c>
      <c r="B773" t="s">
        <v>147</v>
      </c>
      <c r="C773" t="s">
        <v>74</v>
      </c>
      <c r="D773" t="s">
        <v>49</v>
      </c>
      <c r="E773" t="s">
        <v>33</v>
      </c>
      <c r="F773">
        <v>0</v>
      </c>
      <c r="G773">
        <v>0.88</v>
      </c>
      <c r="H773">
        <v>0.42</v>
      </c>
      <c r="I773" t="s">
        <v>60</v>
      </c>
      <c r="J773">
        <v>141963</v>
      </c>
      <c r="K773" t="s">
        <v>25</v>
      </c>
      <c r="L773">
        <v>30</v>
      </c>
      <c r="M773">
        <v>48</v>
      </c>
      <c r="N773" t="s">
        <v>35</v>
      </c>
      <c r="O773" t="s">
        <v>27</v>
      </c>
      <c r="P773">
        <v>2.83</v>
      </c>
      <c r="Q773" t="s">
        <v>24</v>
      </c>
      <c r="R773">
        <v>4.29</v>
      </c>
      <c r="S773" t="s">
        <v>47</v>
      </c>
      <c r="T773" t="str">
        <f t="shared" si="24"/>
        <v>Very Low</v>
      </c>
      <c r="U773" t="str">
        <f t="shared" si="25"/>
        <v>Beginner</v>
      </c>
    </row>
    <row r="774" spans="1:21" x14ac:dyDescent="0.35">
      <c r="A774" t="s">
        <v>847</v>
      </c>
      <c r="B774" t="s">
        <v>91</v>
      </c>
      <c r="C774" t="s">
        <v>39</v>
      </c>
      <c r="D774" t="s">
        <v>22</v>
      </c>
      <c r="E774" t="s">
        <v>33</v>
      </c>
      <c r="F774">
        <v>1</v>
      </c>
      <c r="G774">
        <v>0.23</v>
      </c>
      <c r="H774">
        <v>0.43</v>
      </c>
      <c r="I774" t="s">
        <v>24</v>
      </c>
      <c r="J774">
        <v>46062</v>
      </c>
      <c r="K774" t="s">
        <v>27</v>
      </c>
      <c r="L774">
        <v>36</v>
      </c>
      <c r="M774">
        <v>36</v>
      </c>
      <c r="N774" t="s">
        <v>42</v>
      </c>
      <c r="O774" t="s">
        <v>27</v>
      </c>
      <c r="P774">
        <v>4.2699999999999996</v>
      </c>
      <c r="Q774" t="s">
        <v>34</v>
      </c>
      <c r="R774">
        <v>4.34</v>
      </c>
      <c r="S774" t="s">
        <v>43</v>
      </c>
      <c r="T774" t="str">
        <f t="shared" si="24"/>
        <v>High</v>
      </c>
      <c r="U774" t="str">
        <f t="shared" si="25"/>
        <v>Beginner</v>
      </c>
    </row>
    <row r="775" spans="1:21" x14ac:dyDescent="0.35">
      <c r="A775" t="s">
        <v>848</v>
      </c>
      <c r="B775" t="s">
        <v>51</v>
      </c>
      <c r="C775" t="s">
        <v>52</v>
      </c>
      <c r="D775" t="s">
        <v>40</v>
      </c>
      <c r="E775" t="s">
        <v>41</v>
      </c>
      <c r="F775">
        <v>24</v>
      </c>
      <c r="G775">
        <v>0.06</v>
      </c>
      <c r="H775">
        <v>0.5</v>
      </c>
      <c r="I775" t="s">
        <v>24</v>
      </c>
      <c r="J775">
        <v>169730</v>
      </c>
      <c r="K775" t="s">
        <v>25</v>
      </c>
      <c r="L775">
        <v>-6</v>
      </c>
      <c r="M775">
        <v>34</v>
      </c>
      <c r="N775" t="s">
        <v>42</v>
      </c>
      <c r="O775" t="s">
        <v>25</v>
      </c>
      <c r="P775">
        <v>3.3</v>
      </c>
      <c r="Q775" t="s">
        <v>24</v>
      </c>
      <c r="R775">
        <v>2.06</v>
      </c>
      <c r="S775" t="s">
        <v>28</v>
      </c>
      <c r="T775" t="str">
        <f t="shared" si="24"/>
        <v>High</v>
      </c>
      <c r="U775" t="str">
        <f t="shared" si="25"/>
        <v>Expert</v>
      </c>
    </row>
    <row r="776" spans="1:21" x14ac:dyDescent="0.35">
      <c r="A776" t="s">
        <v>849</v>
      </c>
      <c r="B776" t="s">
        <v>54</v>
      </c>
      <c r="C776" t="s">
        <v>74</v>
      </c>
      <c r="D776" t="s">
        <v>66</v>
      </c>
      <c r="E776" t="s">
        <v>33</v>
      </c>
      <c r="F776">
        <v>23</v>
      </c>
      <c r="G776">
        <v>0.2</v>
      </c>
      <c r="H776">
        <v>0.86</v>
      </c>
      <c r="I776" t="s">
        <v>24</v>
      </c>
      <c r="J776">
        <v>146673</v>
      </c>
      <c r="K776" t="s">
        <v>25</v>
      </c>
      <c r="L776">
        <v>15</v>
      </c>
      <c r="M776">
        <v>39</v>
      </c>
      <c r="N776" t="s">
        <v>42</v>
      </c>
      <c r="O776" t="s">
        <v>27</v>
      </c>
      <c r="P776">
        <v>3.39</v>
      </c>
      <c r="Q776" t="s">
        <v>24</v>
      </c>
      <c r="R776">
        <v>4.5</v>
      </c>
      <c r="S776" t="s">
        <v>47</v>
      </c>
      <c r="T776" t="str">
        <f t="shared" si="24"/>
        <v>Very High</v>
      </c>
      <c r="U776" t="str">
        <f t="shared" si="25"/>
        <v>Expert</v>
      </c>
    </row>
    <row r="777" spans="1:21" x14ac:dyDescent="0.35">
      <c r="A777" t="s">
        <v>850</v>
      </c>
      <c r="B777" t="s">
        <v>106</v>
      </c>
      <c r="C777" t="s">
        <v>58</v>
      </c>
      <c r="D777" t="s">
        <v>80</v>
      </c>
      <c r="E777" t="s">
        <v>33</v>
      </c>
      <c r="F777">
        <v>17</v>
      </c>
      <c r="G777">
        <v>0.48</v>
      </c>
      <c r="H777">
        <v>0.92</v>
      </c>
      <c r="I777" t="s">
        <v>24</v>
      </c>
      <c r="J777">
        <v>182217</v>
      </c>
      <c r="K777" t="s">
        <v>25</v>
      </c>
      <c r="L777">
        <v>5</v>
      </c>
      <c r="M777">
        <v>59</v>
      </c>
      <c r="N777" t="s">
        <v>35</v>
      </c>
      <c r="O777" t="s">
        <v>27</v>
      </c>
      <c r="P777">
        <v>4.57</v>
      </c>
      <c r="Q777" t="s">
        <v>24</v>
      </c>
      <c r="R777">
        <v>1.97</v>
      </c>
      <c r="S777" t="s">
        <v>28</v>
      </c>
      <c r="T777" t="str">
        <f t="shared" si="24"/>
        <v>High</v>
      </c>
      <c r="U777" t="str">
        <f t="shared" si="25"/>
        <v>Expert</v>
      </c>
    </row>
    <row r="778" spans="1:21" x14ac:dyDescent="0.35">
      <c r="A778" t="s">
        <v>851</v>
      </c>
      <c r="B778" t="s">
        <v>51</v>
      </c>
      <c r="C778" t="s">
        <v>58</v>
      </c>
      <c r="D778" t="s">
        <v>69</v>
      </c>
      <c r="E778" t="s">
        <v>23</v>
      </c>
      <c r="F778">
        <v>6</v>
      </c>
      <c r="G778">
        <v>0.28000000000000003</v>
      </c>
      <c r="H778">
        <v>0.46</v>
      </c>
      <c r="I778" t="s">
        <v>24</v>
      </c>
      <c r="J778">
        <v>65698</v>
      </c>
      <c r="K778" t="s">
        <v>25</v>
      </c>
      <c r="L778">
        <v>34</v>
      </c>
      <c r="M778">
        <v>50</v>
      </c>
      <c r="N778" t="s">
        <v>35</v>
      </c>
      <c r="O778" t="s">
        <v>27</v>
      </c>
      <c r="P778">
        <v>2.44</v>
      </c>
      <c r="Q778" t="s">
        <v>34</v>
      </c>
      <c r="R778">
        <v>1.29</v>
      </c>
      <c r="S778" t="s">
        <v>28</v>
      </c>
      <c r="T778" t="str">
        <f t="shared" si="24"/>
        <v>High</v>
      </c>
      <c r="U778" t="str">
        <f t="shared" si="25"/>
        <v>Intermediate</v>
      </c>
    </row>
    <row r="779" spans="1:21" x14ac:dyDescent="0.35">
      <c r="A779" t="s">
        <v>852</v>
      </c>
      <c r="B779" t="s">
        <v>156</v>
      </c>
      <c r="C779" t="s">
        <v>58</v>
      </c>
      <c r="D779" t="s">
        <v>75</v>
      </c>
      <c r="E779" t="s">
        <v>41</v>
      </c>
      <c r="F779">
        <v>24</v>
      </c>
      <c r="G779">
        <v>0.66</v>
      </c>
      <c r="H779">
        <v>0.98</v>
      </c>
      <c r="I779" t="s">
        <v>60</v>
      </c>
      <c r="J779">
        <v>118521</v>
      </c>
      <c r="K779" t="s">
        <v>27</v>
      </c>
      <c r="L779">
        <v>-9</v>
      </c>
      <c r="M779">
        <v>57</v>
      </c>
      <c r="N779" t="s">
        <v>26</v>
      </c>
      <c r="O779" t="s">
        <v>25</v>
      </c>
      <c r="P779">
        <v>2.25</v>
      </c>
      <c r="Q779" t="s">
        <v>24</v>
      </c>
      <c r="R779">
        <v>4.03</v>
      </c>
      <c r="S779" t="s">
        <v>28</v>
      </c>
      <c r="T779" t="str">
        <f t="shared" si="24"/>
        <v>High</v>
      </c>
      <c r="U779" t="str">
        <f t="shared" si="25"/>
        <v>Expert</v>
      </c>
    </row>
    <row r="780" spans="1:21" x14ac:dyDescent="0.35">
      <c r="A780" t="s">
        <v>853</v>
      </c>
      <c r="B780" t="s">
        <v>147</v>
      </c>
      <c r="C780" t="s">
        <v>58</v>
      </c>
      <c r="D780" t="s">
        <v>22</v>
      </c>
      <c r="E780" t="s">
        <v>41</v>
      </c>
      <c r="F780">
        <v>23</v>
      </c>
      <c r="G780">
        <v>0.91</v>
      </c>
      <c r="H780">
        <v>0.28000000000000003</v>
      </c>
      <c r="I780" t="s">
        <v>24</v>
      </c>
      <c r="J780">
        <v>171303</v>
      </c>
      <c r="K780" t="s">
        <v>42</v>
      </c>
      <c r="L780">
        <v>10</v>
      </c>
      <c r="M780">
        <v>42</v>
      </c>
      <c r="N780" t="s">
        <v>26</v>
      </c>
      <c r="O780" t="s">
        <v>25</v>
      </c>
      <c r="P780">
        <v>4.38</v>
      </c>
      <c r="Q780" t="s">
        <v>34</v>
      </c>
      <c r="R780">
        <v>4.01</v>
      </c>
      <c r="S780" t="s">
        <v>43</v>
      </c>
      <c r="T780" t="str">
        <f t="shared" si="24"/>
        <v>Very Low</v>
      </c>
      <c r="U780" t="str">
        <f t="shared" si="25"/>
        <v>Expert</v>
      </c>
    </row>
    <row r="781" spans="1:21" x14ac:dyDescent="0.35">
      <c r="A781" t="s">
        <v>854</v>
      </c>
      <c r="B781" t="s">
        <v>106</v>
      </c>
      <c r="C781" t="s">
        <v>82</v>
      </c>
      <c r="D781" t="s">
        <v>66</v>
      </c>
      <c r="E781" t="s">
        <v>41</v>
      </c>
      <c r="F781">
        <v>10</v>
      </c>
      <c r="G781">
        <v>0.49</v>
      </c>
      <c r="H781">
        <v>0.92</v>
      </c>
      <c r="I781" t="s">
        <v>34</v>
      </c>
      <c r="J781">
        <v>50081</v>
      </c>
      <c r="K781" t="s">
        <v>42</v>
      </c>
      <c r="L781">
        <v>-8</v>
      </c>
      <c r="M781">
        <v>46</v>
      </c>
      <c r="N781" t="s">
        <v>42</v>
      </c>
      <c r="O781" t="s">
        <v>36</v>
      </c>
      <c r="P781">
        <v>2.08</v>
      </c>
      <c r="Q781" t="s">
        <v>24</v>
      </c>
      <c r="R781">
        <v>1.01</v>
      </c>
      <c r="S781" t="s">
        <v>43</v>
      </c>
      <c r="T781" t="str">
        <f t="shared" si="24"/>
        <v>High</v>
      </c>
      <c r="U781" t="str">
        <f t="shared" si="25"/>
        <v>Experienced</v>
      </c>
    </row>
    <row r="782" spans="1:21" x14ac:dyDescent="0.35">
      <c r="A782" t="s">
        <v>855</v>
      </c>
      <c r="B782" t="s">
        <v>106</v>
      </c>
      <c r="C782" t="s">
        <v>52</v>
      </c>
      <c r="D782" t="s">
        <v>69</v>
      </c>
      <c r="E782" t="s">
        <v>41</v>
      </c>
      <c r="F782">
        <v>7</v>
      </c>
      <c r="G782">
        <v>0.38</v>
      </c>
      <c r="H782">
        <v>0.61</v>
      </c>
      <c r="I782" t="s">
        <v>34</v>
      </c>
      <c r="J782">
        <v>168945</v>
      </c>
      <c r="K782" t="s">
        <v>25</v>
      </c>
      <c r="L782">
        <v>41</v>
      </c>
      <c r="M782">
        <v>38</v>
      </c>
      <c r="N782" t="s">
        <v>26</v>
      </c>
      <c r="O782" t="s">
        <v>25</v>
      </c>
      <c r="P782">
        <v>4.97</v>
      </c>
      <c r="Q782" t="s">
        <v>34</v>
      </c>
      <c r="R782">
        <v>3.65</v>
      </c>
      <c r="S782" t="s">
        <v>43</v>
      </c>
      <c r="T782" t="str">
        <f t="shared" si="24"/>
        <v>High</v>
      </c>
      <c r="U782" t="str">
        <f t="shared" si="25"/>
        <v>Intermediate</v>
      </c>
    </row>
    <row r="783" spans="1:21" x14ac:dyDescent="0.35">
      <c r="A783" t="s">
        <v>856</v>
      </c>
      <c r="B783" t="s">
        <v>102</v>
      </c>
      <c r="C783" t="s">
        <v>39</v>
      </c>
      <c r="D783" t="s">
        <v>69</v>
      </c>
      <c r="E783" t="s">
        <v>23</v>
      </c>
      <c r="F783">
        <v>19</v>
      </c>
      <c r="G783">
        <v>0.09</v>
      </c>
      <c r="H783">
        <v>0.56999999999999995</v>
      </c>
      <c r="I783" t="s">
        <v>34</v>
      </c>
      <c r="J783">
        <v>136622</v>
      </c>
      <c r="K783" t="s">
        <v>25</v>
      </c>
      <c r="L783">
        <v>39</v>
      </c>
      <c r="M783">
        <v>49</v>
      </c>
      <c r="N783" t="s">
        <v>26</v>
      </c>
      <c r="O783" t="s">
        <v>27</v>
      </c>
      <c r="P783">
        <v>2.5499999999999998</v>
      </c>
      <c r="Q783" t="s">
        <v>24</v>
      </c>
      <c r="R783">
        <v>1.24</v>
      </c>
      <c r="S783" t="s">
        <v>47</v>
      </c>
      <c r="T783" t="str">
        <f t="shared" si="24"/>
        <v>High</v>
      </c>
      <c r="U783" t="str">
        <f t="shared" si="25"/>
        <v>Expert</v>
      </c>
    </row>
    <row r="784" spans="1:21" x14ac:dyDescent="0.35">
      <c r="A784" t="s">
        <v>857</v>
      </c>
      <c r="B784" t="s">
        <v>54</v>
      </c>
      <c r="C784" t="s">
        <v>31</v>
      </c>
      <c r="D784" t="s">
        <v>32</v>
      </c>
      <c r="E784" t="s">
        <v>23</v>
      </c>
      <c r="F784">
        <v>15</v>
      </c>
      <c r="G784">
        <v>0.85</v>
      </c>
      <c r="H784">
        <v>0.92</v>
      </c>
      <c r="I784" t="s">
        <v>24</v>
      </c>
      <c r="J784">
        <v>31303</v>
      </c>
      <c r="K784" t="s">
        <v>27</v>
      </c>
      <c r="L784">
        <v>2</v>
      </c>
      <c r="M784">
        <v>42</v>
      </c>
      <c r="N784" t="s">
        <v>26</v>
      </c>
      <c r="O784" t="s">
        <v>25</v>
      </c>
      <c r="P784">
        <v>3.58</v>
      </c>
      <c r="Q784" t="s">
        <v>24</v>
      </c>
      <c r="R784">
        <v>2.6</v>
      </c>
      <c r="S784" t="s">
        <v>47</v>
      </c>
      <c r="T784" t="str">
        <f t="shared" si="24"/>
        <v>High</v>
      </c>
      <c r="U784" t="str">
        <f t="shared" si="25"/>
        <v>Experienced</v>
      </c>
    </row>
    <row r="785" spans="1:21" x14ac:dyDescent="0.35">
      <c r="A785" t="s">
        <v>858</v>
      </c>
      <c r="B785" t="s">
        <v>38</v>
      </c>
      <c r="C785" t="s">
        <v>31</v>
      </c>
      <c r="D785" t="s">
        <v>69</v>
      </c>
      <c r="E785" t="s">
        <v>70</v>
      </c>
      <c r="F785">
        <v>5</v>
      </c>
      <c r="G785">
        <v>0.66</v>
      </c>
      <c r="H785">
        <v>0.77</v>
      </c>
      <c r="I785" t="s">
        <v>24</v>
      </c>
      <c r="J785">
        <v>166766</v>
      </c>
      <c r="K785" t="s">
        <v>25</v>
      </c>
      <c r="L785">
        <v>16</v>
      </c>
      <c r="M785">
        <v>54</v>
      </c>
      <c r="N785" t="s">
        <v>26</v>
      </c>
      <c r="O785" t="s">
        <v>25</v>
      </c>
      <c r="P785">
        <v>3.1</v>
      </c>
      <c r="Q785" t="s">
        <v>34</v>
      </c>
      <c r="R785">
        <v>1.86</v>
      </c>
      <c r="S785" t="s">
        <v>43</v>
      </c>
      <c r="T785" t="str">
        <f t="shared" si="24"/>
        <v>High</v>
      </c>
      <c r="U785" t="str">
        <f t="shared" si="25"/>
        <v>Intermediate</v>
      </c>
    </row>
    <row r="786" spans="1:21" x14ac:dyDescent="0.35">
      <c r="A786" t="s">
        <v>859</v>
      </c>
      <c r="B786" t="s">
        <v>51</v>
      </c>
      <c r="C786" t="s">
        <v>74</v>
      </c>
      <c r="D786" t="s">
        <v>63</v>
      </c>
      <c r="E786" t="s">
        <v>70</v>
      </c>
      <c r="F786">
        <v>1</v>
      </c>
      <c r="G786">
        <v>0.31</v>
      </c>
      <c r="H786">
        <v>0.98</v>
      </c>
      <c r="I786" t="s">
        <v>24</v>
      </c>
      <c r="J786">
        <v>132204</v>
      </c>
      <c r="K786" t="s">
        <v>42</v>
      </c>
      <c r="L786">
        <v>40</v>
      </c>
      <c r="M786">
        <v>37</v>
      </c>
      <c r="N786" t="s">
        <v>26</v>
      </c>
      <c r="O786" t="s">
        <v>27</v>
      </c>
      <c r="P786">
        <v>3.11</v>
      </c>
      <c r="Q786" t="s">
        <v>24</v>
      </c>
      <c r="R786">
        <v>2.1800000000000002</v>
      </c>
      <c r="S786" t="s">
        <v>28</v>
      </c>
      <c r="T786" t="str">
        <f t="shared" si="24"/>
        <v>Very High</v>
      </c>
      <c r="U786" t="str">
        <f t="shared" si="25"/>
        <v>Beginner</v>
      </c>
    </row>
    <row r="787" spans="1:21" x14ac:dyDescent="0.35">
      <c r="A787" t="s">
        <v>860</v>
      </c>
      <c r="B787" t="s">
        <v>65</v>
      </c>
      <c r="C787" t="s">
        <v>46</v>
      </c>
      <c r="D787" t="s">
        <v>80</v>
      </c>
      <c r="E787" t="s">
        <v>41</v>
      </c>
      <c r="F787">
        <v>24</v>
      </c>
      <c r="G787">
        <v>0.33</v>
      </c>
      <c r="H787">
        <v>0.83</v>
      </c>
      <c r="I787" t="s">
        <v>24</v>
      </c>
      <c r="J787">
        <v>106179</v>
      </c>
      <c r="K787" t="s">
        <v>27</v>
      </c>
      <c r="L787">
        <v>-4</v>
      </c>
      <c r="M787">
        <v>41</v>
      </c>
      <c r="N787" t="s">
        <v>35</v>
      </c>
      <c r="O787" t="s">
        <v>27</v>
      </c>
      <c r="P787">
        <v>4.09</v>
      </c>
      <c r="Q787" t="s">
        <v>24</v>
      </c>
      <c r="R787">
        <v>4.32</v>
      </c>
      <c r="S787" t="s">
        <v>43</v>
      </c>
      <c r="T787" t="str">
        <f t="shared" si="24"/>
        <v>Very High</v>
      </c>
      <c r="U787" t="str">
        <f t="shared" si="25"/>
        <v>Expert</v>
      </c>
    </row>
    <row r="788" spans="1:21" x14ac:dyDescent="0.35">
      <c r="A788" t="s">
        <v>861</v>
      </c>
      <c r="B788" t="s">
        <v>73</v>
      </c>
      <c r="C788" t="s">
        <v>31</v>
      </c>
      <c r="D788" t="s">
        <v>59</v>
      </c>
      <c r="E788" t="s">
        <v>33</v>
      </c>
      <c r="F788">
        <v>6</v>
      </c>
      <c r="G788">
        <v>0.36</v>
      </c>
      <c r="H788">
        <v>0.43</v>
      </c>
      <c r="I788" t="s">
        <v>24</v>
      </c>
      <c r="J788">
        <v>197531</v>
      </c>
      <c r="K788" t="s">
        <v>42</v>
      </c>
      <c r="L788">
        <v>2</v>
      </c>
      <c r="M788">
        <v>56</v>
      </c>
      <c r="N788" t="s">
        <v>26</v>
      </c>
      <c r="O788" t="s">
        <v>36</v>
      </c>
      <c r="P788">
        <v>3.76</v>
      </c>
      <c r="Q788" t="s">
        <v>24</v>
      </c>
      <c r="R788">
        <v>2.58</v>
      </c>
      <c r="S788" t="s">
        <v>47</v>
      </c>
      <c r="T788" t="str">
        <f t="shared" si="24"/>
        <v>High</v>
      </c>
      <c r="U788" t="str">
        <f t="shared" si="25"/>
        <v>Intermediate</v>
      </c>
    </row>
    <row r="789" spans="1:21" x14ac:dyDescent="0.35">
      <c r="A789" t="s">
        <v>862</v>
      </c>
      <c r="B789" t="s">
        <v>68</v>
      </c>
      <c r="C789" t="s">
        <v>55</v>
      </c>
      <c r="D789" t="s">
        <v>75</v>
      </c>
      <c r="E789" t="s">
        <v>33</v>
      </c>
      <c r="F789">
        <v>7</v>
      </c>
      <c r="G789">
        <v>0.59</v>
      </c>
      <c r="H789">
        <v>0.62</v>
      </c>
      <c r="I789" t="s">
        <v>60</v>
      </c>
      <c r="J789">
        <v>219071</v>
      </c>
      <c r="K789" t="s">
        <v>25</v>
      </c>
      <c r="L789">
        <v>30</v>
      </c>
      <c r="M789">
        <v>51</v>
      </c>
      <c r="N789" t="s">
        <v>35</v>
      </c>
      <c r="O789" t="s">
        <v>36</v>
      </c>
      <c r="P789">
        <v>2.65</v>
      </c>
      <c r="Q789" t="s">
        <v>34</v>
      </c>
      <c r="R789">
        <v>3.58</v>
      </c>
      <c r="S789" t="s">
        <v>47</v>
      </c>
      <c r="T789" t="str">
        <f t="shared" si="24"/>
        <v>High</v>
      </c>
      <c r="U789" t="str">
        <f t="shared" si="25"/>
        <v>Intermediate</v>
      </c>
    </row>
    <row r="790" spans="1:21" x14ac:dyDescent="0.35">
      <c r="A790" t="s">
        <v>863</v>
      </c>
      <c r="B790" t="s">
        <v>65</v>
      </c>
      <c r="C790" t="s">
        <v>107</v>
      </c>
      <c r="D790" t="s">
        <v>63</v>
      </c>
      <c r="E790" t="s">
        <v>23</v>
      </c>
      <c r="F790">
        <v>3</v>
      </c>
      <c r="G790">
        <v>0.91</v>
      </c>
      <c r="H790">
        <v>0.93</v>
      </c>
      <c r="I790" t="s">
        <v>34</v>
      </c>
      <c r="J790">
        <v>190399</v>
      </c>
      <c r="K790" t="s">
        <v>27</v>
      </c>
      <c r="L790">
        <v>44</v>
      </c>
      <c r="M790">
        <v>43</v>
      </c>
      <c r="N790" t="s">
        <v>26</v>
      </c>
      <c r="O790" t="s">
        <v>27</v>
      </c>
      <c r="P790">
        <v>4.59</v>
      </c>
      <c r="Q790" t="s">
        <v>24</v>
      </c>
      <c r="R790">
        <v>1.04</v>
      </c>
      <c r="S790" t="s">
        <v>47</v>
      </c>
      <c r="T790" t="str">
        <f t="shared" si="24"/>
        <v>High</v>
      </c>
      <c r="U790" t="str">
        <f t="shared" si="25"/>
        <v>Intermediate</v>
      </c>
    </row>
    <row r="791" spans="1:21" x14ac:dyDescent="0.35">
      <c r="A791" t="s">
        <v>864</v>
      </c>
      <c r="B791" t="s">
        <v>77</v>
      </c>
      <c r="C791" t="s">
        <v>55</v>
      </c>
      <c r="D791" t="s">
        <v>75</v>
      </c>
      <c r="E791" t="s">
        <v>33</v>
      </c>
      <c r="F791">
        <v>22</v>
      </c>
      <c r="G791">
        <v>0.75</v>
      </c>
      <c r="H791">
        <v>0.28999999999999998</v>
      </c>
      <c r="I791" t="s">
        <v>34</v>
      </c>
      <c r="J791">
        <v>63530</v>
      </c>
      <c r="K791" t="s">
        <v>42</v>
      </c>
      <c r="L791">
        <v>20</v>
      </c>
      <c r="M791">
        <v>50</v>
      </c>
      <c r="N791" t="s">
        <v>26</v>
      </c>
      <c r="O791" t="s">
        <v>36</v>
      </c>
      <c r="P791">
        <v>2.79</v>
      </c>
      <c r="Q791" t="s">
        <v>34</v>
      </c>
      <c r="R791">
        <v>4.29</v>
      </c>
      <c r="S791" t="s">
        <v>28</v>
      </c>
      <c r="T791" t="str">
        <f t="shared" si="24"/>
        <v>Very Low</v>
      </c>
      <c r="U791" t="str">
        <f t="shared" si="25"/>
        <v>Expert</v>
      </c>
    </row>
    <row r="792" spans="1:21" x14ac:dyDescent="0.35">
      <c r="A792" t="s">
        <v>865</v>
      </c>
      <c r="B792" t="s">
        <v>106</v>
      </c>
      <c r="C792" t="s">
        <v>58</v>
      </c>
      <c r="D792" t="s">
        <v>40</v>
      </c>
      <c r="E792" t="s">
        <v>70</v>
      </c>
      <c r="F792">
        <v>19</v>
      </c>
      <c r="G792">
        <v>0.4</v>
      </c>
      <c r="H792">
        <v>0.68</v>
      </c>
      <c r="I792" t="s">
        <v>24</v>
      </c>
      <c r="J792">
        <v>120647</v>
      </c>
      <c r="K792" t="s">
        <v>25</v>
      </c>
      <c r="L792">
        <v>45</v>
      </c>
      <c r="M792">
        <v>46</v>
      </c>
      <c r="N792" t="s">
        <v>26</v>
      </c>
      <c r="O792" t="s">
        <v>27</v>
      </c>
      <c r="P792">
        <v>2.86</v>
      </c>
      <c r="Q792" t="s">
        <v>34</v>
      </c>
      <c r="R792">
        <v>1.9</v>
      </c>
      <c r="S792" t="s">
        <v>43</v>
      </c>
      <c r="T792" t="str">
        <f t="shared" si="24"/>
        <v>High</v>
      </c>
      <c r="U792" t="str">
        <f t="shared" si="25"/>
        <v>Expert</v>
      </c>
    </row>
    <row r="793" spans="1:21" x14ac:dyDescent="0.35">
      <c r="A793" t="s">
        <v>866</v>
      </c>
      <c r="B793" t="s">
        <v>77</v>
      </c>
      <c r="C793" t="s">
        <v>46</v>
      </c>
      <c r="D793" t="s">
        <v>80</v>
      </c>
      <c r="E793" t="s">
        <v>33</v>
      </c>
      <c r="F793">
        <v>2</v>
      </c>
      <c r="G793">
        <v>0.2</v>
      </c>
      <c r="H793">
        <v>0.77</v>
      </c>
      <c r="I793" t="s">
        <v>24</v>
      </c>
      <c r="J793">
        <v>86514</v>
      </c>
      <c r="K793" t="s">
        <v>42</v>
      </c>
      <c r="L793">
        <v>7</v>
      </c>
      <c r="M793">
        <v>40</v>
      </c>
      <c r="N793" t="s">
        <v>42</v>
      </c>
      <c r="O793" t="s">
        <v>36</v>
      </c>
      <c r="P793">
        <v>2.23</v>
      </c>
      <c r="Q793" t="s">
        <v>34</v>
      </c>
      <c r="R793">
        <v>4.74</v>
      </c>
      <c r="S793" t="s">
        <v>28</v>
      </c>
      <c r="T793" t="str">
        <f t="shared" si="24"/>
        <v>Very High</v>
      </c>
      <c r="U793" t="str">
        <f t="shared" si="25"/>
        <v>Beginner</v>
      </c>
    </row>
    <row r="794" spans="1:21" x14ac:dyDescent="0.35">
      <c r="A794" t="s">
        <v>867</v>
      </c>
      <c r="B794" t="s">
        <v>57</v>
      </c>
      <c r="C794" t="s">
        <v>107</v>
      </c>
      <c r="D794" t="s">
        <v>69</v>
      </c>
      <c r="E794" t="s">
        <v>23</v>
      </c>
      <c r="F794">
        <v>13</v>
      </c>
      <c r="G794">
        <v>0.8</v>
      </c>
      <c r="H794">
        <v>0.7</v>
      </c>
      <c r="I794" t="s">
        <v>60</v>
      </c>
      <c r="J794">
        <v>118471</v>
      </c>
      <c r="K794" t="s">
        <v>25</v>
      </c>
      <c r="L794">
        <v>23</v>
      </c>
      <c r="M794">
        <v>52</v>
      </c>
      <c r="N794" t="s">
        <v>35</v>
      </c>
      <c r="O794" t="s">
        <v>25</v>
      </c>
      <c r="P794">
        <v>4.24</v>
      </c>
      <c r="Q794" t="s">
        <v>34</v>
      </c>
      <c r="R794">
        <v>4.12</v>
      </c>
      <c r="S794" t="s">
        <v>47</v>
      </c>
      <c r="T794" t="str">
        <f t="shared" si="24"/>
        <v>Moderate</v>
      </c>
      <c r="U794" t="str">
        <f t="shared" si="25"/>
        <v>Experienced</v>
      </c>
    </row>
    <row r="795" spans="1:21" x14ac:dyDescent="0.35">
      <c r="A795" t="s">
        <v>868</v>
      </c>
      <c r="B795" t="s">
        <v>45</v>
      </c>
      <c r="C795" t="s">
        <v>58</v>
      </c>
      <c r="D795" t="s">
        <v>69</v>
      </c>
      <c r="E795" t="s">
        <v>33</v>
      </c>
      <c r="F795">
        <v>21</v>
      </c>
      <c r="G795">
        <v>0.38</v>
      </c>
      <c r="H795">
        <v>0.51</v>
      </c>
      <c r="I795" t="s">
        <v>34</v>
      </c>
      <c r="J795">
        <v>189233</v>
      </c>
      <c r="K795" t="s">
        <v>25</v>
      </c>
      <c r="L795">
        <v>10</v>
      </c>
      <c r="M795">
        <v>60</v>
      </c>
      <c r="N795" t="s">
        <v>26</v>
      </c>
      <c r="O795" t="s">
        <v>25</v>
      </c>
      <c r="P795">
        <v>2.2999999999999998</v>
      </c>
      <c r="Q795" t="s">
        <v>24</v>
      </c>
      <c r="R795">
        <v>4.07</v>
      </c>
      <c r="S795" t="s">
        <v>43</v>
      </c>
      <c r="T795" t="str">
        <f t="shared" si="24"/>
        <v>High</v>
      </c>
      <c r="U795" t="str">
        <f t="shared" si="25"/>
        <v>Expert</v>
      </c>
    </row>
    <row r="796" spans="1:21" x14ac:dyDescent="0.35">
      <c r="A796" t="s">
        <v>869</v>
      </c>
      <c r="B796" t="s">
        <v>89</v>
      </c>
      <c r="C796" t="s">
        <v>52</v>
      </c>
      <c r="D796" t="s">
        <v>80</v>
      </c>
      <c r="E796" t="s">
        <v>33</v>
      </c>
      <c r="F796">
        <v>19</v>
      </c>
      <c r="G796">
        <v>0.22</v>
      </c>
      <c r="H796">
        <v>0.65</v>
      </c>
      <c r="I796" t="s">
        <v>24</v>
      </c>
      <c r="J796">
        <v>157241</v>
      </c>
      <c r="K796" t="s">
        <v>27</v>
      </c>
      <c r="L796">
        <v>43</v>
      </c>
      <c r="M796">
        <v>38</v>
      </c>
      <c r="N796" t="s">
        <v>42</v>
      </c>
      <c r="O796" t="s">
        <v>27</v>
      </c>
      <c r="P796">
        <v>4.8899999999999997</v>
      </c>
      <c r="Q796" t="s">
        <v>24</v>
      </c>
      <c r="R796">
        <v>1.97</v>
      </c>
      <c r="S796" t="s">
        <v>28</v>
      </c>
      <c r="T796" t="str">
        <f t="shared" si="24"/>
        <v>High</v>
      </c>
      <c r="U796" t="str">
        <f t="shared" si="25"/>
        <v>Expert</v>
      </c>
    </row>
    <row r="797" spans="1:21" x14ac:dyDescent="0.35">
      <c r="A797" t="s">
        <v>870</v>
      </c>
      <c r="B797" t="s">
        <v>20</v>
      </c>
      <c r="C797" t="s">
        <v>55</v>
      </c>
      <c r="D797" t="s">
        <v>32</v>
      </c>
      <c r="E797" t="s">
        <v>23</v>
      </c>
      <c r="F797">
        <v>1</v>
      </c>
      <c r="G797">
        <v>0.36</v>
      </c>
      <c r="H797">
        <v>0.39</v>
      </c>
      <c r="I797" t="s">
        <v>24</v>
      </c>
      <c r="J797">
        <v>204878</v>
      </c>
      <c r="K797" t="s">
        <v>25</v>
      </c>
      <c r="L797">
        <v>31</v>
      </c>
      <c r="M797">
        <v>41</v>
      </c>
      <c r="N797" t="s">
        <v>26</v>
      </c>
      <c r="O797" t="s">
        <v>27</v>
      </c>
      <c r="P797">
        <v>2.37</v>
      </c>
      <c r="Q797" t="s">
        <v>24</v>
      </c>
      <c r="R797">
        <v>3.67</v>
      </c>
      <c r="S797" t="s">
        <v>43</v>
      </c>
      <c r="T797" t="str">
        <f t="shared" si="24"/>
        <v>High</v>
      </c>
      <c r="U797" t="str">
        <f t="shared" si="25"/>
        <v>Beginner</v>
      </c>
    </row>
    <row r="798" spans="1:21" x14ac:dyDescent="0.35">
      <c r="A798" t="s">
        <v>871</v>
      </c>
      <c r="B798" t="s">
        <v>62</v>
      </c>
      <c r="C798" t="s">
        <v>31</v>
      </c>
      <c r="D798" t="s">
        <v>22</v>
      </c>
      <c r="E798" t="s">
        <v>33</v>
      </c>
      <c r="F798">
        <v>0</v>
      </c>
      <c r="G798">
        <v>0.94</v>
      </c>
      <c r="H798">
        <v>0.66</v>
      </c>
      <c r="I798" t="s">
        <v>60</v>
      </c>
      <c r="J798">
        <v>46997</v>
      </c>
      <c r="K798" t="s">
        <v>42</v>
      </c>
      <c r="L798">
        <v>6</v>
      </c>
      <c r="M798">
        <v>48</v>
      </c>
      <c r="N798" t="s">
        <v>35</v>
      </c>
      <c r="O798" t="s">
        <v>36</v>
      </c>
      <c r="P798">
        <v>4.2699999999999996</v>
      </c>
      <c r="Q798" t="s">
        <v>34</v>
      </c>
      <c r="R798">
        <v>4.07</v>
      </c>
      <c r="S798" t="s">
        <v>28</v>
      </c>
      <c r="T798" t="str">
        <f t="shared" si="24"/>
        <v>Moderate</v>
      </c>
      <c r="U798" t="str">
        <f t="shared" si="25"/>
        <v>Beginner</v>
      </c>
    </row>
    <row r="799" spans="1:21" x14ac:dyDescent="0.35">
      <c r="A799" t="s">
        <v>872</v>
      </c>
      <c r="B799" t="s">
        <v>96</v>
      </c>
      <c r="C799" t="s">
        <v>46</v>
      </c>
      <c r="D799" t="s">
        <v>59</v>
      </c>
      <c r="E799" t="s">
        <v>33</v>
      </c>
      <c r="F799">
        <v>10</v>
      </c>
      <c r="G799">
        <v>0.18</v>
      </c>
      <c r="H799">
        <v>0.82</v>
      </c>
      <c r="I799" t="s">
        <v>60</v>
      </c>
      <c r="J799">
        <v>181854</v>
      </c>
      <c r="K799" t="s">
        <v>25</v>
      </c>
      <c r="L799">
        <v>8</v>
      </c>
      <c r="M799">
        <v>30</v>
      </c>
      <c r="N799" t="s">
        <v>26</v>
      </c>
      <c r="O799" t="s">
        <v>36</v>
      </c>
      <c r="P799">
        <v>3.71</v>
      </c>
      <c r="Q799" t="s">
        <v>24</v>
      </c>
      <c r="R799">
        <v>4.8099999999999996</v>
      </c>
      <c r="S799" t="s">
        <v>47</v>
      </c>
      <c r="T799" t="str">
        <f t="shared" si="24"/>
        <v>Very High</v>
      </c>
      <c r="U799" t="str">
        <f t="shared" si="25"/>
        <v>Experienced</v>
      </c>
    </row>
    <row r="800" spans="1:21" x14ac:dyDescent="0.35">
      <c r="A800" t="s">
        <v>873</v>
      </c>
      <c r="B800" t="s">
        <v>96</v>
      </c>
      <c r="C800" t="s">
        <v>46</v>
      </c>
      <c r="D800" t="s">
        <v>80</v>
      </c>
      <c r="E800" t="s">
        <v>41</v>
      </c>
      <c r="F800">
        <v>13</v>
      </c>
      <c r="G800">
        <v>0.75</v>
      </c>
      <c r="H800">
        <v>0.81</v>
      </c>
      <c r="I800" t="s">
        <v>60</v>
      </c>
      <c r="J800">
        <v>142689</v>
      </c>
      <c r="K800" t="s">
        <v>27</v>
      </c>
      <c r="L800">
        <v>-9</v>
      </c>
      <c r="M800">
        <v>47</v>
      </c>
      <c r="N800" t="s">
        <v>42</v>
      </c>
      <c r="O800" t="s">
        <v>25</v>
      </c>
      <c r="P800">
        <v>3.19</v>
      </c>
      <c r="Q800" t="s">
        <v>24</v>
      </c>
      <c r="R800">
        <v>2.83</v>
      </c>
      <c r="S800" t="s">
        <v>43</v>
      </c>
      <c r="T800" t="str">
        <f t="shared" si="24"/>
        <v>High</v>
      </c>
      <c r="U800" t="str">
        <f t="shared" si="25"/>
        <v>Experienced</v>
      </c>
    </row>
    <row r="801" spans="1:21" x14ac:dyDescent="0.35">
      <c r="A801" t="s">
        <v>874</v>
      </c>
      <c r="B801" t="s">
        <v>57</v>
      </c>
      <c r="C801" t="s">
        <v>55</v>
      </c>
      <c r="D801" t="s">
        <v>22</v>
      </c>
      <c r="E801" t="s">
        <v>33</v>
      </c>
      <c r="F801">
        <v>10</v>
      </c>
      <c r="G801">
        <v>0.33</v>
      </c>
      <c r="H801">
        <v>0.94</v>
      </c>
      <c r="I801" t="s">
        <v>60</v>
      </c>
      <c r="J801">
        <v>219897</v>
      </c>
      <c r="K801" t="s">
        <v>27</v>
      </c>
      <c r="L801">
        <v>28</v>
      </c>
      <c r="M801">
        <v>59</v>
      </c>
      <c r="N801" t="s">
        <v>42</v>
      </c>
      <c r="O801" t="s">
        <v>27</v>
      </c>
      <c r="P801">
        <v>2.73</v>
      </c>
      <c r="Q801" t="s">
        <v>24</v>
      </c>
      <c r="R801">
        <v>3.63</v>
      </c>
      <c r="S801" t="s">
        <v>28</v>
      </c>
      <c r="T801" t="str">
        <f t="shared" si="24"/>
        <v>Very High</v>
      </c>
      <c r="U801" t="str">
        <f t="shared" si="25"/>
        <v>Experienced</v>
      </c>
    </row>
    <row r="802" spans="1:21" x14ac:dyDescent="0.35">
      <c r="A802" t="s">
        <v>875</v>
      </c>
      <c r="B802" t="s">
        <v>106</v>
      </c>
      <c r="C802" t="s">
        <v>46</v>
      </c>
      <c r="D802" t="s">
        <v>22</v>
      </c>
      <c r="E802" t="s">
        <v>23</v>
      </c>
      <c r="F802">
        <v>10</v>
      </c>
      <c r="G802">
        <v>0.91</v>
      </c>
      <c r="H802">
        <v>0.9</v>
      </c>
      <c r="I802" t="s">
        <v>24</v>
      </c>
      <c r="J802">
        <v>60881</v>
      </c>
      <c r="K802" t="s">
        <v>27</v>
      </c>
      <c r="L802">
        <v>41</v>
      </c>
      <c r="M802">
        <v>57</v>
      </c>
      <c r="N802" t="s">
        <v>35</v>
      </c>
      <c r="O802" t="s">
        <v>36</v>
      </c>
      <c r="P802">
        <v>3.77</v>
      </c>
      <c r="Q802" t="s">
        <v>34</v>
      </c>
      <c r="R802">
        <v>3.18</v>
      </c>
      <c r="S802" t="s">
        <v>47</v>
      </c>
      <c r="T802" t="str">
        <f t="shared" si="24"/>
        <v>Moderate</v>
      </c>
      <c r="U802" t="str">
        <f t="shared" si="25"/>
        <v>Experienced</v>
      </c>
    </row>
    <row r="803" spans="1:21" x14ac:dyDescent="0.35">
      <c r="A803" t="s">
        <v>876</v>
      </c>
      <c r="B803" t="s">
        <v>156</v>
      </c>
      <c r="C803" t="s">
        <v>55</v>
      </c>
      <c r="D803" t="s">
        <v>49</v>
      </c>
      <c r="E803" t="s">
        <v>23</v>
      </c>
      <c r="F803">
        <v>3</v>
      </c>
      <c r="G803">
        <v>0.42</v>
      </c>
      <c r="H803">
        <v>0.26</v>
      </c>
      <c r="I803" t="s">
        <v>60</v>
      </c>
      <c r="J803">
        <v>86788</v>
      </c>
      <c r="K803" t="s">
        <v>27</v>
      </c>
      <c r="L803">
        <v>-1</v>
      </c>
      <c r="M803">
        <v>54</v>
      </c>
      <c r="N803" t="s">
        <v>35</v>
      </c>
      <c r="O803" t="s">
        <v>27</v>
      </c>
      <c r="P803">
        <v>2.94</v>
      </c>
      <c r="Q803" t="s">
        <v>34</v>
      </c>
      <c r="R803">
        <v>4.92</v>
      </c>
      <c r="S803" t="s">
        <v>47</v>
      </c>
      <c r="T803" t="str">
        <f t="shared" si="24"/>
        <v>Moderate</v>
      </c>
      <c r="U803" t="str">
        <f t="shared" si="25"/>
        <v>Intermediate</v>
      </c>
    </row>
    <row r="804" spans="1:21" x14ac:dyDescent="0.35">
      <c r="A804" t="s">
        <v>877</v>
      </c>
      <c r="B804" t="s">
        <v>65</v>
      </c>
      <c r="C804" t="s">
        <v>31</v>
      </c>
      <c r="D804" t="s">
        <v>75</v>
      </c>
      <c r="E804" t="s">
        <v>41</v>
      </c>
      <c r="F804">
        <v>5</v>
      </c>
      <c r="G804">
        <v>0.27</v>
      </c>
      <c r="H804">
        <v>0.83</v>
      </c>
      <c r="I804" t="s">
        <v>34</v>
      </c>
      <c r="J804">
        <v>111459</v>
      </c>
      <c r="K804" t="s">
        <v>25</v>
      </c>
      <c r="L804">
        <v>-10</v>
      </c>
      <c r="M804">
        <v>30</v>
      </c>
      <c r="N804" t="s">
        <v>26</v>
      </c>
      <c r="O804" t="s">
        <v>27</v>
      </c>
      <c r="P804">
        <v>3.3</v>
      </c>
      <c r="Q804" t="s">
        <v>34</v>
      </c>
      <c r="R804">
        <v>4.63</v>
      </c>
      <c r="S804" t="s">
        <v>43</v>
      </c>
      <c r="T804" t="str">
        <f t="shared" si="24"/>
        <v>Very High</v>
      </c>
      <c r="U804" t="str">
        <f t="shared" si="25"/>
        <v>Intermediate</v>
      </c>
    </row>
    <row r="805" spans="1:21" x14ac:dyDescent="0.35">
      <c r="A805" t="s">
        <v>878</v>
      </c>
      <c r="B805" t="s">
        <v>102</v>
      </c>
      <c r="C805" t="s">
        <v>46</v>
      </c>
      <c r="D805" t="s">
        <v>63</v>
      </c>
      <c r="E805" t="s">
        <v>41</v>
      </c>
      <c r="F805">
        <v>1</v>
      </c>
      <c r="G805">
        <v>0.5</v>
      </c>
      <c r="H805">
        <v>0.26</v>
      </c>
      <c r="I805" t="s">
        <v>24</v>
      </c>
      <c r="J805">
        <v>205194</v>
      </c>
      <c r="K805" t="s">
        <v>42</v>
      </c>
      <c r="L805">
        <v>23</v>
      </c>
      <c r="M805">
        <v>31</v>
      </c>
      <c r="N805" t="s">
        <v>26</v>
      </c>
      <c r="O805" t="s">
        <v>27</v>
      </c>
      <c r="P805">
        <v>2.84</v>
      </c>
      <c r="Q805" t="s">
        <v>34</v>
      </c>
      <c r="R805">
        <v>3.52</v>
      </c>
      <c r="S805" t="s">
        <v>47</v>
      </c>
      <c r="T805" t="str">
        <f t="shared" si="24"/>
        <v>Moderate</v>
      </c>
      <c r="U805" t="str">
        <f t="shared" si="25"/>
        <v>Beginner</v>
      </c>
    </row>
    <row r="806" spans="1:21" x14ac:dyDescent="0.35">
      <c r="A806" t="s">
        <v>879</v>
      </c>
      <c r="B806" t="s">
        <v>91</v>
      </c>
      <c r="C806" t="s">
        <v>52</v>
      </c>
      <c r="D806" t="s">
        <v>32</v>
      </c>
      <c r="E806" t="s">
        <v>41</v>
      </c>
      <c r="F806">
        <v>23</v>
      </c>
      <c r="G806">
        <v>0.83</v>
      </c>
      <c r="H806">
        <v>0.61</v>
      </c>
      <c r="I806" t="s">
        <v>34</v>
      </c>
      <c r="J806">
        <v>182689</v>
      </c>
      <c r="K806" t="s">
        <v>25</v>
      </c>
      <c r="L806">
        <v>30</v>
      </c>
      <c r="M806">
        <v>38</v>
      </c>
      <c r="N806" t="s">
        <v>42</v>
      </c>
      <c r="O806" t="s">
        <v>25</v>
      </c>
      <c r="P806">
        <v>4.6900000000000004</v>
      </c>
      <c r="Q806" t="s">
        <v>34</v>
      </c>
      <c r="R806">
        <v>2.77</v>
      </c>
      <c r="S806" t="s">
        <v>43</v>
      </c>
      <c r="T806" t="str">
        <f t="shared" si="24"/>
        <v>Moderate</v>
      </c>
      <c r="U806" t="str">
        <f t="shared" si="25"/>
        <v>Expert</v>
      </c>
    </row>
    <row r="807" spans="1:21" x14ac:dyDescent="0.35">
      <c r="A807" t="s">
        <v>880</v>
      </c>
      <c r="B807" t="s">
        <v>106</v>
      </c>
      <c r="C807" t="s">
        <v>46</v>
      </c>
      <c r="D807" t="s">
        <v>32</v>
      </c>
      <c r="E807" t="s">
        <v>70</v>
      </c>
      <c r="F807">
        <v>0</v>
      </c>
      <c r="G807">
        <v>0.41</v>
      </c>
      <c r="H807">
        <v>0.88</v>
      </c>
      <c r="I807" t="s">
        <v>60</v>
      </c>
      <c r="J807">
        <v>206001</v>
      </c>
      <c r="K807" t="s">
        <v>25</v>
      </c>
      <c r="L807">
        <v>37</v>
      </c>
      <c r="M807">
        <v>57</v>
      </c>
      <c r="N807" t="s">
        <v>42</v>
      </c>
      <c r="O807" t="s">
        <v>27</v>
      </c>
      <c r="P807">
        <v>3.88</v>
      </c>
      <c r="Q807" t="s">
        <v>34</v>
      </c>
      <c r="R807">
        <v>4.6900000000000004</v>
      </c>
      <c r="S807" t="s">
        <v>47</v>
      </c>
      <c r="T807" t="str">
        <f t="shared" si="24"/>
        <v>High</v>
      </c>
      <c r="U807" t="str">
        <f t="shared" si="25"/>
        <v>Beginner</v>
      </c>
    </row>
    <row r="808" spans="1:21" x14ac:dyDescent="0.35">
      <c r="A808" t="s">
        <v>881</v>
      </c>
      <c r="B808" t="s">
        <v>45</v>
      </c>
      <c r="C808" t="s">
        <v>39</v>
      </c>
      <c r="D808" t="s">
        <v>59</v>
      </c>
      <c r="E808" t="s">
        <v>33</v>
      </c>
      <c r="F808">
        <v>14</v>
      </c>
      <c r="G808">
        <v>0.89</v>
      </c>
      <c r="H808">
        <v>0.73</v>
      </c>
      <c r="I808" t="s">
        <v>24</v>
      </c>
      <c r="J808">
        <v>98891</v>
      </c>
      <c r="K808" t="s">
        <v>25</v>
      </c>
      <c r="L808">
        <v>-2</v>
      </c>
      <c r="M808">
        <v>60</v>
      </c>
      <c r="N808" t="s">
        <v>42</v>
      </c>
      <c r="O808" t="s">
        <v>36</v>
      </c>
      <c r="P808">
        <v>4.1399999999999997</v>
      </c>
      <c r="Q808" t="s">
        <v>24</v>
      </c>
      <c r="R808">
        <v>1.81</v>
      </c>
      <c r="S808" t="s">
        <v>43</v>
      </c>
      <c r="T808" t="str">
        <f t="shared" si="24"/>
        <v>Moderate</v>
      </c>
      <c r="U808" t="str">
        <f t="shared" si="25"/>
        <v>Experienced</v>
      </c>
    </row>
    <row r="809" spans="1:21" x14ac:dyDescent="0.35">
      <c r="A809" t="s">
        <v>882</v>
      </c>
      <c r="B809" t="s">
        <v>68</v>
      </c>
      <c r="C809" t="s">
        <v>21</v>
      </c>
      <c r="D809" t="s">
        <v>22</v>
      </c>
      <c r="E809" t="s">
        <v>33</v>
      </c>
      <c r="F809">
        <v>0</v>
      </c>
      <c r="G809">
        <v>0.06</v>
      </c>
      <c r="H809">
        <v>0.87</v>
      </c>
      <c r="I809" t="s">
        <v>34</v>
      </c>
      <c r="J809">
        <v>73063</v>
      </c>
      <c r="K809" t="s">
        <v>25</v>
      </c>
      <c r="L809">
        <v>4</v>
      </c>
      <c r="M809">
        <v>54</v>
      </c>
      <c r="N809" t="s">
        <v>42</v>
      </c>
      <c r="O809" t="s">
        <v>25</v>
      </c>
      <c r="P809">
        <v>4.4800000000000004</v>
      </c>
      <c r="Q809" t="s">
        <v>34</v>
      </c>
      <c r="R809">
        <v>1.53</v>
      </c>
      <c r="S809" t="s">
        <v>43</v>
      </c>
      <c r="T809" t="str">
        <f t="shared" si="24"/>
        <v>Very High</v>
      </c>
      <c r="U809" t="str">
        <f t="shared" si="25"/>
        <v>Beginner</v>
      </c>
    </row>
    <row r="810" spans="1:21" x14ac:dyDescent="0.35">
      <c r="A810" t="s">
        <v>883</v>
      </c>
      <c r="B810" t="s">
        <v>62</v>
      </c>
      <c r="C810" t="s">
        <v>31</v>
      </c>
      <c r="D810" t="s">
        <v>22</v>
      </c>
      <c r="E810" t="s">
        <v>41</v>
      </c>
      <c r="F810">
        <v>23</v>
      </c>
      <c r="G810">
        <v>0.12</v>
      </c>
      <c r="H810">
        <v>0.73</v>
      </c>
      <c r="I810" t="s">
        <v>24</v>
      </c>
      <c r="J810">
        <v>107785</v>
      </c>
      <c r="K810" t="s">
        <v>27</v>
      </c>
      <c r="L810">
        <v>10</v>
      </c>
      <c r="M810">
        <v>31</v>
      </c>
      <c r="N810" t="s">
        <v>35</v>
      </c>
      <c r="O810" t="s">
        <v>36</v>
      </c>
      <c r="P810">
        <v>2.88</v>
      </c>
      <c r="Q810" t="s">
        <v>24</v>
      </c>
      <c r="R810">
        <v>4.8899999999999997</v>
      </c>
      <c r="S810" t="s">
        <v>47</v>
      </c>
      <c r="T810" t="str">
        <f t="shared" si="24"/>
        <v>Very High</v>
      </c>
      <c r="U810" t="str">
        <f t="shared" si="25"/>
        <v>Expert</v>
      </c>
    </row>
    <row r="811" spans="1:21" x14ac:dyDescent="0.35">
      <c r="A811" t="s">
        <v>884</v>
      </c>
      <c r="B811" t="s">
        <v>89</v>
      </c>
      <c r="C811" t="s">
        <v>55</v>
      </c>
      <c r="D811" t="s">
        <v>40</v>
      </c>
      <c r="E811" t="s">
        <v>33</v>
      </c>
      <c r="F811">
        <v>14</v>
      </c>
      <c r="G811">
        <v>0.66</v>
      </c>
      <c r="H811">
        <v>0.86</v>
      </c>
      <c r="I811" t="s">
        <v>60</v>
      </c>
      <c r="J811">
        <v>134427</v>
      </c>
      <c r="K811" t="s">
        <v>42</v>
      </c>
      <c r="L811">
        <v>32</v>
      </c>
      <c r="M811">
        <v>46</v>
      </c>
      <c r="N811" t="s">
        <v>35</v>
      </c>
      <c r="O811" t="s">
        <v>25</v>
      </c>
      <c r="P811">
        <v>2.23</v>
      </c>
      <c r="Q811" t="s">
        <v>24</v>
      </c>
      <c r="R811">
        <v>3.56</v>
      </c>
      <c r="S811" t="s">
        <v>43</v>
      </c>
      <c r="T811" t="str">
        <f t="shared" si="24"/>
        <v>High</v>
      </c>
      <c r="U811" t="str">
        <f t="shared" si="25"/>
        <v>Experienced</v>
      </c>
    </row>
    <row r="812" spans="1:21" x14ac:dyDescent="0.35">
      <c r="A812" t="s">
        <v>885</v>
      </c>
      <c r="B812" t="s">
        <v>20</v>
      </c>
      <c r="C812" t="s">
        <v>74</v>
      </c>
      <c r="D812" t="s">
        <v>49</v>
      </c>
      <c r="E812" t="s">
        <v>23</v>
      </c>
      <c r="F812">
        <v>7</v>
      </c>
      <c r="G812">
        <v>0.89</v>
      </c>
      <c r="H812">
        <v>0.53</v>
      </c>
      <c r="I812" t="s">
        <v>34</v>
      </c>
      <c r="J812">
        <v>180082</v>
      </c>
      <c r="K812" t="s">
        <v>25</v>
      </c>
      <c r="L812">
        <v>45</v>
      </c>
      <c r="M812">
        <v>56</v>
      </c>
      <c r="N812" t="s">
        <v>26</v>
      </c>
      <c r="O812" t="s">
        <v>25</v>
      </c>
      <c r="P812">
        <v>4.63</v>
      </c>
      <c r="Q812" t="s">
        <v>24</v>
      </c>
      <c r="R812">
        <v>3.17</v>
      </c>
      <c r="S812" t="s">
        <v>43</v>
      </c>
      <c r="T812" t="str">
        <f t="shared" si="24"/>
        <v>Moderate</v>
      </c>
      <c r="U812" t="str">
        <f t="shared" si="25"/>
        <v>Intermediate</v>
      </c>
    </row>
    <row r="813" spans="1:21" x14ac:dyDescent="0.35">
      <c r="A813" t="s">
        <v>886</v>
      </c>
      <c r="B813" t="s">
        <v>38</v>
      </c>
      <c r="C813" t="s">
        <v>55</v>
      </c>
      <c r="D813" t="s">
        <v>69</v>
      </c>
      <c r="E813" t="s">
        <v>23</v>
      </c>
      <c r="F813">
        <v>21</v>
      </c>
      <c r="G813">
        <v>0.91</v>
      </c>
      <c r="H813">
        <v>0.22</v>
      </c>
      <c r="I813" t="s">
        <v>24</v>
      </c>
      <c r="J813">
        <v>214239</v>
      </c>
      <c r="K813" t="s">
        <v>42</v>
      </c>
      <c r="L813">
        <v>20</v>
      </c>
      <c r="M813">
        <v>52</v>
      </c>
      <c r="N813" t="s">
        <v>35</v>
      </c>
      <c r="O813" t="s">
        <v>36</v>
      </c>
      <c r="P813">
        <v>4.58</v>
      </c>
      <c r="Q813" t="s">
        <v>34</v>
      </c>
      <c r="R813">
        <v>1.94</v>
      </c>
      <c r="S813" t="s">
        <v>43</v>
      </c>
      <c r="T813" t="str">
        <f t="shared" si="24"/>
        <v>Very Low</v>
      </c>
      <c r="U813" t="str">
        <f t="shared" si="25"/>
        <v>Expert</v>
      </c>
    </row>
    <row r="814" spans="1:21" x14ac:dyDescent="0.35">
      <c r="A814" t="s">
        <v>887</v>
      </c>
      <c r="B814" t="s">
        <v>51</v>
      </c>
      <c r="C814" t="s">
        <v>39</v>
      </c>
      <c r="D814" t="s">
        <v>63</v>
      </c>
      <c r="E814" t="s">
        <v>70</v>
      </c>
      <c r="F814">
        <v>21</v>
      </c>
      <c r="G814">
        <v>0.54</v>
      </c>
      <c r="H814">
        <v>0.27</v>
      </c>
      <c r="I814" t="s">
        <v>24</v>
      </c>
      <c r="J814">
        <v>74810</v>
      </c>
      <c r="K814" t="s">
        <v>25</v>
      </c>
      <c r="L814">
        <v>15</v>
      </c>
      <c r="M814">
        <v>51</v>
      </c>
      <c r="N814" t="s">
        <v>26</v>
      </c>
      <c r="O814" t="s">
        <v>36</v>
      </c>
      <c r="P814">
        <v>2.04</v>
      </c>
      <c r="Q814" t="s">
        <v>34</v>
      </c>
      <c r="R814">
        <v>3.16</v>
      </c>
      <c r="S814" t="s">
        <v>43</v>
      </c>
      <c r="T814" t="str">
        <f t="shared" si="24"/>
        <v>Moderate</v>
      </c>
      <c r="U814" t="str">
        <f t="shared" si="25"/>
        <v>Expert</v>
      </c>
    </row>
    <row r="815" spans="1:21" x14ac:dyDescent="0.35">
      <c r="A815" t="s">
        <v>888</v>
      </c>
      <c r="B815" t="s">
        <v>45</v>
      </c>
      <c r="C815" t="s">
        <v>46</v>
      </c>
      <c r="D815" t="s">
        <v>32</v>
      </c>
      <c r="E815" t="s">
        <v>70</v>
      </c>
      <c r="F815">
        <v>18</v>
      </c>
      <c r="G815">
        <v>0.71</v>
      </c>
      <c r="H815">
        <v>0.61</v>
      </c>
      <c r="I815" t="s">
        <v>34</v>
      </c>
      <c r="J815">
        <v>75669</v>
      </c>
      <c r="K815" t="s">
        <v>42</v>
      </c>
      <c r="L815">
        <v>38</v>
      </c>
      <c r="M815">
        <v>49</v>
      </c>
      <c r="N815" t="s">
        <v>35</v>
      </c>
      <c r="O815" t="s">
        <v>27</v>
      </c>
      <c r="P815">
        <v>3.77</v>
      </c>
      <c r="Q815" t="s">
        <v>34</v>
      </c>
      <c r="R815">
        <v>1.94</v>
      </c>
      <c r="S815" t="s">
        <v>28</v>
      </c>
      <c r="T815" t="str">
        <f t="shared" si="24"/>
        <v>Moderate</v>
      </c>
      <c r="U815" t="str">
        <f t="shared" si="25"/>
        <v>Expert</v>
      </c>
    </row>
    <row r="816" spans="1:21" x14ac:dyDescent="0.35">
      <c r="A816" t="s">
        <v>889</v>
      </c>
      <c r="B816" t="s">
        <v>57</v>
      </c>
      <c r="C816" t="s">
        <v>55</v>
      </c>
      <c r="D816" t="s">
        <v>69</v>
      </c>
      <c r="E816" t="s">
        <v>70</v>
      </c>
      <c r="F816">
        <v>16</v>
      </c>
      <c r="G816">
        <v>0.82</v>
      </c>
      <c r="H816">
        <v>0.83</v>
      </c>
      <c r="I816" t="s">
        <v>34</v>
      </c>
      <c r="J816">
        <v>188640</v>
      </c>
      <c r="K816" t="s">
        <v>27</v>
      </c>
      <c r="L816">
        <v>-2</v>
      </c>
      <c r="M816">
        <v>39</v>
      </c>
      <c r="N816" t="s">
        <v>26</v>
      </c>
      <c r="O816" t="s">
        <v>36</v>
      </c>
      <c r="P816">
        <v>4.54</v>
      </c>
      <c r="Q816" t="s">
        <v>24</v>
      </c>
      <c r="R816">
        <v>3.59</v>
      </c>
      <c r="S816" t="s">
        <v>43</v>
      </c>
      <c r="T816" t="str">
        <f t="shared" si="24"/>
        <v>High</v>
      </c>
      <c r="U816" t="str">
        <f t="shared" si="25"/>
        <v>Expert</v>
      </c>
    </row>
    <row r="817" spans="1:21" x14ac:dyDescent="0.35">
      <c r="A817" t="s">
        <v>890</v>
      </c>
      <c r="B817" t="s">
        <v>45</v>
      </c>
      <c r="C817" t="s">
        <v>74</v>
      </c>
      <c r="D817" t="s">
        <v>32</v>
      </c>
      <c r="E817" t="s">
        <v>33</v>
      </c>
      <c r="F817">
        <v>17</v>
      </c>
      <c r="G817">
        <v>0.87</v>
      </c>
      <c r="H817">
        <v>0.75</v>
      </c>
      <c r="I817" t="s">
        <v>34</v>
      </c>
      <c r="J817">
        <v>145711</v>
      </c>
      <c r="K817" t="s">
        <v>42</v>
      </c>
      <c r="L817">
        <v>14</v>
      </c>
      <c r="M817">
        <v>45</v>
      </c>
      <c r="N817" t="s">
        <v>35</v>
      </c>
      <c r="O817" t="s">
        <v>27</v>
      </c>
      <c r="P817">
        <v>4.3099999999999996</v>
      </c>
      <c r="Q817" t="s">
        <v>24</v>
      </c>
      <c r="R817">
        <v>1.1000000000000001</v>
      </c>
      <c r="S817" t="s">
        <v>28</v>
      </c>
      <c r="T817" t="str">
        <f t="shared" si="24"/>
        <v>Moderate</v>
      </c>
      <c r="U817" t="str">
        <f t="shared" si="25"/>
        <v>Expert</v>
      </c>
    </row>
    <row r="818" spans="1:21" x14ac:dyDescent="0.35">
      <c r="A818" t="s">
        <v>891</v>
      </c>
      <c r="B818" t="s">
        <v>77</v>
      </c>
      <c r="C818" t="s">
        <v>55</v>
      </c>
      <c r="D818" t="s">
        <v>49</v>
      </c>
      <c r="E818" t="s">
        <v>23</v>
      </c>
      <c r="F818">
        <v>17</v>
      </c>
      <c r="G818">
        <v>0.62</v>
      </c>
      <c r="H818">
        <v>0.97</v>
      </c>
      <c r="I818" t="s">
        <v>24</v>
      </c>
      <c r="J818">
        <v>159734</v>
      </c>
      <c r="K818" t="s">
        <v>27</v>
      </c>
      <c r="L818">
        <v>26</v>
      </c>
      <c r="M818">
        <v>59</v>
      </c>
      <c r="N818" t="s">
        <v>42</v>
      </c>
      <c r="O818" t="s">
        <v>27</v>
      </c>
      <c r="P818">
        <v>3.49</v>
      </c>
      <c r="Q818" t="s">
        <v>24</v>
      </c>
      <c r="R818">
        <v>4.3499999999999996</v>
      </c>
      <c r="S818" t="s">
        <v>47</v>
      </c>
      <c r="T818" t="str">
        <f t="shared" si="24"/>
        <v>High</v>
      </c>
      <c r="U818" t="str">
        <f t="shared" si="25"/>
        <v>Expert</v>
      </c>
    </row>
    <row r="819" spans="1:21" x14ac:dyDescent="0.35">
      <c r="A819" t="s">
        <v>892</v>
      </c>
      <c r="B819" t="s">
        <v>65</v>
      </c>
      <c r="C819" t="s">
        <v>58</v>
      </c>
      <c r="D819" t="s">
        <v>69</v>
      </c>
      <c r="E819" t="s">
        <v>33</v>
      </c>
      <c r="F819">
        <v>21</v>
      </c>
      <c r="G819">
        <v>0.76</v>
      </c>
      <c r="H819">
        <v>0.62</v>
      </c>
      <c r="I819" t="s">
        <v>60</v>
      </c>
      <c r="J819">
        <v>208667</v>
      </c>
      <c r="K819" t="s">
        <v>25</v>
      </c>
      <c r="L819">
        <v>13</v>
      </c>
      <c r="M819">
        <v>31</v>
      </c>
      <c r="N819" t="s">
        <v>26</v>
      </c>
      <c r="O819" t="s">
        <v>36</v>
      </c>
      <c r="P819">
        <v>4.6500000000000004</v>
      </c>
      <c r="Q819" t="s">
        <v>34</v>
      </c>
      <c r="R819">
        <v>4.0199999999999996</v>
      </c>
      <c r="S819" t="s">
        <v>43</v>
      </c>
      <c r="T819" t="str">
        <f t="shared" si="24"/>
        <v>Moderate</v>
      </c>
      <c r="U819" t="str">
        <f t="shared" si="25"/>
        <v>Expert</v>
      </c>
    </row>
    <row r="820" spans="1:21" x14ac:dyDescent="0.35">
      <c r="A820" t="s">
        <v>893</v>
      </c>
      <c r="B820" t="s">
        <v>30</v>
      </c>
      <c r="C820" t="s">
        <v>74</v>
      </c>
      <c r="D820" t="s">
        <v>66</v>
      </c>
      <c r="E820" t="s">
        <v>70</v>
      </c>
      <c r="F820">
        <v>5</v>
      </c>
      <c r="G820">
        <v>0.2</v>
      </c>
      <c r="H820">
        <v>0.91</v>
      </c>
      <c r="I820" t="s">
        <v>60</v>
      </c>
      <c r="J820">
        <v>76113</v>
      </c>
      <c r="K820" t="s">
        <v>42</v>
      </c>
      <c r="L820">
        <v>19</v>
      </c>
      <c r="M820">
        <v>48</v>
      </c>
      <c r="N820" t="s">
        <v>42</v>
      </c>
      <c r="O820" t="s">
        <v>25</v>
      </c>
      <c r="P820">
        <v>2.42</v>
      </c>
      <c r="Q820" t="s">
        <v>34</v>
      </c>
      <c r="R820">
        <v>1.74</v>
      </c>
      <c r="S820" t="s">
        <v>47</v>
      </c>
      <c r="T820" t="str">
        <f t="shared" si="24"/>
        <v>Very High</v>
      </c>
      <c r="U820" t="str">
        <f t="shared" si="25"/>
        <v>Intermediate</v>
      </c>
    </row>
    <row r="821" spans="1:21" x14ac:dyDescent="0.35">
      <c r="A821" t="s">
        <v>894</v>
      </c>
      <c r="B821" t="s">
        <v>20</v>
      </c>
      <c r="C821" t="s">
        <v>46</v>
      </c>
      <c r="D821" t="s">
        <v>40</v>
      </c>
      <c r="E821" t="s">
        <v>70</v>
      </c>
      <c r="F821">
        <v>12</v>
      </c>
      <c r="G821">
        <v>0.83</v>
      </c>
      <c r="H821">
        <v>0.88</v>
      </c>
      <c r="I821" t="s">
        <v>24</v>
      </c>
      <c r="J821">
        <v>81004</v>
      </c>
      <c r="K821" t="s">
        <v>42</v>
      </c>
      <c r="L821">
        <v>-5</v>
      </c>
      <c r="M821">
        <v>51</v>
      </c>
      <c r="N821" t="s">
        <v>26</v>
      </c>
      <c r="O821" t="s">
        <v>36</v>
      </c>
      <c r="P821">
        <v>2.56</v>
      </c>
      <c r="Q821" t="s">
        <v>34</v>
      </c>
      <c r="R821">
        <v>3.89</v>
      </c>
      <c r="S821" t="s">
        <v>43</v>
      </c>
      <c r="T821" t="str">
        <f t="shared" si="24"/>
        <v>High</v>
      </c>
      <c r="U821" t="str">
        <f t="shared" si="25"/>
        <v>Experienced</v>
      </c>
    </row>
    <row r="822" spans="1:21" x14ac:dyDescent="0.35">
      <c r="A822" t="s">
        <v>895</v>
      </c>
      <c r="B822" t="s">
        <v>57</v>
      </c>
      <c r="C822" t="s">
        <v>74</v>
      </c>
      <c r="D822" t="s">
        <v>80</v>
      </c>
      <c r="E822" t="s">
        <v>70</v>
      </c>
      <c r="F822">
        <v>3</v>
      </c>
      <c r="G822">
        <v>0.2</v>
      </c>
      <c r="H822">
        <v>0.95</v>
      </c>
      <c r="I822" t="s">
        <v>24</v>
      </c>
      <c r="J822">
        <v>88104</v>
      </c>
      <c r="K822" t="s">
        <v>27</v>
      </c>
      <c r="L822">
        <v>-4</v>
      </c>
      <c r="M822">
        <v>47</v>
      </c>
      <c r="N822" t="s">
        <v>26</v>
      </c>
      <c r="O822" t="s">
        <v>36</v>
      </c>
      <c r="P822">
        <v>3.11</v>
      </c>
      <c r="Q822" t="s">
        <v>24</v>
      </c>
      <c r="R822">
        <v>4.8099999999999996</v>
      </c>
      <c r="S822" t="s">
        <v>43</v>
      </c>
      <c r="T822" t="str">
        <f t="shared" si="24"/>
        <v>Very High</v>
      </c>
      <c r="U822" t="str">
        <f t="shared" si="25"/>
        <v>Intermediate</v>
      </c>
    </row>
    <row r="823" spans="1:21" x14ac:dyDescent="0.35">
      <c r="A823" t="s">
        <v>896</v>
      </c>
      <c r="B823" t="s">
        <v>54</v>
      </c>
      <c r="C823" t="s">
        <v>39</v>
      </c>
      <c r="D823" t="s">
        <v>75</v>
      </c>
      <c r="E823" t="s">
        <v>33</v>
      </c>
      <c r="F823">
        <v>9</v>
      </c>
      <c r="G823">
        <v>0.73</v>
      </c>
      <c r="H823">
        <v>0.81</v>
      </c>
      <c r="I823" t="s">
        <v>60</v>
      </c>
      <c r="J823">
        <v>105315</v>
      </c>
      <c r="K823" t="s">
        <v>27</v>
      </c>
      <c r="L823">
        <v>-3</v>
      </c>
      <c r="M823">
        <v>58</v>
      </c>
      <c r="N823" t="s">
        <v>26</v>
      </c>
      <c r="O823" t="s">
        <v>27</v>
      </c>
      <c r="P823">
        <v>4.47</v>
      </c>
      <c r="Q823" t="s">
        <v>24</v>
      </c>
      <c r="R823">
        <v>4.71</v>
      </c>
      <c r="S823" t="s">
        <v>47</v>
      </c>
      <c r="T823" t="str">
        <f t="shared" si="24"/>
        <v>High</v>
      </c>
      <c r="U823" t="str">
        <f t="shared" si="25"/>
        <v>Experienced</v>
      </c>
    </row>
    <row r="824" spans="1:21" x14ac:dyDescent="0.35">
      <c r="A824" t="s">
        <v>897</v>
      </c>
      <c r="B824" t="s">
        <v>45</v>
      </c>
      <c r="C824" t="s">
        <v>74</v>
      </c>
      <c r="D824" t="s">
        <v>59</v>
      </c>
      <c r="E824" t="s">
        <v>23</v>
      </c>
      <c r="F824">
        <v>9</v>
      </c>
      <c r="G824">
        <v>0.35</v>
      </c>
      <c r="H824">
        <v>0.39</v>
      </c>
      <c r="I824" t="s">
        <v>24</v>
      </c>
      <c r="J824">
        <v>39880</v>
      </c>
      <c r="K824" t="s">
        <v>42</v>
      </c>
      <c r="L824">
        <v>8</v>
      </c>
      <c r="M824">
        <v>44</v>
      </c>
      <c r="N824" t="s">
        <v>35</v>
      </c>
      <c r="O824" t="s">
        <v>36</v>
      </c>
      <c r="P824">
        <v>4.4800000000000004</v>
      </c>
      <c r="Q824" t="s">
        <v>24</v>
      </c>
      <c r="R824">
        <v>1.43</v>
      </c>
      <c r="S824" t="s">
        <v>28</v>
      </c>
      <c r="T824" t="str">
        <f t="shared" si="24"/>
        <v>High</v>
      </c>
      <c r="U824" t="str">
        <f t="shared" si="25"/>
        <v>Experienced</v>
      </c>
    </row>
    <row r="825" spans="1:21" x14ac:dyDescent="0.35">
      <c r="A825" t="s">
        <v>898</v>
      </c>
      <c r="B825" t="s">
        <v>57</v>
      </c>
      <c r="C825" t="s">
        <v>52</v>
      </c>
      <c r="D825" t="s">
        <v>49</v>
      </c>
      <c r="E825" t="s">
        <v>70</v>
      </c>
      <c r="F825">
        <v>1</v>
      </c>
      <c r="G825">
        <v>0.71</v>
      </c>
      <c r="H825">
        <v>0.95</v>
      </c>
      <c r="I825" t="s">
        <v>24</v>
      </c>
      <c r="J825">
        <v>55527</v>
      </c>
      <c r="K825" t="s">
        <v>27</v>
      </c>
      <c r="L825">
        <v>7</v>
      </c>
      <c r="M825">
        <v>60</v>
      </c>
      <c r="N825" t="s">
        <v>35</v>
      </c>
      <c r="O825" t="s">
        <v>27</v>
      </c>
      <c r="P825">
        <v>4.59</v>
      </c>
      <c r="Q825" t="s">
        <v>24</v>
      </c>
      <c r="R825">
        <v>2.13</v>
      </c>
      <c r="S825" t="s">
        <v>47</v>
      </c>
      <c r="T825" t="str">
        <f t="shared" si="24"/>
        <v>High</v>
      </c>
      <c r="U825" t="str">
        <f t="shared" si="25"/>
        <v>Beginner</v>
      </c>
    </row>
    <row r="826" spans="1:21" x14ac:dyDescent="0.35">
      <c r="A826" t="s">
        <v>899</v>
      </c>
      <c r="B826" t="s">
        <v>38</v>
      </c>
      <c r="C826" t="s">
        <v>55</v>
      </c>
      <c r="D826" t="s">
        <v>49</v>
      </c>
      <c r="E826" t="s">
        <v>41</v>
      </c>
      <c r="F826">
        <v>19</v>
      </c>
      <c r="G826">
        <v>0.39</v>
      </c>
      <c r="H826">
        <v>0.62</v>
      </c>
      <c r="I826" t="s">
        <v>60</v>
      </c>
      <c r="J826">
        <v>61985</v>
      </c>
      <c r="K826" t="s">
        <v>25</v>
      </c>
      <c r="L826">
        <v>38</v>
      </c>
      <c r="M826">
        <v>45</v>
      </c>
      <c r="N826" t="s">
        <v>35</v>
      </c>
      <c r="O826" t="s">
        <v>36</v>
      </c>
      <c r="P826">
        <v>3.08</v>
      </c>
      <c r="Q826" t="s">
        <v>24</v>
      </c>
      <c r="R826">
        <v>4.38</v>
      </c>
      <c r="S826" t="s">
        <v>28</v>
      </c>
      <c r="T826" t="str">
        <f t="shared" si="24"/>
        <v>High</v>
      </c>
      <c r="U826" t="str">
        <f t="shared" si="25"/>
        <v>Expert</v>
      </c>
    </row>
    <row r="827" spans="1:21" x14ac:dyDescent="0.35">
      <c r="A827" t="s">
        <v>900</v>
      </c>
      <c r="B827" t="s">
        <v>94</v>
      </c>
      <c r="C827" t="s">
        <v>58</v>
      </c>
      <c r="D827" t="s">
        <v>63</v>
      </c>
      <c r="E827" t="s">
        <v>23</v>
      </c>
      <c r="F827">
        <v>25</v>
      </c>
      <c r="G827">
        <v>0.55000000000000004</v>
      </c>
      <c r="H827">
        <v>0.92</v>
      </c>
      <c r="I827" t="s">
        <v>34</v>
      </c>
      <c r="J827">
        <v>142237</v>
      </c>
      <c r="K827" t="s">
        <v>27</v>
      </c>
      <c r="L827">
        <v>18</v>
      </c>
      <c r="M827">
        <v>38</v>
      </c>
      <c r="N827" t="s">
        <v>42</v>
      </c>
      <c r="O827" t="s">
        <v>25</v>
      </c>
      <c r="P827">
        <v>2.41</v>
      </c>
      <c r="Q827" t="s">
        <v>34</v>
      </c>
      <c r="R827">
        <v>3.04</v>
      </c>
      <c r="S827" t="s">
        <v>28</v>
      </c>
      <c r="T827" t="str">
        <f t="shared" si="24"/>
        <v>High</v>
      </c>
      <c r="U827" t="str">
        <f t="shared" si="25"/>
        <v>Expert</v>
      </c>
    </row>
    <row r="828" spans="1:21" x14ac:dyDescent="0.35">
      <c r="A828" t="s">
        <v>901</v>
      </c>
      <c r="B828" t="s">
        <v>62</v>
      </c>
      <c r="C828" t="s">
        <v>82</v>
      </c>
      <c r="D828" t="s">
        <v>80</v>
      </c>
      <c r="E828" t="s">
        <v>33</v>
      </c>
      <c r="F828">
        <v>9</v>
      </c>
      <c r="G828">
        <v>0.83</v>
      </c>
      <c r="H828">
        <v>0.82</v>
      </c>
      <c r="I828" t="s">
        <v>60</v>
      </c>
      <c r="J828">
        <v>190864</v>
      </c>
      <c r="K828" t="s">
        <v>25</v>
      </c>
      <c r="L828">
        <v>-5</v>
      </c>
      <c r="M828">
        <v>55</v>
      </c>
      <c r="N828" t="s">
        <v>26</v>
      </c>
      <c r="O828" t="s">
        <v>36</v>
      </c>
      <c r="P828">
        <v>4.96</v>
      </c>
      <c r="Q828" t="s">
        <v>24</v>
      </c>
      <c r="R828">
        <v>1.54</v>
      </c>
      <c r="S828" t="s">
        <v>47</v>
      </c>
      <c r="T828" t="str">
        <f t="shared" si="24"/>
        <v>Moderate</v>
      </c>
      <c r="U828" t="str">
        <f t="shared" si="25"/>
        <v>Experienced</v>
      </c>
    </row>
    <row r="829" spans="1:21" x14ac:dyDescent="0.35">
      <c r="A829" t="s">
        <v>902</v>
      </c>
      <c r="B829" t="s">
        <v>57</v>
      </c>
      <c r="C829" t="s">
        <v>21</v>
      </c>
      <c r="D829" t="s">
        <v>59</v>
      </c>
      <c r="E829" t="s">
        <v>33</v>
      </c>
      <c r="F829">
        <v>20</v>
      </c>
      <c r="G829">
        <v>0.39</v>
      </c>
      <c r="H829">
        <v>0.38</v>
      </c>
      <c r="I829" t="s">
        <v>24</v>
      </c>
      <c r="J829">
        <v>199696</v>
      </c>
      <c r="K829" t="s">
        <v>42</v>
      </c>
      <c r="L829">
        <v>45</v>
      </c>
      <c r="M829">
        <v>40</v>
      </c>
      <c r="N829" t="s">
        <v>35</v>
      </c>
      <c r="O829" t="s">
        <v>25</v>
      </c>
      <c r="P829">
        <v>2.02</v>
      </c>
      <c r="Q829" t="s">
        <v>34</v>
      </c>
      <c r="R829">
        <v>2.92</v>
      </c>
      <c r="S829" t="s">
        <v>28</v>
      </c>
      <c r="T829" t="str">
        <f t="shared" si="24"/>
        <v>Moderate</v>
      </c>
      <c r="U829" t="str">
        <f t="shared" si="25"/>
        <v>Expert</v>
      </c>
    </row>
    <row r="830" spans="1:21" x14ac:dyDescent="0.35">
      <c r="A830" t="s">
        <v>903</v>
      </c>
      <c r="B830" t="s">
        <v>77</v>
      </c>
      <c r="C830" t="s">
        <v>52</v>
      </c>
      <c r="D830" t="s">
        <v>69</v>
      </c>
      <c r="E830" t="s">
        <v>23</v>
      </c>
      <c r="F830">
        <v>4</v>
      </c>
      <c r="G830">
        <v>0.32</v>
      </c>
      <c r="H830">
        <v>0.87</v>
      </c>
      <c r="I830" t="s">
        <v>34</v>
      </c>
      <c r="J830">
        <v>167571</v>
      </c>
      <c r="K830" t="s">
        <v>27</v>
      </c>
      <c r="L830">
        <v>4</v>
      </c>
      <c r="M830">
        <v>43</v>
      </c>
      <c r="N830" t="s">
        <v>42</v>
      </c>
      <c r="O830" t="s">
        <v>27</v>
      </c>
      <c r="P830">
        <v>4.37</v>
      </c>
      <c r="Q830" t="s">
        <v>34</v>
      </c>
      <c r="R830">
        <v>3.57</v>
      </c>
      <c r="S830" t="s">
        <v>47</v>
      </c>
      <c r="T830" t="str">
        <f t="shared" si="24"/>
        <v>Very High</v>
      </c>
      <c r="U830" t="str">
        <f t="shared" si="25"/>
        <v>Intermediate</v>
      </c>
    </row>
    <row r="831" spans="1:21" x14ac:dyDescent="0.35">
      <c r="A831" t="s">
        <v>904</v>
      </c>
      <c r="B831" t="s">
        <v>65</v>
      </c>
      <c r="C831" t="s">
        <v>39</v>
      </c>
      <c r="D831" t="s">
        <v>32</v>
      </c>
      <c r="E831" t="s">
        <v>41</v>
      </c>
      <c r="F831">
        <v>23</v>
      </c>
      <c r="G831">
        <v>0.88</v>
      </c>
      <c r="H831">
        <v>0.43</v>
      </c>
      <c r="I831" t="s">
        <v>24</v>
      </c>
      <c r="J831">
        <v>48243</v>
      </c>
      <c r="K831" t="s">
        <v>25</v>
      </c>
      <c r="L831">
        <v>43</v>
      </c>
      <c r="M831">
        <v>32</v>
      </c>
      <c r="N831" t="s">
        <v>35</v>
      </c>
      <c r="O831" t="s">
        <v>25</v>
      </c>
      <c r="P831">
        <v>3.82</v>
      </c>
      <c r="Q831" t="s">
        <v>24</v>
      </c>
      <c r="R831">
        <v>3.51</v>
      </c>
      <c r="S831" t="s">
        <v>28</v>
      </c>
      <c r="T831" t="str">
        <f t="shared" si="24"/>
        <v>Very Low</v>
      </c>
      <c r="U831" t="str">
        <f t="shared" si="25"/>
        <v>Expert</v>
      </c>
    </row>
    <row r="832" spans="1:21" x14ac:dyDescent="0.35">
      <c r="A832" t="s">
        <v>905</v>
      </c>
      <c r="B832" t="s">
        <v>54</v>
      </c>
      <c r="C832" t="s">
        <v>107</v>
      </c>
      <c r="D832" t="s">
        <v>32</v>
      </c>
      <c r="E832" t="s">
        <v>33</v>
      </c>
      <c r="F832">
        <v>22</v>
      </c>
      <c r="G832">
        <v>0.85</v>
      </c>
      <c r="H832">
        <v>0.61</v>
      </c>
      <c r="I832" t="s">
        <v>60</v>
      </c>
      <c r="J832">
        <v>138886</v>
      </c>
      <c r="K832" t="s">
        <v>42</v>
      </c>
      <c r="L832">
        <v>12</v>
      </c>
      <c r="M832">
        <v>30</v>
      </c>
      <c r="N832" t="s">
        <v>26</v>
      </c>
      <c r="O832" t="s">
        <v>25</v>
      </c>
      <c r="P832">
        <v>4.3</v>
      </c>
      <c r="Q832" t="s">
        <v>34</v>
      </c>
      <c r="R832">
        <v>3.07</v>
      </c>
      <c r="S832" t="s">
        <v>47</v>
      </c>
      <c r="T832" t="str">
        <f t="shared" si="24"/>
        <v>Moderate</v>
      </c>
      <c r="U832" t="str">
        <f t="shared" si="25"/>
        <v>Expert</v>
      </c>
    </row>
    <row r="833" spans="1:21" x14ac:dyDescent="0.35">
      <c r="A833" t="s">
        <v>906</v>
      </c>
      <c r="B833" t="s">
        <v>54</v>
      </c>
      <c r="C833" t="s">
        <v>107</v>
      </c>
      <c r="D833" t="s">
        <v>32</v>
      </c>
      <c r="E833" t="s">
        <v>23</v>
      </c>
      <c r="F833">
        <v>4</v>
      </c>
      <c r="G833">
        <v>0.28000000000000003</v>
      </c>
      <c r="H833">
        <v>0.97</v>
      </c>
      <c r="I833" t="s">
        <v>60</v>
      </c>
      <c r="J833">
        <v>177335</v>
      </c>
      <c r="K833" t="s">
        <v>25</v>
      </c>
      <c r="L833">
        <v>10</v>
      </c>
      <c r="M833">
        <v>34</v>
      </c>
      <c r="N833" t="s">
        <v>26</v>
      </c>
      <c r="O833" t="s">
        <v>25</v>
      </c>
      <c r="P833">
        <v>3.53</v>
      </c>
      <c r="Q833" t="s">
        <v>34</v>
      </c>
      <c r="R833">
        <v>2.5299999999999998</v>
      </c>
      <c r="S833" t="s">
        <v>28</v>
      </c>
      <c r="T833" t="str">
        <f t="shared" si="24"/>
        <v>Very High</v>
      </c>
      <c r="U833" t="str">
        <f t="shared" si="25"/>
        <v>Intermediate</v>
      </c>
    </row>
    <row r="834" spans="1:21" x14ac:dyDescent="0.35">
      <c r="A834" t="s">
        <v>907</v>
      </c>
      <c r="B834" t="s">
        <v>89</v>
      </c>
      <c r="C834" t="s">
        <v>82</v>
      </c>
      <c r="D834" t="s">
        <v>40</v>
      </c>
      <c r="E834" t="s">
        <v>23</v>
      </c>
      <c r="F834">
        <v>21</v>
      </c>
      <c r="G834">
        <v>0.83</v>
      </c>
      <c r="H834">
        <v>0.77</v>
      </c>
      <c r="I834" t="s">
        <v>24</v>
      </c>
      <c r="J834">
        <v>61701</v>
      </c>
      <c r="K834" t="s">
        <v>25</v>
      </c>
      <c r="L834">
        <v>18</v>
      </c>
      <c r="M834">
        <v>55</v>
      </c>
      <c r="N834" t="s">
        <v>26</v>
      </c>
      <c r="O834" t="s">
        <v>27</v>
      </c>
      <c r="P834">
        <v>2.65</v>
      </c>
      <c r="Q834" t="s">
        <v>24</v>
      </c>
      <c r="R834">
        <v>4.83</v>
      </c>
      <c r="S834" t="s">
        <v>47</v>
      </c>
      <c r="T834" t="str">
        <f t="shared" si="24"/>
        <v>Moderate</v>
      </c>
      <c r="U834" t="str">
        <f t="shared" si="25"/>
        <v>Expert</v>
      </c>
    </row>
    <row r="835" spans="1:21" x14ac:dyDescent="0.35">
      <c r="A835" t="s">
        <v>908</v>
      </c>
      <c r="B835" t="s">
        <v>51</v>
      </c>
      <c r="C835" t="s">
        <v>21</v>
      </c>
      <c r="D835" t="s">
        <v>69</v>
      </c>
      <c r="E835" t="s">
        <v>70</v>
      </c>
      <c r="F835">
        <v>21</v>
      </c>
      <c r="G835">
        <v>0.87</v>
      </c>
      <c r="H835">
        <v>0.37</v>
      </c>
      <c r="I835" t="s">
        <v>60</v>
      </c>
      <c r="J835">
        <v>137987</v>
      </c>
      <c r="K835" t="s">
        <v>25</v>
      </c>
      <c r="L835">
        <v>30</v>
      </c>
      <c r="M835">
        <v>39</v>
      </c>
      <c r="N835" t="s">
        <v>35</v>
      </c>
      <c r="O835" t="s">
        <v>27</v>
      </c>
      <c r="P835">
        <v>3.65</v>
      </c>
      <c r="Q835" t="s">
        <v>24</v>
      </c>
      <c r="R835">
        <v>4.59</v>
      </c>
      <c r="S835" t="s">
        <v>43</v>
      </c>
      <c r="T835" t="str">
        <f t="shared" ref="T835:T898" si="26">IF(AND(G835&lt;0.4,H835&gt;=0.7),"Very High",
IF(AND(G835&gt;=0.7,H835&lt;0.5),"Very Low",
IF(G835&lt;H835,"High","Moderate")))</f>
        <v>Very Low</v>
      </c>
      <c r="U835" t="str">
        <f t="shared" ref="U835:U898" si="27">_xlfn.IFS(F835&lt;=2,"Beginner",F835&lt;=8,"Intermediate",F835&lt;=15,"Experienced",F835&lt;=25,"Expert")</f>
        <v>Expert</v>
      </c>
    </row>
    <row r="836" spans="1:21" x14ac:dyDescent="0.35">
      <c r="A836" t="s">
        <v>909</v>
      </c>
      <c r="B836" t="s">
        <v>91</v>
      </c>
      <c r="C836" t="s">
        <v>107</v>
      </c>
      <c r="D836" t="s">
        <v>59</v>
      </c>
      <c r="E836" t="s">
        <v>33</v>
      </c>
      <c r="F836">
        <v>25</v>
      </c>
      <c r="G836">
        <v>0.28999999999999998</v>
      </c>
      <c r="H836">
        <v>0.3</v>
      </c>
      <c r="I836" t="s">
        <v>34</v>
      </c>
      <c r="J836">
        <v>219998</v>
      </c>
      <c r="K836" t="s">
        <v>42</v>
      </c>
      <c r="L836">
        <v>5</v>
      </c>
      <c r="M836">
        <v>60</v>
      </c>
      <c r="N836" t="s">
        <v>35</v>
      </c>
      <c r="O836" t="s">
        <v>27</v>
      </c>
      <c r="P836">
        <v>3</v>
      </c>
      <c r="Q836" t="s">
        <v>34</v>
      </c>
      <c r="R836">
        <v>3.31</v>
      </c>
      <c r="S836" t="s">
        <v>43</v>
      </c>
      <c r="T836" t="str">
        <f t="shared" si="26"/>
        <v>High</v>
      </c>
      <c r="U836" t="str">
        <f t="shared" si="27"/>
        <v>Expert</v>
      </c>
    </row>
    <row r="837" spans="1:21" x14ac:dyDescent="0.35">
      <c r="A837" t="s">
        <v>910</v>
      </c>
      <c r="B837" t="s">
        <v>45</v>
      </c>
      <c r="C837" t="s">
        <v>82</v>
      </c>
      <c r="D837" t="s">
        <v>75</v>
      </c>
      <c r="E837" t="s">
        <v>70</v>
      </c>
      <c r="F837">
        <v>7</v>
      </c>
      <c r="G837">
        <v>0.05</v>
      </c>
      <c r="H837">
        <v>0.65</v>
      </c>
      <c r="I837" t="s">
        <v>60</v>
      </c>
      <c r="J837">
        <v>145380</v>
      </c>
      <c r="K837" t="s">
        <v>27</v>
      </c>
      <c r="L837">
        <v>19</v>
      </c>
      <c r="M837">
        <v>54</v>
      </c>
      <c r="N837" t="s">
        <v>26</v>
      </c>
      <c r="O837" t="s">
        <v>36</v>
      </c>
      <c r="P837">
        <v>4.16</v>
      </c>
      <c r="Q837" t="s">
        <v>24</v>
      </c>
      <c r="R837">
        <v>2.96</v>
      </c>
      <c r="S837" t="s">
        <v>43</v>
      </c>
      <c r="T837" t="str">
        <f t="shared" si="26"/>
        <v>High</v>
      </c>
      <c r="U837" t="str">
        <f t="shared" si="27"/>
        <v>Intermediate</v>
      </c>
    </row>
    <row r="838" spans="1:21" x14ac:dyDescent="0.35">
      <c r="A838" t="s">
        <v>911</v>
      </c>
      <c r="B838" t="s">
        <v>106</v>
      </c>
      <c r="C838" t="s">
        <v>74</v>
      </c>
      <c r="D838" t="s">
        <v>69</v>
      </c>
      <c r="E838" t="s">
        <v>41</v>
      </c>
      <c r="F838">
        <v>17</v>
      </c>
      <c r="G838">
        <v>0.18</v>
      </c>
      <c r="H838">
        <v>0.84</v>
      </c>
      <c r="I838" t="s">
        <v>24</v>
      </c>
      <c r="J838">
        <v>55835</v>
      </c>
      <c r="K838" t="s">
        <v>25</v>
      </c>
      <c r="L838">
        <v>-8</v>
      </c>
      <c r="M838">
        <v>58</v>
      </c>
      <c r="N838" t="s">
        <v>35</v>
      </c>
      <c r="O838" t="s">
        <v>36</v>
      </c>
      <c r="P838">
        <v>4.28</v>
      </c>
      <c r="Q838" t="s">
        <v>34</v>
      </c>
      <c r="R838">
        <v>3.43</v>
      </c>
      <c r="S838" t="s">
        <v>28</v>
      </c>
      <c r="T838" t="str">
        <f t="shared" si="26"/>
        <v>Very High</v>
      </c>
      <c r="U838" t="str">
        <f t="shared" si="27"/>
        <v>Expert</v>
      </c>
    </row>
    <row r="839" spans="1:21" x14ac:dyDescent="0.35">
      <c r="A839" t="s">
        <v>912</v>
      </c>
      <c r="B839" t="s">
        <v>65</v>
      </c>
      <c r="C839" t="s">
        <v>74</v>
      </c>
      <c r="D839" t="s">
        <v>32</v>
      </c>
      <c r="E839" t="s">
        <v>33</v>
      </c>
      <c r="F839">
        <v>20</v>
      </c>
      <c r="G839">
        <v>0.67</v>
      </c>
      <c r="H839">
        <v>0.77</v>
      </c>
      <c r="I839" t="s">
        <v>60</v>
      </c>
      <c r="J839">
        <v>127568</v>
      </c>
      <c r="K839" t="s">
        <v>42</v>
      </c>
      <c r="L839">
        <v>-7</v>
      </c>
      <c r="M839">
        <v>55</v>
      </c>
      <c r="N839" t="s">
        <v>35</v>
      </c>
      <c r="O839" t="s">
        <v>25</v>
      </c>
      <c r="P839">
        <v>2.0499999999999998</v>
      </c>
      <c r="Q839" t="s">
        <v>34</v>
      </c>
      <c r="R839">
        <v>1.95</v>
      </c>
      <c r="S839" t="s">
        <v>43</v>
      </c>
      <c r="T839" t="str">
        <f t="shared" si="26"/>
        <v>High</v>
      </c>
      <c r="U839" t="str">
        <f t="shared" si="27"/>
        <v>Expert</v>
      </c>
    </row>
    <row r="840" spans="1:21" x14ac:dyDescent="0.35">
      <c r="A840" t="s">
        <v>913</v>
      </c>
      <c r="B840" t="s">
        <v>102</v>
      </c>
      <c r="C840" t="s">
        <v>46</v>
      </c>
      <c r="D840" t="s">
        <v>40</v>
      </c>
      <c r="E840" t="s">
        <v>41</v>
      </c>
      <c r="F840">
        <v>24</v>
      </c>
      <c r="G840">
        <v>0.11</v>
      </c>
      <c r="H840">
        <v>0.86</v>
      </c>
      <c r="I840" t="s">
        <v>24</v>
      </c>
      <c r="J840">
        <v>72730</v>
      </c>
      <c r="K840" t="s">
        <v>27</v>
      </c>
      <c r="L840">
        <v>26</v>
      </c>
      <c r="M840">
        <v>35</v>
      </c>
      <c r="N840" t="s">
        <v>26</v>
      </c>
      <c r="O840" t="s">
        <v>27</v>
      </c>
      <c r="P840">
        <v>4.25</v>
      </c>
      <c r="Q840" t="s">
        <v>24</v>
      </c>
      <c r="R840">
        <v>1.37</v>
      </c>
      <c r="S840" t="s">
        <v>47</v>
      </c>
      <c r="T840" t="str">
        <f t="shared" si="26"/>
        <v>Very High</v>
      </c>
      <c r="U840" t="str">
        <f t="shared" si="27"/>
        <v>Expert</v>
      </c>
    </row>
    <row r="841" spans="1:21" x14ac:dyDescent="0.35">
      <c r="A841" t="s">
        <v>914</v>
      </c>
      <c r="B841" t="s">
        <v>45</v>
      </c>
      <c r="C841" t="s">
        <v>39</v>
      </c>
      <c r="D841" t="s">
        <v>22</v>
      </c>
      <c r="E841" t="s">
        <v>23</v>
      </c>
      <c r="F841">
        <v>2</v>
      </c>
      <c r="G841">
        <v>0.87</v>
      </c>
      <c r="H841">
        <v>0.66</v>
      </c>
      <c r="I841" t="s">
        <v>60</v>
      </c>
      <c r="J841">
        <v>153233</v>
      </c>
      <c r="K841" t="s">
        <v>25</v>
      </c>
      <c r="L841">
        <v>-1</v>
      </c>
      <c r="M841">
        <v>42</v>
      </c>
      <c r="N841" t="s">
        <v>35</v>
      </c>
      <c r="O841" t="s">
        <v>27</v>
      </c>
      <c r="P841">
        <v>2.4500000000000002</v>
      </c>
      <c r="Q841" t="s">
        <v>24</v>
      </c>
      <c r="R841">
        <v>1.46</v>
      </c>
      <c r="S841" t="s">
        <v>47</v>
      </c>
      <c r="T841" t="str">
        <f t="shared" si="26"/>
        <v>Moderate</v>
      </c>
      <c r="U841" t="str">
        <f t="shared" si="27"/>
        <v>Beginner</v>
      </c>
    </row>
    <row r="842" spans="1:21" x14ac:dyDescent="0.35">
      <c r="A842" t="s">
        <v>915</v>
      </c>
      <c r="B842" t="s">
        <v>77</v>
      </c>
      <c r="C842" t="s">
        <v>21</v>
      </c>
      <c r="D842" t="s">
        <v>40</v>
      </c>
      <c r="E842" t="s">
        <v>41</v>
      </c>
      <c r="F842">
        <v>12</v>
      </c>
      <c r="G842">
        <v>0.73</v>
      </c>
      <c r="H842">
        <v>0.31</v>
      </c>
      <c r="I842" t="s">
        <v>34</v>
      </c>
      <c r="J842">
        <v>60190</v>
      </c>
      <c r="K842" t="s">
        <v>25</v>
      </c>
      <c r="L842">
        <v>-2</v>
      </c>
      <c r="M842">
        <v>59</v>
      </c>
      <c r="N842" t="s">
        <v>35</v>
      </c>
      <c r="O842" t="s">
        <v>25</v>
      </c>
      <c r="P842">
        <v>2.36</v>
      </c>
      <c r="Q842" t="s">
        <v>24</v>
      </c>
      <c r="R842">
        <v>2.79</v>
      </c>
      <c r="S842" t="s">
        <v>28</v>
      </c>
      <c r="T842" t="str">
        <f t="shared" si="26"/>
        <v>Very Low</v>
      </c>
      <c r="U842" t="str">
        <f t="shared" si="27"/>
        <v>Experienced</v>
      </c>
    </row>
    <row r="843" spans="1:21" x14ac:dyDescent="0.35">
      <c r="A843" t="s">
        <v>916</v>
      </c>
      <c r="B843" t="s">
        <v>38</v>
      </c>
      <c r="C843" t="s">
        <v>39</v>
      </c>
      <c r="D843" t="s">
        <v>69</v>
      </c>
      <c r="E843" t="s">
        <v>23</v>
      </c>
      <c r="F843">
        <v>10</v>
      </c>
      <c r="G843">
        <v>0.72</v>
      </c>
      <c r="H843">
        <v>0.37</v>
      </c>
      <c r="I843" t="s">
        <v>24</v>
      </c>
      <c r="J843">
        <v>106968</v>
      </c>
      <c r="K843" t="s">
        <v>27</v>
      </c>
      <c r="L843">
        <v>-10</v>
      </c>
      <c r="M843">
        <v>51</v>
      </c>
      <c r="N843" t="s">
        <v>35</v>
      </c>
      <c r="O843" t="s">
        <v>36</v>
      </c>
      <c r="P843">
        <v>3.95</v>
      </c>
      <c r="Q843" t="s">
        <v>34</v>
      </c>
      <c r="R843">
        <v>4.1100000000000003</v>
      </c>
      <c r="S843" t="s">
        <v>47</v>
      </c>
      <c r="T843" t="str">
        <f t="shared" si="26"/>
        <v>Very Low</v>
      </c>
      <c r="U843" t="str">
        <f t="shared" si="27"/>
        <v>Experienced</v>
      </c>
    </row>
    <row r="844" spans="1:21" x14ac:dyDescent="0.35">
      <c r="A844" t="s">
        <v>917</v>
      </c>
      <c r="B844" t="s">
        <v>96</v>
      </c>
      <c r="C844" t="s">
        <v>55</v>
      </c>
      <c r="D844" t="s">
        <v>32</v>
      </c>
      <c r="E844" t="s">
        <v>70</v>
      </c>
      <c r="F844">
        <v>0</v>
      </c>
      <c r="G844">
        <v>0.31</v>
      </c>
      <c r="H844">
        <v>0.82</v>
      </c>
      <c r="I844" t="s">
        <v>60</v>
      </c>
      <c r="J844">
        <v>209055</v>
      </c>
      <c r="K844" t="s">
        <v>27</v>
      </c>
      <c r="L844">
        <v>10</v>
      </c>
      <c r="M844">
        <v>34</v>
      </c>
      <c r="N844" t="s">
        <v>35</v>
      </c>
      <c r="O844" t="s">
        <v>27</v>
      </c>
      <c r="P844">
        <v>2.86</v>
      </c>
      <c r="Q844" t="s">
        <v>24</v>
      </c>
      <c r="R844">
        <v>1.07</v>
      </c>
      <c r="S844" t="s">
        <v>28</v>
      </c>
      <c r="T844" t="str">
        <f t="shared" si="26"/>
        <v>Very High</v>
      </c>
      <c r="U844" t="str">
        <f t="shared" si="27"/>
        <v>Beginner</v>
      </c>
    </row>
    <row r="845" spans="1:21" x14ac:dyDescent="0.35">
      <c r="A845" t="s">
        <v>918</v>
      </c>
      <c r="B845" t="s">
        <v>156</v>
      </c>
      <c r="C845" t="s">
        <v>39</v>
      </c>
      <c r="D845" t="s">
        <v>22</v>
      </c>
      <c r="E845" t="s">
        <v>70</v>
      </c>
      <c r="F845">
        <v>4</v>
      </c>
      <c r="G845">
        <v>0.76</v>
      </c>
      <c r="H845">
        <v>0.84</v>
      </c>
      <c r="I845" t="s">
        <v>60</v>
      </c>
      <c r="J845">
        <v>201745</v>
      </c>
      <c r="K845" t="s">
        <v>27</v>
      </c>
      <c r="L845">
        <v>21</v>
      </c>
      <c r="M845">
        <v>56</v>
      </c>
      <c r="N845" t="s">
        <v>35</v>
      </c>
      <c r="O845" t="s">
        <v>25</v>
      </c>
      <c r="P845">
        <v>2.69</v>
      </c>
      <c r="Q845" t="s">
        <v>34</v>
      </c>
      <c r="R845">
        <v>1.47</v>
      </c>
      <c r="S845" t="s">
        <v>43</v>
      </c>
      <c r="T845" t="str">
        <f t="shared" si="26"/>
        <v>High</v>
      </c>
      <c r="U845" t="str">
        <f t="shared" si="27"/>
        <v>Intermediate</v>
      </c>
    </row>
    <row r="846" spans="1:21" x14ac:dyDescent="0.35">
      <c r="A846" t="s">
        <v>919</v>
      </c>
      <c r="B846" t="s">
        <v>102</v>
      </c>
      <c r="C846" t="s">
        <v>58</v>
      </c>
      <c r="D846" t="s">
        <v>66</v>
      </c>
      <c r="E846" t="s">
        <v>41</v>
      </c>
      <c r="F846">
        <v>23</v>
      </c>
      <c r="G846">
        <v>0.38</v>
      </c>
      <c r="H846">
        <v>0.44</v>
      </c>
      <c r="I846" t="s">
        <v>24</v>
      </c>
      <c r="J846">
        <v>64166</v>
      </c>
      <c r="K846" t="s">
        <v>25</v>
      </c>
      <c r="L846">
        <v>-1</v>
      </c>
      <c r="M846">
        <v>45</v>
      </c>
      <c r="N846" t="s">
        <v>35</v>
      </c>
      <c r="O846" t="s">
        <v>36</v>
      </c>
      <c r="P846">
        <v>2.37</v>
      </c>
      <c r="Q846" t="s">
        <v>24</v>
      </c>
      <c r="R846">
        <v>2.92</v>
      </c>
      <c r="S846" t="s">
        <v>28</v>
      </c>
      <c r="T846" t="str">
        <f t="shared" si="26"/>
        <v>High</v>
      </c>
      <c r="U846" t="str">
        <f t="shared" si="27"/>
        <v>Expert</v>
      </c>
    </row>
    <row r="847" spans="1:21" x14ac:dyDescent="0.35">
      <c r="A847" t="s">
        <v>920</v>
      </c>
      <c r="B847" t="s">
        <v>94</v>
      </c>
      <c r="C847" t="s">
        <v>52</v>
      </c>
      <c r="D847" t="s">
        <v>22</v>
      </c>
      <c r="E847" t="s">
        <v>41</v>
      </c>
      <c r="F847">
        <v>13</v>
      </c>
      <c r="G847">
        <v>0.45</v>
      </c>
      <c r="H847">
        <v>0.77</v>
      </c>
      <c r="I847" t="s">
        <v>24</v>
      </c>
      <c r="J847">
        <v>52380</v>
      </c>
      <c r="K847" t="s">
        <v>25</v>
      </c>
      <c r="L847">
        <v>-2</v>
      </c>
      <c r="M847">
        <v>57</v>
      </c>
      <c r="N847" t="s">
        <v>42</v>
      </c>
      <c r="O847" t="s">
        <v>27</v>
      </c>
      <c r="P847">
        <v>3.95</v>
      </c>
      <c r="Q847" t="s">
        <v>24</v>
      </c>
      <c r="R847">
        <v>2.37</v>
      </c>
      <c r="S847" t="s">
        <v>43</v>
      </c>
      <c r="T847" t="str">
        <f t="shared" si="26"/>
        <v>High</v>
      </c>
      <c r="U847" t="str">
        <f t="shared" si="27"/>
        <v>Experienced</v>
      </c>
    </row>
    <row r="848" spans="1:21" x14ac:dyDescent="0.35">
      <c r="A848" t="s">
        <v>921</v>
      </c>
      <c r="B848" t="s">
        <v>147</v>
      </c>
      <c r="C848" t="s">
        <v>52</v>
      </c>
      <c r="D848" t="s">
        <v>49</v>
      </c>
      <c r="E848" t="s">
        <v>23</v>
      </c>
      <c r="F848">
        <v>11</v>
      </c>
      <c r="G848">
        <v>0.27</v>
      </c>
      <c r="H848">
        <v>0.3</v>
      </c>
      <c r="I848" t="s">
        <v>34</v>
      </c>
      <c r="J848">
        <v>191516</v>
      </c>
      <c r="K848" t="s">
        <v>42</v>
      </c>
      <c r="L848">
        <v>29</v>
      </c>
      <c r="M848">
        <v>32</v>
      </c>
      <c r="N848" t="s">
        <v>42</v>
      </c>
      <c r="O848" t="s">
        <v>36</v>
      </c>
      <c r="P848">
        <v>3.77</v>
      </c>
      <c r="Q848" t="s">
        <v>34</v>
      </c>
      <c r="R848">
        <v>2.4900000000000002</v>
      </c>
      <c r="S848" t="s">
        <v>43</v>
      </c>
      <c r="T848" t="str">
        <f t="shared" si="26"/>
        <v>High</v>
      </c>
      <c r="U848" t="str">
        <f t="shared" si="27"/>
        <v>Experienced</v>
      </c>
    </row>
    <row r="849" spans="1:21" x14ac:dyDescent="0.35">
      <c r="A849" t="s">
        <v>922</v>
      </c>
      <c r="B849" t="s">
        <v>91</v>
      </c>
      <c r="C849" t="s">
        <v>52</v>
      </c>
      <c r="D849" t="s">
        <v>75</v>
      </c>
      <c r="E849" t="s">
        <v>41</v>
      </c>
      <c r="F849">
        <v>1</v>
      </c>
      <c r="G849">
        <v>0.15</v>
      </c>
      <c r="H849">
        <v>0.86</v>
      </c>
      <c r="I849" t="s">
        <v>60</v>
      </c>
      <c r="J849">
        <v>95824</v>
      </c>
      <c r="K849" t="s">
        <v>25</v>
      </c>
      <c r="L849">
        <v>39</v>
      </c>
      <c r="M849">
        <v>33</v>
      </c>
      <c r="N849" t="s">
        <v>26</v>
      </c>
      <c r="O849" t="s">
        <v>25</v>
      </c>
      <c r="P849">
        <v>2.12</v>
      </c>
      <c r="Q849" t="s">
        <v>24</v>
      </c>
      <c r="R849">
        <v>4.22</v>
      </c>
      <c r="S849" t="s">
        <v>28</v>
      </c>
      <c r="T849" t="str">
        <f t="shared" si="26"/>
        <v>Very High</v>
      </c>
      <c r="U849" t="str">
        <f t="shared" si="27"/>
        <v>Beginner</v>
      </c>
    </row>
    <row r="850" spans="1:21" x14ac:dyDescent="0.35">
      <c r="A850" t="s">
        <v>923</v>
      </c>
      <c r="B850" t="s">
        <v>94</v>
      </c>
      <c r="C850" t="s">
        <v>55</v>
      </c>
      <c r="D850" t="s">
        <v>75</v>
      </c>
      <c r="E850" t="s">
        <v>41</v>
      </c>
      <c r="F850">
        <v>16</v>
      </c>
      <c r="G850">
        <v>0.74</v>
      </c>
      <c r="H850">
        <v>0.27</v>
      </c>
      <c r="I850" t="s">
        <v>24</v>
      </c>
      <c r="J850">
        <v>72434</v>
      </c>
      <c r="K850" t="s">
        <v>27</v>
      </c>
      <c r="L850">
        <v>32</v>
      </c>
      <c r="M850">
        <v>41</v>
      </c>
      <c r="N850" t="s">
        <v>42</v>
      </c>
      <c r="O850" t="s">
        <v>25</v>
      </c>
      <c r="P850">
        <v>2.44</v>
      </c>
      <c r="Q850" t="s">
        <v>24</v>
      </c>
      <c r="R850">
        <v>4.47</v>
      </c>
      <c r="S850" t="s">
        <v>47</v>
      </c>
      <c r="T850" t="str">
        <f t="shared" si="26"/>
        <v>Very Low</v>
      </c>
      <c r="U850" t="str">
        <f t="shared" si="27"/>
        <v>Expert</v>
      </c>
    </row>
    <row r="851" spans="1:21" x14ac:dyDescent="0.35">
      <c r="A851" t="s">
        <v>924</v>
      </c>
      <c r="B851" t="s">
        <v>73</v>
      </c>
      <c r="C851" t="s">
        <v>107</v>
      </c>
      <c r="D851" t="s">
        <v>59</v>
      </c>
      <c r="E851" t="s">
        <v>70</v>
      </c>
      <c r="F851">
        <v>2</v>
      </c>
      <c r="G851">
        <v>0.09</v>
      </c>
      <c r="H851">
        <v>0.56000000000000005</v>
      </c>
      <c r="I851" t="s">
        <v>24</v>
      </c>
      <c r="J851">
        <v>94619</v>
      </c>
      <c r="K851" t="s">
        <v>42</v>
      </c>
      <c r="L851">
        <v>13</v>
      </c>
      <c r="M851">
        <v>46</v>
      </c>
      <c r="N851" t="s">
        <v>42</v>
      </c>
      <c r="O851" t="s">
        <v>36</v>
      </c>
      <c r="P851">
        <v>2.9</v>
      </c>
      <c r="Q851" t="s">
        <v>34</v>
      </c>
      <c r="R851">
        <v>1.7</v>
      </c>
      <c r="S851" t="s">
        <v>28</v>
      </c>
      <c r="T851" t="str">
        <f t="shared" si="26"/>
        <v>High</v>
      </c>
      <c r="U851" t="str">
        <f t="shared" si="27"/>
        <v>Beginner</v>
      </c>
    </row>
    <row r="852" spans="1:21" x14ac:dyDescent="0.35">
      <c r="A852" t="s">
        <v>925</v>
      </c>
      <c r="B852" t="s">
        <v>147</v>
      </c>
      <c r="C852" t="s">
        <v>107</v>
      </c>
      <c r="D852" t="s">
        <v>69</v>
      </c>
      <c r="E852" t="s">
        <v>23</v>
      </c>
      <c r="F852">
        <v>19</v>
      </c>
      <c r="G852">
        <v>0.36</v>
      </c>
      <c r="H852">
        <v>0.88</v>
      </c>
      <c r="I852" t="s">
        <v>34</v>
      </c>
      <c r="J852">
        <v>207305</v>
      </c>
      <c r="K852" t="s">
        <v>42</v>
      </c>
      <c r="L852">
        <v>-9</v>
      </c>
      <c r="M852">
        <v>36</v>
      </c>
      <c r="N852" t="s">
        <v>35</v>
      </c>
      <c r="O852" t="s">
        <v>27</v>
      </c>
      <c r="P852">
        <v>2.02</v>
      </c>
      <c r="Q852" t="s">
        <v>24</v>
      </c>
      <c r="R852">
        <v>5</v>
      </c>
      <c r="S852" t="s">
        <v>47</v>
      </c>
      <c r="T852" t="str">
        <f t="shared" si="26"/>
        <v>Very High</v>
      </c>
      <c r="U852" t="str">
        <f t="shared" si="27"/>
        <v>Expert</v>
      </c>
    </row>
    <row r="853" spans="1:21" x14ac:dyDescent="0.35">
      <c r="A853" t="s">
        <v>926</v>
      </c>
      <c r="B853" t="s">
        <v>38</v>
      </c>
      <c r="C853" t="s">
        <v>21</v>
      </c>
      <c r="D853" t="s">
        <v>80</v>
      </c>
      <c r="E853" t="s">
        <v>33</v>
      </c>
      <c r="F853">
        <v>4</v>
      </c>
      <c r="G853">
        <v>0.44</v>
      </c>
      <c r="H853">
        <v>0.32</v>
      </c>
      <c r="I853" t="s">
        <v>60</v>
      </c>
      <c r="J853">
        <v>122598</v>
      </c>
      <c r="K853" t="s">
        <v>42</v>
      </c>
      <c r="L853">
        <v>-9</v>
      </c>
      <c r="M853">
        <v>31</v>
      </c>
      <c r="N853" t="s">
        <v>35</v>
      </c>
      <c r="O853" t="s">
        <v>36</v>
      </c>
      <c r="P853">
        <v>3.21</v>
      </c>
      <c r="Q853" t="s">
        <v>34</v>
      </c>
      <c r="R853">
        <v>1.4</v>
      </c>
      <c r="S853" t="s">
        <v>43</v>
      </c>
      <c r="T853" t="str">
        <f t="shared" si="26"/>
        <v>Moderate</v>
      </c>
      <c r="U853" t="str">
        <f t="shared" si="27"/>
        <v>Intermediate</v>
      </c>
    </row>
    <row r="854" spans="1:21" x14ac:dyDescent="0.35">
      <c r="A854" t="s">
        <v>927</v>
      </c>
      <c r="B854" t="s">
        <v>68</v>
      </c>
      <c r="C854" t="s">
        <v>31</v>
      </c>
      <c r="D854" t="s">
        <v>75</v>
      </c>
      <c r="E854" t="s">
        <v>41</v>
      </c>
      <c r="F854">
        <v>23</v>
      </c>
      <c r="G854">
        <v>0.45</v>
      </c>
      <c r="H854">
        <v>0.57999999999999996</v>
      </c>
      <c r="I854" t="s">
        <v>60</v>
      </c>
      <c r="J854">
        <v>152515</v>
      </c>
      <c r="K854" t="s">
        <v>42</v>
      </c>
      <c r="L854">
        <v>27</v>
      </c>
      <c r="M854">
        <v>37</v>
      </c>
      <c r="N854" t="s">
        <v>26</v>
      </c>
      <c r="O854" t="s">
        <v>27</v>
      </c>
      <c r="P854">
        <v>2.2000000000000002</v>
      </c>
      <c r="Q854" t="s">
        <v>34</v>
      </c>
      <c r="R854">
        <v>3.3</v>
      </c>
      <c r="S854" t="s">
        <v>43</v>
      </c>
      <c r="T854" t="str">
        <f t="shared" si="26"/>
        <v>High</v>
      </c>
      <c r="U854" t="str">
        <f t="shared" si="27"/>
        <v>Expert</v>
      </c>
    </row>
    <row r="855" spans="1:21" x14ac:dyDescent="0.35">
      <c r="A855" t="s">
        <v>928</v>
      </c>
      <c r="B855" t="s">
        <v>38</v>
      </c>
      <c r="C855" t="s">
        <v>31</v>
      </c>
      <c r="D855" t="s">
        <v>22</v>
      </c>
      <c r="E855" t="s">
        <v>23</v>
      </c>
      <c r="F855">
        <v>12</v>
      </c>
      <c r="G855">
        <v>0.28000000000000003</v>
      </c>
      <c r="H855">
        <v>0.68</v>
      </c>
      <c r="I855" t="s">
        <v>60</v>
      </c>
      <c r="J855">
        <v>39934</v>
      </c>
      <c r="K855" t="s">
        <v>27</v>
      </c>
      <c r="L855">
        <v>21</v>
      </c>
      <c r="M855">
        <v>50</v>
      </c>
      <c r="N855" t="s">
        <v>35</v>
      </c>
      <c r="O855" t="s">
        <v>27</v>
      </c>
      <c r="P855">
        <v>2.2000000000000002</v>
      </c>
      <c r="Q855" t="s">
        <v>34</v>
      </c>
      <c r="R855">
        <v>3.36</v>
      </c>
      <c r="S855" t="s">
        <v>28</v>
      </c>
      <c r="T855" t="str">
        <f t="shared" si="26"/>
        <v>High</v>
      </c>
      <c r="U855" t="str">
        <f t="shared" si="27"/>
        <v>Experienced</v>
      </c>
    </row>
    <row r="856" spans="1:21" x14ac:dyDescent="0.35">
      <c r="A856" t="s">
        <v>929</v>
      </c>
      <c r="B856" t="s">
        <v>106</v>
      </c>
      <c r="C856" t="s">
        <v>39</v>
      </c>
      <c r="D856" t="s">
        <v>49</v>
      </c>
      <c r="E856" t="s">
        <v>70</v>
      </c>
      <c r="F856">
        <v>1</v>
      </c>
      <c r="G856">
        <v>0.14000000000000001</v>
      </c>
      <c r="H856">
        <v>0.92</v>
      </c>
      <c r="I856" t="s">
        <v>34</v>
      </c>
      <c r="J856">
        <v>56103</v>
      </c>
      <c r="K856" t="s">
        <v>42</v>
      </c>
      <c r="L856">
        <v>26</v>
      </c>
      <c r="M856">
        <v>38</v>
      </c>
      <c r="N856" t="s">
        <v>35</v>
      </c>
      <c r="O856" t="s">
        <v>25</v>
      </c>
      <c r="P856">
        <v>4.49</v>
      </c>
      <c r="Q856" t="s">
        <v>34</v>
      </c>
      <c r="R856">
        <v>2.75</v>
      </c>
      <c r="S856" t="s">
        <v>47</v>
      </c>
      <c r="T856" t="str">
        <f t="shared" si="26"/>
        <v>Very High</v>
      </c>
      <c r="U856" t="str">
        <f t="shared" si="27"/>
        <v>Beginner</v>
      </c>
    </row>
    <row r="857" spans="1:21" x14ac:dyDescent="0.35">
      <c r="A857" t="s">
        <v>930</v>
      </c>
      <c r="B857" t="s">
        <v>106</v>
      </c>
      <c r="C857" t="s">
        <v>58</v>
      </c>
      <c r="D857" t="s">
        <v>59</v>
      </c>
      <c r="E857" t="s">
        <v>23</v>
      </c>
      <c r="F857">
        <v>1</v>
      </c>
      <c r="G857">
        <v>0.79</v>
      </c>
      <c r="H857">
        <v>0.41</v>
      </c>
      <c r="I857" t="s">
        <v>60</v>
      </c>
      <c r="J857">
        <v>142928</v>
      </c>
      <c r="K857" t="s">
        <v>42</v>
      </c>
      <c r="L857">
        <v>42</v>
      </c>
      <c r="M857">
        <v>58</v>
      </c>
      <c r="N857" t="s">
        <v>26</v>
      </c>
      <c r="O857" t="s">
        <v>25</v>
      </c>
      <c r="P857">
        <v>2.3199999999999998</v>
      </c>
      <c r="Q857" t="s">
        <v>34</v>
      </c>
      <c r="R857">
        <v>1.22</v>
      </c>
      <c r="S857" t="s">
        <v>47</v>
      </c>
      <c r="T857" t="str">
        <f t="shared" si="26"/>
        <v>Very Low</v>
      </c>
      <c r="U857" t="str">
        <f t="shared" si="27"/>
        <v>Beginner</v>
      </c>
    </row>
    <row r="858" spans="1:21" x14ac:dyDescent="0.35">
      <c r="A858" t="s">
        <v>931</v>
      </c>
      <c r="B858" t="s">
        <v>38</v>
      </c>
      <c r="C858" t="s">
        <v>55</v>
      </c>
      <c r="D858" t="s">
        <v>22</v>
      </c>
      <c r="E858" t="s">
        <v>23</v>
      </c>
      <c r="F858">
        <v>4</v>
      </c>
      <c r="G858">
        <v>0.26</v>
      </c>
      <c r="H858">
        <v>0.74</v>
      </c>
      <c r="I858" t="s">
        <v>24</v>
      </c>
      <c r="J858">
        <v>191273</v>
      </c>
      <c r="K858" t="s">
        <v>25</v>
      </c>
      <c r="L858">
        <v>18</v>
      </c>
      <c r="M858">
        <v>60</v>
      </c>
      <c r="N858" t="s">
        <v>35</v>
      </c>
      <c r="O858" t="s">
        <v>27</v>
      </c>
      <c r="P858">
        <v>4.51</v>
      </c>
      <c r="Q858" t="s">
        <v>34</v>
      </c>
      <c r="R858">
        <v>4.71</v>
      </c>
      <c r="S858" t="s">
        <v>28</v>
      </c>
      <c r="T858" t="str">
        <f t="shared" si="26"/>
        <v>Very High</v>
      </c>
      <c r="U858" t="str">
        <f t="shared" si="27"/>
        <v>Intermediate</v>
      </c>
    </row>
    <row r="859" spans="1:21" x14ac:dyDescent="0.35">
      <c r="A859" t="s">
        <v>932</v>
      </c>
      <c r="B859" t="s">
        <v>91</v>
      </c>
      <c r="C859" t="s">
        <v>74</v>
      </c>
      <c r="D859" t="s">
        <v>80</v>
      </c>
      <c r="E859" t="s">
        <v>33</v>
      </c>
      <c r="F859">
        <v>18</v>
      </c>
      <c r="G859">
        <v>0.32</v>
      </c>
      <c r="H859">
        <v>0.31</v>
      </c>
      <c r="I859" t="s">
        <v>34</v>
      </c>
      <c r="J859">
        <v>61520</v>
      </c>
      <c r="K859" t="s">
        <v>27</v>
      </c>
      <c r="L859">
        <v>13</v>
      </c>
      <c r="M859">
        <v>44</v>
      </c>
      <c r="N859" t="s">
        <v>35</v>
      </c>
      <c r="O859" t="s">
        <v>27</v>
      </c>
      <c r="P859">
        <v>2.52</v>
      </c>
      <c r="Q859" t="s">
        <v>24</v>
      </c>
      <c r="R859">
        <v>2.04</v>
      </c>
      <c r="S859" t="s">
        <v>47</v>
      </c>
      <c r="T859" t="str">
        <f t="shared" si="26"/>
        <v>Moderate</v>
      </c>
      <c r="U859" t="str">
        <f t="shared" si="27"/>
        <v>Expert</v>
      </c>
    </row>
    <row r="860" spans="1:21" x14ac:dyDescent="0.35">
      <c r="A860" t="s">
        <v>933</v>
      </c>
      <c r="B860" t="s">
        <v>62</v>
      </c>
      <c r="C860" t="s">
        <v>46</v>
      </c>
      <c r="D860" t="s">
        <v>69</v>
      </c>
      <c r="E860" t="s">
        <v>41</v>
      </c>
      <c r="F860">
        <v>24</v>
      </c>
      <c r="G860">
        <v>0.81</v>
      </c>
      <c r="H860">
        <v>0.5</v>
      </c>
      <c r="I860" t="s">
        <v>60</v>
      </c>
      <c r="J860">
        <v>52315</v>
      </c>
      <c r="K860" t="s">
        <v>27</v>
      </c>
      <c r="L860">
        <v>-5</v>
      </c>
      <c r="M860">
        <v>59</v>
      </c>
      <c r="N860" t="s">
        <v>35</v>
      </c>
      <c r="O860" t="s">
        <v>27</v>
      </c>
      <c r="P860">
        <v>4.67</v>
      </c>
      <c r="Q860" t="s">
        <v>34</v>
      </c>
      <c r="R860">
        <v>4.17</v>
      </c>
      <c r="S860" t="s">
        <v>28</v>
      </c>
      <c r="T860" t="str">
        <f t="shared" si="26"/>
        <v>Moderate</v>
      </c>
      <c r="U860" t="str">
        <f t="shared" si="27"/>
        <v>Expert</v>
      </c>
    </row>
    <row r="861" spans="1:21" x14ac:dyDescent="0.35">
      <c r="A861" t="s">
        <v>934</v>
      </c>
      <c r="B861" t="s">
        <v>89</v>
      </c>
      <c r="C861" t="s">
        <v>58</v>
      </c>
      <c r="D861" t="s">
        <v>66</v>
      </c>
      <c r="E861" t="s">
        <v>41</v>
      </c>
      <c r="F861">
        <v>18</v>
      </c>
      <c r="G861">
        <v>0.4</v>
      </c>
      <c r="H861">
        <v>0.95</v>
      </c>
      <c r="I861" t="s">
        <v>34</v>
      </c>
      <c r="J861">
        <v>205708</v>
      </c>
      <c r="K861" t="s">
        <v>25</v>
      </c>
      <c r="L861">
        <v>35</v>
      </c>
      <c r="M861">
        <v>33</v>
      </c>
      <c r="N861" t="s">
        <v>42</v>
      </c>
      <c r="O861" t="s">
        <v>25</v>
      </c>
      <c r="P861">
        <v>4.37</v>
      </c>
      <c r="Q861" t="s">
        <v>34</v>
      </c>
      <c r="R861">
        <v>1.45</v>
      </c>
      <c r="S861" t="s">
        <v>43</v>
      </c>
      <c r="T861" t="str">
        <f t="shared" si="26"/>
        <v>High</v>
      </c>
      <c r="U861" t="str">
        <f t="shared" si="27"/>
        <v>Expert</v>
      </c>
    </row>
    <row r="862" spans="1:21" x14ac:dyDescent="0.35">
      <c r="A862" t="s">
        <v>935</v>
      </c>
      <c r="B862" t="s">
        <v>20</v>
      </c>
      <c r="C862" t="s">
        <v>55</v>
      </c>
      <c r="D862" t="s">
        <v>59</v>
      </c>
      <c r="E862" t="s">
        <v>70</v>
      </c>
      <c r="F862">
        <v>23</v>
      </c>
      <c r="G862">
        <v>0.49</v>
      </c>
      <c r="H862">
        <v>0.73</v>
      </c>
      <c r="I862" t="s">
        <v>34</v>
      </c>
      <c r="J862">
        <v>211123</v>
      </c>
      <c r="K862" t="s">
        <v>42</v>
      </c>
      <c r="L862">
        <v>-4</v>
      </c>
      <c r="M862">
        <v>54</v>
      </c>
      <c r="N862" t="s">
        <v>42</v>
      </c>
      <c r="O862" t="s">
        <v>27</v>
      </c>
      <c r="P862">
        <v>4.3899999999999997</v>
      </c>
      <c r="Q862" t="s">
        <v>34</v>
      </c>
      <c r="R862">
        <v>1.73</v>
      </c>
      <c r="S862" t="s">
        <v>28</v>
      </c>
      <c r="T862" t="str">
        <f t="shared" si="26"/>
        <v>High</v>
      </c>
      <c r="U862" t="str">
        <f t="shared" si="27"/>
        <v>Expert</v>
      </c>
    </row>
    <row r="863" spans="1:21" x14ac:dyDescent="0.35">
      <c r="A863" t="s">
        <v>936</v>
      </c>
      <c r="B863" t="s">
        <v>77</v>
      </c>
      <c r="C863" t="s">
        <v>52</v>
      </c>
      <c r="D863" t="s">
        <v>75</v>
      </c>
      <c r="E863" t="s">
        <v>70</v>
      </c>
      <c r="F863">
        <v>14</v>
      </c>
      <c r="G863">
        <v>0.4</v>
      </c>
      <c r="H863">
        <v>0.4</v>
      </c>
      <c r="I863" t="s">
        <v>60</v>
      </c>
      <c r="J863">
        <v>99423</v>
      </c>
      <c r="K863" t="s">
        <v>42</v>
      </c>
      <c r="L863">
        <v>-1</v>
      </c>
      <c r="M863">
        <v>32</v>
      </c>
      <c r="N863" t="s">
        <v>42</v>
      </c>
      <c r="O863" t="s">
        <v>25</v>
      </c>
      <c r="P863">
        <v>2.46</v>
      </c>
      <c r="Q863" t="s">
        <v>34</v>
      </c>
      <c r="R863">
        <v>1.41</v>
      </c>
      <c r="S863" t="s">
        <v>47</v>
      </c>
      <c r="T863" t="str">
        <f t="shared" si="26"/>
        <v>Moderate</v>
      </c>
      <c r="U863" t="str">
        <f t="shared" si="27"/>
        <v>Experienced</v>
      </c>
    </row>
    <row r="864" spans="1:21" x14ac:dyDescent="0.35">
      <c r="A864" t="s">
        <v>937</v>
      </c>
      <c r="B864" t="s">
        <v>38</v>
      </c>
      <c r="C864" t="s">
        <v>39</v>
      </c>
      <c r="D864" t="s">
        <v>66</v>
      </c>
      <c r="E864" t="s">
        <v>23</v>
      </c>
      <c r="F864">
        <v>17</v>
      </c>
      <c r="G864">
        <v>0.54</v>
      </c>
      <c r="H864">
        <v>0.3</v>
      </c>
      <c r="I864" t="s">
        <v>60</v>
      </c>
      <c r="J864">
        <v>161735</v>
      </c>
      <c r="K864" t="s">
        <v>27</v>
      </c>
      <c r="L864">
        <v>4</v>
      </c>
      <c r="M864">
        <v>49</v>
      </c>
      <c r="N864" t="s">
        <v>35</v>
      </c>
      <c r="O864" t="s">
        <v>36</v>
      </c>
      <c r="P864">
        <v>2.41</v>
      </c>
      <c r="Q864" t="s">
        <v>34</v>
      </c>
      <c r="R864">
        <v>2.58</v>
      </c>
      <c r="S864" t="s">
        <v>47</v>
      </c>
      <c r="T864" t="str">
        <f t="shared" si="26"/>
        <v>Moderate</v>
      </c>
      <c r="U864" t="str">
        <f t="shared" si="27"/>
        <v>Expert</v>
      </c>
    </row>
    <row r="865" spans="1:21" x14ac:dyDescent="0.35">
      <c r="A865" t="s">
        <v>938</v>
      </c>
      <c r="B865" t="s">
        <v>38</v>
      </c>
      <c r="C865" t="s">
        <v>39</v>
      </c>
      <c r="D865" t="s">
        <v>63</v>
      </c>
      <c r="E865" t="s">
        <v>33</v>
      </c>
      <c r="F865">
        <v>6</v>
      </c>
      <c r="G865">
        <v>0.13</v>
      </c>
      <c r="H865">
        <v>0.26</v>
      </c>
      <c r="I865" t="s">
        <v>60</v>
      </c>
      <c r="J865">
        <v>59608</v>
      </c>
      <c r="K865" t="s">
        <v>42</v>
      </c>
      <c r="L865">
        <v>-4</v>
      </c>
      <c r="M865">
        <v>37</v>
      </c>
      <c r="N865" t="s">
        <v>35</v>
      </c>
      <c r="O865" t="s">
        <v>36</v>
      </c>
      <c r="P865">
        <v>4.16</v>
      </c>
      <c r="Q865" t="s">
        <v>24</v>
      </c>
      <c r="R865">
        <v>2.37</v>
      </c>
      <c r="S865" t="s">
        <v>47</v>
      </c>
      <c r="T865" t="str">
        <f t="shared" si="26"/>
        <v>High</v>
      </c>
      <c r="U865" t="str">
        <f t="shared" si="27"/>
        <v>Intermediate</v>
      </c>
    </row>
    <row r="866" spans="1:21" x14ac:dyDescent="0.35">
      <c r="A866" t="s">
        <v>939</v>
      </c>
      <c r="B866" t="s">
        <v>156</v>
      </c>
      <c r="C866" t="s">
        <v>82</v>
      </c>
      <c r="D866" t="s">
        <v>63</v>
      </c>
      <c r="E866" t="s">
        <v>70</v>
      </c>
      <c r="F866">
        <v>24</v>
      </c>
      <c r="G866">
        <v>0.41</v>
      </c>
      <c r="H866">
        <v>0.82</v>
      </c>
      <c r="I866" t="s">
        <v>34</v>
      </c>
      <c r="J866">
        <v>213587</v>
      </c>
      <c r="K866" t="s">
        <v>42</v>
      </c>
      <c r="L866">
        <v>-1</v>
      </c>
      <c r="M866">
        <v>38</v>
      </c>
      <c r="N866" t="s">
        <v>35</v>
      </c>
      <c r="O866" t="s">
        <v>27</v>
      </c>
      <c r="P866">
        <v>2.29</v>
      </c>
      <c r="Q866" t="s">
        <v>34</v>
      </c>
      <c r="R866">
        <v>3.6</v>
      </c>
      <c r="S866" t="s">
        <v>47</v>
      </c>
      <c r="T866" t="str">
        <f t="shared" si="26"/>
        <v>High</v>
      </c>
      <c r="U866" t="str">
        <f t="shared" si="27"/>
        <v>Expert</v>
      </c>
    </row>
    <row r="867" spans="1:21" x14ac:dyDescent="0.35">
      <c r="A867" t="s">
        <v>940</v>
      </c>
      <c r="B867" t="s">
        <v>45</v>
      </c>
      <c r="C867" t="s">
        <v>55</v>
      </c>
      <c r="D867" t="s">
        <v>32</v>
      </c>
      <c r="E867" t="s">
        <v>70</v>
      </c>
      <c r="F867">
        <v>19</v>
      </c>
      <c r="G867">
        <v>0.11</v>
      </c>
      <c r="H867">
        <v>0.8</v>
      </c>
      <c r="I867" t="s">
        <v>60</v>
      </c>
      <c r="J867">
        <v>156940</v>
      </c>
      <c r="K867" t="s">
        <v>27</v>
      </c>
      <c r="L867">
        <v>38</v>
      </c>
      <c r="M867">
        <v>47</v>
      </c>
      <c r="N867" t="s">
        <v>26</v>
      </c>
      <c r="O867" t="s">
        <v>25</v>
      </c>
      <c r="P867">
        <v>3.64</v>
      </c>
      <c r="Q867" t="s">
        <v>24</v>
      </c>
      <c r="R867">
        <v>4.47</v>
      </c>
      <c r="S867" t="s">
        <v>43</v>
      </c>
      <c r="T867" t="str">
        <f t="shared" si="26"/>
        <v>Very High</v>
      </c>
      <c r="U867" t="str">
        <f t="shared" si="27"/>
        <v>Expert</v>
      </c>
    </row>
    <row r="868" spans="1:21" x14ac:dyDescent="0.35">
      <c r="A868" t="s">
        <v>941</v>
      </c>
      <c r="B868" t="s">
        <v>57</v>
      </c>
      <c r="C868" t="s">
        <v>74</v>
      </c>
      <c r="D868" t="s">
        <v>22</v>
      </c>
      <c r="E868" t="s">
        <v>33</v>
      </c>
      <c r="F868">
        <v>12</v>
      </c>
      <c r="G868">
        <v>0.28999999999999998</v>
      </c>
      <c r="H868">
        <v>0.61</v>
      </c>
      <c r="I868" t="s">
        <v>60</v>
      </c>
      <c r="J868">
        <v>57416</v>
      </c>
      <c r="K868" t="s">
        <v>42</v>
      </c>
      <c r="L868">
        <v>6</v>
      </c>
      <c r="M868">
        <v>47</v>
      </c>
      <c r="N868" t="s">
        <v>42</v>
      </c>
      <c r="O868" t="s">
        <v>27</v>
      </c>
      <c r="P868">
        <v>3.99</v>
      </c>
      <c r="Q868" t="s">
        <v>24</v>
      </c>
      <c r="R868">
        <v>3.8</v>
      </c>
      <c r="S868" t="s">
        <v>28</v>
      </c>
      <c r="T868" t="str">
        <f t="shared" si="26"/>
        <v>High</v>
      </c>
      <c r="U868" t="str">
        <f t="shared" si="27"/>
        <v>Experienced</v>
      </c>
    </row>
    <row r="869" spans="1:21" x14ac:dyDescent="0.35">
      <c r="A869" t="s">
        <v>942</v>
      </c>
      <c r="B869" t="s">
        <v>30</v>
      </c>
      <c r="C869" t="s">
        <v>74</v>
      </c>
      <c r="D869" t="s">
        <v>22</v>
      </c>
      <c r="E869" t="s">
        <v>70</v>
      </c>
      <c r="F869">
        <v>10</v>
      </c>
      <c r="G869">
        <v>0.56000000000000005</v>
      </c>
      <c r="H869">
        <v>0.74</v>
      </c>
      <c r="I869" t="s">
        <v>60</v>
      </c>
      <c r="J869">
        <v>53670</v>
      </c>
      <c r="K869" t="s">
        <v>25</v>
      </c>
      <c r="L869">
        <v>-3</v>
      </c>
      <c r="M869">
        <v>33</v>
      </c>
      <c r="N869" t="s">
        <v>26</v>
      </c>
      <c r="O869" t="s">
        <v>25</v>
      </c>
      <c r="P869">
        <v>4.17</v>
      </c>
      <c r="Q869" t="s">
        <v>24</v>
      </c>
      <c r="R869">
        <v>1.23</v>
      </c>
      <c r="S869" t="s">
        <v>28</v>
      </c>
      <c r="T869" t="str">
        <f t="shared" si="26"/>
        <v>High</v>
      </c>
      <c r="U869" t="str">
        <f t="shared" si="27"/>
        <v>Experienced</v>
      </c>
    </row>
    <row r="870" spans="1:21" x14ac:dyDescent="0.35">
      <c r="A870" t="s">
        <v>943</v>
      </c>
      <c r="B870" t="s">
        <v>94</v>
      </c>
      <c r="C870" t="s">
        <v>58</v>
      </c>
      <c r="D870" t="s">
        <v>59</v>
      </c>
      <c r="E870" t="s">
        <v>23</v>
      </c>
      <c r="F870">
        <v>6</v>
      </c>
      <c r="G870">
        <v>0.37</v>
      </c>
      <c r="H870">
        <v>0.26</v>
      </c>
      <c r="I870" t="s">
        <v>34</v>
      </c>
      <c r="J870">
        <v>50606</v>
      </c>
      <c r="K870" t="s">
        <v>42</v>
      </c>
      <c r="L870">
        <v>5</v>
      </c>
      <c r="M870">
        <v>43</v>
      </c>
      <c r="N870" t="s">
        <v>26</v>
      </c>
      <c r="O870" t="s">
        <v>27</v>
      </c>
      <c r="P870">
        <v>2.38</v>
      </c>
      <c r="Q870" t="s">
        <v>34</v>
      </c>
      <c r="R870">
        <v>2.31</v>
      </c>
      <c r="S870" t="s">
        <v>28</v>
      </c>
      <c r="T870" t="str">
        <f t="shared" si="26"/>
        <v>Moderate</v>
      </c>
      <c r="U870" t="str">
        <f t="shared" si="27"/>
        <v>Intermediate</v>
      </c>
    </row>
    <row r="871" spans="1:21" x14ac:dyDescent="0.35">
      <c r="A871" t="s">
        <v>944</v>
      </c>
      <c r="B871" t="s">
        <v>38</v>
      </c>
      <c r="C871" t="s">
        <v>31</v>
      </c>
      <c r="D871" t="s">
        <v>32</v>
      </c>
      <c r="E871" t="s">
        <v>70</v>
      </c>
      <c r="F871">
        <v>16</v>
      </c>
      <c r="G871">
        <v>0.09</v>
      </c>
      <c r="H871">
        <v>0.67</v>
      </c>
      <c r="I871" t="s">
        <v>60</v>
      </c>
      <c r="J871">
        <v>200741</v>
      </c>
      <c r="K871" t="s">
        <v>42</v>
      </c>
      <c r="L871">
        <v>1</v>
      </c>
      <c r="M871">
        <v>31</v>
      </c>
      <c r="N871" t="s">
        <v>42</v>
      </c>
      <c r="O871" t="s">
        <v>36</v>
      </c>
      <c r="P871">
        <v>5</v>
      </c>
      <c r="Q871" t="s">
        <v>34</v>
      </c>
      <c r="R871">
        <v>4.1399999999999997</v>
      </c>
      <c r="S871" t="s">
        <v>28</v>
      </c>
      <c r="T871" t="str">
        <f t="shared" si="26"/>
        <v>High</v>
      </c>
      <c r="U871" t="str">
        <f t="shared" si="27"/>
        <v>Expert</v>
      </c>
    </row>
    <row r="872" spans="1:21" x14ac:dyDescent="0.35">
      <c r="A872" t="s">
        <v>945</v>
      </c>
      <c r="B872" t="s">
        <v>30</v>
      </c>
      <c r="C872" t="s">
        <v>52</v>
      </c>
      <c r="D872" t="s">
        <v>63</v>
      </c>
      <c r="E872" t="s">
        <v>23</v>
      </c>
      <c r="F872">
        <v>24</v>
      </c>
      <c r="G872">
        <v>0.44</v>
      </c>
      <c r="H872">
        <v>0.33</v>
      </c>
      <c r="I872" t="s">
        <v>34</v>
      </c>
      <c r="J872">
        <v>111459</v>
      </c>
      <c r="K872" t="s">
        <v>42</v>
      </c>
      <c r="L872">
        <v>24</v>
      </c>
      <c r="M872">
        <v>58</v>
      </c>
      <c r="N872" t="s">
        <v>35</v>
      </c>
      <c r="O872" t="s">
        <v>27</v>
      </c>
      <c r="P872">
        <v>3.35</v>
      </c>
      <c r="Q872" t="s">
        <v>34</v>
      </c>
      <c r="R872">
        <v>4.07</v>
      </c>
      <c r="S872" t="s">
        <v>47</v>
      </c>
      <c r="T872" t="str">
        <f t="shared" si="26"/>
        <v>Moderate</v>
      </c>
      <c r="U872" t="str">
        <f t="shared" si="27"/>
        <v>Expert</v>
      </c>
    </row>
    <row r="873" spans="1:21" x14ac:dyDescent="0.35">
      <c r="A873" t="s">
        <v>946</v>
      </c>
      <c r="B873" t="s">
        <v>96</v>
      </c>
      <c r="C873" t="s">
        <v>52</v>
      </c>
      <c r="D873" t="s">
        <v>32</v>
      </c>
      <c r="E873" t="s">
        <v>33</v>
      </c>
      <c r="F873">
        <v>24</v>
      </c>
      <c r="G873">
        <v>0.27</v>
      </c>
      <c r="H873">
        <v>0.82</v>
      </c>
      <c r="I873" t="s">
        <v>34</v>
      </c>
      <c r="J873">
        <v>97656</v>
      </c>
      <c r="K873" t="s">
        <v>42</v>
      </c>
      <c r="L873">
        <v>34</v>
      </c>
      <c r="M873">
        <v>39</v>
      </c>
      <c r="N873" t="s">
        <v>35</v>
      </c>
      <c r="O873" t="s">
        <v>25</v>
      </c>
      <c r="P873">
        <v>3.19</v>
      </c>
      <c r="Q873" t="s">
        <v>34</v>
      </c>
      <c r="R873">
        <v>3.41</v>
      </c>
      <c r="S873" t="s">
        <v>43</v>
      </c>
      <c r="T873" t="str">
        <f t="shared" si="26"/>
        <v>Very High</v>
      </c>
      <c r="U873" t="str">
        <f t="shared" si="27"/>
        <v>Expert</v>
      </c>
    </row>
    <row r="874" spans="1:21" x14ac:dyDescent="0.35">
      <c r="A874" t="s">
        <v>947</v>
      </c>
      <c r="B874" t="s">
        <v>62</v>
      </c>
      <c r="C874" t="s">
        <v>82</v>
      </c>
      <c r="D874" t="s">
        <v>49</v>
      </c>
      <c r="E874" t="s">
        <v>23</v>
      </c>
      <c r="F874">
        <v>15</v>
      </c>
      <c r="G874">
        <v>0.82</v>
      </c>
      <c r="H874">
        <v>0.28999999999999998</v>
      </c>
      <c r="I874" t="s">
        <v>60</v>
      </c>
      <c r="J874">
        <v>69886</v>
      </c>
      <c r="K874" t="s">
        <v>27</v>
      </c>
      <c r="L874">
        <v>20</v>
      </c>
      <c r="M874">
        <v>39</v>
      </c>
      <c r="N874" t="s">
        <v>42</v>
      </c>
      <c r="O874" t="s">
        <v>25</v>
      </c>
      <c r="P874">
        <v>4.29</v>
      </c>
      <c r="Q874" t="s">
        <v>24</v>
      </c>
      <c r="R874">
        <v>2.56</v>
      </c>
      <c r="S874" t="s">
        <v>47</v>
      </c>
      <c r="T874" t="str">
        <f t="shared" si="26"/>
        <v>Very Low</v>
      </c>
      <c r="U874" t="str">
        <f t="shared" si="27"/>
        <v>Experienced</v>
      </c>
    </row>
    <row r="875" spans="1:21" x14ac:dyDescent="0.35">
      <c r="A875" t="s">
        <v>948</v>
      </c>
      <c r="B875" t="s">
        <v>54</v>
      </c>
      <c r="C875" t="s">
        <v>55</v>
      </c>
      <c r="D875" t="s">
        <v>80</v>
      </c>
      <c r="E875" t="s">
        <v>23</v>
      </c>
      <c r="F875">
        <v>1</v>
      </c>
      <c r="G875">
        <v>0.13</v>
      </c>
      <c r="H875">
        <v>0.92</v>
      </c>
      <c r="I875" t="s">
        <v>24</v>
      </c>
      <c r="J875">
        <v>161952</v>
      </c>
      <c r="K875" t="s">
        <v>27</v>
      </c>
      <c r="L875">
        <v>-10</v>
      </c>
      <c r="M875">
        <v>33</v>
      </c>
      <c r="N875" t="s">
        <v>42</v>
      </c>
      <c r="O875" t="s">
        <v>27</v>
      </c>
      <c r="P875">
        <v>3.55</v>
      </c>
      <c r="Q875" t="s">
        <v>34</v>
      </c>
      <c r="R875">
        <v>2.92</v>
      </c>
      <c r="S875" t="s">
        <v>43</v>
      </c>
      <c r="T875" t="str">
        <f t="shared" si="26"/>
        <v>Very High</v>
      </c>
      <c r="U875" t="str">
        <f t="shared" si="27"/>
        <v>Beginner</v>
      </c>
    </row>
    <row r="876" spans="1:21" x14ac:dyDescent="0.35">
      <c r="A876" t="s">
        <v>949</v>
      </c>
      <c r="B876" t="s">
        <v>156</v>
      </c>
      <c r="C876" t="s">
        <v>31</v>
      </c>
      <c r="D876" t="s">
        <v>49</v>
      </c>
      <c r="E876" t="s">
        <v>33</v>
      </c>
      <c r="F876">
        <v>22</v>
      </c>
      <c r="G876">
        <v>0.59</v>
      </c>
      <c r="H876">
        <v>0.94</v>
      </c>
      <c r="I876" t="s">
        <v>34</v>
      </c>
      <c r="J876">
        <v>146415</v>
      </c>
      <c r="K876" t="s">
        <v>42</v>
      </c>
      <c r="L876">
        <v>44</v>
      </c>
      <c r="M876">
        <v>35</v>
      </c>
      <c r="N876" t="s">
        <v>26</v>
      </c>
      <c r="O876" t="s">
        <v>36</v>
      </c>
      <c r="P876">
        <v>2.23</v>
      </c>
      <c r="Q876" t="s">
        <v>24</v>
      </c>
      <c r="R876">
        <v>4.68</v>
      </c>
      <c r="S876" t="s">
        <v>47</v>
      </c>
      <c r="T876" t="str">
        <f t="shared" si="26"/>
        <v>High</v>
      </c>
      <c r="U876" t="str">
        <f t="shared" si="27"/>
        <v>Expert</v>
      </c>
    </row>
    <row r="877" spans="1:21" x14ac:dyDescent="0.35">
      <c r="A877" t="s">
        <v>950</v>
      </c>
      <c r="B877" t="s">
        <v>94</v>
      </c>
      <c r="C877" t="s">
        <v>74</v>
      </c>
      <c r="D877" t="s">
        <v>22</v>
      </c>
      <c r="E877" t="s">
        <v>23</v>
      </c>
      <c r="F877">
        <v>24</v>
      </c>
      <c r="G877">
        <v>0.73</v>
      </c>
      <c r="H877">
        <v>0.57999999999999996</v>
      </c>
      <c r="I877" t="s">
        <v>60</v>
      </c>
      <c r="J877">
        <v>89762</v>
      </c>
      <c r="K877" t="s">
        <v>25</v>
      </c>
      <c r="L877">
        <v>19</v>
      </c>
      <c r="M877">
        <v>47</v>
      </c>
      <c r="N877" t="s">
        <v>42</v>
      </c>
      <c r="O877" t="s">
        <v>27</v>
      </c>
      <c r="P877">
        <v>2.5099999999999998</v>
      </c>
      <c r="Q877" t="s">
        <v>34</v>
      </c>
      <c r="R877">
        <v>4.79</v>
      </c>
      <c r="S877" t="s">
        <v>47</v>
      </c>
      <c r="T877" t="str">
        <f t="shared" si="26"/>
        <v>Moderate</v>
      </c>
      <c r="U877" t="str">
        <f t="shared" si="27"/>
        <v>Expert</v>
      </c>
    </row>
    <row r="878" spans="1:21" x14ac:dyDescent="0.35">
      <c r="A878" t="s">
        <v>951</v>
      </c>
      <c r="B878" t="s">
        <v>73</v>
      </c>
      <c r="C878" t="s">
        <v>58</v>
      </c>
      <c r="D878" t="s">
        <v>69</v>
      </c>
      <c r="E878" t="s">
        <v>70</v>
      </c>
      <c r="F878">
        <v>9</v>
      </c>
      <c r="G878">
        <v>0.84</v>
      </c>
      <c r="H878">
        <v>0.49</v>
      </c>
      <c r="I878" t="s">
        <v>60</v>
      </c>
      <c r="J878">
        <v>100347</v>
      </c>
      <c r="K878" t="s">
        <v>42</v>
      </c>
      <c r="L878">
        <v>8</v>
      </c>
      <c r="M878">
        <v>50</v>
      </c>
      <c r="N878" t="s">
        <v>42</v>
      </c>
      <c r="O878" t="s">
        <v>36</v>
      </c>
      <c r="P878">
        <v>4.22</v>
      </c>
      <c r="Q878" t="s">
        <v>24</v>
      </c>
      <c r="R878">
        <v>4.38</v>
      </c>
      <c r="S878" t="s">
        <v>47</v>
      </c>
      <c r="T878" t="str">
        <f t="shared" si="26"/>
        <v>Very Low</v>
      </c>
      <c r="U878" t="str">
        <f t="shared" si="27"/>
        <v>Experienced</v>
      </c>
    </row>
    <row r="879" spans="1:21" x14ac:dyDescent="0.35">
      <c r="A879" t="s">
        <v>952</v>
      </c>
      <c r="B879" t="s">
        <v>20</v>
      </c>
      <c r="C879" t="s">
        <v>46</v>
      </c>
      <c r="D879" t="s">
        <v>49</v>
      </c>
      <c r="E879" t="s">
        <v>41</v>
      </c>
      <c r="F879">
        <v>14</v>
      </c>
      <c r="G879">
        <v>0.89</v>
      </c>
      <c r="H879">
        <v>0.98</v>
      </c>
      <c r="I879" t="s">
        <v>34</v>
      </c>
      <c r="J879">
        <v>104833</v>
      </c>
      <c r="K879" t="s">
        <v>42</v>
      </c>
      <c r="L879">
        <v>38</v>
      </c>
      <c r="M879">
        <v>36</v>
      </c>
      <c r="N879" t="s">
        <v>35</v>
      </c>
      <c r="O879" t="s">
        <v>27</v>
      </c>
      <c r="P879">
        <v>2.88</v>
      </c>
      <c r="Q879" t="s">
        <v>24</v>
      </c>
      <c r="R879">
        <v>2.96</v>
      </c>
      <c r="S879" t="s">
        <v>47</v>
      </c>
      <c r="T879" t="str">
        <f t="shared" si="26"/>
        <v>High</v>
      </c>
      <c r="U879" t="str">
        <f t="shared" si="27"/>
        <v>Experienced</v>
      </c>
    </row>
    <row r="880" spans="1:21" x14ac:dyDescent="0.35">
      <c r="A880" t="s">
        <v>953</v>
      </c>
      <c r="B880" t="s">
        <v>156</v>
      </c>
      <c r="C880" t="s">
        <v>55</v>
      </c>
      <c r="D880" t="s">
        <v>75</v>
      </c>
      <c r="E880" t="s">
        <v>41</v>
      </c>
      <c r="F880">
        <v>19</v>
      </c>
      <c r="G880">
        <v>0.12</v>
      </c>
      <c r="H880">
        <v>0.57999999999999996</v>
      </c>
      <c r="I880" t="s">
        <v>34</v>
      </c>
      <c r="J880">
        <v>217227</v>
      </c>
      <c r="K880" t="s">
        <v>25</v>
      </c>
      <c r="L880">
        <v>42</v>
      </c>
      <c r="M880">
        <v>31</v>
      </c>
      <c r="N880" t="s">
        <v>42</v>
      </c>
      <c r="O880" t="s">
        <v>36</v>
      </c>
      <c r="P880">
        <v>4.1399999999999997</v>
      </c>
      <c r="Q880" t="s">
        <v>24</v>
      </c>
      <c r="R880">
        <v>1.1299999999999999</v>
      </c>
      <c r="S880" t="s">
        <v>28</v>
      </c>
      <c r="T880" t="str">
        <f t="shared" si="26"/>
        <v>High</v>
      </c>
      <c r="U880" t="str">
        <f t="shared" si="27"/>
        <v>Expert</v>
      </c>
    </row>
    <row r="881" spans="1:21" x14ac:dyDescent="0.35">
      <c r="A881" t="s">
        <v>954</v>
      </c>
      <c r="B881" t="s">
        <v>62</v>
      </c>
      <c r="C881" t="s">
        <v>58</v>
      </c>
      <c r="D881" t="s">
        <v>75</v>
      </c>
      <c r="E881" t="s">
        <v>41</v>
      </c>
      <c r="F881">
        <v>16</v>
      </c>
      <c r="G881">
        <v>0.61</v>
      </c>
      <c r="H881">
        <v>0.38</v>
      </c>
      <c r="I881" t="s">
        <v>24</v>
      </c>
      <c r="J881">
        <v>90166</v>
      </c>
      <c r="K881" t="s">
        <v>27</v>
      </c>
      <c r="L881">
        <v>45</v>
      </c>
      <c r="M881">
        <v>42</v>
      </c>
      <c r="N881" t="s">
        <v>42</v>
      </c>
      <c r="O881" t="s">
        <v>36</v>
      </c>
      <c r="P881">
        <v>3.52</v>
      </c>
      <c r="Q881" t="s">
        <v>24</v>
      </c>
      <c r="R881">
        <v>4.37</v>
      </c>
      <c r="S881" t="s">
        <v>43</v>
      </c>
      <c r="T881" t="str">
        <f t="shared" si="26"/>
        <v>Moderate</v>
      </c>
      <c r="U881" t="str">
        <f t="shared" si="27"/>
        <v>Expert</v>
      </c>
    </row>
    <row r="882" spans="1:21" x14ac:dyDescent="0.35">
      <c r="A882" t="s">
        <v>955</v>
      </c>
      <c r="B882" t="s">
        <v>94</v>
      </c>
      <c r="C882" t="s">
        <v>58</v>
      </c>
      <c r="D882" t="s">
        <v>80</v>
      </c>
      <c r="E882" t="s">
        <v>33</v>
      </c>
      <c r="F882">
        <v>17</v>
      </c>
      <c r="G882">
        <v>0.65</v>
      </c>
      <c r="H882">
        <v>0.48</v>
      </c>
      <c r="I882" t="s">
        <v>34</v>
      </c>
      <c r="J882">
        <v>98652</v>
      </c>
      <c r="K882" t="s">
        <v>27</v>
      </c>
      <c r="L882">
        <v>-6</v>
      </c>
      <c r="M882">
        <v>45</v>
      </c>
      <c r="N882" t="s">
        <v>26</v>
      </c>
      <c r="O882" t="s">
        <v>27</v>
      </c>
      <c r="P882">
        <v>2.65</v>
      </c>
      <c r="Q882" t="s">
        <v>24</v>
      </c>
      <c r="R882">
        <v>1.06</v>
      </c>
      <c r="S882" t="s">
        <v>28</v>
      </c>
      <c r="T882" t="str">
        <f t="shared" si="26"/>
        <v>Moderate</v>
      </c>
      <c r="U882" t="str">
        <f t="shared" si="27"/>
        <v>Expert</v>
      </c>
    </row>
    <row r="883" spans="1:21" x14ac:dyDescent="0.35">
      <c r="A883" t="s">
        <v>956</v>
      </c>
      <c r="B883" t="s">
        <v>20</v>
      </c>
      <c r="C883" t="s">
        <v>52</v>
      </c>
      <c r="D883" t="s">
        <v>22</v>
      </c>
      <c r="E883" t="s">
        <v>23</v>
      </c>
      <c r="F883">
        <v>18</v>
      </c>
      <c r="G883">
        <v>0.91</v>
      </c>
      <c r="H883">
        <v>0.6</v>
      </c>
      <c r="I883" t="s">
        <v>60</v>
      </c>
      <c r="J883">
        <v>96966</v>
      </c>
      <c r="K883" t="s">
        <v>27</v>
      </c>
      <c r="L883">
        <v>39</v>
      </c>
      <c r="M883">
        <v>34</v>
      </c>
      <c r="N883" t="s">
        <v>26</v>
      </c>
      <c r="O883" t="s">
        <v>27</v>
      </c>
      <c r="P883">
        <v>2.1800000000000002</v>
      </c>
      <c r="Q883" t="s">
        <v>34</v>
      </c>
      <c r="R883">
        <v>2.92</v>
      </c>
      <c r="S883" t="s">
        <v>28</v>
      </c>
      <c r="T883" t="str">
        <f t="shared" si="26"/>
        <v>Moderate</v>
      </c>
      <c r="U883" t="str">
        <f t="shared" si="27"/>
        <v>Expert</v>
      </c>
    </row>
    <row r="884" spans="1:21" x14ac:dyDescent="0.35">
      <c r="A884" t="s">
        <v>957</v>
      </c>
      <c r="B884" t="s">
        <v>57</v>
      </c>
      <c r="C884" t="s">
        <v>58</v>
      </c>
      <c r="D884" t="s">
        <v>40</v>
      </c>
      <c r="E884" t="s">
        <v>23</v>
      </c>
      <c r="F884">
        <v>22</v>
      </c>
      <c r="G884">
        <v>0.45</v>
      </c>
      <c r="H884">
        <v>0.31</v>
      </c>
      <c r="I884" t="s">
        <v>34</v>
      </c>
      <c r="J884">
        <v>128786</v>
      </c>
      <c r="K884" t="s">
        <v>25</v>
      </c>
      <c r="L884">
        <v>7</v>
      </c>
      <c r="M884">
        <v>34</v>
      </c>
      <c r="N884" t="s">
        <v>35</v>
      </c>
      <c r="O884" t="s">
        <v>27</v>
      </c>
      <c r="P884">
        <v>3.95</v>
      </c>
      <c r="Q884" t="s">
        <v>34</v>
      </c>
      <c r="R884">
        <v>1.65</v>
      </c>
      <c r="S884" t="s">
        <v>47</v>
      </c>
      <c r="T884" t="str">
        <f t="shared" si="26"/>
        <v>Moderate</v>
      </c>
      <c r="U884" t="str">
        <f t="shared" si="27"/>
        <v>Expert</v>
      </c>
    </row>
    <row r="885" spans="1:21" x14ac:dyDescent="0.35">
      <c r="A885" t="s">
        <v>958</v>
      </c>
      <c r="B885" t="s">
        <v>51</v>
      </c>
      <c r="C885" t="s">
        <v>46</v>
      </c>
      <c r="D885" t="s">
        <v>59</v>
      </c>
      <c r="E885" t="s">
        <v>33</v>
      </c>
      <c r="F885">
        <v>16</v>
      </c>
      <c r="G885">
        <v>0.64</v>
      </c>
      <c r="H885">
        <v>0.59</v>
      </c>
      <c r="I885" t="s">
        <v>60</v>
      </c>
      <c r="J885">
        <v>132733</v>
      </c>
      <c r="K885" t="s">
        <v>25</v>
      </c>
      <c r="L885">
        <v>35</v>
      </c>
      <c r="M885">
        <v>48</v>
      </c>
      <c r="N885" t="s">
        <v>26</v>
      </c>
      <c r="O885" t="s">
        <v>25</v>
      </c>
      <c r="P885">
        <v>2.5</v>
      </c>
      <c r="Q885" t="s">
        <v>24</v>
      </c>
      <c r="R885">
        <v>1.18</v>
      </c>
      <c r="S885" t="s">
        <v>47</v>
      </c>
      <c r="T885" t="str">
        <f t="shared" si="26"/>
        <v>Moderate</v>
      </c>
      <c r="U885" t="str">
        <f t="shared" si="27"/>
        <v>Expert</v>
      </c>
    </row>
    <row r="886" spans="1:21" x14ac:dyDescent="0.35">
      <c r="A886" t="s">
        <v>959</v>
      </c>
      <c r="B886" t="s">
        <v>65</v>
      </c>
      <c r="C886" t="s">
        <v>52</v>
      </c>
      <c r="D886" t="s">
        <v>49</v>
      </c>
      <c r="E886" t="s">
        <v>23</v>
      </c>
      <c r="F886">
        <v>12</v>
      </c>
      <c r="G886">
        <v>0.85</v>
      </c>
      <c r="H886">
        <v>0.21</v>
      </c>
      <c r="I886" t="s">
        <v>24</v>
      </c>
      <c r="J886">
        <v>211315</v>
      </c>
      <c r="K886" t="s">
        <v>25</v>
      </c>
      <c r="L886">
        <v>-9</v>
      </c>
      <c r="M886">
        <v>46</v>
      </c>
      <c r="N886" t="s">
        <v>26</v>
      </c>
      <c r="O886" t="s">
        <v>27</v>
      </c>
      <c r="P886">
        <v>4.01</v>
      </c>
      <c r="Q886" t="s">
        <v>34</v>
      </c>
      <c r="R886">
        <v>3.86</v>
      </c>
      <c r="S886" t="s">
        <v>47</v>
      </c>
      <c r="T886" t="str">
        <f t="shared" si="26"/>
        <v>Very Low</v>
      </c>
      <c r="U886" t="str">
        <f t="shared" si="27"/>
        <v>Experienced</v>
      </c>
    </row>
    <row r="887" spans="1:21" x14ac:dyDescent="0.35">
      <c r="A887" t="s">
        <v>960</v>
      </c>
      <c r="B887" t="s">
        <v>62</v>
      </c>
      <c r="C887" t="s">
        <v>58</v>
      </c>
      <c r="D887" t="s">
        <v>59</v>
      </c>
      <c r="E887" t="s">
        <v>70</v>
      </c>
      <c r="F887">
        <v>10</v>
      </c>
      <c r="G887">
        <v>0.22</v>
      </c>
      <c r="H887">
        <v>0.5</v>
      </c>
      <c r="I887" t="s">
        <v>60</v>
      </c>
      <c r="J887">
        <v>54363</v>
      </c>
      <c r="K887" t="s">
        <v>25</v>
      </c>
      <c r="L887">
        <v>31</v>
      </c>
      <c r="M887">
        <v>60</v>
      </c>
      <c r="N887" t="s">
        <v>35</v>
      </c>
      <c r="O887" t="s">
        <v>27</v>
      </c>
      <c r="P887">
        <v>3.53</v>
      </c>
      <c r="Q887" t="s">
        <v>24</v>
      </c>
      <c r="R887">
        <v>4.1399999999999997</v>
      </c>
      <c r="S887" t="s">
        <v>43</v>
      </c>
      <c r="T887" t="str">
        <f t="shared" si="26"/>
        <v>High</v>
      </c>
      <c r="U887" t="str">
        <f t="shared" si="27"/>
        <v>Experienced</v>
      </c>
    </row>
    <row r="888" spans="1:21" x14ac:dyDescent="0.35">
      <c r="A888" t="s">
        <v>961</v>
      </c>
      <c r="B888" t="s">
        <v>68</v>
      </c>
      <c r="C888" t="s">
        <v>58</v>
      </c>
      <c r="D888" t="s">
        <v>75</v>
      </c>
      <c r="E888" t="s">
        <v>33</v>
      </c>
      <c r="F888">
        <v>23</v>
      </c>
      <c r="G888">
        <v>0.83</v>
      </c>
      <c r="H888">
        <v>0.67</v>
      </c>
      <c r="I888" t="s">
        <v>24</v>
      </c>
      <c r="J888">
        <v>207283</v>
      </c>
      <c r="K888" t="s">
        <v>42</v>
      </c>
      <c r="L888">
        <v>43</v>
      </c>
      <c r="M888">
        <v>54</v>
      </c>
      <c r="N888" t="s">
        <v>42</v>
      </c>
      <c r="O888" t="s">
        <v>25</v>
      </c>
      <c r="P888">
        <v>2.0099999999999998</v>
      </c>
      <c r="Q888" t="s">
        <v>34</v>
      </c>
      <c r="R888">
        <v>4.7699999999999996</v>
      </c>
      <c r="S888" t="s">
        <v>28</v>
      </c>
      <c r="T888" t="str">
        <f t="shared" si="26"/>
        <v>Moderate</v>
      </c>
      <c r="U888" t="str">
        <f t="shared" si="27"/>
        <v>Expert</v>
      </c>
    </row>
    <row r="889" spans="1:21" x14ac:dyDescent="0.35">
      <c r="A889" t="s">
        <v>962</v>
      </c>
      <c r="B889" t="s">
        <v>96</v>
      </c>
      <c r="C889" t="s">
        <v>52</v>
      </c>
      <c r="D889" t="s">
        <v>66</v>
      </c>
      <c r="E889" t="s">
        <v>41</v>
      </c>
      <c r="F889">
        <v>2</v>
      </c>
      <c r="G889">
        <v>0.44</v>
      </c>
      <c r="H889">
        <v>0.97</v>
      </c>
      <c r="I889" t="s">
        <v>24</v>
      </c>
      <c r="J889">
        <v>205228</v>
      </c>
      <c r="K889" t="s">
        <v>27</v>
      </c>
      <c r="L889">
        <v>15</v>
      </c>
      <c r="M889">
        <v>59</v>
      </c>
      <c r="N889" t="s">
        <v>42</v>
      </c>
      <c r="O889" t="s">
        <v>36</v>
      </c>
      <c r="P889">
        <v>4.5999999999999996</v>
      </c>
      <c r="Q889" t="s">
        <v>24</v>
      </c>
      <c r="R889">
        <v>3.82</v>
      </c>
      <c r="S889" t="s">
        <v>47</v>
      </c>
      <c r="T889" t="str">
        <f t="shared" si="26"/>
        <v>High</v>
      </c>
      <c r="U889" t="str">
        <f t="shared" si="27"/>
        <v>Beginner</v>
      </c>
    </row>
    <row r="890" spans="1:21" x14ac:dyDescent="0.35">
      <c r="A890" t="s">
        <v>963</v>
      </c>
      <c r="B890" t="s">
        <v>54</v>
      </c>
      <c r="C890" t="s">
        <v>46</v>
      </c>
      <c r="D890" t="s">
        <v>49</v>
      </c>
      <c r="E890" t="s">
        <v>41</v>
      </c>
      <c r="F890">
        <v>16</v>
      </c>
      <c r="G890">
        <v>0.6</v>
      </c>
      <c r="H890">
        <v>0.93</v>
      </c>
      <c r="I890" t="s">
        <v>60</v>
      </c>
      <c r="J890">
        <v>185053</v>
      </c>
      <c r="K890" t="s">
        <v>25</v>
      </c>
      <c r="L890">
        <v>13</v>
      </c>
      <c r="M890">
        <v>54</v>
      </c>
      <c r="N890" t="s">
        <v>26</v>
      </c>
      <c r="O890" t="s">
        <v>25</v>
      </c>
      <c r="P890">
        <v>3.29</v>
      </c>
      <c r="Q890" t="s">
        <v>24</v>
      </c>
      <c r="R890">
        <v>2.1800000000000002</v>
      </c>
      <c r="S890" t="s">
        <v>47</v>
      </c>
      <c r="T890" t="str">
        <f t="shared" si="26"/>
        <v>High</v>
      </c>
      <c r="U890" t="str">
        <f t="shared" si="27"/>
        <v>Expert</v>
      </c>
    </row>
    <row r="891" spans="1:21" x14ac:dyDescent="0.35">
      <c r="A891" t="s">
        <v>964</v>
      </c>
      <c r="B891" t="s">
        <v>94</v>
      </c>
      <c r="C891" t="s">
        <v>55</v>
      </c>
      <c r="D891" t="s">
        <v>80</v>
      </c>
      <c r="E891" t="s">
        <v>41</v>
      </c>
      <c r="F891">
        <v>15</v>
      </c>
      <c r="G891">
        <v>0.76</v>
      </c>
      <c r="H891">
        <v>0.62</v>
      </c>
      <c r="I891" t="s">
        <v>60</v>
      </c>
      <c r="J891">
        <v>171540</v>
      </c>
      <c r="K891" t="s">
        <v>27</v>
      </c>
      <c r="L891">
        <v>32</v>
      </c>
      <c r="M891">
        <v>50</v>
      </c>
      <c r="N891" t="s">
        <v>42</v>
      </c>
      <c r="O891" t="s">
        <v>27</v>
      </c>
      <c r="P891">
        <v>2.2200000000000002</v>
      </c>
      <c r="Q891" t="s">
        <v>24</v>
      </c>
      <c r="R891">
        <v>2.48</v>
      </c>
      <c r="S891" t="s">
        <v>28</v>
      </c>
      <c r="T891" t="str">
        <f t="shared" si="26"/>
        <v>Moderate</v>
      </c>
      <c r="U891" t="str">
        <f t="shared" si="27"/>
        <v>Experienced</v>
      </c>
    </row>
    <row r="892" spans="1:21" x14ac:dyDescent="0.35">
      <c r="A892" t="s">
        <v>965</v>
      </c>
      <c r="B892" t="s">
        <v>77</v>
      </c>
      <c r="C892" t="s">
        <v>39</v>
      </c>
      <c r="D892" t="s">
        <v>32</v>
      </c>
      <c r="E892" t="s">
        <v>41</v>
      </c>
      <c r="F892">
        <v>2</v>
      </c>
      <c r="G892">
        <v>0.46</v>
      </c>
      <c r="H892">
        <v>0.5</v>
      </c>
      <c r="I892" t="s">
        <v>24</v>
      </c>
      <c r="J892">
        <v>211721</v>
      </c>
      <c r="K892" t="s">
        <v>42</v>
      </c>
      <c r="L892">
        <v>34</v>
      </c>
      <c r="M892">
        <v>54</v>
      </c>
      <c r="N892" t="s">
        <v>42</v>
      </c>
      <c r="O892" t="s">
        <v>36</v>
      </c>
      <c r="P892">
        <v>4.55</v>
      </c>
      <c r="Q892" t="s">
        <v>24</v>
      </c>
      <c r="R892">
        <v>2.52</v>
      </c>
      <c r="S892" t="s">
        <v>43</v>
      </c>
      <c r="T892" t="str">
        <f t="shared" si="26"/>
        <v>High</v>
      </c>
      <c r="U892" t="str">
        <f t="shared" si="27"/>
        <v>Beginner</v>
      </c>
    </row>
    <row r="893" spans="1:21" x14ac:dyDescent="0.35">
      <c r="A893" t="s">
        <v>966</v>
      </c>
      <c r="B893" t="s">
        <v>147</v>
      </c>
      <c r="C893" t="s">
        <v>74</v>
      </c>
      <c r="D893" t="s">
        <v>80</v>
      </c>
      <c r="E893" t="s">
        <v>70</v>
      </c>
      <c r="F893">
        <v>3</v>
      </c>
      <c r="G893">
        <v>0.89</v>
      </c>
      <c r="H893">
        <v>0.94</v>
      </c>
      <c r="I893" t="s">
        <v>34</v>
      </c>
      <c r="J893">
        <v>150844</v>
      </c>
      <c r="K893" t="s">
        <v>42</v>
      </c>
      <c r="L893">
        <v>19</v>
      </c>
      <c r="M893">
        <v>39</v>
      </c>
      <c r="N893" t="s">
        <v>26</v>
      </c>
      <c r="O893" t="s">
        <v>25</v>
      </c>
      <c r="P893">
        <v>4.01</v>
      </c>
      <c r="Q893" t="s">
        <v>24</v>
      </c>
      <c r="R893">
        <v>2.95</v>
      </c>
      <c r="S893" t="s">
        <v>43</v>
      </c>
      <c r="T893" t="str">
        <f t="shared" si="26"/>
        <v>High</v>
      </c>
      <c r="U893" t="str">
        <f t="shared" si="27"/>
        <v>Intermediate</v>
      </c>
    </row>
    <row r="894" spans="1:21" x14ac:dyDescent="0.35">
      <c r="A894" t="s">
        <v>967</v>
      </c>
      <c r="B894" t="s">
        <v>106</v>
      </c>
      <c r="C894" t="s">
        <v>52</v>
      </c>
      <c r="D894" t="s">
        <v>66</v>
      </c>
      <c r="E894" t="s">
        <v>33</v>
      </c>
      <c r="F894">
        <v>5</v>
      </c>
      <c r="G894">
        <v>0.13</v>
      </c>
      <c r="H894">
        <v>0.76</v>
      </c>
      <c r="I894" t="s">
        <v>24</v>
      </c>
      <c r="J894">
        <v>135594</v>
      </c>
      <c r="K894" t="s">
        <v>27</v>
      </c>
      <c r="L894">
        <v>20</v>
      </c>
      <c r="M894">
        <v>40</v>
      </c>
      <c r="N894" t="s">
        <v>26</v>
      </c>
      <c r="O894" t="s">
        <v>27</v>
      </c>
      <c r="P894">
        <v>2.2200000000000002</v>
      </c>
      <c r="Q894" t="s">
        <v>24</v>
      </c>
      <c r="R894">
        <v>4.24</v>
      </c>
      <c r="S894" t="s">
        <v>43</v>
      </c>
      <c r="T894" t="str">
        <f t="shared" si="26"/>
        <v>Very High</v>
      </c>
      <c r="U894" t="str">
        <f t="shared" si="27"/>
        <v>Intermediate</v>
      </c>
    </row>
    <row r="895" spans="1:21" x14ac:dyDescent="0.35">
      <c r="A895" t="s">
        <v>968</v>
      </c>
      <c r="B895" t="s">
        <v>73</v>
      </c>
      <c r="C895" t="s">
        <v>74</v>
      </c>
      <c r="D895" t="s">
        <v>69</v>
      </c>
      <c r="E895" t="s">
        <v>33</v>
      </c>
      <c r="F895">
        <v>0</v>
      </c>
      <c r="G895">
        <v>0.36</v>
      </c>
      <c r="H895">
        <v>0.43</v>
      </c>
      <c r="I895" t="s">
        <v>60</v>
      </c>
      <c r="J895">
        <v>157429</v>
      </c>
      <c r="K895" t="s">
        <v>25</v>
      </c>
      <c r="L895">
        <v>-2</v>
      </c>
      <c r="M895">
        <v>57</v>
      </c>
      <c r="N895" t="s">
        <v>42</v>
      </c>
      <c r="O895" t="s">
        <v>36</v>
      </c>
      <c r="P895">
        <v>4.49</v>
      </c>
      <c r="Q895" t="s">
        <v>24</v>
      </c>
      <c r="R895">
        <v>4.75</v>
      </c>
      <c r="S895" t="s">
        <v>47</v>
      </c>
      <c r="T895" t="str">
        <f t="shared" si="26"/>
        <v>High</v>
      </c>
      <c r="U895" t="str">
        <f t="shared" si="27"/>
        <v>Beginner</v>
      </c>
    </row>
    <row r="896" spans="1:21" x14ac:dyDescent="0.35">
      <c r="A896" t="s">
        <v>969</v>
      </c>
      <c r="B896" t="s">
        <v>51</v>
      </c>
      <c r="C896" t="s">
        <v>39</v>
      </c>
      <c r="D896" t="s">
        <v>32</v>
      </c>
      <c r="E896" t="s">
        <v>70</v>
      </c>
      <c r="F896">
        <v>15</v>
      </c>
      <c r="G896">
        <v>0.42</v>
      </c>
      <c r="H896">
        <v>0.95</v>
      </c>
      <c r="I896" t="s">
        <v>24</v>
      </c>
      <c r="J896">
        <v>150417</v>
      </c>
      <c r="K896" t="s">
        <v>27</v>
      </c>
      <c r="L896">
        <v>0</v>
      </c>
      <c r="M896">
        <v>59</v>
      </c>
      <c r="N896" t="s">
        <v>26</v>
      </c>
      <c r="O896" t="s">
        <v>27</v>
      </c>
      <c r="P896">
        <v>2.98</v>
      </c>
      <c r="Q896" t="s">
        <v>34</v>
      </c>
      <c r="R896">
        <v>1.02</v>
      </c>
      <c r="S896" t="s">
        <v>47</v>
      </c>
      <c r="T896" t="str">
        <f t="shared" si="26"/>
        <v>High</v>
      </c>
      <c r="U896" t="str">
        <f t="shared" si="27"/>
        <v>Experienced</v>
      </c>
    </row>
    <row r="897" spans="1:21" x14ac:dyDescent="0.35">
      <c r="A897" t="s">
        <v>970</v>
      </c>
      <c r="B897" t="s">
        <v>94</v>
      </c>
      <c r="C897" t="s">
        <v>21</v>
      </c>
      <c r="D897" t="s">
        <v>69</v>
      </c>
      <c r="E897" t="s">
        <v>70</v>
      </c>
      <c r="F897">
        <v>0</v>
      </c>
      <c r="G897">
        <v>0.7</v>
      </c>
      <c r="H897">
        <v>0.39</v>
      </c>
      <c r="I897" t="s">
        <v>34</v>
      </c>
      <c r="J897">
        <v>65717</v>
      </c>
      <c r="K897" t="s">
        <v>25</v>
      </c>
      <c r="L897">
        <v>-7</v>
      </c>
      <c r="M897">
        <v>55</v>
      </c>
      <c r="N897" t="s">
        <v>42</v>
      </c>
      <c r="O897" t="s">
        <v>27</v>
      </c>
      <c r="P897">
        <v>3.92</v>
      </c>
      <c r="Q897" t="s">
        <v>24</v>
      </c>
      <c r="R897">
        <v>1.37</v>
      </c>
      <c r="S897" t="s">
        <v>28</v>
      </c>
      <c r="T897" t="str">
        <f t="shared" si="26"/>
        <v>Very Low</v>
      </c>
      <c r="U897" t="str">
        <f t="shared" si="27"/>
        <v>Beginner</v>
      </c>
    </row>
    <row r="898" spans="1:21" x14ac:dyDescent="0.35">
      <c r="A898" t="s">
        <v>971</v>
      </c>
      <c r="B898" t="s">
        <v>30</v>
      </c>
      <c r="C898" t="s">
        <v>82</v>
      </c>
      <c r="D898" t="s">
        <v>69</v>
      </c>
      <c r="E898" t="s">
        <v>41</v>
      </c>
      <c r="F898">
        <v>23</v>
      </c>
      <c r="G898">
        <v>0.15</v>
      </c>
      <c r="H898">
        <v>0.84</v>
      </c>
      <c r="I898" t="s">
        <v>24</v>
      </c>
      <c r="J898">
        <v>52589</v>
      </c>
      <c r="K898" t="s">
        <v>27</v>
      </c>
      <c r="L898">
        <v>13</v>
      </c>
      <c r="M898">
        <v>37</v>
      </c>
      <c r="N898" t="s">
        <v>42</v>
      </c>
      <c r="O898" t="s">
        <v>25</v>
      </c>
      <c r="P898">
        <v>4.46</v>
      </c>
      <c r="Q898" t="s">
        <v>24</v>
      </c>
      <c r="R898">
        <v>1.8</v>
      </c>
      <c r="S898" t="s">
        <v>47</v>
      </c>
      <c r="T898" t="str">
        <f t="shared" si="26"/>
        <v>Very High</v>
      </c>
      <c r="U898" t="str">
        <f t="shared" si="27"/>
        <v>Expert</v>
      </c>
    </row>
    <row r="899" spans="1:21" x14ac:dyDescent="0.35">
      <c r="A899" t="s">
        <v>972</v>
      </c>
      <c r="B899" t="s">
        <v>45</v>
      </c>
      <c r="C899" t="s">
        <v>55</v>
      </c>
      <c r="D899" t="s">
        <v>22</v>
      </c>
      <c r="E899" t="s">
        <v>70</v>
      </c>
      <c r="F899">
        <v>17</v>
      </c>
      <c r="G899">
        <v>0.91</v>
      </c>
      <c r="H899">
        <v>0.4</v>
      </c>
      <c r="I899" t="s">
        <v>60</v>
      </c>
      <c r="J899">
        <v>213674</v>
      </c>
      <c r="K899" t="s">
        <v>42</v>
      </c>
      <c r="L899">
        <v>34</v>
      </c>
      <c r="M899">
        <v>39</v>
      </c>
      <c r="N899" t="s">
        <v>35</v>
      </c>
      <c r="O899" t="s">
        <v>27</v>
      </c>
      <c r="P899">
        <v>2.42</v>
      </c>
      <c r="Q899" t="s">
        <v>34</v>
      </c>
      <c r="R899">
        <v>2.65</v>
      </c>
      <c r="S899" t="s">
        <v>28</v>
      </c>
      <c r="T899" t="str">
        <f t="shared" ref="T899:T962" si="28">IF(AND(G899&lt;0.4,H899&gt;=0.7),"Very High",
IF(AND(G899&gt;=0.7,H899&lt;0.5),"Very Low",
IF(G899&lt;H899,"High","Moderate")))</f>
        <v>Very Low</v>
      </c>
      <c r="U899" t="str">
        <f t="shared" ref="U899:U962" si="29">_xlfn.IFS(F899&lt;=2,"Beginner",F899&lt;=8,"Intermediate",F899&lt;=15,"Experienced",F899&lt;=25,"Expert")</f>
        <v>Expert</v>
      </c>
    </row>
    <row r="900" spans="1:21" x14ac:dyDescent="0.35">
      <c r="A900" t="s">
        <v>973</v>
      </c>
      <c r="B900" t="s">
        <v>94</v>
      </c>
      <c r="C900" t="s">
        <v>21</v>
      </c>
      <c r="D900" t="s">
        <v>22</v>
      </c>
      <c r="E900" t="s">
        <v>33</v>
      </c>
      <c r="F900">
        <v>15</v>
      </c>
      <c r="G900">
        <v>0.28000000000000003</v>
      </c>
      <c r="H900">
        <v>0.96</v>
      </c>
      <c r="I900" t="s">
        <v>24</v>
      </c>
      <c r="J900">
        <v>60295</v>
      </c>
      <c r="K900" t="s">
        <v>42</v>
      </c>
      <c r="L900">
        <v>41</v>
      </c>
      <c r="M900">
        <v>47</v>
      </c>
      <c r="N900" t="s">
        <v>35</v>
      </c>
      <c r="O900" t="s">
        <v>25</v>
      </c>
      <c r="P900">
        <v>4.71</v>
      </c>
      <c r="Q900" t="s">
        <v>24</v>
      </c>
      <c r="R900">
        <v>1.1399999999999999</v>
      </c>
      <c r="S900" t="s">
        <v>43</v>
      </c>
      <c r="T900" t="str">
        <f t="shared" si="28"/>
        <v>Very High</v>
      </c>
      <c r="U900" t="str">
        <f t="shared" si="29"/>
        <v>Experienced</v>
      </c>
    </row>
    <row r="901" spans="1:21" x14ac:dyDescent="0.35">
      <c r="A901" t="s">
        <v>974</v>
      </c>
      <c r="B901" t="s">
        <v>62</v>
      </c>
      <c r="C901" t="s">
        <v>39</v>
      </c>
      <c r="D901" t="s">
        <v>63</v>
      </c>
      <c r="E901" t="s">
        <v>23</v>
      </c>
      <c r="F901">
        <v>8</v>
      </c>
      <c r="G901">
        <v>0.25</v>
      </c>
      <c r="H901">
        <v>0.34</v>
      </c>
      <c r="I901" t="s">
        <v>60</v>
      </c>
      <c r="J901">
        <v>152754</v>
      </c>
      <c r="K901" t="s">
        <v>25</v>
      </c>
      <c r="L901">
        <v>11</v>
      </c>
      <c r="M901">
        <v>57</v>
      </c>
      <c r="N901" t="s">
        <v>35</v>
      </c>
      <c r="O901" t="s">
        <v>36</v>
      </c>
      <c r="P901">
        <v>3.59</v>
      </c>
      <c r="Q901" t="s">
        <v>34</v>
      </c>
      <c r="R901">
        <v>4.45</v>
      </c>
      <c r="S901" t="s">
        <v>28</v>
      </c>
      <c r="T901" t="str">
        <f t="shared" si="28"/>
        <v>High</v>
      </c>
      <c r="U901" t="str">
        <f t="shared" si="29"/>
        <v>Intermediate</v>
      </c>
    </row>
    <row r="902" spans="1:21" x14ac:dyDescent="0.35">
      <c r="A902" t="s">
        <v>975</v>
      </c>
      <c r="B902" t="s">
        <v>62</v>
      </c>
      <c r="C902" t="s">
        <v>55</v>
      </c>
      <c r="D902" t="s">
        <v>80</v>
      </c>
      <c r="E902" t="s">
        <v>33</v>
      </c>
      <c r="F902">
        <v>17</v>
      </c>
      <c r="G902">
        <v>0.25</v>
      </c>
      <c r="H902">
        <v>0.77</v>
      </c>
      <c r="I902" t="s">
        <v>34</v>
      </c>
      <c r="J902">
        <v>95895</v>
      </c>
      <c r="K902" t="s">
        <v>25</v>
      </c>
      <c r="L902">
        <v>10</v>
      </c>
      <c r="M902">
        <v>55</v>
      </c>
      <c r="N902" t="s">
        <v>35</v>
      </c>
      <c r="O902" t="s">
        <v>36</v>
      </c>
      <c r="P902">
        <v>4.76</v>
      </c>
      <c r="Q902" t="s">
        <v>34</v>
      </c>
      <c r="R902">
        <v>2.62</v>
      </c>
      <c r="S902" t="s">
        <v>47</v>
      </c>
      <c r="T902" t="str">
        <f t="shared" si="28"/>
        <v>Very High</v>
      </c>
      <c r="U902" t="str">
        <f t="shared" si="29"/>
        <v>Expert</v>
      </c>
    </row>
    <row r="903" spans="1:21" x14ac:dyDescent="0.35">
      <c r="A903" t="s">
        <v>976</v>
      </c>
      <c r="B903" t="s">
        <v>73</v>
      </c>
      <c r="C903" t="s">
        <v>52</v>
      </c>
      <c r="D903" t="s">
        <v>63</v>
      </c>
      <c r="E903" t="s">
        <v>23</v>
      </c>
      <c r="F903">
        <v>19</v>
      </c>
      <c r="G903">
        <v>0.45</v>
      </c>
      <c r="H903">
        <v>0.55000000000000004</v>
      </c>
      <c r="I903" t="s">
        <v>34</v>
      </c>
      <c r="J903">
        <v>102535</v>
      </c>
      <c r="K903" t="s">
        <v>42</v>
      </c>
      <c r="L903">
        <v>-5</v>
      </c>
      <c r="M903">
        <v>41</v>
      </c>
      <c r="N903" t="s">
        <v>42</v>
      </c>
      <c r="O903" t="s">
        <v>25</v>
      </c>
      <c r="P903">
        <v>2.62</v>
      </c>
      <c r="Q903" t="s">
        <v>24</v>
      </c>
      <c r="R903">
        <v>3.92</v>
      </c>
      <c r="S903" t="s">
        <v>47</v>
      </c>
      <c r="T903" t="str">
        <f t="shared" si="28"/>
        <v>High</v>
      </c>
      <c r="U903" t="str">
        <f t="shared" si="29"/>
        <v>Expert</v>
      </c>
    </row>
    <row r="904" spans="1:21" x14ac:dyDescent="0.35">
      <c r="A904" t="s">
        <v>977</v>
      </c>
      <c r="B904" t="s">
        <v>62</v>
      </c>
      <c r="C904" t="s">
        <v>58</v>
      </c>
      <c r="D904" t="s">
        <v>22</v>
      </c>
      <c r="E904" t="s">
        <v>41</v>
      </c>
      <c r="F904">
        <v>7</v>
      </c>
      <c r="G904">
        <v>0.15</v>
      </c>
      <c r="H904">
        <v>0.59</v>
      </c>
      <c r="I904" t="s">
        <v>24</v>
      </c>
      <c r="J904">
        <v>213458</v>
      </c>
      <c r="K904" t="s">
        <v>25</v>
      </c>
      <c r="L904">
        <v>-4</v>
      </c>
      <c r="M904">
        <v>44</v>
      </c>
      <c r="N904" t="s">
        <v>26</v>
      </c>
      <c r="O904" t="s">
        <v>36</v>
      </c>
      <c r="P904">
        <v>2.2799999999999998</v>
      </c>
      <c r="Q904" t="s">
        <v>24</v>
      </c>
      <c r="R904">
        <v>1.57</v>
      </c>
      <c r="S904" t="s">
        <v>43</v>
      </c>
      <c r="T904" t="str">
        <f t="shared" si="28"/>
        <v>High</v>
      </c>
      <c r="U904" t="str">
        <f t="shared" si="29"/>
        <v>Intermediate</v>
      </c>
    </row>
    <row r="905" spans="1:21" x14ac:dyDescent="0.35">
      <c r="A905" t="s">
        <v>978</v>
      </c>
      <c r="B905" t="s">
        <v>30</v>
      </c>
      <c r="C905" t="s">
        <v>31</v>
      </c>
      <c r="D905" t="s">
        <v>40</v>
      </c>
      <c r="E905" t="s">
        <v>33</v>
      </c>
      <c r="F905">
        <v>0</v>
      </c>
      <c r="G905">
        <v>0.42</v>
      </c>
      <c r="H905">
        <v>0.69</v>
      </c>
      <c r="I905" t="s">
        <v>24</v>
      </c>
      <c r="J905">
        <v>91291</v>
      </c>
      <c r="K905" t="s">
        <v>27</v>
      </c>
      <c r="L905">
        <v>-2</v>
      </c>
      <c r="M905">
        <v>35</v>
      </c>
      <c r="N905" t="s">
        <v>42</v>
      </c>
      <c r="O905" t="s">
        <v>36</v>
      </c>
      <c r="P905">
        <v>4.3499999999999996</v>
      </c>
      <c r="Q905" t="s">
        <v>34</v>
      </c>
      <c r="R905">
        <v>4.49</v>
      </c>
      <c r="S905" t="s">
        <v>47</v>
      </c>
      <c r="T905" t="str">
        <f t="shared" si="28"/>
        <v>High</v>
      </c>
      <c r="U905" t="str">
        <f t="shared" si="29"/>
        <v>Beginner</v>
      </c>
    </row>
    <row r="906" spans="1:21" x14ac:dyDescent="0.35">
      <c r="A906" t="s">
        <v>979</v>
      </c>
      <c r="B906" t="s">
        <v>51</v>
      </c>
      <c r="C906" t="s">
        <v>74</v>
      </c>
      <c r="D906" t="s">
        <v>22</v>
      </c>
      <c r="E906" t="s">
        <v>70</v>
      </c>
      <c r="F906">
        <v>14</v>
      </c>
      <c r="G906">
        <v>0.12</v>
      </c>
      <c r="H906">
        <v>0.28999999999999998</v>
      </c>
      <c r="I906" t="s">
        <v>60</v>
      </c>
      <c r="J906">
        <v>86255</v>
      </c>
      <c r="K906" t="s">
        <v>27</v>
      </c>
      <c r="L906">
        <v>11</v>
      </c>
      <c r="M906">
        <v>31</v>
      </c>
      <c r="N906" t="s">
        <v>42</v>
      </c>
      <c r="O906" t="s">
        <v>36</v>
      </c>
      <c r="P906">
        <v>2.13</v>
      </c>
      <c r="Q906" t="s">
        <v>34</v>
      </c>
      <c r="R906">
        <v>1.4</v>
      </c>
      <c r="S906" t="s">
        <v>43</v>
      </c>
      <c r="T906" t="str">
        <f t="shared" si="28"/>
        <v>High</v>
      </c>
      <c r="U906" t="str">
        <f t="shared" si="29"/>
        <v>Experienced</v>
      </c>
    </row>
    <row r="907" spans="1:21" x14ac:dyDescent="0.35">
      <c r="A907" t="s">
        <v>980</v>
      </c>
      <c r="B907" t="s">
        <v>147</v>
      </c>
      <c r="C907" t="s">
        <v>58</v>
      </c>
      <c r="D907" t="s">
        <v>59</v>
      </c>
      <c r="E907" t="s">
        <v>41</v>
      </c>
      <c r="F907">
        <v>1</v>
      </c>
      <c r="G907">
        <v>0.37</v>
      </c>
      <c r="H907">
        <v>0.79</v>
      </c>
      <c r="I907" t="s">
        <v>24</v>
      </c>
      <c r="J907">
        <v>206703</v>
      </c>
      <c r="K907" t="s">
        <v>42</v>
      </c>
      <c r="L907">
        <v>8</v>
      </c>
      <c r="M907">
        <v>60</v>
      </c>
      <c r="N907" t="s">
        <v>26</v>
      </c>
      <c r="O907" t="s">
        <v>27</v>
      </c>
      <c r="P907">
        <v>2.65</v>
      </c>
      <c r="Q907" t="s">
        <v>34</v>
      </c>
      <c r="R907">
        <v>4.09</v>
      </c>
      <c r="S907" t="s">
        <v>47</v>
      </c>
      <c r="T907" t="str">
        <f t="shared" si="28"/>
        <v>Very High</v>
      </c>
      <c r="U907" t="str">
        <f t="shared" si="29"/>
        <v>Beginner</v>
      </c>
    </row>
    <row r="908" spans="1:21" x14ac:dyDescent="0.35">
      <c r="A908" t="s">
        <v>981</v>
      </c>
      <c r="B908" t="s">
        <v>94</v>
      </c>
      <c r="C908" t="s">
        <v>58</v>
      </c>
      <c r="D908" t="s">
        <v>80</v>
      </c>
      <c r="E908" t="s">
        <v>70</v>
      </c>
      <c r="F908">
        <v>2</v>
      </c>
      <c r="G908">
        <v>0.16</v>
      </c>
      <c r="H908">
        <v>0.22</v>
      </c>
      <c r="I908" t="s">
        <v>24</v>
      </c>
      <c r="J908">
        <v>86233</v>
      </c>
      <c r="K908" t="s">
        <v>27</v>
      </c>
      <c r="L908">
        <v>9</v>
      </c>
      <c r="M908">
        <v>50</v>
      </c>
      <c r="N908" t="s">
        <v>26</v>
      </c>
      <c r="O908" t="s">
        <v>25</v>
      </c>
      <c r="P908">
        <v>4.87</v>
      </c>
      <c r="Q908" t="s">
        <v>34</v>
      </c>
      <c r="R908">
        <v>4.5199999999999996</v>
      </c>
      <c r="S908" t="s">
        <v>28</v>
      </c>
      <c r="T908" t="str">
        <f t="shared" si="28"/>
        <v>High</v>
      </c>
      <c r="U908" t="str">
        <f t="shared" si="29"/>
        <v>Beginner</v>
      </c>
    </row>
    <row r="909" spans="1:21" x14ac:dyDescent="0.35">
      <c r="A909" t="s">
        <v>982</v>
      </c>
      <c r="B909" t="s">
        <v>38</v>
      </c>
      <c r="C909" t="s">
        <v>74</v>
      </c>
      <c r="D909" t="s">
        <v>32</v>
      </c>
      <c r="E909" t="s">
        <v>41</v>
      </c>
      <c r="F909">
        <v>11</v>
      </c>
      <c r="G909">
        <v>0.73</v>
      </c>
      <c r="H909">
        <v>0.92</v>
      </c>
      <c r="I909" t="s">
        <v>34</v>
      </c>
      <c r="J909">
        <v>209837</v>
      </c>
      <c r="K909" t="s">
        <v>25</v>
      </c>
      <c r="L909">
        <v>-8</v>
      </c>
      <c r="M909">
        <v>31</v>
      </c>
      <c r="N909" t="s">
        <v>42</v>
      </c>
      <c r="O909" t="s">
        <v>36</v>
      </c>
      <c r="P909">
        <v>3.71</v>
      </c>
      <c r="Q909" t="s">
        <v>24</v>
      </c>
      <c r="R909">
        <v>3.58</v>
      </c>
      <c r="S909" t="s">
        <v>43</v>
      </c>
      <c r="T909" t="str">
        <f t="shared" si="28"/>
        <v>High</v>
      </c>
      <c r="U909" t="str">
        <f t="shared" si="29"/>
        <v>Experienced</v>
      </c>
    </row>
    <row r="910" spans="1:21" x14ac:dyDescent="0.35">
      <c r="A910" t="s">
        <v>983</v>
      </c>
      <c r="B910" t="s">
        <v>57</v>
      </c>
      <c r="C910" t="s">
        <v>107</v>
      </c>
      <c r="D910" t="s">
        <v>80</v>
      </c>
      <c r="E910" t="s">
        <v>70</v>
      </c>
      <c r="F910">
        <v>22</v>
      </c>
      <c r="G910">
        <v>0.45</v>
      </c>
      <c r="H910">
        <v>0.41</v>
      </c>
      <c r="I910" t="s">
        <v>60</v>
      </c>
      <c r="J910">
        <v>212308</v>
      </c>
      <c r="K910" t="s">
        <v>25</v>
      </c>
      <c r="L910">
        <v>35</v>
      </c>
      <c r="M910">
        <v>58</v>
      </c>
      <c r="N910" t="s">
        <v>35</v>
      </c>
      <c r="O910" t="s">
        <v>27</v>
      </c>
      <c r="P910">
        <v>2.58</v>
      </c>
      <c r="Q910" t="s">
        <v>34</v>
      </c>
      <c r="R910">
        <v>2.23</v>
      </c>
      <c r="S910" t="s">
        <v>28</v>
      </c>
      <c r="T910" t="str">
        <f t="shared" si="28"/>
        <v>Moderate</v>
      </c>
      <c r="U910" t="str">
        <f t="shared" si="29"/>
        <v>Expert</v>
      </c>
    </row>
    <row r="911" spans="1:21" x14ac:dyDescent="0.35">
      <c r="A911" t="s">
        <v>984</v>
      </c>
      <c r="B911" t="s">
        <v>30</v>
      </c>
      <c r="C911" t="s">
        <v>74</v>
      </c>
      <c r="D911" t="s">
        <v>75</v>
      </c>
      <c r="E911" t="s">
        <v>33</v>
      </c>
      <c r="F911">
        <v>5</v>
      </c>
      <c r="G911">
        <v>0.46</v>
      </c>
      <c r="H911">
        <v>0.8</v>
      </c>
      <c r="I911" t="s">
        <v>60</v>
      </c>
      <c r="J911">
        <v>71202</v>
      </c>
      <c r="K911" t="s">
        <v>42</v>
      </c>
      <c r="L911">
        <v>43</v>
      </c>
      <c r="M911">
        <v>30</v>
      </c>
      <c r="N911" t="s">
        <v>35</v>
      </c>
      <c r="O911" t="s">
        <v>36</v>
      </c>
      <c r="P911">
        <v>2.64</v>
      </c>
      <c r="Q911" t="s">
        <v>34</v>
      </c>
      <c r="R911">
        <v>2.25</v>
      </c>
      <c r="S911" t="s">
        <v>47</v>
      </c>
      <c r="T911" t="str">
        <f t="shared" si="28"/>
        <v>High</v>
      </c>
      <c r="U911" t="str">
        <f t="shared" si="29"/>
        <v>Intermediate</v>
      </c>
    </row>
    <row r="912" spans="1:21" x14ac:dyDescent="0.35">
      <c r="A912" t="s">
        <v>985</v>
      </c>
      <c r="B912" t="s">
        <v>38</v>
      </c>
      <c r="C912" t="s">
        <v>82</v>
      </c>
      <c r="D912" t="s">
        <v>59</v>
      </c>
      <c r="E912" t="s">
        <v>33</v>
      </c>
      <c r="F912">
        <v>9</v>
      </c>
      <c r="G912">
        <v>0.22</v>
      </c>
      <c r="H912">
        <v>0.25</v>
      </c>
      <c r="I912" t="s">
        <v>34</v>
      </c>
      <c r="J912">
        <v>78960</v>
      </c>
      <c r="K912" t="s">
        <v>25</v>
      </c>
      <c r="L912">
        <v>-6</v>
      </c>
      <c r="M912">
        <v>30</v>
      </c>
      <c r="N912" t="s">
        <v>26</v>
      </c>
      <c r="O912" t="s">
        <v>25</v>
      </c>
      <c r="P912">
        <v>3.71</v>
      </c>
      <c r="Q912" t="s">
        <v>34</v>
      </c>
      <c r="R912">
        <v>4.3600000000000003</v>
      </c>
      <c r="S912" t="s">
        <v>47</v>
      </c>
      <c r="T912" t="str">
        <f t="shared" si="28"/>
        <v>High</v>
      </c>
      <c r="U912" t="str">
        <f t="shared" si="29"/>
        <v>Experienced</v>
      </c>
    </row>
    <row r="913" spans="1:21" x14ac:dyDescent="0.35">
      <c r="A913" t="s">
        <v>986</v>
      </c>
      <c r="B913" t="s">
        <v>45</v>
      </c>
      <c r="C913" t="s">
        <v>52</v>
      </c>
      <c r="D913" t="s">
        <v>69</v>
      </c>
      <c r="E913" t="s">
        <v>23</v>
      </c>
      <c r="F913">
        <v>7</v>
      </c>
      <c r="G913">
        <v>0.27</v>
      </c>
      <c r="H913">
        <v>0.32</v>
      </c>
      <c r="I913" t="s">
        <v>24</v>
      </c>
      <c r="J913">
        <v>60578</v>
      </c>
      <c r="K913" t="s">
        <v>27</v>
      </c>
      <c r="L913">
        <v>-10</v>
      </c>
      <c r="M913">
        <v>39</v>
      </c>
      <c r="N913" t="s">
        <v>26</v>
      </c>
      <c r="O913" t="s">
        <v>36</v>
      </c>
      <c r="P913">
        <v>4.87</v>
      </c>
      <c r="Q913" t="s">
        <v>34</v>
      </c>
      <c r="R913">
        <v>2.34</v>
      </c>
      <c r="S913" t="s">
        <v>28</v>
      </c>
      <c r="T913" t="str">
        <f t="shared" si="28"/>
        <v>High</v>
      </c>
      <c r="U913" t="str">
        <f t="shared" si="29"/>
        <v>Intermediate</v>
      </c>
    </row>
    <row r="914" spans="1:21" x14ac:dyDescent="0.35">
      <c r="A914" t="s">
        <v>987</v>
      </c>
      <c r="B914" t="s">
        <v>96</v>
      </c>
      <c r="C914" t="s">
        <v>58</v>
      </c>
      <c r="D914" t="s">
        <v>59</v>
      </c>
      <c r="E914" t="s">
        <v>33</v>
      </c>
      <c r="F914">
        <v>13</v>
      </c>
      <c r="G914">
        <v>0.57999999999999996</v>
      </c>
      <c r="H914">
        <v>0.53</v>
      </c>
      <c r="I914" t="s">
        <v>60</v>
      </c>
      <c r="J914">
        <v>73905</v>
      </c>
      <c r="K914" t="s">
        <v>25</v>
      </c>
      <c r="L914">
        <v>41</v>
      </c>
      <c r="M914">
        <v>30</v>
      </c>
      <c r="N914" t="s">
        <v>26</v>
      </c>
      <c r="O914" t="s">
        <v>25</v>
      </c>
      <c r="P914">
        <v>3.37</v>
      </c>
      <c r="Q914" t="s">
        <v>34</v>
      </c>
      <c r="R914">
        <v>3.08</v>
      </c>
      <c r="S914" t="s">
        <v>47</v>
      </c>
      <c r="T914" t="str">
        <f t="shared" si="28"/>
        <v>Moderate</v>
      </c>
      <c r="U914" t="str">
        <f t="shared" si="29"/>
        <v>Experienced</v>
      </c>
    </row>
    <row r="915" spans="1:21" x14ac:dyDescent="0.35">
      <c r="A915" t="s">
        <v>988</v>
      </c>
      <c r="B915" t="s">
        <v>45</v>
      </c>
      <c r="C915" t="s">
        <v>74</v>
      </c>
      <c r="D915" t="s">
        <v>32</v>
      </c>
      <c r="E915" t="s">
        <v>33</v>
      </c>
      <c r="F915">
        <v>22</v>
      </c>
      <c r="G915">
        <v>0.16</v>
      </c>
      <c r="H915">
        <v>0.92</v>
      </c>
      <c r="I915" t="s">
        <v>60</v>
      </c>
      <c r="J915">
        <v>60024</v>
      </c>
      <c r="K915" t="s">
        <v>25</v>
      </c>
      <c r="L915">
        <v>1</v>
      </c>
      <c r="M915">
        <v>36</v>
      </c>
      <c r="N915" t="s">
        <v>42</v>
      </c>
      <c r="O915" t="s">
        <v>27</v>
      </c>
      <c r="P915">
        <v>4.87</v>
      </c>
      <c r="Q915" t="s">
        <v>24</v>
      </c>
      <c r="R915">
        <v>3.59</v>
      </c>
      <c r="S915" t="s">
        <v>28</v>
      </c>
      <c r="T915" t="str">
        <f t="shared" si="28"/>
        <v>Very High</v>
      </c>
      <c r="U915" t="str">
        <f t="shared" si="29"/>
        <v>Expert</v>
      </c>
    </row>
    <row r="916" spans="1:21" x14ac:dyDescent="0.35">
      <c r="A916" t="s">
        <v>989</v>
      </c>
      <c r="B916" t="s">
        <v>147</v>
      </c>
      <c r="C916" t="s">
        <v>46</v>
      </c>
      <c r="D916" t="s">
        <v>40</v>
      </c>
      <c r="E916" t="s">
        <v>23</v>
      </c>
      <c r="F916">
        <v>3</v>
      </c>
      <c r="G916">
        <v>0.56999999999999995</v>
      </c>
      <c r="H916">
        <v>0.59</v>
      </c>
      <c r="I916" t="s">
        <v>24</v>
      </c>
      <c r="J916">
        <v>31120</v>
      </c>
      <c r="K916" t="s">
        <v>27</v>
      </c>
      <c r="L916">
        <v>17</v>
      </c>
      <c r="M916">
        <v>36</v>
      </c>
      <c r="N916" t="s">
        <v>26</v>
      </c>
      <c r="O916" t="s">
        <v>36</v>
      </c>
      <c r="P916">
        <v>3</v>
      </c>
      <c r="Q916" t="s">
        <v>24</v>
      </c>
      <c r="R916">
        <v>3.92</v>
      </c>
      <c r="S916" t="s">
        <v>43</v>
      </c>
      <c r="T916" t="str">
        <f t="shared" si="28"/>
        <v>High</v>
      </c>
      <c r="U916" t="str">
        <f t="shared" si="29"/>
        <v>Intermediate</v>
      </c>
    </row>
    <row r="917" spans="1:21" x14ac:dyDescent="0.35">
      <c r="A917" t="s">
        <v>990</v>
      </c>
      <c r="B917" t="s">
        <v>57</v>
      </c>
      <c r="C917" t="s">
        <v>107</v>
      </c>
      <c r="D917" t="s">
        <v>80</v>
      </c>
      <c r="E917" t="s">
        <v>33</v>
      </c>
      <c r="F917">
        <v>2</v>
      </c>
      <c r="G917">
        <v>0.09</v>
      </c>
      <c r="H917">
        <v>0.24</v>
      </c>
      <c r="I917" t="s">
        <v>60</v>
      </c>
      <c r="J917">
        <v>119042</v>
      </c>
      <c r="K917" t="s">
        <v>42</v>
      </c>
      <c r="L917">
        <v>28</v>
      </c>
      <c r="M917">
        <v>60</v>
      </c>
      <c r="N917" t="s">
        <v>35</v>
      </c>
      <c r="O917" t="s">
        <v>27</v>
      </c>
      <c r="P917">
        <v>4.7300000000000004</v>
      </c>
      <c r="Q917" t="s">
        <v>34</v>
      </c>
      <c r="R917">
        <v>4.5999999999999996</v>
      </c>
      <c r="S917" t="s">
        <v>28</v>
      </c>
      <c r="T917" t="str">
        <f t="shared" si="28"/>
        <v>High</v>
      </c>
      <c r="U917" t="str">
        <f t="shared" si="29"/>
        <v>Beginner</v>
      </c>
    </row>
    <row r="918" spans="1:21" x14ac:dyDescent="0.35">
      <c r="A918" t="s">
        <v>991</v>
      </c>
      <c r="B918" t="s">
        <v>89</v>
      </c>
      <c r="C918" t="s">
        <v>82</v>
      </c>
      <c r="D918" t="s">
        <v>75</v>
      </c>
      <c r="E918" t="s">
        <v>41</v>
      </c>
      <c r="F918">
        <v>5</v>
      </c>
      <c r="G918">
        <v>0.95</v>
      </c>
      <c r="H918">
        <v>0.31</v>
      </c>
      <c r="I918" t="s">
        <v>60</v>
      </c>
      <c r="J918">
        <v>219368</v>
      </c>
      <c r="K918" t="s">
        <v>25</v>
      </c>
      <c r="L918">
        <v>29</v>
      </c>
      <c r="M918">
        <v>39</v>
      </c>
      <c r="N918" t="s">
        <v>26</v>
      </c>
      <c r="O918" t="s">
        <v>25</v>
      </c>
      <c r="P918">
        <v>3.88</v>
      </c>
      <c r="Q918" t="s">
        <v>24</v>
      </c>
      <c r="R918">
        <v>1.54</v>
      </c>
      <c r="S918" t="s">
        <v>47</v>
      </c>
      <c r="T918" t="str">
        <f t="shared" si="28"/>
        <v>Very Low</v>
      </c>
      <c r="U918" t="str">
        <f t="shared" si="29"/>
        <v>Intermediate</v>
      </c>
    </row>
    <row r="919" spans="1:21" x14ac:dyDescent="0.35">
      <c r="A919" t="s">
        <v>992</v>
      </c>
      <c r="B919" t="s">
        <v>102</v>
      </c>
      <c r="C919" t="s">
        <v>82</v>
      </c>
      <c r="D919" t="s">
        <v>80</v>
      </c>
      <c r="E919" t="s">
        <v>41</v>
      </c>
      <c r="F919">
        <v>2</v>
      </c>
      <c r="G919">
        <v>0.3</v>
      </c>
      <c r="H919">
        <v>0.98</v>
      </c>
      <c r="I919" t="s">
        <v>34</v>
      </c>
      <c r="J919">
        <v>201660</v>
      </c>
      <c r="K919" t="s">
        <v>42</v>
      </c>
      <c r="L919">
        <v>26</v>
      </c>
      <c r="M919">
        <v>49</v>
      </c>
      <c r="N919" t="s">
        <v>26</v>
      </c>
      <c r="O919" t="s">
        <v>25</v>
      </c>
      <c r="P919">
        <v>4.0999999999999996</v>
      </c>
      <c r="Q919" t="s">
        <v>24</v>
      </c>
      <c r="R919">
        <v>3.94</v>
      </c>
      <c r="S919" t="s">
        <v>28</v>
      </c>
      <c r="T919" t="str">
        <f t="shared" si="28"/>
        <v>Very High</v>
      </c>
      <c r="U919" t="str">
        <f t="shared" si="29"/>
        <v>Beginner</v>
      </c>
    </row>
    <row r="920" spans="1:21" x14ac:dyDescent="0.35">
      <c r="A920" t="s">
        <v>993</v>
      </c>
      <c r="B920" t="s">
        <v>106</v>
      </c>
      <c r="C920" t="s">
        <v>39</v>
      </c>
      <c r="D920" t="s">
        <v>32</v>
      </c>
      <c r="E920" t="s">
        <v>33</v>
      </c>
      <c r="F920">
        <v>22</v>
      </c>
      <c r="G920">
        <v>0.93</v>
      </c>
      <c r="H920">
        <v>0.42</v>
      </c>
      <c r="I920" t="s">
        <v>34</v>
      </c>
      <c r="J920">
        <v>217274</v>
      </c>
      <c r="K920" t="s">
        <v>42</v>
      </c>
      <c r="L920">
        <v>12</v>
      </c>
      <c r="M920">
        <v>57</v>
      </c>
      <c r="N920" t="s">
        <v>35</v>
      </c>
      <c r="O920" t="s">
        <v>27</v>
      </c>
      <c r="P920">
        <v>4.63</v>
      </c>
      <c r="Q920" t="s">
        <v>24</v>
      </c>
      <c r="R920">
        <v>2.4900000000000002</v>
      </c>
      <c r="S920" t="s">
        <v>47</v>
      </c>
      <c r="T920" t="str">
        <f t="shared" si="28"/>
        <v>Very Low</v>
      </c>
      <c r="U920" t="str">
        <f t="shared" si="29"/>
        <v>Expert</v>
      </c>
    </row>
    <row r="921" spans="1:21" x14ac:dyDescent="0.35">
      <c r="A921" t="s">
        <v>994</v>
      </c>
      <c r="B921" t="s">
        <v>54</v>
      </c>
      <c r="C921" t="s">
        <v>52</v>
      </c>
      <c r="D921" t="s">
        <v>59</v>
      </c>
      <c r="E921" t="s">
        <v>41</v>
      </c>
      <c r="F921">
        <v>21</v>
      </c>
      <c r="G921">
        <v>0.43</v>
      </c>
      <c r="H921">
        <v>0.9</v>
      </c>
      <c r="I921" t="s">
        <v>24</v>
      </c>
      <c r="J921">
        <v>136734</v>
      </c>
      <c r="K921" t="s">
        <v>42</v>
      </c>
      <c r="L921">
        <v>35</v>
      </c>
      <c r="M921">
        <v>55</v>
      </c>
      <c r="N921" t="s">
        <v>26</v>
      </c>
      <c r="O921" t="s">
        <v>25</v>
      </c>
      <c r="P921">
        <v>4.8</v>
      </c>
      <c r="Q921" t="s">
        <v>34</v>
      </c>
      <c r="R921">
        <v>2.83</v>
      </c>
      <c r="S921" t="s">
        <v>43</v>
      </c>
      <c r="T921" t="str">
        <f t="shared" si="28"/>
        <v>High</v>
      </c>
      <c r="U921" t="str">
        <f t="shared" si="29"/>
        <v>Expert</v>
      </c>
    </row>
    <row r="922" spans="1:21" x14ac:dyDescent="0.35">
      <c r="A922" t="s">
        <v>995</v>
      </c>
      <c r="B922" t="s">
        <v>45</v>
      </c>
      <c r="C922" t="s">
        <v>52</v>
      </c>
      <c r="D922" t="s">
        <v>40</v>
      </c>
      <c r="E922" t="s">
        <v>23</v>
      </c>
      <c r="F922">
        <v>9</v>
      </c>
      <c r="G922">
        <v>7.0000000000000007E-2</v>
      </c>
      <c r="H922">
        <v>0.33</v>
      </c>
      <c r="I922" t="s">
        <v>34</v>
      </c>
      <c r="J922">
        <v>186818</v>
      </c>
      <c r="K922" t="s">
        <v>27</v>
      </c>
      <c r="L922">
        <v>-8</v>
      </c>
      <c r="M922">
        <v>57</v>
      </c>
      <c r="N922" t="s">
        <v>35</v>
      </c>
      <c r="O922" t="s">
        <v>27</v>
      </c>
      <c r="P922">
        <v>4.25</v>
      </c>
      <c r="Q922" t="s">
        <v>24</v>
      </c>
      <c r="R922">
        <v>1.48</v>
      </c>
      <c r="S922" t="s">
        <v>47</v>
      </c>
      <c r="T922" t="str">
        <f t="shared" si="28"/>
        <v>High</v>
      </c>
      <c r="U922" t="str">
        <f t="shared" si="29"/>
        <v>Experienced</v>
      </c>
    </row>
    <row r="923" spans="1:21" x14ac:dyDescent="0.35">
      <c r="A923" t="s">
        <v>996</v>
      </c>
      <c r="B923" t="s">
        <v>102</v>
      </c>
      <c r="C923" t="s">
        <v>21</v>
      </c>
      <c r="D923" t="s">
        <v>69</v>
      </c>
      <c r="E923" t="s">
        <v>23</v>
      </c>
      <c r="F923">
        <v>0</v>
      </c>
      <c r="G923">
        <v>0.4</v>
      </c>
      <c r="H923">
        <v>0.32</v>
      </c>
      <c r="I923" t="s">
        <v>60</v>
      </c>
      <c r="J923">
        <v>51275</v>
      </c>
      <c r="K923" t="s">
        <v>25</v>
      </c>
      <c r="L923">
        <v>13</v>
      </c>
      <c r="M923">
        <v>42</v>
      </c>
      <c r="N923" t="s">
        <v>26</v>
      </c>
      <c r="O923" t="s">
        <v>36</v>
      </c>
      <c r="P923">
        <v>4.91</v>
      </c>
      <c r="Q923" t="s">
        <v>34</v>
      </c>
      <c r="R923">
        <v>4.37</v>
      </c>
      <c r="S923" t="s">
        <v>43</v>
      </c>
      <c r="T923" t="str">
        <f t="shared" si="28"/>
        <v>Moderate</v>
      </c>
      <c r="U923" t="str">
        <f t="shared" si="29"/>
        <v>Beginner</v>
      </c>
    </row>
    <row r="924" spans="1:21" x14ac:dyDescent="0.35">
      <c r="A924" t="s">
        <v>997</v>
      </c>
      <c r="B924" t="s">
        <v>147</v>
      </c>
      <c r="C924" t="s">
        <v>74</v>
      </c>
      <c r="D924" t="s">
        <v>75</v>
      </c>
      <c r="E924" t="s">
        <v>70</v>
      </c>
      <c r="F924">
        <v>18</v>
      </c>
      <c r="G924">
        <v>0.13</v>
      </c>
      <c r="H924">
        <v>0.6</v>
      </c>
      <c r="I924" t="s">
        <v>34</v>
      </c>
      <c r="J924">
        <v>133210</v>
      </c>
      <c r="K924" t="s">
        <v>42</v>
      </c>
      <c r="L924">
        <v>9</v>
      </c>
      <c r="M924">
        <v>50</v>
      </c>
      <c r="N924" t="s">
        <v>35</v>
      </c>
      <c r="O924" t="s">
        <v>36</v>
      </c>
      <c r="P924">
        <v>4.9000000000000004</v>
      </c>
      <c r="Q924" t="s">
        <v>34</v>
      </c>
      <c r="R924">
        <v>4.92</v>
      </c>
      <c r="S924" t="s">
        <v>28</v>
      </c>
      <c r="T924" t="str">
        <f t="shared" si="28"/>
        <v>High</v>
      </c>
      <c r="U924" t="str">
        <f t="shared" si="29"/>
        <v>Expert</v>
      </c>
    </row>
    <row r="925" spans="1:21" x14ac:dyDescent="0.35">
      <c r="A925" t="s">
        <v>998</v>
      </c>
      <c r="B925" t="s">
        <v>91</v>
      </c>
      <c r="C925" t="s">
        <v>39</v>
      </c>
      <c r="D925" t="s">
        <v>32</v>
      </c>
      <c r="E925" t="s">
        <v>33</v>
      </c>
      <c r="F925">
        <v>12</v>
      </c>
      <c r="G925">
        <v>0.32</v>
      </c>
      <c r="H925">
        <v>0.68</v>
      </c>
      <c r="I925" t="s">
        <v>24</v>
      </c>
      <c r="J925">
        <v>73850</v>
      </c>
      <c r="K925" t="s">
        <v>42</v>
      </c>
      <c r="L925">
        <v>43</v>
      </c>
      <c r="M925">
        <v>33</v>
      </c>
      <c r="N925" t="s">
        <v>35</v>
      </c>
      <c r="O925" t="s">
        <v>36</v>
      </c>
      <c r="P925">
        <v>4.91</v>
      </c>
      <c r="Q925" t="s">
        <v>34</v>
      </c>
      <c r="R925">
        <v>1.87</v>
      </c>
      <c r="S925" t="s">
        <v>43</v>
      </c>
      <c r="T925" t="str">
        <f t="shared" si="28"/>
        <v>High</v>
      </c>
      <c r="U925" t="str">
        <f t="shared" si="29"/>
        <v>Experienced</v>
      </c>
    </row>
    <row r="926" spans="1:21" x14ac:dyDescent="0.35">
      <c r="A926" t="s">
        <v>999</v>
      </c>
      <c r="B926" t="s">
        <v>73</v>
      </c>
      <c r="C926" t="s">
        <v>55</v>
      </c>
      <c r="D926" t="s">
        <v>49</v>
      </c>
      <c r="E926" t="s">
        <v>41</v>
      </c>
      <c r="F926">
        <v>23</v>
      </c>
      <c r="G926">
        <v>0.19</v>
      </c>
      <c r="H926">
        <v>0.74</v>
      </c>
      <c r="I926" t="s">
        <v>60</v>
      </c>
      <c r="J926">
        <v>164542</v>
      </c>
      <c r="K926" t="s">
        <v>42</v>
      </c>
      <c r="L926">
        <v>-1</v>
      </c>
      <c r="M926">
        <v>50</v>
      </c>
      <c r="N926" t="s">
        <v>35</v>
      </c>
      <c r="O926" t="s">
        <v>27</v>
      </c>
      <c r="P926">
        <v>2.93</v>
      </c>
      <c r="Q926" t="s">
        <v>24</v>
      </c>
      <c r="R926">
        <v>3.63</v>
      </c>
      <c r="S926" t="s">
        <v>28</v>
      </c>
      <c r="T926" t="str">
        <f t="shared" si="28"/>
        <v>Very High</v>
      </c>
      <c r="U926" t="str">
        <f t="shared" si="29"/>
        <v>Expert</v>
      </c>
    </row>
    <row r="927" spans="1:21" x14ac:dyDescent="0.35">
      <c r="A927" t="s">
        <v>1000</v>
      </c>
      <c r="B927" t="s">
        <v>91</v>
      </c>
      <c r="C927" t="s">
        <v>82</v>
      </c>
      <c r="D927" t="s">
        <v>63</v>
      </c>
      <c r="E927" t="s">
        <v>41</v>
      </c>
      <c r="F927">
        <v>11</v>
      </c>
      <c r="G927">
        <v>0.27</v>
      </c>
      <c r="H927">
        <v>0.31</v>
      </c>
      <c r="I927" t="s">
        <v>60</v>
      </c>
      <c r="J927">
        <v>103854</v>
      </c>
      <c r="K927" t="s">
        <v>25</v>
      </c>
      <c r="L927">
        <v>4</v>
      </c>
      <c r="M927">
        <v>37</v>
      </c>
      <c r="N927" t="s">
        <v>42</v>
      </c>
      <c r="O927" t="s">
        <v>25</v>
      </c>
      <c r="P927">
        <v>4.8499999999999996</v>
      </c>
      <c r="Q927" t="s">
        <v>24</v>
      </c>
      <c r="R927">
        <v>4.24</v>
      </c>
      <c r="S927" t="s">
        <v>47</v>
      </c>
      <c r="T927" t="str">
        <f t="shared" si="28"/>
        <v>High</v>
      </c>
      <c r="U927" t="str">
        <f t="shared" si="29"/>
        <v>Experienced</v>
      </c>
    </row>
    <row r="928" spans="1:21" x14ac:dyDescent="0.35">
      <c r="A928" t="s">
        <v>1001</v>
      </c>
      <c r="B928" t="s">
        <v>54</v>
      </c>
      <c r="C928" t="s">
        <v>74</v>
      </c>
      <c r="D928" t="s">
        <v>49</v>
      </c>
      <c r="E928" t="s">
        <v>23</v>
      </c>
      <c r="F928">
        <v>22</v>
      </c>
      <c r="G928">
        <v>0.42</v>
      </c>
      <c r="H928">
        <v>0.5</v>
      </c>
      <c r="I928" t="s">
        <v>60</v>
      </c>
      <c r="J928">
        <v>218420</v>
      </c>
      <c r="K928" t="s">
        <v>27</v>
      </c>
      <c r="L928">
        <v>7</v>
      </c>
      <c r="M928">
        <v>45</v>
      </c>
      <c r="N928" t="s">
        <v>42</v>
      </c>
      <c r="O928" t="s">
        <v>36</v>
      </c>
      <c r="P928">
        <v>3.2</v>
      </c>
      <c r="Q928" t="s">
        <v>34</v>
      </c>
      <c r="R928">
        <v>3.89</v>
      </c>
      <c r="S928" t="s">
        <v>28</v>
      </c>
      <c r="T928" t="str">
        <f t="shared" si="28"/>
        <v>High</v>
      </c>
      <c r="U928" t="str">
        <f t="shared" si="29"/>
        <v>Expert</v>
      </c>
    </row>
    <row r="929" spans="1:21" x14ac:dyDescent="0.35">
      <c r="A929" t="s">
        <v>1002</v>
      </c>
      <c r="B929" t="s">
        <v>96</v>
      </c>
      <c r="C929" t="s">
        <v>52</v>
      </c>
      <c r="D929" t="s">
        <v>22</v>
      </c>
      <c r="E929" t="s">
        <v>23</v>
      </c>
      <c r="F929">
        <v>25</v>
      </c>
      <c r="G929">
        <v>0.56000000000000005</v>
      </c>
      <c r="H929">
        <v>0.98</v>
      </c>
      <c r="I929" t="s">
        <v>24</v>
      </c>
      <c r="J929">
        <v>101002</v>
      </c>
      <c r="K929" t="s">
        <v>42</v>
      </c>
      <c r="L929">
        <v>3</v>
      </c>
      <c r="M929">
        <v>58</v>
      </c>
      <c r="N929" t="s">
        <v>42</v>
      </c>
      <c r="O929" t="s">
        <v>25</v>
      </c>
      <c r="P929">
        <v>2.2400000000000002</v>
      </c>
      <c r="Q929" t="s">
        <v>34</v>
      </c>
      <c r="R929">
        <v>2.14</v>
      </c>
      <c r="S929" t="s">
        <v>47</v>
      </c>
      <c r="T929" t="str">
        <f t="shared" si="28"/>
        <v>High</v>
      </c>
      <c r="U929" t="str">
        <f t="shared" si="29"/>
        <v>Expert</v>
      </c>
    </row>
    <row r="930" spans="1:21" x14ac:dyDescent="0.35">
      <c r="A930" t="s">
        <v>1003</v>
      </c>
      <c r="B930" t="s">
        <v>77</v>
      </c>
      <c r="C930" t="s">
        <v>82</v>
      </c>
      <c r="D930" t="s">
        <v>63</v>
      </c>
      <c r="E930" t="s">
        <v>70</v>
      </c>
      <c r="F930">
        <v>18</v>
      </c>
      <c r="G930">
        <v>0.78</v>
      </c>
      <c r="H930">
        <v>0.35</v>
      </c>
      <c r="I930" t="s">
        <v>34</v>
      </c>
      <c r="J930">
        <v>134621</v>
      </c>
      <c r="K930" t="s">
        <v>42</v>
      </c>
      <c r="L930">
        <v>9</v>
      </c>
      <c r="M930">
        <v>57</v>
      </c>
      <c r="N930" t="s">
        <v>42</v>
      </c>
      <c r="O930" t="s">
        <v>25</v>
      </c>
      <c r="P930">
        <v>2.34</v>
      </c>
      <c r="Q930" t="s">
        <v>24</v>
      </c>
      <c r="R930">
        <v>1.05</v>
      </c>
      <c r="S930" t="s">
        <v>43</v>
      </c>
      <c r="T930" t="str">
        <f t="shared" si="28"/>
        <v>Very Low</v>
      </c>
      <c r="U930" t="str">
        <f t="shared" si="29"/>
        <v>Expert</v>
      </c>
    </row>
    <row r="931" spans="1:21" x14ac:dyDescent="0.35">
      <c r="A931" t="s">
        <v>1004</v>
      </c>
      <c r="B931" t="s">
        <v>73</v>
      </c>
      <c r="C931" t="s">
        <v>31</v>
      </c>
      <c r="D931" t="s">
        <v>80</v>
      </c>
      <c r="E931" t="s">
        <v>33</v>
      </c>
      <c r="F931">
        <v>7</v>
      </c>
      <c r="G931">
        <v>0.21</v>
      </c>
      <c r="H931">
        <v>0.3</v>
      </c>
      <c r="I931" t="s">
        <v>24</v>
      </c>
      <c r="J931">
        <v>104950</v>
      </c>
      <c r="K931" t="s">
        <v>42</v>
      </c>
      <c r="L931">
        <v>42</v>
      </c>
      <c r="M931">
        <v>33</v>
      </c>
      <c r="N931" t="s">
        <v>42</v>
      </c>
      <c r="O931" t="s">
        <v>36</v>
      </c>
      <c r="P931">
        <v>4.66</v>
      </c>
      <c r="Q931" t="s">
        <v>24</v>
      </c>
      <c r="R931">
        <v>3.87</v>
      </c>
      <c r="S931" t="s">
        <v>47</v>
      </c>
      <c r="T931" t="str">
        <f t="shared" si="28"/>
        <v>High</v>
      </c>
      <c r="U931" t="str">
        <f t="shared" si="29"/>
        <v>Intermediate</v>
      </c>
    </row>
    <row r="932" spans="1:21" x14ac:dyDescent="0.35">
      <c r="A932" t="s">
        <v>1005</v>
      </c>
      <c r="B932" t="s">
        <v>68</v>
      </c>
      <c r="C932" t="s">
        <v>107</v>
      </c>
      <c r="D932" t="s">
        <v>80</v>
      </c>
      <c r="E932" t="s">
        <v>70</v>
      </c>
      <c r="F932">
        <v>5</v>
      </c>
      <c r="G932">
        <v>0.86</v>
      </c>
      <c r="H932">
        <v>0.22</v>
      </c>
      <c r="I932" t="s">
        <v>24</v>
      </c>
      <c r="J932">
        <v>199244</v>
      </c>
      <c r="K932" t="s">
        <v>25</v>
      </c>
      <c r="L932">
        <v>-5</v>
      </c>
      <c r="M932">
        <v>41</v>
      </c>
      <c r="N932" t="s">
        <v>26</v>
      </c>
      <c r="O932" t="s">
        <v>27</v>
      </c>
      <c r="P932">
        <v>3.34</v>
      </c>
      <c r="Q932" t="s">
        <v>34</v>
      </c>
      <c r="R932">
        <v>2.27</v>
      </c>
      <c r="S932" t="s">
        <v>47</v>
      </c>
      <c r="T932" t="str">
        <f t="shared" si="28"/>
        <v>Very Low</v>
      </c>
      <c r="U932" t="str">
        <f t="shared" si="29"/>
        <v>Intermediate</v>
      </c>
    </row>
    <row r="933" spans="1:21" x14ac:dyDescent="0.35">
      <c r="A933" t="s">
        <v>1006</v>
      </c>
      <c r="B933" t="s">
        <v>89</v>
      </c>
      <c r="C933" t="s">
        <v>58</v>
      </c>
      <c r="D933" t="s">
        <v>40</v>
      </c>
      <c r="E933" t="s">
        <v>23</v>
      </c>
      <c r="F933">
        <v>6</v>
      </c>
      <c r="G933">
        <v>0.77</v>
      </c>
      <c r="H933">
        <v>0.41</v>
      </c>
      <c r="I933" t="s">
        <v>60</v>
      </c>
      <c r="J933">
        <v>208330</v>
      </c>
      <c r="K933" t="s">
        <v>25</v>
      </c>
      <c r="L933">
        <v>45</v>
      </c>
      <c r="M933">
        <v>50</v>
      </c>
      <c r="N933" t="s">
        <v>26</v>
      </c>
      <c r="O933" t="s">
        <v>25</v>
      </c>
      <c r="P933">
        <v>4.07</v>
      </c>
      <c r="Q933" t="s">
        <v>34</v>
      </c>
      <c r="R933">
        <v>4.1900000000000004</v>
      </c>
      <c r="S933" t="s">
        <v>28</v>
      </c>
      <c r="T933" t="str">
        <f t="shared" si="28"/>
        <v>Very Low</v>
      </c>
      <c r="U933" t="str">
        <f t="shared" si="29"/>
        <v>Intermediate</v>
      </c>
    </row>
    <row r="934" spans="1:21" x14ac:dyDescent="0.35">
      <c r="A934" t="s">
        <v>1007</v>
      </c>
      <c r="B934" t="s">
        <v>30</v>
      </c>
      <c r="C934" t="s">
        <v>52</v>
      </c>
      <c r="D934" t="s">
        <v>59</v>
      </c>
      <c r="E934" t="s">
        <v>33</v>
      </c>
      <c r="F934">
        <v>14</v>
      </c>
      <c r="G934">
        <v>0.17</v>
      </c>
      <c r="H934">
        <v>0.54</v>
      </c>
      <c r="I934" t="s">
        <v>24</v>
      </c>
      <c r="J934">
        <v>208773</v>
      </c>
      <c r="K934" t="s">
        <v>25</v>
      </c>
      <c r="L934">
        <v>7</v>
      </c>
      <c r="M934">
        <v>59</v>
      </c>
      <c r="N934" t="s">
        <v>35</v>
      </c>
      <c r="O934" t="s">
        <v>27</v>
      </c>
      <c r="P934">
        <v>4.4800000000000004</v>
      </c>
      <c r="Q934" t="s">
        <v>34</v>
      </c>
      <c r="R934">
        <v>4.26</v>
      </c>
      <c r="S934" t="s">
        <v>43</v>
      </c>
      <c r="T934" t="str">
        <f t="shared" si="28"/>
        <v>High</v>
      </c>
      <c r="U934" t="str">
        <f t="shared" si="29"/>
        <v>Experienced</v>
      </c>
    </row>
    <row r="935" spans="1:21" x14ac:dyDescent="0.35">
      <c r="A935" t="s">
        <v>1008</v>
      </c>
      <c r="B935" t="s">
        <v>73</v>
      </c>
      <c r="C935" t="s">
        <v>58</v>
      </c>
      <c r="D935" t="s">
        <v>32</v>
      </c>
      <c r="E935" t="s">
        <v>23</v>
      </c>
      <c r="F935">
        <v>21</v>
      </c>
      <c r="G935">
        <v>0.63</v>
      </c>
      <c r="H935">
        <v>0.72</v>
      </c>
      <c r="I935" t="s">
        <v>24</v>
      </c>
      <c r="J935">
        <v>41961</v>
      </c>
      <c r="K935" t="s">
        <v>27</v>
      </c>
      <c r="L935">
        <v>-2</v>
      </c>
      <c r="M935">
        <v>32</v>
      </c>
      <c r="N935" t="s">
        <v>42</v>
      </c>
      <c r="O935" t="s">
        <v>25</v>
      </c>
      <c r="P935">
        <v>2.96</v>
      </c>
      <c r="Q935" t="s">
        <v>24</v>
      </c>
      <c r="R935">
        <v>1.48</v>
      </c>
      <c r="S935" t="s">
        <v>47</v>
      </c>
      <c r="T935" t="str">
        <f t="shared" si="28"/>
        <v>High</v>
      </c>
      <c r="U935" t="str">
        <f t="shared" si="29"/>
        <v>Expert</v>
      </c>
    </row>
    <row r="936" spans="1:21" x14ac:dyDescent="0.35">
      <c r="A936" t="s">
        <v>1009</v>
      </c>
      <c r="B936" t="s">
        <v>89</v>
      </c>
      <c r="C936" t="s">
        <v>82</v>
      </c>
      <c r="D936" t="s">
        <v>75</v>
      </c>
      <c r="E936" t="s">
        <v>33</v>
      </c>
      <c r="F936">
        <v>3</v>
      </c>
      <c r="G936">
        <v>0.53</v>
      </c>
      <c r="H936">
        <v>0.7</v>
      </c>
      <c r="I936" t="s">
        <v>24</v>
      </c>
      <c r="J936">
        <v>52765</v>
      </c>
      <c r="K936" t="s">
        <v>42</v>
      </c>
      <c r="L936">
        <v>29</v>
      </c>
      <c r="M936">
        <v>41</v>
      </c>
      <c r="N936" t="s">
        <v>42</v>
      </c>
      <c r="O936" t="s">
        <v>27</v>
      </c>
      <c r="P936">
        <v>2.46</v>
      </c>
      <c r="Q936" t="s">
        <v>34</v>
      </c>
      <c r="R936">
        <v>1.7</v>
      </c>
      <c r="S936" t="s">
        <v>28</v>
      </c>
      <c r="T936" t="str">
        <f t="shared" si="28"/>
        <v>High</v>
      </c>
      <c r="U936" t="str">
        <f t="shared" si="29"/>
        <v>Intermediate</v>
      </c>
    </row>
    <row r="937" spans="1:21" x14ac:dyDescent="0.35">
      <c r="A937" t="s">
        <v>1010</v>
      </c>
      <c r="B937" t="s">
        <v>147</v>
      </c>
      <c r="C937" t="s">
        <v>39</v>
      </c>
      <c r="D937" t="s">
        <v>59</v>
      </c>
      <c r="E937" t="s">
        <v>33</v>
      </c>
      <c r="F937">
        <v>5</v>
      </c>
      <c r="G937">
        <v>0.36</v>
      </c>
      <c r="H937">
        <v>0.77</v>
      </c>
      <c r="I937" t="s">
        <v>24</v>
      </c>
      <c r="J937">
        <v>191315</v>
      </c>
      <c r="K937" t="s">
        <v>27</v>
      </c>
      <c r="L937">
        <v>34</v>
      </c>
      <c r="M937">
        <v>54</v>
      </c>
      <c r="N937" t="s">
        <v>42</v>
      </c>
      <c r="O937" t="s">
        <v>25</v>
      </c>
      <c r="P937">
        <v>4.0999999999999996</v>
      </c>
      <c r="Q937" t="s">
        <v>24</v>
      </c>
      <c r="R937">
        <v>4.57</v>
      </c>
      <c r="S937" t="s">
        <v>28</v>
      </c>
      <c r="T937" t="str">
        <f t="shared" si="28"/>
        <v>Very High</v>
      </c>
      <c r="U937" t="str">
        <f t="shared" si="29"/>
        <v>Intermediate</v>
      </c>
    </row>
    <row r="938" spans="1:21" x14ac:dyDescent="0.35">
      <c r="A938" t="s">
        <v>1011</v>
      </c>
      <c r="B938" t="s">
        <v>147</v>
      </c>
      <c r="C938" t="s">
        <v>39</v>
      </c>
      <c r="D938" t="s">
        <v>32</v>
      </c>
      <c r="E938" t="s">
        <v>33</v>
      </c>
      <c r="F938">
        <v>13</v>
      </c>
      <c r="G938">
        <v>0.48</v>
      </c>
      <c r="H938">
        <v>0.75</v>
      </c>
      <c r="I938" t="s">
        <v>34</v>
      </c>
      <c r="J938">
        <v>88211</v>
      </c>
      <c r="K938" t="s">
        <v>25</v>
      </c>
      <c r="L938">
        <v>22</v>
      </c>
      <c r="M938">
        <v>41</v>
      </c>
      <c r="N938" t="s">
        <v>35</v>
      </c>
      <c r="O938" t="s">
        <v>36</v>
      </c>
      <c r="P938">
        <v>3.19</v>
      </c>
      <c r="Q938" t="s">
        <v>24</v>
      </c>
      <c r="R938">
        <v>3.2</v>
      </c>
      <c r="S938" t="s">
        <v>43</v>
      </c>
      <c r="T938" t="str">
        <f t="shared" si="28"/>
        <v>High</v>
      </c>
      <c r="U938" t="str">
        <f t="shared" si="29"/>
        <v>Experienced</v>
      </c>
    </row>
    <row r="939" spans="1:21" x14ac:dyDescent="0.35">
      <c r="A939" t="s">
        <v>1012</v>
      </c>
      <c r="B939" t="s">
        <v>65</v>
      </c>
      <c r="C939" t="s">
        <v>82</v>
      </c>
      <c r="D939" t="s">
        <v>59</v>
      </c>
      <c r="E939" t="s">
        <v>23</v>
      </c>
      <c r="F939">
        <v>1</v>
      </c>
      <c r="G939">
        <v>0.6</v>
      </c>
      <c r="H939">
        <v>0.82</v>
      </c>
      <c r="I939" t="s">
        <v>24</v>
      </c>
      <c r="J939">
        <v>61665</v>
      </c>
      <c r="K939" t="s">
        <v>25</v>
      </c>
      <c r="L939">
        <v>21</v>
      </c>
      <c r="M939">
        <v>33</v>
      </c>
      <c r="N939" t="s">
        <v>35</v>
      </c>
      <c r="O939" t="s">
        <v>36</v>
      </c>
      <c r="P939">
        <v>2.2999999999999998</v>
      </c>
      <c r="Q939" t="s">
        <v>24</v>
      </c>
      <c r="R939">
        <v>4.57</v>
      </c>
      <c r="S939" t="s">
        <v>28</v>
      </c>
      <c r="T939" t="str">
        <f t="shared" si="28"/>
        <v>High</v>
      </c>
      <c r="U939" t="str">
        <f t="shared" si="29"/>
        <v>Beginner</v>
      </c>
    </row>
    <row r="940" spans="1:21" x14ac:dyDescent="0.35">
      <c r="A940" t="s">
        <v>1013</v>
      </c>
      <c r="B940" t="s">
        <v>96</v>
      </c>
      <c r="C940" t="s">
        <v>107</v>
      </c>
      <c r="D940" t="s">
        <v>59</v>
      </c>
      <c r="E940" t="s">
        <v>70</v>
      </c>
      <c r="F940">
        <v>14</v>
      </c>
      <c r="G940">
        <v>0.69</v>
      </c>
      <c r="H940">
        <v>0.41</v>
      </c>
      <c r="I940" t="s">
        <v>34</v>
      </c>
      <c r="J940">
        <v>97704</v>
      </c>
      <c r="K940" t="s">
        <v>25</v>
      </c>
      <c r="L940">
        <v>-1</v>
      </c>
      <c r="M940">
        <v>36</v>
      </c>
      <c r="N940" t="s">
        <v>35</v>
      </c>
      <c r="O940" t="s">
        <v>27</v>
      </c>
      <c r="P940">
        <v>4.95</v>
      </c>
      <c r="Q940" t="s">
        <v>24</v>
      </c>
      <c r="R940">
        <v>4.8099999999999996</v>
      </c>
      <c r="S940" t="s">
        <v>28</v>
      </c>
      <c r="T940" t="str">
        <f t="shared" si="28"/>
        <v>Moderate</v>
      </c>
      <c r="U940" t="str">
        <f t="shared" si="29"/>
        <v>Experienced</v>
      </c>
    </row>
    <row r="941" spans="1:21" x14ac:dyDescent="0.35">
      <c r="A941" t="s">
        <v>1014</v>
      </c>
      <c r="B941" t="s">
        <v>38</v>
      </c>
      <c r="C941" t="s">
        <v>82</v>
      </c>
      <c r="D941" t="s">
        <v>32</v>
      </c>
      <c r="E941" t="s">
        <v>33</v>
      </c>
      <c r="F941">
        <v>23</v>
      </c>
      <c r="G941">
        <v>0.95</v>
      </c>
      <c r="H941">
        <v>0.47</v>
      </c>
      <c r="I941" t="s">
        <v>34</v>
      </c>
      <c r="J941">
        <v>205729</v>
      </c>
      <c r="K941" t="s">
        <v>42</v>
      </c>
      <c r="L941">
        <v>-7</v>
      </c>
      <c r="M941">
        <v>42</v>
      </c>
      <c r="N941" t="s">
        <v>35</v>
      </c>
      <c r="O941" t="s">
        <v>27</v>
      </c>
      <c r="P941">
        <v>4.9800000000000004</v>
      </c>
      <c r="Q941" t="s">
        <v>34</v>
      </c>
      <c r="R941">
        <v>1.84</v>
      </c>
      <c r="S941" t="s">
        <v>28</v>
      </c>
      <c r="T941" t="str">
        <f t="shared" si="28"/>
        <v>Very Low</v>
      </c>
      <c r="U941" t="str">
        <f t="shared" si="29"/>
        <v>Expert</v>
      </c>
    </row>
    <row r="942" spans="1:21" x14ac:dyDescent="0.35">
      <c r="A942" t="s">
        <v>1015</v>
      </c>
      <c r="B942" t="s">
        <v>68</v>
      </c>
      <c r="C942" t="s">
        <v>55</v>
      </c>
      <c r="D942" t="s">
        <v>75</v>
      </c>
      <c r="E942" t="s">
        <v>70</v>
      </c>
      <c r="F942">
        <v>12</v>
      </c>
      <c r="G942">
        <v>0.83</v>
      </c>
      <c r="H942">
        <v>0.39</v>
      </c>
      <c r="I942" t="s">
        <v>60</v>
      </c>
      <c r="J942">
        <v>199804</v>
      </c>
      <c r="K942" t="s">
        <v>42</v>
      </c>
      <c r="L942">
        <v>7</v>
      </c>
      <c r="M942">
        <v>33</v>
      </c>
      <c r="N942" t="s">
        <v>35</v>
      </c>
      <c r="O942" t="s">
        <v>25</v>
      </c>
      <c r="P942">
        <v>3.46</v>
      </c>
      <c r="Q942" t="s">
        <v>34</v>
      </c>
      <c r="R942">
        <v>1.92</v>
      </c>
      <c r="S942" t="s">
        <v>28</v>
      </c>
      <c r="T942" t="str">
        <f t="shared" si="28"/>
        <v>Very Low</v>
      </c>
      <c r="U942" t="str">
        <f t="shared" si="29"/>
        <v>Experienced</v>
      </c>
    </row>
    <row r="943" spans="1:21" x14ac:dyDescent="0.35">
      <c r="A943" t="s">
        <v>1016</v>
      </c>
      <c r="B943" t="s">
        <v>96</v>
      </c>
      <c r="C943" t="s">
        <v>58</v>
      </c>
      <c r="D943" t="s">
        <v>80</v>
      </c>
      <c r="E943" t="s">
        <v>70</v>
      </c>
      <c r="F943">
        <v>21</v>
      </c>
      <c r="G943">
        <v>0.11</v>
      </c>
      <c r="H943">
        <v>0.81</v>
      </c>
      <c r="I943" t="s">
        <v>34</v>
      </c>
      <c r="J943">
        <v>75748</v>
      </c>
      <c r="K943" t="s">
        <v>25</v>
      </c>
      <c r="L943">
        <v>26</v>
      </c>
      <c r="M943">
        <v>56</v>
      </c>
      <c r="N943" t="s">
        <v>26</v>
      </c>
      <c r="O943" t="s">
        <v>36</v>
      </c>
      <c r="P943">
        <v>3.97</v>
      </c>
      <c r="Q943" t="s">
        <v>34</v>
      </c>
      <c r="R943">
        <v>1.25</v>
      </c>
      <c r="S943" t="s">
        <v>28</v>
      </c>
      <c r="T943" t="str">
        <f t="shared" si="28"/>
        <v>Very High</v>
      </c>
      <c r="U943" t="str">
        <f t="shared" si="29"/>
        <v>Expert</v>
      </c>
    </row>
    <row r="944" spans="1:21" x14ac:dyDescent="0.35">
      <c r="A944" t="s">
        <v>1017</v>
      </c>
      <c r="B944" t="s">
        <v>45</v>
      </c>
      <c r="C944" t="s">
        <v>74</v>
      </c>
      <c r="D944" t="s">
        <v>40</v>
      </c>
      <c r="E944" t="s">
        <v>23</v>
      </c>
      <c r="F944">
        <v>23</v>
      </c>
      <c r="G944">
        <v>0.56000000000000005</v>
      </c>
      <c r="H944">
        <v>0.83</v>
      </c>
      <c r="I944" t="s">
        <v>34</v>
      </c>
      <c r="J944">
        <v>194156</v>
      </c>
      <c r="K944" t="s">
        <v>25</v>
      </c>
      <c r="L944">
        <v>-6</v>
      </c>
      <c r="M944">
        <v>48</v>
      </c>
      <c r="N944" t="s">
        <v>26</v>
      </c>
      <c r="O944" t="s">
        <v>36</v>
      </c>
      <c r="P944">
        <v>2.99</v>
      </c>
      <c r="Q944" t="s">
        <v>34</v>
      </c>
      <c r="R944">
        <v>1.07</v>
      </c>
      <c r="S944" t="s">
        <v>28</v>
      </c>
      <c r="T944" t="str">
        <f t="shared" si="28"/>
        <v>High</v>
      </c>
      <c r="U944" t="str">
        <f t="shared" si="29"/>
        <v>Expert</v>
      </c>
    </row>
    <row r="945" spans="1:21" x14ac:dyDescent="0.35">
      <c r="A945" t="s">
        <v>1018</v>
      </c>
      <c r="B945" t="s">
        <v>73</v>
      </c>
      <c r="C945" t="s">
        <v>107</v>
      </c>
      <c r="D945" t="s">
        <v>75</v>
      </c>
      <c r="E945" t="s">
        <v>33</v>
      </c>
      <c r="F945">
        <v>0</v>
      </c>
      <c r="G945">
        <v>0.46</v>
      </c>
      <c r="H945">
        <v>0.59</v>
      </c>
      <c r="I945" t="s">
        <v>34</v>
      </c>
      <c r="J945">
        <v>78460</v>
      </c>
      <c r="K945" t="s">
        <v>25</v>
      </c>
      <c r="L945">
        <v>17</v>
      </c>
      <c r="M945">
        <v>35</v>
      </c>
      <c r="N945" t="s">
        <v>26</v>
      </c>
      <c r="O945" t="s">
        <v>25</v>
      </c>
      <c r="P945">
        <v>2.21</v>
      </c>
      <c r="Q945" t="s">
        <v>34</v>
      </c>
      <c r="R945">
        <v>1.38</v>
      </c>
      <c r="S945" t="s">
        <v>28</v>
      </c>
      <c r="T945" t="str">
        <f t="shared" si="28"/>
        <v>High</v>
      </c>
      <c r="U945" t="str">
        <f t="shared" si="29"/>
        <v>Beginner</v>
      </c>
    </row>
    <row r="946" spans="1:21" x14ac:dyDescent="0.35">
      <c r="A946" t="s">
        <v>1019</v>
      </c>
      <c r="B946" t="s">
        <v>94</v>
      </c>
      <c r="C946" t="s">
        <v>46</v>
      </c>
      <c r="D946" t="s">
        <v>69</v>
      </c>
      <c r="E946" t="s">
        <v>23</v>
      </c>
      <c r="F946">
        <v>17</v>
      </c>
      <c r="G946">
        <v>0.9</v>
      </c>
      <c r="H946">
        <v>0.65</v>
      </c>
      <c r="I946" t="s">
        <v>60</v>
      </c>
      <c r="J946">
        <v>217813</v>
      </c>
      <c r="K946" t="s">
        <v>27</v>
      </c>
      <c r="L946">
        <v>19</v>
      </c>
      <c r="M946">
        <v>42</v>
      </c>
      <c r="N946" t="s">
        <v>35</v>
      </c>
      <c r="O946" t="s">
        <v>27</v>
      </c>
      <c r="P946">
        <v>4.8600000000000003</v>
      </c>
      <c r="Q946" t="s">
        <v>34</v>
      </c>
      <c r="R946">
        <v>1.86</v>
      </c>
      <c r="S946" t="s">
        <v>47</v>
      </c>
      <c r="T946" t="str">
        <f t="shared" si="28"/>
        <v>Moderate</v>
      </c>
      <c r="U946" t="str">
        <f t="shared" si="29"/>
        <v>Expert</v>
      </c>
    </row>
    <row r="947" spans="1:21" x14ac:dyDescent="0.35">
      <c r="A947" t="s">
        <v>1020</v>
      </c>
      <c r="B947" t="s">
        <v>96</v>
      </c>
      <c r="C947" t="s">
        <v>58</v>
      </c>
      <c r="D947" t="s">
        <v>49</v>
      </c>
      <c r="E947" t="s">
        <v>70</v>
      </c>
      <c r="F947">
        <v>22</v>
      </c>
      <c r="G947">
        <v>0.94</v>
      </c>
      <c r="H947">
        <v>0.35</v>
      </c>
      <c r="I947" t="s">
        <v>60</v>
      </c>
      <c r="J947">
        <v>144779</v>
      </c>
      <c r="K947" t="s">
        <v>27</v>
      </c>
      <c r="L947">
        <v>24</v>
      </c>
      <c r="M947">
        <v>49</v>
      </c>
      <c r="N947" t="s">
        <v>42</v>
      </c>
      <c r="O947" t="s">
        <v>27</v>
      </c>
      <c r="P947">
        <v>3.63</v>
      </c>
      <c r="Q947" t="s">
        <v>34</v>
      </c>
      <c r="R947">
        <v>1.95</v>
      </c>
      <c r="S947" t="s">
        <v>28</v>
      </c>
      <c r="T947" t="str">
        <f t="shared" si="28"/>
        <v>Very Low</v>
      </c>
      <c r="U947" t="str">
        <f t="shared" si="29"/>
        <v>Expert</v>
      </c>
    </row>
    <row r="948" spans="1:21" x14ac:dyDescent="0.35">
      <c r="A948" t="s">
        <v>1021</v>
      </c>
      <c r="B948" t="s">
        <v>62</v>
      </c>
      <c r="C948" t="s">
        <v>39</v>
      </c>
      <c r="D948" t="s">
        <v>75</v>
      </c>
      <c r="E948" t="s">
        <v>70</v>
      </c>
      <c r="F948">
        <v>5</v>
      </c>
      <c r="G948">
        <v>0.13</v>
      </c>
      <c r="H948">
        <v>0.81</v>
      </c>
      <c r="I948" t="s">
        <v>24</v>
      </c>
      <c r="J948">
        <v>116197</v>
      </c>
      <c r="K948" t="s">
        <v>25</v>
      </c>
      <c r="L948">
        <v>-1</v>
      </c>
      <c r="M948">
        <v>31</v>
      </c>
      <c r="N948" t="s">
        <v>35</v>
      </c>
      <c r="O948" t="s">
        <v>25</v>
      </c>
      <c r="P948">
        <v>3.76</v>
      </c>
      <c r="Q948" t="s">
        <v>34</v>
      </c>
      <c r="R948">
        <v>4.37</v>
      </c>
      <c r="S948" t="s">
        <v>43</v>
      </c>
      <c r="T948" t="str">
        <f t="shared" si="28"/>
        <v>Very High</v>
      </c>
      <c r="U948" t="str">
        <f t="shared" si="29"/>
        <v>Intermediate</v>
      </c>
    </row>
    <row r="949" spans="1:21" x14ac:dyDescent="0.35">
      <c r="A949" t="s">
        <v>1022</v>
      </c>
      <c r="B949" t="s">
        <v>73</v>
      </c>
      <c r="C949" t="s">
        <v>58</v>
      </c>
      <c r="D949" t="s">
        <v>32</v>
      </c>
      <c r="E949" t="s">
        <v>23</v>
      </c>
      <c r="F949">
        <v>17</v>
      </c>
      <c r="G949">
        <v>0.77</v>
      </c>
      <c r="H949">
        <v>0.42</v>
      </c>
      <c r="I949" t="s">
        <v>34</v>
      </c>
      <c r="J949">
        <v>31805</v>
      </c>
      <c r="K949" t="s">
        <v>42</v>
      </c>
      <c r="L949">
        <v>9</v>
      </c>
      <c r="M949">
        <v>39</v>
      </c>
      <c r="N949" t="s">
        <v>26</v>
      </c>
      <c r="O949" t="s">
        <v>27</v>
      </c>
      <c r="P949">
        <v>4.29</v>
      </c>
      <c r="Q949" t="s">
        <v>34</v>
      </c>
      <c r="R949">
        <v>2.6</v>
      </c>
      <c r="S949" t="s">
        <v>28</v>
      </c>
      <c r="T949" t="str">
        <f t="shared" si="28"/>
        <v>Very Low</v>
      </c>
      <c r="U949" t="str">
        <f t="shared" si="29"/>
        <v>Expert</v>
      </c>
    </row>
    <row r="950" spans="1:21" x14ac:dyDescent="0.35">
      <c r="A950" t="s">
        <v>1023</v>
      </c>
      <c r="B950" t="s">
        <v>73</v>
      </c>
      <c r="C950" t="s">
        <v>31</v>
      </c>
      <c r="D950" t="s">
        <v>63</v>
      </c>
      <c r="E950" t="s">
        <v>41</v>
      </c>
      <c r="F950">
        <v>0</v>
      </c>
      <c r="G950">
        <v>0.4</v>
      </c>
      <c r="H950">
        <v>0.47</v>
      </c>
      <c r="I950" t="s">
        <v>34</v>
      </c>
      <c r="J950">
        <v>211043</v>
      </c>
      <c r="K950" t="s">
        <v>25</v>
      </c>
      <c r="L950">
        <v>12</v>
      </c>
      <c r="M950">
        <v>40</v>
      </c>
      <c r="N950" t="s">
        <v>26</v>
      </c>
      <c r="O950" t="s">
        <v>25</v>
      </c>
      <c r="P950">
        <v>3.41</v>
      </c>
      <c r="Q950" t="s">
        <v>24</v>
      </c>
      <c r="R950">
        <v>3.36</v>
      </c>
      <c r="S950" t="s">
        <v>43</v>
      </c>
      <c r="T950" t="str">
        <f t="shared" si="28"/>
        <v>High</v>
      </c>
      <c r="U950" t="str">
        <f t="shared" si="29"/>
        <v>Beginner</v>
      </c>
    </row>
    <row r="951" spans="1:21" x14ac:dyDescent="0.35">
      <c r="A951" t="s">
        <v>1024</v>
      </c>
      <c r="B951" t="s">
        <v>147</v>
      </c>
      <c r="C951" t="s">
        <v>82</v>
      </c>
      <c r="D951" t="s">
        <v>22</v>
      </c>
      <c r="E951" t="s">
        <v>23</v>
      </c>
      <c r="F951">
        <v>7</v>
      </c>
      <c r="G951">
        <v>0.15</v>
      </c>
      <c r="H951">
        <v>0.7</v>
      </c>
      <c r="I951" t="s">
        <v>34</v>
      </c>
      <c r="J951">
        <v>200412</v>
      </c>
      <c r="K951" t="s">
        <v>25</v>
      </c>
      <c r="L951">
        <v>-7</v>
      </c>
      <c r="M951">
        <v>52</v>
      </c>
      <c r="N951" t="s">
        <v>42</v>
      </c>
      <c r="O951" t="s">
        <v>27</v>
      </c>
      <c r="P951">
        <v>3.4</v>
      </c>
      <c r="Q951" t="s">
        <v>24</v>
      </c>
      <c r="R951">
        <v>1.72</v>
      </c>
      <c r="S951" t="s">
        <v>43</v>
      </c>
      <c r="T951" t="str">
        <f t="shared" si="28"/>
        <v>Very High</v>
      </c>
      <c r="U951" t="str">
        <f t="shared" si="29"/>
        <v>Intermediate</v>
      </c>
    </row>
    <row r="952" spans="1:21" x14ac:dyDescent="0.35">
      <c r="A952" t="s">
        <v>1025</v>
      </c>
      <c r="B952" t="s">
        <v>62</v>
      </c>
      <c r="C952" t="s">
        <v>39</v>
      </c>
      <c r="D952" t="s">
        <v>40</v>
      </c>
      <c r="E952" t="s">
        <v>70</v>
      </c>
      <c r="F952">
        <v>19</v>
      </c>
      <c r="G952">
        <v>0.47</v>
      </c>
      <c r="H952">
        <v>0.73</v>
      </c>
      <c r="I952" t="s">
        <v>34</v>
      </c>
      <c r="J952">
        <v>141821</v>
      </c>
      <c r="K952" t="s">
        <v>27</v>
      </c>
      <c r="L952">
        <v>29</v>
      </c>
      <c r="M952">
        <v>57</v>
      </c>
      <c r="N952" t="s">
        <v>26</v>
      </c>
      <c r="O952" t="s">
        <v>27</v>
      </c>
      <c r="P952">
        <v>4.29</v>
      </c>
      <c r="Q952" t="s">
        <v>34</v>
      </c>
      <c r="R952">
        <v>2.39</v>
      </c>
      <c r="S952" t="s">
        <v>43</v>
      </c>
      <c r="T952" t="str">
        <f t="shared" si="28"/>
        <v>High</v>
      </c>
      <c r="U952" t="str">
        <f t="shared" si="29"/>
        <v>Expert</v>
      </c>
    </row>
    <row r="953" spans="1:21" x14ac:dyDescent="0.35">
      <c r="A953" t="s">
        <v>1026</v>
      </c>
      <c r="B953" t="s">
        <v>57</v>
      </c>
      <c r="C953" t="s">
        <v>31</v>
      </c>
      <c r="D953" t="s">
        <v>66</v>
      </c>
      <c r="E953" t="s">
        <v>41</v>
      </c>
      <c r="F953">
        <v>25</v>
      </c>
      <c r="G953">
        <v>0.84</v>
      </c>
      <c r="H953">
        <v>0.94</v>
      </c>
      <c r="I953" t="s">
        <v>34</v>
      </c>
      <c r="J953">
        <v>106587</v>
      </c>
      <c r="K953" t="s">
        <v>27</v>
      </c>
      <c r="L953">
        <v>-3</v>
      </c>
      <c r="M953">
        <v>42</v>
      </c>
      <c r="N953" t="s">
        <v>26</v>
      </c>
      <c r="O953" t="s">
        <v>27</v>
      </c>
      <c r="P953">
        <v>3.77</v>
      </c>
      <c r="Q953" t="s">
        <v>24</v>
      </c>
      <c r="R953">
        <v>4.34</v>
      </c>
      <c r="S953" t="s">
        <v>43</v>
      </c>
      <c r="T953" t="str">
        <f t="shared" si="28"/>
        <v>High</v>
      </c>
      <c r="U953" t="str">
        <f t="shared" si="29"/>
        <v>Expert</v>
      </c>
    </row>
    <row r="954" spans="1:21" x14ac:dyDescent="0.35">
      <c r="A954" t="s">
        <v>1027</v>
      </c>
      <c r="B954" t="s">
        <v>20</v>
      </c>
      <c r="C954" t="s">
        <v>82</v>
      </c>
      <c r="D954" t="s">
        <v>32</v>
      </c>
      <c r="E954" t="s">
        <v>33</v>
      </c>
      <c r="F954">
        <v>1</v>
      </c>
      <c r="G954">
        <v>0.84</v>
      </c>
      <c r="H954">
        <v>0.41</v>
      </c>
      <c r="I954" t="s">
        <v>60</v>
      </c>
      <c r="J954">
        <v>167841</v>
      </c>
      <c r="K954" t="s">
        <v>42</v>
      </c>
      <c r="L954">
        <v>22</v>
      </c>
      <c r="M954">
        <v>43</v>
      </c>
      <c r="N954" t="s">
        <v>35</v>
      </c>
      <c r="O954" t="s">
        <v>27</v>
      </c>
      <c r="P954">
        <v>4.17</v>
      </c>
      <c r="Q954" t="s">
        <v>24</v>
      </c>
      <c r="R954">
        <v>4.95</v>
      </c>
      <c r="S954" t="s">
        <v>28</v>
      </c>
      <c r="T954" t="str">
        <f t="shared" si="28"/>
        <v>Very Low</v>
      </c>
      <c r="U954" t="str">
        <f t="shared" si="29"/>
        <v>Beginner</v>
      </c>
    </row>
    <row r="955" spans="1:21" x14ac:dyDescent="0.35">
      <c r="A955" t="s">
        <v>1028</v>
      </c>
      <c r="B955" t="s">
        <v>106</v>
      </c>
      <c r="C955" t="s">
        <v>58</v>
      </c>
      <c r="D955" t="s">
        <v>32</v>
      </c>
      <c r="E955" t="s">
        <v>41</v>
      </c>
      <c r="F955">
        <v>15</v>
      </c>
      <c r="G955">
        <v>0.95</v>
      </c>
      <c r="H955">
        <v>0.8</v>
      </c>
      <c r="I955" t="s">
        <v>24</v>
      </c>
      <c r="J955">
        <v>146796</v>
      </c>
      <c r="K955" t="s">
        <v>42</v>
      </c>
      <c r="L955">
        <v>10</v>
      </c>
      <c r="M955">
        <v>39</v>
      </c>
      <c r="N955" t="s">
        <v>26</v>
      </c>
      <c r="O955" t="s">
        <v>36</v>
      </c>
      <c r="P955">
        <v>2.58</v>
      </c>
      <c r="Q955" t="s">
        <v>34</v>
      </c>
      <c r="R955">
        <v>2.48</v>
      </c>
      <c r="S955" t="s">
        <v>43</v>
      </c>
      <c r="T955" t="str">
        <f t="shared" si="28"/>
        <v>Moderate</v>
      </c>
      <c r="U955" t="str">
        <f t="shared" si="29"/>
        <v>Experienced</v>
      </c>
    </row>
    <row r="956" spans="1:21" x14ac:dyDescent="0.35">
      <c r="A956" t="s">
        <v>1029</v>
      </c>
      <c r="B956" t="s">
        <v>62</v>
      </c>
      <c r="C956" t="s">
        <v>52</v>
      </c>
      <c r="D956" t="s">
        <v>40</v>
      </c>
      <c r="E956" t="s">
        <v>33</v>
      </c>
      <c r="F956">
        <v>23</v>
      </c>
      <c r="G956">
        <v>0.09</v>
      </c>
      <c r="H956">
        <v>0.42</v>
      </c>
      <c r="I956" t="s">
        <v>60</v>
      </c>
      <c r="J956">
        <v>143465</v>
      </c>
      <c r="K956" t="s">
        <v>25</v>
      </c>
      <c r="L956">
        <v>26</v>
      </c>
      <c r="M956">
        <v>31</v>
      </c>
      <c r="N956" t="s">
        <v>35</v>
      </c>
      <c r="O956" t="s">
        <v>25</v>
      </c>
      <c r="P956">
        <v>4.6900000000000004</v>
      </c>
      <c r="Q956" t="s">
        <v>34</v>
      </c>
      <c r="R956">
        <v>1.43</v>
      </c>
      <c r="S956" t="s">
        <v>47</v>
      </c>
      <c r="T956" t="str">
        <f t="shared" si="28"/>
        <v>High</v>
      </c>
      <c r="U956" t="str">
        <f t="shared" si="29"/>
        <v>Expert</v>
      </c>
    </row>
    <row r="957" spans="1:21" x14ac:dyDescent="0.35">
      <c r="A957" t="s">
        <v>1030</v>
      </c>
      <c r="B957" t="s">
        <v>102</v>
      </c>
      <c r="C957" t="s">
        <v>74</v>
      </c>
      <c r="D957" t="s">
        <v>22</v>
      </c>
      <c r="E957" t="s">
        <v>70</v>
      </c>
      <c r="F957">
        <v>20</v>
      </c>
      <c r="G957">
        <v>0.37</v>
      </c>
      <c r="H957">
        <v>0.76</v>
      </c>
      <c r="I957" t="s">
        <v>60</v>
      </c>
      <c r="J957">
        <v>132657</v>
      </c>
      <c r="K957" t="s">
        <v>42</v>
      </c>
      <c r="L957">
        <v>-10</v>
      </c>
      <c r="M957">
        <v>47</v>
      </c>
      <c r="N957" t="s">
        <v>42</v>
      </c>
      <c r="O957" t="s">
        <v>25</v>
      </c>
      <c r="P957">
        <v>4.7699999999999996</v>
      </c>
      <c r="Q957" t="s">
        <v>24</v>
      </c>
      <c r="R957">
        <v>4.78</v>
      </c>
      <c r="S957" t="s">
        <v>43</v>
      </c>
      <c r="T957" t="str">
        <f t="shared" si="28"/>
        <v>Very High</v>
      </c>
      <c r="U957" t="str">
        <f t="shared" si="29"/>
        <v>Expert</v>
      </c>
    </row>
    <row r="958" spans="1:21" x14ac:dyDescent="0.35">
      <c r="A958" t="s">
        <v>1031</v>
      </c>
      <c r="B958" t="s">
        <v>45</v>
      </c>
      <c r="C958" t="s">
        <v>39</v>
      </c>
      <c r="D958" t="s">
        <v>80</v>
      </c>
      <c r="E958" t="s">
        <v>70</v>
      </c>
      <c r="F958">
        <v>1</v>
      </c>
      <c r="G958">
        <v>0.34</v>
      </c>
      <c r="H958">
        <v>0.51</v>
      </c>
      <c r="I958" t="s">
        <v>24</v>
      </c>
      <c r="J958">
        <v>52188</v>
      </c>
      <c r="K958" t="s">
        <v>42</v>
      </c>
      <c r="L958">
        <v>1</v>
      </c>
      <c r="M958">
        <v>36</v>
      </c>
      <c r="N958" t="s">
        <v>42</v>
      </c>
      <c r="O958" t="s">
        <v>25</v>
      </c>
      <c r="P958">
        <v>4.8</v>
      </c>
      <c r="Q958" t="s">
        <v>24</v>
      </c>
      <c r="R958">
        <v>1.1299999999999999</v>
      </c>
      <c r="S958" t="s">
        <v>47</v>
      </c>
      <c r="T958" t="str">
        <f t="shared" si="28"/>
        <v>High</v>
      </c>
      <c r="U958" t="str">
        <f t="shared" si="29"/>
        <v>Beginner</v>
      </c>
    </row>
    <row r="959" spans="1:21" x14ac:dyDescent="0.35">
      <c r="A959" t="s">
        <v>1032</v>
      </c>
      <c r="B959" t="s">
        <v>156</v>
      </c>
      <c r="C959" t="s">
        <v>31</v>
      </c>
      <c r="D959" t="s">
        <v>59</v>
      </c>
      <c r="E959" t="s">
        <v>23</v>
      </c>
      <c r="F959">
        <v>22</v>
      </c>
      <c r="G959">
        <v>0.28999999999999998</v>
      </c>
      <c r="H959">
        <v>0.36</v>
      </c>
      <c r="I959" t="s">
        <v>60</v>
      </c>
      <c r="J959">
        <v>58254</v>
      </c>
      <c r="K959" t="s">
        <v>42</v>
      </c>
      <c r="L959">
        <v>22</v>
      </c>
      <c r="M959">
        <v>53</v>
      </c>
      <c r="N959" t="s">
        <v>26</v>
      </c>
      <c r="O959" t="s">
        <v>27</v>
      </c>
      <c r="P959">
        <v>4.4000000000000004</v>
      </c>
      <c r="Q959" t="s">
        <v>34</v>
      </c>
      <c r="R959">
        <v>4.13</v>
      </c>
      <c r="S959" t="s">
        <v>28</v>
      </c>
      <c r="T959" t="str">
        <f t="shared" si="28"/>
        <v>High</v>
      </c>
      <c r="U959" t="str">
        <f t="shared" si="29"/>
        <v>Expert</v>
      </c>
    </row>
    <row r="960" spans="1:21" x14ac:dyDescent="0.35">
      <c r="A960" t="s">
        <v>1033</v>
      </c>
      <c r="B960" t="s">
        <v>73</v>
      </c>
      <c r="C960" t="s">
        <v>82</v>
      </c>
      <c r="D960" t="s">
        <v>40</v>
      </c>
      <c r="E960" t="s">
        <v>23</v>
      </c>
      <c r="F960">
        <v>14</v>
      </c>
      <c r="G960">
        <v>0.56000000000000005</v>
      </c>
      <c r="H960">
        <v>0.42</v>
      </c>
      <c r="I960" t="s">
        <v>34</v>
      </c>
      <c r="J960">
        <v>182716</v>
      </c>
      <c r="K960" t="s">
        <v>25</v>
      </c>
      <c r="L960">
        <v>19</v>
      </c>
      <c r="M960">
        <v>38</v>
      </c>
      <c r="N960" t="s">
        <v>35</v>
      </c>
      <c r="O960" t="s">
        <v>25</v>
      </c>
      <c r="P960">
        <v>2.91</v>
      </c>
      <c r="Q960" t="s">
        <v>34</v>
      </c>
      <c r="R960">
        <v>1.23</v>
      </c>
      <c r="S960" t="s">
        <v>47</v>
      </c>
      <c r="T960" t="str">
        <f t="shared" si="28"/>
        <v>Moderate</v>
      </c>
      <c r="U960" t="str">
        <f t="shared" si="29"/>
        <v>Experienced</v>
      </c>
    </row>
    <row r="961" spans="1:21" x14ac:dyDescent="0.35">
      <c r="A961" t="s">
        <v>1034</v>
      </c>
      <c r="B961" t="s">
        <v>30</v>
      </c>
      <c r="C961" t="s">
        <v>82</v>
      </c>
      <c r="D961" t="s">
        <v>49</v>
      </c>
      <c r="E961" t="s">
        <v>70</v>
      </c>
      <c r="F961">
        <v>23</v>
      </c>
      <c r="G961">
        <v>0.6</v>
      </c>
      <c r="H961">
        <v>0.42</v>
      </c>
      <c r="I961" t="s">
        <v>24</v>
      </c>
      <c r="J961">
        <v>132457</v>
      </c>
      <c r="K961" t="s">
        <v>25</v>
      </c>
      <c r="L961">
        <v>2</v>
      </c>
      <c r="M961">
        <v>34</v>
      </c>
      <c r="N961" t="s">
        <v>26</v>
      </c>
      <c r="O961" t="s">
        <v>25</v>
      </c>
      <c r="P961">
        <v>3.87</v>
      </c>
      <c r="Q961" t="s">
        <v>24</v>
      </c>
      <c r="R961">
        <v>1.04</v>
      </c>
      <c r="S961" t="s">
        <v>47</v>
      </c>
      <c r="T961" t="str">
        <f t="shared" si="28"/>
        <v>Moderate</v>
      </c>
      <c r="U961" t="str">
        <f t="shared" si="29"/>
        <v>Expert</v>
      </c>
    </row>
    <row r="962" spans="1:21" x14ac:dyDescent="0.35">
      <c r="A962" t="s">
        <v>1035</v>
      </c>
      <c r="B962" t="s">
        <v>57</v>
      </c>
      <c r="C962" t="s">
        <v>39</v>
      </c>
      <c r="D962" t="s">
        <v>66</v>
      </c>
      <c r="E962" t="s">
        <v>23</v>
      </c>
      <c r="F962">
        <v>14</v>
      </c>
      <c r="G962">
        <v>0.23</v>
      </c>
      <c r="H962">
        <v>0.21</v>
      </c>
      <c r="I962" t="s">
        <v>34</v>
      </c>
      <c r="J962">
        <v>35758</v>
      </c>
      <c r="K962" t="s">
        <v>25</v>
      </c>
      <c r="L962">
        <v>36</v>
      </c>
      <c r="M962">
        <v>52</v>
      </c>
      <c r="N962" t="s">
        <v>35</v>
      </c>
      <c r="O962" t="s">
        <v>27</v>
      </c>
      <c r="P962">
        <v>4.7</v>
      </c>
      <c r="Q962" t="s">
        <v>34</v>
      </c>
      <c r="R962">
        <v>2.46</v>
      </c>
      <c r="S962" t="s">
        <v>47</v>
      </c>
      <c r="T962" t="str">
        <f t="shared" si="28"/>
        <v>Moderate</v>
      </c>
      <c r="U962" t="str">
        <f t="shared" si="29"/>
        <v>Experienced</v>
      </c>
    </row>
    <row r="963" spans="1:21" x14ac:dyDescent="0.35">
      <c r="A963" t="s">
        <v>1036</v>
      </c>
      <c r="B963" t="s">
        <v>51</v>
      </c>
      <c r="C963" t="s">
        <v>31</v>
      </c>
      <c r="D963" t="s">
        <v>63</v>
      </c>
      <c r="E963" t="s">
        <v>33</v>
      </c>
      <c r="F963">
        <v>1</v>
      </c>
      <c r="G963">
        <v>0.73</v>
      </c>
      <c r="H963">
        <v>0.45</v>
      </c>
      <c r="I963" t="s">
        <v>24</v>
      </c>
      <c r="J963">
        <v>44854</v>
      </c>
      <c r="K963" t="s">
        <v>25</v>
      </c>
      <c r="L963">
        <v>4</v>
      </c>
      <c r="M963">
        <v>53</v>
      </c>
      <c r="N963" t="s">
        <v>26</v>
      </c>
      <c r="O963" t="s">
        <v>27</v>
      </c>
      <c r="P963">
        <v>4.3099999999999996</v>
      </c>
      <c r="Q963" t="s">
        <v>34</v>
      </c>
      <c r="R963">
        <v>1.68</v>
      </c>
      <c r="S963" t="s">
        <v>47</v>
      </c>
      <c r="T963" t="str">
        <f t="shared" ref="T963:T1026" si="30">IF(AND(G963&lt;0.4,H963&gt;=0.7),"Very High",
IF(AND(G963&gt;=0.7,H963&lt;0.5),"Very Low",
IF(G963&lt;H963,"High","Moderate")))</f>
        <v>Very Low</v>
      </c>
      <c r="U963" t="str">
        <f t="shared" ref="U963:U1026" si="31">_xlfn.IFS(F963&lt;=2,"Beginner",F963&lt;=8,"Intermediate",F963&lt;=15,"Experienced",F963&lt;=25,"Expert")</f>
        <v>Beginner</v>
      </c>
    </row>
    <row r="964" spans="1:21" x14ac:dyDescent="0.35">
      <c r="A964" t="s">
        <v>1037</v>
      </c>
      <c r="B964" t="s">
        <v>156</v>
      </c>
      <c r="C964" t="s">
        <v>21</v>
      </c>
      <c r="D964" t="s">
        <v>49</v>
      </c>
      <c r="E964" t="s">
        <v>33</v>
      </c>
      <c r="F964">
        <v>5</v>
      </c>
      <c r="G964">
        <v>0.54</v>
      </c>
      <c r="H964">
        <v>0.56000000000000005</v>
      </c>
      <c r="I964" t="s">
        <v>60</v>
      </c>
      <c r="J964">
        <v>182443</v>
      </c>
      <c r="K964" t="s">
        <v>25</v>
      </c>
      <c r="L964">
        <v>8</v>
      </c>
      <c r="M964">
        <v>31</v>
      </c>
      <c r="N964" t="s">
        <v>42</v>
      </c>
      <c r="O964" t="s">
        <v>25</v>
      </c>
      <c r="P964">
        <v>3.32</v>
      </c>
      <c r="Q964" t="s">
        <v>34</v>
      </c>
      <c r="R964">
        <v>4.67</v>
      </c>
      <c r="S964" t="s">
        <v>43</v>
      </c>
      <c r="T964" t="str">
        <f t="shared" si="30"/>
        <v>High</v>
      </c>
      <c r="U964" t="str">
        <f t="shared" si="31"/>
        <v>Intermediate</v>
      </c>
    </row>
    <row r="965" spans="1:21" x14ac:dyDescent="0.35">
      <c r="A965" t="s">
        <v>1038</v>
      </c>
      <c r="B965" t="s">
        <v>51</v>
      </c>
      <c r="C965" t="s">
        <v>31</v>
      </c>
      <c r="D965" t="s">
        <v>75</v>
      </c>
      <c r="E965" t="s">
        <v>23</v>
      </c>
      <c r="F965">
        <v>11</v>
      </c>
      <c r="G965">
        <v>0.42</v>
      </c>
      <c r="H965">
        <v>0.69</v>
      </c>
      <c r="I965" t="s">
        <v>60</v>
      </c>
      <c r="J965">
        <v>187475</v>
      </c>
      <c r="K965" t="s">
        <v>27</v>
      </c>
      <c r="L965">
        <v>4</v>
      </c>
      <c r="M965">
        <v>47</v>
      </c>
      <c r="N965" t="s">
        <v>42</v>
      </c>
      <c r="O965" t="s">
        <v>25</v>
      </c>
      <c r="P965">
        <v>4.37</v>
      </c>
      <c r="Q965" t="s">
        <v>34</v>
      </c>
      <c r="R965">
        <v>3.52</v>
      </c>
      <c r="S965" t="s">
        <v>43</v>
      </c>
      <c r="T965" t="str">
        <f t="shared" si="30"/>
        <v>High</v>
      </c>
      <c r="U965" t="str">
        <f t="shared" si="31"/>
        <v>Experienced</v>
      </c>
    </row>
    <row r="966" spans="1:21" x14ac:dyDescent="0.35">
      <c r="A966" t="s">
        <v>1039</v>
      </c>
      <c r="B966" t="s">
        <v>30</v>
      </c>
      <c r="C966" t="s">
        <v>52</v>
      </c>
      <c r="D966" t="s">
        <v>69</v>
      </c>
      <c r="E966" t="s">
        <v>70</v>
      </c>
      <c r="F966">
        <v>22</v>
      </c>
      <c r="G966">
        <v>0.59</v>
      </c>
      <c r="H966">
        <v>0.83</v>
      </c>
      <c r="I966" t="s">
        <v>34</v>
      </c>
      <c r="J966">
        <v>183336</v>
      </c>
      <c r="K966" t="s">
        <v>27</v>
      </c>
      <c r="L966">
        <v>36</v>
      </c>
      <c r="M966">
        <v>53</v>
      </c>
      <c r="N966" t="s">
        <v>35</v>
      </c>
      <c r="O966" t="s">
        <v>25</v>
      </c>
      <c r="P966">
        <v>3.46</v>
      </c>
      <c r="Q966" t="s">
        <v>24</v>
      </c>
      <c r="R966">
        <v>2.81</v>
      </c>
      <c r="S966" t="s">
        <v>47</v>
      </c>
      <c r="T966" t="str">
        <f t="shared" si="30"/>
        <v>High</v>
      </c>
      <c r="U966" t="str">
        <f t="shared" si="31"/>
        <v>Expert</v>
      </c>
    </row>
    <row r="967" spans="1:21" x14ac:dyDescent="0.35">
      <c r="A967" t="s">
        <v>1040</v>
      </c>
      <c r="B967" t="s">
        <v>65</v>
      </c>
      <c r="C967" t="s">
        <v>58</v>
      </c>
      <c r="D967" t="s">
        <v>59</v>
      </c>
      <c r="E967" t="s">
        <v>70</v>
      </c>
      <c r="F967">
        <v>22</v>
      </c>
      <c r="G967">
        <v>0.93</v>
      </c>
      <c r="H967">
        <v>0.28999999999999998</v>
      </c>
      <c r="I967" t="s">
        <v>60</v>
      </c>
      <c r="J967">
        <v>150033</v>
      </c>
      <c r="K967" t="s">
        <v>42</v>
      </c>
      <c r="L967">
        <v>41</v>
      </c>
      <c r="M967">
        <v>59</v>
      </c>
      <c r="N967" t="s">
        <v>26</v>
      </c>
      <c r="O967" t="s">
        <v>27</v>
      </c>
      <c r="P967">
        <v>2.15</v>
      </c>
      <c r="Q967" t="s">
        <v>24</v>
      </c>
      <c r="R967">
        <v>2.82</v>
      </c>
      <c r="S967" t="s">
        <v>47</v>
      </c>
      <c r="T967" t="str">
        <f t="shared" si="30"/>
        <v>Very Low</v>
      </c>
      <c r="U967" t="str">
        <f t="shared" si="31"/>
        <v>Expert</v>
      </c>
    </row>
    <row r="968" spans="1:21" x14ac:dyDescent="0.35">
      <c r="A968" t="s">
        <v>1041</v>
      </c>
      <c r="B968" t="s">
        <v>54</v>
      </c>
      <c r="C968" t="s">
        <v>74</v>
      </c>
      <c r="D968" t="s">
        <v>32</v>
      </c>
      <c r="E968" t="s">
        <v>70</v>
      </c>
      <c r="F968">
        <v>23</v>
      </c>
      <c r="G968">
        <v>0.14000000000000001</v>
      </c>
      <c r="H968">
        <v>0.97</v>
      </c>
      <c r="I968" t="s">
        <v>24</v>
      </c>
      <c r="J968">
        <v>191808</v>
      </c>
      <c r="K968" t="s">
        <v>42</v>
      </c>
      <c r="L968">
        <v>-4</v>
      </c>
      <c r="M968">
        <v>35</v>
      </c>
      <c r="N968" t="s">
        <v>35</v>
      </c>
      <c r="O968" t="s">
        <v>25</v>
      </c>
      <c r="P968">
        <v>4.72</v>
      </c>
      <c r="Q968" t="s">
        <v>34</v>
      </c>
      <c r="R968">
        <v>3.99</v>
      </c>
      <c r="S968" t="s">
        <v>47</v>
      </c>
      <c r="T968" t="str">
        <f t="shared" si="30"/>
        <v>Very High</v>
      </c>
      <c r="U968" t="str">
        <f t="shared" si="31"/>
        <v>Expert</v>
      </c>
    </row>
    <row r="969" spans="1:21" x14ac:dyDescent="0.35">
      <c r="A969" t="s">
        <v>1042</v>
      </c>
      <c r="B969" t="s">
        <v>106</v>
      </c>
      <c r="C969" t="s">
        <v>21</v>
      </c>
      <c r="D969" t="s">
        <v>69</v>
      </c>
      <c r="E969" t="s">
        <v>33</v>
      </c>
      <c r="F969">
        <v>12</v>
      </c>
      <c r="G969">
        <v>7.0000000000000007E-2</v>
      </c>
      <c r="H969">
        <v>0.88</v>
      </c>
      <c r="I969" t="s">
        <v>60</v>
      </c>
      <c r="J969">
        <v>69230</v>
      </c>
      <c r="K969" t="s">
        <v>42</v>
      </c>
      <c r="L969">
        <v>33</v>
      </c>
      <c r="M969">
        <v>55</v>
      </c>
      <c r="N969" t="s">
        <v>42</v>
      </c>
      <c r="O969" t="s">
        <v>27</v>
      </c>
      <c r="P969">
        <v>4.6399999999999997</v>
      </c>
      <c r="Q969" t="s">
        <v>34</v>
      </c>
      <c r="R969">
        <v>4.4000000000000004</v>
      </c>
      <c r="S969" t="s">
        <v>47</v>
      </c>
      <c r="T969" t="str">
        <f t="shared" si="30"/>
        <v>Very High</v>
      </c>
      <c r="U969" t="str">
        <f t="shared" si="31"/>
        <v>Experienced</v>
      </c>
    </row>
    <row r="970" spans="1:21" x14ac:dyDescent="0.35">
      <c r="A970" t="s">
        <v>1043</v>
      </c>
      <c r="B970" t="s">
        <v>62</v>
      </c>
      <c r="C970" t="s">
        <v>55</v>
      </c>
      <c r="D970" t="s">
        <v>80</v>
      </c>
      <c r="E970" t="s">
        <v>23</v>
      </c>
      <c r="F970">
        <v>16</v>
      </c>
      <c r="G970">
        <v>0.31</v>
      </c>
      <c r="H970">
        <v>0.55000000000000004</v>
      </c>
      <c r="I970" t="s">
        <v>60</v>
      </c>
      <c r="J970">
        <v>34855</v>
      </c>
      <c r="K970" t="s">
        <v>27</v>
      </c>
      <c r="L970">
        <v>11</v>
      </c>
      <c r="M970">
        <v>30</v>
      </c>
      <c r="N970" t="s">
        <v>42</v>
      </c>
      <c r="O970" t="s">
        <v>36</v>
      </c>
      <c r="P970">
        <v>2.06</v>
      </c>
      <c r="Q970" t="s">
        <v>24</v>
      </c>
      <c r="R970">
        <v>1.04</v>
      </c>
      <c r="S970" t="s">
        <v>43</v>
      </c>
      <c r="T970" t="str">
        <f t="shared" si="30"/>
        <v>High</v>
      </c>
      <c r="U970" t="str">
        <f t="shared" si="31"/>
        <v>Expert</v>
      </c>
    </row>
    <row r="971" spans="1:21" x14ac:dyDescent="0.35">
      <c r="A971" t="s">
        <v>1044</v>
      </c>
      <c r="B971" t="s">
        <v>54</v>
      </c>
      <c r="C971" t="s">
        <v>46</v>
      </c>
      <c r="D971" t="s">
        <v>32</v>
      </c>
      <c r="E971" t="s">
        <v>23</v>
      </c>
      <c r="F971">
        <v>13</v>
      </c>
      <c r="G971">
        <v>0.22</v>
      </c>
      <c r="H971">
        <v>0.74</v>
      </c>
      <c r="I971" t="s">
        <v>60</v>
      </c>
      <c r="J971">
        <v>160242</v>
      </c>
      <c r="K971" t="s">
        <v>27</v>
      </c>
      <c r="L971">
        <v>3</v>
      </c>
      <c r="M971">
        <v>35</v>
      </c>
      <c r="N971" t="s">
        <v>26</v>
      </c>
      <c r="O971" t="s">
        <v>27</v>
      </c>
      <c r="P971">
        <v>2.95</v>
      </c>
      <c r="Q971" t="s">
        <v>24</v>
      </c>
      <c r="R971">
        <v>2.0699999999999998</v>
      </c>
      <c r="S971" t="s">
        <v>43</v>
      </c>
      <c r="T971" t="str">
        <f t="shared" si="30"/>
        <v>Very High</v>
      </c>
      <c r="U971" t="str">
        <f t="shared" si="31"/>
        <v>Experienced</v>
      </c>
    </row>
    <row r="972" spans="1:21" x14ac:dyDescent="0.35">
      <c r="A972" t="s">
        <v>1045</v>
      </c>
      <c r="B972" t="s">
        <v>147</v>
      </c>
      <c r="C972" t="s">
        <v>55</v>
      </c>
      <c r="D972" t="s">
        <v>40</v>
      </c>
      <c r="E972" t="s">
        <v>33</v>
      </c>
      <c r="F972">
        <v>25</v>
      </c>
      <c r="G972">
        <v>0.19</v>
      </c>
      <c r="H972">
        <v>0.53</v>
      </c>
      <c r="I972" t="s">
        <v>60</v>
      </c>
      <c r="J972">
        <v>134691</v>
      </c>
      <c r="K972" t="s">
        <v>25</v>
      </c>
      <c r="L972">
        <v>-9</v>
      </c>
      <c r="M972">
        <v>50</v>
      </c>
      <c r="N972" t="s">
        <v>42</v>
      </c>
      <c r="O972" t="s">
        <v>27</v>
      </c>
      <c r="P972">
        <v>4.18</v>
      </c>
      <c r="Q972" t="s">
        <v>24</v>
      </c>
      <c r="R972">
        <v>1.6</v>
      </c>
      <c r="S972" t="s">
        <v>43</v>
      </c>
      <c r="T972" t="str">
        <f t="shared" si="30"/>
        <v>High</v>
      </c>
      <c r="U972" t="str">
        <f t="shared" si="31"/>
        <v>Expert</v>
      </c>
    </row>
    <row r="973" spans="1:21" x14ac:dyDescent="0.35">
      <c r="A973" t="s">
        <v>1046</v>
      </c>
      <c r="B973" t="s">
        <v>30</v>
      </c>
      <c r="C973" t="s">
        <v>46</v>
      </c>
      <c r="D973" t="s">
        <v>69</v>
      </c>
      <c r="E973" t="s">
        <v>33</v>
      </c>
      <c r="F973">
        <v>13</v>
      </c>
      <c r="G973">
        <v>0.25</v>
      </c>
      <c r="H973">
        <v>0.32</v>
      </c>
      <c r="I973" t="s">
        <v>24</v>
      </c>
      <c r="J973">
        <v>113295</v>
      </c>
      <c r="K973" t="s">
        <v>42</v>
      </c>
      <c r="L973">
        <v>32</v>
      </c>
      <c r="M973">
        <v>53</v>
      </c>
      <c r="N973" t="s">
        <v>35</v>
      </c>
      <c r="O973" t="s">
        <v>27</v>
      </c>
      <c r="P973">
        <v>3.23</v>
      </c>
      <c r="Q973" t="s">
        <v>34</v>
      </c>
      <c r="R973">
        <v>3.66</v>
      </c>
      <c r="S973" t="s">
        <v>47</v>
      </c>
      <c r="T973" t="str">
        <f t="shared" si="30"/>
        <v>High</v>
      </c>
      <c r="U973" t="str">
        <f t="shared" si="31"/>
        <v>Experienced</v>
      </c>
    </row>
    <row r="974" spans="1:21" x14ac:dyDescent="0.35">
      <c r="A974" t="s">
        <v>1047</v>
      </c>
      <c r="B974" t="s">
        <v>156</v>
      </c>
      <c r="C974" t="s">
        <v>55</v>
      </c>
      <c r="D974" t="s">
        <v>63</v>
      </c>
      <c r="E974" t="s">
        <v>41</v>
      </c>
      <c r="F974">
        <v>6</v>
      </c>
      <c r="G974">
        <v>0.35</v>
      </c>
      <c r="H974">
        <v>0.4</v>
      </c>
      <c r="I974" t="s">
        <v>24</v>
      </c>
      <c r="J974">
        <v>164839</v>
      </c>
      <c r="K974" t="s">
        <v>27</v>
      </c>
      <c r="L974">
        <v>-4</v>
      </c>
      <c r="M974">
        <v>37</v>
      </c>
      <c r="N974" t="s">
        <v>26</v>
      </c>
      <c r="O974" t="s">
        <v>27</v>
      </c>
      <c r="P974">
        <v>4.28</v>
      </c>
      <c r="Q974" t="s">
        <v>24</v>
      </c>
      <c r="R974">
        <v>1.17</v>
      </c>
      <c r="S974" t="s">
        <v>28</v>
      </c>
      <c r="T974" t="str">
        <f t="shared" si="30"/>
        <v>High</v>
      </c>
      <c r="U974" t="str">
        <f t="shared" si="31"/>
        <v>Intermediate</v>
      </c>
    </row>
    <row r="975" spans="1:21" x14ac:dyDescent="0.35">
      <c r="A975" t="s">
        <v>1048</v>
      </c>
      <c r="B975" t="s">
        <v>45</v>
      </c>
      <c r="C975" t="s">
        <v>74</v>
      </c>
      <c r="D975" t="s">
        <v>66</v>
      </c>
      <c r="E975" t="s">
        <v>41</v>
      </c>
      <c r="F975">
        <v>22</v>
      </c>
      <c r="G975">
        <v>0.82</v>
      </c>
      <c r="H975">
        <v>0.27</v>
      </c>
      <c r="I975" t="s">
        <v>34</v>
      </c>
      <c r="J975">
        <v>75323</v>
      </c>
      <c r="K975" t="s">
        <v>27</v>
      </c>
      <c r="L975">
        <v>-1</v>
      </c>
      <c r="M975">
        <v>57</v>
      </c>
      <c r="N975" t="s">
        <v>42</v>
      </c>
      <c r="O975" t="s">
        <v>27</v>
      </c>
      <c r="P975">
        <v>3.25</v>
      </c>
      <c r="Q975" t="s">
        <v>34</v>
      </c>
      <c r="R975">
        <v>4.97</v>
      </c>
      <c r="S975" t="s">
        <v>43</v>
      </c>
      <c r="T975" t="str">
        <f t="shared" si="30"/>
        <v>Very Low</v>
      </c>
      <c r="U975" t="str">
        <f t="shared" si="31"/>
        <v>Expert</v>
      </c>
    </row>
    <row r="976" spans="1:21" x14ac:dyDescent="0.35">
      <c r="A976" t="s">
        <v>1049</v>
      </c>
      <c r="B976" t="s">
        <v>62</v>
      </c>
      <c r="C976" t="s">
        <v>31</v>
      </c>
      <c r="D976" t="s">
        <v>32</v>
      </c>
      <c r="E976" t="s">
        <v>41</v>
      </c>
      <c r="F976">
        <v>1</v>
      </c>
      <c r="G976">
        <v>0.28999999999999998</v>
      </c>
      <c r="H976">
        <v>0.62</v>
      </c>
      <c r="I976" t="s">
        <v>34</v>
      </c>
      <c r="J976">
        <v>132095</v>
      </c>
      <c r="K976" t="s">
        <v>25</v>
      </c>
      <c r="L976">
        <v>26</v>
      </c>
      <c r="M976">
        <v>59</v>
      </c>
      <c r="N976" t="s">
        <v>26</v>
      </c>
      <c r="O976" t="s">
        <v>36</v>
      </c>
      <c r="P976">
        <v>3.33</v>
      </c>
      <c r="Q976" t="s">
        <v>34</v>
      </c>
      <c r="R976">
        <v>1.98</v>
      </c>
      <c r="S976" t="s">
        <v>43</v>
      </c>
      <c r="T976" t="str">
        <f t="shared" si="30"/>
        <v>High</v>
      </c>
      <c r="U976" t="str">
        <f t="shared" si="31"/>
        <v>Beginner</v>
      </c>
    </row>
    <row r="977" spans="1:21" x14ac:dyDescent="0.35">
      <c r="A977" t="s">
        <v>1050</v>
      </c>
      <c r="B977" t="s">
        <v>77</v>
      </c>
      <c r="C977" t="s">
        <v>52</v>
      </c>
      <c r="D977" t="s">
        <v>32</v>
      </c>
      <c r="E977" t="s">
        <v>33</v>
      </c>
      <c r="F977">
        <v>9</v>
      </c>
      <c r="G977">
        <v>0.72</v>
      </c>
      <c r="H977">
        <v>0.81</v>
      </c>
      <c r="I977" t="s">
        <v>60</v>
      </c>
      <c r="J977">
        <v>61130</v>
      </c>
      <c r="K977" t="s">
        <v>25</v>
      </c>
      <c r="L977">
        <v>-3</v>
      </c>
      <c r="M977">
        <v>49</v>
      </c>
      <c r="N977" t="s">
        <v>35</v>
      </c>
      <c r="O977" t="s">
        <v>27</v>
      </c>
      <c r="P977">
        <v>4.79</v>
      </c>
      <c r="Q977" t="s">
        <v>24</v>
      </c>
      <c r="R977">
        <v>1.72</v>
      </c>
      <c r="S977" t="s">
        <v>47</v>
      </c>
      <c r="T977" t="str">
        <f t="shared" si="30"/>
        <v>High</v>
      </c>
      <c r="U977" t="str">
        <f t="shared" si="31"/>
        <v>Experienced</v>
      </c>
    </row>
    <row r="978" spans="1:21" x14ac:dyDescent="0.35">
      <c r="A978" t="s">
        <v>1051</v>
      </c>
      <c r="B978" t="s">
        <v>102</v>
      </c>
      <c r="C978" t="s">
        <v>21</v>
      </c>
      <c r="D978" t="s">
        <v>66</v>
      </c>
      <c r="E978" t="s">
        <v>23</v>
      </c>
      <c r="F978">
        <v>16</v>
      </c>
      <c r="G978">
        <v>0.31</v>
      </c>
      <c r="H978">
        <v>0.68</v>
      </c>
      <c r="I978" t="s">
        <v>60</v>
      </c>
      <c r="J978">
        <v>169433</v>
      </c>
      <c r="K978" t="s">
        <v>27</v>
      </c>
      <c r="L978">
        <v>45</v>
      </c>
      <c r="M978">
        <v>33</v>
      </c>
      <c r="N978" t="s">
        <v>35</v>
      </c>
      <c r="O978" t="s">
        <v>36</v>
      </c>
      <c r="P978">
        <v>4.59</v>
      </c>
      <c r="Q978" t="s">
        <v>34</v>
      </c>
      <c r="R978">
        <v>1.61</v>
      </c>
      <c r="S978" t="s">
        <v>43</v>
      </c>
      <c r="T978" t="str">
        <f t="shared" si="30"/>
        <v>High</v>
      </c>
      <c r="U978" t="str">
        <f t="shared" si="31"/>
        <v>Expert</v>
      </c>
    </row>
    <row r="979" spans="1:21" x14ac:dyDescent="0.35">
      <c r="A979" t="s">
        <v>1052</v>
      </c>
      <c r="B979" t="s">
        <v>73</v>
      </c>
      <c r="C979" t="s">
        <v>39</v>
      </c>
      <c r="D979" t="s">
        <v>69</v>
      </c>
      <c r="E979" t="s">
        <v>23</v>
      </c>
      <c r="F979">
        <v>13</v>
      </c>
      <c r="G979">
        <v>0.23</v>
      </c>
      <c r="H979">
        <v>0.78</v>
      </c>
      <c r="I979" t="s">
        <v>24</v>
      </c>
      <c r="J979">
        <v>35217</v>
      </c>
      <c r="K979" t="s">
        <v>27</v>
      </c>
      <c r="L979">
        <v>34</v>
      </c>
      <c r="M979">
        <v>53</v>
      </c>
      <c r="N979" t="s">
        <v>35</v>
      </c>
      <c r="O979" t="s">
        <v>27</v>
      </c>
      <c r="P979">
        <v>2.0099999999999998</v>
      </c>
      <c r="Q979" t="s">
        <v>24</v>
      </c>
      <c r="R979">
        <v>2.39</v>
      </c>
      <c r="S979" t="s">
        <v>47</v>
      </c>
      <c r="T979" t="str">
        <f t="shared" si="30"/>
        <v>Very High</v>
      </c>
      <c r="U979" t="str">
        <f t="shared" si="31"/>
        <v>Experienced</v>
      </c>
    </row>
    <row r="980" spans="1:21" x14ac:dyDescent="0.35">
      <c r="A980" t="s">
        <v>1053</v>
      </c>
      <c r="B980" t="s">
        <v>30</v>
      </c>
      <c r="C980" t="s">
        <v>58</v>
      </c>
      <c r="D980" t="s">
        <v>63</v>
      </c>
      <c r="E980" t="s">
        <v>33</v>
      </c>
      <c r="F980">
        <v>8</v>
      </c>
      <c r="G980">
        <v>0.41</v>
      </c>
      <c r="H980">
        <v>0.89</v>
      </c>
      <c r="I980" t="s">
        <v>24</v>
      </c>
      <c r="J980">
        <v>31008</v>
      </c>
      <c r="K980" t="s">
        <v>27</v>
      </c>
      <c r="L980">
        <v>5</v>
      </c>
      <c r="M980">
        <v>47</v>
      </c>
      <c r="N980" t="s">
        <v>26</v>
      </c>
      <c r="O980" t="s">
        <v>25</v>
      </c>
      <c r="P980">
        <v>4.8099999999999996</v>
      </c>
      <c r="Q980" t="s">
        <v>24</v>
      </c>
      <c r="R980">
        <v>4.7</v>
      </c>
      <c r="S980" t="s">
        <v>28</v>
      </c>
      <c r="T980" t="str">
        <f t="shared" si="30"/>
        <v>High</v>
      </c>
      <c r="U980" t="str">
        <f t="shared" si="31"/>
        <v>Intermediate</v>
      </c>
    </row>
    <row r="981" spans="1:21" x14ac:dyDescent="0.35">
      <c r="A981" t="s">
        <v>1054</v>
      </c>
      <c r="B981" t="s">
        <v>94</v>
      </c>
      <c r="C981" t="s">
        <v>39</v>
      </c>
      <c r="D981" t="s">
        <v>59</v>
      </c>
      <c r="E981" t="s">
        <v>33</v>
      </c>
      <c r="F981">
        <v>17</v>
      </c>
      <c r="G981">
        <v>0.53</v>
      </c>
      <c r="H981">
        <v>0.54</v>
      </c>
      <c r="I981" t="s">
        <v>24</v>
      </c>
      <c r="J981">
        <v>149901</v>
      </c>
      <c r="K981" t="s">
        <v>27</v>
      </c>
      <c r="L981">
        <v>29</v>
      </c>
      <c r="M981">
        <v>58</v>
      </c>
      <c r="N981" t="s">
        <v>42</v>
      </c>
      <c r="O981" t="s">
        <v>27</v>
      </c>
      <c r="P981">
        <v>4.37</v>
      </c>
      <c r="Q981" t="s">
        <v>24</v>
      </c>
      <c r="R981">
        <v>1.86</v>
      </c>
      <c r="S981" t="s">
        <v>43</v>
      </c>
      <c r="T981" t="str">
        <f t="shared" si="30"/>
        <v>High</v>
      </c>
      <c r="U981" t="str">
        <f t="shared" si="31"/>
        <v>Expert</v>
      </c>
    </row>
    <row r="982" spans="1:21" x14ac:dyDescent="0.35">
      <c r="A982" t="s">
        <v>1055</v>
      </c>
      <c r="B982" t="s">
        <v>51</v>
      </c>
      <c r="C982" t="s">
        <v>52</v>
      </c>
      <c r="D982" t="s">
        <v>49</v>
      </c>
      <c r="E982" t="s">
        <v>41</v>
      </c>
      <c r="F982">
        <v>7</v>
      </c>
      <c r="G982">
        <v>0.92</v>
      </c>
      <c r="H982">
        <v>0.92</v>
      </c>
      <c r="I982" t="s">
        <v>34</v>
      </c>
      <c r="J982">
        <v>135510</v>
      </c>
      <c r="K982" t="s">
        <v>27</v>
      </c>
      <c r="L982">
        <v>9</v>
      </c>
      <c r="M982">
        <v>60</v>
      </c>
      <c r="N982" t="s">
        <v>35</v>
      </c>
      <c r="O982" t="s">
        <v>25</v>
      </c>
      <c r="P982">
        <v>4.92</v>
      </c>
      <c r="Q982" t="s">
        <v>24</v>
      </c>
      <c r="R982">
        <v>1.62</v>
      </c>
      <c r="S982" t="s">
        <v>28</v>
      </c>
      <c r="T982" t="str">
        <f t="shared" si="30"/>
        <v>Moderate</v>
      </c>
      <c r="U982" t="str">
        <f t="shared" si="31"/>
        <v>Intermediate</v>
      </c>
    </row>
    <row r="983" spans="1:21" x14ac:dyDescent="0.35">
      <c r="A983" t="s">
        <v>1056</v>
      </c>
      <c r="B983" t="s">
        <v>147</v>
      </c>
      <c r="C983" t="s">
        <v>82</v>
      </c>
      <c r="D983" t="s">
        <v>49</v>
      </c>
      <c r="E983" t="s">
        <v>41</v>
      </c>
      <c r="F983">
        <v>16</v>
      </c>
      <c r="G983">
        <v>0.66</v>
      </c>
      <c r="H983">
        <v>0.87</v>
      </c>
      <c r="I983" t="s">
        <v>34</v>
      </c>
      <c r="J983">
        <v>88669</v>
      </c>
      <c r="K983" t="s">
        <v>42</v>
      </c>
      <c r="L983">
        <v>35</v>
      </c>
      <c r="M983">
        <v>60</v>
      </c>
      <c r="N983" t="s">
        <v>26</v>
      </c>
      <c r="O983" t="s">
        <v>27</v>
      </c>
      <c r="P983">
        <v>2.06</v>
      </c>
      <c r="Q983" t="s">
        <v>34</v>
      </c>
      <c r="R983">
        <v>2.97</v>
      </c>
      <c r="S983" t="s">
        <v>47</v>
      </c>
      <c r="T983" t="str">
        <f t="shared" si="30"/>
        <v>High</v>
      </c>
      <c r="U983" t="str">
        <f t="shared" si="31"/>
        <v>Expert</v>
      </c>
    </row>
    <row r="984" spans="1:21" x14ac:dyDescent="0.35">
      <c r="A984" t="s">
        <v>1057</v>
      </c>
      <c r="B984" t="s">
        <v>65</v>
      </c>
      <c r="C984" t="s">
        <v>21</v>
      </c>
      <c r="D984" t="s">
        <v>66</v>
      </c>
      <c r="E984" t="s">
        <v>33</v>
      </c>
      <c r="F984">
        <v>24</v>
      </c>
      <c r="G984">
        <v>0.06</v>
      </c>
      <c r="H984">
        <v>0.91</v>
      </c>
      <c r="I984" t="s">
        <v>24</v>
      </c>
      <c r="J984">
        <v>171092</v>
      </c>
      <c r="K984" t="s">
        <v>27</v>
      </c>
      <c r="L984">
        <v>-2</v>
      </c>
      <c r="M984">
        <v>44</v>
      </c>
      <c r="N984" t="s">
        <v>26</v>
      </c>
      <c r="O984" t="s">
        <v>36</v>
      </c>
      <c r="P984">
        <v>4.87</v>
      </c>
      <c r="Q984" t="s">
        <v>24</v>
      </c>
      <c r="R984">
        <v>2.84</v>
      </c>
      <c r="S984" t="s">
        <v>28</v>
      </c>
      <c r="T984" t="str">
        <f t="shared" si="30"/>
        <v>Very High</v>
      </c>
      <c r="U984" t="str">
        <f t="shared" si="31"/>
        <v>Expert</v>
      </c>
    </row>
    <row r="985" spans="1:21" x14ac:dyDescent="0.35">
      <c r="A985" t="s">
        <v>1058</v>
      </c>
      <c r="B985" t="s">
        <v>89</v>
      </c>
      <c r="C985" t="s">
        <v>82</v>
      </c>
      <c r="D985" t="s">
        <v>75</v>
      </c>
      <c r="E985" t="s">
        <v>33</v>
      </c>
      <c r="F985">
        <v>22</v>
      </c>
      <c r="G985">
        <v>0.54</v>
      </c>
      <c r="H985">
        <v>0.44</v>
      </c>
      <c r="I985" t="s">
        <v>34</v>
      </c>
      <c r="J985">
        <v>203209</v>
      </c>
      <c r="K985" t="s">
        <v>42</v>
      </c>
      <c r="L985">
        <v>13</v>
      </c>
      <c r="M985">
        <v>52</v>
      </c>
      <c r="N985" t="s">
        <v>42</v>
      </c>
      <c r="O985" t="s">
        <v>27</v>
      </c>
      <c r="P985">
        <v>3.15</v>
      </c>
      <c r="Q985" t="s">
        <v>24</v>
      </c>
      <c r="R985">
        <v>3.45</v>
      </c>
      <c r="S985" t="s">
        <v>43</v>
      </c>
      <c r="T985" t="str">
        <f t="shared" si="30"/>
        <v>Moderate</v>
      </c>
      <c r="U985" t="str">
        <f t="shared" si="31"/>
        <v>Expert</v>
      </c>
    </row>
    <row r="986" spans="1:21" x14ac:dyDescent="0.35">
      <c r="A986" t="s">
        <v>1059</v>
      </c>
      <c r="B986" t="s">
        <v>38</v>
      </c>
      <c r="C986" t="s">
        <v>82</v>
      </c>
      <c r="D986" t="s">
        <v>63</v>
      </c>
      <c r="E986" t="s">
        <v>70</v>
      </c>
      <c r="F986">
        <v>7</v>
      </c>
      <c r="G986">
        <v>0.23</v>
      </c>
      <c r="H986">
        <v>0.69</v>
      </c>
      <c r="I986" t="s">
        <v>60</v>
      </c>
      <c r="J986">
        <v>185497</v>
      </c>
      <c r="K986" t="s">
        <v>42</v>
      </c>
      <c r="L986">
        <v>32</v>
      </c>
      <c r="M986">
        <v>43</v>
      </c>
      <c r="N986" t="s">
        <v>26</v>
      </c>
      <c r="O986" t="s">
        <v>27</v>
      </c>
      <c r="P986">
        <v>2.0299999999999998</v>
      </c>
      <c r="Q986" t="s">
        <v>34</v>
      </c>
      <c r="R986">
        <v>3.95</v>
      </c>
      <c r="S986" t="s">
        <v>47</v>
      </c>
      <c r="T986" t="str">
        <f t="shared" si="30"/>
        <v>High</v>
      </c>
      <c r="U986" t="str">
        <f t="shared" si="31"/>
        <v>Intermediate</v>
      </c>
    </row>
    <row r="987" spans="1:21" x14ac:dyDescent="0.35">
      <c r="A987" t="s">
        <v>1060</v>
      </c>
      <c r="B987" t="s">
        <v>38</v>
      </c>
      <c r="C987" t="s">
        <v>31</v>
      </c>
      <c r="D987" t="s">
        <v>40</v>
      </c>
      <c r="E987" t="s">
        <v>23</v>
      </c>
      <c r="F987">
        <v>18</v>
      </c>
      <c r="G987">
        <v>0.18</v>
      </c>
      <c r="H987">
        <v>0.69</v>
      </c>
      <c r="I987" t="s">
        <v>60</v>
      </c>
      <c r="J987">
        <v>140900</v>
      </c>
      <c r="K987" t="s">
        <v>42</v>
      </c>
      <c r="L987">
        <v>21</v>
      </c>
      <c r="M987">
        <v>30</v>
      </c>
      <c r="N987" t="s">
        <v>26</v>
      </c>
      <c r="O987" t="s">
        <v>25</v>
      </c>
      <c r="P987">
        <v>3.66</v>
      </c>
      <c r="Q987" t="s">
        <v>34</v>
      </c>
      <c r="R987">
        <v>2.23</v>
      </c>
      <c r="S987" t="s">
        <v>28</v>
      </c>
      <c r="T987" t="str">
        <f t="shared" si="30"/>
        <v>High</v>
      </c>
      <c r="U987" t="str">
        <f t="shared" si="31"/>
        <v>Expert</v>
      </c>
    </row>
    <row r="988" spans="1:21" x14ac:dyDescent="0.35">
      <c r="A988" t="s">
        <v>1061</v>
      </c>
      <c r="B988" t="s">
        <v>65</v>
      </c>
      <c r="C988" t="s">
        <v>31</v>
      </c>
      <c r="D988" t="s">
        <v>40</v>
      </c>
      <c r="E988" t="s">
        <v>23</v>
      </c>
      <c r="F988">
        <v>14</v>
      </c>
      <c r="G988">
        <v>0.91</v>
      </c>
      <c r="H988">
        <v>0.35</v>
      </c>
      <c r="I988" t="s">
        <v>24</v>
      </c>
      <c r="J988">
        <v>189452</v>
      </c>
      <c r="K988" t="s">
        <v>42</v>
      </c>
      <c r="L988">
        <v>43</v>
      </c>
      <c r="M988">
        <v>44</v>
      </c>
      <c r="N988" t="s">
        <v>26</v>
      </c>
      <c r="O988" t="s">
        <v>27</v>
      </c>
      <c r="P988">
        <v>3.03</v>
      </c>
      <c r="Q988" t="s">
        <v>34</v>
      </c>
      <c r="R988">
        <v>3.93</v>
      </c>
      <c r="S988" t="s">
        <v>28</v>
      </c>
      <c r="T988" t="str">
        <f t="shared" si="30"/>
        <v>Very Low</v>
      </c>
      <c r="U988" t="str">
        <f t="shared" si="31"/>
        <v>Experienced</v>
      </c>
    </row>
    <row r="989" spans="1:21" x14ac:dyDescent="0.35">
      <c r="A989" t="s">
        <v>1062</v>
      </c>
      <c r="B989" t="s">
        <v>51</v>
      </c>
      <c r="C989" t="s">
        <v>55</v>
      </c>
      <c r="D989" t="s">
        <v>69</v>
      </c>
      <c r="E989" t="s">
        <v>41</v>
      </c>
      <c r="F989">
        <v>10</v>
      </c>
      <c r="G989">
        <v>0.28999999999999998</v>
      </c>
      <c r="H989">
        <v>0.45</v>
      </c>
      <c r="I989" t="s">
        <v>24</v>
      </c>
      <c r="J989">
        <v>188578</v>
      </c>
      <c r="K989" t="s">
        <v>25</v>
      </c>
      <c r="L989">
        <v>43</v>
      </c>
      <c r="M989">
        <v>58</v>
      </c>
      <c r="N989" t="s">
        <v>35</v>
      </c>
      <c r="O989" t="s">
        <v>25</v>
      </c>
      <c r="P989">
        <v>3.2</v>
      </c>
      <c r="Q989" t="s">
        <v>34</v>
      </c>
      <c r="R989">
        <v>1.1599999999999999</v>
      </c>
      <c r="S989" t="s">
        <v>43</v>
      </c>
      <c r="T989" t="str">
        <f t="shared" si="30"/>
        <v>High</v>
      </c>
      <c r="U989" t="str">
        <f t="shared" si="31"/>
        <v>Experienced</v>
      </c>
    </row>
    <row r="990" spans="1:21" x14ac:dyDescent="0.35">
      <c r="A990" t="s">
        <v>1063</v>
      </c>
      <c r="B990" t="s">
        <v>147</v>
      </c>
      <c r="C990" t="s">
        <v>55</v>
      </c>
      <c r="D990" t="s">
        <v>40</v>
      </c>
      <c r="E990" t="s">
        <v>33</v>
      </c>
      <c r="F990">
        <v>0</v>
      </c>
      <c r="G990">
        <v>0.21</v>
      </c>
      <c r="H990">
        <v>0.62</v>
      </c>
      <c r="I990" t="s">
        <v>60</v>
      </c>
      <c r="J990">
        <v>96234</v>
      </c>
      <c r="K990" t="s">
        <v>27</v>
      </c>
      <c r="L990">
        <v>26</v>
      </c>
      <c r="M990">
        <v>47</v>
      </c>
      <c r="N990" t="s">
        <v>35</v>
      </c>
      <c r="O990" t="s">
        <v>27</v>
      </c>
      <c r="P990">
        <v>4.41</v>
      </c>
      <c r="Q990" t="s">
        <v>34</v>
      </c>
      <c r="R990">
        <v>2.93</v>
      </c>
      <c r="S990" t="s">
        <v>28</v>
      </c>
      <c r="T990" t="str">
        <f t="shared" si="30"/>
        <v>High</v>
      </c>
      <c r="U990" t="str">
        <f t="shared" si="31"/>
        <v>Beginner</v>
      </c>
    </row>
    <row r="991" spans="1:21" x14ac:dyDescent="0.35">
      <c r="A991" t="s">
        <v>1064</v>
      </c>
      <c r="B991" t="s">
        <v>156</v>
      </c>
      <c r="C991" t="s">
        <v>82</v>
      </c>
      <c r="D991" t="s">
        <v>49</v>
      </c>
      <c r="E991" t="s">
        <v>70</v>
      </c>
      <c r="F991">
        <v>0</v>
      </c>
      <c r="G991">
        <v>0.36</v>
      </c>
      <c r="H991">
        <v>0.98</v>
      </c>
      <c r="I991" t="s">
        <v>24</v>
      </c>
      <c r="J991">
        <v>92013</v>
      </c>
      <c r="K991" t="s">
        <v>25</v>
      </c>
      <c r="L991">
        <v>3</v>
      </c>
      <c r="M991">
        <v>31</v>
      </c>
      <c r="N991" t="s">
        <v>26</v>
      </c>
      <c r="O991" t="s">
        <v>36</v>
      </c>
      <c r="P991">
        <v>4.16</v>
      </c>
      <c r="Q991" t="s">
        <v>34</v>
      </c>
      <c r="R991">
        <v>1.41</v>
      </c>
      <c r="S991" t="s">
        <v>28</v>
      </c>
      <c r="T991" t="str">
        <f t="shared" si="30"/>
        <v>Very High</v>
      </c>
      <c r="U991" t="str">
        <f t="shared" si="31"/>
        <v>Beginner</v>
      </c>
    </row>
    <row r="992" spans="1:21" x14ac:dyDescent="0.35">
      <c r="A992" t="s">
        <v>1065</v>
      </c>
      <c r="B992" t="s">
        <v>102</v>
      </c>
      <c r="C992" t="s">
        <v>107</v>
      </c>
      <c r="D992" t="s">
        <v>80</v>
      </c>
      <c r="E992" t="s">
        <v>70</v>
      </c>
      <c r="F992">
        <v>13</v>
      </c>
      <c r="G992">
        <v>0.14000000000000001</v>
      </c>
      <c r="H992">
        <v>0.41</v>
      </c>
      <c r="I992" t="s">
        <v>34</v>
      </c>
      <c r="J992">
        <v>178198</v>
      </c>
      <c r="K992" t="s">
        <v>27</v>
      </c>
      <c r="L992">
        <v>-7</v>
      </c>
      <c r="M992">
        <v>46</v>
      </c>
      <c r="N992" t="s">
        <v>42</v>
      </c>
      <c r="O992" t="s">
        <v>27</v>
      </c>
      <c r="P992">
        <v>4.74</v>
      </c>
      <c r="Q992" t="s">
        <v>24</v>
      </c>
      <c r="R992">
        <v>3.12</v>
      </c>
      <c r="S992" t="s">
        <v>47</v>
      </c>
      <c r="T992" t="str">
        <f t="shared" si="30"/>
        <v>High</v>
      </c>
      <c r="U992" t="str">
        <f t="shared" si="31"/>
        <v>Experienced</v>
      </c>
    </row>
    <row r="993" spans="1:21" x14ac:dyDescent="0.35">
      <c r="A993" t="s">
        <v>1066</v>
      </c>
      <c r="B993" t="s">
        <v>73</v>
      </c>
      <c r="C993" t="s">
        <v>39</v>
      </c>
      <c r="D993" t="s">
        <v>66</v>
      </c>
      <c r="E993" t="s">
        <v>70</v>
      </c>
      <c r="F993">
        <v>9</v>
      </c>
      <c r="G993">
        <v>0.43</v>
      </c>
      <c r="H993">
        <v>0.9</v>
      </c>
      <c r="I993" t="s">
        <v>34</v>
      </c>
      <c r="J993">
        <v>62211</v>
      </c>
      <c r="K993" t="s">
        <v>25</v>
      </c>
      <c r="L993">
        <v>28</v>
      </c>
      <c r="M993">
        <v>49</v>
      </c>
      <c r="N993" t="s">
        <v>35</v>
      </c>
      <c r="O993" t="s">
        <v>36</v>
      </c>
      <c r="P993">
        <v>3.45</v>
      </c>
      <c r="Q993" t="s">
        <v>34</v>
      </c>
      <c r="R993">
        <v>4.82</v>
      </c>
      <c r="S993" t="s">
        <v>28</v>
      </c>
      <c r="T993" t="str">
        <f t="shared" si="30"/>
        <v>High</v>
      </c>
      <c r="U993" t="str">
        <f t="shared" si="31"/>
        <v>Experienced</v>
      </c>
    </row>
    <row r="994" spans="1:21" x14ac:dyDescent="0.35">
      <c r="A994" t="s">
        <v>1067</v>
      </c>
      <c r="B994" t="s">
        <v>147</v>
      </c>
      <c r="C994" t="s">
        <v>46</v>
      </c>
      <c r="D994" t="s">
        <v>22</v>
      </c>
      <c r="E994" t="s">
        <v>23</v>
      </c>
      <c r="F994">
        <v>15</v>
      </c>
      <c r="G994">
        <v>0.76</v>
      </c>
      <c r="H994">
        <v>0.3</v>
      </c>
      <c r="I994" t="s">
        <v>24</v>
      </c>
      <c r="J994">
        <v>114831</v>
      </c>
      <c r="K994" t="s">
        <v>42</v>
      </c>
      <c r="L994">
        <v>17</v>
      </c>
      <c r="M994">
        <v>54</v>
      </c>
      <c r="N994" t="s">
        <v>35</v>
      </c>
      <c r="O994" t="s">
        <v>25</v>
      </c>
      <c r="P994">
        <v>4.82</v>
      </c>
      <c r="Q994" t="s">
        <v>24</v>
      </c>
      <c r="R994">
        <v>1.5</v>
      </c>
      <c r="S994" t="s">
        <v>47</v>
      </c>
      <c r="T994" t="str">
        <f t="shared" si="30"/>
        <v>Very Low</v>
      </c>
      <c r="U994" t="str">
        <f t="shared" si="31"/>
        <v>Experienced</v>
      </c>
    </row>
    <row r="995" spans="1:21" x14ac:dyDescent="0.35">
      <c r="A995" t="s">
        <v>1068</v>
      </c>
      <c r="B995" t="s">
        <v>96</v>
      </c>
      <c r="C995" t="s">
        <v>31</v>
      </c>
      <c r="D995" t="s">
        <v>80</v>
      </c>
      <c r="E995" t="s">
        <v>70</v>
      </c>
      <c r="F995">
        <v>21</v>
      </c>
      <c r="G995">
        <v>0.08</v>
      </c>
      <c r="H995">
        <v>0.59</v>
      </c>
      <c r="I995" t="s">
        <v>34</v>
      </c>
      <c r="J995">
        <v>155934</v>
      </c>
      <c r="K995" t="s">
        <v>42</v>
      </c>
      <c r="L995">
        <v>28</v>
      </c>
      <c r="M995">
        <v>37</v>
      </c>
      <c r="N995" t="s">
        <v>26</v>
      </c>
      <c r="O995" t="s">
        <v>36</v>
      </c>
      <c r="P995">
        <v>2.98</v>
      </c>
      <c r="Q995" t="s">
        <v>24</v>
      </c>
      <c r="R995">
        <v>4.3899999999999997</v>
      </c>
      <c r="S995" t="s">
        <v>47</v>
      </c>
      <c r="T995" t="str">
        <f t="shared" si="30"/>
        <v>High</v>
      </c>
      <c r="U995" t="str">
        <f t="shared" si="31"/>
        <v>Expert</v>
      </c>
    </row>
    <row r="996" spans="1:21" x14ac:dyDescent="0.35">
      <c r="A996" t="s">
        <v>1069</v>
      </c>
      <c r="B996" t="s">
        <v>147</v>
      </c>
      <c r="C996" t="s">
        <v>39</v>
      </c>
      <c r="D996" t="s">
        <v>40</v>
      </c>
      <c r="E996" t="s">
        <v>33</v>
      </c>
      <c r="F996">
        <v>22</v>
      </c>
      <c r="G996">
        <v>0.12</v>
      </c>
      <c r="H996">
        <v>0.31</v>
      </c>
      <c r="I996" t="s">
        <v>60</v>
      </c>
      <c r="J996">
        <v>117298</v>
      </c>
      <c r="K996" t="s">
        <v>25</v>
      </c>
      <c r="L996">
        <v>-10</v>
      </c>
      <c r="M996">
        <v>53</v>
      </c>
      <c r="N996" t="s">
        <v>35</v>
      </c>
      <c r="O996" t="s">
        <v>36</v>
      </c>
      <c r="P996">
        <v>2.38</v>
      </c>
      <c r="Q996" t="s">
        <v>24</v>
      </c>
      <c r="R996">
        <v>4.79</v>
      </c>
      <c r="S996" t="s">
        <v>47</v>
      </c>
      <c r="T996" t="str">
        <f t="shared" si="30"/>
        <v>High</v>
      </c>
      <c r="U996" t="str">
        <f t="shared" si="31"/>
        <v>Expert</v>
      </c>
    </row>
    <row r="997" spans="1:21" x14ac:dyDescent="0.35">
      <c r="A997" t="s">
        <v>1070</v>
      </c>
      <c r="B997" t="s">
        <v>57</v>
      </c>
      <c r="C997" t="s">
        <v>46</v>
      </c>
      <c r="D997" t="s">
        <v>63</v>
      </c>
      <c r="E997" t="s">
        <v>70</v>
      </c>
      <c r="F997">
        <v>22</v>
      </c>
      <c r="G997">
        <v>0.75</v>
      </c>
      <c r="H997">
        <v>0.62</v>
      </c>
      <c r="I997" t="s">
        <v>60</v>
      </c>
      <c r="J997">
        <v>173019</v>
      </c>
      <c r="K997" t="s">
        <v>42</v>
      </c>
      <c r="L997">
        <v>25</v>
      </c>
      <c r="M997">
        <v>40</v>
      </c>
      <c r="N997" t="s">
        <v>35</v>
      </c>
      <c r="O997" t="s">
        <v>25</v>
      </c>
      <c r="P997">
        <v>3.75</v>
      </c>
      <c r="Q997" t="s">
        <v>34</v>
      </c>
      <c r="R997">
        <v>1.68</v>
      </c>
      <c r="S997" t="s">
        <v>43</v>
      </c>
      <c r="T997" t="str">
        <f t="shared" si="30"/>
        <v>Moderate</v>
      </c>
      <c r="U997" t="str">
        <f t="shared" si="31"/>
        <v>Expert</v>
      </c>
    </row>
    <row r="998" spans="1:21" x14ac:dyDescent="0.35">
      <c r="A998" t="s">
        <v>1071</v>
      </c>
      <c r="B998" t="s">
        <v>77</v>
      </c>
      <c r="C998" t="s">
        <v>21</v>
      </c>
      <c r="D998" t="s">
        <v>49</v>
      </c>
      <c r="E998" t="s">
        <v>41</v>
      </c>
      <c r="F998">
        <v>1</v>
      </c>
      <c r="G998">
        <v>0.93</v>
      </c>
      <c r="H998">
        <v>0.46</v>
      </c>
      <c r="I998" t="s">
        <v>34</v>
      </c>
      <c r="J998">
        <v>126532</v>
      </c>
      <c r="K998" t="s">
        <v>25</v>
      </c>
      <c r="L998">
        <v>23</v>
      </c>
      <c r="M998">
        <v>57</v>
      </c>
      <c r="N998" t="s">
        <v>26</v>
      </c>
      <c r="O998" t="s">
        <v>25</v>
      </c>
      <c r="P998">
        <v>3.09</v>
      </c>
      <c r="Q998" t="s">
        <v>24</v>
      </c>
      <c r="R998">
        <v>2.0299999999999998</v>
      </c>
      <c r="S998" t="s">
        <v>43</v>
      </c>
      <c r="T998" t="str">
        <f t="shared" si="30"/>
        <v>Very Low</v>
      </c>
      <c r="U998" t="str">
        <f t="shared" si="31"/>
        <v>Beginner</v>
      </c>
    </row>
    <row r="999" spans="1:21" x14ac:dyDescent="0.35">
      <c r="A999" t="s">
        <v>1072</v>
      </c>
      <c r="B999" t="s">
        <v>62</v>
      </c>
      <c r="C999" t="s">
        <v>107</v>
      </c>
      <c r="D999" t="s">
        <v>80</v>
      </c>
      <c r="E999" t="s">
        <v>70</v>
      </c>
      <c r="F999">
        <v>3</v>
      </c>
      <c r="G999">
        <v>0.62</v>
      </c>
      <c r="H999">
        <v>0.48</v>
      </c>
      <c r="I999" t="s">
        <v>34</v>
      </c>
      <c r="J999">
        <v>67000</v>
      </c>
      <c r="K999" t="s">
        <v>25</v>
      </c>
      <c r="L999">
        <v>12</v>
      </c>
      <c r="M999">
        <v>48</v>
      </c>
      <c r="N999" t="s">
        <v>42</v>
      </c>
      <c r="O999" t="s">
        <v>27</v>
      </c>
      <c r="P999">
        <v>4.42</v>
      </c>
      <c r="Q999" t="s">
        <v>34</v>
      </c>
      <c r="R999">
        <v>1.8</v>
      </c>
      <c r="S999" t="s">
        <v>43</v>
      </c>
      <c r="T999" t="str">
        <f t="shared" si="30"/>
        <v>Moderate</v>
      </c>
      <c r="U999" t="str">
        <f t="shared" si="31"/>
        <v>Intermediate</v>
      </c>
    </row>
    <row r="1000" spans="1:21" x14ac:dyDescent="0.35">
      <c r="A1000" t="s">
        <v>1073</v>
      </c>
      <c r="B1000" t="s">
        <v>68</v>
      </c>
      <c r="C1000" t="s">
        <v>55</v>
      </c>
      <c r="D1000" t="s">
        <v>59</v>
      </c>
      <c r="E1000" t="s">
        <v>23</v>
      </c>
      <c r="F1000">
        <v>2</v>
      </c>
      <c r="G1000">
        <v>0.51</v>
      </c>
      <c r="H1000">
        <v>0.22</v>
      </c>
      <c r="I1000" t="s">
        <v>24</v>
      </c>
      <c r="J1000">
        <v>81179</v>
      </c>
      <c r="K1000" t="s">
        <v>27</v>
      </c>
      <c r="L1000">
        <v>2</v>
      </c>
      <c r="M1000">
        <v>37</v>
      </c>
      <c r="N1000" t="s">
        <v>26</v>
      </c>
      <c r="O1000" t="s">
        <v>27</v>
      </c>
      <c r="P1000">
        <v>4.76</v>
      </c>
      <c r="Q1000" t="s">
        <v>24</v>
      </c>
      <c r="R1000">
        <v>2.71</v>
      </c>
      <c r="S1000" t="s">
        <v>47</v>
      </c>
      <c r="T1000" t="str">
        <f t="shared" si="30"/>
        <v>Moderate</v>
      </c>
      <c r="U1000" t="str">
        <f t="shared" si="31"/>
        <v>Beginner</v>
      </c>
    </row>
    <row r="1001" spans="1:21" x14ac:dyDescent="0.35">
      <c r="A1001" t="s">
        <v>1074</v>
      </c>
      <c r="B1001" t="s">
        <v>62</v>
      </c>
      <c r="C1001" t="s">
        <v>55</v>
      </c>
      <c r="D1001" t="s">
        <v>69</v>
      </c>
      <c r="E1001" t="s">
        <v>33</v>
      </c>
      <c r="F1001">
        <v>10</v>
      </c>
      <c r="G1001">
        <v>0.48</v>
      </c>
      <c r="H1001">
        <v>0.57999999999999996</v>
      </c>
      <c r="I1001" t="s">
        <v>60</v>
      </c>
      <c r="J1001">
        <v>32527</v>
      </c>
      <c r="K1001" t="s">
        <v>25</v>
      </c>
      <c r="L1001">
        <v>10</v>
      </c>
      <c r="M1001">
        <v>35</v>
      </c>
      <c r="N1001" t="s">
        <v>35</v>
      </c>
      <c r="O1001" t="s">
        <v>36</v>
      </c>
      <c r="P1001">
        <v>4.07</v>
      </c>
      <c r="Q1001" t="s">
        <v>34</v>
      </c>
      <c r="R1001">
        <v>2.31</v>
      </c>
      <c r="S1001" t="s">
        <v>28</v>
      </c>
      <c r="T1001" t="str">
        <f t="shared" si="30"/>
        <v>High</v>
      </c>
      <c r="U1001" t="str">
        <f t="shared" si="31"/>
        <v>Experienced</v>
      </c>
    </row>
    <row r="1002" spans="1:21" x14ac:dyDescent="0.35">
      <c r="A1002" t="s">
        <v>1075</v>
      </c>
      <c r="B1002" t="s">
        <v>65</v>
      </c>
      <c r="C1002" t="s">
        <v>46</v>
      </c>
      <c r="D1002" t="s">
        <v>40</v>
      </c>
      <c r="E1002" t="s">
        <v>70</v>
      </c>
      <c r="F1002">
        <v>13</v>
      </c>
      <c r="G1002">
        <v>0.78</v>
      </c>
      <c r="H1002">
        <v>0.6</v>
      </c>
      <c r="I1002" t="s">
        <v>60</v>
      </c>
      <c r="J1002">
        <v>56614</v>
      </c>
      <c r="K1002" t="s">
        <v>42</v>
      </c>
      <c r="L1002">
        <v>2</v>
      </c>
      <c r="M1002">
        <v>39</v>
      </c>
      <c r="N1002" t="s">
        <v>42</v>
      </c>
      <c r="O1002" t="s">
        <v>36</v>
      </c>
      <c r="P1002">
        <v>3.49</v>
      </c>
      <c r="Q1002" t="s">
        <v>34</v>
      </c>
      <c r="R1002">
        <v>2.77</v>
      </c>
      <c r="S1002" t="s">
        <v>43</v>
      </c>
      <c r="T1002" t="str">
        <f t="shared" si="30"/>
        <v>Moderate</v>
      </c>
      <c r="U1002" t="str">
        <f t="shared" si="31"/>
        <v>Experienced</v>
      </c>
    </row>
    <row r="1003" spans="1:21" x14ac:dyDescent="0.35">
      <c r="A1003" t="s">
        <v>1076</v>
      </c>
      <c r="B1003" t="s">
        <v>77</v>
      </c>
      <c r="C1003" t="s">
        <v>46</v>
      </c>
      <c r="D1003" t="s">
        <v>66</v>
      </c>
      <c r="E1003" t="s">
        <v>23</v>
      </c>
      <c r="F1003">
        <v>20</v>
      </c>
      <c r="G1003">
        <v>0.24</v>
      </c>
      <c r="H1003">
        <v>0.51</v>
      </c>
      <c r="I1003" t="s">
        <v>34</v>
      </c>
      <c r="J1003">
        <v>184051</v>
      </c>
      <c r="K1003" t="s">
        <v>42</v>
      </c>
      <c r="L1003">
        <v>11</v>
      </c>
      <c r="M1003">
        <v>31</v>
      </c>
      <c r="N1003" t="s">
        <v>26</v>
      </c>
      <c r="O1003" t="s">
        <v>27</v>
      </c>
      <c r="P1003">
        <v>3.73</v>
      </c>
      <c r="Q1003" t="s">
        <v>24</v>
      </c>
      <c r="R1003">
        <v>3.76</v>
      </c>
      <c r="S1003" t="s">
        <v>47</v>
      </c>
      <c r="T1003" t="str">
        <f t="shared" si="30"/>
        <v>High</v>
      </c>
      <c r="U1003" t="str">
        <f t="shared" si="31"/>
        <v>Expert</v>
      </c>
    </row>
    <row r="1004" spans="1:21" x14ac:dyDescent="0.35">
      <c r="A1004" t="s">
        <v>1077</v>
      </c>
      <c r="B1004" t="s">
        <v>30</v>
      </c>
      <c r="C1004" t="s">
        <v>82</v>
      </c>
      <c r="D1004" t="s">
        <v>40</v>
      </c>
      <c r="E1004" t="s">
        <v>41</v>
      </c>
      <c r="F1004">
        <v>17</v>
      </c>
      <c r="G1004">
        <v>0.26</v>
      </c>
      <c r="H1004">
        <v>0.21</v>
      </c>
      <c r="I1004" t="s">
        <v>60</v>
      </c>
      <c r="J1004">
        <v>91329</v>
      </c>
      <c r="K1004" t="s">
        <v>42</v>
      </c>
      <c r="L1004">
        <v>32</v>
      </c>
      <c r="M1004">
        <v>46</v>
      </c>
      <c r="N1004" t="s">
        <v>42</v>
      </c>
      <c r="O1004" t="s">
        <v>36</v>
      </c>
      <c r="P1004">
        <v>2.5099999999999998</v>
      </c>
      <c r="Q1004" t="s">
        <v>34</v>
      </c>
      <c r="R1004">
        <v>2.56</v>
      </c>
      <c r="S1004" t="s">
        <v>28</v>
      </c>
      <c r="T1004" t="str">
        <f t="shared" si="30"/>
        <v>Moderate</v>
      </c>
      <c r="U1004" t="str">
        <f t="shared" si="31"/>
        <v>Expert</v>
      </c>
    </row>
    <row r="1005" spans="1:21" x14ac:dyDescent="0.35">
      <c r="A1005" t="s">
        <v>1078</v>
      </c>
      <c r="B1005" t="s">
        <v>30</v>
      </c>
      <c r="C1005" t="s">
        <v>46</v>
      </c>
      <c r="D1005" t="s">
        <v>63</v>
      </c>
      <c r="E1005" t="s">
        <v>33</v>
      </c>
      <c r="F1005">
        <v>16</v>
      </c>
      <c r="G1005">
        <v>0.87</v>
      </c>
      <c r="H1005">
        <v>0.49</v>
      </c>
      <c r="I1005" t="s">
        <v>60</v>
      </c>
      <c r="J1005">
        <v>158523</v>
      </c>
      <c r="K1005" t="s">
        <v>25</v>
      </c>
      <c r="L1005">
        <v>43</v>
      </c>
      <c r="M1005">
        <v>48</v>
      </c>
      <c r="N1005" t="s">
        <v>35</v>
      </c>
      <c r="O1005" t="s">
        <v>25</v>
      </c>
      <c r="P1005">
        <v>2.4300000000000002</v>
      </c>
      <c r="Q1005" t="s">
        <v>34</v>
      </c>
      <c r="R1005">
        <v>3.98</v>
      </c>
      <c r="S1005" t="s">
        <v>43</v>
      </c>
      <c r="T1005" t="str">
        <f t="shared" si="30"/>
        <v>Very Low</v>
      </c>
      <c r="U1005" t="str">
        <f t="shared" si="31"/>
        <v>Expert</v>
      </c>
    </row>
    <row r="1006" spans="1:21" x14ac:dyDescent="0.35">
      <c r="A1006" t="s">
        <v>1079</v>
      </c>
      <c r="B1006" t="s">
        <v>45</v>
      </c>
      <c r="C1006" t="s">
        <v>107</v>
      </c>
      <c r="D1006" t="s">
        <v>75</v>
      </c>
      <c r="E1006" t="s">
        <v>70</v>
      </c>
      <c r="F1006">
        <v>24</v>
      </c>
      <c r="G1006">
        <v>0.63</v>
      </c>
      <c r="H1006">
        <v>0.92</v>
      </c>
      <c r="I1006" t="s">
        <v>60</v>
      </c>
      <c r="J1006">
        <v>148450</v>
      </c>
      <c r="K1006" t="s">
        <v>27</v>
      </c>
      <c r="L1006">
        <v>9</v>
      </c>
      <c r="M1006">
        <v>59</v>
      </c>
      <c r="N1006" t="s">
        <v>42</v>
      </c>
      <c r="O1006" t="s">
        <v>36</v>
      </c>
      <c r="P1006">
        <v>4.43</v>
      </c>
      <c r="Q1006" t="s">
        <v>34</v>
      </c>
      <c r="R1006">
        <v>4.18</v>
      </c>
      <c r="S1006" t="s">
        <v>47</v>
      </c>
      <c r="T1006" t="str">
        <f t="shared" si="30"/>
        <v>High</v>
      </c>
      <c r="U1006" t="str">
        <f t="shared" si="31"/>
        <v>Expert</v>
      </c>
    </row>
    <row r="1007" spans="1:21" x14ac:dyDescent="0.35">
      <c r="A1007" t="s">
        <v>1080</v>
      </c>
      <c r="B1007" t="s">
        <v>102</v>
      </c>
      <c r="C1007" t="s">
        <v>55</v>
      </c>
      <c r="D1007" t="s">
        <v>80</v>
      </c>
      <c r="E1007" t="s">
        <v>70</v>
      </c>
      <c r="F1007">
        <v>24</v>
      </c>
      <c r="G1007">
        <v>0.21</v>
      </c>
      <c r="H1007">
        <v>0.37</v>
      </c>
      <c r="I1007" t="s">
        <v>34</v>
      </c>
      <c r="J1007">
        <v>37781</v>
      </c>
      <c r="K1007" t="s">
        <v>27</v>
      </c>
      <c r="L1007">
        <v>-3</v>
      </c>
      <c r="M1007">
        <v>54</v>
      </c>
      <c r="N1007" t="s">
        <v>35</v>
      </c>
      <c r="O1007" t="s">
        <v>27</v>
      </c>
      <c r="P1007">
        <v>2.74</v>
      </c>
      <c r="Q1007" t="s">
        <v>34</v>
      </c>
      <c r="R1007">
        <v>4.34</v>
      </c>
      <c r="S1007" t="s">
        <v>47</v>
      </c>
      <c r="T1007" t="str">
        <f t="shared" si="30"/>
        <v>High</v>
      </c>
      <c r="U1007" t="str">
        <f t="shared" si="31"/>
        <v>Expert</v>
      </c>
    </row>
    <row r="1008" spans="1:21" x14ac:dyDescent="0.35">
      <c r="A1008" t="s">
        <v>1081</v>
      </c>
      <c r="B1008" t="s">
        <v>38</v>
      </c>
      <c r="C1008" t="s">
        <v>82</v>
      </c>
      <c r="D1008" t="s">
        <v>40</v>
      </c>
      <c r="E1008" t="s">
        <v>23</v>
      </c>
      <c r="F1008">
        <v>14</v>
      </c>
      <c r="G1008">
        <v>0.61</v>
      </c>
      <c r="H1008">
        <v>0.92</v>
      </c>
      <c r="I1008" t="s">
        <v>60</v>
      </c>
      <c r="J1008">
        <v>218779</v>
      </c>
      <c r="K1008" t="s">
        <v>25</v>
      </c>
      <c r="L1008">
        <v>13</v>
      </c>
      <c r="M1008">
        <v>40</v>
      </c>
      <c r="N1008" t="s">
        <v>35</v>
      </c>
      <c r="O1008" t="s">
        <v>27</v>
      </c>
      <c r="P1008">
        <v>4.58</v>
      </c>
      <c r="Q1008" t="s">
        <v>34</v>
      </c>
      <c r="R1008">
        <v>3.34</v>
      </c>
      <c r="S1008" t="s">
        <v>47</v>
      </c>
      <c r="T1008" t="str">
        <f t="shared" si="30"/>
        <v>High</v>
      </c>
      <c r="U1008" t="str">
        <f t="shared" si="31"/>
        <v>Experienced</v>
      </c>
    </row>
    <row r="1009" spans="1:21" x14ac:dyDescent="0.35">
      <c r="A1009" t="s">
        <v>1082</v>
      </c>
      <c r="B1009" t="s">
        <v>30</v>
      </c>
      <c r="C1009" t="s">
        <v>39</v>
      </c>
      <c r="D1009" t="s">
        <v>32</v>
      </c>
      <c r="E1009" t="s">
        <v>23</v>
      </c>
      <c r="F1009">
        <v>0</v>
      </c>
      <c r="G1009">
        <v>0.47</v>
      </c>
      <c r="H1009">
        <v>0.79</v>
      </c>
      <c r="I1009" t="s">
        <v>60</v>
      </c>
      <c r="J1009">
        <v>205357</v>
      </c>
      <c r="K1009" t="s">
        <v>27</v>
      </c>
      <c r="L1009">
        <v>-3</v>
      </c>
      <c r="M1009">
        <v>33</v>
      </c>
      <c r="N1009" t="s">
        <v>26</v>
      </c>
      <c r="O1009" t="s">
        <v>25</v>
      </c>
      <c r="P1009">
        <v>4.3600000000000003</v>
      </c>
      <c r="Q1009" t="s">
        <v>24</v>
      </c>
      <c r="R1009">
        <v>1.04</v>
      </c>
      <c r="S1009" t="s">
        <v>28</v>
      </c>
      <c r="T1009" t="str">
        <f t="shared" si="30"/>
        <v>High</v>
      </c>
      <c r="U1009" t="str">
        <f t="shared" si="31"/>
        <v>Beginner</v>
      </c>
    </row>
    <row r="1010" spans="1:21" x14ac:dyDescent="0.35">
      <c r="A1010" t="s">
        <v>1083</v>
      </c>
      <c r="B1010" t="s">
        <v>94</v>
      </c>
      <c r="C1010" t="s">
        <v>58</v>
      </c>
      <c r="D1010" t="s">
        <v>22</v>
      </c>
      <c r="E1010" t="s">
        <v>41</v>
      </c>
      <c r="F1010">
        <v>22</v>
      </c>
      <c r="G1010">
        <v>0.83</v>
      </c>
      <c r="H1010">
        <v>0.48</v>
      </c>
      <c r="I1010" t="s">
        <v>60</v>
      </c>
      <c r="J1010">
        <v>93792</v>
      </c>
      <c r="K1010" t="s">
        <v>42</v>
      </c>
      <c r="L1010">
        <v>42</v>
      </c>
      <c r="M1010">
        <v>47</v>
      </c>
      <c r="N1010" t="s">
        <v>35</v>
      </c>
      <c r="O1010" t="s">
        <v>27</v>
      </c>
      <c r="P1010">
        <v>4.1500000000000004</v>
      </c>
      <c r="Q1010" t="s">
        <v>24</v>
      </c>
      <c r="R1010">
        <v>2.13</v>
      </c>
      <c r="S1010" t="s">
        <v>47</v>
      </c>
      <c r="T1010" t="str">
        <f t="shared" si="30"/>
        <v>Very Low</v>
      </c>
      <c r="U1010" t="str">
        <f t="shared" si="31"/>
        <v>Expert</v>
      </c>
    </row>
    <row r="1011" spans="1:21" x14ac:dyDescent="0.35">
      <c r="A1011" t="s">
        <v>1084</v>
      </c>
      <c r="B1011" t="s">
        <v>65</v>
      </c>
      <c r="C1011" t="s">
        <v>107</v>
      </c>
      <c r="D1011" t="s">
        <v>59</v>
      </c>
      <c r="E1011" t="s">
        <v>23</v>
      </c>
      <c r="F1011">
        <v>24</v>
      </c>
      <c r="G1011">
        <v>0.41</v>
      </c>
      <c r="H1011">
        <v>0.92</v>
      </c>
      <c r="I1011" t="s">
        <v>34</v>
      </c>
      <c r="J1011">
        <v>212756</v>
      </c>
      <c r="K1011" t="s">
        <v>25</v>
      </c>
      <c r="L1011">
        <v>18</v>
      </c>
      <c r="M1011">
        <v>32</v>
      </c>
      <c r="N1011" t="s">
        <v>35</v>
      </c>
      <c r="O1011" t="s">
        <v>27</v>
      </c>
      <c r="P1011">
        <v>3.05</v>
      </c>
      <c r="Q1011" t="s">
        <v>34</v>
      </c>
      <c r="R1011">
        <v>3.27</v>
      </c>
      <c r="S1011" t="s">
        <v>47</v>
      </c>
      <c r="T1011" t="str">
        <f t="shared" si="30"/>
        <v>High</v>
      </c>
      <c r="U1011" t="str">
        <f t="shared" si="31"/>
        <v>Expert</v>
      </c>
    </row>
    <row r="1012" spans="1:21" x14ac:dyDescent="0.35">
      <c r="A1012" t="s">
        <v>1085</v>
      </c>
      <c r="B1012" t="s">
        <v>45</v>
      </c>
      <c r="C1012" t="s">
        <v>74</v>
      </c>
      <c r="D1012" t="s">
        <v>66</v>
      </c>
      <c r="E1012" t="s">
        <v>23</v>
      </c>
      <c r="F1012">
        <v>21</v>
      </c>
      <c r="G1012">
        <v>0.54</v>
      </c>
      <c r="H1012">
        <v>0.97</v>
      </c>
      <c r="I1012" t="s">
        <v>24</v>
      </c>
      <c r="J1012">
        <v>142774</v>
      </c>
      <c r="K1012" t="s">
        <v>25</v>
      </c>
      <c r="L1012">
        <v>31</v>
      </c>
      <c r="M1012">
        <v>40</v>
      </c>
      <c r="N1012" t="s">
        <v>42</v>
      </c>
      <c r="O1012" t="s">
        <v>36</v>
      </c>
      <c r="P1012">
        <v>2.72</v>
      </c>
      <c r="Q1012" t="s">
        <v>34</v>
      </c>
      <c r="R1012">
        <v>3.27</v>
      </c>
      <c r="S1012" t="s">
        <v>43</v>
      </c>
      <c r="T1012" t="str">
        <f t="shared" si="30"/>
        <v>High</v>
      </c>
      <c r="U1012" t="str">
        <f t="shared" si="31"/>
        <v>Expert</v>
      </c>
    </row>
    <row r="1013" spans="1:21" x14ac:dyDescent="0.35">
      <c r="A1013" t="s">
        <v>1086</v>
      </c>
      <c r="B1013" t="s">
        <v>106</v>
      </c>
      <c r="C1013" t="s">
        <v>55</v>
      </c>
      <c r="D1013" t="s">
        <v>59</v>
      </c>
      <c r="E1013" t="s">
        <v>23</v>
      </c>
      <c r="F1013">
        <v>15</v>
      </c>
      <c r="G1013">
        <v>0.4</v>
      </c>
      <c r="H1013">
        <v>0.74</v>
      </c>
      <c r="I1013" t="s">
        <v>24</v>
      </c>
      <c r="J1013">
        <v>41164</v>
      </c>
      <c r="K1013" t="s">
        <v>42</v>
      </c>
      <c r="L1013">
        <v>-9</v>
      </c>
      <c r="M1013">
        <v>57</v>
      </c>
      <c r="N1013" t="s">
        <v>35</v>
      </c>
      <c r="O1013" t="s">
        <v>27</v>
      </c>
      <c r="P1013">
        <v>3.78</v>
      </c>
      <c r="Q1013" t="s">
        <v>34</v>
      </c>
      <c r="R1013">
        <v>2.64</v>
      </c>
      <c r="S1013" t="s">
        <v>43</v>
      </c>
      <c r="T1013" t="str">
        <f t="shared" si="30"/>
        <v>High</v>
      </c>
      <c r="U1013" t="str">
        <f t="shared" si="31"/>
        <v>Experienced</v>
      </c>
    </row>
    <row r="1014" spans="1:21" x14ac:dyDescent="0.35">
      <c r="A1014" t="s">
        <v>1087</v>
      </c>
      <c r="B1014" t="s">
        <v>94</v>
      </c>
      <c r="C1014" t="s">
        <v>21</v>
      </c>
      <c r="D1014" t="s">
        <v>75</v>
      </c>
      <c r="E1014" t="s">
        <v>41</v>
      </c>
      <c r="F1014">
        <v>19</v>
      </c>
      <c r="G1014">
        <v>0.78</v>
      </c>
      <c r="H1014">
        <v>0.4</v>
      </c>
      <c r="I1014" t="s">
        <v>60</v>
      </c>
      <c r="J1014">
        <v>214757</v>
      </c>
      <c r="K1014" t="s">
        <v>42</v>
      </c>
      <c r="L1014">
        <v>10</v>
      </c>
      <c r="M1014">
        <v>50</v>
      </c>
      <c r="N1014" t="s">
        <v>35</v>
      </c>
      <c r="O1014" t="s">
        <v>36</v>
      </c>
      <c r="P1014">
        <v>3.61</v>
      </c>
      <c r="Q1014" t="s">
        <v>34</v>
      </c>
      <c r="R1014">
        <v>2.64</v>
      </c>
      <c r="S1014" t="s">
        <v>43</v>
      </c>
      <c r="T1014" t="str">
        <f t="shared" si="30"/>
        <v>Very Low</v>
      </c>
      <c r="U1014" t="str">
        <f t="shared" si="31"/>
        <v>Expert</v>
      </c>
    </row>
    <row r="1015" spans="1:21" x14ac:dyDescent="0.35">
      <c r="A1015" t="s">
        <v>1088</v>
      </c>
      <c r="B1015" t="s">
        <v>106</v>
      </c>
      <c r="C1015" t="s">
        <v>107</v>
      </c>
      <c r="D1015" t="s">
        <v>59</v>
      </c>
      <c r="E1015" t="s">
        <v>41</v>
      </c>
      <c r="F1015">
        <v>8</v>
      </c>
      <c r="G1015">
        <v>0.22</v>
      </c>
      <c r="H1015">
        <v>0.64</v>
      </c>
      <c r="I1015" t="s">
        <v>24</v>
      </c>
      <c r="J1015">
        <v>30320</v>
      </c>
      <c r="K1015" t="s">
        <v>42</v>
      </c>
      <c r="L1015">
        <v>16</v>
      </c>
      <c r="M1015">
        <v>36</v>
      </c>
      <c r="N1015" t="s">
        <v>42</v>
      </c>
      <c r="O1015" t="s">
        <v>25</v>
      </c>
      <c r="P1015">
        <v>4.8</v>
      </c>
      <c r="Q1015" t="s">
        <v>24</v>
      </c>
      <c r="R1015">
        <v>2.0499999999999998</v>
      </c>
      <c r="S1015" t="s">
        <v>43</v>
      </c>
      <c r="T1015" t="str">
        <f t="shared" si="30"/>
        <v>High</v>
      </c>
      <c r="U1015" t="str">
        <f t="shared" si="31"/>
        <v>Intermediate</v>
      </c>
    </row>
    <row r="1016" spans="1:21" x14ac:dyDescent="0.35">
      <c r="A1016" t="s">
        <v>1089</v>
      </c>
      <c r="B1016" t="s">
        <v>94</v>
      </c>
      <c r="C1016" t="s">
        <v>46</v>
      </c>
      <c r="D1016" t="s">
        <v>75</v>
      </c>
      <c r="E1016" t="s">
        <v>23</v>
      </c>
      <c r="F1016">
        <v>15</v>
      </c>
      <c r="G1016">
        <v>0.76</v>
      </c>
      <c r="H1016">
        <v>0.93</v>
      </c>
      <c r="I1016" t="s">
        <v>34</v>
      </c>
      <c r="J1016">
        <v>180823</v>
      </c>
      <c r="K1016" t="s">
        <v>42</v>
      </c>
      <c r="L1016">
        <v>34</v>
      </c>
      <c r="M1016">
        <v>54</v>
      </c>
      <c r="N1016" t="s">
        <v>26</v>
      </c>
      <c r="O1016" t="s">
        <v>27</v>
      </c>
      <c r="P1016">
        <v>3.88</v>
      </c>
      <c r="Q1016" t="s">
        <v>24</v>
      </c>
      <c r="R1016">
        <v>3.28</v>
      </c>
      <c r="S1016" t="s">
        <v>47</v>
      </c>
      <c r="T1016" t="str">
        <f t="shared" si="30"/>
        <v>High</v>
      </c>
      <c r="U1016" t="str">
        <f t="shared" si="31"/>
        <v>Experienced</v>
      </c>
    </row>
    <row r="1017" spans="1:21" x14ac:dyDescent="0.35">
      <c r="A1017" t="s">
        <v>1090</v>
      </c>
      <c r="B1017" t="s">
        <v>57</v>
      </c>
      <c r="C1017" t="s">
        <v>74</v>
      </c>
      <c r="D1017" t="s">
        <v>80</v>
      </c>
      <c r="E1017" t="s">
        <v>23</v>
      </c>
      <c r="F1017">
        <v>4</v>
      </c>
      <c r="G1017">
        <v>0.73</v>
      </c>
      <c r="H1017">
        <v>0.48</v>
      </c>
      <c r="I1017" t="s">
        <v>34</v>
      </c>
      <c r="J1017">
        <v>215312</v>
      </c>
      <c r="K1017" t="s">
        <v>25</v>
      </c>
      <c r="L1017">
        <v>19</v>
      </c>
      <c r="M1017">
        <v>38</v>
      </c>
      <c r="N1017" t="s">
        <v>35</v>
      </c>
      <c r="O1017" t="s">
        <v>25</v>
      </c>
      <c r="P1017">
        <v>3.93</v>
      </c>
      <c r="Q1017" t="s">
        <v>34</v>
      </c>
      <c r="R1017">
        <v>4.22</v>
      </c>
      <c r="S1017" t="s">
        <v>28</v>
      </c>
      <c r="T1017" t="str">
        <f t="shared" si="30"/>
        <v>Very Low</v>
      </c>
      <c r="U1017" t="str">
        <f t="shared" si="31"/>
        <v>Intermediate</v>
      </c>
    </row>
    <row r="1018" spans="1:21" x14ac:dyDescent="0.35">
      <c r="A1018" t="s">
        <v>1091</v>
      </c>
      <c r="B1018" t="s">
        <v>102</v>
      </c>
      <c r="C1018" t="s">
        <v>31</v>
      </c>
      <c r="D1018" t="s">
        <v>59</v>
      </c>
      <c r="E1018" t="s">
        <v>41</v>
      </c>
      <c r="F1018">
        <v>16</v>
      </c>
      <c r="G1018">
        <v>0.75</v>
      </c>
      <c r="H1018">
        <v>0.8</v>
      </c>
      <c r="I1018" t="s">
        <v>34</v>
      </c>
      <c r="J1018">
        <v>39205</v>
      </c>
      <c r="K1018" t="s">
        <v>25</v>
      </c>
      <c r="L1018">
        <v>25</v>
      </c>
      <c r="M1018">
        <v>45</v>
      </c>
      <c r="N1018" t="s">
        <v>42</v>
      </c>
      <c r="O1018" t="s">
        <v>27</v>
      </c>
      <c r="P1018">
        <v>4.24</v>
      </c>
      <c r="Q1018" t="s">
        <v>24</v>
      </c>
      <c r="R1018">
        <v>3.93</v>
      </c>
      <c r="S1018" t="s">
        <v>47</v>
      </c>
      <c r="T1018" t="str">
        <f t="shared" si="30"/>
        <v>High</v>
      </c>
      <c r="U1018" t="str">
        <f t="shared" si="31"/>
        <v>Expert</v>
      </c>
    </row>
    <row r="1019" spans="1:21" x14ac:dyDescent="0.35">
      <c r="A1019" t="s">
        <v>1092</v>
      </c>
      <c r="B1019" t="s">
        <v>156</v>
      </c>
      <c r="C1019" t="s">
        <v>46</v>
      </c>
      <c r="D1019" t="s">
        <v>40</v>
      </c>
      <c r="E1019" t="s">
        <v>70</v>
      </c>
      <c r="F1019">
        <v>6</v>
      </c>
      <c r="G1019">
        <v>0.13</v>
      </c>
      <c r="H1019">
        <v>0.77</v>
      </c>
      <c r="I1019" t="s">
        <v>60</v>
      </c>
      <c r="J1019">
        <v>188608</v>
      </c>
      <c r="K1019" t="s">
        <v>27</v>
      </c>
      <c r="L1019">
        <v>45</v>
      </c>
      <c r="M1019">
        <v>43</v>
      </c>
      <c r="N1019" t="s">
        <v>35</v>
      </c>
      <c r="O1019" t="s">
        <v>25</v>
      </c>
      <c r="P1019">
        <v>3.63</v>
      </c>
      <c r="Q1019" t="s">
        <v>34</v>
      </c>
      <c r="R1019">
        <v>1.53</v>
      </c>
      <c r="S1019" t="s">
        <v>43</v>
      </c>
      <c r="T1019" t="str">
        <f t="shared" si="30"/>
        <v>Very High</v>
      </c>
      <c r="U1019" t="str">
        <f t="shared" si="31"/>
        <v>Intermediate</v>
      </c>
    </row>
    <row r="1020" spans="1:21" x14ac:dyDescent="0.35">
      <c r="A1020" t="s">
        <v>1093</v>
      </c>
      <c r="B1020" t="s">
        <v>45</v>
      </c>
      <c r="C1020" t="s">
        <v>46</v>
      </c>
      <c r="D1020" t="s">
        <v>75</v>
      </c>
      <c r="E1020" t="s">
        <v>70</v>
      </c>
      <c r="F1020">
        <v>14</v>
      </c>
      <c r="G1020">
        <v>0.81</v>
      </c>
      <c r="H1020">
        <v>0.88</v>
      </c>
      <c r="I1020" t="s">
        <v>34</v>
      </c>
      <c r="J1020">
        <v>90986</v>
      </c>
      <c r="K1020" t="s">
        <v>25</v>
      </c>
      <c r="L1020">
        <v>-10</v>
      </c>
      <c r="M1020">
        <v>38</v>
      </c>
      <c r="N1020" t="s">
        <v>42</v>
      </c>
      <c r="O1020" t="s">
        <v>25</v>
      </c>
      <c r="P1020">
        <v>2.06</v>
      </c>
      <c r="Q1020" t="s">
        <v>34</v>
      </c>
      <c r="R1020">
        <v>3.76</v>
      </c>
      <c r="S1020" t="s">
        <v>28</v>
      </c>
      <c r="T1020" t="str">
        <f t="shared" si="30"/>
        <v>High</v>
      </c>
      <c r="U1020" t="str">
        <f t="shared" si="31"/>
        <v>Experienced</v>
      </c>
    </row>
    <row r="1021" spans="1:21" x14ac:dyDescent="0.35">
      <c r="A1021" t="s">
        <v>1094</v>
      </c>
      <c r="B1021" t="s">
        <v>45</v>
      </c>
      <c r="C1021" t="s">
        <v>58</v>
      </c>
      <c r="D1021" t="s">
        <v>22</v>
      </c>
      <c r="E1021" t="s">
        <v>23</v>
      </c>
      <c r="F1021">
        <v>22</v>
      </c>
      <c r="G1021">
        <v>0.95</v>
      </c>
      <c r="H1021">
        <v>0.39</v>
      </c>
      <c r="I1021" t="s">
        <v>60</v>
      </c>
      <c r="J1021">
        <v>174398</v>
      </c>
      <c r="K1021" t="s">
        <v>42</v>
      </c>
      <c r="L1021">
        <v>-4</v>
      </c>
      <c r="M1021">
        <v>60</v>
      </c>
      <c r="N1021" t="s">
        <v>26</v>
      </c>
      <c r="O1021" t="s">
        <v>25</v>
      </c>
      <c r="P1021">
        <v>2.4300000000000002</v>
      </c>
      <c r="Q1021" t="s">
        <v>34</v>
      </c>
      <c r="R1021">
        <v>3.18</v>
      </c>
      <c r="S1021" t="s">
        <v>43</v>
      </c>
      <c r="T1021" t="str">
        <f t="shared" si="30"/>
        <v>Very Low</v>
      </c>
      <c r="U1021" t="str">
        <f t="shared" si="31"/>
        <v>Expert</v>
      </c>
    </row>
    <row r="1022" spans="1:21" x14ac:dyDescent="0.35">
      <c r="A1022" t="s">
        <v>1095</v>
      </c>
      <c r="B1022" t="s">
        <v>94</v>
      </c>
      <c r="C1022" t="s">
        <v>39</v>
      </c>
      <c r="D1022" t="s">
        <v>32</v>
      </c>
      <c r="E1022" t="s">
        <v>33</v>
      </c>
      <c r="F1022">
        <v>11</v>
      </c>
      <c r="G1022">
        <v>0.72</v>
      </c>
      <c r="H1022">
        <v>0.98</v>
      </c>
      <c r="I1022" t="s">
        <v>24</v>
      </c>
      <c r="J1022">
        <v>180558</v>
      </c>
      <c r="K1022" t="s">
        <v>42</v>
      </c>
      <c r="L1022">
        <v>43</v>
      </c>
      <c r="M1022">
        <v>39</v>
      </c>
      <c r="N1022" t="s">
        <v>35</v>
      </c>
      <c r="O1022" t="s">
        <v>25</v>
      </c>
      <c r="P1022">
        <v>2.87</v>
      </c>
      <c r="Q1022" t="s">
        <v>34</v>
      </c>
      <c r="R1022">
        <v>4.33</v>
      </c>
      <c r="S1022" t="s">
        <v>28</v>
      </c>
      <c r="T1022" t="str">
        <f t="shared" si="30"/>
        <v>High</v>
      </c>
      <c r="U1022" t="str">
        <f t="shared" si="31"/>
        <v>Experienced</v>
      </c>
    </row>
    <row r="1023" spans="1:21" x14ac:dyDescent="0.35">
      <c r="A1023" t="s">
        <v>1096</v>
      </c>
      <c r="B1023" t="s">
        <v>102</v>
      </c>
      <c r="C1023" t="s">
        <v>31</v>
      </c>
      <c r="D1023" t="s">
        <v>69</v>
      </c>
      <c r="E1023" t="s">
        <v>23</v>
      </c>
      <c r="F1023">
        <v>3</v>
      </c>
      <c r="G1023">
        <v>0.53</v>
      </c>
      <c r="H1023">
        <v>0.69</v>
      </c>
      <c r="I1023" t="s">
        <v>60</v>
      </c>
      <c r="J1023">
        <v>39291</v>
      </c>
      <c r="K1023" t="s">
        <v>42</v>
      </c>
      <c r="L1023">
        <v>3</v>
      </c>
      <c r="M1023">
        <v>31</v>
      </c>
      <c r="N1023" t="s">
        <v>42</v>
      </c>
      <c r="O1023" t="s">
        <v>25</v>
      </c>
      <c r="P1023">
        <v>2.4500000000000002</v>
      </c>
      <c r="Q1023" t="s">
        <v>34</v>
      </c>
      <c r="R1023">
        <v>2.79</v>
      </c>
      <c r="S1023" t="s">
        <v>28</v>
      </c>
      <c r="T1023" t="str">
        <f t="shared" si="30"/>
        <v>High</v>
      </c>
      <c r="U1023" t="str">
        <f t="shared" si="31"/>
        <v>Intermediate</v>
      </c>
    </row>
    <row r="1024" spans="1:21" x14ac:dyDescent="0.35">
      <c r="A1024" t="s">
        <v>1097</v>
      </c>
      <c r="B1024" t="s">
        <v>96</v>
      </c>
      <c r="C1024" t="s">
        <v>52</v>
      </c>
      <c r="D1024" t="s">
        <v>32</v>
      </c>
      <c r="E1024" t="s">
        <v>41</v>
      </c>
      <c r="F1024">
        <v>18</v>
      </c>
      <c r="G1024">
        <v>0.59</v>
      </c>
      <c r="H1024">
        <v>0.82</v>
      </c>
      <c r="I1024" t="s">
        <v>34</v>
      </c>
      <c r="J1024">
        <v>91982</v>
      </c>
      <c r="K1024" t="s">
        <v>25</v>
      </c>
      <c r="L1024">
        <v>16</v>
      </c>
      <c r="M1024">
        <v>60</v>
      </c>
      <c r="N1024" t="s">
        <v>26</v>
      </c>
      <c r="O1024" t="s">
        <v>27</v>
      </c>
      <c r="P1024">
        <v>2.09</v>
      </c>
      <c r="Q1024" t="s">
        <v>34</v>
      </c>
      <c r="R1024">
        <v>2.86</v>
      </c>
      <c r="S1024" t="s">
        <v>28</v>
      </c>
      <c r="T1024" t="str">
        <f t="shared" si="30"/>
        <v>High</v>
      </c>
      <c r="U1024" t="str">
        <f t="shared" si="31"/>
        <v>Expert</v>
      </c>
    </row>
    <row r="1025" spans="1:21" x14ac:dyDescent="0.35">
      <c r="A1025" t="s">
        <v>1098</v>
      </c>
      <c r="B1025" t="s">
        <v>156</v>
      </c>
      <c r="C1025" t="s">
        <v>58</v>
      </c>
      <c r="D1025" t="s">
        <v>49</v>
      </c>
      <c r="E1025" t="s">
        <v>33</v>
      </c>
      <c r="F1025">
        <v>19</v>
      </c>
      <c r="G1025">
        <v>0.17</v>
      </c>
      <c r="H1025">
        <v>0.95</v>
      </c>
      <c r="I1025" t="s">
        <v>34</v>
      </c>
      <c r="J1025">
        <v>177609</v>
      </c>
      <c r="K1025" t="s">
        <v>25</v>
      </c>
      <c r="L1025">
        <v>2</v>
      </c>
      <c r="M1025">
        <v>54</v>
      </c>
      <c r="N1025" t="s">
        <v>35</v>
      </c>
      <c r="O1025" t="s">
        <v>27</v>
      </c>
      <c r="P1025">
        <v>3.35</v>
      </c>
      <c r="Q1025" t="s">
        <v>24</v>
      </c>
      <c r="R1025">
        <v>1.37</v>
      </c>
      <c r="S1025" t="s">
        <v>47</v>
      </c>
      <c r="T1025" t="str">
        <f t="shared" si="30"/>
        <v>Very High</v>
      </c>
      <c r="U1025" t="str">
        <f t="shared" si="31"/>
        <v>Expert</v>
      </c>
    </row>
    <row r="1026" spans="1:21" x14ac:dyDescent="0.35">
      <c r="A1026" t="s">
        <v>1099</v>
      </c>
      <c r="B1026" t="s">
        <v>156</v>
      </c>
      <c r="C1026" t="s">
        <v>31</v>
      </c>
      <c r="D1026" t="s">
        <v>63</v>
      </c>
      <c r="E1026" t="s">
        <v>70</v>
      </c>
      <c r="F1026">
        <v>23</v>
      </c>
      <c r="G1026">
        <v>0.4</v>
      </c>
      <c r="H1026">
        <v>0.31</v>
      </c>
      <c r="I1026" t="s">
        <v>34</v>
      </c>
      <c r="J1026">
        <v>61444</v>
      </c>
      <c r="K1026" t="s">
        <v>25</v>
      </c>
      <c r="L1026">
        <v>21</v>
      </c>
      <c r="M1026">
        <v>33</v>
      </c>
      <c r="N1026" t="s">
        <v>26</v>
      </c>
      <c r="O1026" t="s">
        <v>25</v>
      </c>
      <c r="P1026">
        <v>3.64</v>
      </c>
      <c r="Q1026" t="s">
        <v>24</v>
      </c>
      <c r="R1026">
        <v>2.9</v>
      </c>
      <c r="S1026" t="s">
        <v>47</v>
      </c>
      <c r="T1026" t="str">
        <f t="shared" si="30"/>
        <v>Moderate</v>
      </c>
      <c r="U1026" t="str">
        <f t="shared" si="31"/>
        <v>Expert</v>
      </c>
    </row>
    <row r="1027" spans="1:21" x14ac:dyDescent="0.35">
      <c r="A1027" t="s">
        <v>1100</v>
      </c>
      <c r="B1027" t="s">
        <v>106</v>
      </c>
      <c r="C1027" t="s">
        <v>82</v>
      </c>
      <c r="D1027" t="s">
        <v>63</v>
      </c>
      <c r="E1027" t="s">
        <v>33</v>
      </c>
      <c r="F1027">
        <v>2</v>
      </c>
      <c r="G1027">
        <v>0.79</v>
      </c>
      <c r="H1027">
        <v>0.8</v>
      </c>
      <c r="I1027" t="s">
        <v>60</v>
      </c>
      <c r="J1027">
        <v>106843</v>
      </c>
      <c r="K1027" t="s">
        <v>42</v>
      </c>
      <c r="L1027">
        <v>-10</v>
      </c>
      <c r="M1027">
        <v>34</v>
      </c>
      <c r="N1027" t="s">
        <v>42</v>
      </c>
      <c r="O1027" t="s">
        <v>25</v>
      </c>
      <c r="P1027">
        <v>2.64</v>
      </c>
      <c r="Q1027" t="s">
        <v>34</v>
      </c>
      <c r="R1027">
        <v>4.0199999999999996</v>
      </c>
      <c r="S1027" t="s">
        <v>47</v>
      </c>
      <c r="T1027" t="str">
        <f t="shared" ref="T1027:T1090" si="32">IF(AND(G1027&lt;0.4,H1027&gt;=0.7),"Very High",
IF(AND(G1027&gt;=0.7,H1027&lt;0.5),"Very Low",
IF(G1027&lt;H1027,"High","Moderate")))</f>
        <v>High</v>
      </c>
      <c r="U1027" t="str">
        <f t="shared" ref="U1027:U1090" si="33">_xlfn.IFS(F1027&lt;=2,"Beginner",F1027&lt;=8,"Intermediate",F1027&lt;=15,"Experienced",F1027&lt;=25,"Expert")</f>
        <v>Beginner</v>
      </c>
    </row>
    <row r="1028" spans="1:21" x14ac:dyDescent="0.35">
      <c r="A1028" t="s">
        <v>1101</v>
      </c>
      <c r="B1028" t="s">
        <v>96</v>
      </c>
      <c r="C1028" t="s">
        <v>46</v>
      </c>
      <c r="D1028" t="s">
        <v>75</v>
      </c>
      <c r="E1028" t="s">
        <v>33</v>
      </c>
      <c r="F1028">
        <v>21</v>
      </c>
      <c r="G1028">
        <v>0.77</v>
      </c>
      <c r="H1028">
        <v>0.56999999999999995</v>
      </c>
      <c r="I1028" t="s">
        <v>24</v>
      </c>
      <c r="J1028">
        <v>77263</v>
      </c>
      <c r="K1028" t="s">
        <v>42</v>
      </c>
      <c r="L1028">
        <v>31</v>
      </c>
      <c r="M1028">
        <v>50</v>
      </c>
      <c r="N1028" t="s">
        <v>42</v>
      </c>
      <c r="O1028" t="s">
        <v>36</v>
      </c>
      <c r="P1028">
        <v>2.2799999999999998</v>
      </c>
      <c r="Q1028" t="s">
        <v>24</v>
      </c>
      <c r="R1028">
        <v>2.88</v>
      </c>
      <c r="S1028" t="s">
        <v>47</v>
      </c>
      <c r="T1028" t="str">
        <f t="shared" si="32"/>
        <v>Moderate</v>
      </c>
      <c r="U1028" t="str">
        <f t="shared" si="33"/>
        <v>Expert</v>
      </c>
    </row>
    <row r="1029" spans="1:21" x14ac:dyDescent="0.35">
      <c r="A1029" t="s">
        <v>1102</v>
      </c>
      <c r="B1029" t="s">
        <v>96</v>
      </c>
      <c r="C1029" t="s">
        <v>58</v>
      </c>
      <c r="D1029" t="s">
        <v>32</v>
      </c>
      <c r="E1029" t="s">
        <v>41</v>
      </c>
      <c r="F1029">
        <v>3</v>
      </c>
      <c r="G1029">
        <v>0.37</v>
      </c>
      <c r="H1029">
        <v>0.63</v>
      </c>
      <c r="I1029" t="s">
        <v>60</v>
      </c>
      <c r="J1029">
        <v>59346</v>
      </c>
      <c r="K1029" t="s">
        <v>27</v>
      </c>
      <c r="L1029">
        <v>-3</v>
      </c>
      <c r="M1029">
        <v>40</v>
      </c>
      <c r="N1029" t="s">
        <v>26</v>
      </c>
      <c r="O1029" t="s">
        <v>27</v>
      </c>
      <c r="P1029">
        <v>4.7699999999999996</v>
      </c>
      <c r="Q1029" t="s">
        <v>24</v>
      </c>
      <c r="R1029">
        <v>1.68</v>
      </c>
      <c r="S1029" t="s">
        <v>43</v>
      </c>
      <c r="T1029" t="str">
        <f t="shared" si="32"/>
        <v>High</v>
      </c>
      <c r="U1029" t="str">
        <f t="shared" si="33"/>
        <v>Intermediate</v>
      </c>
    </row>
    <row r="1030" spans="1:21" x14ac:dyDescent="0.35">
      <c r="A1030" t="s">
        <v>1103</v>
      </c>
      <c r="B1030" t="s">
        <v>94</v>
      </c>
      <c r="C1030" t="s">
        <v>82</v>
      </c>
      <c r="D1030" t="s">
        <v>59</v>
      </c>
      <c r="E1030" t="s">
        <v>23</v>
      </c>
      <c r="F1030">
        <v>12</v>
      </c>
      <c r="G1030">
        <v>0.76</v>
      </c>
      <c r="H1030">
        <v>0.92</v>
      </c>
      <c r="I1030" t="s">
        <v>24</v>
      </c>
      <c r="J1030">
        <v>164662</v>
      </c>
      <c r="K1030" t="s">
        <v>25</v>
      </c>
      <c r="L1030">
        <v>22</v>
      </c>
      <c r="M1030">
        <v>46</v>
      </c>
      <c r="N1030" t="s">
        <v>42</v>
      </c>
      <c r="O1030" t="s">
        <v>36</v>
      </c>
      <c r="P1030">
        <v>3.37</v>
      </c>
      <c r="Q1030" t="s">
        <v>24</v>
      </c>
      <c r="R1030">
        <v>3.04</v>
      </c>
      <c r="S1030" t="s">
        <v>47</v>
      </c>
      <c r="T1030" t="str">
        <f t="shared" si="32"/>
        <v>High</v>
      </c>
      <c r="U1030" t="str">
        <f t="shared" si="33"/>
        <v>Experienced</v>
      </c>
    </row>
    <row r="1031" spans="1:21" x14ac:dyDescent="0.35">
      <c r="A1031" t="s">
        <v>1104</v>
      </c>
      <c r="B1031" t="s">
        <v>45</v>
      </c>
      <c r="C1031" t="s">
        <v>52</v>
      </c>
      <c r="D1031" t="s">
        <v>66</v>
      </c>
      <c r="E1031" t="s">
        <v>41</v>
      </c>
      <c r="F1031">
        <v>1</v>
      </c>
      <c r="G1031">
        <v>0.31</v>
      </c>
      <c r="H1031">
        <v>0.87</v>
      </c>
      <c r="I1031" t="s">
        <v>34</v>
      </c>
      <c r="J1031">
        <v>64243</v>
      </c>
      <c r="K1031" t="s">
        <v>27</v>
      </c>
      <c r="L1031">
        <v>37</v>
      </c>
      <c r="M1031">
        <v>53</v>
      </c>
      <c r="N1031" t="s">
        <v>26</v>
      </c>
      <c r="O1031" t="s">
        <v>25</v>
      </c>
      <c r="P1031">
        <v>3.18</v>
      </c>
      <c r="Q1031" t="s">
        <v>24</v>
      </c>
      <c r="R1031">
        <v>4.33</v>
      </c>
      <c r="S1031" t="s">
        <v>43</v>
      </c>
      <c r="T1031" t="str">
        <f t="shared" si="32"/>
        <v>Very High</v>
      </c>
      <c r="U1031" t="str">
        <f t="shared" si="33"/>
        <v>Beginner</v>
      </c>
    </row>
    <row r="1032" spans="1:21" x14ac:dyDescent="0.35">
      <c r="A1032" t="s">
        <v>1105</v>
      </c>
      <c r="B1032" t="s">
        <v>51</v>
      </c>
      <c r="C1032" t="s">
        <v>21</v>
      </c>
      <c r="D1032" t="s">
        <v>59</v>
      </c>
      <c r="E1032" t="s">
        <v>23</v>
      </c>
      <c r="F1032">
        <v>10</v>
      </c>
      <c r="G1032">
        <v>0.45</v>
      </c>
      <c r="H1032">
        <v>0.95</v>
      </c>
      <c r="I1032" t="s">
        <v>34</v>
      </c>
      <c r="J1032">
        <v>162165</v>
      </c>
      <c r="K1032" t="s">
        <v>42</v>
      </c>
      <c r="L1032">
        <v>1</v>
      </c>
      <c r="M1032">
        <v>34</v>
      </c>
      <c r="N1032" t="s">
        <v>26</v>
      </c>
      <c r="O1032" t="s">
        <v>25</v>
      </c>
      <c r="P1032">
        <v>2.5</v>
      </c>
      <c r="Q1032" t="s">
        <v>24</v>
      </c>
      <c r="R1032">
        <v>1.8</v>
      </c>
      <c r="S1032" t="s">
        <v>28</v>
      </c>
      <c r="T1032" t="str">
        <f t="shared" si="32"/>
        <v>High</v>
      </c>
      <c r="U1032" t="str">
        <f t="shared" si="33"/>
        <v>Experienced</v>
      </c>
    </row>
    <row r="1033" spans="1:21" x14ac:dyDescent="0.35">
      <c r="A1033" t="s">
        <v>1106</v>
      </c>
      <c r="B1033" t="s">
        <v>73</v>
      </c>
      <c r="C1033" t="s">
        <v>58</v>
      </c>
      <c r="D1033" t="s">
        <v>75</v>
      </c>
      <c r="E1033" t="s">
        <v>23</v>
      </c>
      <c r="F1033">
        <v>7</v>
      </c>
      <c r="G1033">
        <v>0.84</v>
      </c>
      <c r="H1033">
        <v>0.8</v>
      </c>
      <c r="I1033" t="s">
        <v>34</v>
      </c>
      <c r="J1033">
        <v>30518</v>
      </c>
      <c r="K1033" t="s">
        <v>27</v>
      </c>
      <c r="L1033">
        <v>35</v>
      </c>
      <c r="M1033">
        <v>42</v>
      </c>
      <c r="N1033" t="s">
        <v>42</v>
      </c>
      <c r="O1033" t="s">
        <v>25</v>
      </c>
      <c r="P1033">
        <v>3.78</v>
      </c>
      <c r="Q1033" t="s">
        <v>24</v>
      </c>
      <c r="R1033">
        <v>1.01</v>
      </c>
      <c r="S1033" t="s">
        <v>28</v>
      </c>
      <c r="T1033" t="str">
        <f t="shared" si="32"/>
        <v>Moderate</v>
      </c>
      <c r="U1033" t="str">
        <f t="shared" si="33"/>
        <v>Intermediate</v>
      </c>
    </row>
    <row r="1034" spans="1:21" x14ac:dyDescent="0.35">
      <c r="A1034" t="s">
        <v>1107</v>
      </c>
      <c r="B1034" t="s">
        <v>45</v>
      </c>
      <c r="C1034" t="s">
        <v>52</v>
      </c>
      <c r="D1034" t="s">
        <v>22</v>
      </c>
      <c r="E1034" t="s">
        <v>33</v>
      </c>
      <c r="F1034">
        <v>7</v>
      </c>
      <c r="G1034">
        <v>0.42</v>
      </c>
      <c r="H1034">
        <v>0.2</v>
      </c>
      <c r="I1034" t="s">
        <v>24</v>
      </c>
      <c r="J1034">
        <v>181950</v>
      </c>
      <c r="K1034" t="s">
        <v>27</v>
      </c>
      <c r="L1034">
        <v>21</v>
      </c>
      <c r="M1034">
        <v>36</v>
      </c>
      <c r="N1034" t="s">
        <v>42</v>
      </c>
      <c r="O1034" t="s">
        <v>27</v>
      </c>
      <c r="P1034">
        <v>4.5</v>
      </c>
      <c r="Q1034" t="s">
        <v>34</v>
      </c>
      <c r="R1034">
        <v>3.96</v>
      </c>
      <c r="S1034" t="s">
        <v>28</v>
      </c>
      <c r="T1034" t="str">
        <f t="shared" si="32"/>
        <v>Moderate</v>
      </c>
      <c r="U1034" t="str">
        <f t="shared" si="33"/>
        <v>Intermediate</v>
      </c>
    </row>
    <row r="1035" spans="1:21" x14ac:dyDescent="0.35">
      <c r="A1035" t="s">
        <v>1108</v>
      </c>
      <c r="B1035" t="s">
        <v>20</v>
      </c>
      <c r="C1035" t="s">
        <v>52</v>
      </c>
      <c r="D1035" t="s">
        <v>49</v>
      </c>
      <c r="E1035" t="s">
        <v>70</v>
      </c>
      <c r="F1035">
        <v>12</v>
      </c>
      <c r="G1035">
        <v>0.32</v>
      </c>
      <c r="H1035">
        <v>0.98</v>
      </c>
      <c r="I1035" t="s">
        <v>24</v>
      </c>
      <c r="J1035">
        <v>51548</v>
      </c>
      <c r="K1035" t="s">
        <v>25</v>
      </c>
      <c r="L1035">
        <v>-7</v>
      </c>
      <c r="M1035">
        <v>30</v>
      </c>
      <c r="N1035" t="s">
        <v>26</v>
      </c>
      <c r="O1035" t="s">
        <v>27</v>
      </c>
      <c r="P1035">
        <v>3.55</v>
      </c>
      <c r="Q1035" t="s">
        <v>24</v>
      </c>
      <c r="R1035">
        <v>2</v>
      </c>
      <c r="S1035" t="s">
        <v>47</v>
      </c>
      <c r="T1035" t="str">
        <f t="shared" si="32"/>
        <v>Very High</v>
      </c>
      <c r="U1035" t="str">
        <f t="shared" si="33"/>
        <v>Experienced</v>
      </c>
    </row>
    <row r="1036" spans="1:21" x14ac:dyDescent="0.35">
      <c r="A1036" t="s">
        <v>1109</v>
      </c>
      <c r="B1036" t="s">
        <v>30</v>
      </c>
      <c r="C1036" t="s">
        <v>21</v>
      </c>
      <c r="D1036" t="s">
        <v>22</v>
      </c>
      <c r="E1036" t="s">
        <v>70</v>
      </c>
      <c r="F1036">
        <v>22</v>
      </c>
      <c r="G1036">
        <v>0.89</v>
      </c>
      <c r="H1036">
        <v>0.61</v>
      </c>
      <c r="I1036" t="s">
        <v>34</v>
      </c>
      <c r="J1036">
        <v>52324</v>
      </c>
      <c r="K1036" t="s">
        <v>42</v>
      </c>
      <c r="L1036">
        <v>22</v>
      </c>
      <c r="M1036">
        <v>34</v>
      </c>
      <c r="N1036" t="s">
        <v>26</v>
      </c>
      <c r="O1036" t="s">
        <v>36</v>
      </c>
      <c r="P1036">
        <v>2.4500000000000002</v>
      </c>
      <c r="Q1036" t="s">
        <v>24</v>
      </c>
      <c r="R1036">
        <v>1.76</v>
      </c>
      <c r="S1036" t="s">
        <v>43</v>
      </c>
      <c r="T1036" t="str">
        <f t="shared" si="32"/>
        <v>Moderate</v>
      </c>
      <c r="U1036" t="str">
        <f t="shared" si="33"/>
        <v>Expert</v>
      </c>
    </row>
    <row r="1037" spans="1:21" x14ac:dyDescent="0.35">
      <c r="A1037" t="s">
        <v>1110</v>
      </c>
      <c r="B1037" t="s">
        <v>94</v>
      </c>
      <c r="C1037" t="s">
        <v>58</v>
      </c>
      <c r="D1037" t="s">
        <v>49</v>
      </c>
      <c r="E1037" t="s">
        <v>70</v>
      </c>
      <c r="F1037">
        <v>12</v>
      </c>
      <c r="G1037">
        <v>0.34</v>
      </c>
      <c r="H1037">
        <v>0.39</v>
      </c>
      <c r="I1037" t="s">
        <v>60</v>
      </c>
      <c r="J1037">
        <v>138232</v>
      </c>
      <c r="K1037" t="s">
        <v>27</v>
      </c>
      <c r="L1037">
        <v>28</v>
      </c>
      <c r="M1037">
        <v>38</v>
      </c>
      <c r="N1037" t="s">
        <v>42</v>
      </c>
      <c r="O1037" t="s">
        <v>27</v>
      </c>
      <c r="P1037">
        <v>4.67</v>
      </c>
      <c r="Q1037" t="s">
        <v>34</v>
      </c>
      <c r="R1037">
        <v>4.45</v>
      </c>
      <c r="S1037" t="s">
        <v>43</v>
      </c>
      <c r="T1037" t="str">
        <f t="shared" si="32"/>
        <v>High</v>
      </c>
      <c r="U1037" t="str">
        <f t="shared" si="33"/>
        <v>Experienced</v>
      </c>
    </row>
    <row r="1038" spans="1:21" x14ac:dyDescent="0.35">
      <c r="A1038" t="s">
        <v>1111</v>
      </c>
      <c r="B1038" t="s">
        <v>106</v>
      </c>
      <c r="C1038" t="s">
        <v>55</v>
      </c>
      <c r="D1038" t="s">
        <v>40</v>
      </c>
      <c r="E1038" t="s">
        <v>33</v>
      </c>
      <c r="F1038">
        <v>4</v>
      </c>
      <c r="G1038">
        <v>0.28999999999999998</v>
      </c>
      <c r="H1038">
        <v>0.71</v>
      </c>
      <c r="I1038" t="s">
        <v>60</v>
      </c>
      <c r="J1038">
        <v>34202</v>
      </c>
      <c r="K1038" t="s">
        <v>25</v>
      </c>
      <c r="L1038">
        <v>22</v>
      </c>
      <c r="M1038">
        <v>44</v>
      </c>
      <c r="N1038" t="s">
        <v>26</v>
      </c>
      <c r="O1038" t="s">
        <v>36</v>
      </c>
      <c r="P1038">
        <v>4.9000000000000004</v>
      </c>
      <c r="Q1038" t="s">
        <v>24</v>
      </c>
      <c r="R1038">
        <v>4.84</v>
      </c>
      <c r="S1038" t="s">
        <v>43</v>
      </c>
      <c r="T1038" t="str">
        <f t="shared" si="32"/>
        <v>Very High</v>
      </c>
      <c r="U1038" t="str">
        <f t="shared" si="33"/>
        <v>Intermediate</v>
      </c>
    </row>
    <row r="1039" spans="1:21" x14ac:dyDescent="0.35">
      <c r="A1039" t="s">
        <v>1112</v>
      </c>
      <c r="B1039" t="s">
        <v>30</v>
      </c>
      <c r="C1039" t="s">
        <v>82</v>
      </c>
      <c r="D1039" t="s">
        <v>49</v>
      </c>
      <c r="E1039" t="s">
        <v>33</v>
      </c>
      <c r="F1039">
        <v>25</v>
      </c>
      <c r="G1039">
        <v>0.85</v>
      </c>
      <c r="H1039">
        <v>0.59</v>
      </c>
      <c r="I1039" t="s">
        <v>34</v>
      </c>
      <c r="J1039">
        <v>210571</v>
      </c>
      <c r="K1039" t="s">
        <v>27</v>
      </c>
      <c r="L1039">
        <v>2</v>
      </c>
      <c r="M1039">
        <v>43</v>
      </c>
      <c r="N1039" t="s">
        <v>42</v>
      </c>
      <c r="O1039" t="s">
        <v>25</v>
      </c>
      <c r="P1039">
        <v>4.8499999999999996</v>
      </c>
      <c r="Q1039" t="s">
        <v>24</v>
      </c>
      <c r="R1039">
        <v>2.38</v>
      </c>
      <c r="S1039" t="s">
        <v>43</v>
      </c>
      <c r="T1039" t="str">
        <f t="shared" si="32"/>
        <v>Moderate</v>
      </c>
      <c r="U1039" t="str">
        <f t="shared" si="33"/>
        <v>Expert</v>
      </c>
    </row>
    <row r="1040" spans="1:21" x14ac:dyDescent="0.35">
      <c r="A1040" t="s">
        <v>1113</v>
      </c>
      <c r="B1040" t="s">
        <v>106</v>
      </c>
      <c r="C1040" t="s">
        <v>55</v>
      </c>
      <c r="D1040" t="s">
        <v>63</v>
      </c>
      <c r="E1040" t="s">
        <v>41</v>
      </c>
      <c r="F1040">
        <v>17</v>
      </c>
      <c r="G1040">
        <v>0.19</v>
      </c>
      <c r="H1040">
        <v>0.27</v>
      </c>
      <c r="I1040" t="s">
        <v>24</v>
      </c>
      <c r="J1040">
        <v>176804</v>
      </c>
      <c r="K1040" t="s">
        <v>27</v>
      </c>
      <c r="L1040">
        <v>16</v>
      </c>
      <c r="M1040">
        <v>60</v>
      </c>
      <c r="N1040" t="s">
        <v>35</v>
      </c>
      <c r="O1040" t="s">
        <v>27</v>
      </c>
      <c r="P1040">
        <v>2.5299999999999998</v>
      </c>
      <c r="Q1040" t="s">
        <v>34</v>
      </c>
      <c r="R1040">
        <v>2.38</v>
      </c>
      <c r="S1040" t="s">
        <v>47</v>
      </c>
      <c r="T1040" t="str">
        <f t="shared" si="32"/>
        <v>High</v>
      </c>
      <c r="U1040" t="str">
        <f t="shared" si="33"/>
        <v>Expert</v>
      </c>
    </row>
    <row r="1041" spans="1:21" x14ac:dyDescent="0.35">
      <c r="A1041" t="s">
        <v>1114</v>
      </c>
      <c r="B1041" t="s">
        <v>94</v>
      </c>
      <c r="C1041" t="s">
        <v>52</v>
      </c>
      <c r="D1041" t="s">
        <v>75</v>
      </c>
      <c r="E1041" t="s">
        <v>41</v>
      </c>
      <c r="F1041">
        <v>2</v>
      </c>
      <c r="G1041">
        <v>0.59</v>
      </c>
      <c r="H1041">
        <v>0.37</v>
      </c>
      <c r="I1041" t="s">
        <v>24</v>
      </c>
      <c r="J1041">
        <v>99337</v>
      </c>
      <c r="K1041" t="s">
        <v>27</v>
      </c>
      <c r="L1041">
        <v>5</v>
      </c>
      <c r="M1041">
        <v>46</v>
      </c>
      <c r="N1041" t="s">
        <v>35</v>
      </c>
      <c r="O1041" t="s">
        <v>36</v>
      </c>
      <c r="P1041">
        <v>2.2599999999999998</v>
      </c>
      <c r="Q1041" t="s">
        <v>24</v>
      </c>
      <c r="R1041">
        <v>3.89</v>
      </c>
      <c r="S1041" t="s">
        <v>28</v>
      </c>
      <c r="T1041" t="str">
        <f t="shared" si="32"/>
        <v>Moderate</v>
      </c>
      <c r="U1041" t="str">
        <f t="shared" si="33"/>
        <v>Beginner</v>
      </c>
    </row>
    <row r="1042" spans="1:21" x14ac:dyDescent="0.35">
      <c r="A1042" t="s">
        <v>1115</v>
      </c>
      <c r="B1042" t="s">
        <v>54</v>
      </c>
      <c r="C1042" t="s">
        <v>55</v>
      </c>
      <c r="D1042" t="s">
        <v>63</v>
      </c>
      <c r="E1042" t="s">
        <v>41</v>
      </c>
      <c r="F1042">
        <v>15</v>
      </c>
      <c r="G1042">
        <v>0.37</v>
      </c>
      <c r="H1042">
        <v>0.3</v>
      </c>
      <c r="I1042" t="s">
        <v>60</v>
      </c>
      <c r="J1042">
        <v>201668</v>
      </c>
      <c r="K1042" t="s">
        <v>42</v>
      </c>
      <c r="L1042">
        <v>17</v>
      </c>
      <c r="M1042">
        <v>54</v>
      </c>
      <c r="N1042" t="s">
        <v>42</v>
      </c>
      <c r="O1042" t="s">
        <v>25</v>
      </c>
      <c r="P1042">
        <v>4.87</v>
      </c>
      <c r="Q1042" t="s">
        <v>34</v>
      </c>
      <c r="R1042">
        <v>2.25</v>
      </c>
      <c r="S1042" t="s">
        <v>28</v>
      </c>
      <c r="T1042" t="str">
        <f t="shared" si="32"/>
        <v>Moderate</v>
      </c>
      <c r="U1042" t="str">
        <f t="shared" si="33"/>
        <v>Experienced</v>
      </c>
    </row>
    <row r="1043" spans="1:21" x14ac:dyDescent="0.35">
      <c r="A1043" t="s">
        <v>1116</v>
      </c>
      <c r="B1043" t="s">
        <v>62</v>
      </c>
      <c r="C1043" t="s">
        <v>52</v>
      </c>
      <c r="D1043" t="s">
        <v>75</v>
      </c>
      <c r="E1043" t="s">
        <v>41</v>
      </c>
      <c r="F1043">
        <v>19</v>
      </c>
      <c r="G1043">
        <v>0.93</v>
      </c>
      <c r="H1043">
        <v>0.53</v>
      </c>
      <c r="I1043" t="s">
        <v>24</v>
      </c>
      <c r="J1043">
        <v>87347</v>
      </c>
      <c r="K1043" t="s">
        <v>42</v>
      </c>
      <c r="L1043">
        <v>5</v>
      </c>
      <c r="M1043">
        <v>30</v>
      </c>
      <c r="N1043" t="s">
        <v>42</v>
      </c>
      <c r="O1043" t="s">
        <v>36</v>
      </c>
      <c r="P1043">
        <v>4.16</v>
      </c>
      <c r="Q1043" t="s">
        <v>24</v>
      </c>
      <c r="R1043">
        <v>4.8600000000000003</v>
      </c>
      <c r="S1043" t="s">
        <v>43</v>
      </c>
      <c r="T1043" t="str">
        <f t="shared" si="32"/>
        <v>Moderate</v>
      </c>
      <c r="U1043" t="str">
        <f t="shared" si="33"/>
        <v>Expert</v>
      </c>
    </row>
    <row r="1044" spans="1:21" x14ac:dyDescent="0.35">
      <c r="A1044" t="s">
        <v>1117</v>
      </c>
      <c r="B1044" t="s">
        <v>51</v>
      </c>
      <c r="C1044" t="s">
        <v>82</v>
      </c>
      <c r="D1044" t="s">
        <v>63</v>
      </c>
      <c r="E1044" t="s">
        <v>41</v>
      </c>
      <c r="F1044">
        <v>23</v>
      </c>
      <c r="G1044">
        <v>0.12</v>
      </c>
      <c r="H1044">
        <v>0.99</v>
      </c>
      <c r="I1044" t="s">
        <v>60</v>
      </c>
      <c r="J1044">
        <v>170183</v>
      </c>
      <c r="K1044" t="s">
        <v>25</v>
      </c>
      <c r="L1044">
        <v>42</v>
      </c>
      <c r="M1044">
        <v>44</v>
      </c>
      <c r="N1044" t="s">
        <v>26</v>
      </c>
      <c r="O1044" t="s">
        <v>25</v>
      </c>
      <c r="P1044">
        <v>3.18</v>
      </c>
      <c r="Q1044" t="s">
        <v>24</v>
      </c>
      <c r="R1044">
        <v>3.04</v>
      </c>
      <c r="S1044" t="s">
        <v>43</v>
      </c>
      <c r="T1044" t="str">
        <f t="shared" si="32"/>
        <v>Very High</v>
      </c>
      <c r="U1044" t="str">
        <f t="shared" si="33"/>
        <v>Expert</v>
      </c>
    </row>
    <row r="1045" spans="1:21" x14ac:dyDescent="0.35">
      <c r="A1045" t="s">
        <v>1118</v>
      </c>
      <c r="B1045" t="s">
        <v>91</v>
      </c>
      <c r="C1045" t="s">
        <v>52</v>
      </c>
      <c r="D1045" t="s">
        <v>80</v>
      </c>
      <c r="E1045" t="s">
        <v>23</v>
      </c>
      <c r="F1045">
        <v>16</v>
      </c>
      <c r="G1045">
        <v>0.94</v>
      </c>
      <c r="H1045">
        <v>0.96</v>
      </c>
      <c r="I1045" t="s">
        <v>34</v>
      </c>
      <c r="J1045">
        <v>192896</v>
      </c>
      <c r="K1045" t="s">
        <v>27</v>
      </c>
      <c r="L1045">
        <v>8</v>
      </c>
      <c r="M1045">
        <v>45</v>
      </c>
      <c r="N1045" t="s">
        <v>42</v>
      </c>
      <c r="O1045" t="s">
        <v>25</v>
      </c>
      <c r="P1045">
        <v>3.99</v>
      </c>
      <c r="Q1045" t="s">
        <v>24</v>
      </c>
      <c r="R1045">
        <v>3.56</v>
      </c>
      <c r="S1045" t="s">
        <v>43</v>
      </c>
      <c r="T1045" t="str">
        <f t="shared" si="32"/>
        <v>High</v>
      </c>
      <c r="U1045" t="str">
        <f t="shared" si="33"/>
        <v>Expert</v>
      </c>
    </row>
    <row r="1046" spans="1:21" x14ac:dyDescent="0.35">
      <c r="A1046" t="s">
        <v>1119</v>
      </c>
      <c r="B1046" t="s">
        <v>89</v>
      </c>
      <c r="C1046" t="s">
        <v>31</v>
      </c>
      <c r="D1046" t="s">
        <v>32</v>
      </c>
      <c r="E1046" t="s">
        <v>33</v>
      </c>
      <c r="F1046">
        <v>7</v>
      </c>
      <c r="G1046">
        <v>0.78</v>
      </c>
      <c r="H1046">
        <v>0.44</v>
      </c>
      <c r="I1046" t="s">
        <v>34</v>
      </c>
      <c r="J1046">
        <v>178275</v>
      </c>
      <c r="K1046" t="s">
        <v>42</v>
      </c>
      <c r="L1046">
        <v>41</v>
      </c>
      <c r="M1046">
        <v>36</v>
      </c>
      <c r="N1046" t="s">
        <v>42</v>
      </c>
      <c r="O1046" t="s">
        <v>25</v>
      </c>
      <c r="P1046">
        <v>2.92</v>
      </c>
      <c r="Q1046" t="s">
        <v>34</v>
      </c>
      <c r="R1046">
        <v>4.51</v>
      </c>
      <c r="S1046" t="s">
        <v>43</v>
      </c>
      <c r="T1046" t="str">
        <f t="shared" si="32"/>
        <v>Very Low</v>
      </c>
      <c r="U1046" t="str">
        <f t="shared" si="33"/>
        <v>Intermediate</v>
      </c>
    </row>
    <row r="1047" spans="1:21" x14ac:dyDescent="0.35">
      <c r="A1047" t="s">
        <v>1120</v>
      </c>
      <c r="B1047" t="s">
        <v>77</v>
      </c>
      <c r="C1047" t="s">
        <v>74</v>
      </c>
      <c r="D1047" t="s">
        <v>32</v>
      </c>
      <c r="E1047" t="s">
        <v>70</v>
      </c>
      <c r="F1047">
        <v>8</v>
      </c>
      <c r="G1047">
        <v>0.76</v>
      </c>
      <c r="H1047">
        <v>0.54</v>
      </c>
      <c r="I1047" t="s">
        <v>60</v>
      </c>
      <c r="J1047">
        <v>96264</v>
      </c>
      <c r="K1047" t="s">
        <v>25</v>
      </c>
      <c r="L1047">
        <v>-9</v>
      </c>
      <c r="M1047">
        <v>42</v>
      </c>
      <c r="N1047" t="s">
        <v>26</v>
      </c>
      <c r="O1047" t="s">
        <v>27</v>
      </c>
      <c r="P1047">
        <v>2.83</v>
      </c>
      <c r="Q1047" t="s">
        <v>34</v>
      </c>
      <c r="R1047">
        <v>3.57</v>
      </c>
      <c r="S1047" t="s">
        <v>47</v>
      </c>
      <c r="T1047" t="str">
        <f t="shared" si="32"/>
        <v>Moderate</v>
      </c>
      <c r="U1047" t="str">
        <f t="shared" si="33"/>
        <v>Intermediate</v>
      </c>
    </row>
    <row r="1048" spans="1:21" x14ac:dyDescent="0.35">
      <c r="A1048" t="s">
        <v>1121</v>
      </c>
      <c r="B1048" t="s">
        <v>91</v>
      </c>
      <c r="C1048" t="s">
        <v>39</v>
      </c>
      <c r="D1048" t="s">
        <v>75</v>
      </c>
      <c r="E1048" t="s">
        <v>23</v>
      </c>
      <c r="F1048">
        <v>7</v>
      </c>
      <c r="G1048">
        <v>0.54</v>
      </c>
      <c r="H1048">
        <v>0.26</v>
      </c>
      <c r="I1048" t="s">
        <v>34</v>
      </c>
      <c r="J1048">
        <v>68470</v>
      </c>
      <c r="K1048" t="s">
        <v>25</v>
      </c>
      <c r="L1048">
        <v>11</v>
      </c>
      <c r="M1048">
        <v>51</v>
      </c>
      <c r="N1048" t="s">
        <v>26</v>
      </c>
      <c r="O1048" t="s">
        <v>36</v>
      </c>
      <c r="P1048">
        <v>3.5</v>
      </c>
      <c r="Q1048" t="s">
        <v>24</v>
      </c>
      <c r="R1048">
        <v>3.9</v>
      </c>
      <c r="S1048" t="s">
        <v>28</v>
      </c>
      <c r="T1048" t="str">
        <f t="shared" si="32"/>
        <v>Moderate</v>
      </c>
      <c r="U1048" t="str">
        <f t="shared" si="33"/>
        <v>Intermediate</v>
      </c>
    </row>
    <row r="1049" spans="1:21" x14ac:dyDescent="0.35">
      <c r="A1049" t="s">
        <v>1122</v>
      </c>
      <c r="B1049" t="s">
        <v>68</v>
      </c>
      <c r="C1049" t="s">
        <v>58</v>
      </c>
      <c r="D1049" t="s">
        <v>32</v>
      </c>
      <c r="E1049" t="s">
        <v>41</v>
      </c>
      <c r="F1049">
        <v>5</v>
      </c>
      <c r="G1049">
        <v>0.83</v>
      </c>
      <c r="H1049">
        <v>0.21</v>
      </c>
      <c r="I1049" t="s">
        <v>34</v>
      </c>
      <c r="J1049">
        <v>55779</v>
      </c>
      <c r="K1049" t="s">
        <v>42</v>
      </c>
      <c r="L1049">
        <v>2</v>
      </c>
      <c r="M1049">
        <v>51</v>
      </c>
      <c r="N1049" t="s">
        <v>26</v>
      </c>
      <c r="O1049" t="s">
        <v>36</v>
      </c>
      <c r="P1049">
        <v>2.25</v>
      </c>
      <c r="Q1049" t="s">
        <v>24</v>
      </c>
      <c r="R1049">
        <v>1.99</v>
      </c>
      <c r="S1049" t="s">
        <v>47</v>
      </c>
      <c r="T1049" t="str">
        <f t="shared" si="32"/>
        <v>Very Low</v>
      </c>
      <c r="U1049" t="str">
        <f t="shared" si="33"/>
        <v>Intermediate</v>
      </c>
    </row>
    <row r="1050" spans="1:21" x14ac:dyDescent="0.35">
      <c r="A1050" t="s">
        <v>1123</v>
      </c>
      <c r="B1050" t="s">
        <v>156</v>
      </c>
      <c r="C1050" t="s">
        <v>39</v>
      </c>
      <c r="D1050" t="s">
        <v>49</v>
      </c>
      <c r="E1050" t="s">
        <v>33</v>
      </c>
      <c r="F1050">
        <v>3</v>
      </c>
      <c r="G1050">
        <v>0.6</v>
      </c>
      <c r="H1050">
        <v>0.95</v>
      </c>
      <c r="I1050" t="s">
        <v>60</v>
      </c>
      <c r="J1050">
        <v>141118</v>
      </c>
      <c r="K1050" t="s">
        <v>27</v>
      </c>
      <c r="L1050">
        <v>31</v>
      </c>
      <c r="M1050">
        <v>57</v>
      </c>
      <c r="N1050" t="s">
        <v>26</v>
      </c>
      <c r="O1050" t="s">
        <v>36</v>
      </c>
      <c r="P1050">
        <v>2.16</v>
      </c>
      <c r="Q1050" t="s">
        <v>24</v>
      </c>
      <c r="R1050">
        <v>1.81</v>
      </c>
      <c r="S1050" t="s">
        <v>47</v>
      </c>
      <c r="T1050" t="str">
        <f t="shared" si="32"/>
        <v>High</v>
      </c>
      <c r="U1050" t="str">
        <f t="shared" si="33"/>
        <v>Intermediate</v>
      </c>
    </row>
    <row r="1051" spans="1:21" x14ac:dyDescent="0.35">
      <c r="A1051" t="s">
        <v>1124</v>
      </c>
      <c r="B1051" t="s">
        <v>102</v>
      </c>
      <c r="C1051" t="s">
        <v>31</v>
      </c>
      <c r="D1051" t="s">
        <v>49</v>
      </c>
      <c r="E1051" t="s">
        <v>41</v>
      </c>
      <c r="F1051">
        <v>7</v>
      </c>
      <c r="G1051">
        <v>0.13</v>
      </c>
      <c r="H1051">
        <v>0.42</v>
      </c>
      <c r="I1051" t="s">
        <v>24</v>
      </c>
      <c r="J1051">
        <v>33461</v>
      </c>
      <c r="K1051" t="s">
        <v>27</v>
      </c>
      <c r="L1051">
        <v>21</v>
      </c>
      <c r="M1051">
        <v>53</v>
      </c>
      <c r="N1051" t="s">
        <v>35</v>
      </c>
      <c r="O1051" t="s">
        <v>27</v>
      </c>
      <c r="P1051">
        <v>4.47</v>
      </c>
      <c r="Q1051" t="s">
        <v>34</v>
      </c>
      <c r="R1051">
        <v>1.18</v>
      </c>
      <c r="S1051" t="s">
        <v>28</v>
      </c>
      <c r="T1051" t="str">
        <f t="shared" si="32"/>
        <v>High</v>
      </c>
      <c r="U1051" t="str">
        <f t="shared" si="33"/>
        <v>Intermediate</v>
      </c>
    </row>
    <row r="1052" spans="1:21" x14ac:dyDescent="0.35">
      <c r="A1052" t="s">
        <v>1125</v>
      </c>
      <c r="B1052" t="s">
        <v>65</v>
      </c>
      <c r="C1052" t="s">
        <v>31</v>
      </c>
      <c r="D1052" t="s">
        <v>40</v>
      </c>
      <c r="E1052" t="s">
        <v>70</v>
      </c>
      <c r="F1052">
        <v>20</v>
      </c>
      <c r="G1052">
        <v>0.67</v>
      </c>
      <c r="H1052">
        <v>0.69</v>
      </c>
      <c r="I1052" t="s">
        <v>34</v>
      </c>
      <c r="J1052">
        <v>43350</v>
      </c>
      <c r="K1052" t="s">
        <v>27</v>
      </c>
      <c r="L1052">
        <v>11</v>
      </c>
      <c r="M1052">
        <v>57</v>
      </c>
      <c r="N1052" t="s">
        <v>42</v>
      </c>
      <c r="O1052" t="s">
        <v>25</v>
      </c>
      <c r="P1052">
        <v>3.89</v>
      </c>
      <c r="Q1052" t="s">
        <v>24</v>
      </c>
      <c r="R1052">
        <v>1.82</v>
      </c>
      <c r="S1052" t="s">
        <v>43</v>
      </c>
      <c r="T1052" t="str">
        <f t="shared" si="32"/>
        <v>High</v>
      </c>
      <c r="U1052" t="str">
        <f t="shared" si="33"/>
        <v>Expert</v>
      </c>
    </row>
    <row r="1053" spans="1:21" x14ac:dyDescent="0.35">
      <c r="A1053" t="s">
        <v>1126</v>
      </c>
      <c r="B1053" t="s">
        <v>65</v>
      </c>
      <c r="C1053" t="s">
        <v>107</v>
      </c>
      <c r="D1053" t="s">
        <v>80</v>
      </c>
      <c r="E1053" t="s">
        <v>41</v>
      </c>
      <c r="F1053">
        <v>15</v>
      </c>
      <c r="G1053">
        <v>7.0000000000000007E-2</v>
      </c>
      <c r="H1053">
        <v>0.93</v>
      </c>
      <c r="I1053" t="s">
        <v>24</v>
      </c>
      <c r="J1053">
        <v>176305</v>
      </c>
      <c r="K1053" t="s">
        <v>42</v>
      </c>
      <c r="L1053">
        <v>28</v>
      </c>
      <c r="M1053">
        <v>54</v>
      </c>
      <c r="N1053" t="s">
        <v>35</v>
      </c>
      <c r="O1053" t="s">
        <v>27</v>
      </c>
      <c r="P1053">
        <v>2.68</v>
      </c>
      <c r="Q1053" t="s">
        <v>24</v>
      </c>
      <c r="R1053">
        <v>4.78</v>
      </c>
      <c r="S1053" t="s">
        <v>47</v>
      </c>
      <c r="T1053" t="str">
        <f t="shared" si="32"/>
        <v>Very High</v>
      </c>
      <c r="U1053" t="str">
        <f t="shared" si="33"/>
        <v>Experienced</v>
      </c>
    </row>
    <row r="1054" spans="1:21" x14ac:dyDescent="0.35">
      <c r="A1054" t="s">
        <v>1127</v>
      </c>
      <c r="B1054" t="s">
        <v>77</v>
      </c>
      <c r="C1054" t="s">
        <v>46</v>
      </c>
      <c r="D1054" t="s">
        <v>69</v>
      </c>
      <c r="E1054" t="s">
        <v>70</v>
      </c>
      <c r="F1054">
        <v>15</v>
      </c>
      <c r="G1054">
        <v>0.93</v>
      </c>
      <c r="H1054">
        <v>0.32</v>
      </c>
      <c r="I1054" t="s">
        <v>34</v>
      </c>
      <c r="J1054">
        <v>83163</v>
      </c>
      <c r="K1054" t="s">
        <v>25</v>
      </c>
      <c r="L1054">
        <v>24</v>
      </c>
      <c r="M1054">
        <v>36</v>
      </c>
      <c r="N1054" t="s">
        <v>42</v>
      </c>
      <c r="O1054" t="s">
        <v>36</v>
      </c>
      <c r="P1054">
        <v>4.51</v>
      </c>
      <c r="Q1054" t="s">
        <v>24</v>
      </c>
      <c r="R1054">
        <v>2.79</v>
      </c>
      <c r="S1054" t="s">
        <v>43</v>
      </c>
      <c r="T1054" t="str">
        <f t="shared" si="32"/>
        <v>Very Low</v>
      </c>
      <c r="U1054" t="str">
        <f t="shared" si="33"/>
        <v>Experienced</v>
      </c>
    </row>
    <row r="1055" spans="1:21" x14ac:dyDescent="0.35">
      <c r="A1055" t="s">
        <v>1128</v>
      </c>
      <c r="B1055" t="s">
        <v>20</v>
      </c>
      <c r="C1055" t="s">
        <v>74</v>
      </c>
      <c r="D1055" t="s">
        <v>63</v>
      </c>
      <c r="E1055" t="s">
        <v>23</v>
      </c>
      <c r="F1055">
        <v>16</v>
      </c>
      <c r="G1055">
        <v>0.54</v>
      </c>
      <c r="H1055">
        <v>0.73</v>
      </c>
      <c r="I1055" t="s">
        <v>24</v>
      </c>
      <c r="J1055">
        <v>217778</v>
      </c>
      <c r="K1055" t="s">
        <v>25</v>
      </c>
      <c r="L1055">
        <v>0</v>
      </c>
      <c r="M1055">
        <v>50</v>
      </c>
      <c r="N1055" t="s">
        <v>42</v>
      </c>
      <c r="O1055" t="s">
        <v>27</v>
      </c>
      <c r="P1055">
        <v>4.5999999999999996</v>
      </c>
      <c r="Q1055" t="s">
        <v>24</v>
      </c>
      <c r="R1055">
        <v>4.1900000000000004</v>
      </c>
      <c r="S1055" t="s">
        <v>47</v>
      </c>
      <c r="T1055" t="str">
        <f t="shared" si="32"/>
        <v>High</v>
      </c>
      <c r="U1055" t="str">
        <f t="shared" si="33"/>
        <v>Expert</v>
      </c>
    </row>
    <row r="1056" spans="1:21" x14ac:dyDescent="0.35">
      <c r="A1056" t="s">
        <v>1129</v>
      </c>
      <c r="B1056" t="s">
        <v>77</v>
      </c>
      <c r="C1056" t="s">
        <v>52</v>
      </c>
      <c r="D1056" t="s">
        <v>80</v>
      </c>
      <c r="E1056" t="s">
        <v>70</v>
      </c>
      <c r="F1056">
        <v>14</v>
      </c>
      <c r="G1056">
        <v>0.16</v>
      </c>
      <c r="H1056">
        <v>0.66</v>
      </c>
      <c r="I1056" t="s">
        <v>34</v>
      </c>
      <c r="J1056">
        <v>130781</v>
      </c>
      <c r="K1056" t="s">
        <v>42</v>
      </c>
      <c r="L1056">
        <v>32</v>
      </c>
      <c r="M1056">
        <v>45</v>
      </c>
      <c r="N1056" t="s">
        <v>35</v>
      </c>
      <c r="O1056" t="s">
        <v>36</v>
      </c>
      <c r="P1056">
        <v>4.4000000000000004</v>
      </c>
      <c r="Q1056" t="s">
        <v>34</v>
      </c>
      <c r="R1056">
        <v>1.27</v>
      </c>
      <c r="S1056" t="s">
        <v>28</v>
      </c>
      <c r="T1056" t="str">
        <f t="shared" si="32"/>
        <v>High</v>
      </c>
      <c r="U1056" t="str">
        <f t="shared" si="33"/>
        <v>Experienced</v>
      </c>
    </row>
    <row r="1057" spans="1:21" x14ac:dyDescent="0.35">
      <c r="A1057" t="s">
        <v>1130</v>
      </c>
      <c r="B1057" t="s">
        <v>94</v>
      </c>
      <c r="C1057" t="s">
        <v>31</v>
      </c>
      <c r="D1057" t="s">
        <v>32</v>
      </c>
      <c r="E1057" t="s">
        <v>23</v>
      </c>
      <c r="F1057">
        <v>2</v>
      </c>
      <c r="G1057">
        <v>0.13</v>
      </c>
      <c r="H1057">
        <v>0.24</v>
      </c>
      <c r="I1057" t="s">
        <v>24</v>
      </c>
      <c r="J1057">
        <v>60261</v>
      </c>
      <c r="K1057" t="s">
        <v>42</v>
      </c>
      <c r="L1057">
        <v>-10</v>
      </c>
      <c r="M1057">
        <v>36</v>
      </c>
      <c r="N1057" t="s">
        <v>35</v>
      </c>
      <c r="O1057" t="s">
        <v>36</v>
      </c>
      <c r="P1057">
        <v>2.14</v>
      </c>
      <c r="Q1057" t="s">
        <v>34</v>
      </c>
      <c r="R1057">
        <v>4.57</v>
      </c>
      <c r="S1057" t="s">
        <v>47</v>
      </c>
      <c r="T1057" t="str">
        <f t="shared" si="32"/>
        <v>High</v>
      </c>
      <c r="U1057" t="str">
        <f t="shared" si="33"/>
        <v>Beginner</v>
      </c>
    </row>
    <row r="1058" spans="1:21" x14ac:dyDescent="0.35">
      <c r="A1058" t="s">
        <v>1131</v>
      </c>
      <c r="B1058" t="s">
        <v>45</v>
      </c>
      <c r="C1058" t="s">
        <v>39</v>
      </c>
      <c r="D1058" t="s">
        <v>75</v>
      </c>
      <c r="E1058" t="s">
        <v>41</v>
      </c>
      <c r="F1058">
        <v>9</v>
      </c>
      <c r="G1058">
        <v>0.31</v>
      </c>
      <c r="H1058">
        <v>0.88</v>
      </c>
      <c r="I1058" t="s">
        <v>24</v>
      </c>
      <c r="J1058">
        <v>161960</v>
      </c>
      <c r="K1058" t="s">
        <v>27</v>
      </c>
      <c r="L1058">
        <v>17</v>
      </c>
      <c r="M1058">
        <v>49</v>
      </c>
      <c r="N1058" t="s">
        <v>35</v>
      </c>
      <c r="O1058" t="s">
        <v>25</v>
      </c>
      <c r="P1058">
        <v>2.95</v>
      </c>
      <c r="Q1058" t="s">
        <v>24</v>
      </c>
      <c r="R1058">
        <v>1.19</v>
      </c>
      <c r="S1058" t="s">
        <v>47</v>
      </c>
      <c r="T1058" t="str">
        <f t="shared" si="32"/>
        <v>Very High</v>
      </c>
      <c r="U1058" t="str">
        <f t="shared" si="33"/>
        <v>Experienced</v>
      </c>
    </row>
    <row r="1059" spans="1:21" x14ac:dyDescent="0.35">
      <c r="A1059" t="s">
        <v>1132</v>
      </c>
      <c r="B1059" t="s">
        <v>62</v>
      </c>
      <c r="C1059" t="s">
        <v>52</v>
      </c>
      <c r="D1059" t="s">
        <v>59</v>
      </c>
      <c r="E1059" t="s">
        <v>33</v>
      </c>
      <c r="F1059">
        <v>21</v>
      </c>
      <c r="G1059">
        <v>0.74</v>
      </c>
      <c r="H1059">
        <v>0.76</v>
      </c>
      <c r="I1059" t="s">
        <v>60</v>
      </c>
      <c r="J1059">
        <v>131747</v>
      </c>
      <c r="K1059" t="s">
        <v>42</v>
      </c>
      <c r="L1059">
        <v>4</v>
      </c>
      <c r="M1059">
        <v>39</v>
      </c>
      <c r="N1059" t="s">
        <v>26</v>
      </c>
      <c r="O1059" t="s">
        <v>25</v>
      </c>
      <c r="P1059">
        <v>2.2799999999999998</v>
      </c>
      <c r="Q1059" t="s">
        <v>34</v>
      </c>
      <c r="R1059">
        <v>1.07</v>
      </c>
      <c r="S1059" t="s">
        <v>47</v>
      </c>
      <c r="T1059" t="str">
        <f t="shared" si="32"/>
        <v>High</v>
      </c>
      <c r="U1059" t="str">
        <f t="shared" si="33"/>
        <v>Expert</v>
      </c>
    </row>
    <row r="1060" spans="1:21" x14ac:dyDescent="0.35">
      <c r="A1060" t="s">
        <v>1133</v>
      </c>
      <c r="B1060" t="s">
        <v>94</v>
      </c>
      <c r="C1060" t="s">
        <v>21</v>
      </c>
      <c r="D1060" t="s">
        <v>63</v>
      </c>
      <c r="E1060" t="s">
        <v>23</v>
      </c>
      <c r="F1060">
        <v>7</v>
      </c>
      <c r="G1060">
        <v>0.49</v>
      </c>
      <c r="H1060">
        <v>0.85</v>
      </c>
      <c r="I1060" t="s">
        <v>60</v>
      </c>
      <c r="J1060">
        <v>183408</v>
      </c>
      <c r="K1060" t="s">
        <v>42</v>
      </c>
      <c r="L1060">
        <v>10</v>
      </c>
      <c r="M1060">
        <v>53</v>
      </c>
      <c r="N1060" t="s">
        <v>35</v>
      </c>
      <c r="O1060" t="s">
        <v>25</v>
      </c>
      <c r="P1060">
        <v>3.64</v>
      </c>
      <c r="Q1060" t="s">
        <v>24</v>
      </c>
      <c r="R1060">
        <v>4.62</v>
      </c>
      <c r="S1060" t="s">
        <v>43</v>
      </c>
      <c r="T1060" t="str">
        <f t="shared" si="32"/>
        <v>High</v>
      </c>
      <c r="U1060" t="str">
        <f t="shared" si="33"/>
        <v>Intermediate</v>
      </c>
    </row>
    <row r="1061" spans="1:21" x14ac:dyDescent="0.35">
      <c r="A1061" t="s">
        <v>1134</v>
      </c>
      <c r="B1061" t="s">
        <v>30</v>
      </c>
      <c r="C1061" t="s">
        <v>74</v>
      </c>
      <c r="D1061" t="s">
        <v>66</v>
      </c>
      <c r="E1061" t="s">
        <v>33</v>
      </c>
      <c r="F1061">
        <v>12</v>
      </c>
      <c r="G1061">
        <v>0.74</v>
      </c>
      <c r="H1061">
        <v>0.59</v>
      </c>
      <c r="I1061" t="s">
        <v>60</v>
      </c>
      <c r="J1061">
        <v>55811</v>
      </c>
      <c r="K1061" t="s">
        <v>25</v>
      </c>
      <c r="L1061">
        <v>38</v>
      </c>
      <c r="M1061">
        <v>51</v>
      </c>
      <c r="N1061" t="s">
        <v>26</v>
      </c>
      <c r="O1061" t="s">
        <v>36</v>
      </c>
      <c r="P1061">
        <v>2.48</v>
      </c>
      <c r="Q1061" t="s">
        <v>34</v>
      </c>
      <c r="R1061">
        <v>1.08</v>
      </c>
      <c r="S1061" t="s">
        <v>43</v>
      </c>
      <c r="T1061" t="str">
        <f t="shared" si="32"/>
        <v>Moderate</v>
      </c>
      <c r="U1061" t="str">
        <f t="shared" si="33"/>
        <v>Experienced</v>
      </c>
    </row>
    <row r="1062" spans="1:21" x14ac:dyDescent="0.35">
      <c r="A1062" t="s">
        <v>1135</v>
      </c>
      <c r="B1062" t="s">
        <v>45</v>
      </c>
      <c r="C1062" t="s">
        <v>107</v>
      </c>
      <c r="D1062" t="s">
        <v>40</v>
      </c>
      <c r="E1062" t="s">
        <v>41</v>
      </c>
      <c r="F1062">
        <v>14</v>
      </c>
      <c r="G1062">
        <v>0.47</v>
      </c>
      <c r="H1062">
        <v>0.31</v>
      </c>
      <c r="I1062" t="s">
        <v>24</v>
      </c>
      <c r="J1062">
        <v>123874</v>
      </c>
      <c r="K1062" t="s">
        <v>25</v>
      </c>
      <c r="L1062">
        <v>42</v>
      </c>
      <c r="M1062">
        <v>46</v>
      </c>
      <c r="N1062" t="s">
        <v>42</v>
      </c>
      <c r="O1062" t="s">
        <v>25</v>
      </c>
      <c r="P1062">
        <v>3.08</v>
      </c>
      <c r="Q1062" t="s">
        <v>34</v>
      </c>
      <c r="R1062">
        <v>4.0199999999999996</v>
      </c>
      <c r="S1062" t="s">
        <v>43</v>
      </c>
      <c r="T1062" t="str">
        <f t="shared" si="32"/>
        <v>Moderate</v>
      </c>
      <c r="U1062" t="str">
        <f t="shared" si="33"/>
        <v>Experienced</v>
      </c>
    </row>
    <row r="1063" spans="1:21" x14ac:dyDescent="0.35">
      <c r="A1063" t="s">
        <v>1136</v>
      </c>
      <c r="B1063" t="s">
        <v>65</v>
      </c>
      <c r="C1063" t="s">
        <v>58</v>
      </c>
      <c r="D1063" t="s">
        <v>32</v>
      </c>
      <c r="E1063" t="s">
        <v>23</v>
      </c>
      <c r="F1063">
        <v>9</v>
      </c>
      <c r="G1063">
        <v>0.49</v>
      </c>
      <c r="H1063">
        <v>0.44</v>
      </c>
      <c r="I1063" t="s">
        <v>24</v>
      </c>
      <c r="J1063">
        <v>89839</v>
      </c>
      <c r="K1063" t="s">
        <v>42</v>
      </c>
      <c r="L1063">
        <v>22</v>
      </c>
      <c r="M1063">
        <v>57</v>
      </c>
      <c r="N1063" t="s">
        <v>42</v>
      </c>
      <c r="O1063" t="s">
        <v>27</v>
      </c>
      <c r="P1063">
        <v>3.38</v>
      </c>
      <c r="Q1063" t="s">
        <v>24</v>
      </c>
      <c r="R1063">
        <v>2.5299999999999998</v>
      </c>
      <c r="S1063" t="s">
        <v>47</v>
      </c>
      <c r="T1063" t="str">
        <f t="shared" si="32"/>
        <v>Moderate</v>
      </c>
      <c r="U1063" t="str">
        <f t="shared" si="33"/>
        <v>Experienced</v>
      </c>
    </row>
    <row r="1064" spans="1:21" x14ac:dyDescent="0.35">
      <c r="A1064" t="s">
        <v>1137</v>
      </c>
      <c r="B1064" t="s">
        <v>51</v>
      </c>
      <c r="C1064" t="s">
        <v>55</v>
      </c>
      <c r="D1064" t="s">
        <v>80</v>
      </c>
      <c r="E1064" t="s">
        <v>70</v>
      </c>
      <c r="F1064">
        <v>1</v>
      </c>
      <c r="G1064">
        <v>0.53</v>
      </c>
      <c r="H1064">
        <v>0.98</v>
      </c>
      <c r="I1064" t="s">
        <v>34</v>
      </c>
      <c r="J1064">
        <v>148192</v>
      </c>
      <c r="K1064" t="s">
        <v>42</v>
      </c>
      <c r="L1064">
        <v>17</v>
      </c>
      <c r="M1064">
        <v>38</v>
      </c>
      <c r="N1064" t="s">
        <v>35</v>
      </c>
      <c r="O1064" t="s">
        <v>25</v>
      </c>
      <c r="P1064">
        <v>3.34</v>
      </c>
      <c r="Q1064" t="s">
        <v>34</v>
      </c>
      <c r="R1064">
        <v>3.73</v>
      </c>
      <c r="S1064" t="s">
        <v>47</v>
      </c>
      <c r="T1064" t="str">
        <f t="shared" si="32"/>
        <v>High</v>
      </c>
      <c r="U1064" t="str">
        <f t="shared" si="33"/>
        <v>Beginner</v>
      </c>
    </row>
    <row r="1065" spans="1:21" x14ac:dyDescent="0.35">
      <c r="A1065" t="s">
        <v>1138</v>
      </c>
      <c r="B1065" t="s">
        <v>106</v>
      </c>
      <c r="C1065" t="s">
        <v>74</v>
      </c>
      <c r="D1065" t="s">
        <v>22</v>
      </c>
      <c r="E1065" t="s">
        <v>33</v>
      </c>
      <c r="F1065">
        <v>6</v>
      </c>
      <c r="G1065">
        <v>0.92</v>
      </c>
      <c r="H1065">
        <v>0.52</v>
      </c>
      <c r="I1065" t="s">
        <v>60</v>
      </c>
      <c r="J1065">
        <v>139463</v>
      </c>
      <c r="K1065" t="s">
        <v>42</v>
      </c>
      <c r="L1065">
        <v>36</v>
      </c>
      <c r="M1065">
        <v>46</v>
      </c>
      <c r="N1065" t="s">
        <v>42</v>
      </c>
      <c r="O1065" t="s">
        <v>27</v>
      </c>
      <c r="P1065">
        <v>2.16</v>
      </c>
      <c r="Q1065" t="s">
        <v>24</v>
      </c>
      <c r="R1065">
        <v>4.1900000000000004</v>
      </c>
      <c r="S1065" t="s">
        <v>28</v>
      </c>
      <c r="T1065" t="str">
        <f t="shared" si="32"/>
        <v>Moderate</v>
      </c>
      <c r="U1065" t="str">
        <f t="shared" si="33"/>
        <v>Intermediate</v>
      </c>
    </row>
    <row r="1066" spans="1:21" x14ac:dyDescent="0.35">
      <c r="A1066" t="s">
        <v>1139</v>
      </c>
      <c r="B1066" t="s">
        <v>147</v>
      </c>
      <c r="C1066" t="s">
        <v>58</v>
      </c>
      <c r="D1066" t="s">
        <v>80</v>
      </c>
      <c r="E1066" t="s">
        <v>33</v>
      </c>
      <c r="F1066">
        <v>15</v>
      </c>
      <c r="G1066">
        <v>0.38</v>
      </c>
      <c r="H1066">
        <v>0.39</v>
      </c>
      <c r="I1066" t="s">
        <v>24</v>
      </c>
      <c r="J1066">
        <v>31579</v>
      </c>
      <c r="K1066" t="s">
        <v>27</v>
      </c>
      <c r="L1066">
        <v>16</v>
      </c>
      <c r="M1066">
        <v>53</v>
      </c>
      <c r="N1066" t="s">
        <v>35</v>
      </c>
      <c r="O1066" t="s">
        <v>36</v>
      </c>
      <c r="P1066">
        <v>3.79</v>
      </c>
      <c r="Q1066" t="s">
        <v>34</v>
      </c>
      <c r="R1066">
        <v>2.72</v>
      </c>
      <c r="S1066" t="s">
        <v>43</v>
      </c>
      <c r="T1066" t="str">
        <f t="shared" si="32"/>
        <v>High</v>
      </c>
      <c r="U1066" t="str">
        <f t="shared" si="33"/>
        <v>Experienced</v>
      </c>
    </row>
    <row r="1067" spans="1:21" x14ac:dyDescent="0.35">
      <c r="A1067" t="s">
        <v>1140</v>
      </c>
      <c r="B1067" t="s">
        <v>65</v>
      </c>
      <c r="C1067" t="s">
        <v>46</v>
      </c>
      <c r="D1067" t="s">
        <v>49</v>
      </c>
      <c r="E1067" t="s">
        <v>23</v>
      </c>
      <c r="F1067">
        <v>22</v>
      </c>
      <c r="G1067">
        <v>0.42</v>
      </c>
      <c r="H1067">
        <v>0.25</v>
      </c>
      <c r="I1067" t="s">
        <v>34</v>
      </c>
      <c r="J1067">
        <v>154174</v>
      </c>
      <c r="K1067" t="s">
        <v>42</v>
      </c>
      <c r="L1067">
        <v>6</v>
      </c>
      <c r="M1067">
        <v>35</v>
      </c>
      <c r="N1067" t="s">
        <v>42</v>
      </c>
      <c r="O1067" t="s">
        <v>25</v>
      </c>
      <c r="P1067">
        <v>3.76</v>
      </c>
      <c r="Q1067" t="s">
        <v>24</v>
      </c>
      <c r="R1067">
        <v>1.96</v>
      </c>
      <c r="S1067" t="s">
        <v>28</v>
      </c>
      <c r="T1067" t="str">
        <f t="shared" si="32"/>
        <v>Moderate</v>
      </c>
      <c r="U1067" t="str">
        <f t="shared" si="33"/>
        <v>Expert</v>
      </c>
    </row>
    <row r="1068" spans="1:21" x14ac:dyDescent="0.35">
      <c r="A1068" t="s">
        <v>1141</v>
      </c>
      <c r="B1068" t="s">
        <v>102</v>
      </c>
      <c r="C1068" t="s">
        <v>82</v>
      </c>
      <c r="D1068" t="s">
        <v>75</v>
      </c>
      <c r="E1068" t="s">
        <v>33</v>
      </c>
      <c r="F1068">
        <v>5</v>
      </c>
      <c r="G1068">
        <v>0.41</v>
      </c>
      <c r="H1068">
        <v>0.86</v>
      </c>
      <c r="I1068" t="s">
        <v>60</v>
      </c>
      <c r="J1068">
        <v>149391</v>
      </c>
      <c r="K1068" t="s">
        <v>25</v>
      </c>
      <c r="L1068">
        <v>20</v>
      </c>
      <c r="M1068">
        <v>33</v>
      </c>
      <c r="N1068" t="s">
        <v>35</v>
      </c>
      <c r="O1068" t="s">
        <v>25</v>
      </c>
      <c r="P1068">
        <v>4.51</v>
      </c>
      <c r="Q1068" t="s">
        <v>34</v>
      </c>
      <c r="R1068">
        <v>3.6</v>
      </c>
      <c r="S1068" t="s">
        <v>43</v>
      </c>
      <c r="T1068" t="str">
        <f t="shared" si="32"/>
        <v>High</v>
      </c>
      <c r="U1068" t="str">
        <f t="shared" si="33"/>
        <v>Intermediate</v>
      </c>
    </row>
    <row r="1069" spans="1:21" x14ac:dyDescent="0.35">
      <c r="A1069" t="s">
        <v>1142</v>
      </c>
      <c r="B1069" t="s">
        <v>147</v>
      </c>
      <c r="C1069" t="s">
        <v>21</v>
      </c>
      <c r="D1069" t="s">
        <v>66</v>
      </c>
      <c r="E1069" t="s">
        <v>70</v>
      </c>
      <c r="F1069">
        <v>17</v>
      </c>
      <c r="G1069">
        <v>0.75</v>
      </c>
      <c r="H1069">
        <v>0.32</v>
      </c>
      <c r="I1069" t="s">
        <v>34</v>
      </c>
      <c r="J1069">
        <v>172395</v>
      </c>
      <c r="K1069" t="s">
        <v>27</v>
      </c>
      <c r="L1069">
        <v>25</v>
      </c>
      <c r="M1069">
        <v>37</v>
      </c>
      <c r="N1069" t="s">
        <v>35</v>
      </c>
      <c r="O1069" t="s">
        <v>36</v>
      </c>
      <c r="P1069">
        <v>2.5299999999999998</v>
      </c>
      <c r="Q1069" t="s">
        <v>24</v>
      </c>
      <c r="R1069">
        <v>4.34</v>
      </c>
      <c r="S1069" t="s">
        <v>28</v>
      </c>
      <c r="T1069" t="str">
        <f t="shared" si="32"/>
        <v>Very Low</v>
      </c>
      <c r="U1069" t="str">
        <f t="shared" si="33"/>
        <v>Expert</v>
      </c>
    </row>
    <row r="1070" spans="1:21" x14ac:dyDescent="0.35">
      <c r="A1070" t="s">
        <v>1143</v>
      </c>
      <c r="B1070" t="s">
        <v>38</v>
      </c>
      <c r="C1070" t="s">
        <v>55</v>
      </c>
      <c r="D1070" t="s">
        <v>75</v>
      </c>
      <c r="E1070" t="s">
        <v>41</v>
      </c>
      <c r="F1070">
        <v>8</v>
      </c>
      <c r="G1070">
        <v>0.08</v>
      </c>
      <c r="H1070">
        <v>0.34</v>
      </c>
      <c r="I1070" t="s">
        <v>24</v>
      </c>
      <c r="J1070">
        <v>138320</v>
      </c>
      <c r="K1070" t="s">
        <v>27</v>
      </c>
      <c r="L1070">
        <v>15</v>
      </c>
      <c r="M1070">
        <v>38</v>
      </c>
      <c r="N1070" t="s">
        <v>42</v>
      </c>
      <c r="O1070" t="s">
        <v>25</v>
      </c>
      <c r="P1070">
        <v>2.1800000000000002</v>
      </c>
      <c r="Q1070" t="s">
        <v>24</v>
      </c>
      <c r="R1070">
        <v>4.47</v>
      </c>
      <c r="S1070" t="s">
        <v>43</v>
      </c>
      <c r="T1070" t="str">
        <f t="shared" si="32"/>
        <v>High</v>
      </c>
      <c r="U1070" t="str">
        <f t="shared" si="33"/>
        <v>Intermediate</v>
      </c>
    </row>
    <row r="1071" spans="1:21" x14ac:dyDescent="0.35">
      <c r="A1071" t="s">
        <v>1144</v>
      </c>
      <c r="B1071" t="s">
        <v>156</v>
      </c>
      <c r="C1071" t="s">
        <v>58</v>
      </c>
      <c r="D1071" t="s">
        <v>66</v>
      </c>
      <c r="E1071" t="s">
        <v>33</v>
      </c>
      <c r="F1071">
        <v>6</v>
      </c>
      <c r="G1071">
        <v>0.85</v>
      </c>
      <c r="H1071">
        <v>0.23</v>
      </c>
      <c r="I1071" t="s">
        <v>24</v>
      </c>
      <c r="J1071">
        <v>119766</v>
      </c>
      <c r="K1071" t="s">
        <v>42</v>
      </c>
      <c r="L1071">
        <v>43</v>
      </c>
      <c r="M1071">
        <v>44</v>
      </c>
      <c r="N1071" t="s">
        <v>35</v>
      </c>
      <c r="O1071" t="s">
        <v>36</v>
      </c>
      <c r="P1071">
        <v>4.75</v>
      </c>
      <c r="Q1071" t="s">
        <v>34</v>
      </c>
      <c r="R1071">
        <v>3.31</v>
      </c>
      <c r="S1071" t="s">
        <v>47</v>
      </c>
      <c r="T1071" t="str">
        <f t="shared" si="32"/>
        <v>Very Low</v>
      </c>
      <c r="U1071" t="str">
        <f t="shared" si="33"/>
        <v>Intermediate</v>
      </c>
    </row>
    <row r="1072" spans="1:21" x14ac:dyDescent="0.35">
      <c r="A1072" t="s">
        <v>1145</v>
      </c>
      <c r="B1072" t="s">
        <v>73</v>
      </c>
      <c r="C1072" t="s">
        <v>52</v>
      </c>
      <c r="D1072" t="s">
        <v>63</v>
      </c>
      <c r="E1072" t="s">
        <v>70</v>
      </c>
      <c r="F1072">
        <v>1</v>
      </c>
      <c r="G1072">
        <v>0.05</v>
      </c>
      <c r="H1072">
        <v>0.38</v>
      </c>
      <c r="I1072" t="s">
        <v>24</v>
      </c>
      <c r="J1072">
        <v>177540</v>
      </c>
      <c r="K1072" t="s">
        <v>42</v>
      </c>
      <c r="L1072">
        <v>29</v>
      </c>
      <c r="M1072">
        <v>53</v>
      </c>
      <c r="N1072" t="s">
        <v>26</v>
      </c>
      <c r="O1072" t="s">
        <v>27</v>
      </c>
      <c r="P1072">
        <v>2.98</v>
      </c>
      <c r="Q1072" t="s">
        <v>24</v>
      </c>
      <c r="R1072">
        <v>3.95</v>
      </c>
      <c r="S1072" t="s">
        <v>47</v>
      </c>
      <c r="T1072" t="str">
        <f t="shared" si="32"/>
        <v>High</v>
      </c>
      <c r="U1072" t="str">
        <f t="shared" si="33"/>
        <v>Beginner</v>
      </c>
    </row>
    <row r="1073" spans="1:21" x14ac:dyDescent="0.35">
      <c r="A1073" t="s">
        <v>1146</v>
      </c>
      <c r="B1073" t="s">
        <v>68</v>
      </c>
      <c r="C1073" t="s">
        <v>52</v>
      </c>
      <c r="D1073" t="s">
        <v>59</v>
      </c>
      <c r="E1073" t="s">
        <v>70</v>
      </c>
      <c r="F1073">
        <v>20</v>
      </c>
      <c r="G1073">
        <v>0.54</v>
      </c>
      <c r="H1073">
        <v>0.27</v>
      </c>
      <c r="I1073" t="s">
        <v>24</v>
      </c>
      <c r="J1073">
        <v>180101</v>
      </c>
      <c r="K1073" t="s">
        <v>42</v>
      </c>
      <c r="L1073">
        <v>39</v>
      </c>
      <c r="M1073">
        <v>48</v>
      </c>
      <c r="N1073" t="s">
        <v>42</v>
      </c>
      <c r="O1073" t="s">
        <v>25</v>
      </c>
      <c r="P1073">
        <v>2.38</v>
      </c>
      <c r="Q1073" t="s">
        <v>34</v>
      </c>
      <c r="R1073">
        <v>3.87</v>
      </c>
      <c r="S1073" t="s">
        <v>43</v>
      </c>
      <c r="T1073" t="str">
        <f t="shared" si="32"/>
        <v>Moderate</v>
      </c>
      <c r="U1073" t="str">
        <f t="shared" si="33"/>
        <v>Expert</v>
      </c>
    </row>
    <row r="1074" spans="1:21" x14ac:dyDescent="0.35">
      <c r="A1074" t="s">
        <v>1147</v>
      </c>
      <c r="B1074" t="s">
        <v>38</v>
      </c>
      <c r="C1074" t="s">
        <v>107</v>
      </c>
      <c r="D1074" t="s">
        <v>66</v>
      </c>
      <c r="E1074" t="s">
        <v>70</v>
      </c>
      <c r="F1074">
        <v>0</v>
      </c>
      <c r="G1074">
        <v>0.63</v>
      </c>
      <c r="H1074">
        <v>0.48</v>
      </c>
      <c r="I1074" t="s">
        <v>34</v>
      </c>
      <c r="J1074">
        <v>83846</v>
      </c>
      <c r="K1074" t="s">
        <v>27</v>
      </c>
      <c r="L1074">
        <v>-10</v>
      </c>
      <c r="M1074">
        <v>46</v>
      </c>
      <c r="N1074" t="s">
        <v>26</v>
      </c>
      <c r="O1074" t="s">
        <v>36</v>
      </c>
      <c r="P1074">
        <v>2.9</v>
      </c>
      <c r="Q1074" t="s">
        <v>24</v>
      </c>
      <c r="R1074">
        <v>2.67</v>
      </c>
      <c r="S1074" t="s">
        <v>43</v>
      </c>
      <c r="T1074" t="str">
        <f t="shared" si="32"/>
        <v>Moderate</v>
      </c>
      <c r="U1074" t="str">
        <f t="shared" si="33"/>
        <v>Beginner</v>
      </c>
    </row>
    <row r="1075" spans="1:21" x14ac:dyDescent="0.35">
      <c r="A1075" t="s">
        <v>1148</v>
      </c>
      <c r="B1075" t="s">
        <v>38</v>
      </c>
      <c r="C1075" t="s">
        <v>82</v>
      </c>
      <c r="D1075" t="s">
        <v>22</v>
      </c>
      <c r="E1075" t="s">
        <v>41</v>
      </c>
      <c r="F1075">
        <v>5</v>
      </c>
      <c r="G1075">
        <v>0.06</v>
      </c>
      <c r="H1075">
        <v>0.76</v>
      </c>
      <c r="I1075" t="s">
        <v>24</v>
      </c>
      <c r="J1075">
        <v>57074</v>
      </c>
      <c r="K1075" t="s">
        <v>25</v>
      </c>
      <c r="L1075">
        <v>13</v>
      </c>
      <c r="M1075">
        <v>54</v>
      </c>
      <c r="N1075" t="s">
        <v>42</v>
      </c>
      <c r="O1075" t="s">
        <v>25</v>
      </c>
      <c r="P1075">
        <v>3.86</v>
      </c>
      <c r="Q1075" t="s">
        <v>34</v>
      </c>
      <c r="R1075">
        <v>2.04</v>
      </c>
      <c r="S1075" t="s">
        <v>28</v>
      </c>
      <c r="T1075" t="str">
        <f t="shared" si="32"/>
        <v>Very High</v>
      </c>
      <c r="U1075" t="str">
        <f t="shared" si="33"/>
        <v>Intermediate</v>
      </c>
    </row>
    <row r="1076" spans="1:21" x14ac:dyDescent="0.35">
      <c r="A1076" t="s">
        <v>1149</v>
      </c>
      <c r="B1076" t="s">
        <v>51</v>
      </c>
      <c r="C1076" t="s">
        <v>58</v>
      </c>
      <c r="D1076" t="s">
        <v>32</v>
      </c>
      <c r="E1076" t="s">
        <v>33</v>
      </c>
      <c r="F1076">
        <v>11</v>
      </c>
      <c r="G1076">
        <v>0.36</v>
      </c>
      <c r="H1076">
        <v>0.35</v>
      </c>
      <c r="I1076" t="s">
        <v>24</v>
      </c>
      <c r="J1076">
        <v>84077</v>
      </c>
      <c r="K1076" t="s">
        <v>25</v>
      </c>
      <c r="L1076">
        <v>-1</v>
      </c>
      <c r="M1076">
        <v>55</v>
      </c>
      <c r="N1076" t="s">
        <v>42</v>
      </c>
      <c r="O1076" t="s">
        <v>27</v>
      </c>
      <c r="P1076">
        <v>4.42</v>
      </c>
      <c r="Q1076" t="s">
        <v>34</v>
      </c>
      <c r="R1076">
        <v>4.41</v>
      </c>
      <c r="S1076" t="s">
        <v>47</v>
      </c>
      <c r="T1076" t="str">
        <f t="shared" si="32"/>
        <v>Moderate</v>
      </c>
      <c r="U1076" t="str">
        <f t="shared" si="33"/>
        <v>Experienced</v>
      </c>
    </row>
    <row r="1077" spans="1:21" x14ac:dyDescent="0.35">
      <c r="A1077" t="s">
        <v>1150</v>
      </c>
      <c r="B1077" t="s">
        <v>57</v>
      </c>
      <c r="C1077" t="s">
        <v>52</v>
      </c>
      <c r="D1077" t="s">
        <v>22</v>
      </c>
      <c r="E1077" t="s">
        <v>70</v>
      </c>
      <c r="F1077">
        <v>22</v>
      </c>
      <c r="G1077">
        <v>0.35</v>
      </c>
      <c r="H1077">
        <v>0.77</v>
      </c>
      <c r="I1077" t="s">
        <v>24</v>
      </c>
      <c r="J1077">
        <v>38753</v>
      </c>
      <c r="K1077" t="s">
        <v>27</v>
      </c>
      <c r="L1077">
        <v>2</v>
      </c>
      <c r="M1077">
        <v>54</v>
      </c>
      <c r="N1077" t="s">
        <v>35</v>
      </c>
      <c r="O1077" t="s">
        <v>25</v>
      </c>
      <c r="P1077">
        <v>4.63</v>
      </c>
      <c r="Q1077" t="s">
        <v>34</v>
      </c>
      <c r="R1077">
        <v>4.4000000000000004</v>
      </c>
      <c r="S1077" t="s">
        <v>43</v>
      </c>
      <c r="T1077" t="str">
        <f t="shared" si="32"/>
        <v>Very High</v>
      </c>
      <c r="U1077" t="str">
        <f t="shared" si="33"/>
        <v>Expert</v>
      </c>
    </row>
    <row r="1078" spans="1:21" x14ac:dyDescent="0.35">
      <c r="A1078" t="s">
        <v>1151</v>
      </c>
      <c r="B1078" t="s">
        <v>57</v>
      </c>
      <c r="C1078" t="s">
        <v>21</v>
      </c>
      <c r="D1078" t="s">
        <v>32</v>
      </c>
      <c r="E1078" t="s">
        <v>70</v>
      </c>
      <c r="F1078">
        <v>24</v>
      </c>
      <c r="G1078">
        <v>0.53</v>
      </c>
      <c r="H1078">
        <v>0.47</v>
      </c>
      <c r="I1078" t="s">
        <v>34</v>
      </c>
      <c r="J1078">
        <v>171129</v>
      </c>
      <c r="K1078" t="s">
        <v>25</v>
      </c>
      <c r="L1078">
        <v>0</v>
      </c>
      <c r="M1078">
        <v>58</v>
      </c>
      <c r="N1078" t="s">
        <v>26</v>
      </c>
      <c r="O1078" t="s">
        <v>25</v>
      </c>
      <c r="P1078">
        <v>3.33</v>
      </c>
      <c r="Q1078" t="s">
        <v>34</v>
      </c>
      <c r="R1078">
        <v>4.01</v>
      </c>
      <c r="S1078" t="s">
        <v>43</v>
      </c>
      <c r="T1078" t="str">
        <f t="shared" si="32"/>
        <v>Moderate</v>
      </c>
      <c r="U1078" t="str">
        <f t="shared" si="33"/>
        <v>Expert</v>
      </c>
    </row>
    <row r="1079" spans="1:21" x14ac:dyDescent="0.35">
      <c r="A1079" t="s">
        <v>1152</v>
      </c>
      <c r="B1079" t="s">
        <v>89</v>
      </c>
      <c r="C1079" t="s">
        <v>107</v>
      </c>
      <c r="D1079" t="s">
        <v>66</v>
      </c>
      <c r="E1079" t="s">
        <v>70</v>
      </c>
      <c r="F1079">
        <v>8</v>
      </c>
      <c r="G1079">
        <v>0.92</v>
      </c>
      <c r="H1079">
        <v>0.52</v>
      </c>
      <c r="I1079" t="s">
        <v>24</v>
      </c>
      <c r="J1079">
        <v>49727</v>
      </c>
      <c r="K1079" t="s">
        <v>25</v>
      </c>
      <c r="L1079">
        <v>-10</v>
      </c>
      <c r="M1079">
        <v>42</v>
      </c>
      <c r="N1079" t="s">
        <v>35</v>
      </c>
      <c r="O1079" t="s">
        <v>27</v>
      </c>
      <c r="P1079">
        <v>4.32</v>
      </c>
      <c r="Q1079" t="s">
        <v>34</v>
      </c>
      <c r="R1079">
        <v>3.56</v>
      </c>
      <c r="S1079" t="s">
        <v>28</v>
      </c>
      <c r="T1079" t="str">
        <f t="shared" si="32"/>
        <v>Moderate</v>
      </c>
      <c r="U1079" t="str">
        <f t="shared" si="33"/>
        <v>Intermediate</v>
      </c>
    </row>
    <row r="1080" spans="1:21" x14ac:dyDescent="0.35">
      <c r="A1080" t="s">
        <v>1153</v>
      </c>
      <c r="B1080" t="s">
        <v>57</v>
      </c>
      <c r="C1080" t="s">
        <v>21</v>
      </c>
      <c r="D1080" t="s">
        <v>49</v>
      </c>
      <c r="E1080" t="s">
        <v>70</v>
      </c>
      <c r="F1080">
        <v>7</v>
      </c>
      <c r="G1080">
        <v>0.17</v>
      </c>
      <c r="H1080">
        <v>0.51</v>
      </c>
      <c r="I1080" t="s">
        <v>60</v>
      </c>
      <c r="J1080">
        <v>49926</v>
      </c>
      <c r="K1080" t="s">
        <v>42</v>
      </c>
      <c r="L1080">
        <v>-2</v>
      </c>
      <c r="M1080">
        <v>60</v>
      </c>
      <c r="N1080" t="s">
        <v>42</v>
      </c>
      <c r="O1080" t="s">
        <v>36</v>
      </c>
      <c r="P1080">
        <v>3.42</v>
      </c>
      <c r="Q1080" t="s">
        <v>24</v>
      </c>
      <c r="R1080">
        <v>3.67</v>
      </c>
      <c r="S1080" t="s">
        <v>28</v>
      </c>
      <c r="T1080" t="str">
        <f t="shared" si="32"/>
        <v>High</v>
      </c>
      <c r="U1080" t="str">
        <f t="shared" si="33"/>
        <v>Intermediate</v>
      </c>
    </row>
    <row r="1081" spans="1:21" x14ac:dyDescent="0.35">
      <c r="A1081" t="s">
        <v>1154</v>
      </c>
      <c r="B1081" t="s">
        <v>91</v>
      </c>
      <c r="C1081" t="s">
        <v>39</v>
      </c>
      <c r="D1081" t="s">
        <v>75</v>
      </c>
      <c r="E1081" t="s">
        <v>41</v>
      </c>
      <c r="F1081">
        <v>18</v>
      </c>
      <c r="G1081">
        <v>7.0000000000000007E-2</v>
      </c>
      <c r="H1081">
        <v>0.69</v>
      </c>
      <c r="I1081" t="s">
        <v>60</v>
      </c>
      <c r="J1081">
        <v>61579</v>
      </c>
      <c r="K1081" t="s">
        <v>25</v>
      </c>
      <c r="L1081">
        <v>32</v>
      </c>
      <c r="M1081">
        <v>53</v>
      </c>
      <c r="N1081" t="s">
        <v>26</v>
      </c>
      <c r="O1081" t="s">
        <v>36</v>
      </c>
      <c r="P1081">
        <v>2.95</v>
      </c>
      <c r="Q1081" t="s">
        <v>24</v>
      </c>
      <c r="R1081">
        <v>2.08</v>
      </c>
      <c r="S1081" t="s">
        <v>47</v>
      </c>
      <c r="T1081" t="str">
        <f t="shared" si="32"/>
        <v>High</v>
      </c>
      <c r="U1081" t="str">
        <f t="shared" si="33"/>
        <v>Expert</v>
      </c>
    </row>
    <row r="1082" spans="1:21" x14ac:dyDescent="0.35">
      <c r="A1082" t="s">
        <v>1155</v>
      </c>
      <c r="B1082" t="s">
        <v>30</v>
      </c>
      <c r="C1082" t="s">
        <v>21</v>
      </c>
      <c r="D1082" t="s">
        <v>66</v>
      </c>
      <c r="E1082" t="s">
        <v>33</v>
      </c>
      <c r="F1082">
        <v>23</v>
      </c>
      <c r="G1082">
        <v>0.26</v>
      </c>
      <c r="H1082">
        <v>0.46</v>
      </c>
      <c r="I1082" t="s">
        <v>24</v>
      </c>
      <c r="J1082">
        <v>32603</v>
      </c>
      <c r="K1082" t="s">
        <v>25</v>
      </c>
      <c r="L1082">
        <v>27</v>
      </c>
      <c r="M1082">
        <v>50</v>
      </c>
      <c r="N1082" t="s">
        <v>35</v>
      </c>
      <c r="O1082" t="s">
        <v>36</v>
      </c>
      <c r="P1082">
        <v>2.71</v>
      </c>
      <c r="Q1082" t="s">
        <v>24</v>
      </c>
      <c r="R1082">
        <v>3.07</v>
      </c>
      <c r="S1082" t="s">
        <v>43</v>
      </c>
      <c r="T1082" t="str">
        <f t="shared" si="32"/>
        <v>High</v>
      </c>
      <c r="U1082" t="str">
        <f t="shared" si="33"/>
        <v>Expert</v>
      </c>
    </row>
    <row r="1083" spans="1:21" x14ac:dyDescent="0.35">
      <c r="A1083" t="s">
        <v>1156</v>
      </c>
      <c r="B1083" t="s">
        <v>106</v>
      </c>
      <c r="C1083" t="s">
        <v>21</v>
      </c>
      <c r="D1083" t="s">
        <v>80</v>
      </c>
      <c r="E1083" t="s">
        <v>33</v>
      </c>
      <c r="F1083">
        <v>22</v>
      </c>
      <c r="G1083">
        <v>0.39</v>
      </c>
      <c r="H1083">
        <v>0.79</v>
      </c>
      <c r="I1083" t="s">
        <v>34</v>
      </c>
      <c r="J1083">
        <v>64417</v>
      </c>
      <c r="K1083" t="s">
        <v>27</v>
      </c>
      <c r="L1083">
        <v>41</v>
      </c>
      <c r="M1083">
        <v>51</v>
      </c>
      <c r="N1083" t="s">
        <v>42</v>
      </c>
      <c r="O1083" t="s">
        <v>27</v>
      </c>
      <c r="P1083">
        <v>4.8</v>
      </c>
      <c r="Q1083" t="s">
        <v>24</v>
      </c>
      <c r="R1083">
        <v>3.36</v>
      </c>
      <c r="S1083" t="s">
        <v>28</v>
      </c>
      <c r="T1083" t="str">
        <f t="shared" si="32"/>
        <v>Very High</v>
      </c>
      <c r="U1083" t="str">
        <f t="shared" si="33"/>
        <v>Expert</v>
      </c>
    </row>
    <row r="1084" spans="1:21" x14ac:dyDescent="0.35">
      <c r="A1084" t="s">
        <v>1157</v>
      </c>
      <c r="B1084" t="s">
        <v>38</v>
      </c>
      <c r="C1084" t="s">
        <v>39</v>
      </c>
      <c r="D1084" t="s">
        <v>59</v>
      </c>
      <c r="E1084" t="s">
        <v>33</v>
      </c>
      <c r="F1084">
        <v>24</v>
      </c>
      <c r="G1084">
        <v>0.09</v>
      </c>
      <c r="H1084">
        <v>0.59</v>
      </c>
      <c r="I1084" t="s">
        <v>24</v>
      </c>
      <c r="J1084">
        <v>130192</v>
      </c>
      <c r="K1084" t="s">
        <v>27</v>
      </c>
      <c r="L1084">
        <v>27</v>
      </c>
      <c r="M1084">
        <v>47</v>
      </c>
      <c r="N1084" t="s">
        <v>42</v>
      </c>
      <c r="O1084" t="s">
        <v>36</v>
      </c>
      <c r="P1084">
        <v>2.29</v>
      </c>
      <c r="Q1084" t="s">
        <v>24</v>
      </c>
      <c r="R1084">
        <v>1.66</v>
      </c>
      <c r="S1084" t="s">
        <v>43</v>
      </c>
      <c r="T1084" t="str">
        <f t="shared" si="32"/>
        <v>High</v>
      </c>
      <c r="U1084" t="str">
        <f t="shared" si="33"/>
        <v>Expert</v>
      </c>
    </row>
    <row r="1085" spans="1:21" x14ac:dyDescent="0.35">
      <c r="A1085" t="s">
        <v>1158</v>
      </c>
      <c r="B1085" t="s">
        <v>65</v>
      </c>
      <c r="C1085" t="s">
        <v>55</v>
      </c>
      <c r="D1085" t="s">
        <v>59</v>
      </c>
      <c r="E1085" t="s">
        <v>33</v>
      </c>
      <c r="F1085">
        <v>24</v>
      </c>
      <c r="G1085">
        <v>0.35</v>
      </c>
      <c r="H1085">
        <v>0.6</v>
      </c>
      <c r="I1085" t="s">
        <v>34</v>
      </c>
      <c r="J1085">
        <v>124182</v>
      </c>
      <c r="K1085" t="s">
        <v>27</v>
      </c>
      <c r="L1085">
        <v>17</v>
      </c>
      <c r="M1085">
        <v>52</v>
      </c>
      <c r="N1085" t="s">
        <v>42</v>
      </c>
      <c r="O1085" t="s">
        <v>25</v>
      </c>
      <c r="P1085">
        <v>3.21</v>
      </c>
      <c r="Q1085" t="s">
        <v>24</v>
      </c>
      <c r="R1085">
        <v>1.07</v>
      </c>
      <c r="S1085" t="s">
        <v>28</v>
      </c>
      <c r="T1085" t="str">
        <f t="shared" si="32"/>
        <v>High</v>
      </c>
      <c r="U1085" t="str">
        <f t="shared" si="33"/>
        <v>Expert</v>
      </c>
    </row>
    <row r="1086" spans="1:21" x14ac:dyDescent="0.35">
      <c r="A1086" t="s">
        <v>1159</v>
      </c>
      <c r="B1086" t="s">
        <v>30</v>
      </c>
      <c r="C1086" t="s">
        <v>74</v>
      </c>
      <c r="D1086" t="s">
        <v>40</v>
      </c>
      <c r="E1086" t="s">
        <v>23</v>
      </c>
      <c r="F1086">
        <v>5</v>
      </c>
      <c r="G1086">
        <v>0.75</v>
      </c>
      <c r="H1086">
        <v>0.49</v>
      </c>
      <c r="I1086" t="s">
        <v>60</v>
      </c>
      <c r="J1086">
        <v>86808</v>
      </c>
      <c r="K1086" t="s">
        <v>25</v>
      </c>
      <c r="L1086">
        <v>1</v>
      </c>
      <c r="M1086">
        <v>35</v>
      </c>
      <c r="N1086" t="s">
        <v>42</v>
      </c>
      <c r="O1086" t="s">
        <v>25</v>
      </c>
      <c r="P1086">
        <v>4.26</v>
      </c>
      <c r="Q1086" t="s">
        <v>24</v>
      </c>
      <c r="R1086">
        <v>2.41</v>
      </c>
      <c r="S1086" t="s">
        <v>28</v>
      </c>
      <c r="T1086" t="str">
        <f t="shared" si="32"/>
        <v>Very Low</v>
      </c>
      <c r="U1086" t="str">
        <f t="shared" si="33"/>
        <v>Intermediate</v>
      </c>
    </row>
    <row r="1087" spans="1:21" x14ac:dyDescent="0.35">
      <c r="A1087" t="s">
        <v>1160</v>
      </c>
      <c r="B1087" t="s">
        <v>156</v>
      </c>
      <c r="C1087" t="s">
        <v>21</v>
      </c>
      <c r="D1087" t="s">
        <v>32</v>
      </c>
      <c r="E1087" t="s">
        <v>33</v>
      </c>
      <c r="F1087">
        <v>7</v>
      </c>
      <c r="G1087">
        <v>0.22</v>
      </c>
      <c r="H1087">
        <v>0.8</v>
      </c>
      <c r="I1087" t="s">
        <v>34</v>
      </c>
      <c r="J1087">
        <v>77259</v>
      </c>
      <c r="K1087" t="s">
        <v>25</v>
      </c>
      <c r="L1087">
        <v>8</v>
      </c>
      <c r="M1087">
        <v>48</v>
      </c>
      <c r="N1087" t="s">
        <v>26</v>
      </c>
      <c r="O1087" t="s">
        <v>25</v>
      </c>
      <c r="P1087">
        <v>3.78</v>
      </c>
      <c r="Q1087" t="s">
        <v>24</v>
      </c>
      <c r="R1087">
        <v>3.42</v>
      </c>
      <c r="S1087" t="s">
        <v>28</v>
      </c>
      <c r="T1087" t="str">
        <f t="shared" si="32"/>
        <v>Very High</v>
      </c>
      <c r="U1087" t="str">
        <f t="shared" si="33"/>
        <v>Intermediate</v>
      </c>
    </row>
    <row r="1088" spans="1:21" x14ac:dyDescent="0.35">
      <c r="A1088" t="s">
        <v>1161</v>
      </c>
      <c r="B1088" t="s">
        <v>73</v>
      </c>
      <c r="C1088" t="s">
        <v>46</v>
      </c>
      <c r="D1088" t="s">
        <v>63</v>
      </c>
      <c r="E1088" t="s">
        <v>23</v>
      </c>
      <c r="F1088">
        <v>6</v>
      </c>
      <c r="G1088">
        <v>0.41</v>
      </c>
      <c r="H1088">
        <v>0.41</v>
      </c>
      <c r="I1088" t="s">
        <v>24</v>
      </c>
      <c r="J1088">
        <v>119834</v>
      </c>
      <c r="K1088" t="s">
        <v>25</v>
      </c>
      <c r="L1088">
        <v>20</v>
      </c>
      <c r="M1088">
        <v>56</v>
      </c>
      <c r="N1088" t="s">
        <v>42</v>
      </c>
      <c r="O1088" t="s">
        <v>27</v>
      </c>
      <c r="P1088">
        <v>2.12</v>
      </c>
      <c r="Q1088" t="s">
        <v>24</v>
      </c>
      <c r="R1088">
        <v>3.46</v>
      </c>
      <c r="S1088" t="s">
        <v>47</v>
      </c>
      <c r="T1088" t="str">
        <f t="shared" si="32"/>
        <v>Moderate</v>
      </c>
      <c r="U1088" t="str">
        <f t="shared" si="33"/>
        <v>Intermediate</v>
      </c>
    </row>
    <row r="1089" spans="1:21" x14ac:dyDescent="0.35">
      <c r="A1089" t="s">
        <v>1162</v>
      </c>
      <c r="B1089" t="s">
        <v>106</v>
      </c>
      <c r="C1089" t="s">
        <v>82</v>
      </c>
      <c r="D1089" t="s">
        <v>66</v>
      </c>
      <c r="E1089" t="s">
        <v>23</v>
      </c>
      <c r="F1089">
        <v>2</v>
      </c>
      <c r="G1089">
        <v>0.74</v>
      </c>
      <c r="H1089">
        <v>0.63</v>
      </c>
      <c r="I1089" t="s">
        <v>24</v>
      </c>
      <c r="J1089">
        <v>76566</v>
      </c>
      <c r="K1089" t="s">
        <v>27</v>
      </c>
      <c r="L1089">
        <v>4</v>
      </c>
      <c r="M1089">
        <v>42</v>
      </c>
      <c r="N1089" t="s">
        <v>35</v>
      </c>
      <c r="O1089" t="s">
        <v>27</v>
      </c>
      <c r="P1089">
        <v>2.14</v>
      </c>
      <c r="Q1089" t="s">
        <v>24</v>
      </c>
      <c r="R1089">
        <v>4.7300000000000004</v>
      </c>
      <c r="S1089" t="s">
        <v>47</v>
      </c>
      <c r="T1089" t="str">
        <f t="shared" si="32"/>
        <v>Moderate</v>
      </c>
      <c r="U1089" t="str">
        <f t="shared" si="33"/>
        <v>Beginner</v>
      </c>
    </row>
    <row r="1090" spans="1:21" x14ac:dyDescent="0.35">
      <c r="A1090" t="s">
        <v>1163</v>
      </c>
      <c r="B1090" t="s">
        <v>73</v>
      </c>
      <c r="C1090" t="s">
        <v>107</v>
      </c>
      <c r="D1090" t="s">
        <v>69</v>
      </c>
      <c r="E1090" t="s">
        <v>33</v>
      </c>
      <c r="F1090">
        <v>12</v>
      </c>
      <c r="G1090">
        <v>0.15</v>
      </c>
      <c r="H1090">
        <v>0.74</v>
      </c>
      <c r="I1090" t="s">
        <v>34</v>
      </c>
      <c r="J1090">
        <v>139572</v>
      </c>
      <c r="K1090" t="s">
        <v>25</v>
      </c>
      <c r="L1090">
        <v>35</v>
      </c>
      <c r="M1090">
        <v>46</v>
      </c>
      <c r="N1090" t="s">
        <v>26</v>
      </c>
      <c r="O1090" t="s">
        <v>36</v>
      </c>
      <c r="P1090">
        <v>2.0299999999999998</v>
      </c>
      <c r="Q1090" t="s">
        <v>34</v>
      </c>
      <c r="R1090">
        <v>1.91</v>
      </c>
      <c r="S1090" t="s">
        <v>47</v>
      </c>
      <c r="T1090" t="str">
        <f t="shared" si="32"/>
        <v>Very High</v>
      </c>
      <c r="U1090" t="str">
        <f t="shared" si="33"/>
        <v>Experienced</v>
      </c>
    </row>
    <row r="1091" spans="1:21" x14ac:dyDescent="0.35">
      <c r="A1091" t="s">
        <v>1164</v>
      </c>
      <c r="B1091" t="s">
        <v>68</v>
      </c>
      <c r="C1091" t="s">
        <v>39</v>
      </c>
      <c r="D1091" t="s">
        <v>59</v>
      </c>
      <c r="E1091" t="s">
        <v>23</v>
      </c>
      <c r="F1091">
        <v>3</v>
      </c>
      <c r="G1091">
        <v>0.79</v>
      </c>
      <c r="H1091">
        <v>0.72</v>
      </c>
      <c r="I1091" t="s">
        <v>24</v>
      </c>
      <c r="J1091">
        <v>88440</v>
      </c>
      <c r="K1091" t="s">
        <v>27</v>
      </c>
      <c r="L1091">
        <v>40</v>
      </c>
      <c r="M1091">
        <v>49</v>
      </c>
      <c r="N1091" t="s">
        <v>42</v>
      </c>
      <c r="O1091" t="s">
        <v>36</v>
      </c>
      <c r="P1091">
        <v>4.1399999999999997</v>
      </c>
      <c r="Q1091" t="s">
        <v>34</v>
      </c>
      <c r="R1091">
        <v>2.2000000000000002</v>
      </c>
      <c r="S1091" t="s">
        <v>47</v>
      </c>
      <c r="T1091" t="str">
        <f t="shared" ref="T1091:T1154" si="34">IF(AND(G1091&lt;0.4,H1091&gt;=0.7),"Very High",
IF(AND(G1091&gt;=0.7,H1091&lt;0.5),"Very Low",
IF(G1091&lt;H1091,"High","Moderate")))</f>
        <v>Moderate</v>
      </c>
      <c r="U1091" t="str">
        <f t="shared" ref="U1091:U1154" si="35">_xlfn.IFS(F1091&lt;=2,"Beginner",F1091&lt;=8,"Intermediate",F1091&lt;=15,"Experienced",F1091&lt;=25,"Expert")</f>
        <v>Intermediate</v>
      </c>
    </row>
    <row r="1092" spans="1:21" x14ac:dyDescent="0.35">
      <c r="A1092" t="s">
        <v>1165</v>
      </c>
      <c r="B1092" t="s">
        <v>91</v>
      </c>
      <c r="C1092" t="s">
        <v>82</v>
      </c>
      <c r="D1092" t="s">
        <v>49</v>
      </c>
      <c r="E1092" t="s">
        <v>23</v>
      </c>
      <c r="F1092">
        <v>21</v>
      </c>
      <c r="G1092">
        <v>0.86</v>
      </c>
      <c r="H1092">
        <v>0.43</v>
      </c>
      <c r="I1092" t="s">
        <v>34</v>
      </c>
      <c r="J1092">
        <v>81544</v>
      </c>
      <c r="K1092" t="s">
        <v>27</v>
      </c>
      <c r="L1092">
        <v>13</v>
      </c>
      <c r="M1092">
        <v>45</v>
      </c>
      <c r="N1092" t="s">
        <v>42</v>
      </c>
      <c r="O1092" t="s">
        <v>25</v>
      </c>
      <c r="P1092">
        <v>3.27</v>
      </c>
      <c r="Q1092" t="s">
        <v>24</v>
      </c>
      <c r="R1092">
        <v>4.16</v>
      </c>
      <c r="S1092" t="s">
        <v>28</v>
      </c>
      <c r="T1092" t="str">
        <f t="shared" si="34"/>
        <v>Very Low</v>
      </c>
      <c r="U1092" t="str">
        <f t="shared" si="35"/>
        <v>Expert</v>
      </c>
    </row>
    <row r="1093" spans="1:21" x14ac:dyDescent="0.35">
      <c r="A1093" t="s">
        <v>1166</v>
      </c>
      <c r="B1093" t="s">
        <v>68</v>
      </c>
      <c r="C1093" t="s">
        <v>55</v>
      </c>
      <c r="D1093" t="s">
        <v>80</v>
      </c>
      <c r="E1093" t="s">
        <v>23</v>
      </c>
      <c r="F1093">
        <v>0</v>
      </c>
      <c r="G1093">
        <v>0.78</v>
      </c>
      <c r="H1093">
        <v>0.56999999999999995</v>
      </c>
      <c r="I1093" t="s">
        <v>24</v>
      </c>
      <c r="J1093">
        <v>119176</v>
      </c>
      <c r="K1093" t="s">
        <v>42</v>
      </c>
      <c r="L1093">
        <v>29</v>
      </c>
      <c r="M1093">
        <v>49</v>
      </c>
      <c r="N1093" t="s">
        <v>26</v>
      </c>
      <c r="O1093" t="s">
        <v>25</v>
      </c>
      <c r="P1093">
        <v>2.52</v>
      </c>
      <c r="Q1093" t="s">
        <v>24</v>
      </c>
      <c r="R1093">
        <v>1.1599999999999999</v>
      </c>
      <c r="S1093" t="s">
        <v>47</v>
      </c>
      <c r="T1093" t="str">
        <f t="shared" si="34"/>
        <v>Moderate</v>
      </c>
      <c r="U1093" t="str">
        <f t="shared" si="35"/>
        <v>Beginner</v>
      </c>
    </row>
    <row r="1094" spans="1:21" x14ac:dyDescent="0.35">
      <c r="A1094" t="s">
        <v>1167</v>
      </c>
      <c r="B1094" t="s">
        <v>51</v>
      </c>
      <c r="C1094" t="s">
        <v>39</v>
      </c>
      <c r="D1094" t="s">
        <v>66</v>
      </c>
      <c r="E1094" t="s">
        <v>70</v>
      </c>
      <c r="F1094">
        <v>13</v>
      </c>
      <c r="G1094">
        <v>0.74</v>
      </c>
      <c r="H1094">
        <v>0.26</v>
      </c>
      <c r="I1094" t="s">
        <v>34</v>
      </c>
      <c r="J1094">
        <v>160078</v>
      </c>
      <c r="K1094" t="s">
        <v>25</v>
      </c>
      <c r="L1094">
        <v>22</v>
      </c>
      <c r="M1094">
        <v>56</v>
      </c>
      <c r="N1094" t="s">
        <v>42</v>
      </c>
      <c r="O1094" t="s">
        <v>27</v>
      </c>
      <c r="P1094">
        <v>2.77</v>
      </c>
      <c r="Q1094" t="s">
        <v>24</v>
      </c>
      <c r="R1094">
        <v>1.66</v>
      </c>
      <c r="S1094" t="s">
        <v>43</v>
      </c>
      <c r="T1094" t="str">
        <f t="shared" si="34"/>
        <v>Very Low</v>
      </c>
      <c r="U1094" t="str">
        <f t="shared" si="35"/>
        <v>Experienced</v>
      </c>
    </row>
    <row r="1095" spans="1:21" x14ac:dyDescent="0.35">
      <c r="A1095" t="s">
        <v>1168</v>
      </c>
      <c r="B1095" t="s">
        <v>51</v>
      </c>
      <c r="C1095" t="s">
        <v>39</v>
      </c>
      <c r="D1095" t="s">
        <v>80</v>
      </c>
      <c r="E1095" t="s">
        <v>23</v>
      </c>
      <c r="F1095">
        <v>23</v>
      </c>
      <c r="G1095">
        <v>0.56000000000000005</v>
      </c>
      <c r="H1095">
        <v>0.42</v>
      </c>
      <c r="I1095" t="s">
        <v>60</v>
      </c>
      <c r="J1095">
        <v>152581</v>
      </c>
      <c r="K1095" t="s">
        <v>42</v>
      </c>
      <c r="L1095">
        <v>-6</v>
      </c>
      <c r="M1095">
        <v>50</v>
      </c>
      <c r="N1095" t="s">
        <v>35</v>
      </c>
      <c r="O1095" t="s">
        <v>25</v>
      </c>
      <c r="P1095">
        <v>3.79</v>
      </c>
      <c r="Q1095" t="s">
        <v>24</v>
      </c>
      <c r="R1095">
        <v>3</v>
      </c>
      <c r="S1095" t="s">
        <v>43</v>
      </c>
      <c r="T1095" t="str">
        <f t="shared" si="34"/>
        <v>Moderate</v>
      </c>
      <c r="U1095" t="str">
        <f t="shared" si="35"/>
        <v>Expert</v>
      </c>
    </row>
    <row r="1096" spans="1:21" x14ac:dyDescent="0.35">
      <c r="A1096" t="s">
        <v>1169</v>
      </c>
      <c r="B1096" t="s">
        <v>77</v>
      </c>
      <c r="C1096" t="s">
        <v>58</v>
      </c>
      <c r="D1096" t="s">
        <v>75</v>
      </c>
      <c r="E1096" t="s">
        <v>33</v>
      </c>
      <c r="F1096">
        <v>15</v>
      </c>
      <c r="G1096">
        <v>0.7</v>
      </c>
      <c r="H1096">
        <v>0.39</v>
      </c>
      <c r="I1096" t="s">
        <v>60</v>
      </c>
      <c r="J1096">
        <v>184656</v>
      </c>
      <c r="K1096" t="s">
        <v>25</v>
      </c>
      <c r="L1096">
        <v>6</v>
      </c>
      <c r="M1096">
        <v>51</v>
      </c>
      <c r="N1096" t="s">
        <v>42</v>
      </c>
      <c r="O1096" t="s">
        <v>25</v>
      </c>
      <c r="P1096">
        <v>2.91</v>
      </c>
      <c r="Q1096" t="s">
        <v>34</v>
      </c>
      <c r="R1096">
        <v>3.95</v>
      </c>
      <c r="S1096" t="s">
        <v>43</v>
      </c>
      <c r="T1096" t="str">
        <f t="shared" si="34"/>
        <v>Very Low</v>
      </c>
      <c r="U1096" t="str">
        <f t="shared" si="35"/>
        <v>Experienced</v>
      </c>
    </row>
    <row r="1097" spans="1:21" x14ac:dyDescent="0.35">
      <c r="A1097" t="s">
        <v>1170</v>
      </c>
      <c r="B1097" t="s">
        <v>45</v>
      </c>
      <c r="C1097" t="s">
        <v>55</v>
      </c>
      <c r="D1097" t="s">
        <v>49</v>
      </c>
      <c r="E1097" t="s">
        <v>70</v>
      </c>
      <c r="F1097">
        <v>13</v>
      </c>
      <c r="G1097">
        <v>0.24</v>
      </c>
      <c r="H1097">
        <v>0.24</v>
      </c>
      <c r="I1097" t="s">
        <v>34</v>
      </c>
      <c r="J1097">
        <v>128350</v>
      </c>
      <c r="K1097" t="s">
        <v>42</v>
      </c>
      <c r="L1097">
        <v>44</v>
      </c>
      <c r="M1097">
        <v>44</v>
      </c>
      <c r="N1097" t="s">
        <v>35</v>
      </c>
      <c r="O1097" t="s">
        <v>27</v>
      </c>
      <c r="P1097">
        <v>4.63</v>
      </c>
      <c r="Q1097" t="s">
        <v>24</v>
      </c>
      <c r="R1097">
        <v>2.62</v>
      </c>
      <c r="S1097" t="s">
        <v>47</v>
      </c>
      <c r="T1097" t="str">
        <f t="shared" si="34"/>
        <v>Moderate</v>
      </c>
      <c r="U1097" t="str">
        <f t="shared" si="35"/>
        <v>Experienced</v>
      </c>
    </row>
    <row r="1098" spans="1:21" x14ac:dyDescent="0.35">
      <c r="A1098" t="s">
        <v>1171</v>
      </c>
      <c r="B1098" t="s">
        <v>106</v>
      </c>
      <c r="C1098" t="s">
        <v>107</v>
      </c>
      <c r="D1098" t="s">
        <v>49</v>
      </c>
      <c r="E1098" t="s">
        <v>33</v>
      </c>
      <c r="F1098">
        <v>18</v>
      </c>
      <c r="G1098">
        <v>0.72</v>
      </c>
      <c r="H1098">
        <v>0.65</v>
      </c>
      <c r="I1098" t="s">
        <v>24</v>
      </c>
      <c r="J1098">
        <v>45678</v>
      </c>
      <c r="K1098" t="s">
        <v>25</v>
      </c>
      <c r="L1098">
        <v>39</v>
      </c>
      <c r="M1098">
        <v>46</v>
      </c>
      <c r="N1098" t="s">
        <v>42</v>
      </c>
      <c r="O1098" t="s">
        <v>36</v>
      </c>
      <c r="P1098">
        <v>2.12</v>
      </c>
      <c r="Q1098" t="s">
        <v>34</v>
      </c>
      <c r="R1098">
        <v>3.6</v>
      </c>
      <c r="S1098" t="s">
        <v>28</v>
      </c>
      <c r="T1098" t="str">
        <f t="shared" si="34"/>
        <v>Moderate</v>
      </c>
      <c r="U1098" t="str">
        <f t="shared" si="35"/>
        <v>Expert</v>
      </c>
    </row>
    <row r="1099" spans="1:21" x14ac:dyDescent="0.35">
      <c r="A1099" t="s">
        <v>1172</v>
      </c>
      <c r="B1099" t="s">
        <v>57</v>
      </c>
      <c r="C1099" t="s">
        <v>39</v>
      </c>
      <c r="D1099" t="s">
        <v>49</v>
      </c>
      <c r="E1099" t="s">
        <v>70</v>
      </c>
      <c r="F1099">
        <v>13</v>
      </c>
      <c r="G1099">
        <v>0.84</v>
      </c>
      <c r="H1099">
        <v>0.23</v>
      </c>
      <c r="I1099" t="s">
        <v>60</v>
      </c>
      <c r="J1099">
        <v>39569</v>
      </c>
      <c r="K1099" t="s">
        <v>27</v>
      </c>
      <c r="L1099">
        <v>5</v>
      </c>
      <c r="M1099">
        <v>36</v>
      </c>
      <c r="N1099" t="s">
        <v>35</v>
      </c>
      <c r="O1099" t="s">
        <v>36</v>
      </c>
      <c r="P1099">
        <v>3.45</v>
      </c>
      <c r="Q1099" t="s">
        <v>34</v>
      </c>
      <c r="R1099">
        <v>3.66</v>
      </c>
      <c r="S1099" t="s">
        <v>47</v>
      </c>
      <c r="T1099" t="str">
        <f t="shared" si="34"/>
        <v>Very Low</v>
      </c>
      <c r="U1099" t="str">
        <f t="shared" si="35"/>
        <v>Experienced</v>
      </c>
    </row>
    <row r="1100" spans="1:21" x14ac:dyDescent="0.35">
      <c r="A1100" t="s">
        <v>1173</v>
      </c>
      <c r="B1100" t="s">
        <v>38</v>
      </c>
      <c r="C1100" t="s">
        <v>31</v>
      </c>
      <c r="D1100" t="s">
        <v>40</v>
      </c>
      <c r="E1100" t="s">
        <v>41</v>
      </c>
      <c r="F1100">
        <v>24</v>
      </c>
      <c r="G1100">
        <v>0.43</v>
      </c>
      <c r="H1100">
        <v>0.9</v>
      </c>
      <c r="I1100" t="s">
        <v>60</v>
      </c>
      <c r="J1100">
        <v>154616</v>
      </c>
      <c r="K1100" t="s">
        <v>42</v>
      </c>
      <c r="L1100">
        <v>22</v>
      </c>
      <c r="M1100">
        <v>50</v>
      </c>
      <c r="N1100" t="s">
        <v>26</v>
      </c>
      <c r="O1100" t="s">
        <v>36</v>
      </c>
      <c r="P1100">
        <v>2.99</v>
      </c>
      <c r="Q1100" t="s">
        <v>34</v>
      </c>
      <c r="R1100">
        <v>3.71</v>
      </c>
      <c r="S1100" t="s">
        <v>47</v>
      </c>
      <c r="T1100" t="str">
        <f t="shared" si="34"/>
        <v>High</v>
      </c>
      <c r="U1100" t="str">
        <f t="shared" si="35"/>
        <v>Expert</v>
      </c>
    </row>
    <row r="1101" spans="1:21" x14ac:dyDescent="0.35">
      <c r="A1101" t="s">
        <v>1174</v>
      </c>
      <c r="B1101" t="s">
        <v>77</v>
      </c>
      <c r="C1101" t="s">
        <v>55</v>
      </c>
      <c r="D1101" t="s">
        <v>49</v>
      </c>
      <c r="E1101" t="s">
        <v>23</v>
      </c>
      <c r="F1101">
        <v>0</v>
      </c>
      <c r="G1101">
        <v>0.78</v>
      </c>
      <c r="H1101">
        <v>0.75</v>
      </c>
      <c r="I1101" t="s">
        <v>60</v>
      </c>
      <c r="J1101">
        <v>211822</v>
      </c>
      <c r="K1101" t="s">
        <v>42</v>
      </c>
      <c r="L1101">
        <v>41</v>
      </c>
      <c r="M1101">
        <v>50</v>
      </c>
      <c r="N1101" t="s">
        <v>42</v>
      </c>
      <c r="O1101" t="s">
        <v>25</v>
      </c>
      <c r="P1101">
        <v>4.53</v>
      </c>
      <c r="Q1101" t="s">
        <v>34</v>
      </c>
      <c r="R1101">
        <v>3.28</v>
      </c>
      <c r="S1101" t="s">
        <v>47</v>
      </c>
      <c r="T1101" t="str">
        <f t="shared" si="34"/>
        <v>Moderate</v>
      </c>
      <c r="U1101" t="str">
        <f t="shared" si="35"/>
        <v>Beginner</v>
      </c>
    </row>
    <row r="1102" spans="1:21" x14ac:dyDescent="0.35">
      <c r="A1102" t="s">
        <v>1175</v>
      </c>
      <c r="B1102" t="s">
        <v>45</v>
      </c>
      <c r="C1102" t="s">
        <v>55</v>
      </c>
      <c r="D1102" t="s">
        <v>69</v>
      </c>
      <c r="E1102" t="s">
        <v>23</v>
      </c>
      <c r="F1102">
        <v>0</v>
      </c>
      <c r="G1102">
        <v>0.63</v>
      </c>
      <c r="H1102">
        <v>0.64</v>
      </c>
      <c r="I1102" t="s">
        <v>34</v>
      </c>
      <c r="J1102">
        <v>213542</v>
      </c>
      <c r="K1102" t="s">
        <v>42</v>
      </c>
      <c r="L1102">
        <v>3</v>
      </c>
      <c r="M1102">
        <v>35</v>
      </c>
      <c r="N1102" t="s">
        <v>35</v>
      </c>
      <c r="O1102" t="s">
        <v>25</v>
      </c>
      <c r="P1102">
        <v>3.21</v>
      </c>
      <c r="Q1102" t="s">
        <v>24</v>
      </c>
      <c r="R1102">
        <v>3.31</v>
      </c>
      <c r="S1102" t="s">
        <v>28</v>
      </c>
      <c r="T1102" t="str">
        <f t="shared" si="34"/>
        <v>High</v>
      </c>
      <c r="U1102" t="str">
        <f t="shared" si="35"/>
        <v>Beginner</v>
      </c>
    </row>
    <row r="1103" spans="1:21" x14ac:dyDescent="0.35">
      <c r="A1103" t="s">
        <v>1176</v>
      </c>
      <c r="B1103" t="s">
        <v>45</v>
      </c>
      <c r="C1103" t="s">
        <v>46</v>
      </c>
      <c r="D1103" t="s">
        <v>80</v>
      </c>
      <c r="E1103" t="s">
        <v>33</v>
      </c>
      <c r="F1103">
        <v>15</v>
      </c>
      <c r="G1103">
        <v>0.74</v>
      </c>
      <c r="H1103">
        <v>0.6</v>
      </c>
      <c r="I1103" t="s">
        <v>24</v>
      </c>
      <c r="J1103">
        <v>191404</v>
      </c>
      <c r="K1103" t="s">
        <v>27</v>
      </c>
      <c r="L1103">
        <v>-1</v>
      </c>
      <c r="M1103">
        <v>43</v>
      </c>
      <c r="N1103" t="s">
        <v>26</v>
      </c>
      <c r="O1103" t="s">
        <v>36</v>
      </c>
      <c r="P1103">
        <v>4.9000000000000004</v>
      </c>
      <c r="Q1103" t="s">
        <v>24</v>
      </c>
      <c r="R1103">
        <v>4.09</v>
      </c>
      <c r="S1103" t="s">
        <v>47</v>
      </c>
      <c r="T1103" t="str">
        <f t="shared" si="34"/>
        <v>Moderate</v>
      </c>
      <c r="U1103" t="str">
        <f t="shared" si="35"/>
        <v>Experienced</v>
      </c>
    </row>
    <row r="1104" spans="1:21" x14ac:dyDescent="0.35">
      <c r="A1104" t="s">
        <v>1177</v>
      </c>
      <c r="B1104" t="s">
        <v>62</v>
      </c>
      <c r="C1104" t="s">
        <v>82</v>
      </c>
      <c r="D1104" t="s">
        <v>75</v>
      </c>
      <c r="E1104" t="s">
        <v>33</v>
      </c>
      <c r="F1104">
        <v>22</v>
      </c>
      <c r="G1104">
        <v>0.6</v>
      </c>
      <c r="H1104">
        <v>0.34</v>
      </c>
      <c r="I1104" t="s">
        <v>60</v>
      </c>
      <c r="J1104">
        <v>183960</v>
      </c>
      <c r="K1104" t="s">
        <v>27</v>
      </c>
      <c r="L1104">
        <v>24</v>
      </c>
      <c r="M1104">
        <v>51</v>
      </c>
      <c r="N1104" t="s">
        <v>26</v>
      </c>
      <c r="O1104" t="s">
        <v>25</v>
      </c>
      <c r="P1104">
        <v>4.92</v>
      </c>
      <c r="Q1104" t="s">
        <v>24</v>
      </c>
      <c r="R1104">
        <v>3.7</v>
      </c>
      <c r="S1104" t="s">
        <v>47</v>
      </c>
      <c r="T1104" t="str">
        <f t="shared" si="34"/>
        <v>Moderate</v>
      </c>
      <c r="U1104" t="str">
        <f t="shared" si="35"/>
        <v>Expert</v>
      </c>
    </row>
    <row r="1105" spans="1:21" x14ac:dyDescent="0.35">
      <c r="A1105" t="s">
        <v>1178</v>
      </c>
      <c r="B1105" t="s">
        <v>91</v>
      </c>
      <c r="C1105" t="s">
        <v>58</v>
      </c>
      <c r="D1105" t="s">
        <v>69</v>
      </c>
      <c r="E1105" t="s">
        <v>33</v>
      </c>
      <c r="F1105">
        <v>2</v>
      </c>
      <c r="G1105">
        <v>0.75</v>
      </c>
      <c r="H1105">
        <v>0.68</v>
      </c>
      <c r="I1105" t="s">
        <v>60</v>
      </c>
      <c r="J1105">
        <v>139719</v>
      </c>
      <c r="K1105" t="s">
        <v>42</v>
      </c>
      <c r="L1105">
        <v>42</v>
      </c>
      <c r="M1105">
        <v>47</v>
      </c>
      <c r="N1105" t="s">
        <v>42</v>
      </c>
      <c r="O1105" t="s">
        <v>25</v>
      </c>
      <c r="P1105">
        <v>2.0099999999999998</v>
      </c>
      <c r="Q1105" t="s">
        <v>34</v>
      </c>
      <c r="R1105">
        <v>4.9800000000000004</v>
      </c>
      <c r="S1105" t="s">
        <v>28</v>
      </c>
      <c r="T1105" t="str">
        <f t="shared" si="34"/>
        <v>Moderate</v>
      </c>
      <c r="U1105" t="str">
        <f t="shared" si="35"/>
        <v>Beginner</v>
      </c>
    </row>
    <row r="1106" spans="1:21" x14ac:dyDescent="0.35">
      <c r="A1106" t="s">
        <v>1179</v>
      </c>
      <c r="B1106" t="s">
        <v>106</v>
      </c>
      <c r="C1106" t="s">
        <v>21</v>
      </c>
      <c r="D1106" t="s">
        <v>49</v>
      </c>
      <c r="E1106" t="s">
        <v>41</v>
      </c>
      <c r="F1106">
        <v>13</v>
      </c>
      <c r="G1106">
        <v>0.76</v>
      </c>
      <c r="H1106">
        <v>0.84</v>
      </c>
      <c r="I1106" t="s">
        <v>34</v>
      </c>
      <c r="J1106">
        <v>212812</v>
      </c>
      <c r="K1106" t="s">
        <v>27</v>
      </c>
      <c r="L1106">
        <v>45</v>
      </c>
      <c r="M1106">
        <v>59</v>
      </c>
      <c r="N1106" t="s">
        <v>35</v>
      </c>
      <c r="O1106" t="s">
        <v>36</v>
      </c>
      <c r="P1106">
        <v>3.9</v>
      </c>
      <c r="Q1106" t="s">
        <v>34</v>
      </c>
      <c r="R1106">
        <v>3.65</v>
      </c>
      <c r="S1106" t="s">
        <v>28</v>
      </c>
      <c r="T1106" t="str">
        <f t="shared" si="34"/>
        <v>High</v>
      </c>
      <c r="U1106" t="str">
        <f t="shared" si="35"/>
        <v>Experienced</v>
      </c>
    </row>
    <row r="1107" spans="1:21" x14ac:dyDescent="0.35">
      <c r="A1107" t="s">
        <v>1180</v>
      </c>
      <c r="B1107" t="s">
        <v>38</v>
      </c>
      <c r="C1107" t="s">
        <v>82</v>
      </c>
      <c r="D1107" t="s">
        <v>80</v>
      </c>
      <c r="E1107" t="s">
        <v>41</v>
      </c>
      <c r="F1107">
        <v>10</v>
      </c>
      <c r="G1107">
        <v>0.14000000000000001</v>
      </c>
      <c r="H1107">
        <v>0.71</v>
      </c>
      <c r="I1107" t="s">
        <v>24</v>
      </c>
      <c r="J1107">
        <v>96216</v>
      </c>
      <c r="K1107" t="s">
        <v>25</v>
      </c>
      <c r="L1107">
        <v>18</v>
      </c>
      <c r="M1107">
        <v>54</v>
      </c>
      <c r="N1107" t="s">
        <v>35</v>
      </c>
      <c r="O1107" t="s">
        <v>25</v>
      </c>
      <c r="P1107">
        <v>3.43</v>
      </c>
      <c r="Q1107" t="s">
        <v>24</v>
      </c>
      <c r="R1107">
        <v>2.65</v>
      </c>
      <c r="S1107" t="s">
        <v>43</v>
      </c>
      <c r="T1107" t="str">
        <f t="shared" si="34"/>
        <v>Very High</v>
      </c>
      <c r="U1107" t="str">
        <f t="shared" si="35"/>
        <v>Experienced</v>
      </c>
    </row>
    <row r="1108" spans="1:21" x14ac:dyDescent="0.35">
      <c r="A1108" t="s">
        <v>1181</v>
      </c>
      <c r="B1108" t="s">
        <v>65</v>
      </c>
      <c r="C1108" t="s">
        <v>21</v>
      </c>
      <c r="D1108" t="s">
        <v>49</v>
      </c>
      <c r="E1108" t="s">
        <v>33</v>
      </c>
      <c r="F1108">
        <v>12</v>
      </c>
      <c r="G1108">
        <v>0.08</v>
      </c>
      <c r="H1108">
        <v>0.7</v>
      </c>
      <c r="I1108" t="s">
        <v>24</v>
      </c>
      <c r="J1108">
        <v>38243</v>
      </c>
      <c r="K1108" t="s">
        <v>27</v>
      </c>
      <c r="L1108">
        <v>0</v>
      </c>
      <c r="M1108">
        <v>49</v>
      </c>
      <c r="N1108" t="s">
        <v>42</v>
      </c>
      <c r="O1108" t="s">
        <v>27</v>
      </c>
      <c r="P1108">
        <v>2.52</v>
      </c>
      <c r="Q1108" t="s">
        <v>34</v>
      </c>
      <c r="R1108">
        <v>4.33</v>
      </c>
      <c r="S1108" t="s">
        <v>28</v>
      </c>
      <c r="T1108" t="str">
        <f t="shared" si="34"/>
        <v>Very High</v>
      </c>
      <c r="U1108" t="str">
        <f t="shared" si="35"/>
        <v>Experienced</v>
      </c>
    </row>
    <row r="1109" spans="1:21" x14ac:dyDescent="0.35">
      <c r="A1109" t="s">
        <v>1182</v>
      </c>
      <c r="B1109" t="s">
        <v>38</v>
      </c>
      <c r="C1109" t="s">
        <v>82</v>
      </c>
      <c r="D1109" t="s">
        <v>49</v>
      </c>
      <c r="E1109" t="s">
        <v>70</v>
      </c>
      <c r="F1109">
        <v>2</v>
      </c>
      <c r="G1109">
        <v>0.51</v>
      </c>
      <c r="H1109">
        <v>0.66</v>
      </c>
      <c r="I1109" t="s">
        <v>24</v>
      </c>
      <c r="J1109">
        <v>118835</v>
      </c>
      <c r="K1109" t="s">
        <v>42</v>
      </c>
      <c r="L1109">
        <v>24</v>
      </c>
      <c r="M1109">
        <v>30</v>
      </c>
      <c r="N1109" t="s">
        <v>42</v>
      </c>
      <c r="O1109" t="s">
        <v>27</v>
      </c>
      <c r="P1109">
        <v>4.0599999999999996</v>
      </c>
      <c r="Q1109" t="s">
        <v>34</v>
      </c>
      <c r="R1109">
        <v>4.43</v>
      </c>
      <c r="S1109" t="s">
        <v>47</v>
      </c>
      <c r="T1109" t="str">
        <f t="shared" si="34"/>
        <v>High</v>
      </c>
      <c r="U1109" t="str">
        <f t="shared" si="35"/>
        <v>Beginner</v>
      </c>
    </row>
    <row r="1110" spans="1:21" x14ac:dyDescent="0.35">
      <c r="A1110" t="s">
        <v>1183</v>
      </c>
      <c r="B1110" t="s">
        <v>77</v>
      </c>
      <c r="C1110" t="s">
        <v>21</v>
      </c>
      <c r="D1110" t="s">
        <v>49</v>
      </c>
      <c r="E1110" t="s">
        <v>41</v>
      </c>
      <c r="F1110">
        <v>20</v>
      </c>
      <c r="G1110">
        <v>0.53</v>
      </c>
      <c r="H1110">
        <v>0.86</v>
      </c>
      <c r="I1110" t="s">
        <v>24</v>
      </c>
      <c r="J1110">
        <v>92942</v>
      </c>
      <c r="K1110" t="s">
        <v>42</v>
      </c>
      <c r="L1110">
        <v>2</v>
      </c>
      <c r="M1110">
        <v>51</v>
      </c>
      <c r="N1110" t="s">
        <v>42</v>
      </c>
      <c r="O1110" t="s">
        <v>36</v>
      </c>
      <c r="P1110">
        <v>2.81</v>
      </c>
      <c r="Q1110" t="s">
        <v>34</v>
      </c>
      <c r="R1110">
        <v>4.21</v>
      </c>
      <c r="S1110" t="s">
        <v>43</v>
      </c>
      <c r="T1110" t="str">
        <f t="shared" si="34"/>
        <v>High</v>
      </c>
      <c r="U1110" t="str">
        <f t="shared" si="35"/>
        <v>Expert</v>
      </c>
    </row>
    <row r="1111" spans="1:21" x14ac:dyDescent="0.35">
      <c r="A1111" t="s">
        <v>1184</v>
      </c>
      <c r="B1111" t="s">
        <v>106</v>
      </c>
      <c r="C1111" t="s">
        <v>31</v>
      </c>
      <c r="D1111" t="s">
        <v>32</v>
      </c>
      <c r="E1111" t="s">
        <v>70</v>
      </c>
      <c r="F1111">
        <v>6</v>
      </c>
      <c r="G1111">
        <v>0.06</v>
      </c>
      <c r="H1111">
        <v>0.34</v>
      </c>
      <c r="I1111" t="s">
        <v>34</v>
      </c>
      <c r="J1111">
        <v>107394</v>
      </c>
      <c r="K1111" t="s">
        <v>27</v>
      </c>
      <c r="L1111">
        <v>-9</v>
      </c>
      <c r="M1111">
        <v>48</v>
      </c>
      <c r="N1111" t="s">
        <v>35</v>
      </c>
      <c r="O1111" t="s">
        <v>25</v>
      </c>
      <c r="P1111">
        <v>4.87</v>
      </c>
      <c r="Q1111" t="s">
        <v>34</v>
      </c>
      <c r="R1111">
        <v>2.46</v>
      </c>
      <c r="S1111" t="s">
        <v>47</v>
      </c>
      <c r="T1111" t="str">
        <f t="shared" si="34"/>
        <v>High</v>
      </c>
      <c r="U1111" t="str">
        <f t="shared" si="35"/>
        <v>Intermediate</v>
      </c>
    </row>
    <row r="1112" spans="1:21" x14ac:dyDescent="0.35">
      <c r="A1112" t="s">
        <v>1185</v>
      </c>
      <c r="B1112" t="s">
        <v>57</v>
      </c>
      <c r="C1112" t="s">
        <v>46</v>
      </c>
      <c r="D1112" t="s">
        <v>69</v>
      </c>
      <c r="E1112" t="s">
        <v>23</v>
      </c>
      <c r="F1112">
        <v>0</v>
      </c>
      <c r="G1112">
        <v>0.79</v>
      </c>
      <c r="H1112">
        <v>0.93</v>
      </c>
      <c r="I1112" t="s">
        <v>24</v>
      </c>
      <c r="J1112">
        <v>45413</v>
      </c>
      <c r="K1112" t="s">
        <v>42</v>
      </c>
      <c r="L1112">
        <v>5</v>
      </c>
      <c r="M1112">
        <v>42</v>
      </c>
      <c r="N1112" t="s">
        <v>42</v>
      </c>
      <c r="O1112" t="s">
        <v>25</v>
      </c>
      <c r="P1112">
        <v>4.53</v>
      </c>
      <c r="Q1112" t="s">
        <v>34</v>
      </c>
      <c r="R1112">
        <v>1.17</v>
      </c>
      <c r="S1112" t="s">
        <v>43</v>
      </c>
      <c r="T1112" t="str">
        <f t="shared" si="34"/>
        <v>High</v>
      </c>
      <c r="U1112" t="str">
        <f t="shared" si="35"/>
        <v>Beginner</v>
      </c>
    </row>
    <row r="1113" spans="1:21" x14ac:dyDescent="0.35">
      <c r="A1113" t="s">
        <v>1186</v>
      </c>
      <c r="B1113" t="s">
        <v>54</v>
      </c>
      <c r="C1113" t="s">
        <v>58</v>
      </c>
      <c r="D1113" t="s">
        <v>59</v>
      </c>
      <c r="E1113" t="s">
        <v>23</v>
      </c>
      <c r="F1113">
        <v>22</v>
      </c>
      <c r="G1113">
        <v>0.53</v>
      </c>
      <c r="H1113">
        <v>0.55000000000000004</v>
      </c>
      <c r="I1113" t="s">
        <v>34</v>
      </c>
      <c r="J1113">
        <v>126263</v>
      </c>
      <c r="K1113" t="s">
        <v>27</v>
      </c>
      <c r="L1113">
        <v>24</v>
      </c>
      <c r="M1113">
        <v>34</v>
      </c>
      <c r="N1113" t="s">
        <v>35</v>
      </c>
      <c r="O1113" t="s">
        <v>36</v>
      </c>
      <c r="P1113">
        <v>4.62</v>
      </c>
      <c r="Q1113" t="s">
        <v>34</v>
      </c>
      <c r="R1113">
        <v>4.99</v>
      </c>
      <c r="S1113" t="s">
        <v>47</v>
      </c>
      <c r="T1113" t="str">
        <f t="shared" si="34"/>
        <v>High</v>
      </c>
      <c r="U1113" t="str">
        <f t="shared" si="35"/>
        <v>Expert</v>
      </c>
    </row>
    <row r="1114" spans="1:21" x14ac:dyDescent="0.35">
      <c r="A1114" t="s">
        <v>1187</v>
      </c>
      <c r="B1114" t="s">
        <v>96</v>
      </c>
      <c r="C1114" t="s">
        <v>52</v>
      </c>
      <c r="D1114" t="s">
        <v>49</v>
      </c>
      <c r="E1114" t="s">
        <v>23</v>
      </c>
      <c r="F1114">
        <v>9</v>
      </c>
      <c r="G1114">
        <v>0.91</v>
      </c>
      <c r="H1114">
        <v>0.38</v>
      </c>
      <c r="I1114" t="s">
        <v>60</v>
      </c>
      <c r="J1114">
        <v>40076</v>
      </c>
      <c r="K1114" t="s">
        <v>25</v>
      </c>
      <c r="L1114">
        <v>-2</v>
      </c>
      <c r="M1114">
        <v>41</v>
      </c>
      <c r="N1114" t="s">
        <v>26</v>
      </c>
      <c r="O1114" t="s">
        <v>36</v>
      </c>
      <c r="P1114">
        <v>3.7</v>
      </c>
      <c r="Q1114" t="s">
        <v>34</v>
      </c>
      <c r="R1114">
        <v>4.87</v>
      </c>
      <c r="S1114" t="s">
        <v>28</v>
      </c>
      <c r="T1114" t="str">
        <f t="shared" si="34"/>
        <v>Very Low</v>
      </c>
      <c r="U1114" t="str">
        <f t="shared" si="35"/>
        <v>Experienced</v>
      </c>
    </row>
    <row r="1115" spans="1:21" x14ac:dyDescent="0.35">
      <c r="A1115" t="s">
        <v>1188</v>
      </c>
      <c r="B1115" t="s">
        <v>94</v>
      </c>
      <c r="C1115" t="s">
        <v>46</v>
      </c>
      <c r="D1115" t="s">
        <v>22</v>
      </c>
      <c r="E1115" t="s">
        <v>33</v>
      </c>
      <c r="F1115">
        <v>0</v>
      </c>
      <c r="G1115">
        <v>0.59</v>
      </c>
      <c r="H1115">
        <v>0.51</v>
      </c>
      <c r="I1115" t="s">
        <v>34</v>
      </c>
      <c r="J1115">
        <v>73459</v>
      </c>
      <c r="K1115" t="s">
        <v>42</v>
      </c>
      <c r="L1115">
        <v>15</v>
      </c>
      <c r="M1115">
        <v>32</v>
      </c>
      <c r="N1115" t="s">
        <v>42</v>
      </c>
      <c r="O1115" t="s">
        <v>27</v>
      </c>
      <c r="P1115">
        <v>3.75</v>
      </c>
      <c r="Q1115" t="s">
        <v>24</v>
      </c>
      <c r="R1115">
        <v>1.76</v>
      </c>
      <c r="S1115" t="s">
        <v>43</v>
      </c>
      <c r="T1115" t="str">
        <f t="shared" si="34"/>
        <v>Moderate</v>
      </c>
      <c r="U1115" t="str">
        <f t="shared" si="35"/>
        <v>Beginner</v>
      </c>
    </row>
    <row r="1116" spans="1:21" x14ac:dyDescent="0.35">
      <c r="A1116" t="s">
        <v>1189</v>
      </c>
      <c r="B1116" t="s">
        <v>20</v>
      </c>
      <c r="C1116" t="s">
        <v>55</v>
      </c>
      <c r="D1116" t="s">
        <v>49</v>
      </c>
      <c r="E1116" t="s">
        <v>23</v>
      </c>
      <c r="F1116">
        <v>14</v>
      </c>
      <c r="G1116">
        <v>0.71</v>
      </c>
      <c r="H1116">
        <v>0.88</v>
      </c>
      <c r="I1116" t="s">
        <v>60</v>
      </c>
      <c r="J1116">
        <v>134809</v>
      </c>
      <c r="K1116" t="s">
        <v>25</v>
      </c>
      <c r="L1116">
        <v>13</v>
      </c>
      <c r="M1116">
        <v>59</v>
      </c>
      <c r="N1116" t="s">
        <v>42</v>
      </c>
      <c r="O1116" t="s">
        <v>25</v>
      </c>
      <c r="P1116">
        <v>2.9</v>
      </c>
      <c r="Q1116" t="s">
        <v>24</v>
      </c>
      <c r="R1116">
        <v>2.02</v>
      </c>
      <c r="S1116" t="s">
        <v>47</v>
      </c>
      <c r="T1116" t="str">
        <f t="shared" si="34"/>
        <v>High</v>
      </c>
      <c r="U1116" t="str">
        <f t="shared" si="35"/>
        <v>Experienced</v>
      </c>
    </row>
    <row r="1117" spans="1:21" x14ac:dyDescent="0.35">
      <c r="A1117" t="s">
        <v>1190</v>
      </c>
      <c r="B1117" t="s">
        <v>102</v>
      </c>
      <c r="C1117" t="s">
        <v>46</v>
      </c>
      <c r="D1117" t="s">
        <v>40</v>
      </c>
      <c r="E1117" t="s">
        <v>33</v>
      </c>
      <c r="F1117">
        <v>4</v>
      </c>
      <c r="G1117">
        <v>0.14000000000000001</v>
      </c>
      <c r="H1117">
        <v>0.36</v>
      </c>
      <c r="I1117" t="s">
        <v>34</v>
      </c>
      <c r="J1117">
        <v>168380</v>
      </c>
      <c r="K1117" t="s">
        <v>25</v>
      </c>
      <c r="L1117">
        <v>-9</v>
      </c>
      <c r="M1117">
        <v>30</v>
      </c>
      <c r="N1117" t="s">
        <v>35</v>
      </c>
      <c r="O1117" t="s">
        <v>36</v>
      </c>
      <c r="P1117">
        <v>2.89</v>
      </c>
      <c r="Q1117" t="s">
        <v>34</v>
      </c>
      <c r="R1117">
        <v>4.72</v>
      </c>
      <c r="S1117" t="s">
        <v>47</v>
      </c>
      <c r="T1117" t="str">
        <f t="shared" si="34"/>
        <v>High</v>
      </c>
      <c r="U1117" t="str">
        <f t="shared" si="35"/>
        <v>Intermediate</v>
      </c>
    </row>
    <row r="1118" spans="1:21" x14ac:dyDescent="0.35">
      <c r="A1118" t="s">
        <v>1191</v>
      </c>
      <c r="B1118" t="s">
        <v>45</v>
      </c>
      <c r="C1118" t="s">
        <v>39</v>
      </c>
      <c r="D1118" t="s">
        <v>66</v>
      </c>
      <c r="E1118" t="s">
        <v>41</v>
      </c>
      <c r="F1118">
        <v>0</v>
      </c>
      <c r="G1118">
        <v>0.83</v>
      </c>
      <c r="H1118">
        <v>0.78</v>
      </c>
      <c r="I1118" t="s">
        <v>24</v>
      </c>
      <c r="J1118">
        <v>177855</v>
      </c>
      <c r="K1118" t="s">
        <v>27</v>
      </c>
      <c r="L1118">
        <v>41</v>
      </c>
      <c r="M1118">
        <v>48</v>
      </c>
      <c r="N1118" t="s">
        <v>42</v>
      </c>
      <c r="O1118" t="s">
        <v>36</v>
      </c>
      <c r="P1118">
        <v>2.46</v>
      </c>
      <c r="Q1118" t="s">
        <v>34</v>
      </c>
      <c r="R1118">
        <v>1.53</v>
      </c>
      <c r="S1118" t="s">
        <v>28</v>
      </c>
      <c r="T1118" t="str">
        <f t="shared" si="34"/>
        <v>Moderate</v>
      </c>
      <c r="U1118" t="str">
        <f t="shared" si="35"/>
        <v>Beginner</v>
      </c>
    </row>
    <row r="1119" spans="1:21" x14ac:dyDescent="0.35">
      <c r="A1119" t="s">
        <v>1192</v>
      </c>
      <c r="B1119" t="s">
        <v>156</v>
      </c>
      <c r="C1119" t="s">
        <v>74</v>
      </c>
      <c r="D1119" t="s">
        <v>22</v>
      </c>
      <c r="E1119" t="s">
        <v>33</v>
      </c>
      <c r="F1119">
        <v>1</v>
      </c>
      <c r="G1119">
        <v>0.65</v>
      </c>
      <c r="H1119">
        <v>0.75</v>
      </c>
      <c r="I1119" t="s">
        <v>60</v>
      </c>
      <c r="J1119">
        <v>107817</v>
      </c>
      <c r="K1119" t="s">
        <v>25</v>
      </c>
      <c r="L1119">
        <v>4</v>
      </c>
      <c r="M1119">
        <v>40</v>
      </c>
      <c r="N1119" t="s">
        <v>35</v>
      </c>
      <c r="O1119" t="s">
        <v>25</v>
      </c>
      <c r="P1119">
        <v>3.71</v>
      </c>
      <c r="Q1119" t="s">
        <v>34</v>
      </c>
      <c r="R1119">
        <v>4.97</v>
      </c>
      <c r="S1119" t="s">
        <v>43</v>
      </c>
      <c r="T1119" t="str">
        <f t="shared" si="34"/>
        <v>High</v>
      </c>
      <c r="U1119" t="str">
        <f t="shared" si="35"/>
        <v>Beginner</v>
      </c>
    </row>
    <row r="1120" spans="1:21" x14ac:dyDescent="0.35">
      <c r="A1120" t="s">
        <v>1193</v>
      </c>
      <c r="B1120" t="s">
        <v>73</v>
      </c>
      <c r="C1120" t="s">
        <v>74</v>
      </c>
      <c r="D1120" t="s">
        <v>69</v>
      </c>
      <c r="E1120" t="s">
        <v>33</v>
      </c>
      <c r="F1120">
        <v>0</v>
      </c>
      <c r="G1120">
        <v>0.87</v>
      </c>
      <c r="H1120">
        <v>0.65</v>
      </c>
      <c r="I1120" t="s">
        <v>24</v>
      </c>
      <c r="J1120">
        <v>172920</v>
      </c>
      <c r="K1120" t="s">
        <v>42</v>
      </c>
      <c r="L1120">
        <v>32</v>
      </c>
      <c r="M1120">
        <v>41</v>
      </c>
      <c r="N1120" t="s">
        <v>35</v>
      </c>
      <c r="O1120" t="s">
        <v>27</v>
      </c>
      <c r="P1120">
        <v>4.8099999999999996</v>
      </c>
      <c r="Q1120" t="s">
        <v>34</v>
      </c>
      <c r="R1120">
        <v>3.46</v>
      </c>
      <c r="S1120" t="s">
        <v>43</v>
      </c>
      <c r="T1120" t="str">
        <f t="shared" si="34"/>
        <v>Moderate</v>
      </c>
      <c r="U1120" t="str">
        <f t="shared" si="35"/>
        <v>Beginner</v>
      </c>
    </row>
    <row r="1121" spans="1:21" x14ac:dyDescent="0.35">
      <c r="A1121" t="s">
        <v>1194</v>
      </c>
      <c r="B1121" t="s">
        <v>62</v>
      </c>
      <c r="C1121" t="s">
        <v>58</v>
      </c>
      <c r="D1121" t="s">
        <v>66</v>
      </c>
      <c r="E1121" t="s">
        <v>33</v>
      </c>
      <c r="F1121">
        <v>25</v>
      </c>
      <c r="G1121">
        <v>0.93</v>
      </c>
      <c r="H1121">
        <v>0.32</v>
      </c>
      <c r="I1121" t="s">
        <v>34</v>
      </c>
      <c r="J1121">
        <v>200822</v>
      </c>
      <c r="K1121" t="s">
        <v>42</v>
      </c>
      <c r="L1121">
        <v>6</v>
      </c>
      <c r="M1121">
        <v>33</v>
      </c>
      <c r="N1121" t="s">
        <v>26</v>
      </c>
      <c r="O1121" t="s">
        <v>25</v>
      </c>
      <c r="P1121">
        <v>2.95</v>
      </c>
      <c r="Q1121" t="s">
        <v>24</v>
      </c>
      <c r="R1121">
        <v>3.63</v>
      </c>
      <c r="S1121" t="s">
        <v>43</v>
      </c>
      <c r="T1121" t="str">
        <f t="shared" si="34"/>
        <v>Very Low</v>
      </c>
      <c r="U1121" t="str">
        <f t="shared" si="35"/>
        <v>Expert</v>
      </c>
    </row>
    <row r="1122" spans="1:21" x14ac:dyDescent="0.35">
      <c r="A1122" t="s">
        <v>1195</v>
      </c>
      <c r="B1122" t="s">
        <v>45</v>
      </c>
      <c r="C1122" t="s">
        <v>107</v>
      </c>
      <c r="D1122" t="s">
        <v>63</v>
      </c>
      <c r="E1122" t="s">
        <v>41</v>
      </c>
      <c r="F1122">
        <v>7</v>
      </c>
      <c r="G1122">
        <v>0.49</v>
      </c>
      <c r="H1122">
        <v>0.36</v>
      </c>
      <c r="I1122" t="s">
        <v>34</v>
      </c>
      <c r="J1122">
        <v>74448</v>
      </c>
      <c r="K1122" t="s">
        <v>25</v>
      </c>
      <c r="L1122">
        <v>38</v>
      </c>
      <c r="M1122">
        <v>48</v>
      </c>
      <c r="N1122" t="s">
        <v>26</v>
      </c>
      <c r="O1122" t="s">
        <v>25</v>
      </c>
      <c r="P1122">
        <v>4.9000000000000004</v>
      </c>
      <c r="Q1122" t="s">
        <v>24</v>
      </c>
      <c r="R1122">
        <v>3.78</v>
      </c>
      <c r="S1122" t="s">
        <v>28</v>
      </c>
      <c r="T1122" t="str">
        <f t="shared" si="34"/>
        <v>Moderate</v>
      </c>
      <c r="U1122" t="str">
        <f t="shared" si="35"/>
        <v>Intermediate</v>
      </c>
    </row>
    <row r="1123" spans="1:21" x14ac:dyDescent="0.35">
      <c r="A1123" t="s">
        <v>1196</v>
      </c>
      <c r="B1123" t="s">
        <v>62</v>
      </c>
      <c r="C1123" t="s">
        <v>82</v>
      </c>
      <c r="D1123" t="s">
        <v>66</v>
      </c>
      <c r="E1123" t="s">
        <v>70</v>
      </c>
      <c r="F1123">
        <v>8</v>
      </c>
      <c r="G1123">
        <v>0.22</v>
      </c>
      <c r="H1123">
        <v>0.56000000000000005</v>
      </c>
      <c r="I1123" t="s">
        <v>34</v>
      </c>
      <c r="J1123">
        <v>79775</v>
      </c>
      <c r="K1123" t="s">
        <v>42</v>
      </c>
      <c r="L1123">
        <v>25</v>
      </c>
      <c r="M1123">
        <v>49</v>
      </c>
      <c r="N1123" t="s">
        <v>35</v>
      </c>
      <c r="O1123" t="s">
        <v>36</v>
      </c>
      <c r="P1123">
        <v>3.48</v>
      </c>
      <c r="Q1123" t="s">
        <v>24</v>
      </c>
      <c r="R1123">
        <v>2.78</v>
      </c>
      <c r="S1123" t="s">
        <v>28</v>
      </c>
      <c r="T1123" t="str">
        <f t="shared" si="34"/>
        <v>High</v>
      </c>
      <c r="U1123" t="str">
        <f t="shared" si="35"/>
        <v>Intermediate</v>
      </c>
    </row>
    <row r="1124" spans="1:21" x14ac:dyDescent="0.35">
      <c r="A1124" t="s">
        <v>1197</v>
      </c>
      <c r="B1124" t="s">
        <v>77</v>
      </c>
      <c r="C1124" t="s">
        <v>21</v>
      </c>
      <c r="D1124" t="s">
        <v>49</v>
      </c>
      <c r="E1124" t="s">
        <v>41</v>
      </c>
      <c r="F1124">
        <v>22</v>
      </c>
      <c r="G1124">
        <v>0.8</v>
      </c>
      <c r="H1124">
        <v>0.53</v>
      </c>
      <c r="I1124" t="s">
        <v>60</v>
      </c>
      <c r="J1124">
        <v>49979</v>
      </c>
      <c r="K1124" t="s">
        <v>42</v>
      </c>
      <c r="L1124">
        <v>-5</v>
      </c>
      <c r="M1124">
        <v>45</v>
      </c>
      <c r="N1124" t="s">
        <v>26</v>
      </c>
      <c r="O1124" t="s">
        <v>25</v>
      </c>
      <c r="P1124">
        <v>4.88</v>
      </c>
      <c r="Q1124" t="s">
        <v>24</v>
      </c>
      <c r="R1124">
        <v>4.46</v>
      </c>
      <c r="S1124" t="s">
        <v>28</v>
      </c>
      <c r="T1124" t="str">
        <f t="shared" si="34"/>
        <v>Moderate</v>
      </c>
      <c r="U1124" t="str">
        <f t="shared" si="35"/>
        <v>Expert</v>
      </c>
    </row>
    <row r="1125" spans="1:21" x14ac:dyDescent="0.35">
      <c r="A1125" t="s">
        <v>1198</v>
      </c>
      <c r="B1125" t="s">
        <v>20</v>
      </c>
      <c r="C1125" t="s">
        <v>74</v>
      </c>
      <c r="D1125" t="s">
        <v>80</v>
      </c>
      <c r="E1125" t="s">
        <v>41</v>
      </c>
      <c r="F1125">
        <v>11</v>
      </c>
      <c r="G1125">
        <v>0.92</v>
      </c>
      <c r="H1125">
        <v>0.23</v>
      </c>
      <c r="I1125" t="s">
        <v>34</v>
      </c>
      <c r="J1125">
        <v>49234</v>
      </c>
      <c r="K1125" t="s">
        <v>27</v>
      </c>
      <c r="L1125">
        <v>37</v>
      </c>
      <c r="M1125">
        <v>32</v>
      </c>
      <c r="N1125" t="s">
        <v>26</v>
      </c>
      <c r="O1125" t="s">
        <v>27</v>
      </c>
      <c r="P1125">
        <v>4.42</v>
      </c>
      <c r="Q1125" t="s">
        <v>34</v>
      </c>
      <c r="R1125">
        <v>4.58</v>
      </c>
      <c r="S1125" t="s">
        <v>43</v>
      </c>
      <c r="T1125" t="str">
        <f t="shared" si="34"/>
        <v>Very Low</v>
      </c>
      <c r="U1125" t="str">
        <f t="shared" si="35"/>
        <v>Experienced</v>
      </c>
    </row>
    <row r="1126" spans="1:21" x14ac:dyDescent="0.35">
      <c r="A1126" t="s">
        <v>1199</v>
      </c>
      <c r="B1126" t="s">
        <v>89</v>
      </c>
      <c r="C1126" t="s">
        <v>107</v>
      </c>
      <c r="D1126" t="s">
        <v>75</v>
      </c>
      <c r="E1126" t="s">
        <v>41</v>
      </c>
      <c r="F1126">
        <v>9</v>
      </c>
      <c r="G1126">
        <v>0.65</v>
      </c>
      <c r="H1126">
        <v>0.93</v>
      </c>
      <c r="I1126" t="s">
        <v>24</v>
      </c>
      <c r="J1126">
        <v>42292</v>
      </c>
      <c r="K1126" t="s">
        <v>27</v>
      </c>
      <c r="L1126">
        <v>5</v>
      </c>
      <c r="M1126">
        <v>58</v>
      </c>
      <c r="N1126" t="s">
        <v>35</v>
      </c>
      <c r="O1126" t="s">
        <v>27</v>
      </c>
      <c r="P1126">
        <v>2.93</v>
      </c>
      <c r="Q1126" t="s">
        <v>34</v>
      </c>
      <c r="R1126">
        <v>1.47</v>
      </c>
      <c r="S1126" t="s">
        <v>43</v>
      </c>
      <c r="T1126" t="str">
        <f t="shared" si="34"/>
        <v>High</v>
      </c>
      <c r="U1126" t="str">
        <f t="shared" si="35"/>
        <v>Experienced</v>
      </c>
    </row>
    <row r="1127" spans="1:21" x14ac:dyDescent="0.35">
      <c r="A1127" t="s">
        <v>1200</v>
      </c>
      <c r="B1127" t="s">
        <v>102</v>
      </c>
      <c r="C1127" t="s">
        <v>46</v>
      </c>
      <c r="D1127" t="s">
        <v>69</v>
      </c>
      <c r="E1127" t="s">
        <v>23</v>
      </c>
      <c r="F1127">
        <v>24</v>
      </c>
      <c r="G1127">
        <v>0.12</v>
      </c>
      <c r="H1127">
        <v>0.63</v>
      </c>
      <c r="I1127" t="s">
        <v>24</v>
      </c>
      <c r="J1127">
        <v>208512</v>
      </c>
      <c r="K1127" t="s">
        <v>27</v>
      </c>
      <c r="L1127">
        <v>36</v>
      </c>
      <c r="M1127">
        <v>31</v>
      </c>
      <c r="N1127" t="s">
        <v>35</v>
      </c>
      <c r="O1127" t="s">
        <v>27</v>
      </c>
      <c r="P1127">
        <v>3.12</v>
      </c>
      <c r="Q1127" t="s">
        <v>34</v>
      </c>
      <c r="R1127">
        <v>3.74</v>
      </c>
      <c r="S1127" t="s">
        <v>43</v>
      </c>
      <c r="T1127" t="str">
        <f t="shared" si="34"/>
        <v>High</v>
      </c>
      <c r="U1127" t="str">
        <f t="shared" si="35"/>
        <v>Expert</v>
      </c>
    </row>
    <row r="1128" spans="1:21" x14ac:dyDescent="0.35">
      <c r="A1128" t="s">
        <v>1201</v>
      </c>
      <c r="B1128" t="s">
        <v>30</v>
      </c>
      <c r="C1128" t="s">
        <v>21</v>
      </c>
      <c r="D1128" t="s">
        <v>69</v>
      </c>
      <c r="E1128" t="s">
        <v>70</v>
      </c>
      <c r="F1128">
        <v>22</v>
      </c>
      <c r="G1128">
        <v>0.4</v>
      </c>
      <c r="H1128">
        <v>0.32</v>
      </c>
      <c r="I1128" t="s">
        <v>34</v>
      </c>
      <c r="J1128">
        <v>212927</v>
      </c>
      <c r="K1128" t="s">
        <v>27</v>
      </c>
      <c r="L1128">
        <v>28</v>
      </c>
      <c r="M1128">
        <v>36</v>
      </c>
      <c r="N1128" t="s">
        <v>35</v>
      </c>
      <c r="O1128" t="s">
        <v>27</v>
      </c>
      <c r="P1128">
        <v>2.71</v>
      </c>
      <c r="Q1128" t="s">
        <v>34</v>
      </c>
      <c r="R1128">
        <v>1.53</v>
      </c>
      <c r="S1128" t="s">
        <v>47</v>
      </c>
      <c r="T1128" t="str">
        <f t="shared" si="34"/>
        <v>Moderate</v>
      </c>
      <c r="U1128" t="str">
        <f t="shared" si="35"/>
        <v>Expert</v>
      </c>
    </row>
    <row r="1129" spans="1:21" x14ac:dyDescent="0.35">
      <c r="A1129" t="s">
        <v>1202</v>
      </c>
      <c r="B1129" t="s">
        <v>94</v>
      </c>
      <c r="C1129" t="s">
        <v>107</v>
      </c>
      <c r="D1129" t="s">
        <v>75</v>
      </c>
      <c r="E1129" t="s">
        <v>23</v>
      </c>
      <c r="F1129">
        <v>1</v>
      </c>
      <c r="G1129">
        <v>7.0000000000000007E-2</v>
      </c>
      <c r="H1129">
        <v>0.92</v>
      </c>
      <c r="I1129" t="s">
        <v>60</v>
      </c>
      <c r="J1129">
        <v>44004</v>
      </c>
      <c r="K1129" t="s">
        <v>25</v>
      </c>
      <c r="L1129">
        <v>-8</v>
      </c>
      <c r="M1129">
        <v>51</v>
      </c>
      <c r="N1129" t="s">
        <v>26</v>
      </c>
      <c r="O1129" t="s">
        <v>25</v>
      </c>
      <c r="P1129">
        <v>3.8</v>
      </c>
      <c r="Q1129" t="s">
        <v>24</v>
      </c>
      <c r="R1129">
        <v>3.16</v>
      </c>
      <c r="S1129" t="s">
        <v>28</v>
      </c>
      <c r="T1129" t="str">
        <f t="shared" si="34"/>
        <v>Very High</v>
      </c>
      <c r="U1129" t="str">
        <f t="shared" si="35"/>
        <v>Beginner</v>
      </c>
    </row>
    <row r="1130" spans="1:21" x14ac:dyDescent="0.35">
      <c r="A1130" t="s">
        <v>1203</v>
      </c>
      <c r="B1130" t="s">
        <v>96</v>
      </c>
      <c r="C1130" t="s">
        <v>21</v>
      </c>
      <c r="D1130" t="s">
        <v>40</v>
      </c>
      <c r="E1130" t="s">
        <v>70</v>
      </c>
      <c r="F1130">
        <v>17</v>
      </c>
      <c r="G1130">
        <v>0.82</v>
      </c>
      <c r="H1130">
        <v>0.31</v>
      </c>
      <c r="I1130" t="s">
        <v>34</v>
      </c>
      <c r="J1130">
        <v>132183</v>
      </c>
      <c r="K1130" t="s">
        <v>27</v>
      </c>
      <c r="L1130">
        <v>11</v>
      </c>
      <c r="M1130">
        <v>47</v>
      </c>
      <c r="N1130" t="s">
        <v>35</v>
      </c>
      <c r="O1130" t="s">
        <v>36</v>
      </c>
      <c r="P1130">
        <v>2.4900000000000002</v>
      </c>
      <c r="Q1130" t="s">
        <v>34</v>
      </c>
      <c r="R1130">
        <v>1.96</v>
      </c>
      <c r="S1130" t="s">
        <v>28</v>
      </c>
      <c r="T1130" t="str">
        <f t="shared" si="34"/>
        <v>Very Low</v>
      </c>
      <c r="U1130" t="str">
        <f t="shared" si="35"/>
        <v>Expert</v>
      </c>
    </row>
    <row r="1131" spans="1:21" x14ac:dyDescent="0.35">
      <c r="A1131" t="s">
        <v>1204</v>
      </c>
      <c r="B1131" t="s">
        <v>51</v>
      </c>
      <c r="C1131" t="s">
        <v>82</v>
      </c>
      <c r="D1131" t="s">
        <v>75</v>
      </c>
      <c r="E1131" t="s">
        <v>70</v>
      </c>
      <c r="F1131">
        <v>7</v>
      </c>
      <c r="G1131">
        <v>0.32</v>
      </c>
      <c r="H1131">
        <v>0.56000000000000005</v>
      </c>
      <c r="I1131" t="s">
        <v>60</v>
      </c>
      <c r="J1131">
        <v>209239</v>
      </c>
      <c r="K1131" t="s">
        <v>42</v>
      </c>
      <c r="L1131">
        <v>33</v>
      </c>
      <c r="M1131">
        <v>30</v>
      </c>
      <c r="N1131" t="s">
        <v>42</v>
      </c>
      <c r="O1131" t="s">
        <v>36</v>
      </c>
      <c r="P1131">
        <v>4.8600000000000003</v>
      </c>
      <c r="Q1131" t="s">
        <v>34</v>
      </c>
      <c r="R1131">
        <v>3.84</v>
      </c>
      <c r="S1131" t="s">
        <v>43</v>
      </c>
      <c r="T1131" t="str">
        <f t="shared" si="34"/>
        <v>High</v>
      </c>
      <c r="U1131" t="str">
        <f t="shared" si="35"/>
        <v>Intermediate</v>
      </c>
    </row>
    <row r="1132" spans="1:21" x14ac:dyDescent="0.35">
      <c r="A1132" t="s">
        <v>1205</v>
      </c>
      <c r="B1132" t="s">
        <v>77</v>
      </c>
      <c r="C1132" t="s">
        <v>46</v>
      </c>
      <c r="D1132" t="s">
        <v>63</v>
      </c>
      <c r="E1132" t="s">
        <v>33</v>
      </c>
      <c r="F1132">
        <v>18</v>
      </c>
      <c r="G1132">
        <v>0.11</v>
      </c>
      <c r="H1132">
        <v>0.51</v>
      </c>
      <c r="I1132" t="s">
        <v>34</v>
      </c>
      <c r="J1132">
        <v>49248</v>
      </c>
      <c r="K1132" t="s">
        <v>42</v>
      </c>
      <c r="L1132">
        <v>40</v>
      </c>
      <c r="M1132">
        <v>45</v>
      </c>
      <c r="N1132" t="s">
        <v>42</v>
      </c>
      <c r="O1132" t="s">
        <v>36</v>
      </c>
      <c r="P1132">
        <v>2.4</v>
      </c>
      <c r="Q1132" t="s">
        <v>34</v>
      </c>
      <c r="R1132">
        <v>1.72</v>
      </c>
      <c r="S1132" t="s">
        <v>43</v>
      </c>
      <c r="T1132" t="str">
        <f t="shared" si="34"/>
        <v>High</v>
      </c>
      <c r="U1132" t="str">
        <f t="shared" si="35"/>
        <v>Expert</v>
      </c>
    </row>
    <row r="1133" spans="1:21" x14ac:dyDescent="0.35">
      <c r="A1133" t="s">
        <v>1206</v>
      </c>
      <c r="B1133" t="s">
        <v>156</v>
      </c>
      <c r="C1133" t="s">
        <v>82</v>
      </c>
      <c r="D1133" t="s">
        <v>63</v>
      </c>
      <c r="E1133" t="s">
        <v>23</v>
      </c>
      <c r="F1133">
        <v>17</v>
      </c>
      <c r="G1133">
        <v>0.4</v>
      </c>
      <c r="H1133">
        <v>0.78</v>
      </c>
      <c r="I1133" t="s">
        <v>34</v>
      </c>
      <c r="J1133">
        <v>108959</v>
      </c>
      <c r="K1133" t="s">
        <v>25</v>
      </c>
      <c r="L1133">
        <v>3</v>
      </c>
      <c r="M1133">
        <v>59</v>
      </c>
      <c r="N1133" t="s">
        <v>42</v>
      </c>
      <c r="O1133" t="s">
        <v>27</v>
      </c>
      <c r="P1133">
        <v>3.2</v>
      </c>
      <c r="Q1133" t="s">
        <v>34</v>
      </c>
      <c r="R1133">
        <v>4.71</v>
      </c>
      <c r="S1133" t="s">
        <v>47</v>
      </c>
      <c r="T1133" t="str">
        <f t="shared" si="34"/>
        <v>High</v>
      </c>
      <c r="U1133" t="str">
        <f t="shared" si="35"/>
        <v>Expert</v>
      </c>
    </row>
    <row r="1134" spans="1:21" x14ac:dyDescent="0.35">
      <c r="A1134" t="s">
        <v>1207</v>
      </c>
      <c r="B1134" t="s">
        <v>65</v>
      </c>
      <c r="C1134" t="s">
        <v>21</v>
      </c>
      <c r="D1134" t="s">
        <v>69</v>
      </c>
      <c r="E1134" t="s">
        <v>70</v>
      </c>
      <c r="F1134">
        <v>0</v>
      </c>
      <c r="G1134">
        <v>0.8</v>
      </c>
      <c r="H1134">
        <v>0.49</v>
      </c>
      <c r="I1134" t="s">
        <v>60</v>
      </c>
      <c r="J1134">
        <v>63886</v>
      </c>
      <c r="K1134" t="s">
        <v>27</v>
      </c>
      <c r="L1134">
        <v>27</v>
      </c>
      <c r="M1134">
        <v>33</v>
      </c>
      <c r="N1134" t="s">
        <v>35</v>
      </c>
      <c r="O1134" t="s">
        <v>25</v>
      </c>
      <c r="P1134">
        <v>3.76</v>
      </c>
      <c r="Q1134" t="s">
        <v>24</v>
      </c>
      <c r="R1134">
        <v>4.95</v>
      </c>
      <c r="S1134" t="s">
        <v>47</v>
      </c>
      <c r="T1134" t="str">
        <f t="shared" si="34"/>
        <v>Very Low</v>
      </c>
      <c r="U1134" t="str">
        <f t="shared" si="35"/>
        <v>Beginner</v>
      </c>
    </row>
    <row r="1135" spans="1:21" x14ac:dyDescent="0.35">
      <c r="A1135" t="s">
        <v>1208</v>
      </c>
      <c r="B1135" t="s">
        <v>102</v>
      </c>
      <c r="C1135" t="s">
        <v>107</v>
      </c>
      <c r="D1135" t="s">
        <v>63</v>
      </c>
      <c r="E1135" t="s">
        <v>23</v>
      </c>
      <c r="F1135">
        <v>22</v>
      </c>
      <c r="G1135">
        <v>7.0000000000000007E-2</v>
      </c>
      <c r="H1135">
        <v>0.41</v>
      </c>
      <c r="I1135" t="s">
        <v>60</v>
      </c>
      <c r="J1135">
        <v>71439</v>
      </c>
      <c r="K1135" t="s">
        <v>42</v>
      </c>
      <c r="L1135">
        <v>4</v>
      </c>
      <c r="M1135">
        <v>57</v>
      </c>
      <c r="N1135" t="s">
        <v>35</v>
      </c>
      <c r="O1135" t="s">
        <v>27</v>
      </c>
      <c r="P1135">
        <v>3.95</v>
      </c>
      <c r="Q1135" t="s">
        <v>24</v>
      </c>
      <c r="R1135">
        <v>4.88</v>
      </c>
      <c r="S1135" t="s">
        <v>47</v>
      </c>
      <c r="T1135" t="str">
        <f t="shared" si="34"/>
        <v>High</v>
      </c>
      <c r="U1135" t="str">
        <f t="shared" si="35"/>
        <v>Expert</v>
      </c>
    </row>
    <row r="1136" spans="1:21" x14ac:dyDescent="0.35">
      <c r="A1136" t="s">
        <v>1209</v>
      </c>
      <c r="B1136" t="s">
        <v>89</v>
      </c>
      <c r="C1136" t="s">
        <v>31</v>
      </c>
      <c r="D1136" t="s">
        <v>63</v>
      </c>
      <c r="E1136" t="s">
        <v>70</v>
      </c>
      <c r="F1136">
        <v>25</v>
      </c>
      <c r="G1136">
        <v>0.17</v>
      </c>
      <c r="H1136">
        <v>0.96</v>
      </c>
      <c r="I1136" t="s">
        <v>34</v>
      </c>
      <c r="J1136">
        <v>121440</v>
      </c>
      <c r="K1136" t="s">
        <v>27</v>
      </c>
      <c r="L1136">
        <v>27</v>
      </c>
      <c r="M1136">
        <v>60</v>
      </c>
      <c r="N1136" t="s">
        <v>35</v>
      </c>
      <c r="O1136" t="s">
        <v>25</v>
      </c>
      <c r="P1136">
        <v>2.96</v>
      </c>
      <c r="Q1136" t="s">
        <v>34</v>
      </c>
      <c r="R1136">
        <v>3.77</v>
      </c>
      <c r="S1136" t="s">
        <v>43</v>
      </c>
      <c r="T1136" t="str">
        <f t="shared" si="34"/>
        <v>Very High</v>
      </c>
      <c r="U1136" t="str">
        <f t="shared" si="35"/>
        <v>Expert</v>
      </c>
    </row>
    <row r="1137" spans="1:21" x14ac:dyDescent="0.35">
      <c r="A1137" t="s">
        <v>1210</v>
      </c>
      <c r="B1137" t="s">
        <v>20</v>
      </c>
      <c r="C1137" t="s">
        <v>46</v>
      </c>
      <c r="D1137" t="s">
        <v>69</v>
      </c>
      <c r="E1137" t="s">
        <v>70</v>
      </c>
      <c r="F1137">
        <v>20</v>
      </c>
      <c r="G1137">
        <v>0.06</v>
      </c>
      <c r="H1137">
        <v>0.64</v>
      </c>
      <c r="I1137" t="s">
        <v>34</v>
      </c>
      <c r="J1137">
        <v>218315</v>
      </c>
      <c r="K1137" t="s">
        <v>27</v>
      </c>
      <c r="L1137">
        <v>3</v>
      </c>
      <c r="M1137">
        <v>39</v>
      </c>
      <c r="N1137" t="s">
        <v>42</v>
      </c>
      <c r="O1137" t="s">
        <v>36</v>
      </c>
      <c r="P1137">
        <v>3.19</v>
      </c>
      <c r="Q1137" t="s">
        <v>34</v>
      </c>
      <c r="R1137">
        <v>1.63</v>
      </c>
      <c r="S1137" t="s">
        <v>47</v>
      </c>
      <c r="T1137" t="str">
        <f t="shared" si="34"/>
        <v>High</v>
      </c>
      <c r="U1137" t="str">
        <f t="shared" si="35"/>
        <v>Expert</v>
      </c>
    </row>
    <row r="1138" spans="1:21" x14ac:dyDescent="0.35">
      <c r="A1138" t="s">
        <v>1211</v>
      </c>
      <c r="B1138" t="s">
        <v>156</v>
      </c>
      <c r="C1138" t="s">
        <v>39</v>
      </c>
      <c r="D1138" t="s">
        <v>69</v>
      </c>
      <c r="E1138" t="s">
        <v>41</v>
      </c>
      <c r="F1138">
        <v>25</v>
      </c>
      <c r="G1138">
        <v>0.1</v>
      </c>
      <c r="H1138">
        <v>0.75</v>
      </c>
      <c r="I1138" t="s">
        <v>34</v>
      </c>
      <c r="J1138">
        <v>129584</v>
      </c>
      <c r="K1138" t="s">
        <v>25</v>
      </c>
      <c r="L1138">
        <v>9</v>
      </c>
      <c r="M1138">
        <v>47</v>
      </c>
      <c r="N1138" t="s">
        <v>42</v>
      </c>
      <c r="O1138" t="s">
        <v>25</v>
      </c>
      <c r="P1138">
        <v>3.34</v>
      </c>
      <c r="Q1138" t="s">
        <v>34</v>
      </c>
      <c r="R1138">
        <v>2.8</v>
      </c>
      <c r="S1138" t="s">
        <v>28</v>
      </c>
      <c r="T1138" t="str">
        <f t="shared" si="34"/>
        <v>Very High</v>
      </c>
      <c r="U1138" t="str">
        <f t="shared" si="35"/>
        <v>Expert</v>
      </c>
    </row>
    <row r="1139" spans="1:21" x14ac:dyDescent="0.35">
      <c r="A1139" t="s">
        <v>1212</v>
      </c>
      <c r="B1139" t="s">
        <v>147</v>
      </c>
      <c r="C1139" t="s">
        <v>55</v>
      </c>
      <c r="D1139" t="s">
        <v>63</v>
      </c>
      <c r="E1139" t="s">
        <v>41</v>
      </c>
      <c r="F1139">
        <v>2</v>
      </c>
      <c r="G1139">
        <v>0.23</v>
      </c>
      <c r="H1139">
        <v>0.83</v>
      </c>
      <c r="I1139" t="s">
        <v>34</v>
      </c>
      <c r="J1139">
        <v>46485</v>
      </c>
      <c r="K1139" t="s">
        <v>25</v>
      </c>
      <c r="L1139">
        <v>33</v>
      </c>
      <c r="M1139">
        <v>30</v>
      </c>
      <c r="N1139" t="s">
        <v>35</v>
      </c>
      <c r="O1139" t="s">
        <v>36</v>
      </c>
      <c r="P1139">
        <v>2.69</v>
      </c>
      <c r="Q1139" t="s">
        <v>24</v>
      </c>
      <c r="R1139">
        <v>2.69</v>
      </c>
      <c r="S1139" t="s">
        <v>47</v>
      </c>
      <c r="T1139" t="str">
        <f t="shared" si="34"/>
        <v>Very High</v>
      </c>
      <c r="U1139" t="str">
        <f t="shared" si="35"/>
        <v>Beginner</v>
      </c>
    </row>
    <row r="1140" spans="1:21" x14ac:dyDescent="0.35">
      <c r="A1140" t="s">
        <v>1213</v>
      </c>
      <c r="B1140" t="s">
        <v>54</v>
      </c>
      <c r="C1140" t="s">
        <v>31</v>
      </c>
      <c r="D1140" t="s">
        <v>40</v>
      </c>
      <c r="E1140" t="s">
        <v>33</v>
      </c>
      <c r="F1140">
        <v>7</v>
      </c>
      <c r="G1140">
        <v>0.56000000000000005</v>
      </c>
      <c r="H1140">
        <v>0.5</v>
      </c>
      <c r="I1140" t="s">
        <v>60</v>
      </c>
      <c r="J1140">
        <v>76987</v>
      </c>
      <c r="K1140" t="s">
        <v>42</v>
      </c>
      <c r="L1140">
        <v>9</v>
      </c>
      <c r="M1140">
        <v>44</v>
      </c>
      <c r="N1140" t="s">
        <v>26</v>
      </c>
      <c r="O1140" t="s">
        <v>36</v>
      </c>
      <c r="P1140">
        <v>2.17</v>
      </c>
      <c r="Q1140" t="s">
        <v>34</v>
      </c>
      <c r="R1140">
        <v>4.87</v>
      </c>
      <c r="S1140" t="s">
        <v>28</v>
      </c>
      <c r="T1140" t="str">
        <f t="shared" si="34"/>
        <v>Moderate</v>
      </c>
      <c r="U1140" t="str">
        <f t="shared" si="35"/>
        <v>Intermediate</v>
      </c>
    </row>
    <row r="1141" spans="1:21" x14ac:dyDescent="0.35">
      <c r="A1141" t="s">
        <v>1214</v>
      </c>
      <c r="B1141" t="s">
        <v>68</v>
      </c>
      <c r="C1141" t="s">
        <v>46</v>
      </c>
      <c r="D1141" t="s">
        <v>40</v>
      </c>
      <c r="E1141" t="s">
        <v>23</v>
      </c>
      <c r="F1141">
        <v>13</v>
      </c>
      <c r="G1141">
        <v>0.57999999999999996</v>
      </c>
      <c r="H1141">
        <v>0.45</v>
      </c>
      <c r="I1141" t="s">
        <v>60</v>
      </c>
      <c r="J1141">
        <v>150647</v>
      </c>
      <c r="K1141" t="s">
        <v>42</v>
      </c>
      <c r="L1141">
        <v>44</v>
      </c>
      <c r="M1141">
        <v>52</v>
      </c>
      <c r="N1141" t="s">
        <v>42</v>
      </c>
      <c r="O1141" t="s">
        <v>27</v>
      </c>
      <c r="P1141">
        <v>2.64</v>
      </c>
      <c r="Q1141" t="s">
        <v>34</v>
      </c>
      <c r="R1141">
        <v>2.5499999999999998</v>
      </c>
      <c r="S1141" t="s">
        <v>47</v>
      </c>
      <c r="T1141" t="str">
        <f t="shared" si="34"/>
        <v>Moderate</v>
      </c>
      <c r="U1141" t="str">
        <f t="shared" si="35"/>
        <v>Experienced</v>
      </c>
    </row>
    <row r="1142" spans="1:21" x14ac:dyDescent="0.35">
      <c r="A1142" t="s">
        <v>1215</v>
      </c>
      <c r="B1142" t="s">
        <v>20</v>
      </c>
      <c r="C1142" t="s">
        <v>58</v>
      </c>
      <c r="D1142" t="s">
        <v>63</v>
      </c>
      <c r="E1142" t="s">
        <v>23</v>
      </c>
      <c r="F1142">
        <v>1</v>
      </c>
      <c r="G1142">
        <v>0.61</v>
      </c>
      <c r="H1142">
        <v>0.64</v>
      </c>
      <c r="I1142" t="s">
        <v>24</v>
      </c>
      <c r="J1142">
        <v>133805</v>
      </c>
      <c r="K1142" t="s">
        <v>25</v>
      </c>
      <c r="L1142">
        <v>37</v>
      </c>
      <c r="M1142">
        <v>52</v>
      </c>
      <c r="N1142" t="s">
        <v>42</v>
      </c>
      <c r="O1142" t="s">
        <v>36</v>
      </c>
      <c r="P1142">
        <v>4.4000000000000004</v>
      </c>
      <c r="Q1142" t="s">
        <v>24</v>
      </c>
      <c r="R1142">
        <v>3.17</v>
      </c>
      <c r="S1142" t="s">
        <v>47</v>
      </c>
      <c r="T1142" t="str">
        <f t="shared" si="34"/>
        <v>High</v>
      </c>
      <c r="U1142" t="str">
        <f t="shared" si="35"/>
        <v>Beginner</v>
      </c>
    </row>
    <row r="1143" spans="1:21" x14ac:dyDescent="0.35">
      <c r="A1143" t="s">
        <v>1216</v>
      </c>
      <c r="B1143" t="s">
        <v>57</v>
      </c>
      <c r="C1143" t="s">
        <v>39</v>
      </c>
      <c r="D1143" t="s">
        <v>59</v>
      </c>
      <c r="E1143" t="s">
        <v>33</v>
      </c>
      <c r="F1143">
        <v>22</v>
      </c>
      <c r="G1143">
        <v>7.0000000000000007E-2</v>
      </c>
      <c r="H1143">
        <v>0.48</v>
      </c>
      <c r="I1143" t="s">
        <v>60</v>
      </c>
      <c r="J1143">
        <v>158154</v>
      </c>
      <c r="K1143" t="s">
        <v>27</v>
      </c>
      <c r="L1143">
        <v>34</v>
      </c>
      <c r="M1143">
        <v>45</v>
      </c>
      <c r="N1143" t="s">
        <v>35</v>
      </c>
      <c r="O1143" t="s">
        <v>27</v>
      </c>
      <c r="P1143">
        <v>2.4</v>
      </c>
      <c r="Q1143" t="s">
        <v>34</v>
      </c>
      <c r="R1143">
        <v>2.16</v>
      </c>
      <c r="S1143" t="s">
        <v>47</v>
      </c>
      <c r="T1143" t="str">
        <f t="shared" si="34"/>
        <v>High</v>
      </c>
      <c r="U1143" t="str">
        <f t="shared" si="35"/>
        <v>Expert</v>
      </c>
    </row>
    <row r="1144" spans="1:21" x14ac:dyDescent="0.35">
      <c r="A1144" t="s">
        <v>1217</v>
      </c>
      <c r="B1144" t="s">
        <v>96</v>
      </c>
      <c r="C1144" t="s">
        <v>46</v>
      </c>
      <c r="D1144" t="s">
        <v>22</v>
      </c>
      <c r="E1144" t="s">
        <v>33</v>
      </c>
      <c r="F1144">
        <v>8</v>
      </c>
      <c r="G1144">
        <v>0.74</v>
      </c>
      <c r="H1144">
        <v>0.84</v>
      </c>
      <c r="I1144" t="s">
        <v>24</v>
      </c>
      <c r="J1144">
        <v>150635</v>
      </c>
      <c r="K1144" t="s">
        <v>42</v>
      </c>
      <c r="L1144">
        <v>20</v>
      </c>
      <c r="M1144">
        <v>59</v>
      </c>
      <c r="N1144" t="s">
        <v>35</v>
      </c>
      <c r="O1144" t="s">
        <v>27</v>
      </c>
      <c r="P1144">
        <v>4.8</v>
      </c>
      <c r="Q1144" t="s">
        <v>24</v>
      </c>
      <c r="R1144">
        <v>1.9</v>
      </c>
      <c r="S1144" t="s">
        <v>28</v>
      </c>
      <c r="T1144" t="str">
        <f t="shared" si="34"/>
        <v>High</v>
      </c>
      <c r="U1144" t="str">
        <f t="shared" si="35"/>
        <v>Intermediate</v>
      </c>
    </row>
    <row r="1145" spans="1:21" x14ac:dyDescent="0.35">
      <c r="A1145" t="s">
        <v>1218</v>
      </c>
      <c r="B1145" t="s">
        <v>156</v>
      </c>
      <c r="C1145" t="s">
        <v>21</v>
      </c>
      <c r="D1145" t="s">
        <v>69</v>
      </c>
      <c r="E1145" t="s">
        <v>33</v>
      </c>
      <c r="F1145">
        <v>7</v>
      </c>
      <c r="G1145">
        <v>0.21</v>
      </c>
      <c r="H1145">
        <v>0.65</v>
      </c>
      <c r="I1145" t="s">
        <v>24</v>
      </c>
      <c r="J1145">
        <v>95893</v>
      </c>
      <c r="K1145" t="s">
        <v>27</v>
      </c>
      <c r="L1145">
        <v>7</v>
      </c>
      <c r="M1145">
        <v>39</v>
      </c>
      <c r="N1145" t="s">
        <v>35</v>
      </c>
      <c r="O1145" t="s">
        <v>25</v>
      </c>
      <c r="P1145">
        <v>4.88</v>
      </c>
      <c r="Q1145" t="s">
        <v>34</v>
      </c>
      <c r="R1145">
        <v>3.64</v>
      </c>
      <c r="S1145" t="s">
        <v>28</v>
      </c>
      <c r="T1145" t="str">
        <f t="shared" si="34"/>
        <v>High</v>
      </c>
      <c r="U1145" t="str">
        <f t="shared" si="35"/>
        <v>Intermediate</v>
      </c>
    </row>
    <row r="1146" spans="1:21" x14ac:dyDescent="0.35">
      <c r="A1146" t="s">
        <v>1219</v>
      </c>
      <c r="B1146" t="s">
        <v>30</v>
      </c>
      <c r="C1146" t="s">
        <v>82</v>
      </c>
      <c r="D1146" t="s">
        <v>69</v>
      </c>
      <c r="E1146" t="s">
        <v>41</v>
      </c>
      <c r="F1146">
        <v>14</v>
      </c>
      <c r="G1146">
        <v>0.34</v>
      </c>
      <c r="H1146">
        <v>0.27</v>
      </c>
      <c r="I1146" t="s">
        <v>34</v>
      </c>
      <c r="J1146">
        <v>100445</v>
      </c>
      <c r="K1146" t="s">
        <v>42</v>
      </c>
      <c r="L1146">
        <v>26</v>
      </c>
      <c r="M1146">
        <v>52</v>
      </c>
      <c r="N1146" t="s">
        <v>26</v>
      </c>
      <c r="O1146" t="s">
        <v>27</v>
      </c>
      <c r="P1146">
        <v>2.21</v>
      </c>
      <c r="Q1146" t="s">
        <v>24</v>
      </c>
      <c r="R1146">
        <v>1.5</v>
      </c>
      <c r="S1146" t="s">
        <v>47</v>
      </c>
      <c r="T1146" t="str">
        <f t="shared" si="34"/>
        <v>Moderate</v>
      </c>
      <c r="U1146" t="str">
        <f t="shared" si="35"/>
        <v>Experienced</v>
      </c>
    </row>
    <row r="1147" spans="1:21" x14ac:dyDescent="0.35">
      <c r="A1147" t="s">
        <v>1220</v>
      </c>
      <c r="B1147" t="s">
        <v>106</v>
      </c>
      <c r="C1147" t="s">
        <v>82</v>
      </c>
      <c r="D1147" t="s">
        <v>49</v>
      </c>
      <c r="E1147" t="s">
        <v>23</v>
      </c>
      <c r="F1147">
        <v>14</v>
      </c>
      <c r="G1147">
        <v>0.75</v>
      </c>
      <c r="H1147">
        <v>0.54</v>
      </c>
      <c r="I1147" t="s">
        <v>34</v>
      </c>
      <c r="J1147">
        <v>193949</v>
      </c>
      <c r="K1147" t="s">
        <v>25</v>
      </c>
      <c r="L1147">
        <v>3</v>
      </c>
      <c r="M1147">
        <v>60</v>
      </c>
      <c r="N1147" t="s">
        <v>35</v>
      </c>
      <c r="O1147" t="s">
        <v>36</v>
      </c>
      <c r="P1147">
        <v>4.66</v>
      </c>
      <c r="Q1147" t="s">
        <v>24</v>
      </c>
      <c r="R1147">
        <v>4.82</v>
      </c>
      <c r="S1147" t="s">
        <v>43</v>
      </c>
      <c r="T1147" t="str">
        <f t="shared" si="34"/>
        <v>Moderate</v>
      </c>
      <c r="U1147" t="str">
        <f t="shared" si="35"/>
        <v>Experienced</v>
      </c>
    </row>
    <row r="1148" spans="1:21" x14ac:dyDescent="0.35">
      <c r="A1148" t="s">
        <v>1221</v>
      </c>
      <c r="B1148" t="s">
        <v>73</v>
      </c>
      <c r="C1148" t="s">
        <v>74</v>
      </c>
      <c r="D1148" t="s">
        <v>22</v>
      </c>
      <c r="E1148" t="s">
        <v>70</v>
      </c>
      <c r="F1148">
        <v>5</v>
      </c>
      <c r="G1148">
        <v>0.55000000000000004</v>
      </c>
      <c r="H1148">
        <v>0.24</v>
      </c>
      <c r="I1148" t="s">
        <v>60</v>
      </c>
      <c r="J1148">
        <v>129208</v>
      </c>
      <c r="K1148" t="s">
        <v>27</v>
      </c>
      <c r="L1148">
        <v>40</v>
      </c>
      <c r="M1148">
        <v>39</v>
      </c>
      <c r="N1148" t="s">
        <v>35</v>
      </c>
      <c r="O1148" t="s">
        <v>27</v>
      </c>
      <c r="P1148">
        <v>2.86</v>
      </c>
      <c r="Q1148" t="s">
        <v>24</v>
      </c>
      <c r="R1148">
        <v>3.56</v>
      </c>
      <c r="S1148" t="s">
        <v>28</v>
      </c>
      <c r="T1148" t="str">
        <f t="shared" si="34"/>
        <v>Moderate</v>
      </c>
      <c r="U1148" t="str">
        <f t="shared" si="35"/>
        <v>Intermediate</v>
      </c>
    </row>
    <row r="1149" spans="1:21" x14ac:dyDescent="0.35">
      <c r="A1149" t="s">
        <v>1222</v>
      </c>
      <c r="B1149" t="s">
        <v>147</v>
      </c>
      <c r="C1149" t="s">
        <v>55</v>
      </c>
      <c r="D1149" t="s">
        <v>32</v>
      </c>
      <c r="E1149" t="s">
        <v>23</v>
      </c>
      <c r="F1149">
        <v>14</v>
      </c>
      <c r="G1149">
        <v>0.66</v>
      </c>
      <c r="H1149">
        <v>0.89</v>
      </c>
      <c r="I1149" t="s">
        <v>34</v>
      </c>
      <c r="J1149">
        <v>154057</v>
      </c>
      <c r="K1149" t="s">
        <v>25</v>
      </c>
      <c r="L1149">
        <v>13</v>
      </c>
      <c r="M1149">
        <v>48</v>
      </c>
      <c r="N1149" t="s">
        <v>35</v>
      </c>
      <c r="O1149" t="s">
        <v>36</v>
      </c>
      <c r="P1149">
        <v>4.49</v>
      </c>
      <c r="Q1149" t="s">
        <v>24</v>
      </c>
      <c r="R1149">
        <v>4.37</v>
      </c>
      <c r="S1149" t="s">
        <v>47</v>
      </c>
      <c r="T1149" t="str">
        <f t="shared" si="34"/>
        <v>High</v>
      </c>
      <c r="U1149" t="str">
        <f t="shared" si="35"/>
        <v>Experienced</v>
      </c>
    </row>
    <row r="1150" spans="1:21" x14ac:dyDescent="0.35">
      <c r="A1150" t="s">
        <v>1223</v>
      </c>
      <c r="B1150" t="s">
        <v>94</v>
      </c>
      <c r="C1150" t="s">
        <v>21</v>
      </c>
      <c r="D1150" t="s">
        <v>66</v>
      </c>
      <c r="E1150" t="s">
        <v>23</v>
      </c>
      <c r="F1150">
        <v>8</v>
      </c>
      <c r="G1150">
        <v>0.78</v>
      </c>
      <c r="H1150">
        <v>0.52</v>
      </c>
      <c r="I1150" t="s">
        <v>34</v>
      </c>
      <c r="J1150">
        <v>98779</v>
      </c>
      <c r="K1150" t="s">
        <v>27</v>
      </c>
      <c r="L1150">
        <v>21</v>
      </c>
      <c r="M1150">
        <v>50</v>
      </c>
      <c r="N1150" t="s">
        <v>26</v>
      </c>
      <c r="O1150" t="s">
        <v>25</v>
      </c>
      <c r="P1150">
        <v>2.31</v>
      </c>
      <c r="Q1150" t="s">
        <v>24</v>
      </c>
      <c r="R1150">
        <v>4.92</v>
      </c>
      <c r="S1150" t="s">
        <v>28</v>
      </c>
      <c r="T1150" t="str">
        <f t="shared" si="34"/>
        <v>Moderate</v>
      </c>
      <c r="U1150" t="str">
        <f t="shared" si="35"/>
        <v>Intermediate</v>
      </c>
    </row>
    <row r="1151" spans="1:21" x14ac:dyDescent="0.35">
      <c r="A1151" t="s">
        <v>1224</v>
      </c>
      <c r="B1151" t="s">
        <v>30</v>
      </c>
      <c r="C1151" t="s">
        <v>74</v>
      </c>
      <c r="D1151" t="s">
        <v>75</v>
      </c>
      <c r="E1151" t="s">
        <v>70</v>
      </c>
      <c r="F1151">
        <v>19</v>
      </c>
      <c r="G1151">
        <v>0.51</v>
      </c>
      <c r="H1151">
        <v>0.23</v>
      </c>
      <c r="I1151" t="s">
        <v>60</v>
      </c>
      <c r="J1151">
        <v>192587</v>
      </c>
      <c r="K1151" t="s">
        <v>27</v>
      </c>
      <c r="L1151">
        <v>3</v>
      </c>
      <c r="M1151">
        <v>34</v>
      </c>
      <c r="N1151" t="s">
        <v>42</v>
      </c>
      <c r="O1151" t="s">
        <v>36</v>
      </c>
      <c r="P1151">
        <v>2.89</v>
      </c>
      <c r="Q1151" t="s">
        <v>24</v>
      </c>
      <c r="R1151">
        <v>1.53</v>
      </c>
      <c r="S1151" t="s">
        <v>47</v>
      </c>
      <c r="T1151" t="str">
        <f t="shared" si="34"/>
        <v>Moderate</v>
      </c>
      <c r="U1151" t="str">
        <f t="shared" si="35"/>
        <v>Expert</v>
      </c>
    </row>
    <row r="1152" spans="1:21" x14ac:dyDescent="0.35">
      <c r="A1152" t="s">
        <v>1225</v>
      </c>
      <c r="B1152" t="s">
        <v>45</v>
      </c>
      <c r="C1152" t="s">
        <v>21</v>
      </c>
      <c r="D1152" t="s">
        <v>63</v>
      </c>
      <c r="E1152" t="s">
        <v>70</v>
      </c>
      <c r="F1152">
        <v>17</v>
      </c>
      <c r="G1152">
        <v>0.7</v>
      </c>
      <c r="H1152">
        <v>0.66</v>
      </c>
      <c r="I1152" t="s">
        <v>34</v>
      </c>
      <c r="J1152">
        <v>169897</v>
      </c>
      <c r="K1152" t="s">
        <v>25</v>
      </c>
      <c r="L1152">
        <v>6</v>
      </c>
      <c r="M1152">
        <v>30</v>
      </c>
      <c r="N1152" t="s">
        <v>35</v>
      </c>
      <c r="O1152" t="s">
        <v>27</v>
      </c>
      <c r="P1152">
        <v>2.2200000000000002</v>
      </c>
      <c r="Q1152" t="s">
        <v>34</v>
      </c>
      <c r="R1152">
        <v>2.75</v>
      </c>
      <c r="S1152" t="s">
        <v>28</v>
      </c>
      <c r="T1152" t="str">
        <f t="shared" si="34"/>
        <v>Moderate</v>
      </c>
      <c r="U1152" t="str">
        <f t="shared" si="35"/>
        <v>Expert</v>
      </c>
    </row>
    <row r="1153" spans="1:21" x14ac:dyDescent="0.35">
      <c r="A1153" t="s">
        <v>1226</v>
      </c>
      <c r="B1153" t="s">
        <v>51</v>
      </c>
      <c r="C1153" t="s">
        <v>74</v>
      </c>
      <c r="D1153" t="s">
        <v>69</v>
      </c>
      <c r="E1153" t="s">
        <v>23</v>
      </c>
      <c r="F1153">
        <v>23</v>
      </c>
      <c r="G1153">
        <v>0.32</v>
      </c>
      <c r="H1153">
        <v>0.85</v>
      </c>
      <c r="I1153" t="s">
        <v>60</v>
      </c>
      <c r="J1153">
        <v>196979</v>
      </c>
      <c r="K1153" t="s">
        <v>27</v>
      </c>
      <c r="L1153">
        <v>21</v>
      </c>
      <c r="M1153">
        <v>32</v>
      </c>
      <c r="N1153" t="s">
        <v>26</v>
      </c>
      <c r="O1153" t="s">
        <v>27</v>
      </c>
      <c r="P1153">
        <v>3.58</v>
      </c>
      <c r="Q1153" t="s">
        <v>24</v>
      </c>
      <c r="R1153">
        <v>1.82</v>
      </c>
      <c r="S1153" t="s">
        <v>28</v>
      </c>
      <c r="T1153" t="str">
        <f t="shared" si="34"/>
        <v>Very High</v>
      </c>
      <c r="U1153" t="str">
        <f t="shared" si="35"/>
        <v>Expert</v>
      </c>
    </row>
    <row r="1154" spans="1:21" x14ac:dyDescent="0.35">
      <c r="A1154" t="s">
        <v>1227</v>
      </c>
      <c r="B1154" t="s">
        <v>54</v>
      </c>
      <c r="C1154" t="s">
        <v>46</v>
      </c>
      <c r="D1154" t="s">
        <v>63</v>
      </c>
      <c r="E1154" t="s">
        <v>23</v>
      </c>
      <c r="F1154">
        <v>9</v>
      </c>
      <c r="G1154">
        <v>0.09</v>
      </c>
      <c r="H1154">
        <v>0.75</v>
      </c>
      <c r="I1154" t="s">
        <v>34</v>
      </c>
      <c r="J1154">
        <v>82410</v>
      </c>
      <c r="K1154" t="s">
        <v>27</v>
      </c>
      <c r="L1154">
        <v>26</v>
      </c>
      <c r="M1154">
        <v>49</v>
      </c>
      <c r="N1154" t="s">
        <v>26</v>
      </c>
      <c r="O1154" t="s">
        <v>36</v>
      </c>
      <c r="P1154">
        <v>3.17</v>
      </c>
      <c r="Q1154" t="s">
        <v>34</v>
      </c>
      <c r="R1154">
        <v>3.06</v>
      </c>
      <c r="S1154" t="s">
        <v>28</v>
      </c>
      <c r="T1154" t="str">
        <f t="shared" si="34"/>
        <v>Very High</v>
      </c>
      <c r="U1154" t="str">
        <f t="shared" si="35"/>
        <v>Experienced</v>
      </c>
    </row>
    <row r="1155" spans="1:21" x14ac:dyDescent="0.35">
      <c r="A1155" t="s">
        <v>1228</v>
      </c>
      <c r="B1155" t="s">
        <v>91</v>
      </c>
      <c r="C1155" t="s">
        <v>82</v>
      </c>
      <c r="D1155" t="s">
        <v>59</v>
      </c>
      <c r="E1155" t="s">
        <v>23</v>
      </c>
      <c r="F1155">
        <v>25</v>
      </c>
      <c r="G1155">
        <v>0.27</v>
      </c>
      <c r="H1155">
        <v>0.2</v>
      </c>
      <c r="I1155" t="s">
        <v>24</v>
      </c>
      <c r="J1155">
        <v>192764</v>
      </c>
      <c r="K1155" t="s">
        <v>25</v>
      </c>
      <c r="L1155">
        <v>43</v>
      </c>
      <c r="M1155">
        <v>47</v>
      </c>
      <c r="N1155" t="s">
        <v>35</v>
      </c>
      <c r="O1155" t="s">
        <v>27</v>
      </c>
      <c r="P1155">
        <v>4.6399999999999997</v>
      </c>
      <c r="Q1155" t="s">
        <v>34</v>
      </c>
      <c r="R1155">
        <v>1.33</v>
      </c>
      <c r="S1155" t="s">
        <v>43</v>
      </c>
      <c r="T1155" t="str">
        <f t="shared" ref="T1155:T1218" si="36">IF(AND(G1155&lt;0.4,H1155&gt;=0.7),"Very High",
IF(AND(G1155&gt;=0.7,H1155&lt;0.5),"Very Low",
IF(G1155&lt;H1155,"High","Moderate")))</f>
        <v>Moderate</v>
      </c>
      <c r="U1155" t="str">
        <f t="shared" ref="U1155:U1218" si="37">_xlfn.IFS(F1155&lt;=2,"Beginner",F1155&lt;=8,"Intermediate",F1155&lt;=15,"Experienced",F1155&lt;=25,"Expert")</f>
        <v>Expert</v>
      </c>
    </row>
    <row r="1156" spans="1:21" x14ac:dyDescent="0.35">
      <c r="A1156" t="s">
        <v>1229</v>
      </c>
      <c r="B1156" t="s">
        <v>65</v>
      </c>
      <c r="C1156" t="s">
        <v>52</v>
      </c>
      <c r="D1156" t="s">
        <v>66</v>
      </c>
      <c r="E1156" t="s">
        <v>70</v>
      </c>
      <c r="F1156">
        <v>15</v>
      </c>
      <c r="G1156">
        <v>0.37</v>
      </c>
      <c r="H1156">
        <v>0.45</v>
      </c>
      <c r="I1156" t="s">
        <v>60</v>
      </c>
      <c r="J1156">
        <v>147864</v>
      </c>
      <c r="K1156" t="s">
        <v>27</v>
      </c>
      <c r="L1156">
        <v>15</v>
      </c>
      <c r="M1156">
        <v>40</v>
      </c>
      <c r="N1156" t="s">
        <v>42</v>
      </c>
      <c r="O1156" t="s">
        <v>36</v>
      </c>
      <c r="P1156">
        <v>4.67</v>
      </c>
      <c r="Q1156" t="s">
        <v>34</v>
      </c>
      <c r="R1156">
        <v>1.4</v>
      </c>
      <c r="S1156" t="s">
        <v>47</v>
      </c>
      <c r="T1156" t="str">
        <f t="shared" si="36"/>
        <v>High</v>
      </c>
      <c r="U1156" t="str">
        <f t="shared" si="37"/>
        <v>Experienced</v>
      </c>
    </row>
    <row r="1157" spans="1:21" x14ac:dyDescent="0.35">
      <c r="A1157" t="s">
        <v>1230</v>
      </c>
      <c r="B1157" t="s">
        <v>65</v>
      </c>
      <c r="C1157" t="s">
        <v>52</v>
      </c>
      <c r="D1157" t="s">
        <v>80</v>
      </c>
      <c r="E1157" t="s">
        <v>33</v>
      </c>
      <c r="F1157">
        <v>9</v>
      </c>
      <c r="G1157">
        <v>0.1</v>
      </c>
      <c r="H1157">
        <v>0.61</v>
      </c>
      <c r="I1157" t="s">
        <v>60</v>
      </c>
      <c r="J1157">
        <v>118494</v>
      </c>
      <c r="K1157" t="s">
        <v>25</v>
      </c>
      <c r="L1157">
        <v>12</v>
      </c>
      <c r="M1157">
        <v>32</v>
      </c>
      <c r="N1157" t="s">
        <v>42</v>
      </c>
      <c r="O1157" t="s">
        <v>36</v>
      </c>
      <c r="P1157">
        <v>3.06</v>
      </c>
      <c r="Q1157" t="s">
        <v>34</v>
      </c>
      <c r="R1157">
        <v>1.43</v>
      </c>
      <c r="S1157" t="s">
        <v>47</v>
      </c>
      <c r="T1157" t="str">
        <f t="shared" si="36"/>
        <v>High</v>
      </c>
      <c r="U1157" t="str">
        <f t="shared" si="37"/>
        <v>Experienced</v>
      </c>
    </row>
    <row r="1158" spans="1:21" x14ac:dyDescent="0.35">
      <c r="A1158" t="s">
        <v>1231</v>
      </c>
      <c r="B1158" t="s">
        <v>156</v>
      </c>
      <c r="C1158" t="s">
        <v>82</v>
      </c>
      <c r="D1158" t="s">
        <v>59</v>
      </c>
      <c r="E1158" t="s">
        <v>33</v>
      </c>
      <c r="F1158">
        <v>16</v>
      </c>
      <c r="G1158">
        <v>0.57999999999999996</v>
      </c>
      <c r="H1158">
        <v>0.56999999999999995</v>
      </c>
      <c r="I1158" t="s">
        <v>34</v>
      </c>
      <c r="J1158">
        <v>107622</v>
      </c>
      <c r="K1158" t="s">
        <v>27</v>
      </c>
      <c r="L1158">
        <v>17</v>
      </c>
      <c r="M1158">
        <v>30</v>
      </c>
      <c r="N1158" t="s">
        <v>26</v>
      </c>
      <c r="O1158" t="s">
        <v>25</v>
      </c>
      <c r="P1158">
        <v>4.51</v>
      </c>
      <c r="Q1158" t="s">
        <v>34</v>
      </c>
      <c r="R1158">
        <v>4.47</v>
      </c>
      <c r="S1158" t="s">
        <v>28</v>
      </c>
      <c r="T1158" t="str">
        <f t="shared" si="36"/>
        <v>Moderate</v>
      </c>
      <c r="U1158" t="str">
        <f t="shared" si="37"/>
        <v>Expert</v>
      </c>
    </row>
    <row r="1159" spans="1:21" x14ac:dyDescent="0.35">
      <c r="A1159" t="s">
        <v>1232</v>
      </c>
      <c r="B1159" t="s">
        <v>62</v>
      </c>
      <c r="C1159" t="s">
        <v>31</v>
      </c>
      <c r="D1159" t="s">
        <v>32</v>
      </c>
      <c r="E1159" t="s">
        <v>33</v>
      </c>
      <c r="F1159">
        <v>16</v>
      </c>
      <c r="G1159">
        <v>0.42</v>
      </c>
      <c r="H1159">
        <v>0.24</v>
      </c>
      <c r="I1159" t="s">
        <v>60</v>
      </c>
      <c r="J1159">
        <v>193108</v>
      </c>
      <c r="K1159" t="s">
        <v>42</v>
      </c>
      <c r="L1159">
        <v>-7</v>
      </c>
      <c r="M1159">
        <v>35</v>
      </c>
      <c r="N1159" t="s">
        <v>35</v>
      </c>
      <c r="O1159" t="s">
        <v>27</v>
      </c>
      <c r="P1159">
        <v>3</v>
      </c>
      <c r="Q1159" t="s">
        <v>24</v>
      </c>
      <c r="R1159">
        <v>3.16</v>
      </c>
      <c r="S1159" t="s">
        <v>28</v>
      </c>
      <c r="T1159" t="str">
        <f t="shared" si="36"/>
        <v>Moderate</v>
      </c>
      <c r="U1159" t="str">
        <f t="shared" si="37"/>
        <v>Expert</v>
      </c>
    </row>
    <row r="1160" spans="1:21" x14ac:dyDescent="0.35">
      <c r="A1160" t="s">
        <v>1233</v>
      </c>
      <c r="B1160" t="s">
        <v>94</v>
      </c>
      <c r="C1160" t="s">
        <v>21</v>
      </c>
      <c r="D1160" t="s">
        <v>22</v>
      </c>
      <c r="E1160" t="s">
        <v>23</v>
      </c>
      <c r="F1160">
        <v>19</v>
      </c>
      <c r="G1160">
        <v>0.28999999999999998</v>
      </c>
      <c r="H1160">
        <v>0.66</v>
      </c>
      <c r="I1160" t="s">
        <v>34</v>
      </c>
      <c r="J1160">
        <v>183061</v>
      </c>
      <c r="K1160" t="s">
        <v>27</v>
      </c>
      <c r="L1160">
        <v>21</v>
      </c>
      <c r="M1160">
        <v>34</v>
      </c>
      <c r="N1160" t="s">
        <v>42</v>
      </c>
      <c r="O1160" t="s">
        <v>36</v>
      </c>
      <c r="P1160">
        <v>4.97</v>
      </c>
      <c r="Q1160" t="s">
        <v>34</v>
      </c>
      <c r="R1160">
        <v>1.44</v>
      </c>
      <c r="S1160" t="s">
        <v>43</v>
      </c>
      <c r="T1160" t="str">
        <f t="shared" si="36"/>
        <v>High</v>
      </c>
      <c r="U1160" t="str">
        <f t="shared" si="37"/>
        <v>Expert</v>
      </c>
    </row>
    <row r="1161" spans="1:21" x14ac:dyDescent="0.35">
      <c r="A1161" t="s">
        <v>1234</v>
      </c>
      <c r="B1161" t="s">
        <v>89</v>
      </c>
      <c r="C1161" t="s">
        <v>31</v>
      </c>
      <c r="D1161" t="s">
        <v>80</v>
      </c>
      <c r="E1161" t="s">
        <v>41</v>
      </c>
      <c r="F1161">
        <v>18</v>
      </c>
      <c r="G1161">
        <v>0.47</v>
      </c>
      <c r="H1161">
        <v>0.48</v>
      </c>
      <c r="I1161" t="s">
        <v>34</v>
      </c>
      <c r="J1161">
        <v>128996</v>
      </c>
      <c r="K1161" t="s">
        <v>42</v>
      </c>
      <c r="L1161">
        <v>30</v>
      </c>
      <c r="M1161">
        <v>50</v>
      </c>
      <c r="N1161" t="s">
        <v>35</v>
      </c>
      <c r="O1161" t="s">
        <v>27</v>
      </c>
      <c r="P1161">
        <v>2.75</v>
      </c>
      <c r="Q1161" t="s">
        <v>24</v>
      </c>
      <c r="R1161">
        <v>4.55</v>
      </c>
      <c r="S1161" t="s">
        <v>28</v>
      </c>
      <c r="T1161" t="str">
        <f t="shared" si="36"/>
        <v>High</v>
      </c>
      <c r="U1161" t="str">
        <f t="shared" si="37"/>
        <v>Expert</v>
      </c>
    </row>
    <row r="1162" spans="1:21" x14ac:dyDescent="0.35">
      <c r="A1162" t="s">
        <v>1235</v>
      </c>
      <c r="B1162" t="s">
        <v>106</v>
      </c>
      <c r="C1162" t="s">
        <v>58</v>
      </c>
      <c r="D1162" t="s">
        <v>59</v>
      </c>
      <c r="E1162" t="s">
        <v>41</v>
      </c>
      <c r="F1162">
        <v>11</v>
      </c>
      <c r="G1162">
        <v>0.2</v>
      </c>
      <c r="H1162">
        <v>0.69</v>
      </c>
      <c r="I1162" t="s">
        <v>60</v>
      </c>
      <c r="J1162">
        <v>100848</v>
      </c>
      <c r="K1162" t="s">
        <v>27</v>
      </c>
      <c r="L1162">
        <v>38</v>
      </c>
      <c r="M1162">
        <v>34</v>
      </c>
      <c r="N1162" t="s">
        <v>42</v>
      </c>
      <c r="O1162" t="s">
        <v>27</v>
      </c>
      <c r="P1162">
        <v>2.84</v>
      </c>
      <c r="Q1162" t="s">
        <v>24</v>
      </c>
      <c r="R1162">
        <v>2.87</v>
      </c>
      <c r="S1162" t="s">
        <v>43</v>
      </c>
      <c r="T1162" t="str">
        <f t="shared" si="36"/>
        <v>High</v>
      </c>
      <c r="U1162" t="str">
        <f t="shared" si="37"/>
        <v>Experienced</v>
      </c>
    </row>
    <row r="1163" spans="1:21" x14ac:dyDescent="0.35">
      <c r="A1163" t="s">
        <v>1236</v>
      </c>
      <c r="B1163" t="s">
        <v>62</v>
      </c>
      <c r="C1163" t="s">
        <v>55</v>
      </c>
      <c r="D1163" t="s">
        <v>69</v>
      </c>
      <c r="E1163" t="s">
        <v>23</v>
      </c>
      <c r="F1163">
        <v>11</v>
      </c>
      <c r="G1163">
        <v>0.72</v>
      </c>
      <c r="H1163">
        <v>0.73</v>
      </c>
      <c r="I1163" t="s">
        <v>60</v>
      </c>
      <c r="J1163">
        <v>153513</v>
      </c>
      <c r="K1163" t="s">
        <v>42</v>
      </c>
      <c r="L1163">
        <v>-3</v>
      </c>
      <c r="M1163">
        <v>51</v>
      </c>
      <c r="N1163" t="s">
        <v>42</v>
      </c>
      <c r="O1163" t="s">
        <v>25</v>
      </c>
      <c r="P1163">
        <v>3.54</v>
      </c>
      <c r="Q1163" t="s">
        <v>34</v>
      </c>
      <c r="R1163">
        <v>3.95</v>
      </c>
      <c r="S1163" t="s">
        <v>28</v>
      </c>
      <c r="T1163" t="str">
        <f t="shared" si="36"/>
        <v>High</v>
      </c>
      <c r="U1163" t="str">
        <f t="shared" si="37"/>
        <v>Experienced</v>
      </c>
    </row>
    <row r="1164" spans="1:21" x14ac:dyDescent="0.35">
      <c r="A1164" t="s">
        <v>1237</v>
      </c>
      <c r="B1164" t="s">
        <v>96</v>
      </c>
      <c r="C1164" t="s">
        <v>55</v>
      </c>
      <c r="D1164" t="s">
        <v>66</v>
      </c>
      <c r="E1164" t="s">
        <v>41</v>
      </c>
      <c r="F1164">
        <v>18</v>
      </c>
      <c r="G1164">
        <v>0.6</v>
      </c>
      <c r="H1164">
        <v>0.82</v>
      </c>
      <c r="I1164" t="s">
        <v>34</v>
      </c>
      <c r="J1164">
        <v>166314</v>
      </c>
      <c r="K1164" t="s">
        <v>25</v>
      </c>
      <c r="L1164">
        <v>5</v>
      </c>
      <c r="M1164">
        <v>50</v>
      </c>
      <c r="N1164" t="s">
        <v>35</v>
      </c>
      <c r="O1164" t="s">
        <v>25</v>
      </c>
      <c r="P1164">
        <v>4.91</v>
      </c>
      <c r="Q1164" t="s">
        <v>34</v>
      </c>
      <c r="R1164">
        <v>1.1200000000000001</v>
      </c>
      <c r="S1164" t="s">
        <v>28</v>
      </c>
      <c r="T1164" t="str">
        <f t="shared" si="36"/>
        <v>High</v>
      </c>
      <c r="U1164" t="str">
        <f t="shared" si="37"/>
        <v>Expert</v>
      </c>
    </row>
    <row r="1165" spans="1:21" x14ac:dyDescent="0.35">
      <c r="A1165" t="s">
        <v>1238</v>
      </c>
      <c r="B1165" t="s">
        <v>102</v>
      </c>
      <c r="C1165" t="s">
        <v>21</v>
      </c>
      <c r="D1165" t="s">
        <v>49</v>
      </c>
      <c r="E1165" t="s">
        <v>33</v>
      </c>
      <c r="F1165">
        <v>22</v>
      </c>
      <c r="G1165">
        <v>0.43</v>
      </c>
      <c r="H1165">
        <v>0.57999999999999996</v>
      </c>
      <c r="I1165" t="s">
        <v>24</v>
      </c>
      <c r="J1165">
        <v>165359</v>
      </c>
      <c r="K1165" t="s">
        <v>42</v>
      </c>
      <c r="L1165">
        <v>15</v>
      </c>
      <c r="M1165">
        <v>35</v>
      </c>
      <c r="N1165" t="s">
        <v>26</v>
      </c>
      <c r="O1165" t="s">
        <v>25</v>
      </c>
      <c r="P1165">
        <v>3.97</v>
      </c>
      <c r="Q1165" t="s">
        <v>24</v>
      </c>
      <c r="R1165">
        <v>2.4900000000000002</v>
      </c>
      <c r="S1165" t="s">
        <v>28</v>
      </c>
      <c r="T1165" t="str">
        <f t="shared" si="36"/>
        <v>High</v>
      </c>
      <c r="U1165" t="str">
        <f t="shared" si="37"/>
        <v>Expert</v>
      </c>
    </row>
    <row r="1166" spans="1:21" x14ac:dyDescent="0.35">
      <c r="A1166" t="s">
        <v>1239</v>
      </c>
      <c r="B1166" t="s">
        <v>147</v>
      </c>
      <c r="C1166" t="s">
        <v>74</v>
      </c>
      <c r="D1166" t="s">
        <v>22</v>
      </c>
      <c r="E1166" t="s">
        <v>70</v>
      </c>
      <c r="F1166">
        <v>13</v>
      </c>
      <c r="G1166">
        <v>0.32</v>
      </c>
      <c r="H1166">
        <v>0.32</v>
      </c>
      <c r="I1166" t="s">
        <v>60</v>
      </c>
      <c r="J1166">
        <v>130003</v>
      </c>
      <c r="K1166" t="s">
        <v>27</v>
      </c>
      <c r="L1166">
        <v>27</v>
      </c>
      <c r="M1166">
        <v>56</v>
      </c>
      <c r="N1166" t="s">
        <v>35</v>
      </c>
      <c r="O1166" t="s">
        <v>36</v>
      </c>
      <c r="P1166">
        <v>4.78</v>
      </c>
      <c r="Q1166" t="s">
        <v>24</v>
      </c>
      <c r="R1166">
        <v>1.53</v>
      </c>
      <c r="S1166" t="s">
        <v>28</v>
      </c>
      <c r="T1166" t="str">
        <f t="shared" si="36"/>
        <v>Moderate</v>
      </c>
      <c r="U1166" t="str">
        <f t="shared" si="37"/>
        <v>Experienced</v>
      </c>
    </row>
    <row r="1167" spans="1:21" x14ac:dyDescent="0.35">
      <c r="A1167" t="s">
        <v>1240</v>
      </c>
      <c r="B1167" t="s">
        <v>106</v>
      </c>
      <c r="C1167" t="s">
        <v>82</v>
      </c>
      <c r="D1167" t="s">
        <v>59</v>
      </c>
      <c r="E1167" t="s">
        <v>23</v>
      </c>
      <c r="F1167">
        <v>21</v>
      </c>
      <c r="G1167">
        <v>0.61</v>
      </c>
      <c r="H1167">
        <v>0.95</v>
      </c>
      <c r="I1167" t="s">
        <v>60</v>
      </c>
      <c r="J1167">
        <v>37071</v>
      </c>
      <c r="K1167" t="s">
        <v>25</v>
      </c>
      <c r="L1167">
        <v>-8</v>
      </c>
      <c r="M1167">
        <v>52</v>
      </c>
      <c r="N1167" t="s">
        <v>42</v>
      </c>
      <c r="O1167" t="s">
        <v>36</v>
      </c>
      <c r="P1167">
        <v>4.47</v>
      </c>
      <c r="Q1167" t="s">
        <v>34</v>
      </c>
      <c r="R1167">
        <v>1.22</v>
      </c>
      <c r="S1167" t="s">
        <v>28</v>
      </c>
      <c r="T1167" t="str">
        <f t="shared" si="36"/>
        <v>High</v>
      </c>
      <c r="U1167" t="str">
        <f t="shared" si="37"/>
        <v>Expert</v>
      </c>
    </row>
    <row r="1168" spans="1:21" x14ac:dyDescent="0.35">
      <c r="A1168" t="s">
        <v>1241</v>
      </c>
      <c r="B1168" t="s">
        <v>89</v>
      </c>
      <c r="C1168" t="s">
        <v>74</v>
      </c>
      <c r="D1168" t="s">
        <v>63</v>
      </c>
      <c r="E1168" t="s">
        <v>33</v>
      </c>
      <c r="F1168">
        <v>18</v>
      </c>
      <c r="G1168">
        <v>0.11</v>
      </c>
      <c r="H1168">
        <v>0.82</v>
      </c>
      <c r="I1168" t="s">
        <v>60</v>
      </c>
      <c r="J1168">
        <v>140289</v>
      </c>
      <c r="K1168" t="s">
        <v>25</v>
      </c>
      <c r="L1168">
        <v>42</v>
      </c>
      <c r="M1168">
        <v>58</v>
      </c>
      <c r="N1168" t="s">
        <v>26</v>
      </c>
      <c r="O1168" t="s">
        <v>27</v>
      </c>
      <c r="P1168">
        <v>3.87</v>
      </c>
      <c r="Q1168" t="s">
        <v>24</v>
      </c>
      <c r="R1168">
        <v>4.37</v>
      </c>
      <c r="S1168" t="s">
        <v>28</v>
      </c>
      <c r="T1168" t="str">
        <f t="shared" si="36"/>
        <v>Very High</v>
      </c>
      <c r="U1168" t="str">
        <f t="shared" si="37"/>
        <v>Expert</v>
      </c>
    </row>
    <row r="1169" spans="1:21" x14ac:dyDescent="0.35">
      <c r="A1169" t="s">
        <v>1242</v>
      </c>
      <c r="B1169" t="s">
        <v>73</v>
      </c>
      <c r="C1169" t="s">
        <v>55</v>
      </c>
      <c r="D1169" t="s">
        <v>22</v>
      </c>
      <c r="E1169" t="s">
        <v>70</v>
      </c>
      <c r="F1169">
        <v>11</v>
      </c>
      <c r="G1169">
        <v>0.56999999999999995</v>
      </c>
      <c r="H1169">
        <v>0.45</v>
      </c>
      <c r="I1169" t="s">
        <v>60</v>
      </c>
      <c r="J1169">
        <v>187949</v>
      </c>
      <c r="K1169" t="s">
        <v>27</v>
      </c>
      <c r="L1169">
        <v>38</v>
      </c>
      <c r="M1169">
        <v>52</v>
      </c>
      <c r="N1169" t="s">
        <v>26</v>
      </c>
      <c r="O1169" t="s">
        <v>36</v>
      </c>
      <c r="P1169">
        <v>2.5</v>
      </c>
      <c r="Q1169" t="s">
        <v>24</v>
      </c>
      <c r="R1169">
        <v>3.02</v>
      </c>
      <c r="S1169" t="s">
        <v>28</v>
      </c>
      <c r="T1169" t="str">
        <f t="shared" si="36"/>
        <v>Moderate</v>
      </c>
      <c r="U1169" t="str">
        <f t="shared" si="37"/>
        <v>Experienced</v>
      </c>
    </row>
    <row r="1170" spans="1:21" x14ac:dyDescent="0.35">
      <c r="A1170" t="s">
        <v>1243</v>
      </c>
      <c r="B1170" t="s">
        <v>57</v>
      </c>
      <c r="C1170" t="s">
        <v>46</v>
      </c>
      <c r="D1170" t="s">
        <v>69</v>
      </c>
      <c r="E1170" t="s">
        <v>41</v>
      </c>
      <c r="F1170">
        <v>5</v>
      </c>
      <c r="G1170">
        <v>0.67</v>
      </c>
      <c r="H1170">
        <v>0.51</v>
      </c>
      <c r="I1170" t="s">
        <v>24</v>
      </c>
      <c r="J1170">
        <v>69567</v>
      </c>
      <c r="K1170" t="s">
        <v>27</v>
      </c>
      <c r="L1170">
        <v>40</v>
      </c>
      <c r="M1170">
        <v>51</v>
      </c>
      <c r="N1170" t="s">
        <v>26</v>
      </c>
      <c r="O1170" t="s">
        <v>25</v>
      </c>
      <c r="P1170">
        <v>3.9</v>
      </c>
      <c r="Q1170" t="s">
        <v>34</v>
      </c>
      <c r="R1170">
        <v>3.95</v>
      </c>
      <c r="S1170" t="s">
        <v>28</v>
      </c>
      <c r="T1170" t="str">
        <f t="shared" si="36"/>
        <v>Moderate</v>
      </c>
      <c r="U1170" t="str">
        <f t="shared" si="37"/>
        <v>Intermediate</v>
      </c>
    </row>
    <row r="1171" spans="1:21" x14ac:dyDescent="0.35">
      <c r="A1171" t="s">
        <v>1244</v>
      </c>
      <c r="B1171" t="s">
        <v>65</v>
      </c>
      <c r="C1171" t="s">
        <v>82</v>
      </c>
      <c r="D1171" t="s">
        <v>75</v>
      </c>
      <c r="E1171" t="s">
        <v>23</v>
      </c>
      <c r="F1171">
        <v>0</v>
      </c>
      <c r="G1171">
        <v>0.81</v>
      </c>
      <c r="H1171">
        <v>0.82</v>
      </c>
      <c r="I1171" t="s">
        <v>34</v>
      </c>
      <c r="J1171">
        <v>55766</v>
      </c>
      <c r="K1171" t="s">
        <v>42</v>
      </c>
      <c r="L1171">
        <v>35</v>
      </c>
      <c r="M1171">
        <v>54</v>
      </c>
      <c r="N1171" t="s">
        <v>26</v>
      </c>
      <c r="O1171" t="s">
        <v>25</v>
      </c>
      <c r="P1171">
        <v>4.62</v>
      </c>
      <c r="Q1171" t="s">
        <v>24</v>
      </c>
      <c r="R1171">
        <v>2.82</v>
      </c>
      <c r="S1171" t="s">
        <v>47</v>
      </c>
      <c r="T1171" t="str">
        <f t="shared" si="36"/>
        <v>High</v>
      </c>
      <c r="U1171" t="str">
        <f t="shared" si="37"/>
        <v>Beginner</v>
      </c>
    </row>
    <row r="1172" spans="1:21" x14ac:dyDescent="0.35">
      <c r="A1172" t="s">
        <v>1245</v>
      </c>
      <c r="B1172" t="s">
        <v>54</v>
      </c>
      <c r="C1172" t="s">
        <v>55</v>
      </c>
      <c r="D1172" t="s">
        <v>69</v>
      </c>
      <c r="E1172" t="s">
        <v>70</v>
      </c>
      <c r="F1172">
        <v>19</v>
      </c>
      <c r="G1172">
        <v>0.55000000000000004</v>
      </c>
      <c r="H1172">
        <v>0.91</v>
      </c>
      <c r="I1172" t="s">
        <v>34</v>
      </c>
      <c r="J1172">
        <v>88695</v>
      </c>
      <c r="K1172" t="s">
        <v>25</v>
      </c>
      <c r="L1172">
        <v>5</v>
      </c>
      <c r="M1172">
        <v>52</v>
      </c>
      <c r="N1172" t="s">
        <v>42</v>
      </c>
      <c r="O1172" t="s">
        <v>25</v>
      </c>
      <c r="P1172">
        <v>3.26</v>
      </c>
      <c r="Q1172" t="s">
        <v>34</v>
      </c>
      <c r="R1172">
        <v>2.84</v>
      </c>
      <c r="S1172" t="s">
        <v>28</v>
      </c>
      <c r="T1172" t="str">
        <f t="shared" si="36"/>
        <v>High</v>
      </c>
      <c r="U1172" t="str">
        <f t="shared" si="37"/>
        <v>Expert</v>
      </c>
    </row>
    <row r="1173" spans="1:21" x14ac:dyDescent="0.35">
      <c r="A1173" t="s">
        <v>1246</v>
      </c>
      <c r="B1173" t="s">
        <v>57</v>
      </c>
      <c r="C1173" t="s">
        <v>21</v>
      </c>
      <c r="D1173" t="s">
        <v>32</v>
      </c>
      <c r="E1173" t="s">
        <v>33</v>
      </c>
      <c r="F1173">
        <v>3</v>
      </c>
      <c r="G1173">
        <v>0.45</v>
      </c>
      <c r="H1173">
        <v>0.83</v>
      </c>
      <c r="I1173" t="s">
        <v>34</v>
      </c>
      <c r="J1173">
        <v>145935</v>
      </c>
      <c r="K1173" t="s">
        <v>42</v>
      </c>
      <c r="L1173">
        <v>11</v>
      </c>
      <c r="M1173">
        <v>50</v>
      </c>
      <c r="N1173" t="s">
        <v>35</v>
      </c>
      <c r="O1173" t="s">
        <v>27</v>
      </c>
      <c r="P1173">
        <v>4.53</v>
      </c>
      <c r="Q1173" t="s">
        <v>34</v>
      </c>
      <c r="R1173">
        <v>2.76</v>
      </c>
      <c r="S1173" t="s">
        <v>47</v>
      </c>
      <c r="T1173" t="str">
        <f t="shared" si="36"/>
        <v>High</v>
      </c>
      <c r="U1173" t="str">
        <f t="shared" si="37"/>
        <v>Intermediate</v>
      </c>
    </row>
    <row r="1174" spans="1:21" x14ac:dyDescent="0.35">
      <c r="A1174" t="s">
        <v>1247</v>
      </c>
      <c r="B1174" t="s">
        <v>54</v>
      </c>
      <c r="C1174" t="s">
        <v>31</v>
      </c>
      <c r="D1174" t="s">
        <v>66</v>
      </c>
      <c r="E1174" t="s">
        <v>41</v>
      </c>
      <c r="F1174">
        <v>9</v>
      </c>
      <c r="G1174">
        <v>0.66</v>
      </c>
      <c r="H1174">
        <v>0.78</v>
      </c>
      <c r="I1174" t="s">
        <v>34</v>
      </c>
      <c r="J1174">
        <v>165417</v>
      </c>
      <c r="K1174" t="s">
        <v>27</v>
      </c>
      <c r="L1174">
        <v>24</v>
      </c>
      <c r="M1174">
        <v>36</v>
      </c>
      <c r="N1174" t="s">
        <v>35</v>
      </c>
      <c r="O1174" t="s">
        <v>25</v>
      </c>
      <c r="P1174">
        <v>2.93</v>
      </c>
      <c r="Q1174" t="s">
        <v>34</v>
      </c>
      <c r="R1174">
        <v>4.55</v>
      </c>
      <c r="S1174" t="s">
        <v>47</v>
      </c>
      <c r="T1174" t="str">
        <f t="shared" si="36"/>
        <v>High</v>
      </c>
      <c r="U1174" t="str">
        <f t="shared" si="37"/>
        <v>Experienced</v>
      </c>
    </row>
    <row r="1175" spans="1:21" x14ac:dyDescent="0.35">
      <c r="A1175" t="s">
        <v>1248</v>
      </c>
      <c r="B1175" t="s">
        <v>91</v>
      </c>
      <c r="C1175" t="s">
        <v>21</v>
      </c>
      <c r="D1175" t="s">
        <v>63</v>
      </c>
      <c r="E1175" t="s">
        <v>23</v>
      </c>
      <c r="F1175">
        <v>24</v>
      </c>
      <c r="G1175">
        <v>0.82</v>
      </c>
      <c r="H1175">
        <v>0.36</v>
      </c>
      <c r="I1175" t="s">
        <v>60</v>
      </c>
      <c r="J1175">
        <v>170444</v>
      </c>
      <c r="K1175" t="s">
        <v>27</v>
      </c>
      <c r="L1175">
        <v>-6</v>
      </c>
      <c r="M1175">
        <v>53</v>
      </c>
      <c r="N1175" t="s">
        <v>35</v>
      </c>
      <c r="O1175" t="s">
        <v>27</v>
      </c>
      <c r="P1175">
        <v>3.92</v>
      </c>
      <c r="Q1175" t="s">
        <v>34</v>
      </c>
      <c r="R1175">
        <v>3.47</v>
      </c>
      <c r="S1175" t="s">
        <v>28</v>
      </c>
      <c r="T1175" t="str">
        <f t="shared" si="36"/>
        <v>Very Low</v>
      </c>
      <c r="U1175" t="str">
        <f t="shared" si="37"/>
        <v>Expert</v>
      </c>
    </row>
    <row r="1176" spans="1:21" x14ac:dyDescent="0.35">
      <c r="A1176" t="s">
        <v>1249</v>
      </c>
      <c r="B1176" t="s">
        <v>94</v>
      </c>
      <c r="C1176" t="s">
        <v>55</v>
      </c>
      <c r="D1176" t="s">
        <v>66</v>
      </c>
      <c r="E1176" t="s">
        <v>70</v>
      </c>
      <c r="F1176">
        <v>13</v>
      </c>
      <c r="G1176">
        <v>0.77</v>
      </c>
      <c r="H1176">
        <v>0.7</v>
      </c>
      <c r="I1176" t="s">
        <v>34</v>
      </c>
      <c r="J1176">
        <v>123627</v>
      </c>
      <c r="K1176" t="s">
        <v>27</v>
      </c>
      <c r="L1176">
        <v>41</v>
      </c>
      <c r="M1176">
        <v>39</v>
      </c>
      <c r="N1176" t="s">
        <v>35</v>
      </c>
      <c r="O1176" t="s">
        <v>25</v>
      </c>
      <c r="P1176">
        <v>4.46</v>
      </c>
      <c r="Q1176" t="s">
        <v>34</v>
      </c>
      <c r="R1176">
        <v>3.9</v>
      </c>
      <c r="S1176" t="s">
        <v>43</v>
      </c>
      <c r="T1176" t="str">
        <f t="shared" si="36"/>
        <v>Moderate</v>
      </c>
      <c r="U1176" t="str">
        <f t="shared" si="37"/>
        <v>Experienced</v>
      </c>
    </row>
    <row r="1177" spans="1:21" x14ac:dyDescent="0.35">
      <c r="A1177" t="s">
        <v>1250</v>
      </c>
      <c r="B1177" t="s">
        <v>65</v>
      </c>
      <c r="C1177" t="s">
        <v>39</v>
      </c>
      <c r="D1177" t="s">
        <v>40</v>
      </c>
      <c r="E1177" t="s">
        <v>70</v>
      </c>
      <c r="F1177">
        <v>18</v>
      </c>
      <c r="G1177">
        <v>0.6</v>
      </c>
      <c r="H1177">
        <v>0.57999999999999996</v>
      </c>
      <c r="I1177" t="s">
        <v>34</v>
      </c>
      <c r="J1177">
        <v>160707</v>
      </c>
      <c r="K1177" t="s">
        <v>42</v>
      </c>
      <c r="L1177">
        <v>18</v>
      </c>
      <c r="M1177">
        <v>52</v>
      </c>
      <c r="N1177" t="s">
        <v>35</v>
      </c>
      <c r="O1177" t="s">
        <v>27</v>
      </c>
      <c r="P1177">
        <v>4.7300000000000004</v>
      </c>
      <c r="Q1177" t="s">
        <v>24</v>
      </c>
      <c r="R1177">
        <v>3.65</v>
      </c>
      <c r="S1177" t="s">
        <v>47</v>
      </c>
      <c r="T1177" t="str">
        <f t="shared" si="36"/>
        <v>Moderate</v>
      </c>
      <c r="U1177" t="str">
        <f t="shared" si="37"/>
        <v>Expert</v>
      </c>
    </row>
    <row r="1178" spans="1:21" x14ac:dyDescent="0.35">
      <c r="A1178" t="s">
        <v>1251</v>
      </c>
      <c r="B1178" t="s">
        <v>30</v>
      </c>
      <c r="C1178" t="s">
        <v>55</v>
      </c>
      <c r="D1178" t="s">
        <v>63</v>
      </c>
      <c r="E1178" t="s">
        <v>70</v>
      </c>
      <c r="F1178">
        <v>20</v>
      </c>
      <c r="G1178">
        <v>0.69</v>
      </c>
      <c r="H1178">
        <v>0.31</v>
      </c>
      <c r="I1178" t="s">
        <v>24</v>
      </c>
      <c r="J1178">
        <v>53259</v>
      </c>
      <c r="K1178" t="s">
        <v>25</v>
      </c>
      <c r="L1178">
        <v>4</v>
      </c>
      <c r="M1178">
        <v>35</v>
      </c>
      <c r="N1178" t="s">
        <v>42</v>
      </c>
      <c r="O1178" t="s">
        <v>25</v>
      </c>
      <c r="P1178">
        <v>3.13</v>
      </c>
      <c r="Q1178" t="s">
        <v>34</v>
      </c>
      <c r="R1178">
        <v>1.28</v>
      </c>
      <c r="S1178" t="s">
        <v>43</v>
      </c>
      <c r="T1178" t="str">
        <f t="shared" si="36"/>
        <v>Moderate</v>
      </c>
      <c r="U1178" t="str">
        <f t="shared" si="37"/>
        <v>Expert</v>
      </c>
    </row>
    <row r="1179" spans="1:21" x14ac:dyDescent="0.35">
      <c r="A1179" t="s">
        <v>1252</v>
      </c>
      <c r="B1179" t="s">
        <v>62</v>
      </c>
      <c r="C1179" t="s">
        <v>31</v>
      </c>
      <c r="D1179" t="s">
        <v>69</v>
      </c>
      <c r="E1179" t="s">
        <v>23</v>
      </c>
      <c r="F1179">
        <v>22</v>
      </c>
      <c r="G1179">
        <v>7.0000000000000007E-2</v>
      </c>
      <c r="H1179">
        <v>0.56999999999999995</v>
      </c>
      <c r="I1179" t="s">
        <v>34</v>
      </c>
      <c r="J1179">
        <v>84343</v>
      </c>
      <c r="K1179" t="s">
        <v>42</v>
      </c>
      <c r="L1179">
        <v>1</v>
      </c>
      <c r="M1179">
        <v>53</v>
      </c>
      <c r="N1179" t="s">
        <v>35</v>
      </c>
      <c r="O1179" t="s">
        <v>36</v>
      </c>
      <c r="P1179">
        <v>4.2300000000000004</v>
      </c>
      <c r="Q1179" t="s">
        <v>34</v>
      </c>
      <c r="R1179">
        <v>3.18</v>
      </c>
      <c r="S1179" t="s">
        <v>28</v>
      </c>
      <c r="T1179" t="str">
        <f t="shared" si="36"/>
        <v>High</v>
      </c>
      <c r="U1179" t="str">
        <f t="shared" si="37"/>
        <v>Expert</v>
      </c>
    </row>
    <row r="1180" spans="1:21" x14ac:dyDescent="0.35">
      <c r="A1180" t="s">
        <v>1253</v>
      </c>
      <c r="B1180" t="s">
        <v>156</v>
      </c>
      <c r="C1180" t="s">
        <v>82</v>
      </c>
      <c r="D1180" t="s">
        <v>32</v>
      </c>
      <c r="E1180" t="s">
        <v>41</v>
      </c>
      <c r="F1180">
        <v>16</v>
      </c>
      <c r="G1180">
        <v>0.43</v>
      </c>
      <c r="H1180">
        <v>0.55000000000000004</v>
      </c>
      <c r="I1180" t="s">
        <v>60</v>
      </c>
      <c r="J1180">
        <v>118256</v>
      </c>
      <c r="K1180" t="s">
        <v>25</v>
      </c>
      <c r="L1180">
        <v>15</v>
      </c>
      <c r="M1180">
        <v>48</v>
      </c>
      <c r="N1180" t="s">
        <v>26</v>
      </c>
      <c r="O1180" t="s">
        <v>25</v>
      </c>
      <c r="P1180">
        <v>3.94</v>
      </c>
      <c r="Q1180" t="s">
        <v>34</v>
      </c>
      <c r="R1180">
        <v>4.5599999999999996</v>
      </c>
      <c r="S1180" t="s">
        <v>47</v>
      </c>
      <c r="T1180" t="str">
        <f t="shared" si="36"/>
        <v>High</v>
      </c>
      <c r="U1180" t="str">
        <f t="shared" si="37"/>
        <v>Expert</v>
      </c>
    </row>
    <row r="1181" spans="1:21" x14ac:dyDescent="0.35">
      <c r="A1181" t="s">
        <v>1254</v>
      </c>
      <c r="B1181" t="s">
        <v>54</v>
      </c>
      <c r="C1181" t="s">
        <v>55</v>
      </c>
      <c r="D1181" t="s">
        <v>59</v>
      </c>
      <c r="E1181" t="s">
        <v>23</v>
      </c>
      <c r="F1181">
        <v>25</v>
      </c>
      <c r="G1181">
        <v>0.68</v>
      </c>
      <c r="H1181">
        <v>0.25</v>
      </c>
      <c r="I1181" t="s">
        <v>34</v>
      </c>
      <c r="J1181">
        <v>184874</v>
      </c>
      <c r="K1181" t="s">
        <v>42</v>
      </c>
      <c r="L1181">
        <v>-9</v>
      </c>
      <c r="M1181">
        <v>53</v>
      </c>
      <c r="N1181" t="s">
        <v>35</v>
      </c>
      <c r="O1181" t="s">
        <v>27</v>
      </c>
      <c r="P1181">
        <v>4.43</v>
      </c>
      <c r="Q1181" t="s">
        <v>24</v>
      </c>
      <c r="R1181">
        <v>3.14</v>
      </c>
      <c r="S1181" t="s">
        <v>43</v>
      </c>
      <c r="T1181" t="str">
        <f t="shared" si="36"/>
        <v>Moderate</v>
      </c>
      <c r="U1181" t="str">
        <f t="shared" si="37"/>
        <v>Expert</v>
      </c>
    </row>
    <row r="1182" spans="1:21" x14ac:dyDescent="0.35">
      <c r="A1182" t="s">
        <v>1255</v>
      </c>
      <c r="B1182" t="s">
        <v>38</v>
      </c>
      <c r="C1182" t="s">
        <v>46</v>
      </c>
      <c r="D1182" t="s">
        <v>69</v>
      </c>
      <c r="E1182" t="s">
        <v>33</v>
      </c>
      <c r="F1182">
        <v>3</v>
      </c>
      <c r="G1182">
        <v>0.92</v>
      </c>
      <c r="H1182">
        <v>0.7</v>
      </c>
      <c r="I1182" t="s">
        <v>60</v>
      </c>
      <c r="J1182">
        <v>37751</v>
      </c>
      <c r="K1182" t="s">
        <v>25</v>
      </c>
      <c r="L1182">
        <v>16</v>
      </c>
      <c r="M1182">
        <v>42</v>
      </c>
      <c r="N1182" t="s">
        <v>42</v>
      </c>
      <c r="O1182" t="s">
        <v>36</v>
      </c>
      <c r="P1182">
        <v>2.37</v>
      </c>
      <c r="Q1182" t="s">
        <v>34</v>
      </c>
      <c r="R1182">
        <v>4.96</v>
      </c>
      <c r="S1182" t="s">
        <v>43</v>
      </c>
      <c r="T1182" t="str">
        <f t="shared" si="36"/>
        <v>Moderate</v>
      </c>
      <c r="U1182" t="str">
        <f t="shared" si="37"/>
        <v>Intermediate</v>
      </c>
    </row>
    <row r="1183" spans="1:21" x14ac:dyDescent="0.35">
      <c r="A1183" t="s">
        <v>1256</v>
      </c>
      <c r="B1183" t="s">
        <v>106</v>
      </c>
      <c r="C1183" t="s">
        <v>82</v>
      </c>
      <c r="D1183" t="s">
        <v>32</v>
      </c>
      <c r="E1183" t="s">
        <v>33</v>
      </c>
      <c r="F1183">
        <v>8</v>
      </c>
      <c r="G1183">
        <v>0.87</v>
      </c>
      <c r="H1183">
        <v>0.42</v>
      </c>
      <c r="I1183" t="s">
        <v>60</v>
      </c>
      <c r="J1183">
        <v>38407</v>
      </c>
      <c r="K1183" t="s">
        <v>27</v>
      </c>
      <c r="L1183">
        <v>24</v>
      </c>
      <c r="M1183">
        <v>31</v>
      </c>
      <c r="N1183" t="s">
        <v>35</v>
      </c>
      <c r="O1183" t="s">
        <v>25</v>
      </c>
      <c r="P1183">
        <v>4.18</v>
      </c>
      <c r="Q1183" t="s">
        <v>34</v>
      </c>
      <c r="R1183">
        <v>3.21</v>
      </c>
      <c r="S1183" t="s">
        <v>43</v>
      </c>
      <c r="T1183" t="str">
        <f t="shared" si="36"/>
        <v>Very Low</v>
      </c>
      <c r="U1183" t="str">
        <f t="shared" si="37"/>
        <v>Intermediate</v>
      </c>
    </row>
    <row r="1184" spans="1:21" x14ac:dyDescent="0.35">
      <c r="A1184" t="s">
        <v>1257</v>
      </c>
      <c r="B1184" t="s">
        <v>62</v>
      </c>
      <c r="C1184" t="s">
        <v>31</v>
      </c>
      <c r="D1184" t="s">
        <v>69</v>
      </c>
      <c r="E1184" t="s">
        <v>41</v>
      </c>
      <c r="F1184">
        <v>8</v>
      </c>
      <c r="G1184">
        <v>0.6</v>
      </c>
      <c r="H1184">
        <v>0.46</v>
      </c>
      <c r="I1184" t="s">
        <v>34</v>
      </c>
      <c r="J1184">
        <v>196635</v>
      </c>
      <c r="K1184" t="s">
        <v>25</v>
      </c>
      <c r="L1184">
        <v>29</v>
      </c>
      <c r="M1184">
        <v>35</v>
      </c>
      <c r="N1184" t="s">
        <v>35</v>
      </c>
      <c r="O1184" t="s">
        <v>25</v>
      </c>
      <c r="P1184">
        <v>4.33</v>
      </c>
      <c r="Q1184" t="s">
        <v>34</v>
      </c>
      <c r="R1184">
        <v>1.25</v>
      </c>
      <c r="S1184" t="s">
        <v>43</v>
      </c>
      <c r="T1184" t="str">
        <f t="shared" si="36"/>
        <v>Moderate</v>
      </c>
      <c r="U1184" t="str">
        <f t="shared" si="37"/>
        <v>Intermediate</v>
      </c>
    </row>
    <row r="1185" spans="1:21" x14ac:dyDescent="0.35">
      <c r="A1185" t="s">
        <v>1258</v>
      </c>
      <c r="B1185" t="s">
        <v>96</v>
      </c>
      <c r="C1185" t="s">
        <v>39</v>
      </c>
      <c r="D1185" t="s">
        <v>49</v>
      </c>
      <c r="E1185" t="s">
        <v>33</v>
      </c>
      <c r="F1185">
        <v>12</v>
      </c>
      <c r="G1185">
        <v>0.39</v>
      </c>
      <c r="H1185">
        <v>0.24</v>
      </c>
      <c r="I1185" t="s">
        <v>24</v>
      </c>
      <c r="J1185">
        <v>174070</v>
      </c>
      <c r="K1185" t="s">
        <v>25</v>
      </c>
      <c r="L1185">
        <v>26</v>
      </c>
      <c r="M1185">
        <v>48</v>
      </c>
      <c r="N1185" t="s">
        <v>42</v>
      </c>
      <c r="O1185" t="s">
        <v>27</v>
      </c>
      <c r="P1185">
        <v>4.71</v>
      </c>
      <c r="Q1185" t="s">
        <v>34</v>
      </c>
      <c r="R1185">
        <v>4.57</v>
      </c>
      <c r="S1185" t="s">
        <v>28</v>
      </c>
      <c r="T1185" t="str">
        <f t="shared" si="36"/>
        <v>Moderate</v>
      </c>
      <c r="U1185" t="str">
        <f t="shared" si="37"/>
        <v>Experienced</v>
      </c>
    </row>
    <row r="1186" spans="1:21" x14ac:dyDescent="0.35">
      <c r="A1186" t="s">
        <v>1259</v>
      </c>
      <c r="B1186" t="s">
        <v>45</v>
      </c>
      <c r="C1186" t="s">
        <v>31</v>
      </c>
      <c r="D1186" t="s">
        <v>22</v>
      </c>
      <c r="E1186" t="s">
        <v>41</v>
      </c>
      <c r="F1186">
        <v>0</v>
      </c>
      <c r="G1186">
        <v>0.44</v>
      </c>
      <c r="H1186">
        <v>0.87</v>
      </c>
      <c r="I1186" t="s">
        <v>24</v>
      </c>
      <c r="J1186">
        <v>98867</v>
      </c>
      <c r="K1186" t="s">
        <v>27</v>
      </c>
      <c r="L1186">
        <v>10</v>
      </c>
      <c r="M1186">
        <v>30</v>
      </c>
      <c r="N1186" t="s">
        <v>35</v>
      </c>
      <c r="O1186" t="s">
        <v>27</v>
      </c>
      <c r="P1186">
        <v>4.4000000000000004</v>
      </c>
      <c r="Q1186" t="s">
        <v>34</v>
      </c>
      <c r="R1186">
        <v>1.25</v>
      </c>
      <c r="S1186" t="s">
        <v>28</v>
      </c>
      <c r="T1186" t="str">
        <f t="shared" si="36"/>
        <v>High</v>
      </c>
      <c r="U1186" t="str">
        <f t="shared" si="37"/>
        <v>Beginner</v>
      </c>
    </row>
    <row r="1187" spans="1:21" x14ac:dyDescent="0.35">
      <c r="A1187" t="s">
        <v>1260</v>
      </c>
      <c r="B1187" t="s">
        <v>20</v>
      </c>
      <c r="C1187" t="s">
        <v>55</v>
      </c>
      <c r="D1187" t="s">
        <v>59</v>
      </c>
      <c r="E1187" t="s">
        <v>41</v>
      </c>
      <c r="F1187">
        <v>9</v>
      </c>
      <c r="G1187">
        <v>0.54</v>
      </c>
      <c r="H1187">
        <v>0.57999999999999996</v>
      </c>
      <c r="I1187" t="s">
        <v>34</v>
      </c>
      <c r="J1187">
        <v>77334</v>
      </c>
      <c r="K1187" t="s">
        <v>25</v>
      </c>
      <c r="L1187">
        <v>4</v>
      </c>
      <c r="M1187">
        <v>32</v>
      </c>
      <c r="N1187" t="s">
        <v>42</v>
      </c>
      <c r="O1187" t="s">
        <v>36</v>
      </c>
      <c r="P1187">
        <v>2.83</v>
      </c>
      <c r="Q1187" t="s">
        <v>24</v>
      </c>
      <c r="R1187">
        <v>2.5</v>
      </c>
      <c r="S1187" t="s">
        <v>43</v>
      </c>
      <c r="T1187" t="str">
        <f t="shared" si="36"/>
        <v>High</v>
      </c>
      <c r="U1187" t="str">
        <f t="shared" si="37"/>
        <v>Experienced</v>
      </c>
    </row>
    <row r="1188" spans="1:21" x14ac:dyDescent="0.35">
      <c r="A1188" t="s">
        <v>1261</v>
      </c>
      <c r="B1188" t="s">
        <v>65</v>
      </c>
      <c r="C1188" t="s">
        <v>55</v>
      </c>
      <c r="D1188" t="s">
        <v>49</v>
      </c>
      <c r="E1188" t="s">
        <v>70</v>
      </c>
      <c r="F1188">
        <v>6</v>
      </c>
      <c r="G1188">
        <v>0.28000000000000003</v>
      </c>
      <c r="H1188">
        <v>0.82</v>
      </c>
      <c r="I1188" t="s">
        <v>24</v>
      </c>
      <c r="J1188">
        <v>150058</v>
      </c>
      <c r="K1188" t="s">
        <v>25</v>
      </c>
      <c r="L1188">
        <v>45</v>
      </c>
      <c r="M1188">
        <v>52</v>
      </c>
      <c r="N1188" t="s">
        <v>35</v>
      </c>
      <c r="O1188" t="s">
        <v>36</v>
      </c>
      <c r="P1188">
        <v>2.04</v>
      </c>
      <c r="Q1188" t="s">
        <v>34</v>
      </c>
      <c r="R1188">
        <v>2.14</v>
      </c>
      <c r="S1188" t="s">
        <v>43</v>
      </c>
      <c r="T1188" t="str">
        <f t="shared" si="36"/>
        <v>Very High</v>
      </c>
      <c r="U1188" t="str">
        <f t="shared" si="37"/>
        <v>Intermediate</v>
      </c>
    </row>
    <row r="1189" spans="1:21" x14ac:dyDescent="0.35">
      <c r="A1189" t="s">
        <v>1262</v>
      </c>
      <c r="B1189" t="s">
        <v>73</v>
      </c>
      <c r="C1189" t="s">
        <v>58</v>
      </c>
      <c r="D1189" t="s">
        <v>40</v>
      </c>
      <c r="E1189" t="s">
        <v>23</v>
      </c>
      <c r="F1189">
        <v>7</v>
      </c>
      <c r="G1189">
        <v>0.68</v>
      </c>
      <c r="H1189">
        <v>0.84</v>
      </c>
      <c r="I1189" t="s">
        <v>24</v>
      </c>
      <c r="J1189">
        <v>161608</v>
      </c>
      <c r="K1189" t="s">
        <v>42</v>
      </c>
      <c r="L1189">
        <v>3</v>
      </c>
      <c r="M1189">
        <v>48</v>
      </c>
      <c r="N1189" t="s">
        <v>35</v>
      </c>
      <c r="O1189" t="s">
        <v>36</v>
      </c>
      <c r="P1189">
        <v>2.2799999999999998</v>
      </c>
      <c r="Q1189" t="s">
        <v>24</v>
      </c>
      <c r="R1189">
        <v>2</v>
      </c>
      <c r="S1189" t="s">
        <v>43</v>
      </c>
      <c r="T1189" t="str">
        <f t="shared" si="36"/>
        <v>High</v>
      </c>
      <c r="U1189" t="str">
        <f t="shared" si="37"/>
        <v>Intermediate</v>
      </c>
    </row>
    <row r="1190" spans="1:21" x14ac:dyDescent="0.35">
      <c r="A1190" t="s">
        <v>1263</v>
      </c>
      <c r="B1190" t="s">
        <v>20</v>
      </c>
      <c r="C1190" t="s">
        <v>107</v>
      </c>
      <c r="D1190" t="s">
        <v>40</v>
      </c>
      <c r="E1190" t="s">
        <v>41</v>
      </c>
      <c r="F1190">
        <v>19</v>
      </c>
      <c r="G1190">
        <v>0.06</v>
      </c>
      <c r="H1190">
        <v>0.83</v>
      </c>
      <c r="I1190" t="s">
        <v>60</v>
      </c>
      <c r="J1190">
        <v>50346</v>
      </c>
      <c r="K1190" t="s">
        <v>42</v>
      </c>
      <c r="L1190">
        <v>30</v>
      </c>
      <c r="M1190">
        <v>46</v>
      </c>
      <c r="N1190" t="s">
        <v>42</v>
      </c>
      <c r="O1190" t="s">
        <v>36</v>
      </c>
      <c r="P1190">
        <v>2.9</v>
      </c>
      <c r="Q1190" t="s">
        <v>34</v>
      </c>
      <c r="R1190">
        <v>4.04</v>
      </c>
      <c r="S1190" t="s">
        <v>47</v>
      </c>
      <c r="T1190" t="str">
        <f t="shared" si="36"/>
        <v>Very High</v>
      </c>
      <c r="U1190" t="str">
        <f t="shared" si="37"/>
        <v>Expert</v>
      </c>
    </row>
    <row r="1191" spans="1:21" x14ac:dyDescent="0.35">
      <c r="A1191" t="s">
        <v>1264</v>
      </c>
      <c r="B1191" t="s">
        <v>45</v>
      </c>
      <c r="C1191" t="s">
        <v>74</v>
      </c>
      <c r="D1191" t="s">
        <v>66</v>
      </c>
      <c r="E1191" t="s">
        <v>33</v>
      </c>
      <c r="F1191">
        <v>22</v>
      </c>
      <c r="G1191">
        <v>0.64</v>
      </c>
      <c r="H1191">
        <v>0.39</v>
      </c>
      <c r="I1191" t="s">
        <v>60</v>
      </c>
      <c r="J1191">
        <v>219133</v>
      </c>
      <c r="K1191" t="s">
        <v>25</v>
      </c>
      <c r="L1191">
        <v>-10</v>
      </c>
      <c r="M1191">
        <v>42</v>
      </c>
      <c r="N1191" t="s">
        <v>35</v>
      </c>
      <c r="O1191" t="s">
        <v>25</v>
      </c>
      <c r="P1191">
        <v>2.5499999999999998</v>
      </c>
      <c r="Q1191" t="s">
        <v>24</v>
      </c>
      <c r="R1191">
        <v>1.74</v>
      </c>
      <c r="S1191" t="s">
        <v>28</v>
      </c>
      <c r="T1191" t="str">
        <f t="shared" si="36"/>
        <v>Moderate</v>
      </c>
      <c r="U1191" t="str">
        <f t="shared" si="37"/>
        <v>Expert</v>
      </c>
    </row>
    <row r="1192" spans="1:21" x14ac:dyDescent="0.35">
      <c r="A1192" t="s">
        <v>1265</v>
      </c>
      <c r="B1192" t="s">
        <v>62</v>
      </c>
      <c r="C1192" t="s">
        <v>82</v>
      </c>
      <c r="D1192" t="s">
        <v>75</v>
      </c>
      <c r="E1192" t="s">
        <v>23</v>
      </c>
      <c r="F1192">
        <v>13</v>
      </c>
      <c r="G1192">
        <v>0.2</v>
      </c>
      <c r="H1192">
        <v>0.79</v>
      </c>
      <c r="I1192" t="s">
        <v>34</v>
      </c>
      <c r="J1192">
        <v>55123</v>
      </c>
      <c r="K1192" t="s">
        <v>25</v>
      </c>
      <c r="L1192">
        <v>-4</v>
      </c>
      <c r="M1192">
        <v>40</v>
      </c>
      <c r="N1192" t="s">
        <v>35</v>
      </c>
      <c r="O1192" t="s">
        <v>36</v>
      </c>
      <c r="P1192">
        <v>2.96</v>
      </c>
      <c r="Q1192" t="s">
        <v>24</v>
      </c>
      <c r="R1192">
        <v>1.08</v>
      </c>
      <c r="S1192" t="s">
        <v>43</v>
      </c>
      <c r="T1192" t="str">
        <f t="shared" si="36"/>
        <v>Very High</v>
      </c>
      <c r="U1192" t="str">
        <f t="shared" si="37"/>
        <v>Experienced</v>
      </c>
    </row>
    <row r="1193" spans="1:21" x14ac:dyDescent="0.35">
      <c r="A1193" t="s">
        <v>1266</v>
      </c>
      <c r="B1193" t="s">
        <v>57</v>
      </c>
      <c r="C1193" t="s">
        <v>46</v>
      </c>
      <c r="D1193" t="s">
        <v>32</v>
      </c>
      <c r="E1193" t="s">
        <v>33</v>
      </c>
      <c r="F1193">
        <v>21</v>
      </c>
      <c r="G1193">
        <v>0.3</v>
      </c>
      <c r="H1193">
        <v>0.22</v>
      </c>
      <c r="I1193" t="s">
        <v>24</v>
      </c>
      <c r="J1193">
        <v>113759</v>
      </c>
      <c r="K1193" t="s">
        <v>25</v>
      </c>
      <c r="L1193">
        <v>13</v>
      </c>
      <c r="M1193">
        <v>42</v>
      </c>
      <c r="N1193" t="s">
        <v>35</v>
      </c>
      <c r="O1193" t="s">
        <v>27</v>
      </c>
      <c r="P1193">
        <v>2.08</v>
      </c>
      <c r="Q1193" t="s">
        <v>24</v>
      </c>
      <c r="R1193">
        <v>4.4000000000000004</v>
      </c>
      <c r="S1193" t="s">
        <v>47</v>
      </c>
      <c r="T1193" t="str">
        <f t="shared" si="36"/>
        <v>Moderate</v>
      </c>
      <c r="U1193" t="str">
        <f t="shared" si="37"/>
        <v>Expert</v>
      </c>
    </row>
    <row r="1194" spans="1:21" x14ac:dyDescent="0.35">
      <c r="A1194" t="s">
        <v>1267</v>
      </c>
      <c r="B1194" t="s">
        <v>51</v>
      </c>
      <c r="C1194" t="s">
        <v>74</v>
      </c>
      <c r="D1194" t="s">
        <v>32</v>
      </c>
      <c r="E1194" t="s">
        <v>23</v>
      </c>
      <c r="F1194">
        <v>3</v>
      </c>
      <c r="G1194">
        <v>0.56999999999999995</v>
      </c>
      <c r="H1194">
        <v>0.35</v>
      </c>
      <c r="I1194" t="s">
        <v>24</v>
      </c>
      <c r="J1194">
        <v>198228</v>
      </c>
      <c r="K1194" t="s">
        <v>25</v>
      </c>
      <c r="L1194">
        <v>5</v>
      </c>
      <c r="M1194">
        <v>53</v>
      </c>
      <c r="N1194" t="s">
        <v>26</v>
      </c>
      <c r="O1194" t="s">
        <v>36</v>
      </c>
      <c r="P1194">
        <v>3.01</v>
      </c>
      <c r="Q1194" t="s">
        <v>34</v>
      </c>
      <c r="R1194">
        <v>3.72</v>
      </c>
      <c r="S1194" t="s">
        <v>43</v>
      </c>
      <c r="T1194" t="str">
        <f t="shared" si="36"/>
        <v>Moderate</v>
      </c>
      <c r="U1194" t="str">
        <f t="shared" si="37"/>
        <v>Intermediate</v>
      </c>
    </row>
    <row r="1195" spans="1:21" x14ac:dyDescent="0.35">
      <c r="A1195" t="s">
        <v>1268</v>
      </c>
      <c r="B1195" t="s">
        <v>77</v>
      </c>
      <c r="C1195" t="s">
        <v>107</v>
      </c>
      <c r="D1195" t="s">
        <v>69</v>
      </c>
      <c r="E1195" t="s">
        <v>41</v>
      </c>
      <c r="F1195">
        <v>5</v>
      </c>
      <c r="G1195">
        <v>0.41</v>
      </c>
      <c r="H1195">
        <v>0.81</v>
      </c>
      <c r="I1195" t="s">
        <v>34</v>
      </c>
      <c r="J1195">
        <v>108105</v>
      </c>
      <c r="K1195" t="s">
        <v>27</v>
      </c>
      <c r="L1195">
        <v>22</v>
      </c>
      <c r="M1195">
        <v>43</v>
      </c>
      <c r="N1195" t="s">
        <v>42</v>
      </c>
      <c r="O1195" t="s">
        <v>25</v>
      </c>
      <c r="P1195">
        <v>2.8</v>
      </c>
      <c r="Q1195" t="s">
        <v>24</v>
      </c>
      <c r="R1195">
        <v>3.92</v>
      </c>
      <c r="S1195" t="s">
        <v>28</v>
      </c>
      <c r="T1195" t="str">
        <f t="shared" si="36"/>
        <v>High</v>
      </c>
      <c r="U1195" t="str">
        <f t="shared" si="37"/>
        <v>Intermediate</v>
      </c>
    </row>
    <row r="1196" spans="1:21" x14ac:dyDescent="0.35">
      <c r="A1196" t="s">
        <v>1269</v>
      </c>
      <c r="B1196" t="s">
        <v>54</v>
      </c>
      <c r="C1196" t="s">
        <v>46</v>
      </c>
      <c r="D1196" t="s">
        <v>80</v>
      </c>
      <c r="E1196" t="s">
        <v>70</v>
      </c>
      <c r="F1196">
        <v>5</v>
      </c>
      <c r="G1196">
        <v>0.48</v>
      </c>
      <c r="H1196">
        <v>0.91</v>
      </c>
      <c r="I1196" t="s">
        <v>60</v>
      </c>
      <c r="J1196">
        <v>93570</v>
      </c>
      <c r="K1196" t="s">
        <v>42</v>
      </c>
      <c r="L1196">
        <v>43</v>
      </c>
      <c r="M1196">
        <v>37</v>
      </c>
      <c r="N1196" t="s">
        <v>42</v>
      </c>
      <c r="O1196" t="s">
        <v>36</v>
      </c>
      <c r="P1196">
        <v>4.5</v>
      </c>
      <c r="Q1196" t="s">
        <v>24</v>
      </c>
      <c r="R1196">
        <v>2.34</v>
      </c>
      <c r="S1196" t="s">
        <v>47</v>
      </c>
      <c r="T1196" t="str">
        <f t="shared" si="36"/>
        <v>High</v>
      </c>
      <c r="U1196" t="str">
        <f t="shared" si="37"/>
        <v>Intermediate</v>
      </c>
    </row>
    <row r="1197" spans="1:21" x14ac:dyDescent="0.35">
      <c r="A1197" t="s">
        <v>1270</v>
      </c>
      <c r="B1197" t="s">
        <v>51</v>
      </c>
      <c r="C1197" t="s">
        <v>74</v>
      </c>
      <c r="D1197" t="s">
        <v>59</v>
      </c>
      <c r="E1197" t="s">
        <v>41</v>
      </c>
      <c r="F1197">
        <v>19</v>
      </c>
      <c r="G1197">
        <v>0.28999999999999998</v>
      </c>
      <c r="H1197">
        <v>0.8</v>
      </c>
      <c r="I1197" t="s">
        <v>34</v>
      </c>
      <c r="J1197">
        <v>132258</v>
      </c>
      <c r="K1197" t="s">
        <v>42</v>
      </c>
      <c r="L1197">
        <v>9</v>
      </c>
      <c r="M1197">
        <v>33</v>
      </c>
      <c r="N1197" t="s">
        <v>42</v>
      </c>
      <c r="O1197" t="s">
        <v>36</v>
      </c>
      <c r="P1197">
        <v>4.3499999999999996</v>
      </c>
      <c r="Q1197" t="s">
        <v>34</v>
      </c>
      <c r="R1197">
        <v>1.88</v>
      </c>
      <c r="S1197" t="s">
        <v>43</v>
      </c>
      <c r="T1197" t="str">
        <f t="shared" si="36"/>
        <v>Very High</v>
      </c>
      <c r="U1197" t="str">
        <f t="shared" si="37"/>
        <v>Expert</v>
      </c>
    </row>
    <row r="1198" spans="1:21" x14ac:dyDescent="0.35">
      <c r="A1198" t="s">
        <v>1271</v>
      </c>
      <c r="B1198" t="s">
        <v>30</v>
      </c>
      <c r="C1198" t="s">
        <v>39</v>
      </c>
      <c r="D1198" t="s">
        <v>63</v>
      </c>
      <c r="E1198" t="s">
        <v>33</v>
      </c>
      <c r="F1198">
        <v>17</v>
      </c>
      <c r="G1198">
        <v>0.88</v>
      </c>
      <c r="H1198">
        <v>0.51</v>
      </c>
      <c r="I1198" t="s">
        <v>60</v>
      </c>
      <c r="J1198">
        <v>218659</v>
      </c>
      <c r="K1198" t="s">
        <v>27</v>
      </c>
      <c r="L1198">
        <v>34</v>
      </c>
      <c r="M1198">
        <v>52</v>
      </c>
      <c r="N1198" t="s">
        <v>42</v>
      </c>
      <c r="O1198" t="s">
        <v>25</v>
      </c>
      <c r="P1198">
        <v>4.29</v>
      </c>
      <c r="Q1198" t="s">
        <v>34</v>
      </c>
      <c r="R1198">
        <v>3.99</v>
      </c>
      <c r="S1198" t="s">
        <v>47</v>
      </c>
      <c r="T1198" t="str">
        <f t="shared" si="36"/>
        <v>Moderate</v>
      </c>
      <c r="U1198" t="str">
        <f t="shared" si="37"/>
        <v>Expert</v>
      </c>
    </row>
    <row r="1199" spans="1:21" x14ac:dyDescent="0.35">
      <c r="A1199" t="s">
        <v>1272</v>
      </c>
      <c r="B1199" t="s">
        <v>45</v>
      </c>
      <c r="C1199" t="s">
        <v>82</v>
      </c>
      <c r="D1199" t="s">
        <v>49</v>
      </c>
      <c r="E1199" t="s">
        <v>23</v>
      </c>
      <c r="F1199">
        <v>6</v>
      </c>
      <c r="G1199">
        <v>0.19</v>
      </c>
      <c r="H1199">
        <v>0.28000000000000003</v>
      </c>
      <c r="I1199" t="s">
        <v>60</v>
      </c>
      <c r="J1199">
        <v>154471</v>
      </c>
      <c r="K1199" t="s">
        <v>27</v>
      </c>
      <c r="L1199">
        <v>25</v>
      </c>
      <c r="M1199">
        <v>59</v>
      </c>
      <c r="N1199" t="s">
        <v>35</v>
      </c>
      <c r="O1199" t="s">
        <v>36</v>
      </c>
      <c r="P1199">
        <v>2.81</v>
      </c>
      <c r="Q1199" t="s">
        <v>34</v>
      </c>
      <c r="R1199">
        <v>2.64</v>
      </c>
      <c r="S1199" t="s">
        <v>43</v>
      </c>
      <c r="T1199" t="str">
        <f t="shared" si="36"/>
        <v>High</v>
      </c>
      <c r="U1199" t="str">
        <f t="shared" si="37"/>
        <v>Intermediate</v>
      </c>
    </row>
    <row r="1200" spans="1:21" x14ac:dyDescent="0.35">
      <c r="A1200" t="s">
        <v>1273</v>
      </c>
      <c r="B1200" t="s">
        <v>89</v>
      </c>
      <c r="C1200" t="s">
        <v>46</v>
      </c>
      <c r="D1200" t="s">
        <v>59</v>
      </c>
      <c r="E1200" t="s">
        <v>41</v>
      </c>
      <c r="F1200">
        <v>13</v>
      </c>
      <c r="G1200">
        <v>0.71</v>
      </c>
      <c r="H1200">
        <v>0.32</v>
      </c>
      <c r="I1200" t="s">
        <v>24</v>
      </c>
      <c r="J1200">
        <v>178244</v>
      </c>
      <c r="K1200" t="s">
        <v>42</v>
      </c>
      <c r="L1200">
        <v>45</v>
      </c>
      <c r="M1200">
        <v>37</v>
      </c>
      <c r="N1200" t="s">
        <v>26</v>
      </c>
      <c r="O1200" t="s">
        <v>27</v>
      </c>
      <c r="P1200">
        <v>2.25</v>
      </c>
      <c r="Q1200" t="s">
        <v>34</v>
      </c>
      <c r="R1200">
        <v>4.59</v>
      </c>
      <c r="S1200" t="s">
        <v>28</v>
      </c>
      <c r="T1200" t="str">
        <f t="shared" si="36"/>
        <v>Very Low</v>
      </c>
      <c r="U1200" t="str">
        <f t="shared" si="37"/>
        <v>Experienced</v>
      </c>
    </row>
    <row r="1201" spans="1:21" x14ac:dyDescent="0.35">
      <c r="A1201" t="s">
        <v>1274</v>
      </c>
      <c r="B1201" t="s">
        <v>106</v>
      </c>
      <c r="C1201" t="s">
        <v>52</v>
      </c>
      <c r="D1201" t="s">
        <v>75</v>
      </c>
      <c r="E1201" t="s">
        <v>23</v>
      </c>
      <c r="F1201">
        <v>22</v>
      </c>
      <c r="G1201">
        <v>7.0000000000000007E-2</v>
      </c>
      <c r="H1201">
        <v>0.84</v>
      </c>
      <c r="I1201" t="s">
        <v>24</v>
      </c>
      <c r="J1201">
        <v>154252</v>
      </c>
      <c r="K1201" t="s">
        <v>25</v>
      </c>
      <c r="L1201">
        <v>-4</v>
      </c>
      <c r="M1201">
        <v>38</v>
      </c>
      <c r="N1201" t="s">
        <v>26</v>
      </c>
      <c r="O1201" t="s">
        <v>27</v>
      </c>
      <c r="P1201">
        <v>3.27</v>
      </c>
      <c r="Q1201" t="s">
        <v>34</v>
      </c>
      <c r="R1201">
        <v>4.84</v>
      </c>
      <c r="S1201" t="s">
        <v>28</v>
      </c>
      <c r="T1201" t="str">
        <f t="shared" si="36"/>
        <v>Very High</v>
      </c>
      <c r="U1201" t="str">
        <f t="shared" si="37"/>
        <v>Expert</v>
      </c>
    </row>
    <row r="1202" spans="1:21" x14ac:dyDescent="0.35">
      <c r="A1202" t="s">
        <v>1275</v>
      </c>
      <c r="B1202" t="s">
        <v>106</v>
      </c>
      <c r="C1202" t="s">
        <v>21</v>
      </c>
      <c r="D1202" t="s">
        <v>66</v>
      </c>
      <c r="E1202" t="s">
        <v>23</v>
      </c>
      <c r="F1202">
        <v>25</v>
      </c>
      <c r="G1202">
        <v>0.71</v>
      </c>
      <c r="H1202">
        <v>0.65</v>
      </c>
      <c r="I1202" t="s">
        <v>24</v>
      </c>
      <c r="J1202">
        <v>60887</v>
      </c>
      <c r="K1202" t="s">
        <v>27</v>
      </c>
      <c r="L1202">
        <v>39</v>
      </c>
      <c r="M1202">
        <v>39</v>
      </c>
      <c r="N1202" t="s">
        <v>42</v>
      </c>
      <c r="O1202" t="s">
        <v>36</v>
      </c>
      <c r="P1202">
        <v>2.5499999999999998</v>
      </c>
      <c r="Q1202" t="s">
        <v>34</v>
      </c>
      <c r="R1202">
        <v>4.3499999999999996</v>
      </c>
      <c r="S1202" t="s">
        <v>28</v>
      </c>
      <c r="T1202" t="str">
        <f t="shared" si="36"/>
        <v>Moderate</v>
      </c>
      <c r="U1202" t="str">
        <f t="shared" si="37"/>
        <v>Expert</v>
      </c>
    </row>
    <row r="1203" spans="1:21" x14ac:dyDescent="0.35">
      <c r="A1203" t="s">
        <v>1276</v>
      </c>
      <c r="B1203" t="s">
        <v>77</v>
      </c>
      <c r="C1203" t="s">
        <v>21</v>
      </c>
      <c r="D1203" t="s">
        <v>49</v>
      </c>
      <c r="E1203" t="s">
        <v>33</v>
      </c>
      <c r="F1203">
        <v>23</v>
      </c>
      <c r="G1203">
        <v>0.41</v>
      </c>
      <c r="H1203">
        <v>0.92</v>
      </c>
      <c r="I1203" t="s">
        <v>60</v>
      </c>
      <c r="J1203">
        <v>80136</v>
      </c>
      <c r="K1203" t="s">
        <v>27</v>
      </c>
      <c r="L1203">
        <v>30</v>
      </c>
      <c r="M1203">
        <v>58</v>
      </c>
      <c r="N1203" t="s">
        <v>42</v>
      </c>
      <c r="O1203" t="s">
        <v>25</v>
      </c>
      <c r="P1203">
        <v>2.65</v>
      </c>
      <c r="Q1203" t="s">
        <v>34</v>
      </c>
      <c r="R1203">
        <v>3.02</v>
      </c>
      <c r="S1203" t="s">
        <v>28</v>
      </c>
      <c r="T1203" t="str">
        <f t="shared" si="36"/>
        <v>High</v>
      </c>
      <c r="U1203" t="str">
        <f t="shared" si="37"/>
        <v>Expert</v>
      </c>
    </row>
    <row r="1204" spans="1:21" x14ac:dyDescent="0.35">
      <c r="A1204" t="s">
        <v>1277</v>
      </c>
      <c r="B1204" t="s">
        <v>38</v>
      </c>
      <c r="C1204" t="s">
        <v>107</v>
      </c>
      <c r="D1204" t="s">
        <v>40</v>
      </c>
      <c r="E1204" t="s">
        <v>23</v>
      </c>
      <c r="F1204">
        <v>14</v>
      </c>
      <c r="G1204">
        <v>0.68</v>
      </c>
      <c r="H1204">
        <v>0.5</v>
      </c>
      <c r="I1204" t="s">
        <v>60</v>
      </c>
      <c r="J1204">
        <v>106580</v>
      </c>
      <c r="K1204" t="s">
        <v>25</v>
      </c>
      <c r="L1204">
        <v>16</v>
      </c>
      <c r="M1204">
        <v>51</v>
      </c>
      <c r="N1204" t="s">
        <v>26</v>
      </c>
      <c r="O1204" t="s">
        <v>25</v>
      </c>
      <c r="P1204">
        <v>2.66</v>
      </c>
      <c r="Q1204" t="s">
        <v>24</v>
      </c>
      <c r="R1204">
        <v>3.4</v>
      </c>
      <c r="S1204" t="s">
        <v>47</v>
      </c>
      <c r="T1204" t="str">
        <f t="shared" si="36"/>
        <v>Moderate</v>
      </c>
      <c r="U1204" t="str">
        <f t="shared" si="37"/>
        <v>Experienced</v>
      </c>
    </row>
    <row r="1205" spans="1:21" x14ac:dyDescent="0.35">
      <c r="A1205" t="s">
        <v>1278</v>
      </c>
      <c r="B1205" t="s">
        <v>68</v>
      </c>
      <c r="C1205" t="s">
        <v>52</v>
      </c>
      <c r="D1205" t="s">
        <v>59</v>
      </c>
      <c r="E1205" t="s">
        <v>70</v>
      </c>
      <c r="F1205">
        <v>23</v>
      </c>
      <c r="G1205">
        <v>0.36</v>
      </c>
      <c r="H1205">
        <v>0.81</v>
      </c>
      <c r="I1205" t="s">
        <v>60</v>
      </c>
      <c r="J1205">
        <v>37219</v>
      </c>
      <c r="K1205" t="s">
        <v>25</v>
      </c>
      <c r="L1205">
        <v>38</v>
      </c>
      <c r="M1205">
        <v>54</v>
      </c>
      <c r="N1205" t="s">
        <v>35</v>
      </c>
      <c r="O1205" t="s">
        <v>25</v>
      </c>
      <c r="P1205">
        <v>2.68</v>
      </c>
      <c r="Q1205" t="s">
        <v>34</v>
      </c>
      <c r="R1205">
        <v>4.8899999999999997</v>
      </c>
      <c r="S1205" t="s">
        <v>47</v>
      </c>
      <c r="T1205" t="str">
        <f t="shared" si="36"/>
        <v>Very High</v>
      </c>
      <c r="U1205" t="str">
        <f t="shared" si="37"/>
        <v>Expert</v>
      </c>
    </row>
    <row r="1206" spans="1:21" x14ac:dyDescent="0.35">
      <c r="A1206" t="s">
        <v>1279</v>
      </c>
      <c r="B1206" t="s">
        <v>20</v>
      </c>
      <c r="C1206" t="s">
        <v>31</v>
      </c>
      <c r="D1206" t="s">
        <v>40</v>
      </c>
      <c r="E1206" t="s">
        <v>41</v>
      </c>
      <c r="F1206">
        <v>2</v>
      </c>
      <c r="G1206">
        <v>0.77</v>
      </c>
      <c r="H1206">
        <v>0.42</v>
      </c>
      <c r="I1206" t="s">
        <v>34</v>
      </c>
      <c r="J1206">
        <v>177679</v>
      </c>
      <c r="K1206" t="s">
        <v>42</v>
      </c>
      <c r="L1206">
        <v>28</v>
      </c>
      <c r="M1206">
        <v>36</v>
      </c>
      <c r="N1206" t="s">
        <v>35</v>
      </c>
      <c r="O1206" t="s">
        <v>25</v>
      </c>
      <c r="P1206">
        <v>4.9800000000000004</v>
      </c>
      <c r="Q1206" t="s">
        <v>24</v>
      </c>
      <c r="R1206">
        <v>1.41</v>
      </c>
      <c r="S1206" t="s">
        <v>47</v>
      </c>
      <c r="T1206" t="str">
        <f t="shared" si="36"/>
        <v>Very Low</v>
      </c>
      <c r="U1206" t="str">
        <f t="shared" si="37"/>
        <v>Beginner</v>
      </c>
    </row>
    <row r="1207" spans="1:21" x14ac:dyDescent="0.35">
      <c r="A1207" t="s">
        <v>1280</v>
      </c>
      <c r="B1207" t="s">
        <v>106</v>
      </c>
      <c r="C1207" t="s">
        <v>55</v>
      </c>
      <c r="D1207" t="s">
        <v>80</v>
      </c>
      <c r="E1207" t="s">
        <v>23</v>
      </c>
      <c r="F1207">
        <v>13</v>
      </c>
      <c r="G1207">
        <v>0.64</v>
      </c>
      <c r="H1207">
        <v>0.93</v>
      </c>
      <c r="I1207" t="s">
        <v>24</v>
      </c>
      <c r="J1207">
        <v>40132</v>
      </c>
      <c r="K1207" t="s">
        <v>42</v>
      </c>
      <c r="L1207">
        <v>24</v>
      </c>
      <c r="M1207">
        <v>31</v>
      </c>
      <c r="N1207" t="s">
        <v>26</v>
      </c>
      <c r="O1207" t="s">
        <v>25</v>
      </c>
      <c r="P1207">
        <v>4.63</v>
      </c>
      <c r="Q1207" t="s">
        <v>24</v>
      </c>
      <c r="R1207">
        <v>1.99</v>
      </c>
      <c r="S1207" t="s">
        <v>47</v>
      </c>
      <c r="T1207" t="str">
        <f t="shared" si="36"/>
        <v>High</v>
      </c>
      <c r="U1207" t="str">
        <f t="shared" si="37"/>
        <v>Experienced</v>
      </c>
    </row>
    <row r="1208" spans="1:21" x14ac:dyDescent="0.35">
      <c r="A1208" t="s">
        <v>1281</v>
      </c>
      <c r="B1208" t="s">
        <v>73</v>
      </c>
      <c r="C1208" t="s">
        <v>39</v>
      </c>
      <c r="D1208" t="s">
        <v>63</v>
      </c>
      <c r="E1208" t="s">
        <v>33</v>
      </c>
      <c r="F1208">
        <v>2</v>
      </c>
      <c r="G1208">
        <v>0.32</v>
      </c>
      <c r="H1208">
        <v>0.41</v>
      </c>
      <c r="I1208" t="s">
        <v>34</v>
      </c>
      <c r="J1208">
        <v>70877</v>
      </c>
      <c r="K1208" t="s">
        <v>25</v>
      </c>
      <c r="L1208">
        <v>34</v>
      </c>
      <c r="M1208">
        <v>45</v>
      </c>
      <c r="N1208" t="s">
        <v>26</v>
      </c>
      <c r="O1208" t="s">
        <v>27</v>
      </c>
      <c r="P1208">
        <v>2.29</v>
      </c>
      <c r="Q1208" t="s">
        <v>24</v>
      </c>
      <c r="R1208">
        <v>1.82</v>
      </c>
      <c r="S1208" t="s">
        <v>28</v>
      </c>
      <c r="T1208" t="str">
        <f t="shared" si="36"/>
        <v>High</v>
      </c>
      <c r="U1208" t="str">
        <f t="shared" si="37"/>
        <v>Beginner</v>
      </c>
    </row>
    <row r="1209" spans="1:21" x14ac:dyDescent="0.35">
      <c r="A1209" t="s">
        <v>1282</v>
      </c>
      <c r="B1209" t="s">
        <v>68</v>
      </c>
      <c r="C1209" t="s">
        <v>39</v>
      </c>
      <c r="D1209" t="s">
        <v>32</v>
      </c>
      <c r="E1209" t="s">
        <v>41</v>
      </c>
      <c r="F1209">
        <v>18</v>
      </c>
      <c r="G1209">
        <v>0.82</v>
      </c>
      <c r="H1209">
        <v>0.9</v>
      </c>
      <c r="I1209" t="s">
        <v>60</v>
      </c>
      <c r="J1209">
        <v>159895</v>
      </c>
      <c r="K1209" t="s">
        <v>42</v>
      </c>
      <c r="L1209">
        <v>44</v>
      </c>
      <c r="M1209">
        <v>56</v>
      </c>
      <c r="N1209" t="s">
        <v>35</v>
      </c>
      <c r="O1209" t="s">
        <v>25</v>
      </c>
      <c r="P1209">
        <v>2.91</v>
      </c>
      <c r="Q1209" t="s">
        <v>34</v>
      </c>
      <c r="R1209">
        <v>3.68</v>
      </c>
      <c r="S1209" t="s">
        <v>47</v>
      </c>
      <c r="T1209" t="str">
        <f t="shared" si="36"/>
        <v>High</v>
      </c>
      <c r="U1209" t="str">
        <f t="shared" si="37"/>
        <v>Expert</v>
      </c>
    </row>
    <row r="1210" spans="1:21" x14ac:dyDescent="0.35">
      <c r="A1210" t="s">
        <v>1283</v>
      </c>
      <c r="B1210" t="s">
        <v>62</v>
      </c>
      <c r="C1210" t="s">
        <v>74</v>
      </c>
      <c r="D1210" t="s">
        <v>32</v>
      </c>
      <c r="E1210" t="s">
        <v>23</v>
      </c>
      <c r="F1210">
        <v>22</v>
      </c>
      <c r="G1210">
        <v>0.16</v>
      </c>
      <c r="H1210">
        <v>0.86</v>
      </c>
      <c r="I1210" t="s">
        <v>24</v>
      </c>
      <c r="J1210">
        <v>150422</v>
      </c>
      <c r="K1210" t="s">
        <v>27</v>
      </c>
      <c r="L1210">
        <v>3</v>
      </c>
      <c r="M1210">
        <v>43</v>
      </c>
      <c r="N1210" t="s">
        <v>42</v>
      </c>
      <c r="O1210" t="s">
        <v>27</v>
      </c>
      <c r="P1210">
        <v>3.11</v>
      </c>
      <c r="Q1210" t="s">
        <v>34</v>
      </c>
      <c r="R1210">
        <v>2.1800000000000002</v>
      </c>
      <c r="S1210" t="s">
        <v>43</v>
      </c>
      <c r="T1210" t="str">
        <f t="shared" si="36"/>
        <v>Very High</v>
      </c>
      <c r="U1210" t="str">
        <f t="shared" si="37"/>
        <v>Expert</v>
      </c>
    </row>
    <row r="1211" spans="1:21" x14ac:dyDescent="0.35">
      <c r="A1211" t="s">
        <v>1284</v>
      </c>
      <c r="B1211" t="s">
        <v>68</v>
      </c>
      <c r="C1211" t="s">
        <v>52</v>
      </c>
      <c r="D1211" t="s">
        <v>40</v>
      </c>
      <c r="E1211" t="s">
        <v>70</v>
      </c>
      <c r="F1211">
        <v>5</v>
      </c>
      <c r="G1211">
        <v>0.88</v>
      </c>
      <c r="H1211">
        <v>0.59</v>
      </c>
      <c r="I1211" t="s">
        <v>24</v>
      </c>
      <c r="J1211">
        <v>191131</v>
      </c>
      <c r="K1211" t="s">
        <v>27</v>
      </c>
      <c r="L1211">
        <v>-1</v>
      </c>
      <c r="M1211">
        <v>33</v>
      </c>
      <c r="N1211" t="s">
        <v>42</v>
      </c>
      <c r="O1211" t="s">
        <v>36</v>
      </c>
      <c r="P1211">
        <v>4.63</v>
      </c>
      <c r="Q1211" t="s">
        <v>24</v>
      </c>
      <c r="R1211">
        <v>3.84</v>
      </c>
      <c r="S1211" t="s">
        <v>47</v>
      </c>
      <c r="T1211" t="str">
        <f t="shared" si="36"/>
        <v>Moderate</v>
      </c>
      <c r="U1211" t="str">
        <f t="shared" si="37"/>
        <v>Intermediate</v>
      </c>
    </row>
    <row r="1212" spans="1:21" x14ac:dyDescent="0.35">
      <c r="A1212" t="s">
        <v>1285</v>
      </c>
      <c r="B1212" t="s">
        <v>96</v>
      </c>
      <c r="C1212" t="s">
        <v>21</v>
      </c>
      <c r="D1212" t="s">
        <v>69</v>
      </c>
      <c r="E1212" t="s">
        <v>70</v>
      </c>
      <c r="F1212">
        <v>11</v>
      </c>
      <c r="G1212">
        <v>0.65</v>
      </c>
      <c r="H1212">
        <v>0.96</v>
      </c>
      <c r="I1212" t="s">
        <v>34</v>
      </c>
      <c r="J1212">
        <v>78639</v>
      </c>
      <c r="K1212" t="s">
        <v>25</v>
      </c>
      <c r="L1212">
        <v>10</v>
      </c>
      <c r="M1212">
        <v>35</v>
      </c>
      <c r="N1212" t="s">
        <v>26</v>
      </c>
      <c r="O1212" t="s">
        <v>36</v>
      </c>
      <c r="P1212">
        <v>4.22</v>
      </c>
      <c r="Q1212" t="s">
        <v>24</v>
      </c>
      <c r="R1212">
        <v>1.01</v>
      </c>
      <c r="S1212" t="s">
        <v>28</v>
      </c>
      <c r="T1212" t="str">
        <f t="shared" si="36"/>
        <v>High</v>
      </c>
      <c r="U1212" t="str">
        <f t="shared" si="37"/>
        <v>Experienced</v>
      </c>
    </row>
    <row r="1213" spans="1:21" x14ac:dyDescent="0.35">
      <c r="A1213" t="s">
        <v>1286</v>
      </c>
      <c r="B1213" t="s">
        <v>77</v>
      </c>
      <c r="C1213" t="s">
        <v>31</v>
      </c>
      <c r="D1213" t="s">
        <v>80</v>
      </c>
      <c r="E1213" t="s">
        <v>70</v>
      </c>
      <c r="F1213">
        <v>13</v>
      </c>
      <c r="G1213">
        <v>0.47</v>
      </c>
      <c r="H1213">
        <v>0.63</v>
      </c>
      <c r="I1213" t="s">
        <v>34</v>
      </c>
      <c r="J1213">
        <v>214755</v>
      </c>
      <c r="K1213" t="s">
        <v>27</v>
      </c>
      <c r="L1213">
        <v>8</v>
      </c>
      <c r="M1213">
        <v>46</v>
      </c>
      <c r="N1213" t="s">
        <v>26</v>
      </c>
      <c r="O1213" t="s">
        <v>27</v>
      </c>
      <c r="P1213">
        <v>2.66</v>
      </c>
      <c r="Q1213" t="s">
        <v>24</v>
      </c>
      <c r="R1213">
        <v>1.1200000000000001</v>
      </c>
      <c r="S1213" t="s">
        <v>47</v>
      </c>
      <c r="T1213" t="str">
        <f t="shared" si="36"/>
        <v>High</v>
      </c>
      <c r="U1213" t="str">
        <f t="shared" si="37"/>
        <v>Experienced</v>
      </c>
    </row>
    <row r="1214" spans="1:21" x14ac:dyDescent="0.35">
      <c r="A1214" t="s">
        <v>1287</v>
      </c>
      <c r="B1214" t="s">
        <v>62</v>
      </c>
      <c r="C1214" t="s">
        <v>82</v>
      </c>
      <c r="D1214" t="s">
        <v>32</v>
      </c>
      <c r="E1214" t="s">
        <v>23</v>
      </c>
      <c r="F1214">
        <v>20</v>
      </c>
      <c r="G1214">
        <v>0.24</v>
      </c>
      <c r="H1214">
        <v>0.49</v>
      </c>
      <c r="I1214" t="s">
        <v>60</v>
      </c>
      <c r="J1214">
        <v>162347</v>
      </c>
      <c r="K1214" t="s">
        <v>25</v>
      </c>
      <c r="L1214">
        <v>19</v>
      </c>
      <c r="M1214">
        <v>34</v>
      </c>
      <c r="N1214" t="s">
        <v>42</v>
      </c>
      <c r="O1214" t="s">
        <v>36</v>
      </c>
      <c r="P1214">
        <v>2.4</v>
      </c>
      <c r="Q1214" t="s">
        <v>34</v>
      </c>
      <c r="R1214">
        <v>2.62</v>
      </c>
      <c r="S1214" t="s">
        <v>47</v>
      </c>
      <c r="T1214" t="str">
        <f t="shared" si="36"/>
        <v>High</v>
      </c>
      <c r="U1214" t="str">
        <f t="shared" si="37"/>
        <v>Expert</v>
      </c>
    </row>
    <row r="1215" spans="1:21" x14ac:dyDescent="0.35">
      <c r="A1215" t="s">
        <v>1288</v>
      </c>
      <c r="B1215" t="s">
        <v>54</v>
      </c>
      <c r="C1215" t="s">
        <v>21</v>
      </c>
      <c r="D1215" t="s">
        <v>59</v>
      </c>
      <c r="E1215" t="s">
        <v>41</v>
      </c>
      <c r="F1215">
        <v>12</v>
      </c>
      <c r="G1215">
        <v>0.09</v>
      </c>
      <c r="H1215">
        <v>0.43</v>
      </c>
      <c r="I1215" t="s">
        <v>60</v>
      </c>
      <c r="J1215">
        <v>201418</v>
      </c>
      <c r="K1215" t="s">
        <v>27</v>
      </c>
      <c r="L1215">
        <v>16</v>
      </c>
      <c r="M1215">
        <v>57</v>
      </c>
      <c r="N1215" t="s">
        <v>35</v>
      </c>
      <c r="O1215" t="s">
        <v>36</v>
      </c>
      <c r="P1215">
        <v>2.12</v>
      </c>
      <c r="Q1215" t="s">
        <v>34</v>
      </c>
      <c r="R1215">
        <v>4.1100000000000003</v>
      </c>
      <c r="S1215" t="s">
        <v>47</v>
      </c>
      <c r="T1215" t="str">
        <f t="shared" si="36"/>
        <v>High</v>
      </c>
      <c r="U1215" t="str">
        <f t="shared" si="37"/>
        <v>Experienced</v>
      </c>
    </row>
    <row r="1216" spans="1:21" x14ac:dyDescent="0.35">
      <c r="A1216" t="s">
        <v>1289</v>
      </c>
      <c r="B1216" t="s">
        <v>68</v>
      </c>
      <c r="C1216" t="s">
        <v>107</v>
      </c>
      <c r="D1216" t="s">
        <v>32</v>
      </c>
      <c r="E1216" t="s">
        <v>33</v>
      </c>
      <c r="F1216">
        <v>0</v>
      </c>
      <c r="G1216">
        <v>0.54</v>
      </c>
      <c r="H1216">
        <v>0.25</v>
      </c>
      <c r="I1216" t="s">
        <v>34</v>
      </c>
      <c r="J1216">
        <v>101288</v>
      </c>
      <c r="K1216" t="s">
        <v>42</v>
      </c>
      <c r="L1216">
        <v>0</v>
      </c>
      <c r="M1216">
        <v>36</v>
      </c>
      <c r="N1216" t="s">
        <v>26</v>
      </c>
      <c r="O1216" t="s">
        <v>27</v>
      </c>
      <c r="P1216">
        <v>2.33</v>
      </c>
      <c r="Q1216" t="s">
        <v>34</v>
      </c>
      <c r="R1216">
        <v>4.4800000000000004</v>
      </c>
      <c r="S1216" t="s">
        <v>28</v>
      </c>
      <c r="T1216" t="str">
        <f t="shared" si="36"/>
        <v>Moderate</v>
      </c>
      <c r="U1216" t="str">
        <f t="shared" si="37"/>
        <v>Beginner</v>
      </c>
    </row>
    <row r="1217" spans="1:21" x14ac:dyDescent="0.35">
      <c r="A1217" t="s">
        <v>1290</v>
      </c>
      <c r="B1217" t="s">
        <v>62</v>
      </c>
      <c r="C1217" t="s">
        <v>58</v>
      </c>
      <c r="D1217" t="s">
        <v>80</v>
      </c>
      <c r="E1217" t="s">
        <v>70</v>
      </c>
      <c r="F1217">
        <v>15</v>
      </c>
      <c r="G1217">
        <v>0.18</v>
      </c>
      <c r="H1217">
        <v>0.34</v>
      </c>
      <c r="I1217" t="s">
        <v>34</v>
      </c>
      <c r="J1217">
        <v>70638</v>
      </c>
      <c r="K1217" t="s">
        <v>25</v>
      </c>
      <c r="L1217">
        <v>23</v>
      </c>
      <c r="M1217">
        <v>36</v>
      </c>
      <c r="N1217" t="s">
        <v>42</v>
      </c>
      <c r="O1217" t="s">
        <v>27</v>
      </c>
      <c r="P1217">
        <v>3.77</v>
      </c>
      <c r="Q1217" t="s">
        <v>34</v>
      </c>
      <c r="R1217">
        <v>1.1299999999999999</v>
      </c>
      <c r="S1217" t="s">
        <v>43</v>
      </c>
      <c r="T1217" t="str">
        <f t="shared" si="36"/>
        <v>High</v>
      </c>
      <c r="U1217" t="str">
        <f t="shared" si="37"/>
        <v>Experienced</v>
      </c>
    </row>
    <row r="1218" spans="1:21" x14ac:dyDescent="0.35">
      <c r="A1218" t="s">
        <v>1291</v>
      </c>
      <c r="B1218" t="s">
        <v>68</v>
      </c>
      <c r="C1218" t="s">
        <v>21</v>
      </c>
      <c r="D1218" t="s">
        <v>59</v>
      </c>
      <c r="E1218" t="s">
        <v>70</v>
      </c>
      <c r="F1218">
        <v>21</v>
      </c>
      <c r="G1218">
        <v>0.59</v>
      </c>
      <c r="H1218">
        <v>0.28999999999999998</v>
      </c>
      <c r="I1218" t="s">
        <v>24</v>
      </c>
      <c r="J1218">
        <v>127786</v>
      </c>
      <c r="K1218" t="s">
        <v>42</v>
      </c>
      <c r="L1218">
        <v>2</v>
      </c>
      <c r="M1218">
        <v>40</v>
      </c>
      <c r="N1218" t="s">
        <v>42</v>
      </c>
      <c r="O1218" t="s">
        <v>25</v>
      </c>
      <c r="P1218">
        <v>2.4900000000000002</v>
      </c>
      <c r="Q1218" t="s">
        <v>24</v>
      </c>
      <c r="R1218">
        <v>4.6900000000000004</v>
      </c>
      <c r="S1218" t="s">
        <v>47</v>
      </c>
      <c r="T1218" t="str">
        <f t="shared" si="36"/>
        <v>Moderate</v>
      </c>
      <c r="U1218" t="str">
        <f t="shared" si="37"/>
        <v>Expert</v>
      </c>
    </row>
    <row r="1219" spans="1:21" x14ac:dyDescent="0.35">
      <c r="A1219" t="s">
        <v>1292</v>
      </c>
      <c r="B1219" t="s">
        <v>156</v>
      </c>
      <c r="C1219" t="s">
        <v>82</v>
      </c>
      <c r="D1219" t="s">
        <v>80</v>
      </c>
      <c r="E1219" t="s">
        <v>41</v>
      </c>
      <c r="F1219">
        <v>2</v>
      </c>
      <c r="G1219">
        <v>0.59</v>
      </c>
      <c r="H1219">
        <v>0.56999999999999995</v>
      </c>
      <c r="I1219" t="s">
        <v>24</v>
      </c>
      <c r="J1219">
        <v>92983</v>
      </c>
      <c r="K1219" t="s">
        <v>42</v>
      </c>
      <c r="L1219">
        <v>-4</v>
      </c>
      <c r="M1219">
        <v>49</v>
      </c>
      <c r="N1219" t="s">
        <v>42</v>
      </c>
      <c r="O1219" t="s">
        <v>27</v>
      </c>
      <c r="P1219">
        <v>4.83</v>
      </c>
      <c r="Q1219" t="s">
        <v>24</v>
      </c>
      <c r="R1219">
        <v>2.21</v>
      </c>
      <c r="S1219" t="s">
        <v>28</v>
      </c>
      <c r="T1219" t="str">
        <f t="shared" ref="T1219:T1282" si="38">IF(AND(G1219&lt;0.4,H1219&gt;=0.7),"Very High",
IF(AND(G1219&gt;=0.7,H1219&lt;0.5),"Very Low",
IF(G1219&lt;H1219,"High","Moderate")))</f>
        <v>Moderate</v>
      </c>
      <c r="U1219" t="str">
        <f t="shared" ref="U1219:U1282" si="39">_xlfn.IFS(F1219&lt;=2,"Beginner",F1219&lt;=8,"Intermediate",F1219&lt;=15,"Experienced",F1219&lt;=25,"Expert")</f>
        <v>Beginner</v>
      </c>
    </row>
    <row r="1220" spans="1:21" x14ac:dyDescent="0.35">
      <c r="A1220" t="s">
        <v>1293</v>
      </c>
      <c r="B1220" t="s">
        <v>91</v>
      </c>
      <c r="C1220" t="s">
        <v>31</v>
      </c>
      <c r="D1220" t="s">
        <v>32</v>
      </c>
      <c r="E1220" t="s">
        <v>41</v>
      </c>
      <c r="F1220">
        <v>5</v>
      </c>
      <c r="G1220">
        <v>0.28999999999999998</v>
      </c>
      <c r="H1220">
        <v>0.56999999999999995</v>
      </c>
      <c r="I1220" t="s">
        <v>24</v>
      </c>
      <c r="J1220">
        <v>137476</v>
      </c>
      <c r="K1220" t="s">
        <v>27</v>
      </c>
      <c r="L1220">
        <v>22</v>
      </c>
      <c r="M1220">
        <v>51</v>
      </c>
      <c r="N1220" t="s">
        <v>26</v>
      </c>
      <c r="O1220" t="s">
        <v>27</v>
      </c>
      <c r="P1220">
        <v>2.67</v>
      </c>
      <c r="Q1220" t="s">
        <v>34</v>
      </c>
      <c r="R1220">
        <v>1.89</v>
      </c>
      <c r="S1220" t="s">
        <v>43</v>
      </c>
      <c r="T1220" t="str">
        <f t="shared" si="38"/>
        <v>High</v>
      </c>
      <c r="U1220" t="str">
        <f t="shared" si="39"/>
        <v>Intermediate</v>
      </c>
    </row>
    <row r="1221" spans="1:21" x14ac:dyDescent="0.35">
      <c r="A1221" t="s">
        <v>1294</v>
      </c>
      <c r="B1221" t="s">
        <v>57</v>
      </c>
      <c r="C1221" t="s">
        <v>46</v>
      </c>
      <c r="D1221" t="s">
        <v>49</v>
      </c>
      <c r="E1221" t="s">
        <v>70</v>
      </c>
      <c r="F1221">
        <v>7</v>
      </c>
      <c r="G1221">
        <v>0.75</v>
      </c>
      <c r="H1221">
        <v>0.73</v>
      </c>
      <c r="I1221" t="s">
        <v>60</v>
      </c>
      <c r="J1221">
        <v>55518</v>
      </c>
      <c r="K1221" t="s">
        <v>42</v>
      </c>
      <c r="L1221">
        <v>28</v>
      </c>
      <c r="M1221">
        <v>48</v>
      </c>
      <c r="N1221" t="s">
        <v>35</v>
      </c>
      <c r="O1221" t="s">
        <v>36</v>
      </c>
      <c r="P1221">
        <v>4.4400000000000004</v>
      </c>
      <c r="Q1221" t="s">
        <v>34</v>
      </c>
      <c r="R1221">
        <v>4.83</v>
      </c>
      <c r="S1221" t="s">
        <v>43</v>
      </c>
      <c r="T1221" t="str">
        <f t="shared" si="38"/>
        <v>Moderate</v>
      </c>
      <c r="U1221" t="str">
        <f t="shared" si="39"/>
        <v>Intermediate</v>
      </c>
    </row>
    <row r="1222" spans="1:21" x14ac:dyDescent="0.35">
      <c r="A1222" t="s">
        <v>1295</v>
      </c>
      <c r="B1222" t="s">
        <v>77</v>
      </c>
      <c r="C1222" t="s">
        <v>52</v>
      </c>
      <c r="D1222" t="s">
        <v>22</v>
      </c>
      <c r="E1222" t="s">
        <v>41</v>
      </c>
      <c r="F1222">
        <v>22</v>
      </c>
      <c r="G1222">
        <v>0.86</v>
      </c>
      <c r="H1222">
        <v>0.2</v>
      </c>
      <c r="I1222" t="s">
        <v>34</v>
      </c>
      <c r="J1222">
        <v>139865</v>
      </c>
      <c r="K1222" t="s">
        <v>42</v>
      </c>
      <c r="L1222">
        <v>-1</v>
      </c>
      <c r="M1222">
        <v>46</v>
      </c>
      <c r="N1222" t="s">
        <v>26</v>
      </c>
      <c r="O1222" t="s">
        <v>27</v>
      </c>
      <c r="P1222">
        <v>3.29</v>
      </c>
      <c r="Q1222" t="s">
        <v>34</v>
      </c>
      <c r="R1222">
        <v>1.27</v>
      </c>
      <c r="S1222" t="s">
        <v>47</v>
      </c>
      <c r="T1222" t="str">
        <f t="shared" si="38"/>
        <v>Very Low</v>
      </c>
      <c r="U1222" t="str">
        <f t="shared" si="39"/>
        <v>Expert</v>
      </c>
    </row>
    <row r="1223" spans="1:21" x14ac:dyDescent="0.35">
      <c r="A1223" t="s">
        <v>1296</v>
      </c>
      <c r="B1223" t="s">
        <v>45</v>
      </c>
      <c r="C1223" t="s">
        <v>52</v>
      </c>
      <c r="D1223" t="s">
        <v>63</v>
      </c>
      <c r="E1223" t="s">
        <v>33</v>
      </c>
      <c r="F1223">
        <v>14</v>
      </c>
      <c r="G1223">
        <v>0.73</v>
      </c>
      <c r="H1223">
        <v>0.49</v>
      </c>
      <c r="I1223" t="s">
        <v>34</v>
      </c>
      <c r="J1223">
        <v>41332</v>
      </c>
      <c r="K1223" t="s">
        <v>25</v>
      </c>
      <c r="L1223">
        <v>4</v>
      </c>
      <c r="M1223">
        <v>43</v>
      </c>
      <c r="N1223" t="s">
        <v>26</v>
      </c>
      <c r="O1223" t="s">
        <v>27</v>
      </c>
      <c r="P1223">
        <v>2.21</v>
      </c>
      <c r="Q1223" t="s">
        <v>24</v>
      </c>
      <c r="R1223">
        <v>1.56</v>
      </c>
      <c r="S1223" t="s">
        <v>47</v>
      </c>
      <c r="T1223" t="str">
        <f t="shared" si="38"/>
        <v>Very Low</v>
      </c>
      <c r="U1223" t="str">
        <f t="shared" si="39"/>
        <v>Experienced</v>
      </c>
    </row>
    <row r="1224" spans="1:21" x14ac:dyDescent="0.35">
      <c r="A1224" t="s">
        <v>1297</v>
      </c>
      <c r="B1224" t="s">
        <v>51</v>
      </c>
      <c r="C1224" t="s">
        <v>46</v>
      </c>
      <c r="D1224" t="s">
        <v>69</v>
      </c>
      <c r="E1224" t="s">
        <v>70</v>
      </c>
      <c r="F1224">
        <v>8</v>
      </c>
      <c r="G1224">
        <v>0.48</v>
      </c>
      <c r="H1224">
        <v>0.51</v>
      </c>
      <c r="I1224" t="s">
        <v>34</v>
      </c>
      <c r="J1224">
        <v>190898</v>
      </c>
      <c r="K1224" t="s">
        <v>42</v>
      </c>
      <c r="L1224">
        <v>39</v>
      </c>
      <c r="M1224">
        <v>56</v>
      </c>
      <c r="N1224" t="s">
        <v>42</v>
      </c>
      <c r="O1224" t="s">
        <v>25</v>
      </c>
      <c r="P1224">
        <v>2.97</v>
      </c>
      <c r="Q1224" t="s">
        <v>24</v>
      </c>
      <c r="R1224">
        <v>3.13</v>
      </c>
      <c r="S1224" t="s">
        <v>28</v>
      </c>
      <c r="T1224" t="str">
        <f t="shared" si="38"/>
        <v>High</v>
      </c>
      <c r="U1224" t="str">
        <f t="shared" si="39"/>
        <v>Intermediate</v>
      </c>
    </row>
    <row r="1225" spans="1:21" x14ac:dyDescent="0.35">
      <c r="A1225" t="s">
        <v>1298</v>
      </c>
      <c r="B1225" t="s">
        <v>54</v>
      </c>
      <c r="C1225" t="s">
        <v>21</v>
      </c>
      <c r="D1225" t="s">
        <v>49</v>
      </c>
      <c r="E1225" t="s">
        <v>33</v>
      </c>
      <c r="F1225">
        <v>9</v>
      </c>
      <c r="G1225">
        <v>0.24</v>
      </c>
      <c r="H1225">
        <v>0.6</v>
      </c>
      <c r="I1225" t="s">
        <v>24</v>
      </c>
      <c r="J1225">
        <v>38364</v>
      </c>
      <c r="K1225" t="s">
        <v>27</v>
      </c>
      <c r="L1225">
        <v>11</v>
      </c>
      <c r="M1225">
        <v>40</v>
      </c>
      <c r="N1225" t="s">
        <v>35</v>
      </c>
      <c r="O1225" t="s">
        <v>36</v>
      </c>
      <c r="P1225">
        <v>3.8</v>
      </c>
      <c r="Q1225" t="s">
        <v>34</v>
      </c>
      <c r="R1225">
        <v>3.14</v>
      </c>
      <c r="S1225" t="s">
        <v>43</v>
      </c>
      <c r="T1225" t="str">
        <f t="shared" si="38"/>
        <v>High</v>
      </c>
      <c r="U1225" t="str">
        <f t="shared" si="39"/>
        <v>Experienced</v>
      </c>
    </row>
    <row r="1226" spans="1:21" x14ac:dyDescent="0.35">
      <c r="A1226" t="s">
        <v>1299</v>
      </c>
      <c r="B1226" t="s">
        <v>54</v>
      </c>
      <c r="C1226" t="s">
        <v>82</v>
      </c>
      <c r="D1226" t="s">
        <v>63</v>
      </c>
      <c r="E1226" t="s">
        <v>23</v>
      </c>
      <c r="F1226">
        <v>1</v>
      </c>
      <c r="G1226">
        <v>0.56000000000000005</v>
      </c>
      <c r="H1226">
        <v>0.5</v>
      </c>
      <c r="I1226" t="s">
        <v>24</v>
      </c>
      <c r="J1226">
        <v>72507</v>
      </c>
      <c r="K1226" t="s">
        <v>25</v>
      </c>
      <c r="L1226">
        <v>4</v>
      </c>
      <c r="M1226">
        <v>51</v>
      </c>
      <c r="N1226" t="s">
        <v>35</v>
      </c>
      <c r="O1226" t="s">
        <v>27</v>
      </c>
      <c r="P1226">
        <v>4.38</v>
      </c>
      <c r="Q1226" t="s">
        <v>34</v>
      </c>
      <c r="R1226">
        <v>2.44</v>
      </c>
      <c r="S1226" t="s">
        <v>47</v>
      </c>
      <c r="T1226" t="str">
        <f t="shared" si="38"/>
        <v>Moderate</v>
      </c>
      <c r="U1226" t="str">
        <f t="shared" si="39"/>
        <v>Beginner</v>
      </c>
    </row>
    <row r="1227" spans="1:21" x14ac:dyDescent="0.35">
      <c r="A1227" t="s">
        <v>1300</v>
      </c>
      <c r="B1227" t="s">
        <v>77</v>
      </c>
      <c r="C1227" t="s">
        <v>52</v>
      </c>
      <c r="D1227" t="s">
        <v>69</v>
      </c>
      <c r="E1227" t="s">
        <v>33</v>
      </c>
      <c r="F1227">
        <v>22</v>
      </c>
      <c r="G1227">
        <v>0.25</v>
      </c>
      <c r="H1227">
        <v>0.42</v>
      </c>
      <c r="I1227" t="s">
        <v>60</v>
      </c>
      <c r="J1227">
        <v>66653</v>
      </c>
      <c r="K1227" t="s">
        <v>27</v>
      </c>
      <c r="L1227">
        <v>-5</v>
      </c>
      <c r="M1227">
        <v>44</v>
      </c>
      <c r="N1227" t="s">
        <v>35</v>
      </c>
      <c r="O1227" t="s">
        <v>25</v>
      </c>
      <c r="P1227">
        <v>3.46</v>
      </c>
      <c r="Q1227" t="s">
        <v>24</v>
      </c>
      <c r="R1227">
        <v>3.4</v>
      </c>
      <c r="S1227" t="s">
        <v>47</v>
      </c>
      <c r="T1227" t="str">
        <f t="shared" si="38"/>
        <v>High</v>
      </c>
      <c r="U1227" t="str">
        <f t="shared" si="39"/>
        <v>Expert</v>
      </c>
    </row>
    <row r="1228" spans="1:21" x14ac:dyDescent="0.35">
      <c r="A1228" t="s">
        <v>1301</v>
      </c>
      <c r="B1228" t="s">
        <v>68</v>
      </c>
      <c r="C1228" t="s">
        <v>74</v>
      </c>
      <c r="D1228" t="s">
        <v>59</v>
      </c>
      <c r="E1228" t="s">
        <v>33</v>
      </c>
      <c r="F1228">
        <v>12</v>
      </c>
      <c r="G1228">
        <v>0.47</v>
      </c>
      <c r="H1228">
        <v>0.93</v>
      </c>
      <c r="I1228" t="s">
        <v>34</v>
      </c>
      <c r="J1228">
        <v>76355</v>
      </c>
      <c r="K1228" t="s">
        <v>27</v>
      </c>
      <c r="L1228">
        <v>3</v>
      </c>
      <c r="M1228">
        <v>45</v>
      </c>
      <c r="N1228" t="s">
        <v>35</v>
      </c>
      <c r="O1228" t="s">
        <v>36</v>
      </c>
      <c r="P1228">
        <v>2.66</v>
      </c>
      <c r="Q1228" t="s">
        <v>24</v>
      </c>
      <c r="R1228">
        <v>4.28</v>
      </c>
      <c r="S1228" t="s">
        <v>47</v>
      </c>
      <c r="T1228" t="str">
        <f t="shared" si="38"/>
        <v>High</v>
      </c>
      <c r="U1228" t="str">
        <f t="shared" si="39"/>
        <v>Experienced</v>
      </c>
    </row>
    <row r="1229" spans="1:21" x14ac:dyDescent="0.35">
      <c r="A1229" t="s">
        <v>1302</v>
      </c>
      <c r="B1229" t="s">
        <v>156</v>
      </c>
      <c r="C1229" t="s">
        <v>82</v>
      </c>
      <c r="D1229" t="s">
        <v>32</v>
      </c>
      <c r="E1229" t="s">
        <v>41</v>
      </c>
      <c r="F1229">
        <v>13</v>
      </c>
      <c r="G1229">
        <v>0.09</v>
      </c>
      <c r="H1229">
        <v>0.62</v>
      </c>
      <c r="I1229" t="s">
        <v>24</v>
      </c>
      <c r="J1229">
        <v>123924</v>
      </c>
      <c r="K1229" t="s">
        <v>27</v>
      </c>
      <c r="L1229">
        <v>27</v>
      </c>
      <c r="M1229">
        <v>31</v>
      </c>
      <c r="N1229" t="s">
        <v>35</v>
      </c>
      <c r="O1229" t="s">
        <v>27</v>
      </c>
      <c r="P1229">
        <v>2.72</v>
      </c>
      <c r="Q1229" t="s">
        <v>24</v>
      </c>
      <c r="R1229">
        <v>1.85</v>
      </c>
      <c r="S1229" t="s">
        <v>28</v>
      </c>
      <c r="T1229" t="str">
        <f t="shared" si="38"/>
        <v>High</v>
      </c>
      <c r="U1229" t="str">
        <f t="shared" si="39"/>
        <v>Experienced</v>
      </c>
    </row>
    <row r="1230" spans="1:21" x14ac:dyDescent="0.35">
      <c r="A1230" t="s">
        <v>1303</v>
      </c>
      <c r="B1230" t="s">
        <v>51</v>
      </c>
      <c r="C1230" t="s">
        <v>46</v>
      </c>
      <c r="D1230" t="s">
        <v>63</v>
      </c>
      <c r="E1230" t="s">
        <v>23</v>
      </c>
      <c r="F1230">
        <v>3</v>
      </c>
      <c r="G1230">
        <v>0.11</v>
      </c>
      <c r="H1230">
        <v>0.25</v>
      </c>
      <c r="I1230" t="s">
        <v>34</v>
      </c>
      <c r="J1230">
        <v>35682</v>
      </c>
      <c r="K1230" t="s">
        <v>25</v>
      </c>
      <c r="L1230">
        <v>1</v>
      </c>
      <c r="M1230">
        <v>56</v>
      </c>
      <c r="N1230" t="s">
        <v>42</v>
      </c>
      <c r="O1230" t="s">
        <v>36</v>
      </c>
      <c r="P1230">
        <v>4.1500000000000004</v>
      </c>
      <c r="Q1230" t="s">
        <v>34</v>
      </c>
      <c r="R1230">
        <v>3.8</v>
      </c>
      <c r="S1230" t="s">
        <v>47</v>
      </c>
      <c r="T1230" t="str">
        <f t="shared" si="38"/>
        <v>High</v>
      </c>
      <c r="U1230" t="str">
        <f t="shared" si="39"/>
        <v>Intermediate</v>
      </c>
    </row>
    <row r="1231" spans="1:21" x14ac:dyDescent="0.35">
      <c r="A1231" t="s">
        <v>1304</v>
      </c>
      <c r="B1231" t="s">
        <v>57</v>
      </c>
      <c r="C1231" t="s">
        <v>58</v>
      </c>
      <c r="D1231" t="s">
        <v>66</v>
      </c>
      <c r="E1231" t="s">
        <v>70</v>
      </c>
      <c r="F1231">
        <v>23</v>
      </c>
      <c r="G1231">
        <v>0.56999999999999995</v>
      </c>
      <c r="H1231">
        <v>0.69</v>
      </c>
      <c r="I1231" t="s">
        <v>24</v>
      </c>
      <c r="J1231">
        <v>67388</v>
      </c>
      <c r="K1231" t="s">
        <v>25</v>
      </c>
      <c r="L1231">
        <v>37</v>
      </c>
      <c r="M1231">
        <v>37</v>
      </c>
      <c r="N1231" t="s">
        <v>35</v>
      </c>
      <c r="O1231" t="s">
        <v>36</v>
      </c>
      <c r="P1231">
        <v>3.95</v>
      </c>
      <c r="Q1231" t="s">
        <v>34</v>
      </c>
      <c r="R1231">
        <v>2.86</v>
      </c>
      <c r="S1231" t="s">
        <v>28</v>
      </c>
      <c r="T1231" t="str">
        <f t="shared" si="38"/>
        <v>High</v>
      </c>
      <c r="U1231" t="str">
        <f t="shared" si="39"/>
        <v>Expert</v>
      </c>
    </row>
    <row r="1232" spans="1:21" x14ac:dyDescent="0.35">
      <c r="A1232" t="s">
        <v>1305</v>
      </c>
      <c r="B1232" t="s">
        <v>91</v>
      </c>
      <c r="C1232" t="s">
        <v>58</v>
      </c>
      <c r="D1232" t="s">
        <v>40</v>
      </c>
      <c r="E1232" t="s">
        <v>70</v>
      </c>
      <c r="F1232">
        <v>24</v>
      </c>
      <c r="G1232">
        <v>0.31</v>
      </c>
      <c r="H1232">
        <v>0.78</v>
      </c>
      <c r="I1232" t="s">
        <v>34</v>
      </c>
      <c r="J1232">
        <v>94241</v>
      </c>
      <c r="K1232" t="s">
        <v>25</v>
      </c>
      <c r="L1232">
        <v>33</v>
      </c>
      <c r="M1232">
        <v>49</v>
      </c>
      <c r="N1232" t="s">
        <v>26</v>
      </c>
      <c r="O1232" t="s">
        <v>25</v>
      </c>
      <c r="P1232">
        <v>4.76</v>
      </c>
      <c r="Q1232" t="s">
        <v>34</v>
      </c>
      <c r="R1232">
        <v>4.9000000000000004</v>
      </c>
      <c r="S1232" t="s">
        <v>43</v>
      </c>
      <c r="T1232" t="str">
        <f t="shared" si="38"/>
        <v>Very High</v>
      </c>
      <c r="U1232" t="str">
        <f t="shared" si="39"/>
        <v>Expert</v>
      </c>
    </row>
    <row r="1233" spans="1:21" x14ac:dyDescent="0.35">
      <c r="A1233" t="s">
        <v>1306</v>
      </c>
      <c r="B1233" t="s">
        <v>45</v>
      </c>
      <c r="C1233" t="s">
        <v>82</v>
      </c>
      <c r="D1233" t="s">
        <v>75</v>
      </c>
      <c r="E1233" t="s">
        <v>33</v>
      </c>
      <c r="F1233">
        <v>17</v>
      </c>
      <c r="G1233">
        <v>0.47</v>
      </c>
      <c r="H1233">
        <v>0.91</v>
      </c>
      <c r="I1233" t="s">
        <v>24</v>
      </c>
      <c r="J1233">
        <v>139599</v>
      </c>
      <c r="K1233" t="s">
        <v>27</v>
      </c>
      <c r="L1233">
        <v>31</v>
      </c>
      <c r="M1233">
        <v>40</v>
      </c>
      <c r="N1233" t="s">
        <v>42</v>
      </c>
      <c r="O1233" t="s">
        <v>27</v>
      </c>
      <c r="P1233">
        <v>2.16</v>
      </c>
      <c r="Q1233" t="s">
        <v>24</v>
      </c>
      <c r="R1233">
        <v>4.1900000000000004</v>
      </c>
      <c r="S1233" t="s">
        <v>28</v>
      </c>
      <c r="T1233" t="str">
        <f t="shared" si="38"/>
        <v>High</v>
      </c>
      <c r="U1233" t="str">
        <f t="shared" si="39"/>
        <v>Expert</v>
      </c>
    </row>
    <row r="1234" spans="1:21" x14ac:dyDescent="0.35">
      <c r="A1234" t="s">
        <v>1307</v>
      </c>
      <c r="B1234" t="s">
        <v>20</v>
      </c>
      <c r="C1234" t="s">
        <v>107</v>
      </c>
      <c r="D1234" t="s">
        <v>75</v>
      </c>
      <c r="E1234" t="s">
        <v>23</v>
      </c>
      <c r="F1234">
        <v>20</v>
      </c>
      <c r="G1234">
        <v>0.11</v>
      </c>
      <c r="H1234">
        <v>0.28999999999999998</v>
      </c>
      <c r="I1234" t="s">
        <v>34</v>
      </c>
      <c r="J1234">
        <v>155425</v>
      </c>
      <c r="K1234" t="s">
        <v>27</v>
      </c>
      <c r="L1234">
        <v>17</v>
      </c>
      <c r="M1234">
        <v>36</v>
      </c>
      <c r="N1234" t="s">
        <v>42</v>
      </c>
      <c r="O1234" t="s">
        <v>25</v>
      </c>
      <c r="P1234">
        <v>2.41</v>
      </c>
      <c r="Q1234" t="s">
        <v>24</v>
      </c>
      <c r="R1234">
        <v>3.74</v>
      </c>
      <c r="S1234" t="s">
        <v>47</v>
      </c>
      <c r="T1234" t="str">
        <f t="shared" si="38"/>
        <v>High</v>
      </c>
      <c r="U1234" t="str">
        <f t="shared" si="39"/>
        <v>Expert</v>
      </c>
    </row>
    <row r="1235" spans="1:21" x14ac:dyDescent="0.35">
      <c r="A1235" t="s">
        <v>1308</v>
      </c>
      <c r="B1235" t="s">
        <v>65</v>
      </c>
      <c r="C1235" t="s">
        <v>74</v>
      </c>
      <c r="D1235" t="s">
        <v>69</v>
      </c>
      <c r="E1235" t="s">
        <v>33</v>
      </c>
      <c r="F1235">
        <v>15</v>
      </c>
      <c r="G1235">
        <v>0.62</v>
      </c>
      <c r="H1235">
        <v>0.77</v>
      </c>
      <c r="I1235" t="s">
        <v>24</v>
      </c>
      <c r="J1235">
        <v>199639</v>
      </c>
      <c r="K1235" t="s">
        <v>25</v>
      </c>
      <c r="L1235">
        <v>8</v>
      </c>
      <c r="M1235">
        <v>57</v>
      </c>
      <c r="N1235" t="s">
        <v>35</v>
      </c>
      <c r="O1235" t="s">
        <v>27</v>
      </c>
      <c r="P1235">
        <v>2.93</v>
      </c>
      <c r="Q1235" t="s">
        <v>24</v>
      </c>
      <c r="R1235">
        <v>1.1599999999999999</v>
      </c>
      <c r="S1235" t="s">
        <v>28</v>
      </c>
      <c r="T1235" t="str">
        <f t="shared" si="38"/>
        <v>High</v>
      </c>
      <c r="U1235" t="str">
        <f t="shared" si="39"/>
        <v>Experienced</v>
      </c>
    </row>
    <row r="1236" spans="1:21" x14ac:dyDescent="0.35">
      <c r="A1236" t="s">
        <v>1309</v>
      </c>
      <c r="B1236" t="s">
        <v>106</v>
      </c>
      <c r="C1236" t="s">
        <v>39</v>
      </c>
      <c r="D1236" t="s">
        <v>40</v>
      </c>
      <c r="E1236" t="s">
        <v>33</v>
      </c>
      <c r="F1236">
        <v>4</v>
      </c>
      <c r="G1236">
        <v>0.73</v>
      </c>
      <c r="H1236">
        <v>0.65</v>
      </c>
      <c r="I1236" t="s">
        <v>34</v>
      </c>
      <c r="J1236">
        <v>212685</v>
      </c>
      <c r="K1236" t="s">
        <v>42</v>
      </c>
      <c r="L1236">
        <v>12</v>
      </c>
      <c r="M1236">
        <v>49</v>
      </c>
      <c r="N1236" t="s">
        <v>26</v>
      </c>
      <c r="O1236" t="s">
        <v>27</v>
      </c>
      <c r="P1236">
        <v>3.51</v>
      </c>
      <c r="Q1236" t="s">
        <v>34</v>
      </c>
      <c r="R1236">
        <v>2.52</v>
      </c>
      <c r="S1236" t="s">
        <v>47</v>
      </c>
      <c r="T1236" t="str">
        <f t="shared" si="38"/>
        <v>Moderate</v>
      </c>
      <c r="U1236" t="str">
        <f t="shared" si="39"/>
        <v>Intermediate</v>
      </c>
    </row>
    <row r="1237" spans="1:21" x14ac:dyDescent="0.35">
      <c r="A1237" t="s">
        <v>1310</v>
      </c>
      <c r="B1237" t="s">
        <v>89</v>
      </c>
      <c r="C1237" t="s">
        <v>52</v>
      </c>
      <c r="D1237" t="s">
        <v>63</v>
      </c>
      <c r="E1237" t="s">
        <v>41</v>
      </c>
      <c r="F1237">
        <v>10</v>
      </c>
      <c r="G1237">
        <v>0.64</v>
      </c>
      <c r="H1237">
        <v>0.36</v>
      </c>
      <c r="I1237" t="s">
        <v>24</v>
      </c>
      <c r="J1237">
        <v>209047</v>
      </c>
      <c r="K1237" t="s">
        <v>27</v>
      </c>
      <c r="L1237">
        <v>-2</v>
      </c>
      <c r="M1237">
        <v>31</v>
      </c>
      <c r="N1237" t="s">
        <v>35</v>
      </c>
      <c r="O1237" t="s">
        <v>25</v>
      </c>
      <c r="P1237">
        <v>4.34</v>
      </c>
      <c r="Q1237" t="s">
        <v>24</v>
      </c>
      <c r="R1237">
        <v>4.26</v>
      </c>
      <c r="S1237" t="s">
        <v>43</v>
      </c>
      <c r="T1237" t="str">
        <f t="shared" si="38"/>
        <v>Moderate</v>
      </c>
      <c r="U1237" t="str">
        <f t="shared" si="39"/>
        <v>Experienced</v>
      </c>
    </row>
    <row r="1238" spans="1:21" x14ac:dyDescent="0.35">
      <c r="A1238" t="s">
        <v>1311</v>
      </c>
      <c r="B1238" t="s">
        <v>147</v>
      </c>
      <c r="C1238" t="s">
        <v>21</v>
      </c>
      <c r="D1238" t="s">
        <v>32</v>
      </c>
      <c r="E1238" t="s">
        <v>23</v>
      </c>
      <c r="F1238">
        <v>5</v>
      </c>
      <c r="G1238">
        <v>0.44</v>
      </c>
      <c r="H1238">
        <v>0.88</v>
      </c>
      <c r="I1238" t="s">
        <v>34</v>
      </c>
      <c r="J1238">
        <v>87757</v>
      </c>
      <c r="K1238" t="s">
        <v>42</v>
      </c>
      <c r="L1238">
        <v>12</v>
      </c>
      <c r="M1238">
        <v>37</v>
      </c>
      <c r="N1238" t="s">
        <v>35</v>
      </c>
      <c r="O1238" t="s">
        <v>36</v>
      </c>
      <c r="P1238">
        <v>4.8499999999999996</v>
      </c>
      <c r="Q1238" t="s">
        <v>34</v>
      </c>
      <c r="R1238">
        <v>3.69</v>
      </c>
      <c r="S1238" t="s">
        <v>43</v>
      </c>
      <c r="T1238" t="str">
        <f t="shared" si="38"/>
        <v>High</v>
      </c>
      <c r="U1238" t="str">
        <f t="shared" si="39"/>
        <v>Intermediate</v>
      </c>
    </row>
    <row r="1239" spans="1:21" x14ac:dyDescent="0.35">
      <c r="A1239" t="s">
        <v>1312</v>
      </c>
      <c r="B1239" t="s">
        <v>54</v>
      </c>
      <c r="C1239" t="s">
        <v>46</v>
      </c>
      <c r="D1239" t="s">
        <v>66</v>
      </c>
      <c r="E1239" t="s">
        <v>70</v>
      </c>
      <c r="F1239">
        <v>3</v>
      </c>
      <c r="G1239">
        <v>0.31</v>
      </c>
      <c r="H1239">
        <v>0.54</v>
      </c>
      <c r="I1239" t="s">
        <v>24</v>
      </c>
      <c r="J1239">
        <v>73171</v>
      </c>
      <c r="K1239" t="s">
        <v>42</v>
      </c>
      <c r="L1239">
        <v>16</v>
      </c>
      <c r="M1239">
        <v>50</v>
      </c>
      <c r="N1239" t="s">
        <v>35</v>
      </c>
      <c r="O1239" t="s">
        <v>36</v>
      </c>
      <c r="P1239">
        <v>2.02</v>
      </c>
      <c r="Q1239" t="s">
        <v>34</v>
      </c>
      <c r="R1239">
        <v>3.31</v>
      </c>
      <c r="S1239" t="s">
        <v>28</v>
      </c>
      <c r="T1239" t="str">
        <f t="shared" si="38"/>
        <v>High</v>
      </c>
      <c r="U1239" t="str">
        <f t="shared" si="39"/>
        <v>Intermediate</v>
      </c>
    </row>
    <row r="1240" spans="1:21" x14ac:dyDescent="0.35">
      <c r="A1240" t="s">
        <v>1313</v>
      </c>
      <c r="B1240" t="s">
        <v>106</v>
      </c>
      <c r="C1240" t="s">
        <v>107</v>
      </c>
      <c r="D1240" t="s">
        <v>69</v>
      </c>
      <c r="E1240" t="s">
        <v>23</v>
      </c>
      <c r="F1240">
        <v>5</v>
      </c>
      <c r="G1240">
        <v>0.79</v>
      </c>
      <c r="H1240">
        <v>0.24</v>
      </c>
      <c r="I1240" t="s">
        <v>60</v>
      </c>
      <c r="J1240">
        <v>140546</v>
      </c>
      <c r="K1240" t="s">
        <v>25</v>
      </c>
      <c r="L1240">
        <v>37</v>
      </c>
      <c r="M1240">
        <v>40</v>
      </c>
      <c r="N1240" t="s">
        <v>26</v>
      </c>
      <c r="O1240" t="s">
        <v>25</v>
      </c>
      <c r="P1240">
        <v>3.84</v>
      </c>
      <c r="Q1240" t="s">
        <v>24</v>
      </c>
      <c r="R1240">
        <v>2.0299999999999998</v>
      </c>
      <c r="S1240" t="s">
        <v>43</v>
      </c>
      <c r="T1240" t="str">
        <f t="shared" si="38"/>
        <v>Very Low</v>
      </c>
      <c r="U1240" t="str">
        <f t="shared" si="39"/>
        <v>Intermediate</v>
      </c>
    </row>
    <row r="1241" spans="1:21" x14ac:dyDescent="0.35">
      <c r="A1241" t="s">
        <v>1314</v>
      </c>
      <c r="B1241" t="s">
        <v>156</v>
      </c>
      <c r="C1241" t="s">
        <v>82</v>
      </c>
      <c r="D1241" t="s">
        <v>32</v>
      </c>
      <c r="E1241" t="s">
        <v>33</v>
      </c>
      <c r="F1241">
        <v>9</v>
      </c>
      <c r="G1241">
        <v>0.44</v>
      </c>
      <c r="H1241">
        <v>0.82</v>
      </c>
      <c r="I1241" t="s">
        <v>34</v>
      </c>
      <c r="J1241">
        <v>127320</v>
      </c>
      <c r="K1241" t="s">
        <v>42</v>
      </c>
      <c r="L1241">
        <v>25</v>
      </c>
      <c r="M1241">
        <v>57</v>
      </c>
      <c r="N1241" t="s">
        <v>26</v>
      </c>
      <c r="O1241" t="s">
        <v>27</v>
      </c>
      <c r="P1241">
        <v>4</v>
      </c>
      <c r="Q1241" t="s">
        <v>24</v>
      </c>
      <c r="R1241">
        <v>2.15</v>
      </c>
      <c r="S1241" t="s">
        <v>43</v>
      </c>
      <c r="T1241" t="str">
        <f t="shared" si="38"/>
        <v>High</v>
      </c>
      <c r="U1241" t="str">
        <f t="shared" si="39"/>
        <v>Experienced</v>
      </c>
    </row>
    <row r="1242" spans="1:21" x14ac:dyDescent="0.35">
      <c r="A1242" t="s">
        <v>1315</v>
      </c>
      <c r="B1242" t="s">
        <v>156</v>
      </c>
      <c r="C1242" t="s">
        <v>39</v>
      </c>
      <c r="D1242" t="s">
        <v>59</v>
      </c>
      <c r="E1242" t="s">
        <v>33</v>
      </c>
      <c r="F1242">
        <v>2</v>
      </c>
      <c r="G1242">
        <v>0.31</v>
      </c>
      <c r="H1242">
        <v>0.72</v>
      </c>
      <c r="I1242" t="s">
        <v>34</v>
      </c>
      <c r="J1242">
        <v>150312</v>
      </c>
      <c r="K1242" t="s">
        <v>42</v>
      </c>
      <c r="L1242">
        <v>25</v>
      </c>
      <c r="M1242">
        <v>51</v>
      </c>
      <c r="N1242" t="s">
        <v>35</v>
      </c>
      <c r="O1242" t="s">
        <v>25</v>
      </c>
      <c r="P1242">
        <v>2.58</v>
      </c>
      <c r="Q1242" t="s">
        <v>24</v>
      </c>
      <c r="R1242">
        <v>3.77</v>
      </c>
      <c r="S1242" t="s">
        <v>28</v>
      </c>
      <c r="T1242" t="str">
        <f t="shared" si="38"/>
        <v>Very High</v>
      </c>
      <c r="U1242" t="str">
        <f t="shared" si="39"/>
        <v>Beginner</v>
      </c>
    </row>
    <row r="1243" spans="1:21" x14ac:dyDescent="0.35">
      <c r="A1243" t="s">
        <v>1316</v>
      </c>
      <c r="B1243" t="s">
        <v>102</v>
      </c>
      <c r="C1243" t="s">
        <v>52</v>
      </c>
      <c r="D1243" t="s">
        <v>59</v>
      </c>
      <c r="E1243" t="s">
        <v>33</v>
      </c>
      <c r="F1243">
        <v>25</v>
      </c>
      <c r="G1243">
        <v>0.74</v>
      </c>
      <c r="H1243">
        <v>0.55000000000000004</v>
      </c>
      <c r="I1243" t="s">
        <v>60</v>
      </c>
      <c r="J1243">
        <v>133658</v>
      </c>
      <c r="K1243" t="s">
        <v>42</v>
      </c>
      <c r="L1243">
        <v>2</v>
      </c>
      <c r="M1243">
        <v>30</v>
      </c>
      <c r="N1243" t="s">
        <v>35</v>
      </c>
      <c r="O1243" t="s">
        <v>25</v>
      </c>
      <c r="P1243">
        <v>4.97</v>
      </c>
      <c r="Q1243" t="s">
        <v>24</v>
      </c>
      <c r="R1243">
        <v>1.1100000000000001</v>
      </c>
      <c r="S1243" t="s">
        <v>47</v>
      </c>
      <c r="T1243" t="str">
        <f t="shared" si="38"/>
        <v>Moderate</v>
      </c>
      <c r="U1243" t="str">
        <f t="shared" si="39"/>
        <v>Expert</v>
      </c>
    </row>
    <row r="1244" spans="1:21" x14ac:dyDescent="0.35">
      <c r="A1244" t="s">
        <v>1317</v>
      </c>
      <c r="B1244" t="s">
        <v>102</v>
      </c>
      <c r="C1244" t="s">
        <v>39</v>
      </c>
      <c r="D1244" t="s">
        <v>59</v>
      </c>
      <c r="E1244" t="s">
        <v>23</v>
      </c>
      <c r="F1244">
        <v>14</v>
      </c>
      <c r="G1244">
        <v>0.28000000000000003</v>
      </c>
      <c r="H1244">
        <v>0.96</v>
      </c>
      <c r="I1244" t="s">
        <v>60</v>
      </c>
      <c r="J1244">
        <v>172380</v>
      </c>
      <c r="K1244" t="s">
        <v>27</v>
      </c>
      <c r="L1244">
        <v>14</v>
      </c>
      <c r="M1244">
        <v>30</v>
      </c>
      <c r="N1244" t="s">
        <v>26</v>
      </c>
      <c r="O1244" t="s">
        <v>25</v>
      </c>
      <c r="P1244">
        <v>4.82</v>
      </c>
      <c r="Q1244" t="s">
        <v>34</v>
      </c>
      <c r="R1244">
        <v>3</v>
      </c>
      <c r="S1244" t="s">
        <v>28</v>
      </c>
      <c r="T1244" t="str">
        <f t="shared" si="38"/>
        <v>Very High</v>
      </c>
      <c r="U1244" t="str">
        <f t="shared" si="39"/>
        <v>Experienced</v>
      </c>
    </row>
    <row r="1245" spans="1:21" x14ac:dyDescent="0.35">
      <c r="A1245" t="s">
        <v>1318</v>
      </c>
      <c r="B1245" t="s">
        <v>77</v>
      </c>
      <c r="C1245" t="s">
        <v>31</v>
      </c>
      <c r="D1245" t="s">
        <v>69</v>
      </c>
      <c r="E1245" t="s">
        <v>33</v>
      </c>
      <c r="F1245">
        <v>0</v>
      </c>
      <c r="G1245">
        <v>0.82</v>
      </c>
      <c r="H1245">
        <v>0.71</v>
      </c>
      <c r="I1245" t="s">
        <v>60</v>
      </c>
      <c r="J1245">
        <v>96373</v>
      </c>
      <c r="K1245" t="s">
        <v>42</v>
      </c>
      <c r="L1245">
        <v>16</v>
      </c>
      <c r="M1245">
        <v>38</v>
      </c>
      <c r="N1245" t="s">
        <v>26</v>
      </c>
      <c r="O1245" t="s">
        <v>27</v>
      </c>
      <c r="P1245">
        <v>4.5</v>
      </c>
      <c r="Q1245" t="s">
        <v>24</v>
      </c>
      <c r="R1245">
        <v>4.47</v>
      </c>
      <c r="S1245" t="s">
        <v>47</v>
      </c>
      <c r="T1245" t="str">
        <f t="shared" si="38"/>
        <v>Moderate</v>
      </c>
      <c r="U1245" t="str">
        <f t="shared" si="39"/>
        <v>Beginner</v>
      </c>
    </row>
    <row r="1246" spans="1:21" x14ac:dyDescent="0.35">
      <c r="A1246" t="s">
        <v>1319</v>
      </c>
      <c r="B1246" t="s">
        <v>45</v>
      </c>
      <c r="C1246" t="s">
        <v>21</v>
      </c>
      <c r="D1246" t="s">
        <v>63</v>
      </c>
      <c r="E1246" t="s">
        <v>70</v>
      </c>
      <c r="F1246">
        <v>12</v>
      </c>
      <c r="G1246">
        <v>0.79</v>
      </c>
      <c r="H1246">
        <v>0.97</v>
      </c>
      <c r="I1246" t="s">
        <v>24</v>
      </c>
      <c r="J1246">
        <v>30239</v>
      </c>
      <c r="K1246" t="s">
        <v>42</v>
      </c>
      <c r="L1246">
        <v>12</v>
      </c>
      <c r="M1246">
        <v>55</v>
      </c>
      <c r="N1246" t="s">
        <v>26</v>
      </c>
      <c r="O1246" t="s">
        <v>27</v>
      </c>
      <c r="P1246">
        <v>4.07</v>
      </c>
      <c r="Q1246" t="s">
        <v>24</v>
      </c>
      <c r="R1246">
        <v>3.16</v>
      </c>
      <c r="S1246" t="s">
        <v>47</v>
      </c>
      <c r="T1246" t="str">
        <f t="shared" si="38"/>
        <v>High</v>
      </c>
      <c r="U1246" t="str">
        <f t="shared" si="39"/>
        <v>Experienced</v>
      </c>
    </row>
    <row r="1247" spans="1:21" x14ac:dyDescent="0.35">
      <c r="A1247" t="s">
        <v>1320</v>
      </c>
      <c r="B1247" t="s">
        <v>73</v>
      </c>
      <c r="C1247" t="s">
        <v>31</v>
      </c>
      <c r="D1247" t="s">
        <v>59</v>
      </c>
      <c r="E1247" t="s">
        <v>41</v>
      </c>
      <c r="F1247">
        <v>11</v>
      </c>
      <c r="G1247">
        <v>0.28000000000000003</v>
      </c>
      <c r="H1247">
        <v>0.25</v>
      </c>
      <c r="I1247" t="s">
        <v>34</v>
      </c>
      <c r="J1247">
        <v>103884</v>
      </c>
      <c r="K1247" t="s">
        <v>42</v>
      </c>
      <c r="L1247">
        <v>22</v>
      </c>
      <c r="M1247">
        <v>40</v>
      </c>
      <c r="N1247" t="s">
        <v>35</v>
      </c>
      <c r="O1247" t="s">
        <v>27</v>
      </c>
      <c r="P1247">
        <v>2.64</v>
      </c>
      <c r="Q1247" t="s">
        <v>34</v>
      </c>
      <c r="R1247">
        <v>1.76</v>
      </c>
      <c r="S1247" t="s">
        <v>28</v>
      </c>
      <c r="T1247" t="str">
        <f t="shared" si="38"/>
        <v>Moderate</v>
      </c>
      <c r="U1247" t="str">
        <f t="shared" si="39"/>
        <v>Experienced</v>
      </c>
    </row>
    <row r="1248" spans="1:21" x14ac:dyDescent="0.35">
      <c r="A1248" t="s">
        <v>1321</v>
      </c>
      <c r="B1248" t="s">
        <v>65</v>
      </c>
      <c r="C1248" t="s">
        <v>58</v>
      </c>
      <c r="D1248" t="s">
        <v>59</v>
      </c>
      <c r="E1248" t="s">
        <v>41</v>
      </c>
      <c r="F1248">
        <v>19</v>
      </c>
      <c r="G1248">
        <v>0.48</v>
      </c>
      <c r="H1248">
        <v>0.56000000000000005</v>
      </c>
      <c r="I1248" t="s">
        <v>60</v>
      </c>
      <c r="J1248">
        <v>122343</v>
      </c>
      <c r="K1248" t="s">
        <v>25</v>
      </c>
      <c r="L1248">
        <v>-4</v>
      </c>
      <c r="M1248">
        <v>59</v>
      </c>
      <c r="N1248" t="s">
        <v>42</v>
      </c>
      <c r="O1248" t="s">
        <v>27</v>
      </c>
      <c r="P1248">
        <v>4.79</v>
      </c>
      <c r="Q1248" t="s">
        <v>34</v>
      </c>
      <c r="R1248">
        <v>2.13</v>
      </c>
      <c r="S1248" t="s">
        <v>47</v>
      </c>
      <c r="T1248" t="str">
        <f t="shared" si="38"/>
        <v>High</v>
      </c>
      <c r="U1248" t="str">
        <f t="shared" si="39"/>
        <v>Expert</v>
      </c>
    </row>
    <row r="1249" spans="1:21" x14ac:dyDescent="0.35">
      <c r="A1249" t="s">
        <v>1322</v>
      </c>
      <c r="B1249" t="s">
        <v>68</v>
      </c>
      <c r="C1249" t="s">
        <v>52</v>
      </c>
      <c r="D1249" t="s">
        <v>22</v>
      </c>
      <c r="E1249" t="s">
        <v>33</v>
      </c>
      <c r="F1249">
        <v>15</v>
      </c>
      <c r="G1249">
        <v>0.19</v>
      </c>
      <c r="H1249">
        <v>0.56999999999999995</v>
      </c>
      <c r="I1249" t="s">
        <v>60</v>
      </c>
      <c r="J1249">
        <v>202243</v>
      </c>
      <c r="K1249" t="s">
        <v>25</v>
      </c>
      <c r="L1249">
        <v>17</v>
      </c>
      <c r="M1249">
        <v>32</v>
      </c>
      <c r="N1249" t="s">
        <v>35</v>
      </c>
      <c r="O1249" t="s">
        <v>36</v>
      </c>
      <c r="P1249">
        <v>3.55</v>
      </c>
      <c r="Q1249" t="s">
        <v>34</v>
      </c>
      <c r="R1249">
        <v>2.7</v>
      </c>
      <c r="S1249" t="s">
        <v>28</v>
      </c>
      <c r="T1249" t="str">
        <f t="shared" si="38"/>
        <v>High</v>
      </c>
      <c r="U1249" t="str">
        <f t="shared" si="39"/>
        <v>Experienced</v>
      </c>
    </row>
    <row r="1250" spans="1:21" x14ac:dyDescent="0.35">
      <c r="A1250" t="s">
        <v>1323</v>
      </c>
      <c r="B1250" t="s">
        <v>65</v>
      </c>
      <c r="C1250" t="s">
        <v>39</v>
      </c>
      <c r="D1250" t="s">
        <v>59</v>
      </c>
      <c r="E1250" t="s">
        <v>33</v>
      </c>
      <c r="F1250">
        <v>13</v>
      </c>
      <c r="G1250">
        <v>0.44</v>
      </c>
      <c r="H1250">
        <v>0.66</v>
      </c>
      <c r="I1250" t="s">
        <v>24</v>
      </c>
      <c r="J1250">
        <v>216858</v>
      </c>
      <c r="K1250" t="s">
        <v>42</v>
      </c>
      <c r="L1250">
        <v>45</v>
      </c>
      <c r="M1250">
        <v>31</v>
      </c>
      <c r="N1250" t="s">
        <v>26</v>
      </c>
      <c r="O1250" t="s">
        <v>36</v>
      </c>
      <c r="P1250">
        <v>4.59</v>
      </c>
      <c r="Q1250" t="s">
        <v>34</v>
      </c>
      <c r="R1250">
        <v>4.88</v>
      </c>
      <c r="S1250" t="s">
        <v>28</v>
      </c>
      <c r="T1250" t="str">
        <f t="shared" si="38"/>
        <v>High</v>
      </c>
      <c r="U1250" t="str">
        <f t="shared" si="39"/>
        <v>Experienced</v>
      </c>
    </row>
    <row r="1251" spans="1:21" x14ac:dyDescent="0.35">
      <c r="A1251" t="s">
        <v>1324</v>
      </c>
      <c r="B1251" t="s">
        <v>94</v>
      </c>
      <c r="C1251" t="s">
        <v>74</v>
      </c>
      <c r="D1251" t="s">
        <v>49</v>
      </c>
      <c r="E1251" t="s">
        <v>33</v>
      </c>
      <c r="F1251">
        <v>17</v>
      </c>
      <c r="G1251">
        <v>0.63</v>
      </c>
      <c r="H1251">
        <v>0.25</v>
      </c>
      <c r="I1251" t="s">
        <v>34</v>
      </c>
      <c r="J1251">
        <v>121167</v>
      </c>
      <c r="K1251" t="s">
        <v>25</v>
      </c>
      <c r="L1251">
        <v>13</v>
      </c>
      <c r="M1251">
        <v>60</v>
      </c>
      <c r="N1251" t="s">
        <v>35</v>
      </c>
      <c r="O1251" t="s">
        <v>25</v>
      </c>
      <c r="P1251">
        <v>3.74</v>
      </c>
      <c r="Q1251" t="s">
        <v>24</v>
      </c>
      <c r="R1251">
        <v>2.13</v>
      </c>
      <c r="S1251" t="s">
        <v>43</v>
      </c>
      <c r="T1251" t="str">
        <f t="shared" si="38"/>
        <v>Moderate</v>
      </c>
      <c r="U1251" t="str">
        <f t="shared" si="39"/>
        <v>Expert</v>
      </c>
    </row>
    <row r="1252" spans="1:21" x14ac:dyDescent="0.35">
      <c r="A1252" t="s">
        <v>1325</v>
      </c>
      <c r="B1252" t="s">
        <v>30</v>
      </c>
      <c r="C1252" t="s">
        <v>55</v>
      </c>
      <c r="D1252" t="s">
        <v>66</v>
      </c>
      <c r="E1252" t="s">
        <v>23</v>
      </c>
      <c r="F1252">
        <v>13</v>
      </c>
      <c r="G1252">
        <v>0.48</v>
      </c>
      <c r="H1252">
        <v>0.64</v>
      </c>
      <c r="I1252" t="s">
        <v>60</v>
      </c>
      <c r="J1252">
        <v>47441</v>
      </c>
      <c r="K1252" t="s">
        <v>42</v>
      </c>
      <c r="L1252">
        <v>28</v>
      </c>
      <c r="M1252">
        <v>57</v>
      </c>
      <c r="N1252" t="s">
        <v>35</v>
      </c>
      <c r="O1252" t="s">
        <v>25</v>
      </c>
      <c r="P1252">
        <v>4.4400000000000004</v>
      </c>
      <c r="Q1252" t="s">
        <v>24</v>
      </c>
      <c r="R1252">
        <v>1.03</v>
      </c>
      <c r="S1252" t="s">
        <v>28</v>
      </c>
      <c r="T1252" t="str">
        <f t="shared" si="38"/>
        <v>High</v>
      </c>
      <c r="U1252" t="str">
        <f t="shared" si="39"/>
        <v>Experienced</v>
      </c>
    </row>
    <row r="1253" spans="1:21" x14ac:dyDescent="0.35">
      <c r="A1253" t="s">
        <v>1326</v>
      </c>
      <c r="B1253" t="s">
        <v>57</v>
      </c>
      <c r="C1253" t="s">
        <v>31</v>
      </c>
      <c r="D1253" t="s">
        <v>63</v>
      </c>
      <c r="E1253" t="s">
        <v>41</v>
      </c>
      <c r="F1253">
        <v>20</v>
      </c>
      <c r="G1253">
        <v>0.73</v>
      </c>
      <c r="H1253">
        <v>0.54</v>
      </c>
      <c r="I1253" t="s">
        <v>34</v>
      </c>
      <c r="J1253">
        <v>176846</v>
      </c>
      <c r="K1253" t="s">
        <v>27</v>
      </c>
      <c r="L1253">
        <v>35</v>
      </c>
      <c r="M1253">
        <v>31</v>
      </c>
      <c r="N1253" t="s">
        <v>35</v>
      </c>
      <c r="O1253" t="s">
        <v>36</v>
      </c>
      <c r="P1253">
        <v>2.38</v>
      </c>
      <c r="Q1253" t="s">
        <v>34</v>
      </c>
      <c r="R1253">
        <v>4.7699999999999996</v>
      </c>
      <c r="S1253" t="s">
        <v>43</v>
      </c>
      <c r="T1253" t="str">
        <f t="shared" si="38"/>
        <v>Moderate</v>
      </c>
      <c r="U1253" t="str">
        <f t="shared" si="39"/>
        <v>Expert</v>
      </c>
    </row>
    <row r="1254" spans="1:21" x14ac:dyDescent="0.35">
      <c r="A1254" t="s">
        <v>1327</v>
      </c>
      <c r="B1254" t="s">
        <v>20</v>
      </c>
      <c r="C1254" t="s">
        <v>46</v>
      </c>
      <c r="D1254" t="s">
        <v>49</v>
      </c>
      <c r="E1254" t="s">
        <v>33</v>
      </c>
      <c r="F1254">
        <v>23</v>
      </c>
      <c r="G1254">
        <v>0.79</v>
      </c>
      <c r="H1254">
        <v>0.94</v>
      </c>
      <c r="I1254" t="s">
        <v>24</v>
      </c>
      <c r="J1254">
        <v>32006</v>
      </c>
      <c r="K1254" t="s">
        <v>27</v>
      </c>
      <c r="L1254">
        <v>19</v>
      </c>
      <c r="M1254">
        <v>54</v>
      </c>
      <c r="N1254" t="s">
        <v>35</v>
      </c>
      <c r="O1254" t="s">
        <v>27</v>
      </c>
      <c r="P1254">
        <v>4.5999999999999996</v>
      </c>
      <c r="Q1254" t="s">
        <v>24</v>
      </c>
      <c r="R1254">
        <v>4.8</v>
      </c>
      <c r="S1254" t="s">
        <v>43</v>
      </c>
      <c r="T1254" t="str">
        <f t="shared" si="38"/>
        <v>High</v>
      </c>
      <c r="U1254" t="str">
        <f t="shared" si="39"/>
        <v>Expert</v>
      </c>
    </row>
    <row r="1255" spans="1:21" x14ac:dyDescent="0.35">
      <c r="A1255" t="s">
        <v>1328</v>
      </c>
      <c r="B1255" t="s">
        <v>89</v>
      </c>
      <c r="C1255" t="s">
        <v>55</v>
      </c>
      <c r="D1255" t="s">
        <v>69</v>
      </c>
      <c r="E1255" t="s">
        <v>33</v>
      </c>
      <c r="F1255">
        <v>0</v>
      </c>
      <c r="G1255">
        <v>0.31</v>
      </c>
      <c r="H1255">
        <v>0.45</v>
      </c>
      <c r="I1255" t="s">
        <v>60</v>
      </c>
      <c r="J1255">
        <v>211742</v>
      </c>
      <c r="K1255" t="s">
        <v>25</v>
      </c>
      <c r="L1255">
        <v>-10</v>
      </c>
      <c r="M1255">
        <v>44</v>
      </c>
      <c r="N1255" t="s">
        <v>35</v>
      </c>
      <c r="O1255" t="s">
        <v>25</v>
      </c>
      <c r="P1255">
        <v>2.2200000000000002</v>
      </c>
      <c r="Q1255" t="s">
        <v>24</v>
      </c>
      <c r="R1255">
        <v>3.87</v>
      </c>
      <c r="S1255" t="s">
        <v>43</v>
      </c>
      <c r="T1255" t="str">
        <f t="shared" si="38"/>
        <v>High</v>
      </c>
      <c r="U1255" t="str">
        <f t="shared" si="39"/>
        <v>Beginner</v>
      </c>
    </row>
    <row r="1256" spans="1:21" x14ac:dyDescent="0.35">
      <c r="A1256" t="s">
        <v>1329</v>
      </c>
      <c r="B1256" t="s">
        <v>147</v>
      </c>
      <c r="C1256" t="s">
        <v>107</v>
      </c>
      <c r="D1256" t="s">
        <v>49</v>
      </c>
      <c r="E1256" t="s">
        <v>23</v>
      </c>
      <c r="F1256">
        <v>3</v>
      </c>
      <c r="G1256">
        <v>0.24</v>
      </c>
      <c r="H1256">
        <v>0.74</v>
      </c>
      <c r="I1256" t="s">
        <v>60</v>
      </c>
      <c r="J1256">
        <v>43586</v>
      </c>
      <c r="K1256" t="s">
        <v>27</v>
      </c>
      <c r="L1256">
        <v>17</v>
      </c>
      <c r="M1256">
        <v>59</v>
      </c>
      <c r="N1256" t="s">
        <v>35</v>
      </c>
      <c r="O1256" t="s">
        <v>27</v>
      </c>
      <c r="P1256">
        <v>3.74</v>
      </c>
      <c r="Q1256" t="s">
        <v>34</v>
      </c>
      <c r="R1256">
        <v>1.43</v>
      </c>
      <c r="S1256" t="s">
        <v>43</v>
      </c>
      <c r="T1256" t="str">
        <f t="shared" si="38"/>
        <v>Very High</v>
      </c>
      <c r="U1256" t="str">
        <f t="shared" si="39"/>
        <v>Intermediate</v>
      </c>
    </row>
    <row r="1257" spans="1:21" x14ac:dyDescent="0.35">
      <c r="A1257" t="s">
        <v>1330</v>
      </c>
      <c r="B1257" t="s">
        <v>96</v>
      </c>
      <c r="C1257" t="s">
        <v>55</v>
      </c>
      <c r="D1257" t="s">
        <v>59</v>
      </c>
      <c r="E1257" t="s">
        <v>33</v>
      </c>
      <c r="F1257">
        <v>9</v>
      </c>
      <c r="G1257">
        <v>0.32</v>
      </c>
      <c r="H1257">
        <v>0.68</v>
      </c>
      <c r="I1257" t="s">
        <v>34</v>
      </c>
      <c r="J1257">
        <v>219642</v>
      </c>
      <c r="K1257" t="s">
        <v>25</v>
      </c>
      <c r="L1257">
        <v>-9</v>
      </c>
      <c r="M1257">
        <v>49</v>
      </c>
      <c r="N1257" t="s">
        <v>26</v>
      </c>
      <c r="O1257" t="s">
        <v>36</v>
      </c>
      <c r="P1257">
        <v>2.46</v>
      </c>
      <c r="Q1257" t="s">
        <v>34</v>
      </c>
      <c r="R1257">
        <v>4.78</v>
      </c>
      <c r="S1257" t="s">
        <v>28</v>
      </c>
      <c r="T1257" t="str">
        <f t="shared" si="38"/>
        <v>High</v>
      </c>
      <c r="U1257" t="str">
        <f t="shared" si="39"/>
        <v>Experienced</v>
      </c>
    </row>
    <row r="1258" spans="1:21" x14ac:dyDescent="0.35">
      <c r="A1258" t="s">
        <v>1331</v>
      </c>
      <c r="B1258" t="s">
        <v>45</v>
      </c>
      <c r="C1258" t="s">
        <v>31</v>
      </c>
      <c r="D1258" t="s">
        <v>59</v>
      </c>
      <c r="E1258" t="s">
        <v>41</v>
      </c>
      <c r="F1258">
        <v>14</v>
      </c>
      <c r="G1258">
        <v>0.21</v>
      </c>
      <c r="H1258">
        <v>0.86</v>
      </c>
      <c r="I1258" t="s">
        <v>24</v>
      </c>
      <c r="J1258">
        <v>181900</v>
      </c>
      <c r="K1258" t="s">
        <v>42</v>
      </c>
      <c r="L1258">
        <v>34</v>
      </c>
      <c r="M1258">
        <v>39</v>
      </c>
      <c r="N1258" t="s">
        <v>42</v>
      </c>
      <c r="O1258" t="s">
        <v>27</v>
      </c>
      <c r="P1258">
        <v>2.73</v>
      </c>
      <c r="Q1258" t="s">
        <v>24</v>
      </c>
      <c r="R1258">
        <v>4.05</v>
      </c>
      <c r="S1258" t="s">
        <v>43</v>
      </c>
      <c r="T1258" t="str">
        <f t="shared" si="38"/>
        <v>Very High</v>
      </c>
      <c r="U1258" t="str">
        <f t="shared" si="39"/>
        <v>Experienced</v>
      </c>
    </row>
    <row r="1259" spans="1:21" x14ac:dyDescent="0.35">
      <c r="A1259" t="s">
        <v>1332</v>
      </c>
      <c r="B1259" t="s">
        <v>106</v>
      </c>
      <c r="C1259" t="s">
        <v>52</v>
      </c>
      <c r="D1259" t="s">
        <v>75</v>
      </c>
      <c r="E1259" t="s">
        <v>41</v>
      </c>
      <c r="F1259">
        <v>16</v>
      </c>
      <c r="G1259">
        <v>0.14000000000000001</v>
      </c>
      <c r="H1259">
        <v>0.25</v>
      </c>
      <c r="I1259" t="s">
        <v>24</v>
      </c>
      <c r="J1259">
        <v>215817</v>
      </c>
      <c r="K1259" t="s">
        <v>25</v>
      </c>
      <c r="L1259">
        <v>15</v>
      </c>
      <c r="M1259">
        <v>41</v>
      </c>
      <c r="N1259" t="s">
        <v>26</v>
      </c>
      <c r="O1259" t="s">
        <v>27</v>
      </c>
      <c r="P1259">
        <v>4.1500000000000004</v>
      </c>
      <c r="Q1259" t="s">
        <v>34</v>
      </c>
      <c r="R1259">
        <v>4.38</v>
      </c>
      <c r="S1259" t="s">
        <v>43</v>
      </c>
      <c r="T1259" t="str">
        <f t="shared" si="38"/>
        <v>High</v>
      </c>
      <c r="U1259" t="str">
        <f t="shared" si="39"/>
        <v>Expert</v>
      </c>
    </row>
    <row r="1260" spans="1:21" x14ac:dyDescent="0.35">
      <c r="A1260" t="s">
        <v>1333</v>
      </c>
      <c r="B1260" t="s">
        <v>45</v>
      </c>
      <c r="C1260" t="s">
        <v>46</v>
      </c>
      <c r="D1260" t="s">
        <v>32</v>
      </c>
      <c r="E1260" t="s">
        <v>41</v>
      </c>
      <c r="F1260">
        <v>9</v>
      </c>
      <c r="G1260">
        <v>0.5</v>
      </c>
      <c r="H1260">
        <v>0.36</v>
      </c>
      <c r="I1260" t="s">
        <v>60</v>
      </c>
      <c r="J1260">
        <v>158973</v>
      </c>
      <c r="K1260" t="s">
        <v>42</v>
      </c>
      <c r="L1260">
        <v>20</v>
      </c>
      <c r="M1260">
        <v>48</v>
      </c>
      <c r="N1260" t="s">
        <v>35</v>
      </c>
      <c r="O1260" t="s">
        <v>36</v>
      </c>
      <c r="P1260">
        <v>3.15</v>
      </c>
      <c r="Q1260" t="s">
        <v>34</v>
      </c>
      <c r="R1260">
        <v>4.9400000000000004</v>
      </c>
      <c r="S1260" t="s">
        <v>43</v>
      </c>
      <c r="T1260" t="str">
        <f t="shared" si="38"/>
        <v>Moderate</v>
      </c>
      <c r="U1260" t="str">
        <f t="shared" si="39"/>
        <v>Experienced</v>
      </c>
    </row>
    <row r="1261" spans="1:21" x14ac:dyDescent="0.35">
      <c r="A1261" t="s">
        <v>1334</v>
      </c>
      <c r="B1261" t="s">
        <v>106</v>
      </c>
      <c r="C1261" t="s">
        <v>52</v>
      </c>
      <c r="D1261" t="s">
        <v>69</v>
      </c>
      <c r="E1261" t="s">
        <v>70</v>
      </c>
      <c r="F1261">
        <v>4</v>
      </c>
      <c r="G1261">
        <v>0.13</v>
      </c>
      <c r="H1261">
        <v>0.99</v>
      </c>
      <c r="I1261" t="s">
        <v>60</v>
      </c>
      <c r="J1261">
        <v>159723</v>
      </c>
      <c r="K1261" t="s">
        <v>25</v>
      </c>
      <c r="L1261">
        <v>9</v>
      </c>
      <c r="M1261">
        <v>42</v>
      </c>
      <c r="N1261" t="s">
        <v>26</v>
      </c>
      <c r="O1261" t="s">
        <v>36</v>
      </c>
      <c r="P1261">
        <v>2.79</v>
      </c>
      <c r="Q1261" t="s">
        <v>24</v>
      </c>
      <c r="R1261">
        <v>4.95</v>
      </c>
      <c r="S1261" t="s">
        <v>43</v>
      </c>
      <c r="T1261" t="str">
        <f t="shared" si="38"/>
        <v>Very High</v>
      </c>
      <c r="U1261" t="str">
        <f t="shared" si="39"/>
        <v>Intermediate</v>
      </c>
    </row>
    <row r="1262" spans="1:21" x14ac:dyDescent="0.35">
      <c r="A1262" t="s">
        <v>1335</v>
      </c>
      <c r="B1262" t="s">
        <v>106</v>
      </c>
      <c r="C1262" t="s">
        <v>58</v>
      </c>
      <c r="D1262" t="s">
        <v>80</v>
      </c>
      <c r="E1262" t="s">
        <v>23</v>
      </c>
      <c r="F1262">
        <v>21</v>
      </c>
      <c r="G1262">
        <v>0.08</v>
      </c>
      <c r="H1262">
        <v>0.9</v>
      </c>
      <c r="I1262" t="s">
        <v>24</v>
      </c>
      <c r="J1262">
        <v>207026</v>
      </c>
      <c r="K1262" t="s">
        <v>25</v>
      </c>
      <c r="L1262">
        <v>9</v>
      </c>
      <c r="M1262">
        <v>51</v>
      </c>
      <c r="N1262" t="s">
        <v>26</v>
      </c>
      <c r="O1262" t="s">
        <v>36</v>
      </c>
      <c r="P1262">
        <v>4.37</v>
      </c>
      <c r="Q1262" t="s">
        <v>34</v>
      </c>
      <c r="R1262">
        <v>1.34</v>
      </c>
      <c r="S1262" t="s">
        <v>47</v>
      </c>
      <c r="T1262" t="str">
        <f t="shared" si="38"/>
        <v>Very High</v>
      </c>
      <c r="U1262" t="str">
        <f t="shared" si="39"/>
        <v>Expert</v>
      </c>
    </row>
    <row r="1263" spans="1:21" x14ac:dyDescent="0.35">
      <c r="A1263" t="s">
        <v>1336</v>
      </c>
      <c r="B1263" t="s">
        <v>102</v>
      </c>
      <c r="C1263" t="s">
        <v>39</v>
      </c>
      <c r="D1263" t="s">
        <v>63</v>
      </c>
      <c r="E1263" t="s">
        <v>23</v>
      </c>
      <c r="F1263">
        <v>20</v>
      </c>
      <c r="G1263">
        <v>0.41</v>
      </c>
      <c r="H1263">
        <v>0.71</v>
      </c>
      <c r="I1263" t="s">
        <v>24</v>
      </c>
      <c r="J1263">
        <v>44947</v>
      </c>
      <c r="K1263" t="s">
        <v>42</v>
      </c>
      <c r="L1263">
        <v>28</v>
      </c>
      <c r="M1263">
        <v>52</v>
      </c>
      <c r="N1263" t="s">
        <v>35</v>
      </c>
      <c r="O1263" t="s">
        <v>25</v>
      </c>
      <c r="P1263">
        <v>2.27</v>
      </c>
      <c r="Q1263" t="s">
        <v>24</v>
      </c>
      <c r="R1263">
        <v>1.23</v>
      </c>
      <c r="S1263" t="s">
        <v>47</v>
      </c>
      <c r="T1263" t="str">
        <f t="shared" si="38"/>
        <v>High</v>
      </c>
      <c r="U1263" t="str">
        <f t="shared" si="39"/>
        <v>Expert</v>
      </c>
    </row>
    <row r="1264" spans="1:21" x14ac:dyDescent="0.35">
      <c r="A1264" t="s">
        <v>1337</v>
      </c>
      <c r="B1264" t="s">
        <v>62</v>
      </c>
      <c r="C1264" t="s">
        <v>55</v>
      </c>
      <c r="D1264" t="s">
        <v>75</v>
      </c>
      <c r="E1264" t="s">
        <v>33</v>
      </c>
      <c r="F1264">
        <v>16</v>
      </c>
      <c r="G1264">
        <v>0.55000000000000004</v>
      </c>
      <c r="H1264">
        <v>0.61</v>
      </c>
      <c r="I1264" t="s">
        <v>60</v>
      </c>
      <c r="J1264">
        <v>30931</v>
      </c>
      <c r="K1264" t="s">
        <v>25</v>
      </c>
      <c r="L1264">
        <v>11</v>
      </c>
      <c r="M1264">
        <v>52</v>
      </c>
      <c r="N1264" t="s">
        <v>42</v>
      </c>
      <c r="O1264" t="s">
        <v>25</v>
      </c>
      <c r="P1264">
        <v>3.01</v>
      </c>
      <c r="Q1264" t="s">
        <v>24</v>
      </c>
      <c r="R1264">
        <v>3.5</v>
      </c>
      <c r="S1264" t="s">
        <v>47</v>
      </c>
      <c r="T1264" t="str">
        <f t="shared" si="38"/>
        <v>High</v>
      </c>
      <c r="U1264" t="str">
        <f t="shared" si="39"/>
        <v>Expert</v>
      </c>
    </row>
    <row r="1265" spans="1:21" x14ac:dyDescent="0.35">
      <c r="A1265" t="s">
        <v>1338</v>
      </c>
      <c r="B1265" t="s">
        <v>94</v>
      </c>
      <c r="C1265" t="s">
        <v>52</v>
      </c>
      <c r="D1265" t="s">
        <v>32</v>
      </c>
      <c r="E1265" t="s">
        <v>41</v>
      </c>
      <c r="F1265">
        <v>16</v>
      </c>
      <c r="G1265">
        <v>0.45</v>
      </c>
      <c r="H1265">
        <v>0.54</v>
      </c>
      <c r="I1265" t="s">
        <v>24</v>
      </c>
      <c r="J1265">
        <v>93554</v>
      </c>
      <c r="K1265" t="s">
        <v>25</v>
      </c>
      <c r="L1265">
        <v>-2</v>
      </c>
      <c r="M1265">
        <v>51</v>
      </c>
      <c r="N1265" t="s">
        <v>26</v>
      </c>
      <c r="O1265" t="s">
        <v>36</v>
      </c>
      <c r="P1265">
        <v>3.56</v>
      </c>
      <c r="Q1265" t="s">
        <v>34</v>
      </c>
      <c r="R1265">
        <v>4.41</v>
      </c>
      <c r="S1265" t="s">
        <v>28</v>
      </c>
      <c r="T1265" t="str">
        <f t="shared" si="38"/>
        <v>High</v>
      </c>
      <c r="U1265" t="str">
        <f t="shared" si="39"/>
        <v>Expert</v>
      </c>
    </row>
    <row r="1266" spans="1:21" x14ac:dyDescent="0.35">
      <c r="A1266" t="s">
        <v>1339</v>
      </c>
      <c r="B1266" t="s">
        <v>45</v>
      </c>
      <c r="C1266" t="s">
        <v>21</v>
      </c>
      <c r="D1266" t="s">
        <v>75</v>
      </c>
      <c r="E1266" t="s">
        <v>70</v>
      </c>
      <c r="F1266">
        <v>21</v>
      </c>
      <c r="G1266">
        <v>0.83</v>
      </c>
      <c r="H1266">
        <v>0.92</v>
      </c>
      <c r="I1266" t="s">
        <v>60</v>
      </c>
      <c r="J1266">
        <v>87747</v>
      </c>
      <c r="K1266" t="s">
        <v>25</v>
      </c>
      <c r="L1266">
        <v>33</v>
      </c>
      <c r="M1266">
        <v>54</v>
      </c>
      <c r="N1266" t="s">
        <v>26</v>
      </c>
      <c r="O1266" t="s">
        <v>25</v>
      </c>
      <c r="P1266">
        <v>2.0299999999999998</v>
      </c>
      <c r="Q1266" t="s">
        <v>34</v>
      </c>
      <c r="R1266">
        <v>2.99</v>
      </c>
      <c r="S1266" t="s">
        <v>47</v>
      </c>
      <c r="T1266" t="str">
        <f t="shared" si="38"/>
        <v>High</v>
      </c>
      <c r="U1266" t="str">
        <f t="shared" si="39"/>
        <v>Expert</v>
      </c>
    </row>
    <row r="1267" spans="1:21" x14ac:dyDescent="0.35">
      <c r="A1267" t="s">
        <v>1340</v>
      </c>
      <c r="B1267" t="s">
        <v>94</v>
      </c>
      <c r="C1267" t="s">
        <v>46</v>
      </c>
      <c r="D1267" t="s">
        <v>59</v>
      </c>
      <c r="E1267" t="s">
        <v>23</v>
      </c>
      <c r="F1267">
        <v>13</v>
      </c>
      <c r="G1267">
        <v>0.94</v>
      </c>
      <c r="H1267">
        <v>0.79</v>
      </c>
      <c r="I1267" t="s">
        <v>60</v>
      </c>
      <c r="J1267">
        <v>66682</v>
      </c>
      <c r="K1267" t="s">
        <v>42</v>
      </c>
      <c r="L1267">
        <v>31</v>
      </c>
      <c r="M1267">
        <v>30</v>
      </c>
      <c r="N1267" t="s">
        <v>26</v>
      </c>
      <c r="O1267" t="s">
        <v>25</v>
      </c>
      <c r="P1267">
        <v>3.22</v>
      </c>
      <c r="Q1267" t="s">
        <v>34</v>
      </c>
      <c r="R1267">
        <v>2.71</v>
      </c>
      <c r="S1267" t="s">
        <v>28</v>
      </c>
      <c r="T1267" t="str">
        <f t="shared" si="38"/>
        <v>Moderate</v>
      </c>
      <c r="U1267" t="str">
        <f t="shared" si="39"/>
        <v>Experienced</v>
      </c>
    </row>
    <row r="1268" spans="1:21" x14ac:dyDescent="0.35">
      <c r="A1268" t="s">
        <v>1341</v>
      </c>
      <c r="B1268" t="s">
        <v>65</v>
      </c>
      <c r="C1268" t="s">
        <v>55</v>
      </c>
      <c r="D1268" t="s">
        <v>59</v>
      </c>
      <c r="E1268" t="s">
        <v>23</v>
      </c>
      <c r="F1268">
        <v>7</v>
      </c>
      <c r="G1268">
        <v>0.41</v>
      </c>
      <c r="H1268">
        <v>0.91</v>
      </c>
      <c r="I1268" t="s">
        <v>34</v>
      </c>
      <c r="J1268">
        <v>202543</v>
      </c>
      <c r="K1268" t="s">
        <v>27</v>
      </c>
      <c r="L1268">
        <v>23</v>
      </c>
      <c r="M1268">
        <v>58</v>
      </c>
      <c r="N1268" t="s">
        <v>26</v>
      </c>
      <c r="O1268" t="s">
        <v>27</v>
      </c>
      <c r="P1268">
        <v>3.07</v>
      </c>
      <c r="Q1268" t="s">
        <v>24</v>
      </c>
      <c r="R1268">
        <v>3.91</v>
      </c>
      <c r="S1268" t="s">
        <v>43</v>
      </c>
      <c r="T1268" t="str">
        <f t="shared" si="38"/>
        <v>High</v>
      </c>
      <c r="U1268" t="str">
        <f t="shared" si="39"/>
        <v>Intermediate</v>
      </c>
    </row>
    <row r="1269" spans="1:21" x14ac:dyDescent="0.35">
      <c r="A1269" t="s">
        <v>1342</v>
      </c>
      <c r="B1269" t="s">
        <v>91</v>
      </c>
      <c r="C1269" t="s">
        <v>55</v>
      </c>
      <c r="D1269" t="s">
        <v>80</v>
      </c>
      <c r="E1269" t="s">
        <v>41</v>
      </c>
      <c r="F1269">
        <v>18</v>
      </c>
      <c r="G1269">
        <v>0.19</v>
      </c>
      <c r="H1269">
        <v>0.54</v>
      </c>
      <c r="I1269" t="s">
        <v>60</v>
      </c>
      <c r="J1269">
        <v>144027</v>
      </c>
      <c r="K1269" t="s">
        <v>27</v>
      </c>
      <c r="L1269">
        <v>2</v>
      </c>
      <c r="M1269">
        <v>44</v>
      </c>
      <c r="N1269" t="s">
        <v>26</v>
      </c>
      <c r="O1269" t="s">
        <v>36</v>
      </c>
      <c r="P1269">
        <v>2.2599999999999998</v>
      </c>
      <c r="Q1269" t="s">
        <v>34</v>
      </c>
      <c r="R1269">
        <v>4.96</v>
      </c>
      <c r="S1269" t="s">
        <v>43</v>
      </c>
      <c r="T1269" t="str">
        <f t="shared" si="38"/>
        <v>High</v>
      </c>
      <c r="U1269" t="str">
        <f t="shared" si="39"/>
        <v>Expert</v>
      </c>
    </row>
    <row r="1270" spans="1:21" x14ac:dyDescent="0.35">
      <c r="A1270" t="s">
        <v>1343</v>
      </c>
      <c r="B1270" t="s">
        <v>38</v>
      </c>
      <c r="C1270" t="s">
        <v>55</v>
      </c>
      <c r="D1270" t="s">
        <v>40</v>
      </c>
      <c r="E1270" t="s">
        <v>33</v>
      </c>
      <c r="F1270">
        <v>10</v>
      </c>
      <c r="G1270">
        <v>0.56999999999999995</v>
      </c>
      <c r="H1270">
        <v>0.39</v>
      </c>
      <c r="I1270" t="s">
        <v>34</v>
      </c>
      <c r="J1270">
        <v>113359</v>
      </c>
      <c r="K1270" t="s">
        <v>27</v>
      </c>
      <c r="L1270">
        <v>20</v>
      </c>
      <c r="M1270">
        <v>45</v>
      </c>
      <c r="N1270" t="s">
        <v>42</v>
      </c>
      <c r="O1270" t="s">
        <v>25</v>
      </c>
      <c r="P1270">
        <v>3.3</v>
      </c>
      <c r="Q1270" t="s">
        <v>34</v>
      </c>
      <c r="R1270">
        <v>2.52</v>
      </c>
      <c r="S1270" t="s">
        <v>47</v>
      </c>
      <c r="T1270" t="str">
        <f t="shared" si="38"/>
        <v>Moderate</v>
      </c>
      <c r="U1270" t="str">
        <f t="shared" si="39"/>
        <v>Experienced</v>
      </c>
    </row>
    <row r="1271" spans="1:21" x14ac:dyDescent="0.35">
      <c r="A1271" t="s">
        <v>1344</v>
      </c>
      <c r="B1271" t="s">
        <v>62</v>
      </c>
      <c r="C1271" t="s">
        <v>21</v>
      </c>
      <c r="D1271" t="s">
        <v>49</v>
      </c>
      <c r="E1271" t="s">
        <v>41</v>
      </c>
      <c r="F1271">
        <v>24</v>
      </c>
      <c r="G1271">
        <v>0.08</v>
      </c>
      <c r="H1271">
        <v>0.26</v>
      </c>
      <c r="I1271" t="s">
        <v>34</v>
      </c>
      <c r="J1271">
        <v>216274</v>
      </c>
      <c r="K1271" t="s">
        <v>42</v>
      </c>
      <c r="L1271">
        <v>20</v>
      </c>
      <c r="M1271">
        <v>47</v>
      </c>
      <c r="N1271" t="s">
        <v>26</v>
      </c>
      <c r="O1271" t="s">
        <v>25</v>
      </c>
      <c r="P1271">
        <v>3.71</v>
      </c>
      <c r="Q1271" t="s">
        <v>24</v>
      </c>
      <c r="R1271">
        <v>3.36</v>
      </c>
      <c r="S1271" t="s">
        <v>43</v>
      </c>
      <c r="T1271" t="str">
        <f t="shared" si="38"/>
        <v>High</v>
      </c>
      <c r="U1271" t="str">
        <f t="shared" si="39"/>
        <v>Expert</v>
      </c>
    </row>
    <row r="1272" spans="1:21" x14ac:dyDescent="0.35">
      <c r="A1272" t="s">
        <v>1345</v>
      </c>
      <c r="B1272" t="s">
        <v>73</v>
      </c>
      <c r="C1272" t="s">
        <v>58</v>
      </c>
      <c r="D1272" t="s">
        <v>63</v>
      </c>
      <c r="E1272" t="s">
        <v>41</v>
      </c>
      <c r="F1272">
        <v>0</v>
      </c>
      <c r="G1272">
        <v>0.81</v>
      </c>
      <c r="H1272">
        <v>0.44</v>
      </c>
      <c r="I1272" t="s">
        <v>60</v>
      </c>
      <c r="J1272">
        <v>142336</v>
      </c>
      <c r="K1272" t="s">
        <v>27</v>
      </c>
      <c r="L1272">
        <v>1</v>
      </c>
      <c r="M1272">
        <v>38</v>
      </c>
      <c r="N1272" t="s">
        <v>42</v>
      </c>
      <c r="O1272" t="s">
        <v>27</v>
      </c>
      <c r="P1272">
        <v>4.1100000000000003</v>
      </c>
      <c r="Q1272" t="s">
        <v>24</v>
      </c>
      <c r="R1272">
        <v>3.09</v>
      </c>
      <c r="S1272" t="s">
        <v>43</v>
      </c>
      <c r="T1272" t="str">
        <f t="shared" si="38"/>
        <v>Very Low</v>
      </c>
      <c r="U1272" t="str">
        <f t="shared" si="39"/>
        <v>Beginner</v>
      </c>
    </row>
    <row r="1273" spans="1:21" x14ac:dyDescent="0.35">
      <c r="A1273" t="s">
        <v>1346</v>
      </c>
      <c r="B1273" t="s">
        <v>156</v>
      </c>
      <c r="C1273" t="s">
        <v>21</v>
      </c>
      <c r="D1273" t="s">
        <v>40</v>
      </c>
      <c r="E1273" t="s">
        <v>33</v>
      </c>
      <c r="F1273">
        <v>10</v>
      </c>
      <c r="G1273">
        <v>0.06</v>
      </c>
      <c r="H1273">
        <v>0.31</v>
      </c>
      <c r="I1273" t="s">
        <v>60</v>
      </c>
      <c r="J1273">
        <v>81426</v>
      </c>
      <c r="K1273" t="s">
        <v>25</v>
      </c>
      <c r="L1273">
        <v>-6</v>
      </c>
      <c r="M1273">
        <v>50</v>
      </c>
      <c r="N1273" t="s">
        <v>26</v>
      </c>
      <c r="O1273" t="s">
        <v>36</v>
      </c>
      <c r="P1273">
        <v>4.51</v>
      </c>
      <c r="Q1273" t="s">
        <v>24</v>
      </c>
      <c r="R1273">
        <v>2.97</v>
      </c>
      <c r="S1273" t="s">
        <v>47</v>
      </c>
      <c r="T1273" t="str">
        <f t="shared" si="38"/>
        <v>High</v>
      </c>
      <c r="U1273" t="str">
        <f t="shared" si="39"/>
        <v>Experienced</v>
      </c>
    </row>
    <row r="1274" spans="1:21" x14ac:dyDescent="0.35">
      <c r="A1274" t="s">
        <v>1347</v>
      </c>
      <c r="B1274" t="s">
        <v>94</v>
      </c>
      <c r="C1274" t="s">
        <v>46</v>
      </c>
      <c r="D1274" t="s">
        <v>59</v>
      </c>
      <c r="E1274" t="s">
        <v>41</v>
      </c>
      <c r="F1274">
        <v>20</v>
      </c>
      <c r="G1274">
        <v>0.95</v>
      </c>
      <c r="H1274">
        <v>0.33</v>
      </c>
      <c r="I1274" t="s">
        <v>60</v>
      </c>
      <c r="J1274">
        <v>79553</v>
      </c>
      <c r="K1274" t="s">
        <v>25</v>
      </c>
      <c r="L1274">
        <v>14</v>
      </c>
      <c r="M1274">
        <v>35</v>
      </c>
      <c r="N1274" t="s">
        <v>35</v>
      </c>
      <c r="O1274" t="s">
        <v>25</v>
      </c>
      <c r="P1274">
        <v>4.3499999999999996</v>
      </c>
      <c r="Q1274" t="s">
        <v>34</v>
      </c>
      <c r="R1274">
        <v>3.56</v>
      </c>
      <c r="S1274" t="s">
        <v>47</v>
      </c>
      <c r="T1274" t="str">
        <f t="shared" si="38"/>
        <v>Very Low</v>
      </c>
      <c r="U1274" t="str">
        <f t="shared" si="39"/>
        <v>Expert</v>
      </c>
    </row>
    <row r="1275" spans="1:21" x14ac:dyDescent="0.35">
      <c r="A1275" t="s">
        <v>1348</v>
      </c>
      <c r="B1275" t="s">
        <v>38</v>
      </c>
      <c r="C1275" t="s">
        <v>107</v>
      </c>
      <c r="D1275" t="s">
        <v>63</v>
      </c>
      <c r="E1275" t="s">
        <v>33</v>
      </c>
      <c r="F1275">
        <v>15</v>
      </c>
      <c r="G1275">
        <v>0.69</v>
      </c>
      <c r="H1275">
        <v>0.31</v>
      </c>
      <c r="I1275" t="s">
        <v>60</v>
      </c>
      <c r="J1275">
        <v>213959</v>
      </c>
      <c r="K1275" t="s">
        <v>27</v>
      </c>
      <c r="L1275">
        <v>8</v>
      </c>
      <c r="M1275">
        <v>30</v>
      </c>
      <c r="N1275" t="s">
        <v>26</v>
      </c>
      <c r="O1275" t="s">
        <v>36</v>
      </c>
      <c r="P1275">
        <v>3.48</v>
      </c>
      <c r="Q1275" t="s">
        <v>24</v>
      </c>
      <c r="R1275">
        <v>4.2300000000000004</v>
      </c>
      <c r="S1275" t="s">
        <v>43</v>
      </c>
      <c r="T1275" t="str">
        <f t="shared" si="38"/>
        <v>Moderate</v>
      </c>
      <c r="U1275" t="str">
        <f t="shared" si="39"/>
        <v>Experienced</v>
      </c>
    </row>
    <row r="1276" spans="1:21" x14ac:dyDescent="0.35">
      <c r="A1276" t="s">
        <v>1349</v>
      </c>
      <c r="B1276" t="s">
        <v>96</v>
      </c>
      <c r="C1276" t="s">
        <v>55</v>
      </c>
      <c r="D1276" t="s">
        <v>49</v>
      </c>
      <c r="E1276" t="s">
        <v>33</v>
      </c>
      <c r="F1276">
        <v>11</v>
      </c>
      <c r="G1276">
        <v>0.87</v>
      </c>
      <c r="H1276">
        <v>0.4</v>
      </c>
      <c r="I1276" t="s">
        <v>60</v>
      </c>
      <c r="J1276">
        <v>218838</v>
      </c>
      <c r="K1276" t="s">
        <v>42</v>
      </c>
      <c r="L1276">
        <v>6</v>
      </c>
      <c r="M1276">
        <v>60</v>
      </c>
      <c r="N1276" t="s">
        <v>42</v>
      </c>
      <c r="O1276" t="s">
        <v>25</v>
      </c>
      <c r="P1276">
        <v>2.76</v>
      </c>
      <c r="Q1276" t="s">
        <v>24</v>
      </c>
      <c r="R1276">
        <v>2.12</v>
      </c>
      <c r="S1276" t="s">
        <v>28</v>
      </c>
      <c r="T1276" t="str">
        <f t="shared" si="38"/>
        <v>Very Low</v>
      </c>
      <c r="U1276" t="str">
        <f t="shared" si="39"/>
        <v>Experienced</v>
      </c>
    </row>
    <row r="1277" spans="1:21" x14ac:dyDescent="0.35">
      <c r="A1277" t="s">
        <v>1350</v>
      </c>
      <c r="B1277" t="s">
        <v>65</v>
      </c>
      <c r="C1277" t="s">
        <v>39</v>
      </c>
      <c r="D1277" t="s">
        <v>66</v>
      </c>
      <c r="E1277" t="s">
        <v>33</v>
      </c>
      <c r="F1277">
        <v>21</v>
      </c>
      <c r="G1277">
        <v>0.23</v>
      </c>
      <c r="H1277">
        <v>0.79</v>
      </c>
      <c r="I1277" t="s">
        <v>34</v>
      </c>
      <c r="J1277">
        <v>100167</v>
      </c>
      <c r="K1277" t="s">
        <v>27</v>
      </c>
      <c r="L1277">
        <v>25</v>
      </c>
      <c r="M1277">
        <v>60</v>
      </c>
      <c r="N1277" t="s">
        <v>42</v>
      </c>
      <c r="O1277" t="s">
        <v>27</v>
      </c>
      <c r="P1277">
        <v>2.48</v>
      </c>
      <c r="Q1277" t="s">
        <v>34</v>
      </c>
      <c r="R1277">
        <v>4.33</v>
      </c>
      <c r="S1277" t="s">
        <v>47</v>
      </c>
      <c r="T1277" t="str">
        <f t="shared" si="38"/>
        <v>Very High</v>
      </c>
      <c r="U1277" t="str">
        <f t="shared" si="39"/>
        <v>Expert</v>
      </c>
    </row>
    <row r="1278" spans="1:21" x14ac:dyDescent="0.35">
      <c r="A1278" t="s">
        <v>1351</v>
      </c>
      <c r="B1278" t="s">
        <v>147</v>
      </c>
      <c r="C1278" t="s">
        <v>55</v>
      </c>
      <c r="D1278" t="s">
        <v>49</v>
      </c>
      <c r="E1278" t="s">
        <v>41</v>
      </c>
      <c r="F1278">
        <v>16</v>
      </c>
      <c r="G1278">
        <v>0.82</v>
      </c>
      <c r="H1278">
        <v>0.84</v>
      </c>
      <c r="I1278" t="s">
        <v>60</v>
      </c>
      <c r="J1278">
        <v>153931</v>
      </c>
      <c r="K1278" t="s">
        <v>42</v>
      </c>
      <c r="L1278">
        <v>5</v>
      </c>
      <c r="M1278">
        <v>35</v>
      </c>
      <c r="N1278" t="s">
        <v>26</v>
      </c>
      <c r="O1278" t="s">
        <v>36</v>
      </c>
      <c r="P1278">
        <v>4.3099999999999996</v>
      </c>
      <c r="Q1278" t="s">
        <v>24</v>
      </c>
      <c r="R1278">
        <v>3.63</v>
      </c>
      <c r="S1278" t="s">
        <v>28</v>
      </c>
      <c r="T1278" t="str">
        <f t="shared" si="38"/>
        <v>High</v>
      </c>
      <c r="U1278" t="str">
        <f t="shared" si="39"/>
        <v>Expert</v>
      </c>
    </row>
    <row r="1279" spans="1:21" x14ac:dyDescent="0.35">
      <c r="A1279" t="s">
        <v>1352</v>
      </c>
      <c r="B1279" t="s">
        <v>156</v>
      </c>
      <c r="C1279" t="s">
        <v>31</v>
      </c>
      <c r="D1279" t="s">
        <v>63</v>
      </c>
      <c r="E1279" t="s">
        <v>41</v>
      </c>
      <c r="F1279">
        <v>11</v>
      </c>
      <c r="G1279">
        <v>0.35</v>
      </c>
      <c r="H1279">
        <v>0.62</v>
      </c>
      <c r="I1279" t="s">
        <v>60</v>
      </c>
      <c r="J1279">
        <v>123331</v>
      </c>
      <c r="K1279" t="s">
        <v>25</v>
      </c>
      <c r="L1279">
        <v>28</v>
      </c>
      <c r="M1279">
        <v>35</v>
      </c>
      <c r="N1279" t="s">
        <v>26</v>
      </c>
      <c r="O1279" t="s">
        <v>36</v>
      </c>
      <c r="P1279">
        <v>3.2</v>
      </c>
      <c r="Q1279" t="s">
        <v>24</v>
      </c>
      <c r="R1279">
        <v>3.93</v>
      </c>
      <c r="S1279" t="s">
        <v>47</v>
      </c>
      <c r="T1279" t="str">
        <f t="shared" si="38"/>
        <v>High</v>
      </c>
      <c r="U1279" t="str">
        <f t="shared" si="39"/>
        <v>Experienced</v>
      </c>
    </row>
    <row r="1280" spans="1:21" x14ac:dyDescent="0.35">
      <c r="A1280" t="s">
        <v>1353</v>
      </c>
      <c r="B1280" t="s">
        <v>102</v>
      </c>
      <c r="C1280" t="s">
        <v>46</v>
      </c>
      <c r="D1280" t="s">
        <v>75</v>
      </c>
      <c r="E1280" t="s">
        <v>23</v>
      </c>
      <c r="F1280">
        <v>14</v>
      </c>
      <c r="G1280">
        <v>0.2</v>
      </c>
      <c r="H1280">
        <v>0.98</v>
      </c>
      <c r="I1280" t="s">
        <v>24</v>
      </c>
      <c r="J1280">
        <v>188206</v>
      </c>
      <c r="K1280" t="s">
        <v>27</v>
      </c>
      <c r="L1280">
        <v>21</v>
      </c>
      <c r="M1280">
        <v>59</v>
      </c>
      <c r="N1280" t="s">
        <v>35</v>
      </c>
      <c r="O1280" t="s">
        <v>27</v>
      </c>
      <c r="P1280">
        <v>2.94</v>
      </c>
      <c r="Q1280" t="s">
        <v>34</v>
      </c>
      <c r="R1280">
        <v>3.67</v>
      </c>
      <c r="S1280" t="s">
        <v>28</v>
      </c>
      <c r="T1280" t="str">
        <f t="shared" si="38"/>
        <v>Very High</v>
      </c>
      <c r="U1280" t="str">
        <f t="shared" si="39"/>
        <v>Experienced</v>
      </c>
    </row>
    <row r="1281" spans="1:21" x14ac:dyDescent="0.35">
      <c r="A1281" t="s">
        <v>1354</v>
      </c>
      <c r="B1281" t="s">
        <v>68</v>
      </c>
      <c r="C1281" t="s">
        <v>74</v>
      </c>
      <c r="D1281" t="s">
        <v>75</v>
      </c>
      <c r="E1281" t="s">
        <v>33</v>
      </c>
      <c r="F1281">
        <v>22</v>
      </c>
      <c r="G1281">
        <v>0.43</v>
      </c>
      <c r="H1281">
        <v>0.46</v>
      </c>
      <c r="I1281" t="s">
        <v>60</v>
      </c>
      <c r="J1281">
        <v>122055</v>
      </c>
      <c r="K1281" t="s">
        <v>27</v>
      </c>
      <c r="L1281">
        <v>-10</v>
      </c>
      <c r="M1281">
        <v>39</v>
      </c>
      <c r="N1281" t="s">
        <v>42</v>
      </c>
      <c r="O1281" t="s">
        <v>25</v>
      </c>
      <c r="P1281">
        <v>3.97</v>
      </c>
      <c r="Q1281" t="s">
        <v>24</v>
      </c>
      <c r="R1281">
        <v>2.25</v>
      </c>
      <c r="S1281" t="s">
        <v>43</v>
      </c>
      <c r="T1281" t="str">
        <f t="shared" si="38"/>
        <v>High</v>
      </c>
      <c r="U1281" t="str">
        <f t="shared" si="39"/>
        <v>Expert</v>
      </c>
    </row>
    <row r="1282" spans="1:21" x14ac:dyDescent="0.35">
      <c r="A1282" t="s">
        <v>1355</v>
      </c>
      <c r="B1282" t="s">
        <v>57</v>
      </c>
      <c r="C1282" t="s">
        <v>39</v>
      </c>
      <c r="D1282" t="s">
        <v>49</v>
      </c>
      <c r="E1282" t="s">
        <v>70</v>
      </c>
      <c r="F1282">
        <v>6</v>
      </c>
      <c r="G1282">
        <v>0.28999999999999998</v>
      </c>
      <c r="H1282">
        <v>0.74</v>
      </c>
      <c r="I1282" t="s">
        <v>24</v>
      </c>
      <c r="J1282">
        <v>206248</v>
      </c>
      <c r="K1282" t="s">
        <v>27</v>
      </c>
      <c r="L1282">
        <v>36</v>
      </c>
      <c r="M1282">
        <v>58</v>
      </c>
      <c r="N1282" t="s">
        <v>35</v>
      </c>
      <c r="O1282" t="s">
        <v>25</v>
      </c>
      <c r="P1282">
        <v>2.4300000000000002</v>
      </c>
      <c r="Q1282" t="s">
        <v>34</v>
      </c>
      <c r="R1282">
        <v>3.3</v>
      </c>
      <c r="S1282" t="s">
        <v>43</v>
      </c>
      <c r="T1282" t="str">
        <f t="shared" si="38"/>
        <v>Very High</v>
      </c>
      <c r="U1282" t="str">
        <f t="shared" si="39"/>
        <v>Intermediate</v>
      </c>
    </row>
    <row r="1283" spans="1:21" x14ac:dyDescent="0.35">
      <c r="A1283" t="s">
        <v>1356</v>
      </c>
      <c r="B1283" t="s">
        <v>94</v>
      </c>
      <c r="C1283" t="s">
        <v>52</v>
      </c>
      <c r="D1283" t="s">
        <v>32</v>
      </c>
      <c r="E1283" t="s">
        <v>70</v>
      </c>
      <c r="F1283">
        <v>3</v>
      </c>
      <c r="G1283">
        <v>0.46</v>
      </c>
      <c r="H1283">
        <v>0.41</v>
      </c>
      <c r="I1283" t="s">
        <v>60</v>
      </c>
      <c r="J1283">
        <v>174535</v>
      </c>
      <c r="K1283" t="s">
        <v>25</v>
      </c>
      <c r="L1283">
        <v>23</v>
      </c>
      <c r="M1283">
        <v>41</v>
      </c>
      <c r="N1283" t="s">
        <v>42</v>
      </c>
      <c r="O1283" t="s">
        <v>25</v>
      </c>
      <c r="P1283">
        <v>3.59</v>
      </c>
      <c r="Q1283" t="s">
        <v>34</v>
      </c>
      <c r="R1283">
        <v>2.39</v>
      </c>
      <c r="S1283" t="s">
        <v>43</v>
      </c>
      <c r="T1283" t="str">
        <f t="shared" ref="T1283:T1346" si="40">IF(AND(G1283&lt;0.4,H1283&gt;=0.7),"Very High",
IF(AND(G1283&gt;=0.7,H1283&lt;0.5),"Very Low",
IF(G1283&lt;H1283,"High","Moderate")))</f>
        <v>Moderate</v>
      </c>
      <c r="U1283" t="str">
        <f t="shared" ref="U1283:U1346" si="41">_xlfn.IFS(F1283&lt;=2,"Beginner",F1283&lt;=8,"Intermediate",F1283&lt;=15,"Experienced",F1283&lt;=25,"Expert")</f>
        <v>Intermediate</v>
      </c>
    </row>
    <row r="1284" spans="1:21" x14ac:dyDescent="0.35">
      <c r="A1284" t="s">
        <v>1357</v>
      </c>
      <c r="B1284" t="s">
        <v>45</v>
      </c>
      <c r="C1284" t="s">
        <v>46</v>
      </c>
      <c r="D1284" t="s">
        <v>59</v>
      </c>
      <c r="E1284" t="s">
        <v>70</v>
      </c>
      <c r="F1284">
        <v>3</v>
      </c>
      <c r="G1284">
        <v>0.77</v>
      </c>
      <c r="H1284">
        <v>0.85</v>
      </c>
      <c r="I1284" t="s">
        <v>24</v>
      </c>
      <c r="J1284">
        <v>194052</v>
      </c>
      <c r="K1284" t="s">
        <v>42</v>
      </c>
      <c r="L1284">
        <v>32</v>
      </c>
      <c r="M1284">
        <v>58</v>
      </c>
      <c r="N1284" t="s">
        <v>42</v>
      </c>
      <c r="O1284" t="s">
        <v>36</v>
      </c>
      <c r="P1284">
        <v>4.49</v>
      </c>
      <c r="Q1284" t="s">
        <v>34</v>
      </c>
      <c r="R1284">
        <v>4.0199999999999996</v>
      </c>
      <c r="S1284" t="s">
        <v>47</v>
      </c>
      <c r="T1284" t="str">
        <f t="shared" si="40"/>
        <v>High</v>
      </c>
      <c r="U1284" t="str">
        <f t="shared" si="41"/>
        <v>Intermediate</v>
      </c>
    </row>
    <row r="1285" spans="1:21" x14ac:dyDescent="0.35">
      <c r="A1285" t="s">
        <v>1358</v>
      </c>
      <c r="B1285" t="s">
        <v>57</v>
      </c>
      <c r="C1285" t="s">
        <v>107</v>
      </c>
      <c r="D1285" t="s">
        <v>66</v>
      </c>
      <c r="E1285" t="s">
        <v>23</v>
      </c>
      <c r="F1285">
        <v>3</v>
      </c>
      <c r="G1285">
        <v>0.81</v>
      </c>
      <c r="H1285">
        <v>0.53</v>
      </c>
      <c r="I1285" t="s">
        <v>24</v>
      </c>
      <c r="J1285">
        <v>82375</v>
      </c>
      <c r="K1285" t="s">
        <v>25</v>
      </c>
      <c r="L1285">
        <v>32</v>
      </c>
      <c r="M1285">
        <v>40</v>
      </c>
      <c r="N1285" t="s">
        <v>42</v>
      </c>
      <c r="O1285" t="s">
        <v>36</v>
      </c>
      <c r="P1285">
        <v>4.8899999999999997</v>
      </c>
      <c r="Q1285" t="s">
        <v>24</v>
      </c>
      <c r="R1285">
        <v>4.04</v>
      </c>
      <c r="S1285" t="s">
        <v>43</v>
      </c>
      <c r="T1285" t="str">
        <f t="shared" si="40"/>
        <v>Moderate</v>
      </c>
      <c r="U1285" t="str">
        <f t="shared" si="41"/>
        <v>Intermediate</v>
      </c>
    </row>
    <row r="1286" spans="1:21" x14ac:dyDescent="0.35">
      <c r="A1286" t="s">
        <v>1359</v>
      </c>
      <c r="B1286" t="s">
        <v>91</v>
      </c>
      <c r="C1286" t="s">
        <v>52</v>
      </c>
      <c r="D1286" t="s">
        <v>32</v>
      </c>
      <c r="E1286" t="s">
        <v>41</v>
      </c>
      <c r="F1286">
        <v>18</v>
      </c>
      <c r="G1286">
        <v>0.51</v>
      </c>
      <c r="H1286">
        <v>0.62</v>
      </c>
      <c r="I1286" t="s">
        <v>60</v>
      </c>
      <c r="J1286">
        <v>163998</v>
      </c>
      <c r="K1286" t="s">
        <v>25</v>
      </c>
      <c r="L1286">
        <v>17</v>
      </c>
      <c r="M1286">
        <v>48</v>
      </c>
      <c r="N1286" t="s">
        <v>35</v>
      </c>
      <c r="O1286" t="s">
        <v>25</v>
      </c>
      <c r="P1286">
        <v>3.81</v>
      </c>
      <c r="Q1286" t="s">
        <v>34</v>
      </c>
      <c r="R1286">
        <v>1.96</v>
      </c>
      <c r="S1286" t="s">
        <v>47</v>
      </c>
      <c r="T1286" t="str">
        <f t="shared" si="40"/>
        <v>High</v>
      </c>
      <c r="U1286" t="str">
        <f t="shared" si="41"/>
        <v>Expert</v>
      </c>
    </row>
    <row r="1287" spans="1:21" x14ac:dyDescent="0.35">
      <c r="A1287" t="s">
        <v>1360</v>
      </c>
      <c r="B1287" t="s">
        <v>77</v>
      </c>
      <c r="C1287" t="s">
        <v>46</v>
      </c>
      <c r="D1287" t="s">
        <v>80</v>
      </c>
      <c r="E1287" t="s">
        <v>33</v>
      </c>
      <c r="F1287">
        <v>4</v>
      </c>
      <c r="G1287">
        <v>0.35</v>
      </c>
      <c r="H1287">
        <v>0.76</v>
      </c>
      <c r="I1287" t="s">
        <v>60</v>
      </c>
      <c r="J1287">
        <v>219032</v>
      </c>
      <c r="K1287" t="s">
        <v>27</v>
      </c>
      <c r="L1287">
        <v>36</v>
      </c>
      <c r="M1287">
        <v>43</v>
      </c>
      <c r="N1287" t="s">
        <v>42</v>
      </c>
      <c r="O1287" t="s">
        <v>25</v>
      </c>
      <c r="P1287">
        <v>4.03</v>
      </c>
      <c r="Q1287" t="s">
        <v>24</v>
      </c>
      <c r="R1287">
        <v>4.79</v>
      </c>
      <c r="S1287" t="s">
        <v>47</v>
      </c>
      <c r="T1287" t="str">
        <f t="shared" si="40"/>
        <v>Very High</v>
      </c>
      <c r="U1287" t="str">
        <f t="shared" si="41"/>
        <v>Intermediate</v>
      </c>
    </row>
    <row r="1288" spans="1:21" x14ac:dyDescent="0.35">
      <c r="A1288" t="s">
        <v>1361</v>
      </c>
      <c r="B1288" t="s">
        <v>62</v>
      </c>
      <c r="C1288" t="s">
        <v>82</v>
      </c>
      <c r="D1288" t="s">
        <v>75</v>
      </c>
      <c r="E1288" t="s">
        <v>33</v>
      </c>
      <c r="F1288">
        <v>11</v>
      </c>
      <c r="G1288">
        <v>0.36</v>
      </c>
      <c r="H1288">
        <v>0.94</v>
      </c>
      <c r="I1288" t="s">
        <v>60</v>
      </c>
      <c r="J1288">
        <v>202378</v>
      </c>
      <c r="K1288" t="s">
        <v>25</v>
      </c>
      <c r="L1288">
        <v>15</v>
      </c>
      <c r="M1288">
        <v>39</v>
      </c>
      <c r="N1288" t="s">
        <v>42</v>
      </c>
      <c r="O1288" t="s">
        <v>25</v>
      </c>
      <c r="P1288">
        <v>4.58</v>
      </c>
      <c r="Q1288" t="s">
        <v>24</v>
      </c>
      <c r="R1288">
        <v>3.21</v>
      </c>
      <c r="S1288" t="s">
        <v>28</v>
      </c>
      <c r="T1288" t="str">
        <f t="shared" si="40"/>
        <v>Very High</v>
      </c>
      <c r="U1288" t="str">
        <f t="shared" si="41"/>
        <v>Experienced</v>
      </c>
    </row>
    <row r="1289" spans="1:21" x14ac:dyDescent="0.35">
      <c r="A1289" t="s">
        <v>1362</v>
      </c>
      <c r="B1289" t="s">
        <v>96</v>
      </c>
      <c r="C1289" t="s">
        <v>107</v>
      </c>
      <c r="D1289" t="s">
        <v>32</v>
      </c>
      <c r="E1289" t="s">
        <v>41</v>
      </c>
      <c r="F1289">
        <v>3</v>
      </c>
      <c r="G1289">
        <v>0.47</v>
      </c>
      <c r="H1289">
        <v>0.81</v>
      </c>
      <c r="I1289" t="s">
        <v>60</v>
      </c>
      <c r="J1289">
        <v>145753</v>
      </c>
      <c r="K1289" t="s">
        <v>42</v>
      </c>
      <c r="L1289">
        <v>8</v>
      </c>
      <c r="M1289">
        <v>48</v>
      </c>
      <c r="N1289" t="s">
        <v>35</v>
      </c>
      <c r="O1289" t="s">
        <v>27</v>
      </c>
      <c r="P1289">
        <v>2.86</v>
      </c>
      <c r="Q1289" t="s">
        <v>34</v>
      </c>
      <c r="R1289">
        <v>1.78</v>
      </c>
      <c r="S1289" t="s">
        <v>47</v>
      </c>
      <c r="T1289" t="str">
        <f t="shared" si="40"/>
        <v>High</v>
      </c>
      <c r="U1289" t="str">
        <f t="shared" si="41"/>
        <v>Intermediate</v>
      </c>
    </row>
    <row r="1290" spans="1:21" x14ac:dyDescent="0.35">
      <c r="A1290" t="s">
        <v>1363</v>
      </c>
      <c r="B1290" t="s">
        <v>73</v>
      </c>
      <c r="C1290" t="s">
        <v>82</v>
      </c>
      <c r="D1290" t="s">
        <v>22</v>
      </c>
      <c r="E1290" t="s">
        <v>23</v>
      </c>
      <c r="F1290">
        <v>15</v>
      </c>
      <c r="G1290">
        <v>0.6</v>
      </c>
      <c r="H1290">
        <v>0.38</v>
      </c>
      <c r="I1290" t="s">
        <v>24</v>
      </c>
      <c r="J1290">
        <v>52165</v>
      </c>
      <c r="K1290" t="s">
        <v>27</v>
      </c>
      <c r="L1290">
        <v>31</v>
      </c>
      <c r="M1290">
        <v>33</v>
      </c>
      <c r="N1290" t="s">
        <v>42</v>
      </c>
      <c r="O1290" t="s">
        <v>25</v>
      </c>
      <c r="P1290">
        <v>3.22</v>
      </c>
      <c r="Q1290" t="s">
        <v>24</v>
      </c>
      <c r="R1290">
        <v>4.79</v>
      </c>
      <c r="S1290" t="s">
        <v>43</v>
      </c>
      <c r="T1290" t="str">
        <f t="shared" si="40"/>
        <v>Moderate</v>
      </c>
      <c r="U1290" t="str">
        <f t="shared" si="41"/>
        <v>Experienced</v>
      </c>
    </row>
    <row r="1291" spans="1:21" x14ac:dyDescent="0.35">
      <c r="A1291" t="s">
        <v>1364</v>
      </c>
      <c r="B1291" t="s">
        <v>68</v>
      </c>
      <c r="C1291" t="s">
        <v>52</v>
      </c>
      <c r="D1291" t="s">
        <v>32</v>
      </c>
      <c r="E1291" t="s">
        <v>41</v>
      </c>
      <c r="F1291">
        <v>23</v>
      </c>
      <c r="G1291">
        <v>0.46</v>
      </c>
      <c r="H1291">
        <v>0.88</v>
      </c>
      <c r="I1291" t="s">
        <v>24</v>
      </c>
      <c r="J1291">
        <v>163492</v>
      </c>
      <c r="K1291" t="s">
        <v>27</v>
      </c>
      <c r="L1291">
        <v>22</v>
      </c>
      <c r="M1291">
        <v>45</v>
      </c>
      <c r="N1291" t="s">
        <v>35</v>
      </c>
      <c r="O1291" t="s">
        <v>27</v>
      </c>
      <c r="P1291">
        <v>2.4700000000000002</v>
      </c>
      <c r="Q1291" t="s">
        <v>24</v>
      </c>
      <c r="R1291">
        <v>3.37</v>
      </c>
      <c r="S1291" t="s">
        <v>47</v>
      </c>
      <c r="T1291" t="str">
        <f t="shared" si="40"/>
        <v>High</v>
      </c>
      <c r="U1291" t="str">
        <f t="shared" si="41"/>
        <v>Expert</v>
      </c>
    </row>
    <row r="1292" spans="1:21" x14ac:dyDescent="0.35">
      <c r="A1292" t="s">
        <v>1365</v>
      </c>
      <c r="B1292" t="s">
        <v>147</v>
      </c>
      <c r="C1292" t="s">
        <v>82</v>
      </c>
      <c r="D1292" t="s">
        <v>22</v>
      </c>
      <c r="E1292" t="s">
        <v>23</v>
      </c>
      <c r="F1292">
        <v>15</v>
      </c>
      <c r="G1292">
        <v>0.44</v>
      </c>
      <c r="H1292">
        <v>0.57999999999999996</v>
      </c>
      <c r="I1292" t="s">
        <v>24</v>
      </c>
      <c r="J1292">
        <v>37052</v>
      </c>
      <c r="K1292" t="s">
        <v>42</v>
      </c>
      <c r="L1292">
        <v>31</v>
      </c>
      <c r="M1292">
        <v>39</v>
      </c>
      <c r="N1292" t="s">
        <v>42</v>
      </c>
      <c r="O1292" t="s">
        <v>27</v>
      </c>
      <c r="P1292">
        <v>4.22</v>
      </c>
      <c r="Q1292" t="s">
        <v>24</v>
      </c>
      <c r="R1292">
        <v>2.4900000000000002</v>
      </c>
      <c r="S1292" t="s">
        <v>47</v>
      </c>
      <c r="T1292" t="str">
        <f t="shared" si="40"/>
        <v>High</v>
      </c>
      <c r="U1292" t="str">
        <f t="shared" si="41"/>
        <v>Experienced</v>
      </c>
    </row>
    <row r="1293" spans="1:21" x14ac:dyDescent="0.35">
      <c r="A1293" t="s">
        <v>1366</v>
      </c>
      <c r="B1293" t="s">
        <v>156</v>
      </c>
      <c r="C1293" t="s">
        <v>82</v>
      </c>
      <c r="D1293" t="s">
        <v>69</v>
      </c>
      <c r="E1293" t="s">
        <v>33</v>
      </c>
      <c r="F1293">
        <v>17</v>
      </c>
      <c r="G1293">
        <v>0.1</v>
      </c>
      <c r="H1293">
        <v>0.84</v>
      </c>
      <c r="I1293" t="s">
        <v>34</v>
      </c>
      <c r="J1293">
        <v>76551</v>
      </c>
      <c r="K1293" t="s">
        <v>27</v>
      </c>
      <c r="L1293">
        <v>29</v>
      </c>
      <c r="M1293">
        <v>31</v>
      </c>
      <c r="N1293" t="s">
        <v>35</v>
      </c>
      <c r="O1293" t="s">
        <v>27</v>
      </c>
      <c r="P1293">
        <v>4.82</v>
      </c>
      <c r="Q1293" t="s">
        <v>34</v>
      </c>
      <c r="R1293">
        <v>4.5199999999999996</v>
      </c>
      <c r="S1293" t="s">
        <v>47</v>
      </c>
      <c r="T1293" t="str">
        <f t="shared" si="40"/>
        <v>Very High</v>
      </c>
      <c r="U1293" t="str">
        <f t="shared" si="41"/>
        <v>Expert</v>
      </c>
    </row>
    <row r="1294" spans="1:21" x14ac:dyDescent="0.35">
      <c r="A1294" t="s">
        <v>1367</v>
      </c>
      <c r="B1294" t="s">
        <v>54</v>
      </c>
      <c r="C1294" t="s">
        <v>58</v>
      </c>
      <c r="D1294" t="s">
        <v>22</v>
      </c>
      <c r="E1294" t="s">
        <v>33</v>
      </c>
      <c r="F1294">
        <v>8</v>
      </c>
      <c r="G1294">
        <v>0.09</v>
      </c>
      <c r="H1294">
        <v>0.71</v>
      </c>
      <c r="I1294" t="s">
        <v>34</v>
      </c>
      <c r="J1294">
        <v>42458</v>
      </c>
      <c r="K1294" t="s">
        <v>27</v>
      </c>
      <c r="L1294">
        <v>34</v>
      </c>
      <c r="M1294">
        <v>44</v>
      </c>
      <c r="N1294" t="s">
        <v>26</v>
      </c>
      <c r="O1294" t="s">
        <v>36</v>
      </c>
      <c r="P1294">
        <v>2.89</v>
      </c>
      <c r="Q1294" t="s">
        <v>24</v>
      </c>
      <c r="R1294">
        <v>3.15</v>
      </c>
      <c r="S1294" t="s">
        <v>28</v>
      </c>
      <c r="T1294" t="str">
        <f t="shared" si="40"/>
        <v>Very High</v>
      </c>
      <c r="U1294" t="str">
        <f t="shared" si="41"/>
        <v>Intermediate</v>
      </c>
    </row>
    <row r="1295" spans="1:21" x14ac:dyDescent="0.35">
      <c r="A1295" t="s">
        <v>1368</v>
      </c>
      <c r="B1295" t="s">
        <v>106</v>
      </c>
      <c r="C1295" t="s">
        <v>107</v>
      </c>
      <c r="D1295" t="s">
        <v>32</v>
      </c>
      <c r="E1295" t="s">
        <v>41</v>
      </c>
      <c r="F1295">
        <v>1</v>
      </c>
      <c r="G1295">
        <v>0.12</v>
      </c>
      <c r="H1295">
        <v>0.39</v>
      </c>
      <c r="I1295" t="s">
        <v>34</v>
      </c>
      <c r="J1295">
        <v>174037</v>
      </c>
      <c r="K1295" t="s">
        <v>25</v>
      </c>
      <c r="L1295">
        <v>5</v>
      </c>
      <c r="M1295">
        <v>37</v>
      </c>
      <c r="N1295" t="s">
        <v>42</v>
      </c>
      <c r="O1295" t="s">
        <v>36</v>
      </c>
      <c r="P1295">
        <v>2.1800000000000002</v>
      </c>
      <c r="Q1295" t="s">
        <v>34</v>
      </c>
      <c r="R1295">
        <v>1.64</v>
      </c>
      <c r="S1295" t="s">
        <v>47</v>
      </c>
      <c r="T1295" t="str">
        <f t="shared" si="40"/>
        <v>High</v>
      </c>
      <c r="U1295" t="str">
        <f t="shared" si="41"/>
        <v>Beginner</v>
      </c>
    </row>
    <row r="1296" spans="1:21" x14ac:dyDescent="0.35">
      <c r="A1296" t="s">
        <v>1369</v>
      </c>
      <c r="B1296" t="s">
        <v>102</v>
      </c>
      <c r="C1296" t="s">
        <v>21</v>
      </c>
      <c r="D1296" t="s">
        <v>69</v>
      </c>
      <c r="E1296" t="s">
        <v>41</v>
      </c>
      <c r="F1296">
        <v>23</v>
      </c>
      <c r="G1296">
        <v>0.77</v>
      </c>
      <c r="H1296">
        <v>0.34</v>
      </c>
      <c r="I1296" t="s">
        <v>60</v>
      </c>
      <c r="J1296">
        <v>174224</v>
      </c>
      <c r="K1296" t="s">
        <v>42</v>
      </c>
      <c r="L1296">
        <v>4</v>
      </c>
      <c r="M1296">
        <v>43</v>
      </c>
      <c r="N1296" t="s">
        <v>35</v>
      </c>
      <c r="O1296" t="s">
        <v>25</v>
      </c>
      <c r="P1296">
        <v>3.61</v>
      </c>
      <c r="Q1296" t="s">
        <v>24</v>
      </c>
      <c r="R1296">
        <v>3.59</v>
      </c>
      <c r="S1296" t="s">
        <v>28</v>
      </c>
      <c r="T1296" t="str">
        <f t="shared" si="40"/>
        <v>Very Low</v>
      </c>
      <c r="U1296" t="str">
        <f t="shared" si="41"/>
        <v>Expert</v>
      </c>
    </row>
    <row r="1297" spans="1:21" x14ac:dyDescent="0.35">
      <c r="A1297" t="s">
        <v>1370</v>
      </c>
      <c r="B1297" t="s">
        <v>94</v>
      </c>
      <c r="C1297" t="s">
        <v>107</v>
      </c>
      <c r="D1297" t="s">
        <v>32</v>
      </c>
      <c r="E1297" t="s">
        <v>41</v>
      </c>
      <c r="F1297">
        <v>1</v>
      </c>
      <c r="G1297">
        <v>0.57999999999999996</v>
      </c>
      <c r="H1297">
        <v>0.44</v>
      </c>
      <c r="I1297" t="s">
        <v>24</v>
      </c>
      <c r="J1297">
        <v>157426</v>
      </c>
      <c r="K1297" t="s">
        <v>42</v>
      </c>
      <c r="L1297">
        <v>-2</v>
      </c>
      <c r="M1297">
        <v>32</v>
      </c>
      <c r="N1297" t="s">
        <v>42</v>
      </c>
      <c r="O1297" t="s">
        <v>27</v>
      </c>
      <c r="P1297">
        <v>4.1500000000000004</v>
      </c>
      <c r="Q1297" t="s">
        <v>24</v>
      </c>
      <c r="R1297">
        <v>4.87</v>
      </c>
      <c r="S1297" t="s">
        <v>47</v>
      </c>
      <c r="T1297" t="str">
        <f t="shared" si="40"/>
        <v>Moderate</v>
      </c>
      <c r="U1297" t="str">
        <f t="shared" si="41"/>
        <v>Beginner</v>
      </c>
    </row>
    <row r="1298" spans="1:21" x14ac:dyDescent="0.35">
      <c r="A1298" t="s">
        <v>1371</v>
      </c>
      <c r="B1298" t="s">
        <v>20</v>
      </c>
      <c r="C1298" t="s">
        <v>46</v>
      </c>
      <c r="D1298" t="s">
        <v>63</v>
      </c>
      <c r="E1298" t="s">
        <v>41</v>
      </c>
      <c r="F1298">
        <v>5</v>
      </c>
      <c r="G1298">
        <v>0.83</v>
      </c>
      <c r="H1298">
        <v>0.22</v>
      </c>
      <c r="I1298" t="s">
        <v>24</v>
      </c>
      <c r="J1298">
        <v>201497</v>
      </c>
      <c r="K1298" t="s">
        <v>42</v>
      </c>
      <c r="L1298">
        <v>-10</v>
      </c>
      <c r="M1298">
        <v>46</v>
      </c>
      <c r="N1298" t="s">
        <v>42</v>
      </c>
      <c r="O1298" t="s">
        <v>25</v>
      </c>
      <c r="P1298">
        <v>4.29</v>
      </c>
      <c r="Q1298" t="s">
        <v>24</v>
      </c>
      <c r="R1298">
        <v>3.49</v>
      </c>
      <c r="S1298" t="s">
        <v>28</v>
      </c>
      <c r="T1298" t="str">
        <f t="shared" si="40"/>
        <v>Very Low</v>
      </c>
      <c r="U1298" t="str">
        <f t="shared" si="41"/>
        <v>Intermediate</v>
      </c>
    </row>
    <row r="1299" spans="1:21" x14ac:dyDescent="0.35">
      <c r="A1299" t="s">
        <v>1372</v>
      </c>
      <c r="B1299" t="s">
        <v>30</v>
      </c>
      <c r="C1299" t="s">
        <v>52</v>
      </c>
      <c r="D1299" t="s">
        <v>40</v>
      </c>
      <c r="E1299" t="s">
        <v>33</v>
      </c>
      <c r="F1299">
        <v>14</v>
      </c>
      <c r="G1299">
        <v>0.48</v>
      </c>
      <c r="H1299">
        <v>0.69</v>
      </c>
      <c r="I1299" t="s">
        <v>34</v>
      </c>
      <c r="J1299">
        <v>120208</v>
      </c>
      <c r="K1299" t="s">
        <v>42</v>
      </c>
      <c r="L1299">
        <v>-5</v>
      </c>
      <c r="M1299">
        <v>37</v>
      </c>
      <c r="N1299" t="s">
        <v>42</v>
      </c>
      <c r="O1299" t="s">
        <v>36</v>
      </c>
      <c r="P1299">
        <v>4.2</v>
      </c>
      <c r="Q1299" t="s">
        <v>24</v>
      </c>
      <c r="R1299">
        <v>3.75</v>
      </c>
      <c r="S1299" t="s">
        <v>28</v>
      </c>
      <c r="T1299" t="str">
        <f t="shared" si="40"/>
        <v>High</v>
      </c>
      <c r="U1299" t="str">
        <f t="shared" si="41"/>
        <v>Experienced</v>
      </c>
    </row>
    <row r="1300" spans="1:21" x14ac:dyDescent="0.35">
      <c r="A1300" t="s">
        <v>1373</v>
      </c>
      <c r="B1300" t="s">
        <v>91</v>
      </c>
      <c r="C1300" t="s">
        <v>55</v>
      </c>
      <c r="D1300" t="s">
        <v>59</v>
      </c>
      <c r="E1300" t="s">
        <v>41</v>
      </c>
      <c r="F1300">
        <v>11</v>
      </c>
      <c r="G1300">
        <v>0.15</v>
      </c>
      <c r="H1300">
        <v>0.79</v>
      </c>
      <c r="I1300" t="s">
        <v>34</v>
      </c>
      <c r="J1300">
        <v>130055</v>
      </c>
      <c r="K1300" t="s">
        <v>42</v>
      </c>
      <c r="L1300">
        <v>3</v>
      </c>
      <c r="M1300">
        <v>44</v>
      </c>
      <c r="N1300" t="s">
        <v>35</v>
      </c>
      <c r="O1300" t="s">
        <v>25</v>
      </c>
      <c r="P1300">
        <v>3.63</v>
      </c>
      <c r="Q1300" t="s">
        <v>34</v>
      </c>
      <c r="R1300">
        <v>3.99</v>
      </c>
      <c r="S1300" t="s">
        <v>47</v>
      </c>
      <c r="T1300" t="str">
        <f t="shared" si="40"/>
        <v>Very High</v>
      </c>
      <c r="U1300" t="str">
        <f t="shared" si="41"/>
        <v>Experienced</v>
      </c>
    </row>
    <row r="1301" spans="1:21" x14ac:dyDescent="0.35">
      <c r="A1301" t="s">
        <v>1374</v>
      </c>
      <c r="B1301" t="s">
        <v>96</v>
      </c>
      <c r="C1301" t="s">
        <v>52</v>
      </c>
      <c r="D1301" t="s">
        <v>32</v>
      </c>
      <c r="E1301" t="s">
        <v>23</v>
      </c>
      <c r="F1301">
        <v>13</v>
      </c>
      <c r="G1301">
        <v>0.39</v>
      </c>
      <c r="H1301">
        <v>0.25</v>
      </c>
      <c r="I1301" t="s">
        <v>24</v>
      </c>
      <c r="J1301">
        <v>107888</v>
      </c>
      <c r="K1301" t="s">
        <v>27</v>
      </c>
      <c r="L1301">
        <v>3</v>
      </c>
      <c r="M1301">
        <v>30</v>
      </c>
      <c r="N1301" t="s">
        <v>42</v>
      </c>
      <c r="O1301" t="s">
        <v>27</v>
      </c>
      <c r="P1301">
        <v>2.33</v>
      </c>
      <c r="Q1301" t="s">
        <v>34</v>
      </c>
      <c r="R1301">
        <v>2.66</v>
      </c>
      <c r="S1301" t="s">
        <v>47</v>
      </c>
      <c r="T1301" t="str">
        <f t="shared" si="40"/>
        <v>Moderate</v>
      </c>
      <c r="U1301" t="str">
        <f t="shared" si="41"/>
        <v>Experienced</v>
      </c>
    </row>
    <row r="1302" spans="1:21" x14ac:dyDescent="0.35">
      <c r="A1302" t="s">
        <v>1375</v>
      </c>
      <c r="B1302" t="s">
        <v>20</v>
      </c>
      <c r="C1302" t="s">
        <v>52</v>
      </c>
      <c r="D1302" t="s">
        <v>59</v>
      </c>
      <c r="E1302" t="s">
        <v>23</v>
      </c>
      <c r="F1302">
        <v>8</v>
      </c>
      <c r="G1302">
        <v>0.51</v>
      </c>
      <c r="H1302">
        <v>0.28999999999999998</v>
      </c>
      <c r="I1302" t="s">
        <v>34</v>
      </c>
      <c r="J1302">
        <v>134014</v>
      </c>
      <c r="K1302" t="s">
        <v>25</v>
      </c>
      <c r="L1302">
        <v>43</v>
      </c>
      <c r="M1302">
        <v>38</v>
      </c>
      <c r="N1302" t="s">
        <v>42</v>
      </c>
      <c r="O1302" t="s">
        <v>36</v>
      </c>
      <c r="P1302">
        <v>3.13</v>
      </c>
      <c r="Q1302" t="s">
        <v>34</v>
      </c>
      <c r="R1302">
        <v>3.37</v>
      </c>
      <c r="S1302" t="s">
        <v>43</v>
      </c>
      <c r="T1302" t="str">
        <f t="shared" si="40"/>
        <v>Moderate</v>
      </c>
      <c r="U1302" t="str">
        <f t="shared" si="41"/>
        <v>Intermediate</v>
      </c>
    </row>
    <row r="1303" spans="1:21" x14ac:dyDescent="0.35">
      <c r="A1303" t="s">
        <v>1376</v>
      </c>
      <c r="B1303" t="s">
        <v>89</v>
      </c>
      <c r="C1303" t="s">
        <v>46</v>
      </c>
      <c r="D1303" t="s">
        <v>59</v>
      </c>
      <c r="E1303" t="s">
        <v>23</v>
      </c>
      <c r="F1303">
        <v>23</v>
      </c>
      <c r="G1303">
        <v>0.05</v>
      </c>
      <c r="H1303">
        <v>0.42</v>
      </c>
      <c r="I1303" t="s">
        <v>24</v>
      </c>
      <c r="J1303">
        <v>87642</v>
      </c>
      <c r="K1303" t="s">
        <v>27</v>
      </c>
      <c r="L1303">
        <v>43</v>
      </c>
      <c r="M1303">
        <v>32</v>
      </c>
      <c r="N1303" t="s">
        <v>42</v>
      </c>
      <c r="O1303" t="s">
        <v>27</v>
      </c>
      <c r="P1303">
        <v>4.93</v>
      </c>
      <c r="Q1303" t="s">
        <v>24</v>
      </c>
      <c r="R1303">
        <v>4.12</v>
      </c>
      <c r="S1303" t="s">
        <v>28</v>
      </c>
      <c r="T1303" t="str">
        <f t="shared" si="40"/>
        <v>High</v>
      </c>
      <c r="U1303" t="str">
        <f t="shared" si="41"/>
        <v>Expert</v>
      </c>
    </row>
    <row r="1304" spans="1:21" x14ac:dyDescent="0.35">
      <c r="A1304" t="s">
        <v>1377</v>
      </c>
      <c r="B1304" t="s">
        <v>45</v>
      </c>
      <c r="C1304" t="s">
        <v>58</v>
      </c>
      <c r="D1304" t="s">
        <v>66</v>
      </c>
      <c r="E1304" t="s">
        <v>41</v>
      </c>
      <c r="F1304">
        <v>12</v>
      </c>
      <c r="G1304">
        <v>0.39</v>
      </c>
      <c r="H1304">
        <v>0.67</v>
      </c>
      <c r="I1304" t="s">
        <v>60</v>
      </c>
      <c r="J1304">
        <v>103442</v>
      </c>
      <c r="K1304" t="s">
        <v>27</v>
      </c>
      <c r="L1304">
        <v>-1</v>
      </c>
      <c r="M1304">
        <v>48</v>
      </c>
      <c r="N1304" t="s">
        <v>35</v>
      </c>
      <c r="O1304" t="s">
        <v>25</v>
      </c>
      <c r="P1304">
        <v>3.63</v>
      </c>
      <c r="Q1304" t="s">
        <v>24</v>
      </c>
      <c r="R1304">
        <v>1.51</v>
      </c>
      <c r="S1304" t="s">
        <v>47</v>
      </c>
      <c r="T1304" t="str">
        <f t="shared" si="40"/>
        <v>High</v>
      </c>
      <c r="U1304" t="str">
        <f t="shared" si="41"/>
        <v>Experienced</v>
      </c>
    </row>
    <row r="1305" spans="1:21" x14ac:dyDescent="0.35">
      <c r="A1305" t="s">
        <v>1378</v>
      </c>
      <c r="B1305" t="s">
        <v>96</v>
      </c>
      <c r="C1305" t="s">
        <v>58</v>
      </c>
      <c r="D1305" t="s">
        <v>49</v>
      </c>
      <c r="E1305" t="s">
        <v>70</v>
      </c>
      <c r="F1305">
        <v>21</v>
      </c>
      <c r="G1305">
        <v>0.53</v>
      </c>
      <c r="H1305">
        <v>0.55000000000000004</v>
      </c>
      <c r="I1305" t="s">
        <v>34</v>
      </c>
      <c r="J1305">
        <v>182931</v>
      </c>
      <c r="K1305" t="s">
        <v>27</v>
      </c>
      <c r="L1305">
        <v>29</v>
      </c>
      <c r="M1305">
        <v>53</v>
      </c>
      <c r="N1305" t="s">
        <v>26</v>
      </c>
      <c r="O1305" t="s">
        <v>27</v>
      </c>
      <c r="P1305">
        <v>3.97</v>
      </c>
      <c r="Q1305" t="s">
        <v>34</v>
      </c>
      <c r="R1305">
        <v>4.58</v>
      </c>
      <c r="S1305" t="s">
        <v>28</v>
      </c>
      <c r="T1305" t="str">
        <f t="shared" si="40"/>
        <v>High</v>
      </c>
      <c r="U1305" t="str">
        <f t="shared" si="41"/>
        <v>Expert</v>
      </c>
    </row>
    <row r="1306" spans="1:21" x14ac:dyDescent="0.35">
      <c r="A1306" t="s">
        <v>1379</v>
      </c>
      <c r="B1306" t="s">
        <v>20</v>
      </c>
      <c r="C1306" t="s">
        <v>52</v>
      </c>
      <c r="D1306" t="s">
        <v>63</v>
      </c>
      <c r="E1306" t="s">
        <v>23</v>
      </c>
      <c r="F1306">
        <v>11</v>
      </c>
      <c r="G1306">
        <v>0.15</v>
      </c>
      <c r="H1306">
        <v>0.3</v>
      </c>
      <c r="I1306" t="s">
        <v>60</v>
      </c>
      <c r="J1306">
        <v>103179</v>
      </c>
      <c r="K1306" t="s">
        <v>27</v>
      </c>
      <c r="L1306">
        <v>-4</v>
      </c>
      <c r="M1306">
        <v>47</v>
      </c>
      <c r="N1306" t="s">
        <v>26</v>
      </c>
      <c r="O1306" t="s">
        <v>27</v>
      </c>
      <c r="P1306">
        <v>3.99</v>
      </c>
      <c r="Q1306" t="s">
        <v>24</v>
      </c>
      <c r="R1306">
        <v>2.73</v>
      </c>
      <c r="S1306" t="s">
        <v>43</v>
      </c>
      <c r="T1306" t="str">
        <f t="shared" si="40"/>
        <v>High</v>
      </c>
      <c r="U1306" t="str">
        <f t="shared" si="41"/>
        <v>Experienced</v>
      </c>
    </row>
    <row r="1307" spans="1:21" x14ac:dyDescent="0.35">
      <c r="A1307" t="s">
        <v>1380</v>
      </c>
      <c r="B1307" t="s">
        <v>51</v>
      </c>
      <c r="C1307" t="s">
        <v>46</v>
      </c>
      <c r="D1307" t="s">
        <v>49</v>
      </c>
      <c r="E1307" t="s">
        <v>70</v>
      </c>
      <c r="F1307">
        <v>11</v>
      </c>
      <c r="G1307">
        <v>0.94</v>
      </c>
      <c r="H1307">
        <v>0.36</v>
      </c>
      <c r="I1307" t="s">
        <v>34</v>
      </c>
      <c r="J1307">
        <v>54672</v>
      </c>
      <c r="K1307" t="s">
        <v>25</v>
      </c>
      <c r="L1307">
        <v>37</v>
      </c>
      <c r="M1307">
        <v>57</v>
      </c>
      <c r="N1307" t="s">
        <v>42</v>
      </c>
      <c r="O1307" t="s">
        <v>25</v>
      </c>
      <c r="P1307">
        <v>3.26</v>
      </c>
      <c r="Q1307" t="s">
        <v>34</v>
      </c>
      <c r="R1307">
        <v>3.44</v>
      </c>
      <c r="S1307" t="s">
        <v>47</v>
      </c>
      <c r="T1307" t="str">
        <f t="shared" si="40"/>
        <v>Very Low</v>
      </c>
      <c r="U1307" t="str">
        <f t="shared" si="41"/>
        <v>Experienced</v>
      </c>
    </row>
    <row r="1308" spans="1:21" x14ac:dyDescent="0.35">
      <c r="A1308" t="s">
        <v>1381</v>
      </c>
      <c r="B1308" t="s">
        <v>38</v>
      </c>
      <c r="C1308" t="s">
        <v>46</v>
      </c>
      <c r="D1308" t="s">
        <v>75</v>
      </c>
      <c r="E1308" t="s">
        <v>23</v>
      </c>
      <c r="F1308">
        <v>16</v>
      </c>
      <c r="G1308">
        <v>0.52</v>
      </c>
      <c r="H1308">
        <v>0.74</v>
      </c>
      <c r="I1308" t="s">
        <v>24</v>
      </c>
      <c r="J1308">
        <v>184659</v>
      </c>
      <c r="K1308" t="s">
        <v>27</v>
      </c>
      <c r="L1308">
        <v>-7</v>
      </c>
      <c r="M1308">
        <v>33</v>
      </c>
      <c r="N1308" t="s">
        <v>35</v>
      </c>
      <c r="O1308" t="s">
        <v>27</v>
      </c>
      <c r="P1308">
        <v>4.47</v>
      </c>
      <c r="Q1308" t="s">
        <v>34</v>
      </c>
      <c r="R1308">
        <v>1.31</v>
      </c>
      <c r="S1308" t="s">
        <v>43</v>
      </c>
      <c r="T1308" t="str">
        <f t="shared" si="40"/>
        <v>High</v>
      </c>
      <c r="U1308" t="str">
        <f t="shared" si="41"/>
        <v>Expert</v>
      </c>
    </row>
    <row r="1309" spans="1:21" x14ac:dyDescent="0.35">
      <c r="A1309" t="s">
        <v>1382</v>
      </c>
      <c r="B1309" t="s">
        <v>68</v>
      </c>
      <c r="C1309" t="s">
        <v>39</v>
      </c>
      <c r="D1309" t="s">
        <v>40</v>
      </c>
      <c r="E1309" t="s">
        <v>23</v>
      </c>
      <c r="F1309">
        <v>19</v>
      </c>
      <c r="G1309">
        <v>0.77</v>
      </c>
      <c r="H1309">
        <v>0.75</v>
      </c>
      <c r="I1309" t="s">
        <v>60</v>
      </c>
      <c r="J1309">
        <v>140517</v>
      </c>
      <c r="K1309" t="s">
        <v>42</v>
      </c>
      <c r="L1309">
        <v>7</v>
      </c>
      <c r="M1309">
        <v>48</v>
      </c>
      <c r="N1309" t="s">
        <v>35</v>
      </c>
      <c r="O1309" t="s">
        <v>25</v>
      </c>
      <c r="P1309">
        <v>2.93</v>
      </c>
      <c r="Q1309" t="s">
        <v>24</v>
      </c>
      <c r="R1309">
        <v>1.97</v>
      </c>
      <c r="S1309" t="s">
        <v>28</v>
      </c>
      <c r="T1309" t="str">
        <f t="shared" si="40"/>
        <v>Moderate</v>
      </c>
      <c r="U1309" t="str">
        <f t="shared" si="41"/>
        <v>Expert</v>
      </c>
    </row>
    <row r="1310" spans="1:21" x14ac:dyDescent="0.35">
      <c r="A1310" t="s">
        <v>1383</v>
      </c>
      <c r="B1310" t="s">
        <v>94</v>
      </c>
      <c r="C1310" t="s">
        <v>39</v>
      </c>
      <c r="D1310" t="s">
        <v>22</v>
      </c>
      <c r="E1310" t="s">
        <v>41</v>
      </c>
      <c r="F1310">
        <v>4</v>
      </c>
      <c r="G1310">
        <v>0.75</v>
      </c>
      <c r="H1310">
        <v>0.6</v>
      </c>
      <c r="I1310" t="s">
        <v>34</v>
      </c>
      <c r="J1310">
        <v>119586</v>
      </c>
      <c r="K1310" t="s">
        <v>42</v>
      </c>
      <c r="L1310">
        <v>36</v>
      </c>
      <c r="M1310">
        <v>36</v>
      </c>
      <c r="N1310" t="s">
        <v>26</v>
      </c>
      <c r="O1310" t="s">
        <v>27</v>
      </c>
      <c r="P1310">
        <v>2.46</v>
      </c>
      <c r="Q1310" t="s">
        <v>34</v>
      </c>
      <c r="R1310">
        <v>4.1100000000000003</v>
      </c>
      <c r="S1310" t="s">
        <v>43</v>
      </c>
      <c r="T1310" t="str">
        <f t="shared" si="40"/>
        <v>Moderate</v>
      </c>
      <c r="U1310" t="str">
        <f t="shared" si="41"/>
        <v>Intermediate</v>
      </c>
    </row>
    <row r="1311" spans="1:21" x14ac:dyDescent="0.35">
      <c r="A1311" t="s">
        <v>1384</v>
      </c>
      <c r="B1311" t="s">
        <v>30</v>
      </c>
      <c r="C1311" t="s">
        <v>55</v>
      </c>
      <c r="D1311" t="s">
        <v>40</v>
      </c>
      <c r="E1311" t="s">
        <v>70</v>
      </c>
      <c r="F1311">
        <v>15</v>
      </c>
      <c r="G1311">
        <v>0.8</v>
      </c>
      <c r="H1311">
        <v>0.75</v>
      </c>
      <c r="I1311" t="s">
        <v>34</v>
      </c>
      <c r="J1311">
        <v>78301</v>
      </c>
      <c r="K1311" t="s">
        <v>25</v>
      </c>
      <c r="L1311">
        <v>-4</v>
      </c>
      <c r="M1311">
        <v>56</v>
      </c>
      <c r="N1311" t="s">
        <v>26</v>
      </c>
      <c r="O1311" t="s">
        <v>25</v>
      </c>
      <c r="P1311">
        <v>4.12</v>
      </c>
      <c r="Q1311" t="s">
        <v>34</v>
      </c>
      <c r="R1311">
        <v>4.24</v>
      </c>
      <c r="S1311" t="s">
        <v>47</v>
      </c>
      <c r="T1311" t="str">
        <f t="shared" si="40"/>
        <v>Moderate</v>
      </c>
      <c r="U1311" t="str">
        <f t="shared" si="41"/>
        <v>Experienced</v>
      </c>
    </row>
    <row r="1312" spans="1:21" x14ac:dyDescent="0.35">
      <c r="A1312" t="s">
        <v>1385</v>
      </c>
      <c r="B1312" t="s">
        <v>57</v>
      </c>
      <c r="C1312" t="s">
        <v>21</v>
      </c>
      <c r="D1312" t="s">
        <v>63</v>
      </c>
      <c r="E1312" t="s">
        <v>23</v>
      </c>
      <c r="F1312">
        <v>6</v>
      </c>
      <c r="G1312">
        <v>0.7</v>
      </c>
      <c r="H1312">
        <v>0.64</v>
      </c>
      <c r="I1312" t="s">
        <v>24</v>
      </c>
      <c r="J1312">
        <v>113450</v>
      </c>
      <c r="K1312" t="s">
        <v>27</v>
      </c>
      <c r="L1312">
        <v>5</v>
      </c>
      <c r="M1312">
        <v>30</v>
      </c>
      <c r="N1312" t="s">
        <v>42</v>
      </c>
      <c r="O1312" t="s">
        <v>27</v>
      </c>
      <c r="P1312">
        <v>3.2</v>
      </c>
      <c r="Q1312" t="s">
        <v>34</v>
      </c>
      <c r="R1312">
        <v>4.0999999999999996</v>
      </c>
      <c r="S1312" t="s">
        <v>28</v>
      </c>
      <c r="T1312" t="str">
        <f t="shared" si="40"/>
        <v>Moderate</v>
      </c>
      <c r="U1312" t="str">
        <f t="shared" si="41"/>
        <v>Intermediate</v>
      </c>
    </row>
    <row r="1313" spans="1:21" x14ac:dyDescent="0.35">
      <c r="A1313" t="s">
        <v>1386</v>
      </c>
      <c r="B1313" t="s">
        <v>106</v>
      </c>
      <c r="C1313" t="s">
        <v>31</v>
      </c>
      <c r="D1313" t="s">
        <v>75</v>
      </c>
      <c r="E1313" t="s">
        <v>33</v>
      </c>
      <c r="F1313">
        <v>22</v>
      </c>
      <c r="G1313">
        <v>0.84</v>
      </c>
      <c r="H1313">
        <v>0.66</v>
      </c>
      <c r="I1313" t="s">
        <v>24</v>
      </c>
      <c r="J1313">
        <v>151848</v>
      </c>
      <c r="K1313" t="s">
        <v>42</v>
      </c>
      <c r="L1313">
        <v>20</v>
      </c>
      <c r="M1313">
        <v>50</v>
      </c>
      <c r="N1313" t="s">
        <v>35</v>
      </c>
      <c r="O1313" t="s">
        <v>36</v>
      </c>
      <c r="P1313">
        <v>3.95</v>
      </c>
      <c r="Q1313" t="s">
        <v>24</v>
      </c>
      <c r="R1313">
        <v>2.67</v>
      </c>
      <c r="S1313" t="s">
        <v>28</v>
      </c>
      <c r="T1313" t="str">
        <f t="shared" si="40"/>
        <v>Moderate</v>
      </c>
      <c r="U1313" t="str">
        <f t="shared" si="41"/>
        <v>Expert</v>
      </c>
    </row>
    <row r="1314" spans="1:21" x14ac:dyDescent="0.35">
      <c r="A1314" t="s">
        <v>1387</v>
      </c>
      <c r="B1314" t="s">
        <v>91</v>
      </c>
      <c r="C1314" t="s">
        <v>58</v>
      </c>
      <c r="D1314" t="s">
        <v>49</v>
      </c>
      <c r="E1314" t="s">
        <v>33</v>
      </c>
      <c r="F1314">
        <v>3</v>
      </c>
      <c r="G1314">
        <v>0.92</v>
      </c>
      <c r="H1314">
        <v>0.56999999999999995</v>
      </c>
      <c r="I1314" t="s">
        <v>34</v>
      </c>
      <c r="J1314">
        <v>142405</v>
      </c>
      <c r="K1314" t="s">
        <v>27</v>
      </c>
      <c r="L1314">
        <v>4</v>
      </c>
      <c r="M1314">
        <v>52</v>
      </c>
      <c r="N1314" t="s">
        <v>42</v>
      </c>
      <c r="O1314" t="s">
        <v>25</v>
      </c>
      <c r="P1314">
        <v>4.12</v>
      </c>
      <c r="Q1314" t="s">
        <v>24</v>
      </c>
      <c r="R1314">
        <v>2.2200000000000002</v>
      </c>
      <c r="S1314" t="s">
        <v>28</v>
      </c>
      <c r="T1314" t="str">
        <f t="shared" si="40"/>
        <v>Moderate</v>
      </c>
      <c r="U1314" t="str">
        <f t="shared" si="41"/>
        <v>Intermediate</v>
      </c>
    </row>
    <row r="1315" spans="1:21" x14ac:dyDescent="0.35">
      <c r="A1315" t="s">
        <v>1388</v>
      </c>
      <c r="B1315" t="s">
        <v>57</v>
      </c>
      <c r="C1315" t="s">
        <v>58</v>
      </c>
      <c r="D1315" t="s">
        <v>69</v>
      </c>
      <c r="E1315" t="s">
        <v>33</v>
      </c>
      <c r="F1315">
        <v>5</v>
      </c>
      <c r="G1315">
        <v>0.61</v>
      </c>
      <c r="H1315">
        <v>0.89</v>
      </c>
      <c r="I1315" t="s">
        <v>60</v>
      </c>
      <c r="J1315">
        <v>219227</v>
      </c>
      <c r="K1315" t="s">
        <v>25</v>
      </c>
      <c r="L1315">
        <v>17</v>
      </c>
      <c r="M1315">
        <v>40</v>
      </c>
      <c r="N1315" t="s">
        <v>42</v>
      </c>
      <c r="O1315" t="s">
        <v>25</v>
      </c>
      <c r="P1315">
        <v>2.2799999999999998</v>
      </c>
      <c r="Q1315" t="s">
        <v>24</v>
      </c>
      <c r="R1315">
        <v>3.6</v>
      </c>
      <c r="S1315" t="s">
        <v>43</v>
      </c>
      <c r="T1315" t="str">
        <f t="shared" si="40"/>
        <v>High</v>
      </c>
      <c r="U1315" t="str">
        <f t="shared" si="41"/>
        <v>Intermediate</v>
      </c>
    </row>
    <row r="1316" spans="1:21" x14ac:dyDescent="0.35">
      <c r="A1316" t="s">
        <v>1389</v>
      </c>
      <c r="B1316" t="s">
        <v>156</v>
      </c>
      <c r="C1316" t="s">
        <v>82</v>
      </c>
      <c r="D1316" t="s">
        <v>66</v>
      </c>
      <c r="E1316" t="s">
        <v>33</v>
      </c>
      <c r="F1316">
        <v>25</v>
      </c>
      <c r="G1316">
        <v>0.84</v>
      </c>
      <c r="H1316">
        <v>0.41</v>
      </c>
      <c r="I1316" t="s">
        <v>34</v>
      </c>
      <c r="J1316">
        <v>205479</v>
      </c>
      <c r="K1316" t="s">
        <v>25</v>
      </c>
      <c r="L1316">
        <v>34</v>
      </c>
      <c r="M1316">
        <v>49</v>
      </c>
      <c r="N1316" t="s">
        <v>42</v>
      </c>
      <c r="O1316" t="s">
        <v>36</v>
      </c>
      <c r="P1316">
        <v>3.23</v>
      </c>
      <c r="Q1316" t="s">
        <v>24</v>
      </c>
      <c r="R1316">
        <v>1.47</v>
      </c>
      <c r="S1316" t="s">
        <v>28</v>
      </c>
      <c r="T1316" t="str">
        <f t="shared" si="40"/>
        <v>Very Low</v>
      </c>
      <c r="U1316" t="str">
        <f t="shared" si="41"/>
        <v>Expert</v>
      </c>
    </row>
    <row r="1317" spans="1:21" x14ac:dyDescent="0.35">
      <c r="A1317" t="s">
        <v>1390</v>
      </c>
      <c r="B1317" t="s">
        <v>89</v>
      </c>
      <c r="C1317" t="s">
        <v>74</v>
      </c>
      <c r="D1317" t="s">
        <v>59</v>
      </c>
      <c r="E1317" t="s">
        <v>41</v>
      </c>
      <c r="F1317">
        <v>6</v>
      </c>
      <c r="G1317">
        <v>0.77</v>
      </c>
      <c r="H1317">
        <v>0.43</v>
      </c>
      <c r="I1317" t="s">
        <v>34</v>
      </c>
      <c r="J1317">
        <v>110983</v>
      </c>
      <c r="K1317" t="s">
        <v>25</v>
      </c>
      <c r="L1317">
        <v>10</v>
      </c>
      <c r="M1317">
        <v>39</v>
      </c>
      <c r="N1317" t="s">
        <v>26</v>
      </c>
      <c r="O1317" t="s">
        <v>25</v>
      </c>
      <c r="P1317">
        <v>2.9</v>
      </c>
      <c r="Q1317" t="s">
        <v>34</v>
      </c>
      <c r="R1317">
        <v>4.96</v>
      </c>
      <c r="S1317" t="s">
        <v>28</v>
      </c>
      <c r="T1317" t="str">
        <f t="shared" si="40"/>
        <v>Very Low</v>
      </c>
      <c r="U1317" t="str">
        <f t="shared" si="41"/>
        <v>Intermediate</v>
      </c>
    </row>
    <row r="1318" spans="1:21" x14ac:dyDescent="0.35">
      <c r="A1318" t="s">
        <v>1391</v>
      </c>
      <c r="B1318" t="s">
        <v>156</v>
      </c>
      <c r="C1318" t="s">
        <v>39</v>
      </c>
      <c r="D1318" t="s">
        <v>63</v>
      </c>
      <c r="E1318" t="s">
        <v>23</v>
      </c>
      <c r="F1318">
        <v>10</v>
      </c>
      <c r="G1318">
        <v>0.82</v>
      </c>
      <c r="H1318">
        <v>0.73</v>
      </c>
      <c r="I1318" t="s">
        <v>60</v>
      </c>
      <c r="J1318">
        <v>48507</v>
      </c>
      <c r="K1318" t="s">
        <v>42</v>
      </c>
      <c r="L1318">
        <v>1</v>
      </c>
      <c r="M1318">
        <v>53</v>
      </c>
      <c r="N1318" t="s">
        <v>26</v>
      </c>
      <c r="O1318" t="s">
        <v>27</v>
      </c>
      <c r="P1318">
        <v>4.97</v>
      </c>
      <c r="Q1318" t="s">
        <v>24</v>
      </c>
      <c r="R1318">
        <v>3.54</v>
      </c>
      <c r="S1318" t="s">
        <v>47</v>
      </c>
      <c r="T1318" t="str">
        <f t="shared" si="40"/>
        <v>Moderate</v>
      </c>
      <c r="U1318" t="str">
        <f t="shared" si="41"/>
        <v>Experienced</v>
      </c>
    </row>
    <row r="1319" spans="1:21" x14ac:dyDescent="0.35">
      <c r="A1319" t="s">
        <v>1392</v>
      </c>
      <c r="B1319" t="s">
        <v>77</v>
      </c>
      <c r="C1319" t="s">
        <v>82</v>
      </c>
      <c r="D1319" t="s">
        <v>32</v>
      </c>
      <c r="E1319" t="s">
        <v>70</v>
      </c>
      <c r="F1319">
        <v>7</v>
      </c>
      <c r="G1319">
        <v>0.56999999999999995</v>
      </c>
      <c r="H1319">
        <v>0.94</v>
      </c>
      <c r="I1319" t="s">
        <v>24</v>
      </c>
      <c r="J1319">
        <v>140998</v>
      </c>
      <c r="K1319" t="s">
        <v>27</v>
      </c>
      <c r="L1319">
        <v>14</v>
      </c>
      <c r="M1319">
        <v>32</v>
      </c>
      <c r="N1319" t="s">
        <v>26</v>
      </c>
      <c r="O1319" t="s">
        <v>36</v>
      </c>
      <c r="P1319">
        <v>2.2799999999999998</v>
      </c>
      <c r="Q1319" t="s">
        <v>24</v>
      </c>
      <c r="R1319">
        <v>3.5</v>
      </c>
      <c r="S1319" t="s">
        <v>28</v>
      </c>
      <c r="T1319" t="str">
        <f t="shared" si="40"/>
        <v>High</v>
      </c>
      <c r="U1319" t="str">
        <f t="shared" si="41"/>
        <v>Intermediate</v>
      </c>
    </row>
    <row r="1320" spans="1:21" x14ac:dyDescent="0.35">
      <c r="A1320" t="s">
        <v>1393</v>
      </c>
      <c r="B1320" t="s">
        <v>62</v>
      </c>
      <c r="C1320" t="s">
        <v>58</v>
      </c>
      <c r="D1320" t="s">
        <v>69</v>
      </c>
      <c r="E1320" t="s">
        <v>23</v>
      </c>
      <c r="F1320">
        <v>21</v>
      </c>
      <c r="G1320">
        <v>0.3</v>
      </c>
      <c r="H1320">
        <v>0.7</v>
      </c>
      <c r="I1320" t="s">
        <v>24</v>
      </c>
      <c r="J1320">
        <v>69006</v>
      </c>
      <c r="K1320" t="s">
        <v>27</v>
      </c>
      <c r="L1320">
        <v>37</v>
      </c>
      <c r="M1320">
        <v>36</v>
      </c>
      <c r="N1320" t="s">
        <v>42</v>
      </c>
      <c r="O1320" t="s">
        <v>36</v>
      </c>
      <c r="P1320">
        <v>2.57</v>
      </c>
      <c r="Q1320" t="s">
        <v>34</v>
      </c>
      <c r="R1320">
        <v>3.7</v>
      </c>
      <c r="S1320" t="s">
        <v>28</v>
      </c>
      <c r="T1320" t="str">
        <f t="shared" si="40"/>
        <v>Very High</v>
      </c>
      <c r="U1320" t="str">
        <f t="shared" si="41"/>
        <v>Expert</v>
      </c>
    </row>
    <row r="1321" spans="1:21" x14ac:dyDescent="0.35">
      <c r="A1321" t="s">
        <v>1394</v>
      </c>
      <c r="B1321" t="s">
        <v>96</v>
      </c>
      <c r="C1321" t="s">
        <v>52</v>
      </c>
      <c r="D1321" t="s">
        <v>22</v>
      </c>
      <c r="E1321" t="s">
        <v>70</v>
      </c>
      <c r="F1321">
        <v>23</v>
      </c>
      <c r="G1321">
        <v>0.38</v>
      </c>
      <c r="H1321">
        <v>0.94</v>
      </c>
      <c r="I1321" t="s">
        <v>24</v>
      </c>
      <c r="J1321">
        <v>168100</v>
      </c>
      <c r="K1321" t="s">
        <v>27</v>
      </c>
      <c r="L1321">
        <v>17</v>
      </c>
      <c r="M1321">
        <v>54</v>
      </c>
      <c r="N1321" t="s">
        <v>42</v>
      </c>
      <c r="O1321" t="s">
        <v>36</v>
      </c>
      <c r="P1321">
        <v>2.5299999999999998</v>
      </c>
      <c r="Q1321" t="s">
        <v>24</v>
      </c>
      <c r="R1321">
        <v>3.91</v>
      </c>
      <c r="S1321" t="s">
        <v>47</v>
      </c>
      <c r="T1321" t="str">
        <f t="shared" si="40"/>
        <v>Very High</v>
      </c>
      <c r="U1321" t="str">
        <f t="shared" si="41"/>
        <v>Expert</v>
      </c>
    </row>
    <row r="1322" spans="1:21" x14ac:dyDescent="0.35">
      <c r="A1322" t="s">
        <v>1395</v>
      </c>
      <c r="B1322" t="s">
        <v>38</v>
      </c>
      <c r="C1322" t="s">
        <v>74</v>
      </c>
      <c r="D1322" t="s">
        <v>32</v>
      </c>
      <c r="E1322" t="s">
        <v>70</v>
      </c>
      <c r="F1322">
        <v>19</v>
      </c>
      <c r="G1322">
        <v>0.23</v>
      </c>
      <c r="H1322">
        <v>0.85</v>
      </c>
      <c r="I1322" t="s">
        <v>34</v>
      </c>
      <c r="J1322">
        <v>35690</v>
      </c>
      <c r="K1322" t="s">
        <v>42</v>
      </c>
      <c r="L1322">
        <v>43</v>
      </c>
      <c r="M1322">
        <v>50</v>
      </c>
      <c r="N1322" t="s">
        <v>35</v>
      </c>
      <c r="O1322" t="s">
        <v>25</v>
      </c>
      <c r="P1322">
        <v>3.71</v>
      </c>
      <c r="Q1322" t="s">
        <v>34</v>
      </c>
      <c r="R1322">
        <v>2.13</v>
      </c>
      <c r="S1322" t="s">
        <v>47</v>
      </c>
      <c r="T1322" t="str">
        <f t="shared" si="40"/>
        <v>Very High</v>
      </c>
      <c r="U1322" t="str">
        <f t="shared" si="41"/>
        <v>Expert</v>
      </c>
    </row>
    <row r="1323" spans="1:21" x14ac:dyDescent="0.35">
      <c r="A1323" t="s">
        <v>1396</v>
      </c>
      <c r="B1323" t="s">
        <v>65</v>
      </c>
      <c r="C1323" t="s">
        <v>39</v>
      </c>
      <c r="D1323" t="s">
        <v>75</v>
      </c>
      <c r="E1323" t="s">
        <v>41</v>
      </c>
      <c r="F1323">
        <v>24</v>
      </c>
      <c r="G1323">
        <v>0.28000000000000003</v>
      </c>
      <c r="H1323">
        <v>0.3</v>
      </c>
      <c r="I1323" t="s">
        <v>60</v>
      </c>
      <c r="J1323">
        <v>174034</v>
      </c>
      <c r="K1323" t="s">
        <v>27</v>
      </c>
      <c r="L1323">
        <v>11</v>
      </c>
      <c r="M1323">
        <v>38</v>
      </c>
      <c r="N1323" t="s">
        <v>35</v>
      </c>
      <c r="O1323" t="s">
        <v>27</v>
      </c>
      <c r="P1323">
        <v>3.53</v>
      </c>
      <c r="Q1323" t="s">
        <v>34</v>
      </c>
      <c r="R1323">
        <v>1.85</v>
      </c>
      <c r="S1323" t="s">
        <v>43</v>
      </c>
      <c r="T1323" t="str">
        <f t="shared" si="40"/>
        <v>High</v>
      </c>
      <c r="U1323" t="str">
        <f t="shared" si="41"/>
        <v>Expert</v>
      </c>
    </row>
    <row r="1324" spans="1:21" x14ac:dyDescent="0.35">
      <c r="A1324" t="s">
        <v>1397</v>
      </c>
      <c r="B1324" t="s">
        <v>91</v>
      </c>
      <c r="C1324" t="s">
        <v>58</v>
      </c>
      <c r="D1324" t="s">
        <v>69</v>
      </c>
      <c r="E1324" t="s">
        <v>41</v>
      </c>
      <c r="F1324">
        <v>14</v>
      </c>
      <c r="G1324">
        <v>0.57999999999999996</v>
      </c>
      <c r="H1324">
        <v>0.68</v>
      </c>
      <c r="I1324" t="s">
        <v>60</v>
      </c>
      <c r="J1324">
        <v>97689</v>
      </c>
      <c r="K1324" t="s">
        <v>27</v>
      </c>
      <c r="L1324">
        <v>-9</v>
      </c>
      <c r="M1324">
        <v>57</v>
      </c>
      <c r="N1324" t="s">
        <v>42</v>
      </c>
      <c r="O1324" t="s">
        <v>27</v>
      </c>
      <c r="P1324">
        <v>2.15</v>
      </c>
      <c r="Q1324" t="s">
        <v>34</v>
      </c>
      <c r="R1324">
        <v>3.48</v>
      </c>
      <c r="S1324" t="s">
        <v>47</v>
      </c>
      <c r="T1324" t="str">
        <f t="shared" si="40"/>
        <v>High</v>
      </c>
      <c r="U1324" t="str">
        <f t="shared" si="41"/>
        <v>Experienced</v>
      </c>
    </row>
    <row r="1325" spans="1:21" x14ac:dyDescent="0.35">
      <c r="A1325" t="s">
        <v>1398</v>
      </c>
      <c r="B1325" t="s">
        <v>68</v>
      </c>
      <c r="C1325" t="s">
        <v>74</v>
      </c>
      <c r="D1325" t="s">
        <v>69</v>
      </c>
      <c r="E1325" t="s">
        <v>23</v>
      </c>
      <c r="F1325">
        <v>11</v>
      </c>
      <c r="G1325">
        <v>0.77</v>
      </c>
      <c r="H1325">
        <v>0.95</v>
      </c>
      <c r="I1325" t="s">
        <v>34</v>
      </c>
      <c r="J1325">
        <v>147448</v>
      </c>
      <c r="K1325" t="s">
        <v>42</v>
      </c>
      <c r="L1325">
        <v>36</v>
      </c>
      <c r="M1325">
        <v>40</v>
      </c>
      <c r="N1325" t="s">
        <v>35</v>
      </c>
      <c r="O1325" t="s">
        <v>27</v>
      </c>
      <c r="P1325">
        <v>3.02</v>
      </c>
      <c r="Q1325" t="s">
        <v>34</v>
      </c>
      <c r="R1325">
        <v>4.7699999999999996</v>
      </c>
      <c r="S1325" t="s">
        <v>28</v>
      </c>
      <c r="T1325" t="str">
        <f t="shared" si="40"/>
        <v>High</v>
      </c>
      <c r="U1325" t="str">
        <f t="shared" si="41"/>
        <v>Experienced</v>
      </c>
    </row>
    <row r="1326" spans="1:21" x14ac:dyDescent="0.35">
      <c r="A1326" t="s">
        <v>1399</v>
      </c>
      <c r="B1326" t="s">
        <v>51</v>
      </c>
      <c r="C1326" t="s">
        <v>39</v>
      </c>
      <c r="D1326" t="s">
        <v>66</v>
      </c>
      <c r="E1326" t="s">
        <v>33</v>
      </c>
      <c r="F1326">
        <v>11</v>
      </c>
      <c r="G1326">
        <v>0.28000000000000003</v>
      </c>
      <c r="H1326">
        <v>0.9</v>
      </c>
      <c r="I1326" t="s">
        <v>60</v>
      </c>
      <c r="J1326">
        <v>209068</v>
      </c>
      <c r="K1326" t="s">
        <v>27</v>
      </c>
      <c r="L1326">
        <v>17</v>
      </c>
      <c r="M1326">
        <v>48</v>
      </c>
      <c r="N1326" t="s">
        <v>26</v>
      </c>
      <c r="O1326" t="s">
        <v>36</v>
      </c>
      <c r="P1326">
        <v>2.06</v>
      </c>
      <c r="Q1326" t="s">
        <v>34</v>
      </c>
      <c r="R1326">
        <v>2.2999999999999998</v>
      </c>
      <c r="S1326" t="s">
        <v>47</v>
      </c>
      <c r="T1326" t="str">
        <f t="shared" si="40"/>
        <v>Very High</v>
      </c>
      <c r="U1326" t="str">
        <f t="shared" si="41"/>
        <v>Experienced</v>
      </c>
    </row>
    <row r="1327" spans="1:21" x14ac:dyDescent="0.35">
      <c r="A1327" t="s">
        <v>1400</v>
      </c>
      <c r="B1327" t="s">
        <v>54</v>
      </c>
      <c r="C1327" t="s">
        <v>82</v>
      </c>
      <c r="D1327" t="s">
        <v>80</v>
      </c>
      <c r="E1327" t="s">
        <v>23</v>
      </c>
      <c r="F1327">
        <v>2</v>
      </c>
      <c r="G1327">
        <v>0.33</v>
      </c>
      <c r="H1327">
        <v>0.31</v>
      </c>
      <c r="I1327" t="s">
        <v>34</v>
      </c>
      <c r="J1327">
        <v>216628</v>
      </c>
      <c r="K1327" t="s">
        <v>27</v>
      </c>
      <c r="L1327">
        <v>24</v>
      </c>
      <c r="M1327">
        <v>48</v>
      </c>
      <c r="N1327" t="s">
        <v>35</v>
      </c>
      <c r="O1327" t="s">
        <v>36</v>
      </c>
      <c r="P1327">
        <v>4.4000000000000004</v>
      </c>
      <c r="Q1327" t="s">
        <v>24</v>
      </c>
      <c r="R1327">
        <v>2.2000000000000002</v>
      </c>
      <c r="S1327" t="s">
        <v>47</v>
      </c>
      <c r="T1327" t="str">
        <f t="shared" si="40"/>
        <v>Moderate</v>
      </c>
      <c r="U1327" t="str">
        <f t="shared" si="41"/>
        <v>Beginner</v>
      </c>
    </row>
    <row r="1328" spans="1:21" x14ac:dyDescent="0.35">
      <c r="A1328" t="s">
        <v>1401</v>
      </c>
      <c r="B1328" t="s">
        <v>94</v>
      </c>
      <c r="C1328" t="s">
        <v>82</v>
      </c>
      <c r="D1328" t="s">
        <v>69</v>
      </c>
      <c r="E1328" t="s">
        <v>70</v>
      </c>
      <c r="F1328">
        <v>16</v>
      </c>
      <c r="G1328">
        <v>0.34</v>
      </c>
      <c r="H1328">
        <v>0.76</v>
      </c>
      <c r="I1328" t="s">
        <v>24</v>
      </c>
      <c r="J1328">
        <v>158582</v>
      </c>
      <c r="K1328" t="s">
        <v>27</v>
      </c>
      <c r="L1328">
        <v>16</v>
      </c>
      <c r="M1328">
        <v>54</v>
      </c>
      <c r="N1328" t="s">
        <v>35</v>
      </c>
      <c r="O1328" t="s">
        <v>27</v>
      </c>
      <c r="P1328">
        <v>3.94</v>
      </c>
      <c r="Q1328" t="s">
        <v>24</v>
      </c>
      <c r="R1328">
        <v>4.03</v>
      </c>
      <c r="S1328" t="s">
        <v>43</v>
      </c>
      <c r="T1328" t="str">
        <f t="shared" si="40"/>
        <v>Very High</v>
      </c>
      <c r="U1328" t="str">
        <f t="shared" si="41"/>
        <v>Expert</v>
      </c>
    </row>
    <row r="1329" spans="1:21" x14ac:dyDescent="0.35">
      <c r="A1329" t="s">
        <v>1402</v>
      </c>
      <c r="B1329" t="s">
        <v>45</v>
      </c>
      <c r="C1329" t="s">
        <v>58</v>
      </c>
      <c r="D1329" t="s">
        <v>40</v>
      </c>
      <c r="E1329" t="s">
        <v>33</v>
      </c>
      <c r="F1329">
        <v>14</v>
      </c>
      <c r="G1329">
        <v>0.51</v>
      </c>
      <c r="H1329">
        <v>0.37</v>
      </c>
      <c r="I1329" t="s">
        <v>60</v>
      </c>
      <c r="J1329">
        <v>218767</v>
      </c>
      <c r="K1329" t="s">
        <v>27</v>
      </c>
      <c r="L1329">
        <v>14</v>
      </c>
      <c r="M1329">
        <v>49</v>
      </c>
      <c r="N1329" t="s">
        <v>42</v>
      </c>
      <c r="O1329" t="s">
        <v>25</v>
      </c>
      <c r="P1329">
        <v>4.9000000000000004</v>
      </c>
      <c r="Q1329" t="s">
        <v>24</v>
      </c>
      <c r="R1329">
        <v>1.01</v>
      </c>
      <c r="S1329" t="s">
        <v>43</v>
      </c>
      <c r="T1329" t="str">
        <f t="shared" si="40"/>
        <v>Moderate</v>
      </c>
      <c r="U1329" t="str">
        <f t="shared" si="41"/>
        <v>Experienced</v>
      </c>
    </row>
    <row r="1330" spans="1:21" x14ac:dyDescent="0.35">
      <c r="A1330" t="s">
        <v>1403</v>
      </c>
      <c r="B1330" t="s">
        <v>96</v>
      </c>
      <c r="C1330" t="s">
        <v>74</v>
      </c>
      <c r="D1330" t="s">
        <v>69</v>
      </c>
      <c r="E1330" t="s">
        <v>33</v>
      </c>
      <c r="F1330">
        <v>1</v>
      </c>
      <c r="G1330">
        <v>0.39</v>
      </c>
      <c r="H1330">
        <v>0.57999999999999996</v>
      </c>
      <c r="I1330" t="s">
        <v>24</v>
      </c>
      <c r="J1330">
        <v>86684</v>
      </c>
      <c r="K1330" t="s">
        <v>27</v>
      </c>
      <c r="L1330">
        <v>17</v>
      </c>
      <c r="M1330">
        <v>36</v>
      </c>
      <c r="N1330" t="s">
        <v>42</v>
      </c>
      <c r="O1330" t="s">
        <v>36</v>
      </c>
      <c r="P1330">
        <v>4.04</v>
      </c>
      <c r="Q1330" t="s">
        <v>24</v>
      </c>
      <c r="R1330">
        <v>3.52</v>
      </c>
      <c r="S1330" t="s">
        <v>43</v>
      </c>
      <c r="T1330" t="str">
        <f t="shared" si="40"/>
        <v>High</v>
      </c>
      <c r="U1330" t="str">
        <f t="shared" si="41"/>
        <v>Beginner</v>
      </c>
    </row>
    <row r="1331" spans="1:21" x14ac:dyDescent="0.35">
      <c r="A1331" t="s">
        <v>1404</v>
      </c>
      <c r="B1331" t="s">
        <v>57</v>
      </c>
      <c r="C1331" t="s">
        <v>74</v>
      </c>
      <c r="D1331" t="s">
        <v>49</v>
      </c>
      <c r="E1331" t="s">
        <v>23</v>
      </c>
      <c r="F1331">
        <v>2</v>
      </c>
      <c r="G1331">
        <v>0.11</v>
      </c>
      <c r="H1331">
        <v>0.96</v>
      </c>
      <c r="I1331" t="s">
        <v>34</v>
      </c>
      <c r="J1331">
        <v>81426</v>
      </c>
      <c r="K1331" t="s">
        <v>27</v>
      </c>
      <c r="L1331">
        <v>43</v>
      </c>
      <c r="M1331">
        <v>53</v>
      </c>
      <c r="N1331" t="s">
        <v>35</v>
      </c>
      <c r="O1331" t="s">
        <v>36</v>
      </c>
      <c r="P1331">
        <v>4.6500000000000004</v>
      </c>
      <c r="Q1331" t="s">
        <v>24</v>
      </c>
      <c r="R1331">
        <v>4.54</v>
      </c>
      <c r="S1331" t="s">
        <v>43</v>
      </c>
      <c r="T1331" t="str">
        <f t="shared" si="40"/>
        <v>Very High</v>
      </c>
      <c r="U1331" t="str">
        <f t="shared" si="41"/>
        <v>Beginner</v>
      </c>
    </row>
    <row r="1332" spans="1:21" x14ac:dyDescent="0.35">
      <c r="A1332" t="s">
        <v>1405</v>
      </c>
      <c r="B1332" t="s">
        <v>96</v>
      </c>
      <c r="C1332" t="s">
        <v>39</v>
      </c>
      <c r="D1332" t="s">
        <v>69</v>
      </c>
      <c r="E1332" t="s">
        <v>23</v>
      </c>
      <c r="F1332">
        <v>17</v>
      </c>
      <c r="G1332">
        <v>0.21</v>
      </c>
      <c r="H1332">
        <v>0.53</v>
      </c>
      <c r="I1332" t="s">
        <v>34</v>
      </c>
      <c r="J1332">
        <v>65626</v>
      </c>
      <c r="K1332" t="s">
        <v>27</v>
      </c>
      <c r="L1332">
        <v>-8</v>
      </c>
      <c r="M1332">
        <v>46</v>
      </c>
      <c r="N1332" t="s">
        <v>26</v>
      </c>
      <c r="O1332" t="s">
        <v>27</v>
      </c>
      <c r="P1332">
        <v>4.74</v>
      </c>
      <c r="Q1332" t="s">
        <v>34</v>
      </c>
      <c r="R1332">
        <v>4.25</v>
      </c>
      <c r="S1332" t="s">
        <v>43</v>
      </c>
      <c r="T1332" t="str">
        <f t="shared" si="40"/>
        <v>High</v>
      </c>
      <c r="U1332" t="str">
        <f t="shared" si="41"/>
        <v>Expert</v>
      </c>
    </row>
    <row r="1333" spans="1:21" x14ac:dyDescent="0.35">
      <c r="A1333" t="s">
        <v>1406</v>
      </c>
      <c r="B1333" t="s">
        <v>38</v>
      </c>
      <c r="C1333" t="s">
        <v>74</v>
      </c>
      <c r="D1333" t="s">
        <v>59</v>
      </c>
      <c r="E1333" t="s">
        <v>23</v>
      </c>
      <c r="F1333">
        <v>23</v>
      </c>
      <c r="G1333">
        <v>0.81</v>
      </c>
      <c r="H1333">
        <v>0.76</v>
      </c>
      <c r="I1333" t="s">
        <v>34</v>
      </c>
      <c r="J1333">
        <v>66264</v>
      </c>
      <c r="K1333" t="s">
        <v>42</v>
      </c>
      <c r="L1333">
        <v>42</v>
      </c>
      <c r="M1333">
        <v>57</v>
      </c>
      <c r="N1333" t="s">
        <v>35</v>
      </c>
      <c r="O1333" t="s">
        <v>25</v>
      </c>
      <c r="P1333">
        <v>3.43</v>
      </c>
      <c r="Q1333" t="s">
        <v>34</v>
      </c>
      <c r="R1333">
        <v>2.68</v>
      </c>
      <c r="S1333" t="s">
        <v>43</v>
      </c>
      <c r="T1333" t="str">
        <f t="shared" si="40"/>
        <v>Moderate</v>
      </c>
      <c r="U1333" t="str">
        <f t="shared" si="41"/>
        <v>Expert</v>
      </c>
    </row>
    <row r="1334" spans="1:21" x14ac:dyDescent="0.35">
      <c r="A1334" t="s">
        <v>1407</v>
      </c>
      <c r="B1334" t="s">
        <v>62</v>
      </c>
      <c r="C1334" t="s">
        <v>46</v>
      </c>
      <c r="D1334" t="s">
        <v>49</v>
      </c>
      <c r="E1334" t="s">
        <v>70</v>
      </c>
      <c r="F1334">
        <v>6</v>
      </c>
      <c r="G1334">
        <v>0.48</v>
      </c>
      <c r="H1334">
        <v>0.56999999999999995</v>
      </c>
      <c r="I1334" t="s">
        <v>34</v>
      </c>
      <c r="J1334">
        <v>51107</v>
      </c>
      <c r="K1334" t="s">
        <v>25</v>
      </c>
      <c r="L1334">
        <v>-6</v>
      </c>
      <c r="M1334">
        <v>40</v>
      </c>
      <c r="N1334" t="s">
        <v>42</v>
      </c>
      <c r="O1334" t="s">
        <v>25</v>
      </c>
      <c r="P1334">
        <v>3.96</v>
      </c>
      <c r="Q1334" t="s">
        <v>24</v>
      </c>
      <c r="R1334">
        <v>1.24</v>
      </c>
      <c r="S1334" t="s">
        <v>28</v>
      </c>
      <c r="T1334" t="str">
        <f t="shared" si="40"/>
        <v>High</v>
      </c>
      <c r="U1334" t="str">
        <f t="shared" si="41"/>
        <v>Intermediate</v>
      </c>
    </row>
    <row r="1335" spans="1:21" x14ac:dyDescent="0.35">
      <c r="A1335" t="s">
        <v>1408</v>
      </c>
      <c r="B1335" t="s">
        <v>96</v>
      </c>
      <c r="C1335" t="s">
        <v>74</v>
      </c>
      <c r="D1335" t="s">
        <v>80</v>
      </c>
      <c r="E1335" t="s">
        <v>33</v>
      </c>
      <c r="F1335">
        <v>7</v>
      </c>
      <c r="G1335">
        <v>0.71</v>
      </c>
      <c r="H1335">
        <v>0.83</v>
      </c>
      <c r="I1335" t="s">
        <v>60</v>
      </c>
      <c r="J1335">
        <v>127675</v>
      </c>
      <c r="K1335" t="s">
        <v>42</v>
      </c>
      <c r="L1335">
        <v>36</v>
      </c>
      <c r="M1335">
        <v>38</v>
      </c>
      <c r="N1335" t="s">
        <v>42</v>
      </c>
      <c r="O1335" t="s">
        <v>25</v>
      </c>
      <c r="P1335">
        <v>3.58</v>
      </c>
      <c r="Q1335" t="s">
        <v>34</v>
      </c>
      <c r="R1335">
        <v>3.62</v>
      </c>
      <c r="S1335" t="s">
        <v>43</v>
      </c>
      <c r="T1335" t="str">
        <f t="shared" si="40"/>
        <v>High</v>
      </c>
      <c r="U1335" t="str">
        <f t="shared" si="41"/>
        <v>Intermediate</v>
      </c>
    </row>
    <row r="1336" spans="1:21" x14ac:dyDescent="0.35">
      <c r="A1336" t="s">
        <v>1409</v>
      </c>
      <c r="B1336" t="s">
        <v>94</v>
      </c>
      <c r="C1336" t="s">
        <v>58</v>
      </c>
      <c r="D1336" t="s">
        <v>75</v>
      </c>
      <c r="E1336" t="s">
        <v>41</v>
      </c>
      <c r="F1336">
        <v>8</v>
      </c>
      <c r="G1336">
        <v>0.83</v>
      </c>
      <c r="H1336">
        <v>0.3</v>
      </c>
      <c r="I1336" t="s">
        <v>34</v>
      </c>
      <c r="J1336">
        <v>137903</v>
      </c>
      <c r="K1336" t="s">
        <v>25</v>
      </c>
      <c r="L1336">
        <v>44</v>
      </c>
      <c r="M1336">
        <v>48</v>
      </c>
      <c r="N1336" t="s">
        <v>26</v>
      </c>
      <c r="O1336" t="s">
        <v>25</v>
      </c>
      <c r="P1336">
        <v>2.21</v>
      </c>
      <c r="Q1336" t="s">
        <v>24</v>
      </c>
      <c r="R1336">
        <v>4.26</v>
      </c>
      <c r="S1336" t="s">
        <v>28</v>
      </c>
      <c r="T1336" t="str">
        <f t="shared" si="40"/>
        <v>Very Low</v>
      </c>
      <c r="U1336" t="str">
        <f t="shared" si="41"/>
        <v>Intermediate</v>
      </c>
    </row>
    <row r="1337" spans="1:21" x14ac:dyDescent="0.35">
      <c r="A1337" t="s">
        <v>1410</v>
      </c>
      <c r="B1337" t="s">
        <v>96</v>
      </c>
      <c r="C1337" t="s">
        <v>74</v>
      </c>
      <c r="D1337" t="s">
        <v>40</v>
      </c>
      <c r="E1337" t="s">
        <v>41</v>
      </c>
      <c r="F1337">
        <v>17</v>
      </c>
      <c r="G1337">
        <v>0.74</v>
      </c>
      <c r="H1337">
        <v>0.6</v>
      </c>
      <c r="I1337" t="s">
        <v>24</v>
      </c>
      <c r="J1337">
        <v>185076</v>
      </c>
      <c r="K1337" t="s">
        <v>27</v>
      </c>
      <c r="L1337">
        <v>10</v>
      </c>
      <c r="M1337">
        <v>46</v>
      </c>
      <c r="N1337" t="s">
        <v>35</v>
      </c>
      <c r="O1337" t="s">
        <v>27</v>
      </c>
      <c r="P1337">
        <v>4.88</v>
      </c>
      <c r="Q1337" t="s">
        <v>34</v>
      </c>
      <c r="R1337">
        <v>2.61</v>
      </c>
      <c r="S1337" t="s">
        <v>47</v>
      </c>
      <c r="T1337" t="str">
        <f t="shared" si="40"/>
        <v>Moderate</v>
      </c>
      <c r="U1337" t="str">
        <f t="shared" si="41"/>
        <v>Expert</v>
      </c>
    </row>
    <row r="1338" spans="1:21" x14ac:dyDescent="0.35">
      <c r="A1338" t="s">
        <v>1411</v>
      </c>
      <c r="B1338" t="s">
        <v>65</v>
      </c>
      <c r="C1338" t="s">
        <v>107</v>
      </c>
      <c r="D1338" t="s">
        <v>75</v>
      </c>
      <c r="E1338" t="s">
        <v>70</v>
      </c>
      <c r="F1338">
        <v>23</v>
      </c>
      <c r="G1338">
        <v>0.51</v>
      </c>
      <c r="H1338">
        <v>0.8</v>
      </c>
      <c r="I1338" t="s">
        <v>34</v>
      </c>
      <c r="J1338">
        <v>137049</v>
      </c>
      <c r="K1338" t="s">
        <v>27</v>
      </c>
      <c r="L1338">
        <v>27</v>
      </c>
      <c r="M1338">
        <v>43</v>
      </c>
      <c r="N1338" t="s">
        <v>42</v>
      </c>
      <c r="O1338" t="s">
        <v>27</v>
      </c>
      <c r="P1338">
        <v>3.95</v>
      </c>
      <c r="Q1338" t="s">
        <v>34</v>
      </c>
      <c r="R1338">
        <v>3.19</v>
      </c>
      <c r="S1338" t="s">
        <v>47</v>
      </c>
      <c r="T1338" t="str">
        <f t="shared" si="40"/>
        <v>High</v>
      </c>
      <c r="U1338" t="str">
        <f t="shared" si="41"/>
        <v>Expert</v>
      </c>
    </row>
    <row r="1339" spans="1:21" x14ac:dyDescent="0.35">
      <c r="A1339" t="s">
        <v>1412</v>
      </c>
      <c r="B1339" t="s">
        <v>147</v>
      </c>
      <c r="C1339" t="s">
        <v>58</v>
      </c>
      <c r="D1339" t="s">
        <v>80</v>
      </c>
      <c r="E1339" t="s">
        <v>41</v>
      </c>
      <c r="F1339">
        <v>8</v>
      </c>
      <c r="G1339">
        <v>0.41</v>
      </c>
      <c r="H1339">
        <v>0.97</v>
      </c>
      <c r="I1339" t="s">
        <v>60</v>
      </c>
      <c r="J1339">
        <v>183660</v>
      </c>
      <c r="K1339" t="s">
        <v>25</v>
      </c>
      <c r="L1339">
        <v>34</v>
      </c>
      <c r="M1339">
        <v>37</v>
      </c>
      <c r="N1339" t="s">
        <v>26</v>
      </c>
      <c r="O1339" t="s">
        <v>25</v>
      </c>
      <c r="P1339">
        <v>2.0099999999999998</v>
      </c>
      <c r="Q1339" t="s">
        <v>24</v>
      </c>
      <c r="R1339">
        <v>3.3</v>
      </c>
      <c r="S1339" t="s">
        <v>47</v>
      </c>
      <c r="T1339" t="str">
        <f t="shared" si="40"/>
        <v>High</v>
      </c>
      <c r="U1339" t="str">
        <f t="shared" si="41"/>
        <v>Intermediate</v>
      </c>
    </row>
    <row r="1340" spans="1:21" x14ac:dyDescent="0.35">
      <c r="A1340" t="s">
        <v>1413</v>
      </c>
      <c r="B1340" t="s">
        <v>51</v>
      </c>
      <c r="C1340" t="s">
        <v>82</v>
      </c>
      <c r="D1340" t="s">
        <v>40</v>
      </c>
      <c r="E1340" t="s">
        <v>70</v>
      </c>
      <c r="F1340">
        <v>1</v>
      </c>
      <c r="G1340">
        <v>0.66</v>
      </c>
      <c r="H1340">
        <v>0.69</v>
      </c>
      <c r="I1340" t="s">
        <v>34</v>
      </c>
      <c r="J1340">
        <v>140711</v>
      </c>
      <c r="K1340" t="s">
        <v>25</v>
      </c>
      <c r="L1340">
        <v>3</v>
      </c>
      <c r="M1340">
        <v>58</v>
      </c>
      <c r="N1340" t="s">
        <v>35</v>
      </c>
      <c r="O1340" t="s">
        <v>27</v>
      </c>
      <c r="P1340">
        <v>3.17</v>
      </c>
      <c r="Q1340" t="s">
        <v>24</v>
      </c>
      <c r="R1340">
        <v>2.23</v>
      </c>
      <c r="S1340" t="s">
        <v>43</v>
      </c>
      <c r="T1340" t="str">
        <f t="shared" si="40"/>
        <v>High</v>
      </c>
      <c r="U1340" t="str">
        <f t="shared" si="41"/>
        <v>Beginner</v>
      </c>
    </row>
    <row r="1341" spans="1:21" x14ac:dyDescent="0.35">
      <c r="A1341" t="s">
        <v>1414</v>
      </c>
      <c r="B1341" t="s">
        <v>91</v>
      </c>
      <c r="C1341" t="s">
        <v>31</v>
      </c>
      <c r="D1341" t="s">
        <v>66</v>
      </c>
      <c r="E1341" t="s">
        <v>33</v>
      </c>
      <c r="F1341">
        <v>0</v>
      </c>
      <c r="G1341">
        <v>0.72</v>
      </c>
      <c r="H1341">
        <v>0.47</v>
      </c>
      <c r="I1341" t="s">
        <v>24</v>
      </c>
      <c r="J1341">
        <v>98458</v>
      </c>
      <c r="K1341" t="s">
        <v>42</v>
      </c>
      <c r="L1341">
        <v>28</v>
      </c>
      <c r="M1341">
        <v>38</v>
      </c>
      <c r="N1341" t="s">
        <v>42</v>
      </c>
      <c r="O1341" t="s">
        <v>25</v>
      </c>
      <c r="P1341">
        <v>2.0499999999999998</v>
      </c>
      <c r="Q1341" t="s">
        <v>24</v>
      </c>
      <c r="R1341">
        <v>4.67</v>
      </c>
      <c r="S1341" t="s">
        <v>47</v>
      </c>
      <c r="T1341" t="str">
        <f t="shared" si="40"/>
        <v>Very Low</v>
      </c>
      <c r="U1341" t="str">
        <f t="shared" si="41"/>
        <v>Beginner</v>
      </c>
    </row>
    <row r="1342" spans="1:21" x14ac:dyDescent="0.35">
      <c r="A1342" t="s">
        <v>1415</v>
      </c>
      <c r="B1342" t="s">
        <v>62</v>
      </c>
      <c r="C1342" t="s">
        <v>107</v>
      </c>
      <c r="D1342" t="s">
        <v>49</v>
      </c>
      <c r="E1342" t="s">
        <v>70</v>
      </c>
      <c r="F1342">
        <v>3</v>
      </c>
      <c r="G1342">
        <v>0.68</v>
      </c>
      <c r="H1342">
        <v>0.88</v>
      </c>
      <c r="I1342" t="s">
        <v>24</v>
      </c>
      <c r="J1342">
        <v>138427</v>
      </c>
      <c r="K1342" t="s">
        <v>25</v>
      </c>
      <c r="L1342">
        <v>3</v>
      </c>
      <c r="M1342">
        <v>59</v>
      </c>
      <c r="N1342" t="s">
        <v>42</v>
      </c>
      <c r="O1342" t="s">
        <v>25</v>
      </c>
      <c r="P1342">
        <v>3.52</v>
      </c>
      <c r="Q1342" t="s">
        <v>24</v>
      </c>
      <c r="R1342">
        <v>1.03</v>
      </c>
      <c r="S1342" t="s">
        <v>43</v>
      </c>
      <c r="T1342" t="str">
        <f t="shared" si="40"/>
        <v>High</v>
      </c>
      <c r="U1342" t="str">
        <f t="shared" si="41"/>
        <v>Intermediate</v>
      </c>
    </row>
    <row r="1343" spans="1:21" x14ac:dyDescent="0.35">
      <c r="A1343" t="s">
        <v>1416</v>
      </c>
      <c r="B1343" t="s">
        <v>77</v>
      </c>
      <c r="C1343" t="s">
        <v>55</v>
      </c>
      <c r="D1343" t="s">
        <v>80</v>
      </c>
      <c r="E1343" t="s">
        <v>70</v>
      </c>
      <c r="F1343">
        <v>20</v>
      </c>
      <c r="G1343">
        <v>0.53</v>
      </c>
      <c r="H1343">
        <v>0.26</v>
      </c>
      <c r="I1343" t="s">
        <v>24</v>
      </c>
      <c r="J1343">
        <v>85060</v>
      </c>
      <c r="K1343" t="s">
        <v>27</v>
      </c>
      <c r="L1343">
        <v>-3</v>
      </c>
      <c r="M1343">
        <v>45</v>
      </c>
      <c r="N1343" t="s">
        <v>26</v>
      </c>
      <c r="O1343" t="s">
        <v>27</v>
      </c>
      <c r="P1343">
        <v>2.98</v>
      </c>
      <c r="Q1343" t="s">
        <v>24</v>
      </c>
      <c r="R1343">
        <v>4.24</v>
      </c>
      <c r="S1343" t="s">
        <v>28</v>
      </c>
      <c r="T1343" t="str">
        <f t="shared" si="40"/>
        <v>Moderate</v>
      </c>
      <c r="U1343" t="str">
        <f t="shared" si="41"/>
        <v>Expert</v>
      </c>
    </row>
    <row r="1344" spans="1:21" x14ac:dyDescent="0.35">
      <c r="A1344" t="s">
        <v>1417</v>
      </c>
      <c r="B1344" t="s">
        <v>96</v>
      </c>
      <c r="C1344" t="s">
        <v>107</v>
      </c>
      <c r="D1344" t="s">
        <v>63</v>
      </c>
      <c r="E1344" t="s">
        <v>33</v>
      </c>
      <c r="F1344">
        <v>6</v>
      </c>
      <c r="G1344">
        <v>0.78</v>
      </c>
      <c r="H1344">
        <v>0.86</v>
      </c>
      <c r="I1344" t="s">
        <v>60</v>
      </c>
      <c r="J1344">
        <v>58993</v>
      </c>
      <c r="K1344" t="s">
        <v>25</v>
      </c>
      <c r="L1344">
        <v>44</v>
      </c>
      <c r="M1344">
        <v>33</v>
      </c>
      <c r="N1344" t="s">
        <v>26</v>
      </c>
      <c r="O1344" t="s">
        <v>25</v>
      </c>
      <c r="P1344">
        <v>2.93</v>
      </c>
      <c r="Q1344" t="s">
        <v>24</v>
      </c>
      <c r="R1344">
        <v>3.19</v>
      </c>
      <c r="S1344" t="s">
        <v>28</v>
      </c>
      <c r="T1344" t="str">
        <f t="shared" si="40"/>
        <v>High</v>
      </c>
      <c r="U1344" t="str">
        <f t="shared" si="41"/>
        <v>Intermediate</v>
      </c>
    </row>
    <row r="1345" spans="1:21" x14ac:dyDescent="0.35">
      <c r="A1345" t="s">
        <v>1418</v>
      </c>
      <c r="B1345" t="s">
        <v>54</v>
      </c>
      <c r="C1345" t="s">
        <v>82</v>
      </c>
      <c r="D1345" t="s">
        <v>22</v>
      </c>
      <c r="E1345" t="s">
        <v>33</v>
      </c>
      <c r="F1345">
        <v>9</v>
      </c>
      <c r="G1345">
        <v>0.79</v>
      </c>
      <c r="H1345">
        <v>0.88</v>
      </c>
      <c r="I1345" t="s">
        <v>24</v>
      </c>
      <c r="J1345">
        <v>79565</v>
      </c>
      <c r="K1345" t="s">
        <v>25</v>
      </c>
      <c r="L1345">
        <v>34</v>
      </c>
      <c r="M1345">
        <v>49</v>
      </c>
      <c r="N1345" t="s">
        <v>42</v>
      </c>
      <c r="O1345" t="s">
        <v>27</v>
      </c>
      <c r="P1345">
        <v>3.39</v>
      </c>
      <c r="Q1345" t="s">
        <v>24</v>
      </c>
      <c r="R1345">
        <v>4.91</v>
      </c>
      <c r="S1345" t="s">
        <v>47</v>
      </c>
      <c r="T1345" t="str">
        <f t="shared" si="40"/>
        <v>High</v>
      </c>
      <c r="U1345" t="str">
        <f t="shared" si="41"/>
        <v>Experienced</v>
      </c>
    </row>
    <row r="1346" spans="1:21" x14ac:dyDescent="0.35">
      <c r="A1346" t="s">
        <v>1419</v>
      </c>
      <c r="B1346" t="s">
        <v>45</v>
      </c>
      <c r="C1346" t="s">
        <v>21</v>
      </c>
      <c r="D1346" t="s">
        <v>66</v>
      </c>
      <c r="E1346" t="s">
        <v>23</v>
      </c>
      <c r="F1346">
        <v>2</v>
      </c>
      <c r="G1346">
        <v>0.19</v>
      </c>
      <c r="H1346">
        <v>0.91</v>
      </c>
      <c r="I1346" t="s">
        <v>24</v>
      </c>
      <c r="J1346">
        <v>107382</v>
      </c>
      <c r="K1346" t="s">
        <v>25</v>
      </c>
      <c r="L1346">
        <v>-5</v>
      </c>
      <c r="M1346">
        <v>40</v>
      </c>
      <c r="N1346" t="s">
        <v>26</v>
      </c>
      <c r="O1346" t="s">
        <v>36</v>
      </c>
      <c r="P1346">
        <v>3.09</v>
      </c>
      <c r="Q1346" t="s">
        <v>24</v>
      </c>
      <c r="R1346">
        <v>4.8099999999999996</v>
      </c>
      <c r="S1346" t="s">
        <v>43</v>
      </c>
      <c r="T1346" t="str">
        <f t="shared" si="40"/>
        <v>Very High</v>
      </c>
      <c r="U1346" t="str">
        <f t="shared" si="41"/>
        <v>Beginner</v>
      </c>
    </row>
    <row r="1347" spans="1:21" x14ac:dyDescent="0.35">
      <c r="A1347" t="s">
        <v>1420</v>
      </c>
      <c r="B1347" t="s">
        <v>20</v>
      </c>
      <c r="C1347" t="s">
        <v>21</v>
      </c>
      <c r="D1347" t="s">
        <v>40</v>
      </c>
      <c r="E1347" t="s">
        <v>41</v>
      </c>
      <c r="F1347">
        <v>19</v>
      </c>
      <c r="G1347">
        <v>0.33</v>
      </c>
      <c r="H1347">
        <v>0.21</v>
      </c>
      <c r="I1347" t="s">
        <v>60</v>
      </c>
      <c r="J1347">
        <v>145592</v>
      </c>
      <c r="K1347" t="s">
        <v>42</v>
      </c>
      <c r="L1347">
        <v>13</v>
      </c>
      <c r="M1347">
        <v>49</v>
      </c>
      <c r="N1347" t="s">
        <v>26</v>
      </c>
      <c r="O1347" t="s">
        <v>36</v>
      </c>
      <c r="P1347">
        <v>3.99</v>
      </c>
      <c r="Q1347" t="s">
        <v>34</v>
      </c>
      <c r="R1347">
        <v>2.2799999999999998</v>
      </c>
      <c r="S1347" t="s">
        <v>43</v>
      </c>
      <c r="T1347" t="str">
        <f t="shared" ref="T1347:T1410" si="42">IF(AND(G1347&lt;0.4,H1347&gt;=0.7),"Very High",
IF(AND(G1347&gt;=0.7,H1347&lt;0.5),"Very Low",
IF(G1347&lt;H1347,"High","Moderate")))</f>
        <v>Moderate</v>
      </c>
      <c r="U1347" t="str">
        <f t="shared" ref="U1347:U1410" si="43">_xlfn.IFS(F1347&lt;=2,"Beginner",F1347&lt;=8,"Intermediate",F1347&lt;=15,"Experienced",F1347&lt;=25,"Expert")</f>
        <v>Expert</v>
      </c>
    </row>
    <row r="1348" spans="1:21" x14ac:dyDescent="0.35">
      <c r="A1348" t="s">
        <v>1421</v>
      </c>
      <c r="B1348" t="s">
        <v>77</v>
      </c>
      <c r="C1348" t="s">
        <v>46</v>
      </c>
      <c r="D1348" t="s">
        <v>40</v>
      </c>
      <c r="E1348" t="s">
        <v>33</v>
      </c>
      <c r="F1348">
        <v>13</v>
      </c>
      <c r="G1348">
        <v>0.75</v>
      </c>
      <c r="H1348">
        <v>0.79</v>
      </c>
      <c r="I1348" t="s">
        <v>60</v>
      </c>
      <c r="J1348">
        <v>78172</v>
      </c>
      <c r="K1348" t="s">
        <v>27</v>
      </c>
      <c r="L1348">
        <v>7</v>
      </c>
      <c r="M1348">
        <v>40</v>
      </c>
      <c r="N1348" t="s">
        <v>35</v>
      </c>
      <c r="O1348" t="s">
        <v>25</v>
      </c>
      <c r="P1348">
        <v>3.25</v>
      </c>
      <c r="Q1348" t="s">
        <v>24</v>
      </c>
      <c r="R1348">
        <v>4.74</v>
      </c>
      <c r="S1348" t="s">
        <v>28</v>
      </c>
      <c r="T1348" t="str">
        <f t="shared" si="42"/>
        <v>High</v>
      </c>
      <c r="U1348" t="str">
        <f t="shared" si="43"/>
        <v>Experienced</v>
      </c>
    </row>
    <row r="1349" spans="1:21" x14ac:dyDescent="0.35">
      <c r="A1349" t="s">
        <v>1422</v>
      </c>
      <c r="B1349" t="s">
        <v>96</v>
      </c>
      <c r="C1349" t="s">
        <v>46</v>
      </c>
      <c r="D1349" t="s">
        <v>40</v>
      </c>
      <c r="E1349" t="s">
        <v>41</v>
      </c>
      <c r="F1349">
        <v>1</v>
      </c>
      <c r="G1349">
        <v>0.88</v>
      </c>
      <c r="H1349">
        <v>0.79</v>
      </c>
      <c r="I1349" t="s">
        <v>60</v>
      </c>
      <c r="J1349">
        <v>197959</v>
      </c>
      <c r="K1349" t="s">
        <v>27</v>
      </c>
      <c r="L1349">
        <v>23</v>
      </c>
      <c r="M1349">
        <v>50</v>
      </c>
      <c r="N1349" t="s">
        <v>35</v>
      </c>
      <c r="O1349" t="s">
        <v>25</v>
      </c>
      <c r="P1349">
        <v>3.99</v>
      </c>
      <c r="Q1349" t="s">
        <v>24</v>
      </c>
      <c r="R1349">
        <v>4.2</v>
      </c>
      <c r="S1349" t="s">
        <v>47</v>
      </c>
      <c r="T1349" t="str">
        <f t="shared" si="42"/>
        <v>Moderate</v>
      </c>
      <c r="U1349" t="str">
        <f t="shared" si="43"/>
        <v>Beginner</v>
      </c>
    </row>
    <row r="1350" spans="1:21" x14ac:dyDescent="0.35">
      <c r="A1350" t="s">
        <v>1423</v>
      </c>
      <c r="B1350" t="s">
        <v>147</v>
      </c>
      <c r="C1350" t="s">
        <v>52</v>
      </c>
      <c r="D1350" t="s">
        <v>32</v>
      </c>
      <c r="E1350" t="s">
        <v>23</v>
      </c>
      <c r="F1350">
        <v>19</v>
      </c>
      <c r="G1350">
        <v>0.19</v>
      </c>
      <c r="H1350">
        <v>0.27</v>
      </c>
      <c r="I1350" t="s">
        <v>60</v>
      </c>
      <c r="J1350">
        <v>160867</v>
      </c>
      <c r="K1350" t="s">
        <v>42</v>
      </c>
      <c r="L1350">
        <v>-1</v>
      </c>
      <c r="M1350">
        <v>30</v>
      </c>
      <c r="N1350" t="s">
        <v>26</v>
      </c>
      <c r="O1350" t="s">
        <v>25</v>
      </c>
      <c r="P1350">
        <v>3.89</v>
      </c>
      <c r="Q1350" t="s">
        <v>34</v>
      </c>
      <c r="R1350">
        <v>3.29</v>
      </c>
      <c r="S1350" t="s">
        <v>28</v>
      </c>
      <c r="T1350" t="str">
        <f t="shared" si="42"/>
        <v>High</v>
      </c>
      <c r="U1350" t="str">
        <f t="shared" si="43"/>
        <v>Expert</v>
      </c>
    </row>
    <row r="1351" spans="1:21" x14ac:dyDescent="0.35">
      <c r="A1351" t="s">
        <v>1424</v>
      </c>
      <c r="B1351" t="s">
        <v>147</v>
      </c>
      <c r="C1351" t="s">
        <v>107</v>
      </c>
      <c r="D1351" t="s">
        <v>32</v>
      </c>
      <c r="E1351" t="s">
        <v>33</v>
      </c>
      <c r="F1351">
        <v>17</v>
      </c>
      <c r="G1351">
        <v>0.56000000000000005</v>
      </c>
      <c r="H1351">
        <v>0.31</v>
      </c>
      <c r="I1351" t="s">
        <v>60</v>
      </c>
      <c r="J1351">
        <v>196237</v>
      </c>
      <c r="K1351" t="s">
        <v>42</v>
      </c>
      <c r="L1351">
        <v>-7</v>
      </c>
      <c r="M1351">
        <v>52</v>
      </c>
      <c r="N1351" t="s">
        <v>35</v>
      </c>
      <c r="O1351" t="s">
        <v>25</v>
      </c>
      <c r="P1351">
        <v>2.44</v>
      </c>
      <c r="Q1351" t="s">
        <v>24</v>
      </c>
      <c r="R1351">
        <v>4.84</v>
      </c>
      <c r="S1351" t="s">
        <v>28</v>
      </c>
      <c r="T1351" t="str">
        <f t="shared" si="42"/>
        <v>Moderate</v>
      </c>
      <c r="U1351" t="str">
        <f t="shared" si="43"/>
        <v>Expert</v>
      </c>
    </row>
    <row r="1352" spans="1:21" x14ac:dyDescent="0.35">
      <c r="A1352" t="s">
        <v>1425</v>
      </c>
      <c r="B1352" t="s">
        <v>106</v>
      </c>
      <c r="C1352" t="s">
        <v>46</v>
      </c>
      <c r="D1352" t="s">
        <v>63</v>
      </c>
      <c r="E1352" t="s">
        <v>41</v>
      </c>
      <c r="F1352">
        <v>9</v>
      </c>
      <c r="G1352">
        <v>0.77</v>
      </c>
      <c r="H1352">
        <v>0.64</v>
      </c>
      <c r="I1352" t="s">
        <v>34</v>
      </c>
      <c r="J1352">
        <v>62006</v>
      </c>
      <c r="K1352" t="s">
        <v>25</v>
      </c>
      <c r="L1352">
        <v>35</v>
      </c>
      <c r="M1352">
        <v>55</v>
      </c>
      <c r="N1352" t="s">
        <v>35</v>
      </c>
      <c r="O1352" t="s">
        <v>36</v>
      </c>
      <c r="P1352">
        <v>4.03</v>
      </c>
      <c r="Q1352" t="s">
        <v>24</v>
      </c>
      <c r="R1352">
        <v>3.83</v>
      </c>
      <c r="S1352" t="s">
        <v>47</v>
      </c>
      <c r="T1352" t="str">
        <f t="shared" si="42"/>
        <v>Moderate</v>
      </c>
      <c r="U1352" t="str">
        <f t="shared" si="43"/>
        <v>Experienced</v>
      </c>
    </row>
    <row r="1353" spans="1:21" x14ac:dyDescent="0.35">
      <c r="A1353" t="s">
        <v>1426</v>
      </c>
      <c r="B1353" t="s">
        <v>54</v>
      </c>
      <c r="C1353" t="s">
        <v>58</v>
      </c>
      <c r="D1353" t="s">
        <v>69</v>
      </c>
      <c r="E1353" t="s">
        <v>70</v>
      </c>
      <c r="F1353">
        <v>9</v>
      </c>
      <c r="G1353">
        <v>0.21</v>
      </c>
      <c r="H1353">
        <v>0.94</v>
      </c>
      <c r="I1353" t="s">
        <v>34</v>
      </c>
      <c r="J1353">
        <v>77691</v>
      </c>
      <c r="K1353" t="s">
        <v>42</v>
      </c>
      <c r="L1353">
        <v>18</v>
      </c>
      <c r="M1353">
        <v>60</v>
      </c>
      <c r="N1353" t="s">
        <v>42</v>
      </c>
      <c r="O1353" t="s">
        <v>27</v>
      </c>
      <c r="P1353">
        <v>4.9400000000000004</v>
      </c>
      <c r="Q1353" t="s">
        <v>34</v>
      </c>
      <c r="R1353">
        <v>1.17</v>
      </c>
      <c r="S1353" t="s">
        <v>28</v>
      </c>
      <c r="T1353" t="str">
        <f t="shared" si="42"/>
        <v>Very High</v>
      </c>
      <c r="U1353" t="str">
        <f t="shared" si="43"/>
        <v>Experienced</v>
      </c>
    </row>
    <row r="1354" spans="1:21" x14ac:dyDescent="0.35">
      <c r="A1354" t="s">
        <v>1427</v>
      </c>
      <c r="B1354" t="s">
        <v>102</v>
      </c>
      <c r="C1354" t="s">
        <v>58</v>
      </c>
      <c r="D1354" t="s">
        <v>40</v>
      </c>
      <c r="E1354" t="s">
        <v>23</v>
      </c>
      <c r="F1354">
        <v>10</v>
      </c>
      <c r="G1354">
        <v>0.44</v>
      </c>
      <c r="H1354">
        <v>0.96</v>
      </c>
      <c r="I1354" t="s">
        <v>60</v>
      </c>
      <c r="J1354">
        <v>98048</v>
      </c>
      <c r="K1354" t="s">
        <v>42</v>
      </c>
      <c r="L1354">
        <v>17</v>
      </c>
      <c r="M1354">
        <v>55</v>
      </c>
      <c r="N1354" t="s">
        <v>35</v>
      </c>
      <c r="O1354" t="s">
        <v>25</v>
      </c>
      <c r="P1354">
        <v>3.54</v>
      </c>
      <c r="Q1354" t="s">
        <v>34</v>
      </c>
      <c r="R1354">
        <v>3.12</v>
      </c>
      <c r="S1354" t="s">
        <v>28</v>
      </c>
      <c r="T1354" t="str">
        <f t="shared" si="42"/>
        <v>High</v>
      </c>
      <c r="U1354" t="str">
        <f t="shared" si="43"/>
        <v>Experienced</v>
      </c>
    </row>
    <row r="1355" spans="1:21" x14ac:dyDescent="0.35">
      <c r="A1355" t="s">
        <v>1428</v>
      </c>
      <c r="B1355" t="s">
        <v>73</v>
      </c>
      <c r="C1355" t="s">
        <v>52</v>
      </c>
      <c r="D1355" t="s">
        <v>32</v>
      </c>
      <c r="E1355" t="s">
        <v>33</v>
      </c>
      <c r="F1355">
        <v>18</v>
      </c>
      <c r="G1355">
        <v>0.8</v>
      </c>
      <c r="H1355">
        <v>0.26</v>
      </c>
      <c r="I1355" t="s">
        <v>24</v>
      </c>
      <c r="J1355">
        <v>132066</v>
      </c>
      <c r="K1355" t="s">
        <v>25</v>
      </c>
      <c r="L1355">
        <v>-4</v>
      </c>
      <c r="M1355">
        <v>55</v>
      </c>
      <c r="N1355" t="s">
        <v>26</v>
      </c>
      <c r="O1355" t="s">
        <v>25</v>
      </c>
      <c r="P1355">
        <v>3.67</v>
      </c>
      <c r="Q1355" t="s">
        <v>24</v>
      </c>
      <c r="R1355">
        <v>4.6900000000000004</v>
      </c>
      <c r="S1355" t="s">
        <v>43</v>
      </c>
      <c r="T1355" t="str">
        <f t="shared" si="42"/>
        <v>Very Low</v>
      </c>
      <c r="U1355" t="str">
        <f t="shared" si="43"/>
        <v>Expert</v>
      </c>
    </row>
    <row r="1356" spans="1:21" x14ac:dyDescent="0.35">
      <c r="A1356" t="s">
        <v>1429</v>
      </c>
      <c r="B1356" t="s">
        <v>54</v>
      </c>
      <c r="C1356" t="s">
        <v>55</v>
      </c>
      <c r="D1356" t="s">
        <v>22</v>
      </c>
      <c r="E1356" t="s">
        <v>70</v>
      </c>
      <c r="F1356">
        <v>23</v>
      </c>
      <c r="G1356">
        <v>7.0000000000000007E-2</v>
      </c>
      <c r="H1356">
        <v>0.46</v>
      </c>
      <c r="I1356" t="s">
        <v>24</v>
      </c>
      <c r="J1356">
        <v>219013</v>
      </c>
      <c r="K1356" t="s">
        <v>27</v>
      </c>
      <c r="L1356">
        <v>0</v>
      </c>
      <c r="M1356">
        <v>60</v>
      </c>
      <c r="N1356" t="s">
        <v>26</v>
      </c>
      <c r="O1356" t="s">
        <v>27</v>
      </c>
      <c r="P1356">
        <v>2.87</v>
      </c>
      <c r="Q1356" t="s">
        <v>24</v>
      </c>
      <c r="R1356">
        <v>3.36</v>
      </c>
      <c r="S1356" t="s">
        <v>47</v>
      </c>
      <c r="T1356" t="str">
        <f t="shared" si="42"/>
        <v>High</v>
      </c>
      <c r="U1356" t="str">
        <f t="shared" si="43"/>
        <v>Expert</v>
      </c>
    </row>
    <row r="1357" spans="1:21" x14ac:dyDescent="0.35">
      <c r="A1357" t="s">
        <v>1430</v>
      </c>
      <c r="B1357" t="s">
        <v>147</v>
      </c>
      <c r="C1357" t="s">
        <v>21</v>
      </c>
      <c r="D1357" t="s">
        <v>69</v>
      </c>
      <c r="E1357" t="s">
        <v>23</v>
      </c>
      <c r="F1357">
        <v>6</v>
      </c>
      <c r="G1357">
        <v>0.45</v>
      </c>
      <c r="H1357">
        <v>0.64</v>
      </c>
      <c r="I1357" t="s">
        <v>60</v>
      </c>
      <c r="J1357">
        <v>184278</v>
      </c>
      <c r="K1357" t="s">
        <v>25</v>
      </c>
      <c r="L1357">
        <v>42</v>
      </c>
      <c r="M1357">
        <v>48</v>
      </c>
      <c r="N1357" t="s">
        <v>42</v>
      </c>
      <c r="O1357" t="s">
        <v>27</v>
      </c>
      <c r="P1357">
        <v>2.66</v>
      </c>
      <c r="Q1357" t="s">
        <v>34</v>
      </c>
      <c r="R1357">
        <v>2.97</v>
      </c>
      <c r="S1357" t="s">
        <v>28</v>
      </c>
      <c r="T1357" t="str">
        <f t="shared" si="42"/>
        <v>High</v>
      </c>
      <c r="U1357" t="str">
        <f t="shared" si="43"/>
        <v>Intermediate</v>
      </c>
    </row>
    <row r="1358" spans="1:21" x14ac:dyDescent="0.35">
      <c r="A1358" t="s">
        <v>1431</v>
      </c>
      <c r="B1358" t="s">
        <v>96</v>
      </c>
      <c r="C1358" t="s">
        <v>82</v>
      </c>
      <c r="D1358" t="s">
        <v>22</v>
      </c>
      <c r="E1358" t="s">
        <v>33</v>
      </c>
      <c r="F1358">
        <v>11</v>
      </c>
      <c r="G1358">
        <v>0.53</v>
      </c>
      <c r="H1358">
        <v>0.81</v>
      </c>
      <c r="I1358" t="s">
        <v>60</v>
      </c>
      <c r="J1358">
        <v>116960</v>
      </c>
      <c r="K1358" t="s">
        <v>27</v>
      </c>
      <c r="L1358">
        <v>24</v>
      </c>
      <c r="M1358">
        <v>51</v>
      </c>
      <c r="N1358" t="s">
        <v>35</v>
      </c>
      <c r="O1358" t="s">
        <v>25</v>
      </c>
      <c r="P1358">
        <v>3.58</v>
      </c>
      <c r="Q1358" t="s">
        <v>24</v>
      </c>
      <c r="R1358">
        <v>3.87</v>
      </c>
      <c r="S1358" t="s">
        <v>47</v>
      </c>
      <c r="T1358" t="str">
        <f t="shared" si="42"/>
        <v>High</v>
      </c>
      <c r="U1358" t="str">
        <f t="shared" si="43"/>
        <v>Experienced</v>
      </c>
    </row>
    <row r="1359" spans="1:21" x14ac:dyDescent="0.35">
      <c r="A1359" t="s">
        <v>1432</v>
      </c>
      <c r="B1359" t="s">
        <v>65</v>
      </c>
      <c r="C1359" t="s">
        <v>55</v>
      </c>
      <c r="D1359" t="s">
        <v>63</v>
      </c>
      <c r="E1359" t="s">
        <v>23</v>
      </c>
      <c r="F1359">
        <v>17</v>
      </c>
      <c r="G1359">
        <v>0.27</v>
      </c>
      <c r="H1359">
        <v>0.37</v>
      </c>
      <c r="I1359" t="s">
        <v>60</v>
      </c>
      <c r="J1359">
        <v>144501</v>
      </c>
      <c r="K1359" t="s">
        <v>42</v>
      </c>
      <c r="L1359">
        <v>33</v>
      </c>
      <c r="M1359">
        <v>60</v>
      </c>
      <c r="N1359" t="s">
        <v>42</v>
      </c>
      <c r="O1359" t="s">
        <v>36</v>
      </c>
      <c r="P1359">
        <v>4.72</v>
      </c>
      <c r="Q1359" t="s">
        <v>34</v>
      </c>
      <c r="R1359">
        <v>3.01</v>
      </c>
      <c r="S1359" t="s">
        <v>28</v>
      </c>
      <c r="T1359" t="str">
        <f t="shared" si="42"/>
        <v>High</v>
      </c>
      <c r="U1359" t="str">
        <f t="shared" si="43"/>
        <v>Expert</v>
      </c>
    </row>
    <row r="1360" spans="1:21" x14ac:dyDescent="0.35">
      <c r="A1360" t="s">
        <v>1433</v>
      </c>
      <c r="B1360" t="s">
        <v>89</v>
      </c>
      <c r="C1360" t="s">
        <v>74</v>
      </c>
      <c r="D1360" t="s">
        <v>32</v>
      </c>
      <c r="E1360" t="s">
        <v>41</v>
      </c>
      <c r="F1360">
        <v>7</v>
      </c>
      <c r="G1360">
        <v>0.3</v>
      </c>
      <c r="H1360">
        <v>0.46</v>
      </c>
      <c r="I1360" t="s">
        <v>34</v>
      </c>
      <c r="J1360">
        <v>180691</v>
      </c>
      <c r="K1360" t="s">
        <v>27</v>
      </c>
      <c r="L1360">
        <v>2</v>
      </c>
      <c r="M1360">
        <v>32</v>
      </c>
      <c r="N1360" t="s">
        <v>42</v>
      </c>
      <c r="O1360" t="s">
        <v>36</v>
      </c>
      <c r="P1360">
        <v>4.6900000000000004</v>
      </c>
      <c r="Q1360" t="s">
        <v>34</v>
      </c>
      <c r="R1360">
        <v>3.4</v>
      </c>
      <c r="S1360" t="s">
        <v>47</v>
      </c>
      <c r="T1360" t="str">
        <f t="shared" si="42"/>
        <v>High</v>
      </c>
      <c r="U1360" t="str">
        <f t="shared" si="43"/>
        <v>Intermediate</v>
      </c>
    </row>
    <row r="1361" spans="1:21" x14ac:dyDescent="0.35">
      <c r="A1361" t="s">
        <v>1434</v>
      </c>
      <c r="B1361" t="s">
        <v>96</v>
      </c>
      <c r="C1361" t="s">
        <v>82</v>
      </c>
      <c r="D1361" t="s">
        <v>69</v>
      </c>
      <c r="E1361" t="s">
        <v>23</v>
      </c>
      <c r="F1361">
        <v>10</v>
      </c>
      <c r="G1361">
        <v>0.69</v>
      </c>
      <c r="H1361">
        <v>0.43</v>
      </c>
      <c r="I1361" t="s">
        <v>24</v>
      </c>
      <c r="J1361">
        <v>168035</v>
      </c>
      <c r="K1361" t="s">
        <v>27</v>
      </c>
      <c r="L1361">
        <v>31</v>
      </c>
      <c r="M1361">
        <v>33</v>
      </c>
      <c r="N1361" t="s">
        <v>26</v>
      </c>
      <c r="O1361" t="s">
        <v>27</v>
      </c>
      <c r="P1361">
        <v>3.48</v>
      </c>
      <c r="Q1361" t="s">
        <v>34</v>
      </c>
      <c r="R1361">
        <v>2.34</v>
      </c>
      <c r="S1361" t="s">
        <v>43</v>
      </c>
      <c r="T1361" t="str">
        <f t="shared" si="42"/>
        <v>Moderate</v>
      </c>
      <c r="U1361" t="str">
        <f t="shared" si="43"/>
        <v>Experienced</v>
      </c>
    </row>
    <row r="1362" spans="1:21" x14ac:dyDescent="0.35">
      <c r="A1362" t="s">
        <v>1435</v>
      </c>
      <c r="B1362" t="s">
        <v>77</v>
      </c>
      <c r="C1362" t="s">
        <v>52</v>
      </c>
      <c r="D1362" t="s">
        <v>49</v>
      </c>
      <c r="E1362" t="s">
        <v>23</v>
      </c>
      <c r="F1362">
        <v>7</v>
      </c>
      <c r="G1362">
        <v>0.63</v>
      </c>
      <c r="H1362">
        <v>0.45</v>
      </c>
      <c r="I1362" t="s">
        <v>60</v>
      </c>
      <c r="J1362">
        <v>59253</v>
      </c>
      <c r="K1362" t="s">
        <v>25</v>
      </c>
      <c r="L1362">
        <v>41</v>
      </c>
      <c r="M1362">
        <v>31</v>
      </c>
      <c r="N1362" t="s">
        <v>26</v>
      </c>
      <c r="O1362" t="s">
        <v>25</v>
      </c>
      <c r="P1362">
        <v>3.05</v>
      </c>
      <c r="Q1362" t="s">
        <v>24</v>
      </c>
      <c r="R1362">
        <v>1.24</v>
      </c>
      <c r="S1362" t="s">
        <v>47</v>
      </c>
      <c r="T1362" t="str">
        <f t="shared" si="42"/>
        <v>Moderate</v>
      </c>
      <c r="U1362" t="str">
        <f t="shared" si="43"/>
        <v>Intermediate</v>
      </c>
    </row>
    <row r="1363" spans="1:21" x14ac:dyDescent="0.35">
      <c r="A1363" t="s">
        <v>1436</v>
      </c>
      <c r="B1363" t="s">
        <v>51</v>
      </c>
      <c r="C1363" t="s">
        <v>31</v>
      </c>
      <c r="D1363" t="s">
        <v>32</v>
      </c>
      <c r="E1363" t="s">
        <v>33</v>
      </c>
      <c r="F1363">
        <v>16</v>
      </c>
      <c r="G1363">
        <v>0.56999999999999995</v>
      </c>
      <c r="H1363">
        <v>0.72</v>
      </c>
      <c r="I1363" t="s">
        <v>34</v>
      </c>
      <c r="J1363">
        <v>70693</v>
      </c>
      <c r="K1363" t="s">
        <v>27</v>
      </c>
      <c r="L1363">
        <v>40</v>
      </c>
      <c r="M1363">
        <v>53</v>
      </c>
      <c r="N1363" t="s">
        <v>35</v>
      </c>
      <c r="O1363" t="s">
        <v>36</v>
      </c>
      <c r="P1363">
        <v>4.32</v>
      </c>
      <c r="Q1363" t="s">
        <v>24</v>
      </c>
      <c r="R1363">
        <v>2.92</v>
      </c>
      <c r="S1363" t="s">
        <v>43</v>
      </c>
      <c r="T1363" t="str">
        <f t="shared" si="42"/>
        <v>High</v>
      </c>
      <c r="U1363" t="str">
        <f t="shared" si="43"/>
        <v>Expert</v>
      </c>
    </row>
    <row r="1364" spans="1:21" x14ac:dyDescent="0.35">
      <c r="A1364" t="s">
        <v>1437</v>
      </c>
      <c r="B1364" t="s">
        <v>65</v>
      </c>
      <c r="C1364" t="s">
        <v>58</v>
      </c>
      <c r="D1364" t="s">
        <v>66</v>
      </c>
      <c r="E1364" t="s">
        <v>41</v>
      </c>
      <c r="F1364">
        <v>25</v>
      </c>
      <c r="G1364">
        <v>0.64</v>
      </c>
      <c r="H1364">
        <v>0.24</v>
      </c>
      <c r="I1364" t="s">
        <v>24</v>
      </c>
      <c r="J1364">
        <v>51708</v>
      </c>
      <c r="K1364" t="s">
        <v>25</v>
      </c>
      <c r="L1364">
        <v>9</v>
      </c>
      <c r="M1364">
        <v>47</v>
      </c>
      <c r="N1364" t="s">
        <v>35</v>
      </c>
      <c r="O1364" t="s">
        <v>25</v>
      </c>
      <c r="P1364">
        <v>4.5199999999999996</v>
      </c>
      <c r="Q1364" t="s">
        <v>34</v>
      </c>
      <c r="R1364">
        <v>4.4800000000000004</v>
      </c>
      <c r="S1364" t="s">
        <v>43</v>
      </c>
      <c r="T1364" t="str">
        <f t="shared" si="42"/>
        <v>Moderate</v>
      </c>
      <c r="U1364" t="str">
        <f t="shared" si="43"/>
        <v>Expert</v>
      </c>
    </row>
    <row r="1365" spans="1:21" x14ac:dyDescent="0.35">
      <c r="A1365" t="s">
        <v>1438</v>
      </c>
      <c r="B1365" t="s">
        <v>30</v>
      </c>
      <c r="C1365" t="s">
        <v>31</v>
      </c>
      <c r="D1365" t="s">
        <v>66</v>
      </c>
      <c r="E1365" t="s">
        <v>23</v>
      </c>
      <c r="F1365">
        <v>0</v>
      </c>
      <c r="G1365">
        <v>0.94</v>
      </c>
      <c r="H1365">
        <v>0.57999999999999996</v>
      </c>
      <c r="I1365" t="s">
        <v>34</v>
      </c>
      <c r="J1365">
        <v>120680</v>
      </c>
      <c r="K1365" t="s">
        <v>25</v>
      </c>
      <c r="L1365">
        <v>27</v>
      </c>
      <c r="M1365">
        <v>34</v>
      </c>
      <c r="N1365" t="s">
        <v>42</v>
      </c>
      <c r="O1365" t="s">
        <v>25</v>
      </c>
      <c r="P1365">
        <v>3.85</v>
      </c>
      <c r="Q1365" t="s">
        <v>34</v>
      </c>
      <c r="R1365">
        <v>2.94</v>
      </c>
      <c r="S1365" t="s">
        <v>43</v>
      </c>
      <c r="T1365" t="str">
        <f t="shared" si="42"/>
        <v>Moderate</v>
      </c>
      <c r="U1365" t="str">
        <f t="shared" si="43"/>
        <v>Beginner</v>
      </c>
    </row>
    <row r="1366" spans="1:21" x14ac:dyDescent="0.35">
      <c r="A1366" t="s">
        <v>1439</v>
      </c>
      <c r="B1366" t="s">
        <v>62</v>
      </c>
      <c r="C1366" t="s">
        <v>46</v>
      </c>
      <c r="D1366" t="s">
        <v>22</v>
      </c>
      <c r="E1366" t="s">
        <v>41</v>
      </c>
      <c r="F1366">
        <v>3</v>
      </c>
      <c r="G1366">
        <v>0.72</v>
      </c>
      <c r="H1366">
        <v>0.51</v>
      </c>
      <c r="I1366" t="s">
        <v>60</v>
      </c>
      <c r="J1366">
        <v>212652</v>
      </c>
      <c r="K1366" t="s">
        <v>27</v>
      </c>
      <c r="L1366">
        <v>-1</v>
      </c>
      <c r="M1366">
        <v>52</v>
      </c>
      <c r="N1366" t="s">
        <v>26</v>
      </c>
      <c r="O1366" t="s">
        <v>36</v>
      </c>
      <c r="P1366">
        <v>3.23</v>
      </c>
      <c r="Q1366" t="s">
        <v>24</v>
      </c>
      <c r="R1366">
        <v>4.21</v>
      </c>
      <c r="S1366" t="s">
        <v>43</v>
      </c>
      <c r="T1366" t="str">
        <f t="shared" si="42"/>
        <v>Moderate</v>
      </c>
      <c r="U1366" t="str">
        <f t="shared" si="43"/>
        <v>Intermediate</v>
      </c>
    </row>
    <row r="1367" spans="1:21" x14ac:dyDescent="0.35">
      <c r="A1367" t="s">
        <v>1440</v>
      </c>
      <c r="B1367" t="s">
        <v>102</v>
      </c>
      <c r="C1367" t="s">
        <v>55</v>
      </c>
      <c r="D1367" t="s">
        <v>59</v>
      </c>
      <c r="E1367" t="s">
        <v>41</v>
      </c>
      <c r="F1367">
        <v>21</v>
      </c>
      <c r="G1367">
        <v>0.92</v>
      </c>
      <c r="H1367">
        <v>0.77</v>
      </c>
      <c r="I1367" t="s">
        <v>34</v>
      </c>
      <c r="J1367">
        <v>200133</v>
      </c>
      <c r="K1367" t="s">
        <v>42</v>
      </c>
      <c r="L1367">
        <v>11</v>
      </c>
      <c r="M1367">
        <v>57</v>
      </c>
      <c r="N1367" t="s">
        <v>42</v>
      </c>
      <c r="O1367" t="s">
        <v>27</v>
      </c>
      <c r="P1367">
        <v>2.42</v>
      </c>
      <c r="Q1367" t="s">
        <v>24</v>
      </c>
      <c r="R1367">
        <v>2.5499999999999998</v>
      </c>
      <c r="S1367" t="s">
        <v>43</v>
      </c>
      <c r="T1367" t="str">
        <f t="shared" si="42"/>
        <v>Moderate</v>
      </c>
      <c r="U1367" t="str">
        <f t="shared" si="43"/>
        <v>Expert</v>
      </c>
    </row>
    <row r="1368" spans="1:21" x14ac:dyDescent="0.35">
      <c r="A1368" t="s">
        <v>1441</v>
      </c>
      <c r="B1368" t="s">
        <v>156</v>
      </c>
      <c r="C1368" t="s">
        <v>107</v>
      </c>
      <c r="D1368" t="s">
        <v>80</v>
      </c>
      <c r="E1368" t="s">
        <v>41</v>
      </c>
      <c r="F1368">
        <v>15</v>
      </c>
      <c r="G1368">
        <v>0.51</v>
      </c>
      <c r="H1368">
        <v>0.43</v>
      </c>
      <c r="I1368" t="s">
        <v>34</v>
      </c>
      <c r="J1368">
        <v>133658</v>
      </c>
      <c r="K1368" t="s">
        <v>25</v>
      </c>
      <c r="L1368">
        <v>32</v>
      </c>
      <c r="M1368">
        <v>55</v>
      </c>
      <c r="N1368" t="s">
        <v>26</v>
      </c>
      <c r="O1368" t="s">
        <v>27</v>
      </c>
      <c r="P1368">
        <v>3.71</v>
      </c>
      <c r="Q1368" t="s">
        <v>24</v>
      </c>
      <c r="R1368">
        <v>3.43</v>
      </c>
      <c r="S1368" t="s">
        <v>47</v>
      </c>
      <c r="T1368" t="str">
        <f t="shared" si="42"/>
        <v>Moderate</v>
      </c>
      <c r="U1368" t="str">
        <f t="shared" si="43"/>
        <v>Experienced</v>
      </c>
    </row>
    <row r="1369" spans="1:21" x14ac:dyDescent="0.35">
      <c r="A1369" t="s">
        <v>1442</v>
      </c>
      <c r="B1369" t="s">
        <v>62</v>
      </c>
      <c r="C1369" t="s">
        <v>46</v>
      </c>
      <c r="D1369" t="s">
        <v>32</v>
      </c>
      <c r="E1369" t="s">
        <v>70</v>
      </c>
      <c r="F1369">
        <v>6</v>
      </c>
      <c r="G1369">
        <v>0.66</v>
      </c>
      <c r="H1369">
        <v>0.42</v>
      </c>
      <c r="I1369" t="s">
        <v>60</v>
      </c>
      <c r="J1369">
        <v>55159</v>
      </c>
      <c r="K1369" t="s">
        <v>25</v>
      </c>
      <c r="L1369">
        <v>17</v>
      </c>
      <c r="M1369">
        <v>59</v>
      </c>
      <c r="N1369" t="s">
        <v>42</v>
      </c>
      <c r="O1369" t="s">
        <v>27</v>
      </c>
      <c r="P1369">
        <v>3.62</v>
      </c>
      <c r="Q1369" t="s">
        <v>24</v>
      </c>
      <c r="R1369">
        <v>3.07</v>
      </c>
      <c r="S1369" t="s">
        <v>28</v>
      </c>
      <c r="T1369" t="str">
        <f t="shared" si="42"/>
        <v>Moderate</v>
      </c>
      <c r="U1369" t="str">
        <f t="shared" si="43"/>
        <v>Intermediate</v>
      </c>
    </row>
    <row r="1370" spans="1:21" x14ac:dyDescent="0.35">
      <c r="A1370" t="s">
        <v>1443</v>
      </c>
      <c r="B1370" t="s">
        <v>73</v>
      </c>
      <c r="C1370" t="s">
        <v>107</v>
      </c>
      <c r="D1370" t="s">
        <v>75</v>
      </c>
      <c r="E1370" t="s">
        <v>70</v>
      </c>
      <c r="F1370">
        <v>10</v>
      </c>
      <c r="G1370">
        <v>0.37</v>
      </c>
      <c r="H1370">
        <v>0.82</v>
      </c>
      <c r="I1370" t="s">
        <v>34</v>
      </c>
      <c r="J1370">
        <v>182659</v>
      </c>
      <c r="K1370" t="s">
        <v>27</v>
      </c>
      <c r="L1370">
        <v>29</v>
      </c>
      <c r="M1370">
        <v>38</v>
      </c>
      <c r="N1370" t="s">
        <v>26</v>
      </c>
      <c r="O1370" t="s">
        <v>27</v>
      </c>
      <c r="P1370">
        <v>2.63</v>
      </c>
      <c r="Q1370" t="s">
        <v>34</v>
      </c>
      <c r="R1370">
        <v>1.89</v>
      </c>
      <c r="S1370" t="s">
        <v>43</v>
      </c>
      <c r="T1370" t="str">
        <f t="shared" si="42"/>
        <v>Very High</v>
      </c>
      <c r="U1370" t="str">
        <f t="shared" si="43"/>
        <v>Experienced</v>
      </c>
    </row>
    <row r="1371" spans="1:21" x14ac:dyDescent="0.35">
      <c r="A1371" t="s">
        <v>1444</v>
      </c>
      <c r="B1371" t="s">
        <v>38</v>
      </c>
      <c r="C1371" t="s">
        <v>31</v>
      </c>
      <c r="D1371" t="s">
        <v>22</v>
      </c>
      <c r="E1371" t="s">
        <v>41</v>
      </c>
      <c r="F1371">
        <v>15</v>
      </c>
      <c r="G1371">
        <v>0.56000000000000005</v>
      </c>
      <c r="H1371">
        <v>0.95</v>
      </c>
      <c r="I1371" t="s">
        <v>34</v>
      </c>
      <c r="J1371">
        <v>30700</v>
      </c>
      <c r="K1371" t="s">
        <v>27</v>
      </c>
      <c r="L1371">
        <v>5</v>
      </c>
      <c r="M1371">
        <v>39</v>
      </c>
      <c r="N1371" t="s">
        <v>35</v>
      </c>
      <c r="O1371" t="s">
        <v>36</v>
      </c>
      <c r="P1371">
        <v>2.63</v>
      </c>
      <c r="Q1371" t="s">
        <v>34</v>
      </c>
      <c r="R1371">
        <v>2.87</v>
      </c>
      <c r="S1371" t="s">
        <v>47</v>
      </c>
      <c r="T1371" t="str">
        <f t="shared" si="42"/>
        <v>High</v>
      </c>
      <c r="U1371" t="str">
        <f t="shared" si="43"/>
        <v>Experienced</v>
      </c>
    </row>
    <row r="1372" spans="1:21" x14ac:dyDescent="0.35">
      <c r="A1372" t="s">
        <v>1445</v>
      </c>
      <c r="B1372" t="s">
        <v>62</v>
      </c>
      <c r="C1372" t="s">
        <v>46</v>
      </c>
      <c r="D1372" t="s">
        <v>66</v>
      </c>
      <c r="E1372" t="s">
        <v>33</v>
      </c>
      <c r="F1372">
        <v>21</v>
      </c>
      <c r="G1372">
        <v>0.63</v>
      </c>
      <c r="H1372">
        <v>0.56999999999999995</v>
      </c>
      <c r="I1372" t="s">
        <v>24</v>
      </c>
      <c r="J1372">
        <v>89956</v>
      </c>
      <c r="K1372" t="s">
        <v>27</v>
      </c>
      <c r="L1372">
        <v>6</v>
      </c>
      <c r="M1372">
        <v>52</v>
      </c>
      <c r="N1372" t="s">
        <v>26</v>
      </c>
      <c r="O1372" t="s">
        <v>36</v>
      </c>
      <c r="P1372">
        <v>2.4</v>
      </c>
      <c r="Q1372" t="s">
        <v>34</v>
      </c>
      <c r="R1372">
        <v>4.7699999999999996</v>
      </c>
      <c r="S1372" t="s">
        <v>43</v>
      </c>
      <c r="T1372" t="str">
        <f t="shared" si="42"/>
        <v>Moderate</v>
      </c>
      <c r="U1372" t="str">
        <f t="shared" si="43"/>
        <v>Expert</v>
      </c>
    </row>
    <row r="1373" spans="1:21" x14ac:dyDescent="0.35">
      <c r="A1373" t="s">
        <v>1446</v>
      </c>
      <c r="B1373" t="s">
        <v>89</v>
      </c>
      <c r="C1373" t="s">
        <v>31</v>
      </c>
      <c r="D1373" t="s">
        <v>40</v>
      </c>
      <c r="E1373" t="s">
        <v>23</v>
      </c>
      <c r="F1373">
        <v>17</v>
      </c>
      <c r="G1373">
        <v>0.28999999999999998</v>
      </c>
      <c r="H1373">
        <v>0.96</v>
      </c>
      <c r="I1373" t="s">
        <v>34</v>
      </c>
      <c r="J1373">
        <v>196167</v>
      </c>
      <c r="K1373" t="s">
        <v>27</v>
      </c>
      <c r="L1373">
        <v>13</v>
      </c>
      <c r="M1373">
        <v>44</v>
      </c>
      <c r="N1373" t="s">
        <v>35</v>
      </c>
      <c r="O1373" t="s">
        <v>27</v>
      </c>
      <c r="P1373">
        <v>4</v>
      </c>
      <c r="Q1373" t="s">
        <v>24</v>
      </c>
      <c r="R1373">
        <v>1.95</v>
      </c>
      <c r="S1373" t="s">
        <v>47</v>
      </c>
      <c r="T1373" t="str">
        <f t="shared" si="42"/>
        <v>Very High</v>
      </c>
      <c r="U1373" t="str">
        <f t="shared" si="43"/>
        <v>Expert</v>
      </c>
    </row>
    <row r="1374" spans="1:21" x14ac:dyDescent="0.35">
      <c r="A1374" t="s">
        <v>1447</v>
      </c>
      <c r="B1374" t="s">
        <v>89</v>
      </c>
      <c r="C1374" t="s">
        <v>46</v>
      </c>
      <c r="D1374" t="s">
        <v>66</v>
      </c>
      <c r="E1374" t="s">
        <v>23</v>
      </c>
      <c r="F1374">
        <v>11</v>
      </c>
      <c r="G1374">
        <v>0.66</v>
      </c>
      <c r="H1374">
        <v>0.66</v>
      </c>
      <c r="I1374" t="s">
        <v>60</v>
      </c>
      <c r="J1374">
        <v>120180</v>
      </c>
      <c r="K1374" t="s">
        <v>25</v>
      </c>
      <c r="L1374">
        <v>31</v>
      </c>
      <c r="M1374">
        <v>43</v>
      </c>
      <c r="N1374" t="s">
        <v>42</v>
      </c>
      <c r="O1374" t="s">
        <v>25</v>
      </c>
      <c r="P1374">
        <v>2.4700000000000002</v>
      </c>
      <c r="Q1374" t="s">
        <v>34</v>
      </c>
      <c r="R1374">
        <v>3.51</v>
      </c>
      <c r="S1374" t="s">
        <v>47</v>
      </c>
      <c r="T1374" t="str">
        <f t="shared" si="42"/>
        <v>Moderate</v>
      </c>
      <c r="U1374" t="str">
        <f t="shared" si="43"/>
        <v>Experienced</v>
      </c>
    </row>
    <row r="1375" spans="1:21" x14ac:dyDescent="0.35">
      <c r="A1375" t="s">
        <v>1448</v>
      </c>
      <c r="B1375" t="s">
        <v>62</v>
      </c>
      <c r="C1375" t="s">
        <v>107</v>
      </c>
      <c r="D1375" t="s">
        <v>75</v>
      </c>
      <c r="E1375" t="s">
        <v>70</v>
      </c>
      <c r="F1375">
        <v>0</v>
      </c>
      <c r="G1375">
        <v>0.72</v>
      </c>
      <c r="H1375">
        <v>0.72</v>
      </c>
      <c r="I1375" t="s">
        <v>34</v>
      </c>
      <c r="J1375">
        <v>197269</v>
      </c>
      <c r="K1375" t="s">
        <v>25</v>
      </c>
      <c r="L1375">
        <v>6</v>
      </c>
      <c r="M1375">
        <v>42</v>
      </c>
      <c r="N1375" t="s">
        <v>26</v>
      </c>
      <c r="O1375" t="s">
        <v>36</v>
      </c>
      <c r="P1375">
        <v>3.9</v>
      </c>
      <c r="Q1375" t="s">
        <v>24</v>
      </c>
      <c r="R1375">
        <v>2.02</v>
      </c>
      <c r="S1375" t="s">
        <v>43</v>
      </c>
      <c r="T1375" t="str">
        <f t="shared" si="42"/>
        <v>Moderate</v>
      </c>
      <c r="U1375" t="str">
        <f t="shared" si="43"/>
        <v>Beginner</v>
      </c>
    </row>
    <row r="1376" spans="1:21" x14ac:dyDescent="0.35">
      <c r="A1376" t="s">
        <v>1449</v>
      </c>
      <c r="B1376" t="s">
        <v>65</v>
      </c>
      <c r="C1376" t="s">
        <v>39</v>
      </c>
      <c r="D1376" t="s">
        <v>49</v>
      </c>
      <c r="E1376" t="s">
        <v>70</v>
      </c>
      <c r="F1376">
        <v>11</v>
      </c>
      <c r="G1376">
        <v>0.34</v>
      </c>
      <c r="H1376">
        <v>0.47</v>
      </c>
      <c r="I1376" t="s">
        <v>60</v>
      </c>
      <c r="J1376">
        <v>40941</v>
      </c>
      <c r="K1376" t="s">
        <v>42</v>
      </c>
      <c r="L1376">
        <v>-8</v>
      </c>
      <c r="M1376">
        <v>33</v>
      </c>
      <c r="N1376" t="s">
        <v>42</v>
      </c>
      <c r="O1376" t="s">
        <v>25</v>
      </c>
      <c r="P1376">
        <v>2.57</v>
      </c>
      <c r="Q1376" t="s">
        <v>34</v>
      </c>
      <c r="R1376">
        <v>1.4</v>
      </c>
      <c r="S1376" t="s">
        <v>47</v>
      </c>
      <c r="T1376" t="str">
        <f t="shared" si="42"/>
        <v>High</v>
      </c>
      <c r="U1376" t="str">
        <f t="shared" si="43"/>
        <v>Experienced</v>
      </c>
    </row>
    <row r="1377" spans="1:21" x14ac:dyDescent="0.35">
      <c r="A1377" t="s">
        <v>1450</v>
      </c>
      <c r="B1377" t="s">
        <v>38</v>
      </c>
      <c r="C1377" t="s">
        <v>31</v>
      </c>
      <c r="D1377" t="s">
        <v>22</v>
      </c>
      <c r="E1377" t="s">
        <v>41</v>
      </c>
      <c r="F1377">
        <v>15</v>
      </c>
      <c r="G1377">
        <v>0.72</v>
      </c>
      <c r="H1377">
        <v>0.94</v>
      </c>
      <c r="I1377" t="s">
        <v>60</v>
      </c>
      <c r="J1377">
        <v>150589</v>
      </c>
      <c r="K1377" t="s">
        <v>42</v>
      </c>
      <c r="L1377">
        <v>34</v>
      </c>
      <c r="M1377">
        <v>49</v>
      </c>
      <c r="N1377" t="s">
        <v>35</v>
      </c>
      <c r="O1377" t="s">
        <v>27</v>
      </c>
      <c r="P1377">
        <v>2.94</v>
      </c>
      <c r="Q1377" t="s">
        <v>24</v>
      </c>
      <c r="R1377">
        <v>2.59</v>
      </c>
      <c r="S1377" t="s">
        <v>28</v>
      </c>
      <c r="T1377" t="str">
        <f t="shared" si="42"/>
        <v>High</v>
      </c>
      <c r="U1377" t="str">
        <f t="shared" si="43"/>
        <v>Experienced</v>
      </c>
    </row>
    <row r="1378" spans="1:21" x14ac:dyDescent="0.35">
      <c r="A1378" t="s">
        <v>1451</v>
      </c>
      <c r="B1378" t="s">
        <v>94</v>
      </c>
      <c r="C1378" t="s">
        <v>107</v>
      </c>
      <c r="D1378" t="s">
        <v>69</v>
      </c>
      <c r="E1378" t="s">
        <v>33</v>
      </c>
      <c r="F1378">
        <v>11</v>
      </c>
      <c r="G1378">
        <v>0.54</v>
      </c>
      <c r="H1378">
        <v>0.83</v>
      </c>
      <c r="I1378" t="s">
        <v>24</v>
      </c>
      <c r="J1378">
        <v>183453</v>
      </c>
      <c r="K1378" t="s">
        <v>42</v>
      </c>
      <c r="L1378">
        <v>21</v>
      </c>
      <c r="M1378">
        <v>37</v>
      </c>
      <c r="N1378" t="s">
        <v>42</v>
      </c>
      <c r="O1378" t="s">
        <v>27</v>
      </c>
      <c r="P1378">
        <v>4.3899999999999997</v>
      </c>
      <c r="Q1378" t="s">
        <v>34</v>
      </c>
      <c r="R1378">
        <v>1.18</v>
      </c>
      <c r="S1378" t="s">
        <v>47</v>
      </c>
      <c r="T1378" t="str">
        <f t="shared" si="42"/>
        <v>High</v>
      </c>
      <c r="U1378" t="str">
        <f t="shared" si="43"/>
        <v>Experienced</v>
      </c>
    </row>
    <row r="1379" spans="1:21" x14ac:dyDescent="0.35">
      <c r="A1379" t="s">
        <v>1452</v>
      </c>
      <c r="B1379" t="s">
        <v>68</v>
      </c>
      <c r="C1379" t="s">
        <v>39</v>
      </c>
      <c r="D1379" t="s">
        <v>22</v>
      </c>
      <c r="E1379" t="s">
        <v>41</v>
      </c>
      <c r="F1379">
        <v>2</v>
      </c>
      <c r="G1379">
        <v>0.92</v>
      </c>
      <c r="H1379">
        <v>0.38</v>
      </c>
      <c r="I1379" t="s">
        <v>34</v>
      </c>
      <c r="J1379">
        <v>120546</v>
      </c>
      <c r="K1379" t="s">
        <v>25</v>
      </c>
      <c r="L1379">
        <v>-7</v>
      </c>
      <c r="M1379">
        <v>49</v>
      </c>
      <c r="N1379" t="s">
        <v>42</v>
      </c>
      <c r="O1379" t="s">
        <v>36</v>
      </c>
      <c r="P1379">
        <v>2.4900000000000002</v>
      </c>
      <c r="Q1379" t="s">
        <v>34</v>
      </c>
      <c r="R1379">
        <v>4.9000000000000004</v>
      </c>
      <c r="S1379" t="s">
        <v>47</v>
      </c>
      <c r="T1379" t="str">
        <f t="shared" si="42"/>
        <v>Very Low</v>
      </c>
      <c r="U1379" t="str">
        <f t="shared" si="43"/>
        <v>Beginner</v>
      </c>
    </row>
    <row r="1380" spans="1:21" x14ac:dyDescent="0.35">
      <c r="A1380" t="s">
        <v>1453</v>
      </c>
      <c r="B1380" t="s">
        <v>54</v>
      </c>
      <c r="C1380" t="s">
        <v>55</v>
      </c>
      <c r="D1380" t="s">
        <v>75</v>
      </c>
      <c r="E1380" t="s">
        <v>33</v>
      </c>
      <c r="F1380">
        <v>22</v>
      </c>
      <c r="G1380">
        <v>0.7</v>
      </c>
      <c r="H1380">
        <v>0.53</v>
      </c>
      <c r="I1380" t="s">
        <v>60</v>
      </c>
      <c r="J1380">
        <v>46398</v>
      </c>
      <c r="K1380" t="s">
        <v>25</v>
      </c>
      <c r="L1380">
        <v>32</v>
      </c>
      <c r="M1380">
        <v>31</v>
      </c>
      <c r="N1380" t="s">
        <v>42</v>
      </c>
      <c r="O1380" t="s">
        <v>27</v>
      </c>
      <c r="P1380">
        <v>4.16</v>
      </c>
      <c r="Q1380" t="s">
        <v>34</v>
      </c>
      <c r="R1380">
        <v>4.0999999999999996</v>
      </c>
      <c r="S1380" t="s">
        <v>43</v>
      </c>
      <c r="T1380" t="str">
        <f t="shared" si="42"/>
        <v>Moderate</v>
      </c>
      <c r="U1380" t="str">
        <f t="shared" si="43"/>
        <v>Expert</v>
      </c>
    </row>
    <row r="1381" spans="1:21" x14ac:dyDescent="0.35">
      <c r="A1381" t="s">
        <v>1454</v>
      </c>
      <c r="B1381" t="s">
        <v>51</v>
      </c>
      <c r="C1381" t="s">
        <v>52</v>
      </c>
      <c r="D1381" t="s">
        <v>59</v>
      </c>
      <c r="E1381" t="s">
        <v>23</v>
      </c>
      <c r="F1381">
        <v>25</v>
      </c>
      <c r="G1381">
        <v>0.51</v>
      </c>
      <c r="H1381">
        <v>0.97</v>
      </c>
      <c r="I1381" t="s">
        <v>60</v>
      </c>
      <c r="J1381">
        <v>119838</v>
      </c>
      <c r="K1381" t="s">
        <v>42</v>
      </c>
      <c r="L1381">
        <v>35</v>
      </c>
      <c r="M1381">
        <v>54</v>
      </c>
      <c r="N1381" t="s">
        <v>35</v>
      </c>
      <c r="O1381" t="s">
        <v>25</v>
      </c>
      <c r="P1381">
        <v>4.66</v>
      </c>
      <c r="Q1381" t="s">
        <v>34</v>
      </c>
      <c r="R1381">
        <v>2.72</v>
      </c>
      <c r="S1381" t="s">
        <v>28</v>
      </c>
      <c r="T1381" t="str">
        <f t="shared" si="42"/>
        <v>High</v>
      </c>
      <c r="U1381" t="str">
        <f t="shared" si="43"/>
        <v>Expert</v>
      </c>
    </row>
    <row r="1382" spans="1:21" x14ac:dyDescent="0.35">
      <c r="A1382" t="s">
        <v>1455</v>
      </c>
      <c r="B1382" t="s">
        <v>45</v>
      </c>
      <c r="C1382" t="s">
        <v>31</v>
      </c>
      <c r="D1382" t="s">
        <v>32</v>
      </c>
      <c r="E1382" t="s">
        <v>70</v>
      </c>
      <c r="F1382">
        <v>5</v>
      </c>
      <c r="G1382">
        <v>0.91</v>
      </c>
      <c r="H1382">
        <v>0.83</v>
      </c>
      <c r="I1382" t="s">
        <v>34</v>
      </c>
      <c r="J1382">
        <v>73580</v>
      </c>
      <c r="K1382" t="s">
        <v>25</v>
      </c>
      <c r="L1382">
        <v>-4</v>
      </c>
      <c r="M1382">
        <v>48</v>
      </c>
      <c r="N1382" t="s">
        <v>42</v>
      </c>
      <c r="O1382" t="s">
        <v>27</v>
      </c>
      <c r="P1382">
        <v>3.64</v>
      </c>
      <c r="Q1382" t="s">
        <v>24</v>
      </c>
      <c r="R1382">
        <v>4.37</v>
      </c>
      <c r="S1382" t="s">
        <v>28</v>
      </c>
      <c r="T1382" t="str">
        <f t="shared" si="42"/>
        <v>Moderate</v>
      </c>
      <c r="U1382" t="str">
        <f t="shared" si="43"/>
        <v>Intermediate</v>
      </c>
    </row>
    <row r="1383" spans="1:21" x14ac:dyDescent="0.35">
      <c r="A1383" t="s">
        <v>1456</v>
      </c>
      <c r="B1383" t="s">
        <v>102</v>
      </c>
      <c r="C1383" t="s">
        <v>82</v>
      </c>
      <c r="D1383" t="s">
        <v>63</v>
      </c>
      <c r="E1383" t="s">
        <v>70</v>
      </c>
      <c r="F1383">
        <v>8</v>
      </c>
      <c r="G1383">
        <v>0.62</v>
      </c>
      <c r="H1383">
        <v>0.5</v>
      </c>
      <c r="I1383" t="s">
        <v>34</v>
      </c>
      <c r="J1383">
        <v>127596</v>
      </c>
      <c r="K1383" t="s">
        <v>25</v>
      </c>
      <c r="L1383">
        <v>-3</v>
      </c>
      <c r="M1383">
        <v>46</v>
      </c>
      <c r="N1383" t="s">
        <v>35</v>
      </c>
      <c r="O1383" t="s">
        <v>27</v>
      </c>
      <c r="P1383">
        <v>3.6</v>
      </c>
      <c r="Q1383" t="s">
        <v>34</v>
      </c>
      <c r="R1383">
        <v>1.34</v>
      </c>
      <c r="S1383" t="s">
        <v>43</v>
      </c>
      <c r="T1383" t="str">
        <f t="shared" si="42"/>
        <v>Moderate</v>
      </c>
      <c r="U1383" t="str">
        <f t="shared" si="43"/>
        <v>Intermediate</v>
      </c>
    </row>
    <row r="1384" spans="1:21" x14ac:dyDescent="0.35">
      <c r="A1384" t="s">
        <v>1457</v>
      </c>
      <c r="B1384" t="s">
        <v>20</v>
      </c>
      <c r="C1384" t="s">
        <v>21</v>
      </c>
      <c r="D1384" t="s">
        <v>22</v>
      </c>
      <c r="E1384" t="s">
        <v>33</v>
      </c>
      <c r="F1384">
        <v>14</v>
      </c>
      <c r="G1384">
        <v>0.1</v>
      </c>
      <c r="H1384">
        <v>0.64</v>
      </c>
      <c r="I1384" t="s">
        <v>60</v>
      </c>
      <c r="J1384">
        <v>199887</v>
      </c>
      <c r="K1384" t="s">
        <v>42</v>
      </c>
      <c r="L1384">
        <v>22</v>
      </c>
      <c r="M1384">
        <v>39</v>
      </c>
      <c r="N1384" t="s">
        <v>35</v>
      </c>
      <c r="O1384" t="s">
        <v>27</v>
      </c>
      <c r="P1384">
        <v>4.34</v>
      </c>
      <c r="Q1384" t="s">
        <v>34</v>
      </c>
      <c r="R1384">
        <v>4.45</v>
      </c>
      <c r="S1384" t="s">
        <v>47</v>
      </c>
      <c r="T1384" t="str">
        <f t="shared" si="42"/>
        <v>High</v>
      </c>
      <c r="U1384" t="str">
        <f t="shared" si="43"/>
        <v>Experienced</v>
      </c>
    </row>
    <row r="1385" spans="1:21" x14ac:dyDescent="0.35">
      <c r="A1385" t="s">
        <v>1458</v>
      </c>
      <c r="B1385" t="s">
        <v>57</v>
      </c>
      <c r="C1385" t="s">
        <v>74</v>
      </c>
      <c r="D1385" t="s">
        <v>66</v>
      </c>
      <c r="E1385" t="s">
        <v>41</v>
      </c>
      <c r="F1385">
        <v>3</v>
      </c>
      <c r="G1385">
        <v>0.28000000000000003</v>
      </c>
      <c r="H1385">
        <v>0.61</v>
      </c>
      <c r="I1385" t="s">
        <v>24</v>
      </c>
      <c r="J1385">
        <v>81990</v>
      </c>
      <c r="K1385" t="s">
        <v>25</v>
      </c>
      <c r="L1385">
        <v>18</v>
      </c>
      <c r="M1385">
        <v>35</v>
      </c>
      <c r="N1385" t="s">
        <v>26</v>
      </c>
      <c r="O1385" t="s">
        <v>25</v>
      </c>
      <c r="P1385">
        <v>4.7300000000000004</v>
      </c>
      <c r="Q1385" t="s">
        <v>24</v>
      </c>
      <c r="R1385">
        <v>1.78</v>
      </c>
      <c r="S1385" t="s">
        <v>28</v>
      </c>
      <c r="T1385" t="str">
        <f t="shared" si="42"/>
        <v>High</v>
      </c>
      <c r="U1385" t="str">
        <f t="shared" si="43"/>
        <v>Intermediate</v>
      </c>
    </row>
    <row r="1386" spans="1:21" x14ac:dyDescent="0.35">
      <c r="A1386" t="s">
        <v>1459</v>
      </c>
      <c r="B1386" t="s">
        <v>89</v>
      </c>
      <c r="C1386" t="s">
        <v>52</v>
      </c>
      <c r="D1386" t="s">
        <v>40</v>
      </c>
      <c r="E1386" t="s">
        <v>33</v>
      </c>
      <c r="F1386">
        <v>24</v>
      </c>
      <c r="G1386">
        <v>0.71</v>
      </c>
      <c r="H1386">
        <v>0.21</v>
      </c>
      <c r="I1386" t="s">
        <v>34</v>
      </c>
      <c r="J1386">
        <v>140569</v>
      </c>
      <c r="K1386" t="s">
        <v>42</v>
      </c>
      <c r="L1386">
        <v>-1</v>
      </c>
      <c r="M1386">
        <v>53</v>
      </c>
      <c r="N1386" t="s">
        <v>26</v>
      </c>
      <c r="O1386" t="s">
        <v>36</v>
      </c>
      <c r="P1386">
        <v>2.0099999999999998</v>
      </c>
      <c r="Q1386" t="s">
        <v>34</v>
      </c>
      <c r="R1386">
        <v>3.62</v>
      </c>
      <c r="S1386" t="s">
        <v>28</v>
      </c>
      <c r="T1386" t="str">
        <f t="shared" si="42"/>
        <v>Very Low</v>
      </c>
      <c r="U1386" t="str">
        <f t="shared" si="43"/>
        <v>Expert</v>
      </c>
    </row>
    <row r="1387" spans="1:21" x14ac:dyDescent="0.35">
      <c r="A1387" t="s">
        <v>1460</v>
      </c>
      <c r="B1387" t="s">
        <v>65</v>
      </c>
      <c r="C1387" t="s">
        <v>55</v>
      </c>
      <c r="D1387" t="s">
        <v>69</v>
      </c>
      <c r="E1387" t="s">
        <v>41</v>
      </c>
      <c r="F1387">
        <v>21</v>
      </c>
      <c r="G1387">
        <v>0.5</v>
      </c>
      <c r="H1387">
        <v>0.23</v>
      </c>
      <c r="I1387" t="s">
        <v>34</v>
      </c>
      <c r="J1387">
        <v>173025</v>
      </c>
      <c r="K1387" t="s">
        <v>25</v>
      </c>
      <c r="L1387">
        <v>22</v>
      </c>
      <c r="M1387">
        <v>42</v>
      </c>
      <c r="N1387" t="s">
        <v>26</v>
      </c>
      <c r="O1387" t="s">
        <v>25</v>
      </c>
      <c r="P1387">
        <v>2.13</v>
      </c>
      <c r="Q1387" t="s">
        <v>24</v>
      </c>
      <c r="R1387">
        <v>2.5499999999999998</v>
      </c>
      <c r="S1387" t="s">
        <v>43</v>
      </c>
      <c r="T1387" t="str">
        <f t="shared" si="42"/>
        <v>Moderate</v>
      </c>
      <c r="U1387" t="str">
        <f t="shared" si="43"/>
        <v>Expert</v>
      </c>
    </row>
    <row r="1388" spans="1:21" x14ac:dyDescent="0.35">
      <c r="A1388" t="s">
        <v>1461</v>
      </c>
      <c r="B1388" t="s">
        <v>73</v>
      </c>
      <c r="C1388" t="s">
        <v>74</v>
      </c>
      <c r="D1388" t="s">
        <v>59</v>
      </c>
      <c r="E1388" t="s">
        <v>41</v>
      </c>
      <c r="F1388">
        <v>12</v>
      </c>
      <c r="G1388">
        <v>0.15</v>
      </c>
      <c r="H1388">
        <v>0.68</v>
      </c>
      <c r="I1388" t="s">
        <v>34</v>
      </c>
      <c r="J1388">
        <v>135192</v>
      </c>
      <c r="K1388" t="s">
        <v>27</v>
      </c>
      <c r="L1388">
        <v>-8</v>
      </c>
      <c r="M1388">
        <v>60</v>
      </c>
      <c r="N1388" t="s">
        <v>26</v>
      </c>
      <c r="O1388" t="s">
        <v>27</v>
      </c>
      <c r="P1388">
        <v>4.13</v>
      </c>
      <c r="Q1388" t="s">
        <v>34</v>
      </c>
      <c r="R1388">
        <v>3.58</v>
      </c>
      <c r="S1388" t="s">
        <v>47</v>
      </c>
      <c r="T1388" t="str">
        <f t="shared" si="42"/>
        <v>High</v>
      </c>
      <c r="U1388" t="str">
        <f t="shared" si="43"/>
        <v>Experienced</v>
      </c>
    </row>
    <row r="1389" spans="1:21" x14ac:dyDescent="0.35">
      <c r="A1389" t="s">
        <v>1462</v>
      </c>
      <c r="B1389" t="s">
        <v>45</v>
      </c>
      <c r="C1389" t="s">
        <v>74</v>
      </c>
      <c r="D1389" t="s">
        <v>80</v>
      </c>
      <c r="E1389" t="s">
        <v>41</v>
      </c>
      <c r="F1389">
        <v>6</v>
      </c>
      <c r="G1389">
        <v>0.46</v>
      </c>
      <c r="H1389">
        <v>0.24</v>
      </c>
      <c r="I1389" t="s">
        <v>34</v>
      </c>
      <c r="J1389">
        <v>174785</v>
      </c>
      <c r="K1389" t="s">
        <v>27</v>
      </c>
      <c r="L1389">
        <v>-1</v>
      </c>
      <c r="M1389">
        <v>48</v>
      </c>
      <c r="N1389" t="s">
        <v>42</v>
      </c>
      <c r="O1389" t="s">
        <v>36</v>
      </c>
      <c r="P1389">
        <v>4.8600000000000003</v>
      </c>
      <c r="Q1389" t="s">
        <v>34</v>
      </c>
      <c r="R1389">
        <v>2.11</v>
      </c>
      <c r="S1389" t="s">
        <v>47</v>
      </c>
      <c r="T1389" t="str">
        <f t="shared" si="42"/>
        <v>Moderate</v>
      </c>
      <c r="U1389" t="str">
        <f t="shared" si="43"/>
        <v>Intermediate</v>
      </c>
    </row>
    <row r="1390" spans="1:21" x14ac:dyDescent="0.35">
      <c r="A1390" t="s">
        <v>1463</v>
      </c>
      <c r="B1390" t="s">
        <v>51</v>
      </c>
      <c r="C1390" t="s">
        <v>52</v>
      </c>
      <c r="D1390" t="s">
        <v>75</v>
      </c>
      <c r="E1390" t="s">
        <v>33</v>
      </c>
      <c r="F1390">
        <v>5</v>
      </c>
      <c r="G1390">
        <v>0.71</v>
      </c>
      <c r="H1390">
        <v>0.82</v>
      </c>
      <c r="I1390" t="s">
        <v>24</v>
      </c>
      <c r="J1390">
        <v>119372</v>
      </c>
      <c r="K1390" t="s">
        <v>42</v>
      </c>
      <c r="L1390">
        <v>26</v>
      </c>
      <c r="M1390">
        <v>53</v>
      </c>
      <c r="N1390" t="s">
        <v>35</v>
      </c>
      <c r="O1390" t="s">
        <v>27</v>
      </c>
      <c r="P1390">
        <v>4.12</v>
      </c>
      <c r="Q1390" t="s">
        <v>34</v>
      </c>
      <c r="R1390">
        <v>2.4700000000000002</v>
      </c>
      <c r="S1390" t="s">
        <v>43</v>
      </c>
      <c r="T1390" t="str">
        <f t="shared" si="42"/>
        <v>High</v>
      </c>
      <c r="U1390" t="str">
        <f t="shared" si="43"/>
        <v>Intermediate</v>
      </c>
    </row>
    <row r="1391" spans="1:21" x14ac:dyDescent="0.35">
      <c r="A1391" t="s">
        <v>1464</v>
      </c>
      <c r="B1391" t="s">
        <v>65</v>
      </c>
      <c r="C1391" t="s">
        <v>31</v>
      </c>
      <c r="D1391" t="s">
        <v>59</v>
      </c>
      <c r="E1391" t="s">
        <v>41</v>
      </c>
      <c r="F1391">
        <v>0</v>
      </c>
      <c r="G1391">
        <v>0.75</v>
      </c>
      <c r="H1391">
        <v>0.49</v>
      </c>
      <c r="I1391" t="s">
        <v>34</v>
      </c>
      <c r="J1391">
        <v>90500</v>
      </c>
      <c r="K1391" t="s">
        <v>42</v>
      </c>
      <c r="L1391">
        <v>18</v>
      </c>
      <c r="M1391">
        <v>37</v>
      </c>
      <c r="N1391" t="s">
        <v>42</v>
      </c>
      <c r="O1391" t="s">
        <v>25</v>
      </c>
      <c r="P1391">
        <v>3.44</v>
      </c>
      <c r="Q1391" t="s">
        <v>34</v>
      </c>
      <c r="R1391">
        <v>4.67</v>
      </c>
      <c r="S1391" t="s">
        <v>43</v>
      </c>
      <c r="T1391" t="str">
        <f t="shared" si="42"/>
        <v>Very Low</v>
      </c>
      <c r="U1391" t="str">
        <f t="shared" si="43"/>
        <v>Beginner</v>
      </c>
    </row>
    <row r="1392" spans="1:21" x14ac:dyDescent="0.35">
      <c r="A1392" t="s">
        <v>1465</v>
      </c>
      <c r="B1392" t="s">
        <v>45</v>
      </c>
      <c r="C1392" t="s">
        <v>82</v>
      </c>
      <c r="D1392" t="s">
        <v>80</v>
      </c>
      <c r="E1392" t="s">
        <v>33</v>
      </c>
      <c r="F1392">
        <v>6</v>
      </c>
      <c r="G1392">
        <v>0.2</v>
      </c>
      <c r="H1392">
        <v>0.26</v>
      </c>
      <c r="I1392" t="s">
        <v>24</v>
      </c>
      <c r="J1392">
        <v>42343</v>
      </c>
      <c r="K1392" t="s">
        <v>27</v>
      </c>
      <c r="L1392">
        <v>11</v>
      </c>
      <c r="M1392">
        <v>41</v>
      </c>
      <c r="N1392" t="s">
        <v>26</v>
      </c>
      <c r="O1392" t="s">
        <v>27</v>
      </c>
      <c r="P1392">
        <v>3.75</v>
      </c>
      <c r="Q1392" t="s">
        <v>34</v>
      </c>
      <c r="R1392">
        <v>3.27</v>
      </c>
      <c r="S1392" t="s">
        <v>47</v>
      </c>
      <c r="T1392" t="str">
        <f t="shared" si="42"/>
        <v>High</v>
      </c>
      <c r="U1392" t="str">
        <f t="shared" si="43"/>
        <v>Intermediate</v>
      </c>
    </row>
    <row r="1393" spans="1:21" x14ac:dyDescent="0.35">
      <c r="A1393" t="s">
        <v>1466</v>
      </c>
      <c r="B1393" t="s">
        <v>156</v>
      </c>
      <c r="C1393" t="s">
        <v>39</v>
      </c>
      <c r="D1393" t="s">
        <v>75</v>
      </c>
      <c r="E1393" t="s">
        <v>70</v>
      </c>
      <c r="F1393">
        <v>13</v>
      </c>
      <c r="G1393">
        <v>0.89</v>
      </c>
      <c r="H1393">
        <v>0.26</v>
      </c>
      <c r="I1393" t="s">
        <v>60</v>
      </c>
      <c r="J1393">
        <v>157384</v>
      </c>
      <c r="K1393" t="s">
        <v>42</v>
      </c>
      <c r="L1393">
        <v>-7</v>
      </c>
      <c r="M1393">
        <v>58</v>
      </c>
      <c r="N1393" t="s">
        <v>26</v>
      </c>
      <c r="O1393" t="s">
        <v>36</v>
      </c>
      <c r="P1393">
        <v>2.2200000000000002</v>
      </c>
      <c r="Q1393" t="s">
        <v>34</v>
      </c>
      <c r="R1393">
        <v>4.6399999999999997</v>
      </c>
      <c r="S1393" t="s">
        <v>28</v>
      </c>
      <c r="T1393" t="str">
        <f t="shared" si="42"/>
        <v>Very Low</v>
      </c>
      <c r="U1393" t="str">
        <f t="shared" si="43"/>
        <v>Experienced</v>
      </c>
    </row>
    <row r="1394" spans="1:21" x14ac:dyDescent="0.35">
      <c r="A1394" t="s">
        <v>1467</v>
      </c>
      <c r="B1394" t="s">
        <v>20</v>
      </c>
      <c r="C1394" t="s">
        <v>46</v>
      </c>
      <c r="D1394" t="s">
        <v>63</v>
      </c>
      <c r="E1394" t="s">
        <v>33</v>
      </c>
      <c r="F1394">
        <v>7</v>
      </c>
      <c r="G1394">
        <v>0.78</v>
      </c>
      <c r="H1394">
        <v>0.8</v>
      </c>
      <c r="I1394" t="s">
        <v>34</v>
      </c>
      <c r="J1394">
        <v>195464</v>
      </c>
      <c r="K1394" t="s">
        <v>42</v>
      </c>
      <c r="L1394">
        <v>25</v>
      </c>
      <c r="M1394">
        <v>38</v>
      </c>
      <c r="N1394" t="s">
        <v>35</v>
      </c>
      <c r="O1394" t="s">
        <v>27</v>
      </c>
      <c r="P1394">
        <v>3.36</v>
      </c>
      <c r="Q1394" t="s">
        <v>34</v>
      </c>
      <c r="R1394">
        <v>2.83</v>
      </c>
      <c r="S1394" t="s">
        <v>28</v>
      </c>
      <c r="T1394" t="str">
        <f t="shared" si="42"/>
        <v>High</v>
      </c>
      <c r="U1394" t="str">
        <f t="shared" si="43"/>
        <v>Intermediate</v>
      </c>
    </row>
    <row r="1395" spans="1:21" x14ac:dyDescent="0.35">
      <c r="A1395" t="s">
        <v>1468</v>
      </c>
      <c r="B1395" t="s">
        <v>38</v>
      </c>
      <c r="C1395" t="s">
        <v>107</v>
      </c>
      <c r="D1395" t="s">
        <v>59</v>
      </c>
      <c r="E1395" t="s">
        <v>41</v>
      </c>
      <c r="F1395">
        <v>20</v>
      </c>
      <c r="G1395">
        <v>0.34</v>
      </c>
      <c r="H1395">
        <v>0.95</v>
      </c>
      <c r="I1395" t="s">
        <v>34</v>
      </c>
      <c r="J1395">
        <v>217277</v>
      </c>
      <c r="K1395" t="s">
        <v>25</v>
      </c>
      <c r="L1395">
        <v>-8</v>
      </c>
      <c r="M1395">
        <v>37</v>
      </c>
      <c r="N1395" t="s">
        <v>35</v>
      </c>
      <c r="O1395" t="s">
        <v>25</v>
      </c>
      <c r="P1395">
        <v>2.79</v>
      </c>
      <c r="Q1395" t="s">
        <v>34</v>
      </c>
      <c r="R1395">
        <v>3.99</v>
      </c>
      <c r="S1395" t="s">
        <v>28</v>
      </c>
      <c r="T1395" t="str">
        <f t="shared" si="42"/>
        <v>Very High</v>
      </c>
      <c r="U1395" t="str">
        <f t="shared" si="43"/>
        <v>Expert</v>
      </c>
    </row>
    <row r="1396" spans="1:21" x14ac:dyDescent="0.35">
      <c r="A1396" t="s">
        <v>1469</v>
      </c>
      <c r="B1396" t="s">
        <v>20</v>
      </c>
      <c r="C1396" t="s">
        <v>58</v>
      </c>
      <c r="D1396" t="s">
        <v>22</v>
      </c>
      <c r="E1396" t="s">
        <v>70</v>
      </c>
      <c r="F1396">
        <v>22</v>
      </c>
      <c r="G1396">
        <v>0.75</v>
      </c>
      <c r="H1396">
        <v>0.44</v>
      </c>
      <c r="I1396" t="s">
        <v>34</v>
      </c>
      <c r="J1396">
        <v>103637</v>
      </c>
      <c r="K1396" t="s">
        <v>27</v>
      </c>
      <c r="L1396">
        <v>41</v>
      </c>
      <c r="M1396">
        <v>36</v>
      </c>
      <c r="N1396" t="s">
        <v>35</v>
      </c>
      <c r="O1396" t="s">
        <v>27</v>
      </c>
      <c r="P1396">
        <v>2.2799999999999998</v>
      </c>
      <c r="Q1396" t="s">
        <v>34</v>
      </c>
      <c r="R1396">
        <v>2.5499999999999998</v>
      </c>
      <c r="S1396" t="s">
        <v>43</v>
      </c>
      <c r="T1396" t="str">
        <f t="shared" si="42"/>
        <v>Very Low</v>
      </c>
      <c r="U1396" t="str">
        <f t="shared" si="43"/>
        <v>Expert</v>
      </c>
    </row>
    <row r="1397" spans="1:21" x14ac:dyDescent="0.35">
      <c r="A1397" t="s">
        <v>1470</v>
      </c>
      <c r="B1397" t="s">
        <v>38</v>
      </c>
      <c r="C1397" t="s">
        <v>31</v>
      </c>
      <c r="D1397" t="s">
        <v>49</v>
      </c>
      <c r="E1397" t="s">
        <v>23</v>
      </c>
      <c r="F1397">
        <v>3</v>
      </c>
      <c r="G1397">
        <v>0.75</v>
      </c>
      <c r="H1397">
        <v>0.66</v>
      </c>
      <c r="I1397" t="s">
        <v>24</v>
      </c>
      <c r="J1397">
        <v>124340</v>
      </c>
      <c r="K1397" t="s">
        <v>25</v>
      </c>
      <c r="L1397">
        <v>-7</v>
      </c>
      <c r="M1397">
        <v>45</v>
      </c>
      <c r="N1397" t="s">
        <v>26</v>
      </c>
      <c r="O1397" t="s">
        <v>36</v>
      </c>
      <c r="P1397">
        <v>3.18</v>
      </c>
      <c r="Q1397" t="s">
        <v>34</v>
      </c>
      <c r="R1397">
        <v>2.4500000000000002</v>
      </c>
      <c r="S1397" t="s">
        <v>28</v>
      </c>
      <c r="T1397" t="str">
        <f t="shared" si="42"/>
        <v>Moderate</v>
      </c>
      <c r="U1397" t="str">
        <f t="shared" si="43"/>
        <v>Intermediate</v>
      </c>
    </row>
    <row r="1398" spans="1:21" x14ac:dyDescent="0.35">
      <c r="A1398" t="s">
        <v>1471</v>
      </c>
      <c r="B1398" t="s">
        <v>96</v>
      </c>
      <c r="C1398" t="s">
        <v>46</v>
      </c>
      <c r="D1398" t="s">
        <v>59</v>
      </c>
      <c r="E1398" t="s">
        <v>70</v>
      </c>
      <c r="F1398">
        <v>16</v>
      </c>
      <c r="G1398">
        <v>0.56000000000000005</v>
      </c>
      <c r="H1398">
        <v>0.56000000000000005</v>
      </c>
      <c r="I1398" t="s">
        <v>34</v>
      </c>
      <c r="J1398">
        <v>73625</v>
      </c>
      <c r="K1398" t="s">
        <v>42</v>
      </c>
      <c r="L1398">
        <v>33</v>
      </c>
      <c r="M1398">
        <v>30</v>
      </c>
      <c r="N1398" t="s">
        <v>35</v>
      </c>
      <c r="O1398" t="s">
        <v>27</v>
      </c>
      <c r="P1398">
        <v>2.0299999999999998</v>
      </c>
      <c r="Q1398" t="s">
        <v>34</v>
      </c>
      <c r="R1398">
        <v>4.83</v>
      </c>
      <c r="S1398" t="s">
        <v>43</v>
      </c>
      <c r="T1398" t="str">
        <f t="shared" si="42"/>
        <v>Moderate</v>
      </c>
      <c r="U1398" t="str">
        <f t="shared" si="43"/>
        <v>Expert</v>
      </c>
    </row>
    <row r="1399" spans="1:21" x14ac:dyDescent="0.35">
      <c r="A1399" t="s">
        <v>1472</v>
      </c>
      <c r="B1399" t="s">
        <v>94</v>
      </c>
      <c r="C1399" t="s">
        <v>21</v>
      </c>
      <c r="D1399" t="s">
        <v>59</v>
      </c>
      <c r="E1399" t="s">
        <v>33</v>
      </c>
      <c r="F1399">
        <v>13</v>
      </c>
      <c r="G1399">
        <v>0.57999999999999996</v>
      </c>
      <c r="H1399">
        <v>0.67</v>
      </c>
      <c r="I1399" t="s">
        <v>60</v>
      </c>
      <c r="J1399">
        <v>200381</v>
      </c>
      <c r="K1399" t="s">
        <v>42</v>
      </c>
      <c r="L1399">
        <v>-8</v>
      </c>
      <c r="M1399">
        <v>49</v>
      </c>
      <c r="N1399" t="s">
        <v>42</v>
      </c>
      <c r="O1399" t="s">
        <v>36</v>
      </c>
      <c r="P1399">
        <v>4.67</v>
      </c>
      <c r="Q1399" t="s">
        <v>34</v>
      </c>
      <c r="R1399">
        <v>3.38</v>
      </c>
      <c r="S1399" t="s">
        <v>43</v>
      </c>
      <c r="T1399" t="str">
        <f t="shared" si="42"/>
        <v>High</v>
      </c>
      <c r="U1399" t="str">
        <f t="shared" si="43"/>
        <v>Experienced</v>
      </c>
    </row>
    <row r="1400" spans="1:21" x14ac:dyDescent="0.35">
      <c r="A1400" t="s">
        <v>1473</v>
      </c>
      <c r="B1400" t="s">
        <v>51</v>
      </c>
      <c r="C1400" t="s">
        <v>107</v>
      </c>
      <c r="D1400" t="s">
        <v>40</v>
      </c>
      <c r="E1400" t="s">
        <v>41</v>
      </c>
      <c r="F1400">
        <v>1</v>
      </c>
      <c r="G1400">
        <v>0.39</v>
      </c>
      <c r="H1400">
        <v>0.59</v>
      </c>
      <c r="I1400" t="s">
        <v>34</v>
      </c>
      <c r="J1400">
        <v>184470</v>
      </c>
      <c r="K1400" t="s">
        <v>25</v>
      </c>
      <c r="L1400">
        <v>12</v>
      </c>
      <c r="M1400">
        <v>33</v>
      </c>
      <c r="N1400" t="s">
        <v>35</v>
      </c>
      <c r="O1400" t="s">
        <v>27</v>
      </c>
      <c r="P1400">
        <v>3.79</v>
      </c>
      <c r="Q1400" t="s">
        <v>24</v>
      </c>
      <c r="R1400">
        <v>1.75</v>
      </c>
      <c r="S1400" t="s">
        <v>47</v>
      </c>
      <c r="T1400" t="str">
        <f t="shared" si="42"/>
        <v>High</v>
      </c>
      <c r="U1400" t="str">
        <f t="shared" si="43"/>
        <v>Beginner</v>
      </c>
    </row>
    <row r="1401" spans="1:21" x14ac:dyDescent="0.35">
      <c r="A1401" t="s">
        <v>1474</v>
      </c>
      <c r="B1401" t="s">
        <v>73</v>
      </c>
      <c r="C1401" t="s">
        <v>82</v>
      </c>
      <c r="D1401" t="s">
        <v>59</v>
      </c>
      <c r="E1401" t="s">
        <v>33</v>
      </c>
      <c r="F1401">
        <v>8</v>
      </c>
      <c r="G1401">
        <v>0.22</v>
      </c>
      <c r="H1401">
        <v>0.94</v>
      </c>
      <c r="I1401" t="s">
        <v>34</v>
      </c>
      <c r="J1401">
        <v>93401</v>
      </c>
      <c r="K1401" t="s">
        <v>42</v>
      </c>
      <c r="L1401">
        <v>-9</v>
      </c>
      <c r="M1401">
        <v>55</v>
      </c>
      <c r="N1401" t="s">
        <v>42</v>
      </c>
      <c r="O1401" t="s">
        <v>27</v>
      </c>
      <c r="P1401">
        <v>4.67</v>
      </c>
      <c r="Q1401" t="s">
        <v>34</v>
      </c>
      <c r="R1401">
        <v>3.26</v>
      </c>
      <c r="S1401" t="s">
        <v>43</v>
      </c>
      <c r="T1401" t="str">
        <f t="shared" si="42"/>
        <v>Very High</v>
      </c>
      <c r="U1401" t="str">
        <f t="shared" si="43"/>
        <v>Intermediate</v>
      </c>
    </row>
    <row r="1402" spans="1:21" x14ac:dyDescent="0.35">
      <c r="A1402" t="s">
        <v>1475</v>
      </c>
      <c r="B1402" t="s">
        <v>96</v>
      </c>
      <c r="C1402" t="s">
        <v>74</v>
      </c>
      <c r="D1402" t="s">
        <v>32</v>
      </c>
      <c r="E1402" t="s">
        <v>70</v>
      </c>
      <c r="F1402">
        <v>2</v>
      </c>
      <c r="G1402">
        <v>0.17</v>
      </c>
      <c r="H1402">
        <v>0.47</v>
      </c>
      <c r="I1402" t="s">
        <v>24</v>
      </c>
      <c r="J1402">
        <v>170951</v>
      </c>
      <c r="K1402" t="s">
        <v>27</v>
      </c>
      <c r="L1402">
        <v>11</v>
      </c>
      <c r="M1402">
        <v>37</v>
      </c>
      <c r="N1402" t="s">
        <v>42</v>
      </c>
      <c r="O1402" t="s">
        <v>27</v>
      </c>
      <c r="P1402">
        <v>4.5</v>
      </c>
      <c r="Q1402" t="s">
        <v>24</v>
      </c>
      <c r="R1402">
        <v>4.1399999999999997</v>
      </c>
      <c r="S1402" t="s">
        <v>43</v>
      </c>
      <c r="T1402" t="str">
        <f t="shared" si="42"/>
        <v>High</v>
      </c>
      <c r="U1402" t="str">
        <f t="shared" si="43"/>
        <v>Beginner</v>
      </c>
    </row>
    <row r="1403" spans="1:21" x14ac:dyDescent="0.35">
      <c r="A1403" t="s">
        <v>1476</v>
      </c>
      <c r="B1403" t="s">
        <v>68</v>
      </c>
      <c r="C1403" t="s">
        <v>46</v>
      </c>
      <c r="D1403" t="s">
        <v>80</v>
      </c>
      <c r="E1403" t="s">
        <v>41</v>
      </c>
      <c r="F1403">
        <v>8</v>
      </c>
      <c r="G1403">
        <v>0.75</v>
      </c>
      <c r="H1403">
        <v>0.47</v>
      </c>
      <c r="I1403" t="s">
        <v>24</v>
      </c>
      <c r="J1403">
        <v>57953</v>
      </c>
      <c r="K1403" t="s">
        <v>42</v>
      </c>
      <c r="L1403">
        <v>12</v>
      </c>
      <c r="M1403">
        <v>60</v>
      </c>
      <c r="N1403" t="s">
        <v>42</v>
      </c>
      <c r="O1403" t="s">
        <v>25</v>
      </c>
      <c r="P1403">
        <v>3.59</v>
      </c>
      <c r="Q1403" t="s">
        <v>24</v>
      </c>
      <c r="R1403">
        <v>2.2999999999999998</v>
      </c>
      <c r="S1403" t="s">
        <v>43</v>
      </c>
      <c r="T1403" t="str">
        <f t="shared" si="42"/>
        <v>Very Low</v>
      </c>
      <c r="U1403" t="str">
        <f t="shared" si="43"/>
        <v>Intermediate</v>
      </c>
    </row>
    <row r="1404" spans="1:21" x14ac:dyDescent="0.35">
      <c r="A1404" t="s">
        <v>1477</v>
      </c>
      <c r="B1404" t="s">
        <v>20</v>
      </c>
      <c r="C1404" t="s">
        <v>55</v>
      </c>
      <c r="D1404" t="s">
        <v>49</v>
      </c>
      <c r="E1404" t="s">
        <v>23</v>
      </c>
      <c r="F1404">
        <v>0</v>
      </c>
      <c r="G1404">
        <v>0.48</v>
      </c>
      <c r="H1404">
        <v>0.88</v>
      </c>
      <c r="I1404" t="s">
        <v>60</v>
      </c>
      <c r="J1404">
        <v>141221</v>
      </c>
      <c r="K1404" t="s">
        <v>25</v>
      </c>
      <c r="L1404">
        <v>-8</v>
      </c>
      <c r="M1404">
        <v>37</v>
      </c>
      <c r="N1404" t="s">
        <v>26</v>
      </c>
      <c r="O1404" t="s">
        <v>27</v>
      </c>
      <c r="P1404">
        <v>4.8499999999999996</v>
      </c>
      <c r="Q1404" t="s">
        <v>24</v>
      </c>
      <c r="R1404">
        <v>1.49</v>
      </c>
      <c r="S1404" t="s">
        <v>47</v>
      </c>
      <c r="T1404" t="str">
        <f t="shared" si="42"/>
        <v>High</v>
      </c>
      <c r="U1404" t="str">
        <f t="shared" si="43"/>
        <v>Beginner</v>
      </c>
    </row>
    <row r="1405" spans="1:21" x14ac:dyDescent="0.35">
      <c r="A1405" t="s">
        <v>1478</v>
      </c>
      <c r="B1405" t="s">
        <v>106</v>
      </c>
      <c r="C1405" t="s">
        <v>55</v>
      </c>
      <c r="D1405" t="s">
        <v>49</v>
      </c>
      <c r="E1405" t="s">
        <v>23</v>
      </c>
      <c r="F1405">
        <v>5</v>
      </c>
      <c r="G1405">
        <v>0.88</v>
      </c>
      <c r="H1405">
        <v>0.95</v>
      </c>
      <c r="I1405" t="s">
        <v>60</v>
      </c>
      <c r="J1405">
        <v>181175</v>
      </c>
      <c r="K1405" t="s">
        <v>42</v>
      </c>
      <c r="L1405">
        <v>2</v>
      </c>
      <c r="M1405">
        <v>56</v>
      </c>
      <c r="N1405" t="s">
        <v>26</v>
      </c>
      <c r="O1405" t="s">
        <v>25</v>
      </c>
      <c r="P1405">
        <v>2.75</v>
      </c>
      <c r="Q1405" t="s">
        <v>24</v>
      </c>
      <c r="R1405">
        <v>4.22</v>
      </c>
      <c r="S1405" t="s">
        <v>28</v>
      </c>
      <c r="T1405" t="str">
        <f t="shared" si="42"/>
        <v>High</v>
      </c>
      <c r="U1405" t="str">
        <f t="shared" si="43"/>
        <v>Intermediate</v>
      </c>
    </row>
    <row r="1406" spans="1:21" x14ac:dyDescent="0.35">
      <c r="A1406" t="s">
        <v>1479</v>
      </c>
      <c r="B1406" t="s">
        <v>94</v>
      </c>
      <c r="C1406" t="s">
        <v>58</v>
      </c>
      <c r="D1406" t="s">
        <v>59</v>
      </c>
      <c r="E1406" t="s">
        <v>33</v>
      </c>
      <c r="F1406">
        <v>24</v>
      </c>
      <c r="G1406">
        <v>0.56999999999999995</v>
      </c>
      <c r="H1406">
        <v>0.44</v>
      </c>
      <c r="I1406" t="s">
        <v>24</v>
      </c>
      <c r="J1406">
        <v>60108</v>
      </c>
      <c r="K1406" t="s">
        <v>27</v>
      </c>
      <c r="L1406">
        <v>25</v>
      </c>
      <c r="M1406">
        <v>46</v>
      </c>
      <c r="N1406" t="s">
        <v>35</v>
      </c>
      <c r="O1406" t="s">
        <v>36</v>
      </c>
      <c r="P1406">
        <v>2.0099999999999998</v>
      </c>
      <c r="Q1406" t="s">
        <v>34</v>
      </c>
      <c r="R1406">
        <v>1.31</v>
      </c>
      <c r="S1406" t="s">
        <v>47</v>
      </c>
      <c r="T1406" t="str">
        <f t="shared" si="42"/>
        <v>Moderate</v>
      </c>
      <c r="U1406" t="str">
        <f t="shared" si="43"/>
        <v>Expert</v>
      </c>
    </row>
    <row r="1407" spans="1:21" x14ac:dyDescent="0.35">
      <c r="A1407" t="s">
        <v>1480</v>
      </c>
      <c r="B1407" t="s">
        <v>106</v>
      </c>
      <c r="C1407" t="s">
        <v>82</v>
      </c>
      <c r="D1407" t="s">
        <v>75</v>
      </c>
      <c r="E1407" t="s">
        <v>41</v>
      </c>
      <c r="F1407">
        <v>23</v>
      </c>
      <c r="G1407">
        <v>0.67</v>
      </c>
      <c r="H1407">
        <v>0.32</v>
      </c>
      <c r="I1407" t="s">
        <v>34</v>
      </c>
      <c r="J1407">
        <v>35558</v>
      </c>
      <c r="K1407" t="s">
        <v>42</v>
      </c>
      <c r="L1407">
        <v>9</v>
      </c>
      <c r="M1407">
        <v>41</v>
      </c>
      <c r="N1407" t="s">
        <v>42</v>
      </c>
      <c r="O1407" t="s">
        <v>25</v>
      </c>
      <c r="P1407">
        <v>3.2</v>
      </c>
      <c r="Q1407" t="s">
        <v>34</v>
      </c>
      <c r="R1407">
        <v>3.48</v>
      </c>
      <c r="S1407" t="s">
        <v>28</v>
      </c>
      <c r="T1407" t="str">
        <f t="shared" si="42"/>
        <v>Moderate</v>
      </c>
      <c r="U1407" t="str">
        <f t="shared" si="43"/>
        <v>Expert</v>
      </c>
    </row>
    <row r="1408" spans="1:21" x14ac:dyDescent="0.35">
      <c r="A1408" t="s">
        <v>1481</v>
      </c>
      <c r="B1408" t="s">
        <v>156</v>
      </c>
      <c r="C1408" t="s">
        <v>21</v>
      </c>
      <c r="D1408" t="s">
        <v>63</v>
      </c>
      <c r="E1408" t="s">
        <v>33</v>
      </c>
      <c r="F1408">
        <v>12</v>
      </c>
      <c r="G1408">
        <v>0.42</v>
      </c>
      <c r="H1408">
        <v>0.89</v>
      </c>
      <c r="I1408" t="s">
        <v>60</v>
      </c>
      <c r="J1408">
        <v>113764</v>
      </c>
      <c r="K1408" t="s">
        <v>27</v>
      </c>
      <c r="L1408">
        <v>26</v>
      </c>
      <c r="M1408">
        <v>44</v>
      </c>
      <c r="N1408" t="s">
        <v>42</v>
      </c>
      <c r="O1408" t="s">
        <v>36</v>
      </c>
      <c r="P1408">
        <v>2.5099999999999998</v>
      </c>
      <c r="Q1408" t="s">
        <v>24</v>
      </c>
      <c r="R1408">
        <v>1.92</v>
      </c>
      <c r="S1408" t="s">
        <v>28</v>
      </c>
      <c r="T1408" t="str">
        <f t="shared" si="42"/>
        <v>High</v>
      </c>
      <c r="U1408" t="str">
        <f t="shared" si="43"/>
        <v>Experienced</v>
      </c>
    </row>
    <row r="1409" spans="1:21" x14ac:dyDescent="0.35">
      <c r="A1409" t="s">
        <v>1482</v>
      </c>
      <c r="B1409" t="s">
        <v>156</v>
      </c>
      <c r="C1409" t="s">
        <v>46</v>
      </c>
      <c r="D1409" t="s">
        <v>63</v>
      </c>
      <c r="E1409" t="s">
        <v>23</v>
      </c>
      <c r="F1409">
        <v>4</v>
      </c>
      <c r="G1409">
        <v>0.89</v>
      </c>
      <c r="H1409">
        <v>0.84</v>
      </c>
      <c r="I1409" t="s">
        <v>24</v>
      </c>
      <c r="J1409">
        <v>82864</v>
      </c>
      <c r="K1409" t="s">
        <v>27</v>
      </c>
      <c r="L1409">
        <v>25</v>
      </c>
      <c r="M1409">
        <v>36</v>
      </c>
      <c r="N1409" t="s">
        <v>42</v>
      </c>
      <c r="O1409" t="s">
        <v>27</v>
      </c>
      <c r="P1409">
        <v>4.12</v>
      </c>
      <c r="Q1409" t="s">
        <v>24</v>
      </c>
      <c r="R1409">
        <v>2.7</v>
      </c>
      <c r="S1409" t="s">
        <v>47</v>
      </c>
      <c r="T1409" t="str">
        <f t="shared" si="42"/>
        <v>Moderate</v>
      </c>
      <c r="U1409" t="str">
        <f t="shared" si="43"/>
        <v>Intermediate</v>
      </c>
    </row>
    <row r="1410" spans="1:21" x14ac:dyDescent="0.35">
      <c r="A1410" t="s">
        <v>1483</v>
      </c>
      <c r="B1410" t="s">
        <v>20</v>
      </c>
      <c r="C1410" t="s">
        <v>74</v>
      </c>
      <c r="D1410" t="s">
        <v>80</v>
      </c>
      <c r="E1410" t="s">
        <v>41</v>
      </c>
      <c r="F1410">
        <v>19</v>
      </c>
      <c r="G1410">
        <v>0.41</v>
      </c>
      <c r="H1410">
        <v>0.26</v>
      </c>
      <c r="I1410" t="s">
        <v>60</v>
      </c>
      <c r="J1410">
        <v>203974</v>
      </c>
      <c r="K1410" t="s">
        <v>42</v>
      </c>
      <c r="L1410">
        <v>-10</v>
      </c>
      <c r="M1410">
        <v>33</v>
      </c>
      <c r="N1410" t="s">
        <v>42</v>
      </c>
      <c r="O1410" t="s">
        <v>25</v>
      </c>
      <c r="P1410">
        <v>4.17</v>
      </c>
      <c r="Q1410" t="s">
        <v>34</v>
      </c>
      <c r="R1410">
        <v>2.99</v>
      </c>
      <c r="S1410" t="s">
        <v>43</v>
      </c>
      <c r="T1410" t="str">
        <f t="shared" si="42"/>
        <v>Moderate</v>
      </c>
      <c r="U1410" t="str">
        <f t="shared" si="43"/>
        <v>Expert</v>
      </c>
    </row>
    <row r="1411" spans="1:21" x14ac:dyDescent="0.35">
      <c r="A1411" t="s">
        <v>1484</v>
      </c>
      <c r="B1411" t="s">
        <v>106</v>
      </c>
      <c r="C1411" t="s">
        <v>55</v>
      </c>
      <c r="D1411" t="s">
        <v>63</v>
      </c>
      <c r="E1411" t="s">
        <v>33</v>
      </c>
      <c r="F1411">
        <v>7</v>
      </c>
      <c r="G1411">
        <v>0.56000000000000005</v>
      </c>
      <c r="H1411">
        <v>0.24</v>
      </c>
      <c r="I1411" t="s">
        <v>24</v>
      </c>
      <c r="J1411">
        <v>177416</v>
      </c>
      <c r="K1411" t="s">
        <v>27</v>
      </c>
      <c r="L1411">
        <v>-1</v>
      </c>
      <c r="M1411">
        <v>48</v>
      </c>
      <c r="N1411" t="s">
        <v>42</v>
      </c>
      <c r="O1411" t="s">
        <v>25</v>
      </c>
      <c r="P1411">
        <v>4.49</v>
      </c>
      <c r="Q1411" t="s">
        <v>24</v>
      </c>
      <c r="R1411">
        <v>4.0199999999999996</v>
      </c>
      <c r="S1411" t="s">
        <v>28</v>
      </c>
      <c r="T1411" t="str">
        <f t="shared" ref="T1411:T1474" si="44">IF(AND(G1411&lt;0.4,H1411&gt;=0.7),"Very High",
IF(AND(G1411&gt;=0.7,H1411&lt;0.5),"Very Low",
IF(G1411&lt;H1411,"High","Moderate")))</f>
        <v>Moderate</v>
      </c>
      <c r="U1411" t="str">
        <f t="shared" ref="U1411:U1474" si="45">_xlfn.IFS(F1411&lt;=2,"Beginner",F1411&lt;=8,"Intermediate",F1411&lt;=15,"Experienced",F1411&lt;=25,"Expert")</f>
        <v>Intermediate</v>
      </c>
    </row>
    <row r="1412" spans="1:21" x14ac:dyDescent="0.35">
      <c r="A1412" t="s">
        <v>1485</v>
      </c>
      <c r="B1412" t="s">
        <v>30</v>
      </c>
      <c r="C1412" t="s">
        <v>21</v>
      </c>
      <c r="D1412" t="s">
        <v>40</v>
      </c>
      <c r="E1412" t="s">
        <v>23</v>
      </c>
      <c r="F1412">
        <v>6</v>
      </c>
      <c r="G1412">
        <v>0.92</v>
      </c>
      <c r="H1412">
        <v>0.7</v>
      </c>
      <c r="I1412" t="s">
        <v>60</v>
      </c>
      <c r="J1412">
        <v>127505</v>
      </c>
      <c r="K1412" t="s">
        <v>27</v>
      </c>
      <c r="L1412">
        <v>18</v>
      </c>
      <c r="M1412">
        <v>32</v>
      </c>
      <c r="N1412" t="s">
        <v>42</v>
      </c>
      <c r="O1412" t="s">
        <v>27</v>
      </c>
      <c r="P1412">
        <v>2.4900000000000002</v>
      </c>
      <c r="Q1412" t="s">
        <v>24</v>
      </c>
      <c r="R1412">
        <v>4.62</v>
      </c>
      <c r="S1412" t="s">
        <v>43</v>
      </c>
      <c r="T1412" t="str">
        <f t="shared" si="44"/>
        <v>Moderate</v>
      </c>
      <c r="U1412" t="str">
        <f t="shared" si="45"/>
        <v>Intermediate</v>
      </c>
    </row>
    <row r="1413" spans="1:21" x14ac:dyDescent="0.35">
      <c r="A1413" t="s">
        <v>1486</v>
      </c>
      <c r="B1413" t="s">
        <v>57</v>
      </c>
      <c r="C1413" t="s">
        <v>46</v>
      </c>
      <c r="D1413" t="s">
        <v>69</v>
      </c>
      <c r="E1413" t="s">
        <v>33</v>
      </c>
      <c r="F1413">
        <v>12</v>
      </c>
      <c r="G1413">
        <v>0.87</v>
      </c>
      <c r="H1413">
        <v>0.44</v>
      </c>
      <c r="I1413" t="s">
        <v>24</v>
      </c>
      <c r="J1413">
        <v>152616</v>
      </c>
      <c r="K1413" t="s">
        <v>42</v>
      </c>
      <c r="L1413">
        <v>28</v>
      </c>
      <c r="M1413">
        <v>32</v>
      </c>
      <c r="N1413" t="s">
        <v>26</v>
      </c>
      <c r="O1413" t="s">
        <v>27</v>
      </c>
      <c r="P1413">
        <v>2.71</v>
      </c>
      <c r="Q1413" t="s">
        <v>24</v>
      </c>
      <c r="R1413">
        <v>1.71</v>
      </c>
      <c r="S1413" t="s">
        <v>28</v>
      </c>
      <c r="T1413" t="str">
        <f t="shared" si="44"/>
        <v>Very Low</v>
      </c>
      <c r="U1413" t="str">
        <f t="shared" si="45"/>
        <v>Experienced</v>
      </c>
    </row>
    <row r="1414" spans="1:21" x14ac:dyDescent="0.35">
      <c r="A1414" t="s">
        <v>1487</v>
      </c>
      <c r="B1414" t="s">
        <v>62</v>
      </c>
      <c r="C1414" t="s">
        <v>39</v>
      </c>
      <c r="D1414" t="s">
        <v>66</v>
      </c>
      <c r="E1414" t="s">
        <v>33</v>
      </c>
      <c r="F1414">
        <v>20</v>
      </c>
      <c r="G1414">
        <v>0.48</v>
      </c>
      <c r="H1414">
        <v>0.9</v>
      </c>
      <c r="I1414" t="s">
        <v>34</v>
      </c>
      <c r="J1414">
        <v>97602</v>
      </c>
      <c r="K1414" t="s">
        <v>42</v>
      </c>
      <c r="L1414">
        <v>29</v>
      </c>
      <c r="M1414">
        <v>58</v>
      </c>
      <c r="N1414" t="s">
        <v>42</v>
      </c>
      <c r="O1414" t="s">
        <v>27</v>
      </c>
      <c r="P1414">
        <v>3.49</v>
      </c>
      <c r="Q1414" t="s">
        <v>34</v>
      </c>
      <c r="R1414">
        <v>2.4500000000000002</v>
      </c>
      <c r="S1414" t="s">
        <v>47</v>
      </c>
      <c r="T1414" t="str">
        <f t="shared" si="44"/>
        <v>High</v>
      </c>
      <c r="U1414" t="str">
        <f t="shared" si="45"/>
        <v>Expert</v>
      </c>
    </row>
    <row r="1415" spans="1:21" x14ac:dyDescent="0.35">
      <c r="A1415" t="s">
        <v>1488</v>
      </c>
      <c r="B1415" t="s">
        <v>77</v>
      </c>
      <c r="C1415" t="s">
        <v>46</v>
      </c>
      <c r="D1415" t="s">
        <v>75</v>
      </c>
      <c r="E1415" t="s">
        <v>33</v>
      </c>
      <c r="F1415">
        <v>8</v>
      </c>
      <c r="G1415">
        <v>0.83</v>
      </c>
      <c r="H1415">
        <v>0.71</v>
      </c>
      <c r="I1415" t="s">
        <v>60</v>
      </c>
      <c r="J1415">
        <v>71075</v>
      </c>
      <c r="K1415" t="s">
        <v>27</v>
      </c>
      <c r="L1415">
        <v>-9</v>
      </c>
      <c r="M1415">
        <v>50</v>
      </c>
      <c r="N1415" t="s">
        <v>42</v>
      </c>
      <c r="O1415" t="s">
        <v>25</v>
      </c>
      <c r="P1415">
        <v>2.88</v>
      </c>
      <c r="Q1415" t="s">
        <v>34</v>
      </c>
      <c r="R1415">
        <v>4.84</v>
      </c>
      <c r="S1415" t="s">
        <v>28</v>
      </c>
      <c r="T1415" t="str">
        <f t="shared" si="44"/>
        <v>Moderate</v>
      </c>
      <c r="U1415" t="str">
        <f t="shared" si="45"/>
        <v>Intermediate</v>
      </c>
    </row>
    <row r="1416" spans="1:21" x14ac:dyDescent="0.35">
      <c r="A1416" t="s">
        <v>1489</v>
      </c>
      <c r="B1416" t="s">
        <v>89</v>
      </c>
      <c r="C1416" t="s">
        <v>39</v>
      </c>
      <c r="D1416" t="s">
        <v>49</v>
      </c>
      <c r="E1416" t="s">
        <v>23</v>
      </c>
      <c r="F1416">
        <v>4</v>
      </c>
      <c r="G1416">
        <v>0.59</v>
      </c>
      <c r="H1416">
        <v>0.53</v>
      </c>
      <c r="I1416" t="s">
        <v>34</v>
      </c>
      <c r="J1416">
        <v>122887</v>
      </c>
      <c r="K1416" t="s">
        <v>25</v>
      </c>
      <c r="L1416">
        <v>15</v>
      </c>
      <c r="M1416">
        <v>42</v>
      </c>
      <c r="N1416" t="s">
        <v>26</v>
      </c>
      <c r="O1416" t="s">
        <v>27</v>
      </c>
      <c r="P1416">
        <v>4.5</v>
      </c>
      <c r="Q1416" t="s">
        <v>24</v>
      </c>
      <c r="R1416">
        <v>2.46</v>
      </c>
      <c r="S1416" t="s">
        <v>28</v>
      </c>
      <c r="T1416" t="str">
        <f t="shared" si="44"/>
        <v>Moderate</v>
      </c>
      <c r="U1416" t="str">
        <f t="shared" si="45"/>
        <v>Intermediate</v>
      </c>
    </row>
    <row r="1417" spans="1:21" x14ac:dyDescent="0.35">
      <c r="A1417" t="s">
        <v>1490</v>
      </c>
      <c r="B1417" t="s">
        <v>54</v>
      </c>
      <c r="C1417" t="s">
        <v>58</v>
      </c>
      <c r="D1417" t="s">
        <v>40</v>
      </c>
      <c r="E1417" t="s">
        <v>70</v>
      </c>
      <c r="F1417">
        <v>4</v>
      </c>
      <c r="G1417">
        <v>0.59</v>
      </c>
      <c r="H1417">
        <v>0.24</v>
      </c>
      <c r="I1417" t="s">
        <v>34</v>
      </c>
      <c r="J1417">
        <v>52158</v>
      </c>
      <c r="K1417" t="s">
        <v>25</v>
      </c>
      <c r="L1417">
        <v>-4</v>
      </c>
      <c r="M1417">
        <v>60</v>
      </c>
      <c r="N1417" t="s">
        <v>26</v>
      </c>
      <c r="O1417" t="s">
        <v>25</v>
      </c>
      <c r="P1417">
        <v>4.26</v>
      </c>
      <c r="Q1417" t="s">
        <v>24</v>
      </c>
      <c r="R1417">
        <v>4.28</v>
      </c>
      <c r="S1417" t="s">
        <v>43</v>
      </c>
      <c r="T1417" t="str">
        <f t="shared" si="44"/>
        <v>Moderate</v>
      </c>
      <c r="U1417" t="str">
        <f t="shared" si="45"/>
        <v>Intermediate</v>
      </c>
    </row>
    <row r="1418" spans="1:21" x14ac:dyDescent="0.35">
      <c r="A1418" t="s">
        <v>1491</v>
      </c>
      <c r="B1418" t="s">
        <v>156</v>
      </c>
      <c r="C1418" t="s">
        <v>21</v>
      </c>
      <c r="D1418" t="s">
        <v>80</v>
      </c>
      <c r="E1418" t="s">
        <v>70</v>
      </c>
      <c r="F1418">
        <v>4</v>
      </c>
      <c r="G1418">
        <v>0.43</v>
      </c>
      <c r="H1418">
        <v>0.97</v>
      </c>
      <c r="I1418" t="s">
        <v>60</v>
      </c>
      <c r="J1418">
        <v>33341</v>
      </c>
      <c r="K1418" t="s">
        <v>25</v>
      </c>
      <c r="L1418">
        <v>3</v>
      </c>
      <c r="M1418">
        <v>40</v>
      </c>
      <c r="N1418" t="s">
        <v>26</v>
      </c>
      <c r="O1418" t="s">
        <v>27</v>
      </c>
      <c r="P1418">
        <v>4.96</v>
      </c>
      <c r="Q1418" t="s">
        <v>34</v>
      </c>
      <c r="R1418">
        <v>2.79</v>
      </c>
      <c r="S1418" t="s">
        <v>43</v>
      </c>
      <c r="T1418" t="str">
        <f t="shared" si="44"/>
        <v>High</v>
      </c>
      <c r="U1418" t="str">
        <f t="shared" si="45"/>
        <v>Intermediate</v>
      </c>
    </row>
    <row r="1419" spans="1:21" x14ac:dyDescent="0.35">
      <c r="A1419" t="s">
        <v>1492</v>
      </c>
      <c r="B1419" t="s">
        <v>89</v>
      </c>
      <c r="C1419" t="s">
        <v>107</v>
      </c>
      <c r="D1419" t="s">
        <v>40</v>
      </c>
      <c r="E1419" t="s">
        <v>70</v>
      </c>
      <c r="F1419">
        <v>7</v>
      </c>
      <c r="G1419">
        <v>0.43</v>
      </c>
      <c r="H1419">
        <v>0.53</v>
      </c>
      <c r="I1419" t="s">
        <v>60</v>
      </c>
      <c r="J1419">
        <v>211807</v>
      </c>
      <c r="K1419" t="s">
        <v>25</v>
      </c>
      <c r="L1419">
        <v>40</v>
      </c>
      <c r="M1419">
        <v>35</v>
      </c>
      <c r="N1419" t="s">
        <v>35</v>
      </c>
      <c r="O1419" t="s">
        <v>36</v>
      </c>
      <c r="P1419">
        <v>4.3099999999999996</v>
      </c>
      <c r="Q1419" t="s">
        <v>24</v>
      </c>
      <c r="R1419">
        <v>3.97</v>
      </c>
      <c r="S1419" t="s">
        <v>43</v>
      </c>
      <c r="T1419" t="str">
        <f t="shared" si="44"/>
        <v>High</v>
      </c>
      <c r="U1419" t="str">
        <f t="shared" si="45"/>
        <v>Intermediate</v>
      </c>
    </row>
    <row r="1420" spans="1:21" x14ac:dyDescent="0.35">
      <c r="A1420" t="s">
        <v>1493</v>
      </c>
      <c r="B1420" t="s">
        <v>156</v>
      </c>
      <c r="C1420" t="s">
        <v>46</v>
      </c>
      <c r="D1420" t="s">
        <v>75</v>
      </c>
      <c r="E1420" t="s">
        <v>41</v>
      </c>
      <c r="F1420">
        <v>13</v>
      </c>
      <c r="G1420">
        <v>0.7</v>
      </c>
      <c r="H1420">
        <v>0.31</v>
      </c>
      <c r="I1420" t="s">
        <v>34</v>
      </c>
      <c r="J1420">
        <v>177526</v>
      </c>
      <c r="K1420" t="s">
        <v>42</v>
      </c>
      <c r="L1420">
        <v>16</v>
      </c>
      <c r="M1420">
        <v>32</v>
      </c>
      <c r="N1420" t="s">
        <v>26</v>
      </c>
      <c r="O1420" t="s">
        <v>36</v>
      </c>
      <c r="P1420">
        <v>2.9</v>
      </c>
      <c r="Q1420" t="s">
        <v>34</v>
      </c>
      <c r="R1420">
        <v>3.01</v>
      </c>
      <c r="S1420" t="s">
        <v>47</v>
      </c>
      <c r="T1420" t="str">
        <f t="shared" si="44"/>
        <v>Very Low</v>
      </c>
      <c r="U1420" t="str">
        <f t="shared" si="45"/>
        <v>Experienced</v>
      </c>
    </row>
    <row r="1421" spans="1:21" x14ac:dyDescent="0.35">
      <c r="A1421" t="s">
        <v>1494</v>
      </c>
      <c r="B1421" t="s">
        <v>77</v>
      </c>
      <c r="C1421" t="s">
        <v>107</v>
      </c>
      <c r="D1421" t="s">
        <v>22</v>
      </c>
      <c r="E1421" t="s">
        <v>33</v>
      </c>
      <c r="F1421">
        <v>23</v>
      </c>
      <c r="G1421">
        <v>0.21</v>
      </c>
      <c r="H1421">
        <v>0.4</v>
      </c>
      <c r="I1421" t="s">
        <v>60</v>
      </c>
      <c r="J1421">
        <v>135002</v>
      </c>
      <c r="K1421" t="s">
        <v>27</v>
      </c>
      <c r="L1421">
        <v>-7</v>
      </c>
      <c r="M1421">
        <v>53</v>
      </c>
      <c r="N1421" t="s">
        <v>42</v>
      </c>
      <c r="O1421" t="s">
        <v>36</v>
      </c>
      <c r="P1421">
        <v>4.8499999999999996</v>
      </c>
      <c r="Q1421" t="s">
        <v>34</v>
      </c>
      <c r="R1421">
        <v>4.78</v>
      </c>
      <c r="S1421" t="s">
        <v>47</v>
      </c>
      <c r="T1421" t="str">
        <f t="shared" si="44"/>
        <v>High</v>
      </c>
      <c r="U1421" t="str">
        <f t="shared" si="45"/>
        <v>Expert</v>
      </c>
    </row>
    <row r="1422" spans="1:21" x14ac:dyDescent="0.35">
      <c r="A1422" t="s">
        <v>1495</v>
      </c>
      <c r="B1422" t="s">
        <v>38</v>
      </c>
      <c r="C1422" t="s">
        <v>82</v>
      </c>
      <c r="D1422" t="s">
        <v>63</v>
      </c>
      <c r="E1422" t="s">
        <v>33</v>
      </c>
      <c r="F1422">
        <v>16</v>
      </c>
      <c r="G1422">
        <v>7.0000000000000007E-2</v>
      </c>
      <c r="H1422">
        <v>0.45</v>
      </c>
      <c r="I1422" t="s">
        <v>34</v>
      </c>
      <c r="J1422">
        <v>85577</v>
      </c>
      <c r="K1422" t="s">
        <v>27</v>
      </c>
      <c r="L1422">
        <v>34</v>
      </c>
      <c r="M1422">
        <v>37</v>
      </c>
      <c r="N1422" t="s">
        <v>42</v>
      </c>
      <c r="O1422" t="s">
        <v>36</v>
      </c>
      <c r="P1422">
        <v>2.59</v>
      </c>
      <c r="Q1422" t="s">
        <v>24</v>
      </c>
      <c r="R1422">
        <v>4.57</v>
      </c>
      <c r="S1422" t="s">
        <v>47</v>
      </c>
      <c r="T1422" t="str">
        <f t="shared" si="44"/>
        <v>High</v>
      </c>
      <c r="U1422" t="str">
        <f t="shared" si="45"/>
        <v>Expert</v>
      </c>
    </row>
    <row r="1423" spans="1:21" x14ac:dyDescent="0.35">
      <c r="A1423" t="s">
        <v>1496</v>
      </c>
      <c r="B1423" t="s">
        <v>102</v>
      </c>
      <c r="C1423" t="s">
        <v>58</v>
      </c>
      <c r="D1423" t="s">
        <v>32</v>
      </c>
      <c r="E1423" t="s">
        <v>33</v>
      </c>
      <c r="F1423">
        <v>13</v>
      </c>
      <c r="G1423">
        <v>0.36</v>
      </c>
      <c r="H1423">
        <v>0.7</v>
      </c>
      <c r="I1423" t="s">
        <v>34</v>
      </c>
      <c r="J1423">
        <v>208051</v>
      </c>
      <c r="K1423" t="s">
        <v>25</v>
      </c>
      <c r="L1423">
        <v>44</v>
      </c>
      <c r="M1423">
        <v>35</v>
      </c>
      <c r="N1423" t="s">
        <v>35</v>
      </c>
      <c r="O1423" t="s">
        <v>36</v>
      </c>
      <c r="P1423">
        <v>4.2699999999999996</v>
      </c>
      <c r="Q1423" t="s">
        <v>34</v>
      </c>
      <c r="R1423">
        <v>1.0900000000000001</v>
      </c>
      <c r="S1423" t="s">
        <v>28</v>
      </c>
      <c r="T1423" t="str">
        <f t="shared" si="44"/>
        <v>Very High</v>
      </c>
      <c r="U1423" t="str">
        <f t="shared" si="45"/>
        <v>Experienced</v>
      </c>
    </row>
    <row r="1424" spans="1:21" x14ac:dyDescent="0.35">
      <c r="A1424" t="s">
        <v>1497</v>
      </c>
      <c r="B1424" t="s">
        <v>96</v>
      </c>
      <c r="C1424" t="s">
        <v>58</v>
      </c>
      <c r="D1424" t="s">
        <v>32</v>
      </c>
      <c r="E1424" t="s">
        <v>33</v>
      </c>
      <c r="F1424">
        <v>4</v>
      </c>
      <c r="G1424">
        <v>0.26</v>
      </c>
      <c r="H1424">
        <v>0.24</v>
      </c>
      <c r="I1424" t="s">
        <v>34</v>
      </c>
      <c r="J1424">
        <v>49037</v>
      </c>
      <c r="K1424" t="s">
        <v>25</v>
      </c>
      <c r="L1424">
        <v>42</v>
      </c>
      <c r="M1424">
        <v>30</v>
      </c>
      <c r="N1424" t="s">
        <v>42</v>
      </c>
      <c r="O1424" t="s">
        <v>27</v>
      </c>
      <c r="P1424">
        <v>2.27</v>
      </c>
      <c r="Q1424" t="s">
        <v>34</v>
      </c>
      <c r="R1424">
        <v>2.2999999999999998</v>
      </c>
      <c r="S1424" t="s">
        <v>43</v>
      </c>
      <c r="T1424" t="str">
        <f t="shared" si="44"/>
        <v>Moderate</v>
      </c>
      <c r="U1424" t="str">
        <f t="shared" si="45"/>
        <v>Intermediate</v>
      </c>
    </row>
    <row r="1425" spans="1:21" x14ac:dyDescent="0.35">
      <c r="A1425" t="s">
        <v>1498</v>
      </c>
      <c r="B1425" t="s">
        <v>62</v>
      </c>
      <c r="C1425" t="s">
        <v>74</v>
      </c>
      <c r="D1425" t="s">
        <v>69</v>
      </c>
      <c r="E1425" t="s">
        <v>70</v>
      </c>
      <c r="F1425">
        <v>2</v>
      </c>
      <c r="G1425">
        <v>0.19</v>
      </c>
      <c r="H1425">
        <v>0.91</v>
      </c>
      <c r="I1425" t="s">
        <v>24</v>
      </c>
      <c r="J1425">
        <v>210113</v>
      </c>
      <c r="K1425" t="s">
        <v>27</v>
      </c>
      <c r="L1425">
        <v>29</v>
      </c>
      <c r="M1425">
        <v>35</v>
      </c>
      <c r="N1425" t="s">
        <v>42</v>
      </c>
      <c r="O1425" t="s">
        <v>36</v>
      </c>
      <c r="P1425">
        <v>4.57</v>
      </c>
      <c r="Q1425" t="s">
        <v>24</v>
      </c>
      <c r="R1425">
        <v>2.2799999999999998</v>
      </c>
      <c r="S1425" t="s">
        <v>28</v>
      </c>
      <c r="T1425" t="str">
        <f t="shared" si="44"/>
        <v>Very High</v>
      </c>
      <c r="U1425" t="str">
        <f t="shared" si="45"/>
        <v>Beginner</v>
      </c>
    </row>
    <row r="1426" spans="1:21" x14ac:dyDescent="0.35">
      <c r="A1426" t="s">
        <v>1499</v>
      </c>
      <c r="B1426" t="s">
        <v>156</v>
      </c>
      <c r="C1426" t="s">
        <v>74</v>
      </c>
      <c r="D1426" t="s">
        <v>59</v>
      </c>
      <c r="E1426" t="s">
        <v>70</v>
      </c>
      <c r="F1426">
        <v>19</v>
      </c>
      <c r="G1426">
        <v>0.57999999999999996</v>
      </c>
      <c r="H1426">
        <v>0.87</v>
      </c>
      <c r="I1426" t="s">
        <v>34</v>
      </c>
      <c r="J1426">
        <v>120507</v>
      </c>
      <c r="K1426" t="s">
        <v>25</v>
      </c>
      <c r="L1426">
        <v>29</v>
      </c>
      <c r="M1426">
        <v>52</v>
      </c>
      <c r="N1426" t="s">
        <v>42</v>
      </c>
      <c r="O1426" t="s">
        <v>25</v>
      </c>
      <c r="P1426">
        <v>3</v>
      </c>
      <c r="Q1426" t="s">
        <v>34</v>
      </c>
      <c r="R1426">
        <v>4.43</v>
      </c>
      <c r="S1426" t="s">
        <v>43</v>
      </c>
      <c r="T1426" t="str">
        <f t="shared" si="44"/>
        <v>High</v>
      </c>
      <c r="U1426" t="str">
        <f t="shared" si="45"/>
        <v>Expert</v>
      </c>
    </row>
    <row r="1427" spans="1:21" x14ac:dyDescent="0.35">
      <c r="A1427" t="s">
        <v>1500</v>
      </c>
      <c r="B1427" t="s">
        <v>106</v>
      </c>
      <c r="C1427" t="s">
        <v>31</v>
      </c>
      <c r="D1427" t="s">
        <v>69</v>
      </c>
      <c r="E1427" t="s">
        <v>33</v>
      </c>
      <c r="F1427">
        <v>0</v>
      </c>
      <c r="G1427">
        <v>0.26</v>
      </c>
      <c r="H1427">
        <v>0.96</v>
      </c>
      <c r="I1427" t="s">
        <v>34</v>
      </c>
      <c r="J1427">
        <v>195623</v>
      </c>
      <c r="K1427" t="s">
        <v>25</v>
      </c>
      <c r="L1427">
        <v>37</v>
      </c>
      <c r="M1427">
        <v>43</v>
      </c>
      <c r="N1427" t="s">
        <v>35</v>
      </c>
      <c r="O1427" t="s">
        <v>25</v>
      </c>
      <c r="P1427">
        <v>4.01</v>
      </c>
      <c r="Q1427" t="s">
        <v>34</v>
      </c>
      <c r="R1427">
        <v>4.57</v>
      </c>
      <c r="S1427" t="s">
        <v>28</v>
      </c>
      <c r="T1427" t="str">
        <f t="shared" si="44"/>
        <v>Very High</v>
      </c>
      <c r="U1427" t="str">
        <f t="shared" si="45"/>
        <v>Beginner</v>
      </c>
    </row>
    <row r="1428" spans="1:21" x14ac:dyDescent="0.35">
      <c r="A1428" t="s">
        <v>1501</v>
      </c>
      <c r="B1428" t="s">
        <v>30</v>
      </c>
      <c r="C1428" t="s">
        <v>58</v>
      </c>
      <c r="D1428" t="s">
        <v>66</v>
      </c>
      <c r="E1428" t="s">
        <v>33</v>
      </c>
      <c r="F1428">
        <v>1</v>
      </c>
      <c r="G1428">
        <v>0.05</v>
      </c>
      <c r="H1428">
        <v>0.54</v>
      </c>
      <c r="I1428" t="s">
        <v>34</v>
      </c>
      <c r="J1428">
        <v>49177</v>
      </c>
      <c r="K1428" t="s">
        <v>27</v>
      </c>
      <c r="L1428">
        <v>25</v>
      </c>
      <c r="M1428">
        <v>51</v>
      </c>
      <c r="N1428" t="s">
        <v>42</v>
      </c>
      <c r="O1428" t="s">
        <v>27</v>
      </c>
      <c r="P1428">
        <v>4.43</v>
      </c>
      <c r="Q1428" t="s">
        <v>34</v>
      </c>
      <c r="R1428">
        <v>3.38</v>
      </c>
      <c r="S1428" t="s">
        <v>43</v>
      </c>
      <c r="T1428" t="str">
        <f t="shared" si="44"/>
        <v>High</v>
      </c>
      <c r="U1428" t="str">
        <f t="shared" si="45"/>
        <v>Beginner</v>
      </c>
    </row>
    <row r="1429" spans="1:21" x14ac:dyDescent="0.35">
      <c r="A1429" t="s">
        <v>1502</v>
      </c>
      <c r="B1429" t="s">
        <v>73</v>
      </c>
      <c r="C1429" t="s">
        <v>46</v>
      </c>
      <c r="D1429" t="s">
        <v>75</v>
      </c>
      <c r="E1429" t="s">
        <v>41</v>
      </c>
      <c r="F1429">
        <v>1</v>
      </c>
      <c r="G1429">
        <v>0.67</v>
      </c>
      <c r="H1429">
        <v>0.53</v>
      </c>
      <c r="I1429" t="s">
        <v>24</v>
      </c>
      <c r="J1429">
        <v>162431</v>
      </c>
      <c r="K1429" t="s">
        <v>42</v>
      </c>
      <c r="L1429">
        <v>38</v>
      </c>
      <c r="M1429">
        <v>54</v>
      </c>
      <c r="N1429" t="s">
        <v>42</v>
      </c>
      <c r="O1429" t="s">
        <v>27</v>
      </c>
      <c r="P1429">
        <v>2.29</v>
      </c>
      <c r="Q1429" t="s">
        <v>24</v>
      </c>
      <c r="R1429">
        <v>3.93</v>
      </c>
      <c r="S1429" t="s">
        <v>28</v>
      </c>
      <c r="T1429" t="str">
        <f t="shared" si="44"/>
        <v>Moderate</v>
      </c>
      <c r="U1429" t="str">
        <f t="shared" si="45"/>
        <v>Beginner</v>
      </c>
    </row>
    <row r="1430" spans="1:21" x14ac:dyDescent="0.35">
      <c r="A1430" t="s">
        <v>1503</v>
      </c>
      <c r="B1430" t="s">
        <v>68</v>
      </c>
      <c r="C1430" t="s">
        <v>52</v>
      </c>
      <c r="D1430" t="s">
        <v>59</v>
      </c>
      <c r="E1430" t="s">
        <v>41</v>
      </c>
      <c r="F1430">
        <v>13</v>
      </c>
      <c r="G1430">
        <v>0.57999999999999996</v>
      </c>
      <c r="H1430">
        <v>0.23</v>
      </c>
      <c r="I1430" t="s">
        <v>60</v>
      </c>
      <c r="J1430">
        <v>132429</v>
      </c>
      <c r="K1430" t="s">
        <v>42</v>
      </c>
      <c r="L1430">
        <v>35</v>
      </c>
      <c r="M1430">
        <v>47</v>
      </c>
      <c r="N1430" t="s">
        <v>26</v>
      </c>
      <c r="O1430" t="s">
        <v>36</v>
      </c>
      <c r="P1430">
        <v>2.27</v>
      </c>
      <c r="Q1430" t="s">
        <v>34</v>
      </c>
      <c r="R1430">
        <v>4.7300000000000004</v>
      </c>
      <c r="S1430" t="s">
        <v>28</v>
      </c>
      <c r="T1430" t="str">
        <f t="shared" si="44"/>
        <v>Moderate</v>
      </c>
      <c r="U1430" t="str">
        <f t="shared" si="45"/>
        <v>Experienced</v>
      </c>
    </row>
    <row r="1431" spans="1:21" x14ac:dyDescent="0.35">
      <c r="A1431" t="s">
        <v>1504</v>
      </c>
      <c r="B1431" t="s">
        <v>20</v>
      </c>
      <c r="C1431" t="s">
        <v>82</v>
      </c>
      <c r="D1431" t="s">
        <v>69</v>
      </c>
      <c r="E1431" t="s">
        <v>23</v>
      </c>
      <c r="F1431">
        <v>5</v>
      </c>
      <c r="G1431">
        <v>0.35</v>
      </c>
      <c r="H1431">
        <v>0.52</v>
      </c>
      <c r="I1431" t="s">
        <v>60</v>
      </c>
      <c r="J1431">
        <v>175962</v>
      </c>
      <c r="K1431" t="s">
        <v>25</v>
      </c>
      <c r="L1431">
        <v>-10</v>
      </c>
      <c r="M1431">
        <v>45</v>
      </c>
      <c r="N1431" t="s">
        <v>35</v>
      </c>
      <c r="O1431" t="s">
        <v>27</v>
      </c>
      <c r="P1431">
        <v>3.46</v>
      </c>
      <c r="Q1431" t="s">
        <v>24</v>
      </c>
      <c r="R1431">
        <v>3.9</v>
      </c>
      <c r="S1431" t="s">
        <v>28</v>
      </c>
      <c r="T1431" t="str">
        <f t="shared" si="44"/>
        <v>High</v>
      </c>
      <c r="U1431" t="str">
        <f t="shared" si="45"/>
        <v>Intermediate</v>
      </c>
    </row>
    <row r="1432" spans="1:21" x14ac:dyDescent="0.35">
      <c r="A1432" t="s">
        <v>1505</v>
      </c>
      <c r="B1432" t="s">
        <v>94</v>
      </c>
      <c r="C1432" t="s">
        <v>31</v>
      </c>
      <c r="D1432" t="s">
        <v>75</v>
      </c>
      <c r="E1432" t="s">
        <v>23</v>
      </c>
      <c r="F1432">
        <v>16</v>
      </c>
      <c r="G1432">
        <v>0.62</v>
      </c>
      <c r="H1432">
        <v>0.56000000000000005</v>
      </c>
      <c r="I1432" t="s">
        <v>24</v>
      </c>
      <c r="J1432">
        <v>122197</v>
      </c>
      <c r="K1432" t="s">
        <v>27</v>
      </c>
      <c r="L1432">
        <v>36</v>
      </c>
      <c r="M1432">
        <v>52</v>
      </c>
      <c r="N1432" t="s">
        <v>35</v>
      </c>
      <c r="O1432" t="s">
        <v>27</v>
      </c>
      <c r="P1432">
        <v>2.67</v>
      </c>
      <c r="Q1432" t="s">
        <v>34</v>
      </c>
      <c r="R1432">
        <v>3.41</v>
      </c>
      <c r="S1432" t="s">
        <v>28</v>
      </c>
      <c r="T1432" t="str">
        <f t="shared" si="44"/>
        <v>Moderate</v>
      </c>
      <c r="U1432" t="str">
        <f t="shared" si="45"/>
        <v>Expert</v>
      </c>
    </row>
    <row r="1433" spans="1:21" x14ac:dyDescent="0.35">
      <c r="A1433" t="s">
        <v>1506</v>
      </c>
      <c r="B1433" t="s">
        <v>54</v>
      </c>
      <c r="C1433" t="s">
        <v>52</v>
      </c>
      <c r="D1433" t="s">
        <v>49</v>
      </c>
      <c r="E1433" t="s">
        <v>70</v>
      </c>
      <c r="F1433">
        <v>18</v>
      </c>
      <c r="G1433">
        <v>0.54</v>
      </c>
      <c r="H1433">
        <v>0.53</v>
      </c>
      <c r="I1433" t="s">
        <v>24</v>
      </c>
      <c r="J1433">
        <v>50822</v>
      </c>
      <c r="K1433" t="s">
        <v>42</v>
      </c>
      <c r="L1433">
        <v>14</v>
      </c>
      <c r="M1433">
        <v>46</v>
      </c>
      <c r="N1433" t="s">
        <v>26</v>
      </c>
      <c r="O1433" t="s">
        <v>27</v>
      </c>
      <c r="P1433">
        <v>3.25</v>
      </c>
      <c r="Q1433" t="s">
        <v>34</v>
      </c>
      <c r="R1433">
        <v>1.27</v>
      </c>
      <c r="S1433" t="s">
        <v>28</v>
      </c>
      <c r="T1433" t="str">
        <f t="shared" si="44"/>
        <v>Moderate</v>
      </c>
      <c r="U1433" t="str">
        <f t="shared" si="45"/>
        <v>Expert</v>
      </c>
    </row>
    <row r="1434" spans="1:21" x14ac:dyDescent="0.35">
      <c r="A1434" t="s">
        <v>1507</v>
      </c>
      <c r="B1434" t="s">
        <v>77</v>
      </c>
      <c r="C1434" t="s">
        <v>74</v>
      </c>
      <c r="D1434" t="s">
        <v>69</v>
      </c>
      <c r="E1434" t="s">
        <v>33</v>
      </c>
      <c r="F1434">
        <v>9</v>
      </c>
      <c r="G1434">
        <v>0.37</v>
      </c>
      <c r="H1434">
        <v>0.24</v>
      </c>
      <c r="I1434" t="s">
        <v>24</v>
      </c>
      <c r="J1434">
        <v>205331</v>
      </c>
      <c r="K1434" t="s">
        <v>25</v>
      </c>
      <c r="L1434">
        <v>22</v>
      </c>
      <c r="M1434">
        <v>31</v>
      </c>
      <c r="N1434" t="s">
        <v>26</v>
      </c>
      <c r="O1434" t="s">
        <v>27</v>
      </c>
      <c r="P1434">
        <v>3.32</v>
      </c>
      <c r="Q1434" t="s">
        <v>24</v>
      </c>
      <c r="R1434">
        <v>1.07</v>
      </c>
      <c r="S1434" t="s">
        <v>47</v>
      </c>
      <c r="T1434" t="str">
        <f t="shared" si="44"/>
        <v>Moderate</v>
      </c>
      <c r="U1434" t="str">
        <f t="shared" si="45"/>
        <v>Experienced</v>
      </c>
    </row>
    <row r="1435" spans="1:21" x14ac:dyDescent="0.35">
      <c r="A1435" t="s">
        <v>1508</v>
      </c>
      <c r="B1435" t="s">
        <v>89</v>
      </c>
      <c r="C1435" t="s">
        <v>107</v>
      </c>
      <c r="D1435" t="s">
        <v>49</v>
      </c>
      <c r="E1435" t="s">
        <v>33</v>
      </c>
      <c r="F1435">
        <v>0</v>
      </c>
      <c r="G1435">
        <v>0.35</v>
      </c>
      <c r="H1435">
        <v>0.82</v>
      </c>
      <c r="I1435" t="s">
        <v>60</v>
      </c>
      <c r="J1435">
        <v>92973</v>
      </c>
      <c r="K1435" t="s">
        <v>25</v>
      </c>
      <c r="L1435">
        <v>-4</v>
      </c>
      <c r="M1435">
        <v>42</v>
      </c>
      <c r="N1435" t="s">
        <v>42</v>
      </c>
      <c r="O1435" t="s">
        <v>27</v>
      </c>
      <c r="P1435">
        <v>3.67</v>
      </c>
      <c r="Q1435" t="s">
        <v>24</v>
      </c>
      <c r="R1435">
        <v>3.37</v>
      </c>
      <c r="S1435" t="s">
        <v>47</v>
      </c>
      <c r="T1435" t="str">
        <f t="shared" si="44"/>
        <v>Very High</v>
      </c>
      <c r="U1435" t="str">
        <f t="shared" si="45"/>
        <v>Beginner</v>
      </c>
    </row>
    <row r="1436" spans="1:21" x14ac:dyDescent="0.35">
      <c r="A1436" t="s">
        <v>1509</v>
      </c>
      <c r="B1436" t="s">
        <v>54</v>
      </c>
      <c r="C1436" t="s">
        <v>58</v>
      </c>
      <c r="D1436" t="s">
        <v>32</v>
      </c>
      <c r="E1436" t="s">
        <v>70</v>
      </c>
      <c r="F1436">
        <v>9</v>
      </c>
      <c r="G1436">
        <v>0.19</v>
      </c>
      <c r="H1436">
        <v>0.87</v>
      </c>
      <c r="I1436" t="s">
        <v>34</v>
      </c>
      <c r="J1436">
        <v>67637</v>
      </c>
      <c r="K1436" t="s">
        <v>42</v>
      </c>
      <c r="L1436">
        <v>-9</v>
      </c>
      <c r="M1436">
        <v>51</v>
      </c>
      <c r="N1436" t="s">
        <v>35</v>
      </c>
      <c r="O1436" t="s">
        <v>36</v>
      </c>
      <c r="P1436">
        <v>2.89</v>
      </c>
      <c r="Q1436" t="s">
        <v>24</v>
      </c>
      <c r="R1436">
        <v>3.03</v>
      </c>
      <c r="S1436" t="s">
        <v>28</v>
      </c>
      <c r="T1436" t="str">
        <f t="shared" si="44"/>
        <v>Very High</v>
      </c>
      <c r="U1436" t="str">
        <f t="shared" si="45"/>
        <v>Experienced</v>
      </c>
    </row>
    <row r="1437" spans="1:21" x14ac:dyDescent="0.35">
      <c r="A1437" t="s">
        <v>1510</v>
      </c>
      <c r="B1437" t="s">
        <v>65</v>
      </c>
      <c r="C1437" t="s">
        <v>107</v>
      </c>
      <c r="D1437" t="s">
        <v>32</v>
      </c>
      <c r="E1437" t="s">
        <v>70</v>
      </c>
      <c r="F1437">
        <v>12</v>
      </c>
      <c r="G1437">
        <v>0.41</v>
      </c>
      <c r="H1437">
        <v>0.56000000000000005</v>
      </c>
      <c r="I1437" t="s">
        <v>24</v>
      </c>
      <c r="J1437">
        <v>166427</v>
      </c>
      <c r="K1437" t="s">
        <v>42</v>
      </c>
      <c r="L1437">
        <v>3</v>
      </c>
      <c r="M1437">
        <v>30</v>
      </c>
      <c r="N1437" t="s">
        <v>35</v>
      </c>
      <c r="O1437" t="s">
        <v>36</v>
      </c>
      <c r="P1437">
        <v>2.75</v>
      </c>
      <c r="Q1437" t="s">
        <v>24</v>
      </c>
      <c r="R1437">
        <v>4.09</v>
      </c>
      <c r="S1437" t="s">
        <v>47</v>
      </c>
      <c r="T1437" t="str">
        <f t="shared" si="44"/>
        <v>High</v>
      </c>
      <c r="U1437" t="str">
        <f t="shared" si="45"/>
        <v>Experienced</v>
      </c>
    </row>
    <row r="1438" spans="1:21" x14ac:dyDescent="0.35">
      <c r="A1438" t="s">
        <v>1511</v>
      </c>
      <c r="B1438" t="s">
        <v>77</v>
      </c>
      <c r="C1438" t="s">
        <v>39</v>
      </c>
      <c r="D1438" t="s">
        <v>75</v>
      </c>
      <c r="E1438" t="s">
        <v>23</v>
      </c>
      <c r="F1438">
        <v>22</v>
      </c>
      <c r="G1438">
        <v>0.25</v>
      </c>
      <c r="H1438">
        <v>0.32</v>
      </c>
      <c r="I1438" t="s">
        <v>60</v>
      </c>
      <c r="J1438">
        <v>110534</v>
      </c>
      <c r="K1438" t="s">
        <v>42</v>
      </c>
      <c r="L1438">
        <v>-4</v>
      </c>
      <c r="M1438">
        <v>44</v>
      </c>
      <c r="N1438" t="s">
        <v>26</v>
      </c>
      <c r="O1438" t="s">
        <v>27</v>
      </c>
      <c r="P1438">
        <v>4.8899999999999997</v>
      </c>
      <c r="Q1438" t="s">
        <v>34</v>
      </c>
      <c r="R1438">
        <v>2.2599999999999998</v>
      </c>
      <c r="S1438" t="s">
        <v>43</v>
      </c>
      <c r="T1438" t="str">
        <f t="shared" si="44"/>
        <v>High</v>
      </c>
      <c r="U1438" t="str">
        <f t="shared" si="45"/>
        <v>Expert</v>
      </c>
    </row>
    <row r="1439" spans="1:21" x14ac:dyDescent="0.35">
      <c r="A1439" t="s">
        <v>1512</v>
      </c>
      <c r="B1439" t="s">
        <v>51</v>
      </c>
      <c r="C1439" t="s">
        <v>82</v>
      </c>
      <c r="D1439" t="s">
        <v>63</v>
      </c>
      <c r="E1439" t="s">
        <v>33</v>
      </c>
      <c r="F1439">
        <v>14</v>
      </c>
      <c r="G1439">
        <v>0.14000000000000001</v>
      </c>
      <c r="H1439">
        <v>0.68</v>
      </c>
      <c r="I1439" t="s">
        <v>34</v>
      </c>
      <c r="J1439">
        <v>128983</v>
      </c>
      <c r="K1439" t="s">
        <v>27</v>
      </c>
      <c r="L1439">
        <v>15</v>
      </c>
      <c r="M1439">
        <v>31</v>
      </c>
      <c r="N1439" t="s">
        <v>35</v>
      </c>
      <c r="O1439" t="s">
        <v>25</v>
      </c>
      <c r="P1439">
        <v>2.38</v>
      </c>
      <c r="Q1439" t="s">
        <v>24</v>
      </c>
      <c r="R1439">
        <v>1.52</v>
      </c>
      <c r="S1439" t="s">
        <v>43</v>
      </c>
      <c r="T1439" t="str">
        <f t="shared" si="44"/>
        <v>High</v>
      </c>
      <c r="U1439" t="str">
        <f t="shared" si="45"/>
        <v>Experienced</v>
      </c>
    </row>
    <row r="1440" spans="1:21" x14ac:dyDescent="0.35">
      <c r="A1440" t="s">
        <v>1513</v>
      </c>
      <c r="B1440" t="s">
        <v>51</v>
      </c>
      <c r="C1440" t="s">
        <v>74</v>
      </c>
      <c r="D1440" t="s">
        <v>40</v>
      </c>
      <c r="E1440" t="s">
        <v>70</v>
      </c>
      <c r="F1440">
        <v>16</v>
      </c>
      <c r="G1440">
        <v>0.46</v>
      </c>
      <c r="H1440">
        <v>0.87</v>
      </c>
      <c r="I1440" t="s">
        <v>60</v>
      </c>
      <c r="J1440">
        <v>56760</v>
      </c>
      <c r="K1440" t="s">
        <v>27</v>
      </c>
      <c r="L1440">
        <v>-8</v>
      </c>
      <c r="M1440">
        <v>56</v>
      </c>
      <c r="N1440" t="s">
        <v>42</v>
      </c>
      <c r="O1440" t="s">
        <v>25</v>
      </c>
      <c r="P1440">
        <v>4.7699999999999996</v>
      </c>
      <c r="Q1440" t="s">
        <v>24</v>
      </c>
      <c r="R1440">
        <v>4.09</v>
      </c>
      <c r="S1440" t="s">
        <v>28</v>
      </c>
      <c r="T1440" t="str">
        <f t="shared" si="44"/>
        <v>High</v>
      </c>
      <c r="U1440" t="str">
        <f t="shared" si="45"/>
        <v>Expert</v>
      </c>
    </row>
    <row r="1441" spans="1:21" x14ac:dyDescent="0.35">
      <c r="A1441" t="s">
        <v>1514</v>
      </c>
      <c r="B1441" t="s">
        <v>68</v>
      </c>
      <c r="C1441" t="s">
        <v>82</v>
      </c>
      <c r="D1441" t="s">
        <v>59</v>
      </c>
      <c r="E1441" t="s">
        <v>33</v>
      </c>
      <c r="F1441">
        <v>15</v>
      </c>
      <c r="G1441">
        <v>0.41</v>
      </c>
      <c r="H1441">
        <v>0.23</v>
      </c>
      <c r="I1441" t="s">
        <v>60</v>
      </c>
      <c r="J1441">
        <v>172151</v>
      </c>
      <c r="K1441" t="s">
        <v>27</v>
      </c>
      <c r="L1441">
        <v>8</v>
      </c>
      <c r="M1441">
        <v>54</v>
      </c>
      <c r="N1441" t="s">
        <v>42</v>
      </c>
      <c r="O1441" t="s">
        <v>36</v>
      </c>
      <c r="P1441">
        <v>3.9</v>
      </c>
      <c r="Q1441" t="s">
        <v>24</v>
      </c>
      <c r="R1441">
        <v>3.33</v>
      </c>
      <c r="S1441" t="s">
        <v>43</v>
      </c>
      <c r="T1441" t="str">
        <f t="shared" si="44"/>
        <v>Moderate</v>
      </c>
      <c r="U1441" t="str">
        <f t="shared" si="45"/>
        <v>Experienced</v>
      </c>
    </row>
    <row r="1442" spans="1:21" x14ac:dyDescent="0.35">
      <c r="A1442" t="s">
        <v>1515</v>
      </c>
      <c r="B1442" t="s">
        <v>62</v>
      </c>
      <c r="C1442" t="s">
        <v>31</v>
      </c>
      <c r="D1442" t="s">
        <v>66</v>
      </c>
      <c r="E1442" t="s">
        <v>33</v>
      </c>
      <c r="F1442">
        <v>0</v>
      </c>
      <c r="G1442">
        <v>0.48</v>
      </c>
      <c r="H1442">
        <v>0.68</v>
      </c>
      <c r="I1442" t="s">
        <v>24</v>
      </c>
      <c r="J1442">
        <v>174613</v>
      </c>
      <c r="K1442" t="s">
        <v>25</v>
      </c>
      <c r="L1442">
        <v>41</v>
      </c>
      <c r="M1442">
        <v>38</v>
      </c>
      <c r="N1442" t="s">
        <v>26</v>
      </c>
      <c r="O1442" t="s">
        <v>27</v>
      </c>
      <c r="P1442">
        <v>2.4500000000000002</v>
      </c>
      <c r="Q1442" t="s">
        <v>34</v>
      </c>
      <c r="R1442">
        <v>1.77</v>
      </c>
      <c r="S1442" t="s">
        <v>47</v>
      </c>
      <c r="T1442" t="str">
        <f t="shared" si="44"/>
        <v>High</v>
      </c>
      <c r="U1442" t="str">
        <f t="shared" si="45"/>
        <v>Beginner</v>
      </c>
    </row>
    <row r="1443" spans="1:21" x14ac:dyDescent="0.35">
      <c r="A1443" t="s">
        <v>1516</v>
      </c>
      <c r="B1443" t="s">
        <v>68</v>
      </c>
      <c r="C1443" t="s">
        <v>55</v>
      </c>
      <c r="D1443" t="s">
        <v>75</v>
      </c>
      <c r="E1443" t="s">
        <v>33</v>
      </c>
      <c r="F1443">
        <v>12</v>
      </c>
      <c r="G1443">
        <v>0.32</v>
      </c>
      <c r="H1443">
        <v>0.23</v>
      </c>
      <c r="I1443" t="s">
        <v>60</v>
      </c>
      <c r="J1443">
        <v>49313</v>
      </c>
      <c r="K1443" t="s">
        <v>42</v>
      </c>
      <c r="L1443">
        <v>30</v>
      </c>
      <c r="M1443">
        <v>48</v>
      </c>
      <c r="N1443" t="s">
        <v>35</v>
      </c>
      <c r="O1443" t="s">
        <v>36</v>
      </c>
      <c r="P1443">
        <v>4.3600000000000003</v>
      </c>
      <c r="Q1443" t="s">
        <v>24</v>
      </c>
      <c r="R1443">
        <v>3.68</v>
      </c>
      <c r="S1443" t="s">
        <v>43</v>
      </c>
      <c r="T1443" t="str">
        <f t="shared" si="44"/>
        <v>Moderate</v>
      </c>
      <c r="U1443" t="str">
        <f t="shared" si="45"/>
        <v>Experienced</v>
      </c>
    </row>
    <row r="1444" spans="1:21" x14ac:dyDescent="0.35">
      <c r="A1444" t="s">
        <v>1517</v>
      </c>
      <c r="B1444" t="s">
        <v>65</v>
      </c>
      <c r="C1444" t="s">
        <v>46</v>
      </c>
      <c r="D1444" t="s">
        <v>40</v>
      </c>
      <c r="E1444" t="s">
        <v>41</v>
      </c>
      <c r="F1444">
        <v>18</v>
      </c>
      <c r="G1444">
        <v>0.28999999999999998</v>
      </c>
      <c r="H1444">
        <v>0.94</v>
      </c>
      <c r="I1444" t="s">
        <v>60</v>
      </c>
      <c r="J1444">
        <v>54252</v>
      </c>
      <c r="K1444" t="s">
        <v>25</v>
      </c>
      <c r="L1444">
        <v>36</v>
      </c>
      <c r="M1444">
        <v>40</v>
      </c>
      <c r="N1444" t="s">
        <v>42</v>
      </c>
      <c r="O1444" t="s">
        <v>27</v>
      </c>
      <c r="P1444">
        <v>4.03</v>
      </c>
      <c r="Q1444" t="s">
        <v>24</v>
      </c>
      <c r="R1444">
        <v>4.55</v>
      </c>
      <c r="S1444" t="s">
        <v>28</v>
      </c>
      <c r="T1444" t="str">
        <f t="shared" si="44"/>
        <v>Very High</v>
      </c>
      <c r="U1444" t="str">
        <f t="shared" si="45"/>
        <v>Expert</v>
      </c>
    </row>
    <row r="1445" spans="1:21" x14ac:dyDescent="0.35">
      <c r="A1445" t="s">
        <v>1518</v>
      </c>
      <c r="B1445" t="s">
        <v>45</v>
      </c>
      <c r="C1445" t="s">
        <v>55</v>
      </c>
      <c r="D1445" t="s">
        <v>40</v>
      </c>
      <c r="E1445" t="s">
        <v>41</v>
      </c>
      <c r="F1445">
        <v>17</v>
      </c>
      <c r="G1445">
        <v>0.28999999999999998</v>
      </c>
      <c r="H1445">
        <v>0.42</v>
      </c>
      <c r="I1445" t="s">
        <v>60</v>
      </c>
      <c r="J1445">
        <v>81905</v>
      </c>
      <c r="K1445" t="s">
        <v>25</v>
      </c>
      <c r="L1445">
        <v>9</v>
      </c>
      <c r="M1445">
        <v>30</v>
      </c>
      <c r="N1445" t="s">
        <v>42</v>
      </c>
      <c r="O1445" t="s">
        <v>25</v>
      </c>
      <c r="P1445">
        <v>4.09</v>
      </c>
      <c r="Q1445" t="s">
        <v>24</v>
      </c>
      <c r="R1445">
        <v>1.63</v>
      </c>
      <c r="S1445" t="s">
        <v>28</v>
      </c>
      <c r="T1445" t="str">
        <f t="shared" si="44"/>
        <v>High</v>
      </c>
      <c r="U1445" t="str">
        <f t="shared" si="45"/>
        <v>Expert</v>
      </c>
    </row>
    <row r="1446" spans="1:21" x14ac:dyDescent="0.35">
      <c r="A1446" t="s">
        <v>1519</v>
      </c>
      <c r="B1446" t="s">
        <v>94</v>
      </c>
      <c r="C1446" t="s">
        <v>58</v>
      </c>
      <c r="D1446" t="s">
        <v>22</v>
      </c>
      <c r="E1446" t="s">
        <v>70</v>
      </c>
      <c r="F1446">
        <v>25</v>
      </c>
      <c r="G1446">
        <v>0.33</v>
      </c>
      <c r="H1446">
        <v>0.23</v>
      </c>
      <c r="I1446" t="s">
        <v>24</v>
      </c>
      <c r="J1446">
        <v>124675</v>
      </c>
      <c r="K1446" t="s">
        <v>42</v>
      </c>
      <c r="L1446">
        <v>19</v>
      </c>
      <c r="M1446">
        <v>33</v>
      </c>
      <c r="N1446" t="s">
        <v>42</v>
      </c>
      <c r="O1446" t="s">
        <v>27</v>
      </c>
      <c r="P1446">
        <v>4.45</v>
      </c>
      <c r="Q1446" t="s">
        <v>34</v>
      </c>
      <c r="R1446">
        <v>3.11</v>
      </c>
      <c r="S1446" t="s">
        <v>47</v>
      </c>
      <c r="T1446" t="str">
        <f t="shared" si="44"/>
        <v>Moderate</v>
      </c>
      <c r="U1446" t="str">
        <f t="shared" si="45"/>
        <v>Expert</v>
      </c>
    </row>
    <row r="1447" spans="1:21" x14ac:dyDescent="0.35">
      <c r="A1447" t="s">
        <v>1520</v>
      </c>
      <c r="B1447" t="s">
        <v>54</v>
      </c>
      <c r="C1447" t="s">
        <v>74</v>
      </c>
      <c r="D1447" t="s">
        <v>49</v>
      </c>
      <c r="E1447" t="s">
        <v>33</v>
      </c>
      <c r="F1447">
        <v>24</v>
      </c>
      <c r="G1447">
        <v>0.78</v>
      </c>
      <c r="H1447">
        <v>0.48</v>
      </c>
      <c r="I1447" t="s">
        <v>24</v>
      </c>
      <c r="J1447">
        <v>132164</v>
      </c>
      <c r="K1447" t="s">
        <v>42</v>
      </c>
      <c r="L1447">
        <v>10</v>
      </c>
      <c r="M1447">
        <v>51</v>
      </c>
      <c r="N1447" t="s">
        <v>42</v>
      </c>
      <c r="O1447" t="s">
        <v>27</v>
      </c>
      <c r="P1447">
        <v>2.81</v>
      </c>
      <c r="Q1447" t="s">
        <v>24</v>
      </c>
      <c r="R1447">
        <v>2.82</v>
      </c>
      <c r="S1447" t="s">
        <v>43</v>
      </c>
      <c r="T1447" t="str">
        <f t="shared" si="44"/>
        <v>Very Low</v>
      </c>
      <c r="U1447" t="str">
        <f t="shared" si="45"/>
        <v>Expert</v>
      </c>
    </row>
    <row r="1448" spans="1:21" x14ac:dyDescent="0.35">
      <c r="A1448" t="s">
        <v>1521</v>
      </c>
      <c r="B1448" t="s">
        <v>77</v>
      </c>
      <c r="C1448" t="s">
        <v>55</v>
      </c>
      <c r="D1448" t="s">
        <v>49</v>
      </c>
      <c r="E1448" t="s">
        <v>41</v>
      </c>
      <c r="F1448">
        <v>19</v>
      </c>
      <c r="G1448">
        <v>0.28999999999999998</v>
      </c>
      <c r="H1448">
        <v>0.69</v>
      </c>
      <c r="I1448" t="s">
        <v>24</v>
      </c>
      <c r="J1448">
        <v>182207</v>
      </c>
      <c r="K1448" t="s">
        <v>25</v>
      </c>
      <c r="L1448">
        <v>28</v>
      </c>
      <c r="M1448">
        <v>33</v>
      </c>
      <c r="N1448" t="s">
        <v>26</v>
      </c>
      <c r="O1448" t="s">
        <v>25</v>
      </c>
      <c r="P1448">
        <v>3.18</v>
      </c>
      <c r="Q1448" t="s">
        <v>34</v>
      </c>
      <c r="R1448">
        <v>1.36</v>
      </c>
      <c r="S1448" t="s">
        <v>28</v>
      </c>
      <c r="T1448" t="str">
        <f t="shared" si="44"/>
        <v>High</v>
      </c>
      <c r="U1448" t="str">
        <f t="shared" si="45"/>
        <v>Expert</v>
      </c>
    </row>
    <row r="1449" spans="1:21" x14ac:dyDescent="0.35">
      <c r="A1449" t="s">
        <v>1522</v>
      </c>
      <c r="B1449" t="s">
        <v>147</v>
      </c>
      <c r="C1449" t="s">
        <v>39</v>
      </c>
      <c r="D1449" t="s">
        <v>40</v>
      </c>
      <c r="E1449" t="s">
        <v>41</v>
      </c>
      <c r="F1449">
        <v>11</v>
      </c>
      <c r="G1449">
        <v>0.25</v>
      </c>
      <c r="H1449">
        <v>0.54</v>
      </c>
      <c r="I1449" t="s">
        <v>34</v>
      </c>
      <c r="J1449">
        <v>148206</v>
      </c>
      <c r="K1449" t="s">
        <v>42</v>
      </c>
      <c r="L1449">
        <v>5</v>
      </c>
      <c r="M1449">
        <v>32</v>
      </c>
      <c r="N1449" t="s">
        <v>26</v>
      </c>
      <c r="O1449" t="s">
        <v>25</v>
      </c>
      <c r="P1449">
        <v>2.2400000000000002</v>
      </c>
      <c r="Q1449" t="s">
        <v>34</v>
      </c>
      <c r="R1449">
        <v>3.58</v>
      </c>
      <c r="S1449" t="s">
        <v>43</v>
      </c>
      <c r="T1449" t="str">
        <f t="shared" si="44"/>
        <v>High</v>
      </c>
      <c r="U1449" t="str">
        <f t="shared" si="45"/>
        <v>Experienced</v>
      </c>
    </row>
    <row r="1450" spans="1:21" x14ac:dyDescent="0.35">
      <c r="A1450" t="s">
        <v>1523</v>
      </c>
      <c r="B1450" t="s">
        <v>54</v>
      </c>
      <c r="C1450" t="s">
        <v>107</v>
      </c>
      <c r="D1450" t="s">
        <v>66</v>
      </c>
      <c r="E1450" t="s">
        <v>23</v>
      </c>
      <c r="F1450">
        <v>14</v>
      </c>
      <c r="G1450">
        <v>0.4</v>
      </c>
      <c r="H1450">
        <v>0.43</v>
      </c>
      <c r="I1450" t="s">
        <v>60</v>
      </c>
      <c r="J1450">
        <v>46104</v>
      </c>
      <c r="K1450" t="s">
        <v>42</v>
      </c>
      <c r="L1450">
        <v>25</v>
      </c>
      <c r="M1450">
        <v>42</v>
      </c>
      <c r="N1450" t="s">
        <v>26</v>
      </c>
      <c r="O1450" t="s">
        <v>27</v>
      </c>
      <c r="P1450">
        <v>3.75</v>
      </c>
      <c r="Q1450" t="s">
        <v>34</v>
      </c>
      <c r="R1450">
        <v>3.04</v>
      </c>
      <c r="S1450" t="s">
        <v>28</v>
      </c>
      <c r="T1450" t="str">
        <f t="shared" si="44"/>
        <v>High</v>
      </c>
      <c r="U1450" t="str">
        <f t="shared" si="45"/>
        <v>Experienced</v>
      </c>
    </row>
    <row r="1451" spans="1:21" x14ac:dyDescent="0.35">
      <c r="A1451" t="s">
        <v>1524</v>
      </c>
      <c r="B1451" t="s">
        <v>91</v>
      </c>
      <c r="C1451" t="s">
        <v>107</v>
      </c>
      <c r="D1451" t="s">
        <v>75</v>
      </c>
      <c r="E1451" t="s">
        <v>41</v>
      </c>
      <c r="F1451">
        <v>14</v>
      </c>
      <c r="G1451">
        <v>0.41</v>
      </c>
      <c r="H1451">
        <v>0.28000000000000003</v>
      </c>
      <c r="I1451" t="s">
        <v>34</v>
      </c>
      <c r="J1451">
        <v>44039</v>
      </c>
      <c r="K1451" t="s">
        <v>25</v>
      </c>
      <c r="L1451">
        <v>31</v>
      </c>
      <c r="M1451">
        <v>45</v>
      </c>
      <c r="N1451" t="s">
        <v>42</v>
      </c>
      <c r="O1451" t="s">
        <v>27</v>
      </c>
      <c r="P1451">
        <v>4.72</v>
      </c>
      <c r="Q1451" t="s">
        <v>24</v>
      </c>
      <c r="R1451">
        <v>4.24</v>
      </c>
      <c r="S1451" t="s">
        <v>47</v>
      </c>
      <c r="T1451" t="str">
        <f t="shared" si="44"/>
        <v>Moderate</v>
      </c>
      <c r="U1451" t="str">
        <f t="shared" si="45"/>
        <v>Experienced</v>
      </c>
    </row>
    <row r="1452" spans="1:21" x14ac:dyDescent="0.35">
      <c r="A1452" t="s">
        <v>1525</v>
      </c>
      <c r="B1452" t="s">
        <v>73</v>
      </c>
      <c r="C1452" t="s">
        <v>58</v>
      </c>
      <c r="D1452" t="s">
        <v>66</v>
      </c>
      <c r="E1452" t="s">
        <v>41</v>
      </c>
      <c r="F1452">
        <v>5</v>
      </c>
      <c r="G1452">
        <v>0.15</v>
      </c>
      <c r="H1452">
        <v>0.76</v>
      </c>
      <c r="I1452" t="s">
        <v>24</v>
      </c>
      <c r="J1452">
        <v>140919</v>
      </c>
      <c r="K1452" t="s">
        <v>42</v>
      </c>
      <c r="L1452">
        <v>8</v>
      </c>
      <c r="M1452">
        <v>39</v>
      </c>
      <c r="N1452" t="s">
        <v>35</v>
      </c>
      <c r="O1452" t="s">
        <v>36</v>
      </c>
      <c r="P1452">
        <v>3</v>
      </c>
      <c r="Q1452" t="s">
        <v>34</v>
      </c>
      <c r="R1452">
        <v>2.79</v>
      </c>
      <c r="S1452" t="s">
        <v>47</v>
      </c>
      <c r="T1452" t="str">
        <f t="shared" si="44"/>
        <v>Very High</v>
      </c>
      <c r="U1452" t="str">
        <f t="shared" si="45"/>
        <v>Intermediate</v>
      </c>
    </row>
    <row r="1453" spans="1:21" x14ac:dyDescent="0.35">
      <c r="A1453" t="s">
        <v>1526</v>
      </c>
      <c r="B1453" t="s">
        <v>30</v>
      </c>
      <c r="C1453" t="s">
        <v>74</v>
      </c>
      <c r="D1453" t="s">
        <v>32</v>
      </c>
      <c r="E1453" t="s">
        <v>33</v>
      </c>
      <c r="F1453">
        <v>18</v>
      </c>
      <c r="G1453">
        <v>0.56000000000000005</v>
      </c>
      <c r="H1453">
        <v>0.52</v>
      </c>
      <c r="I1453" t="s">
        <v>24</v>
      </c>
      <c r="J1453">
        <v>213849</v>
      </c>
      <c r="K1453" t="s">
        <v>42</v>
      </c>
      <c r="L1453">
        <v>39</v>
      </c>
      <c r="M1453">
        <v>51</v>
      </c>
      <c r="N1453" t="s">
        <v>35</v>
      </c>
      <c r="O1453" t="s">
        <v>25</v>
      </c>
      <c r="P1453">
        <v>4.18</v>
      </c>
      <c r="Q1453" t="s">
        <v>34</v>
      </c>
      <c r="R1453">
        <v>1.98</v>
      </c>
      <c r="S1453" t="s">
        <v>47</v>
      </c>
      <c r="T1453" t="str">
        <f t="shared" si="44"/>
        <v>Moderate</v>
      </c>
      <c r="U1453" t="str">
        <f t="shared" si="45"/>
        <v>Expert</v>
      </c>
    </row>
    <row r="1454" spans="1:21" x14ac:dyDescent="0.35">
      <c r="A1454" t="s">
        <v>1527</v>
      </c>
      <c r="B1454" t="s">
        <v>96</v>
      </c>
      <c r="C1454" t="s">
        <v>21</v>
      </c>
      <c r="D1454" t="s">
        <v>22</v>
      </c>
      <c r="E1454" t="s">
        <v>23</v>
      </c>
      <c r="F1454">
        <v>20</v>
      </c>
      <c r="G1454">
        <v>0.61</v>
      </c>
      <c r="H1454">
        <v>0.97</v>
      </c>
      <c r="I1454" t="s">
        <v>34</v>
      </c>
      <c r="J1454">
        <v>86214</v>
      </c>
      <c r="K1454" t="s">
        <v>25</v>
      </c>
      <c r="L1454">
        <v>-4</v>
      </c>
      <c r="M1454">
        <v>44</v>
      </c>
      <c r="N1454" t="s">
        <v>35</v>
      </c>
      <c r="O1454" t="s">
        <v>27</v>
      </c>
      <c r="P1454">
        <v>4.6100000000000003</v>
      </c>
      <c r="Q1454" t="s">
        <v>34</v>
      </c>
      <c r="R1454">
        <v>3.78</v>
      </c>
      <c r="S1454" t="s">
        <v>47</v>
      </c>
      <c r="T1454" t="str">
        <f t="shared" si="44"/>
        <v>High</v>
      </c>
      <c r="U1454" t="str">
        <f t="shared" si="45"/>
        <v>Expert</v>
      </c>
    </row>
    <row r="1455" spans="1:21" x14ac:dyDescent="0.35">
      <c r="A1455" t="s">
        <v>1528</v>
      </c>
      <c r="B1455" t="s">
        <v>65</v>
      </c>
      <c r="C1455" t="s">
        <v>52</v>
      </c>
      <c r="D1455" t="s">
        <v>63</v>
      </c>
      <c r="E1455" t="s">
        <v>33</v>
      </c>
      <c r="F1455">
        <v>19</v>
      </c>
      <c r="G1455">
        <v>0.76</v>
      </c>
      <c r="H1455">
        <v>0.84</v>
      </c>
      <c r="I1455" t="s">
        <v>24</v>
      </c>
      <c r="J1455">
        <v>121487</v>
      </c>
      <c r="K1455" t="s">
        <v>42</v>
      </c>
      <c r="L1455">
        <v>32</v>
      </c>
      <c r="M1455">
        <v>55</v>
      </c>
      <c r="N1455" t="s">
        <v>42</v>
      </c>
      <c r="O1455" t="s">
        <v>27</v>
      </c>
      <c r="P1455">
        <v>3.36</v>
      </c>
      <c r="Q1455" t="s">
        <v>24</v>
      </c>
      <c r="R1455">
        <v>2.04</v>
      </c>
      <c r="S1455" t="s">
        <v>47</v>
      </c>
      <c r="T1455" t="str">
        <f t="shared" si="44"/>
        <v>High</v>
      </c>
      <c r="U1455" t="str">
        <f t="shared" si="45"/>
        <v>Expert</v>
      </c>
    </row>
    <row r="1456" spans="1:21" x14ac:dyDescent="0.35">
      <c r="A1456" t="s">
        <v>1529</v>
      </c>
      <c r="B1456" t="s">
        <v>91</v>
      </c>
      <c r="C1456" t="s">
        <v>58</v>
      </c>
      <c r="D1456" t="s">
        <v>69</v>
      </c>
      <c r="E1456" t="s">
        <v>41</v>
      </c>
      <c r="F1456">
        <v>11</v>
      </c>
      <c r="G1456">
        <v>0.74</v>
      </c>
      <c r="H1456">
        <v>0.92</v>
      </c>
      <c r="I1456" t="s">
        <v>34</v>
      </c>
      <c r="J1456">
        <v>132371</v>
      </c>
      <c r="K1456" t="s">
        <v>27</v>
      </c>
      <c r="L1456">
        <v>31</v>
      </c>
      <c r="M1456">
        <v>33</v>
      </c>
      <c r="N1456" t="s">
        <v>42</v>
      </c>
      <c r="O1456" t="s">
        <v>25</v>
      </c>
      <c r="P1456">
        <v>4.47</v>
      </c>
      <c r="Q1456" t="s">
        <v>34</v>
      </c>
      <c r="R1456">
        <v>3.43</v>
      </c>
      <c r="S1456" t="s">
        <v>47</v>
      </c>
      <c r="T1456" t="str">
        <f t="shared" si="44"/>
        <v>High</v>
      </c>
      <c r="U1456" t="str">
        <f t="shared" si="45"/>
        <v>Experienced</v>
      </c>
    </row>
    <row r="1457" spans="1:21" x14ac:dyDescent="0.35">
      <c r="A1457" t="s">
        <v>1530</v>
      </c>
      <c r="B1457" t="s">
        <v>20</v>
      </c>
      <c r="C1457" t="s">
        <v>46</v>
      </c>
      <c r="D1457" t="s">
        <v>59</v>
      </c>
      <c r="E1457" t="s">
        <v>70</v>
      </c>
      <c r="F1457">
        <v>24</v>
      </c>
      <c r="G1457">
        <v>7.0000000000000007E-2</v>
      </c>
      <c r="H1457">
        <v>0.75</v>
      </c>
      <c r="I1457" t="s">
        <v>34</v>
      </c>
      <c r="J1457">
        <v>183995</v>
      </c>
      <c r="K1457" t="s">
        <v>42</v>
      </c>
      <c r="L1457">
        <v>9</v>
      </c>
      <c r="M1457">
        <v>42</v>
      </c>
      <c r="N1457" t="s">
        <v>35</v>
      </c>
      <c r="O1457" t="s">
        <v>27</v>
      </c>
      <c r="P1457">
        <v>3.61</v>
      </c>
      <c r="Q1457" t="s">
        <v>34</v>
      </c>
      <c r="R1457">
        <v>1.06</v>
      </c>
      <c r="S1457" t="s">
        <v>43</v>
      </c>
      <c r="T1457" t="str">
        <f t="shared" si="44"/>
        <v>Very High</v>
      </c>
      <c r="U1457" t="str">
        <f t="shared" si="45"/>
        <v>Expert</v>
      </c>
    </row>
    <row r="1458" spans="1:21" x14ac:dyDescent="0.35">
      <c r="A1458" t="s">
        <v>1531</v>
      </c>
      <c r="B1458" t="s">
        <v>106</v>
      </c>
      <c r="C1458" t="s">
        <v>107</v>
      </c>
      <c r="D1458" t="s">
        <v>40</v>
      </c>
      <c r="E1458" t="s">
        <v>23</v>
      </c>
      <c r="F1458">
        <v>12</v>
      </c>
      <c r="G1458">
        <v>0.26</v>
      </c>
      <c r="H1458">
        <v>0.77</v>
      </c>
      <c r="I1458" t="s">
        <v>60</v>
      </c>
      <c r="J1458">
        <v>95676</v>
      </c>
      <c r="K1458" t="s">
        <v>27</v>
      </c>
      <c r="L1458">
        <v>-1</v>
      </c>
      <c r="M1458">
        <v>41</v>
      </c>
      <c r="N1458" t="s">
        <v>42</v>
      </c>
      <c r="O1458" t="s">
        <v>25</v>
      </c>
      <c r="P1458">
        <v>3.81</v>
      </c>
      <c r="Q1458" t="s">
        <v>24</v>
      </c>
      <c r="R1458">
        <v>2.3199999999999998</v>
      </c>
      <c r="S1458" t="s">
        <v>28</v>
      </c>
      <c r="T1458" t="str">
        <f t="shared" si="44"/>
        <v>Very High</v>
      </c>
      <c r="U1458" t="str">
        <f t="shared" si="45"/>
        <v>Experienced</v>
      </c>
    </row>
    <row r="1459" spans="1:21" x14ac:dyDescent="0.35">
      <c r="A1459" t="s">
        <v>1532</v>
      </c>
      <c r="B1459" t="s">
        <v>73</v>
      </c>
      <c r="C1459" t="s">
        <v>21</v>
      </c>
      <c r="D1459" t="s">
        <v>63</v>
      </c>
      <c r="E1459" t="s">
        <v>23</v>
      </c>
      <c r="F1459">
        <v>2</v>
      </c>
      <c r="G1459">
        <v>0.65</v>
      </c>
      <c r="H1459">
        <v>0.82</v>
      </c>
      <c r="I1459" t="s">
        <v>34</v>
      </c>
      <c r="J1459">
        <v>59120</v>
      </c>
      <c r="K1459" t="s">
        <v>25</v>
      </c>
      <c r="L1459">
        <v>44</v>
      </c>
      <c r="M1459">
        <v>48</v>
      </c>
      <c r="N1459" t="s">
        <v>42</v>
      </c>
      <c r="O1459" t="s">
        <v>25</v>
      </c>
      <c r="P1459">
        <v>3.69</v>
      </c>
      <c r="Q1459" t="s">
        <v>34</v>
      </c>
      <c r="R1459">
        <v>4.87</v>
      </c>
      <c r="S1459" t="s">
        <v>28</v>
      </c>
      <c r="T1459" t="str">
        <f t="shared" si="44"/>
        <v>High</v>
      </c>
      <c r="U1459" t="str">
        <f t="shared" si="45"/>
        <v>Beginner</v>
      </c>
    </row>
    <row r="1460" spans="1:21" x14ac:dyDescent="0.35">
      <c r="A1460" t="s">
        <v>1533</v>
      </c>
      <c r="B1460" t="s">
        <v>65</v>
      </c>
      <c r="C1460" t="s">
        <v>82</v>
      </c>
      <c r="D1460" t="s">
        <v>59</v>
      </c>
      <c r="E1460" t="s">
        <v>70</v>
      </c>
      <c r="F1460">
        <v>21</v>
      </c>
      <c r="G1460">
        <v>0.05</v>
      </c>
      <c r="H1460">
        <v>0.73</v>
      </c>
      <c r="I1460" t="s">
        <v>34</v>
      </c>
      <c r="J1460">
        <v>175762</v>
      </c>
      <c r="K1460" t="s">
        <v>27</v>
      </c>
      <c r="L1460">
        <v>29</v>
      </c>
      <c r="M1460">
        <v>31</v>
      </c>
      <c r="N1460" t="s">
        <v>26</v>
      </c>
      <c r="O1460" t="s">
        <v>27</v>
      </c>
      <c r="P1460">
        <v>4.8499999999999996</v>
      </c>
      <c r="Q1460" t="s">
        <v>34</v>
      </c>
      <c r="R1460">
        <v>2.91</v>
      </c>
      <c r="S1460" t="s">
        <v>47</v>
      </c>
      <c r="T1460" t="str">
        <f t="shared" si="44"/>
        <v>Very High</v>
      </c>
      <c r="U1460" t="str">
        <f t="shared" si="45"/>
        <v>Expert</v>
      </c>
    </row>
    <row r="1461" spans="1:21" x14ac:dyDescent="0.35">
      <c r="A1461" t="s">
        <v>1534</v>
      </c>
      <c r="B1461" t="s">
        <v>91</v>
      </c>
      <c r="C1461" t="s">
        <v>39</v>
      </c>
      <c r="D1461" t="s">
        <v>69</v>
      </c>
      <c r="E1461" t="s">
        <v>70</v>
      </c>
      <c r="F1461">
        <v>10</v>
      </c>
      <c r="G1461">
        <v>0.28999999999999998</v>
      </c>
      <c r="H1461">
        <v>0.3</v>
      </c>
      <c r="I1461" t="s">
        <v>60</v>
      </c>
      <c r="J1461">
        <v>207279</v>
      </c>
      <c r="K1461" t="s">
        <v>42</v>
      </c>
      <c r="L1461">
        <v>-6</v>
      </c>
      <c r="M1461">
        <v>49</v>
      </c>
      <c r="N1461" t="s">
        <v>35</v>
      </c>
      <c r="O1461" t="s">
        <v>25</v>
      </c>
      <c r="P1461">
        <v>4.96</v>
      </c>
      <c r="Q1461" t="s">
        <v>24</v>
      </c>
      <c r="R1461">
        <v>4.5199999999999996</v>
      </c>
      <c r="S1461" t="s">
        <v>47</v>
      </c>
      <c r="T1461" t="str">
        <f t="shared" si="44"/>
        <v>High</v>
      </c>
      <c r="U1461" t="str">
        <f t="shared" si="45"/>
        <v>Experienced</v>
      </c>
    </row>
    <row r="1462" spans="1:21" x14ac:dyDescent="0.35">
      <c r="A1462" t="s">
        <v>1535</v>
      </c>
      <c r="B1462" t="s">
        <v>57</v>
      </c>
      <c r="C1462" t="s">
        <v>58</v>
      </c>
      <c r="D1462" t="s">
        <v>32</v>
      </c>
      <c r="E1462" t="s">
        <v>33</v>
      </c>
      <c r="F1462">
        <v>13</v>
      </c>
      <c r="G1462">
        <v>0.48</v>
      </c>
      <c r="H1462">
        <v>0.25</v>
      </c>
      <c r="I1462" t="s">
        <v>34</v>
      </c>
      <c r="J1462">
        <v>195070</v>
      </c>
      <c r="K1462" t="s">
        <v>25</v>
      </c>
      <c r="L1462">
        <v>34</v>
      </c>
      <c r="M1462">
        <v>50</v>
      </c>
      <c r="N1462" t="s">
        <v>42</v>
      </c>
      <c r="O1462" t="s">
        <v>27</v>
      </c>
      <c r="P1462">
        <v>2.72</v>
      </c>
      <c r="Q1462" t="s">
        <v>24</v>
      </c>
      <c r="R1462">
        <v>2.27</v>
      </c>
      <c r="S1462" t="s">
        <v>28</v>
      </c>
      <c r="T1462" t="str">
        <f t="shared" si="44"/>
        <v>Moderate</v>
      </c>
      <c r="U1462" t="str">
        <f t="shared" si="45"/>
        <v>Experienced</v>
      </c>
    </row>
    <row r="1463" spans="1:21" x14ac:dyDescent="0.35">
      <c r="A1463" t="s">
        <v>1536</v>
      </c>
      <c r="B1463" t="s">
        <v>57</v>
      </c>
      <c r="C1463" t="s">
        <v>46</v>
      </c>
      <c r="D1463" t="s">
        <v>40</v>
      </c>
      <c r="E1463" t="s">
        <v>33</v>
      </c>
      <c r="F1463">
        <v>21</v>
      </c>
      <c r="G1463">
        <v>0.3</v>
      </c>
      <c r="H1463">
        <v>0.86</v>
      </c>
      <c r="I1463" t="s">
        <v>24</v>
      </c>
      <c r="J1463">
        <v>68624</v>
      </c>
      <c r="K1463" t="s">
        <v>42</v>
      </c>
      <c r="L1463">
        <v>-2</v>
      </c>
      <c r="M1463">
        <v>55</v>
      </c>
      <c r="N1463" t="s">
        <v>26</v>
      </c>
      <c r="O1463" t="s">
        <v>25</v>
      </c>
      <c r="P1463">
        <v>4.66</v>
      </c>
      <c r="Q1463" t="s">
        <v>34</v>
      </c>
      <c r="R1463">
        <v>4.22</v>
      </c>
      <c r="S1463" t="s">
        <v>47</v>
      </c>
      <c r="T1463" t="str">
        <f t="shared" si="44"/>
        <v>Very High</v>
      </c>
      <c r="U1463" t="str">
        <f t="shared" si="45"/>
        <v>Expert</v>
      </c>
    </row>
    <row r="1464" spans="1:21" x14ac:dyDescent="0.35">
      <c r="A1464" t="s">
        <v>1537</v>
      </c>
      <c r="B1464" t="s">
        <v>30</v>
      </c>
      <c r="C1464" t="s">
        <v>82</v>
      </c>
      <c r="D1464" t="s">
        <v>32</v>
      </c>
      <c r="E1464" t="s">
        <v>70</v>
      </c>
      <c r="F1464">
        <v>5</v>
      </c>
      <c r="G1464">
        <v>0.28000000000000003</v>
      </c>
      <c r="H1464">
        <v>0.87</v>
      </c>
      <c r="I1464" t="s">
        <v>60</v>
      </c>
      <c r="J1464">
        <v>178811</v>
      </c>
      <c r="K1464" t="s">
        <v>42</v>
      </c>
      <c r="L1464">
        <v>38</v>
      </c>
      <c r="M1464">
        <v>38</v>
      </c>
      <c r="N1464" t="s">
        <v>42</v>
      </c>
      <c r="O1464" t="s">
        <v>36</v>
      </c>
      <c r="P1464">
        <v>4.05</v>
      </c>
      <c r="Q1464" t="s">
        <v>34</v>
      </c>
      <c r="R1464">
        <v>4.04</v>
      </c>
      <c r="S1464" t="s">
        <v>47</v>
      </c>
      <c r="T1464" t="str">
        <f t="shared" si="44"/>
        <v>Very High</v>
      </c>
      <c r="U1464" t="str">
        <f t="shared" si="45"/>
        <v>Intermediate</v>
      </c>
    </row>
    <row r="1465" spans="1:21" x14ac:dyDescent="0.35">
      <c r="A1465" t="s">
        <v>1538</v>
      </c>
      <c r="B1465" t="s">
        <v>73</v>
      </c>
      <c r="C1465" t="s">
        <v>52</v>
      </c>
      <c r="D1465" t="s">
        <v>66</v>
      </c>
      <c r="E1465" t="s">
        <v>41</v>
      </c>
      <c r="F1465">
        <v>19</v>
      </c>
      <c r="G1465">
        <v>0.33</v>
      </c>
      <c r="H1465">
        <v>0.97</v>
      </c>
      <c r="I1465" t="s">
        <v>60</v>
      </c>
      <c r="J1465">
        <v>87877</v>
      </c>
      <c r="K1465" t="s">
        <v>27</v>
      </c>
      <c r="L1465">
        <v>-9</v>
      </c>
      <c r="M1465">
        <v>40</v>
      </c>
      <c r="N1465" t="s">
        <v>26</v>
      </c>
      <c r="O1465" t="s">
        <v>36</v>
      </c>
      <c r="P1465">
        <v>3.44</v>
      </c>
      <c r="Q1465" t="s">
        <v>34</v>
      </c>
      <c r="R1465">
        <v>2.27</v>
      </c>
      <c r="S1465" t="s">
        <v>43</v>
      </c>
      <c r="T1465" t="str">
        <f t="shared" si="44"/>
        <v>Very High</v>
      </c>
      <c r="U1465" t="str">
        <f t="shared" si="45"/>
        <v>Expert</v>
      </c>
    </row>
    <row r="1466" spans="1:21" x14ac:dyDescent="0.35">
      <c r="A1466" t="s">
        <v>1539</v>
      </c>
      <c r="B1466" t="s">
        <v>51</v>
      </c>
      <c r="C1466" t="s">
        <v>74</v>
      </c>
      <c r="D1466" t="s">
        <v>22</v>
      </c>
      <c r="E1466" t="s">
        <v>41</v>
      </c>
      <c r="F1466">
        <v>22</v>
      </c>
      <c r="G1466">
        <v>0.53</v>
      </c>
      <c r="H1466">
        <v>0.93</v>
      </c>
      <c r="I1466" t="s">
        <v>24</v>
      </c>
      <c r="J1466">
        <v>43665</v>
      </c>
      <c r="K1466" t="s">
        <v>25</v>
      </c>
      <c r="L1466">
        <v>35</v>
      </c>
      <c r="M1466">
        <v>53</v>
      </c>
      <c r="N1466" t="s">
        <v>42</v>
      </c>
      <c r="O1466" t="s">
        <v>36</v>
      </c>
      <c r="P1466">
        <v>4.8600000000000003</v>
      </c>
      <c r="Q1466" t="s">
        <v>34</v>
      </c>
      <c r="R1466">
        <v>1.67</v>
      </c>
      <c r="S1466" t="s">
        <v>43</v>
      </c>
      <c r="T1466" t="str">
        <f t="shared" si="44"/>
        <v>High</v>
      </c>
      <c r="U1466" t="str">
        <f t="shared" si="45"/>
        <v>Expert</v>
      </c>
    </row>
    <row r="1467" spans="1:21" x14ac:dyDescent="0.35">
      <c r="A1467" t="s">
        <v>1540</v>
      </c>
      <c r="B1467" t="s">
        <v>45</v>
      </c>
      <c r="C1467" t="s">
        <v>55</v>
      </c>
      <c r="D1467" t="s">
        <v>75</v>
      </c>
      <c r="E1467" t="s">
        <v>33</v>
      </c>
      <c r="F1467">
        <v>19</v>
      </c>
      <c r="G1467">
        <v>0.18</v>
      </c>
      <c r="H1467">
        <v>0.46</v>
      </c>
      <c r="I1467" t="s">
        <v>34</v>
      </c>
      <c r="J1467">
        <v>107845</v>
      </c>
      <c r="K1467" t="s">
        <v>42</v>
      </c>
      <c r="L1467">
        <v>32</v>
      </c>
      <c r="M1467">
        <v>49</v>
      </c>
      <c r="N1467" t="s">
        <v>26</v>
      </c>
      <c r="O1467" t="s">
        <v>27</v>
      </c>
      <c r="P1467">
        <v>4.8499999999999996</v>
      </c>
      <c r="Q1467" t="s">
        <v>34</v>
      </c>
      <c r="R1467">
        <v>4.08</v>
      </c>
      <c r="S1467" t="s">
        <v>28</v>
      </c>
      <c r="T1467" t="str">
        <f t="shared" si="44"/>
        <v>High</v>
      </c>
      <c r="U1467" t="str">
        <f t="shared" si="45"/>
        <v>Expert</v>
      </c>
    </row>
    <row r="1468" spans="1:21" x14ac:dyDescent="0.35">
      <c r="A1468" t="s">
        <v>1541</v>
      </c>
      <c r="B1468" t="s">
        <v>106</v>
      </c>
      <c r="C1468" t="s">
        <v>31</v>
      </c>
      <c r="D1468" t="s">
        <v>49</v>
      </c>
      <c r="E1468" t="s">
        <v>70</v>
      </c>
      <c r="F1468">
        <v>21</v>
      </c>
      <c r="G1468">
        <v>0.74</v>
      </c>
      <c r="H1468">
        <v>0.25</v>
      </c>
      <c r="I1468" t="s">
        <v>24</v>
      </c>
      <c r="J1468">
        <v>198689</v>
      </c>
      <c r="K1468" t="s">
        <v>25</v>
      </c>
      <c r="L1468">
        <v>-6</v>
      </c>
      <c r="M1468">
        <v>45</v>
      </c>
      <c r="N1468" t="s">
        <v>26</v>
      </c>
      <c r="O1468" t="s">
        <v>25</v>
      </c>
      <c r="P1468">
        <v>4.96</v>
      </c>
      <c r="Q1468" t="s">
        <v>34</v>
      </c>
      <c r="R1468">
        <v>1.05</v>
      </c>
      <c r="S1468" t="s">
        <v>28</v>
      </c>
      <c r="T1468" t="str">
        <f t="shared" si="44"/>
        <v>Very Low</v>
      </c>
      <c r="U1468" t="str">
        <f t="shared" si="45"/>
        <v>Expert</v>
      </c>
    </row>
    <row r="1469" spans="1:21" x14ac:dyDescent="0.35">
      <c r="A1469" t="s">
        <v>1542</v>
      </c>
      <c r="B1469" t="s">
        <v>62</v>
      </c>
      <c r="C1469" t="s">
        <v>82</v>
      </c>
      <c r="D1469" t="s">
        <v>59</v>
      </c>
      <c r="E1469" t="s">
        <v>33</v>
      </c>
      <c r="F1469">
        <v>0</v>
      </c>
      <c r="G1469">
        <v>0.14000000000000001</v>
      </c>
      <c r="H1469">
        <v>0.33</v>
      </c>
      <c r="I1469" t="s">
        <v>24</v>
      </c>
      <c r="J1469">
        <v>175650</v>
      </c>
      <c r="K1469" t="s">
        <v>27</v>
      </c>
      <c r="L1469">
        <v>-8</v>
      </c>
      <c r="M1469">
        <v>41</v>
      </c>
      <c r="N1469" t="s">
        <v>42</v>
      </c>
      <c r="O1469" t="s">
        <v>25</v>
      </c>
      <c r="P1469">
        <v>2.1</v>
      </c>
      <c r="Q1469" t="s">
        <v>24</v>
      </c>
      <c r="R1469">
        <v>3.31</v>
      </c>
      <c r="S1469" t="s">
        <v>47</v>
      </c>
      <c r="T1469" t="str">
        <f t="shared" si="44"/>
        <v>High</v>
      </c>
      <c r="U1469" t="str">
        <f t="shared" si="45"/>
        <v>Beginner</v>
      </c>
    </row>
    <row r="1470" spans="1:21" x14ac:dyDescent="0.35">
      <c r="A1470" t="s">
        <v>1543</v>
      </c>
      <c r="B1470" t="s">
        <v>89</v>
      </c>
      <c r="C1470" t="s">
        <v>55</v>
      </c>
      <c r="D1470" t="s">
        <v>80</v>
      </c>
      <c r="E1470" t="s">
        <v>33</v>
      </c>
      <c r="F1470">
        <v>2</v>
      </c>
      <c r="G1470">
        <v>0.83</v>
      </c>
      <c r="H1470">
        <v>0.83</v>
      </c>
      <c r="I1470" t="s">
        <v>24</v>
      </c>
      <c r="J1470">
        <v>40306</v>
      </c>
      <c r="K1470" t="s">
        <v>27</v>
      </c>
      <c r="L1470">
        <v>18</v>
      </c>
      <c r="M1470">
        <v>37</v>
      </c>
      <c r="N1470" t="s">
        <v>26</v>
      </c>
      <c r="O1470" t="s">
        <v>36</v>
      </c>
      <c r="P1470">
        <v>4.9400000000000004</v>
      </c>
      <c r="Q1470" t="s">
        <v>34</v>
      </c>
      <c r="R1470">
        <v>3.18</v>
      </c>
      <c r="S1470" t="s">
        <v>47</v>
      </c>
      <c r="T1470" t="str">
        <f t="shared" si="44"/>
        <v>Moderate</v>
      </c>
      <c r="U1470" t="str">
        <f t="shared" si="45"/>
        <v>Beginner</v>
      </c>
    </row>
    <row r="1471" spans="1:21" x14ac:dyDescent="0.35">
      <c r="A1471" t="s">
        <v>1544</v>
      </c>
      <c r="B1471" t="s">
        <v>20</v>
      </c>
      <c r="C1471" t="s">
        <v>31</v>
      </c>
      <c r="D1471" t="s">
        <v>32</v>
      </c>
      <c r="E1471" t="s">
        <v>23</v>
      </c>
      <c r="F1471">
        <v>8</v>
      </c>
      <c r="G1471">
        <v>0.11</v>
      </c>
      <c r="H1471">
        <v>0.55000000000000004</v>
      </c>
      <c r="I1471" t="s">
        <v>60</v>
      </c>
      <c r="J1471">
        <v>35899</v>
      </c>
      <c r="K1471" t="s">
        <v>25</v>
      </c>
      <c r="L1471">
        <v>17</v>
      </c>
      <c r="M1471">
        <v>51</v>
      </c>
      <c r="N1471" t="s">
        <v>26</v>
      </c>
      <c r="O1471" t="s">
        <v>25</v>
      </c>
      <c r="P1471">
        <v>3.47</v>
      </c>
      <c r="Q1471" t="s">
        <v>34</v>
      </c>
      <c r="R1471">
        <v>4.05</v>
      </c>
      <c r="S1471" t="s">
        <v>47</v>
      </c>
      <c r="T1471" t="str">
        <f t="shared" si="44"/>
        <v>High</v>
      </c>
      <c r="U1471" t="str">
        <f t="shared" si="45"/>
        <v>Intermediate</v>
      </c>
    </row>
    <row r="1472" spans="1:21" x14ac:dyDescent="0.35">
      <c r="A1472" t="s">
        <v>1545</v>
      </c>
      <c r="B1472" t="s">
        <v>156</v>
      </c>
      <c r="C1472" t="s">
        <v>58</v>
      </c>
      <c r="D1472" t="s">
        <v>63</v>
      </c>
      <c r="E1472" t="s">
        <v>41</v>
      </c>
      <c r="F1472">
        <v>1</v>
      </c>
      <c r="G1472">
        <v>0.34</v>
      </c>
      <c r="H1472">
        <v>0.46</v>
      </c>
      <c r="I1472" t="s">
        <v>60</v>
      </c>
      <c r="J1472">
        <v>209419</v>
      </c>
      <c r="K1472" t="s">
        <v>25</v>
      </c>
      <c r="L1472">
        <v>29</v>
      </c>
      <c r="M1472">
        <v>39</v>
      </c>
      <c r="N1472" t="s">
        <v>26</v>
      </c>
      <c r="O1472" t="s">
        <v>27</v>
      </c>
      <c r="P1472">
        <v>4.3099999999999996</v>
      </c>
      <c r="Q1472" t="s">
        <v>24</v>
      </c>
      <c r="R1472">
        <v>1.52</v>
      </c>
      <c r="S1472" t="s">
        <v>47</v>
      </c>
      <c r="T1472" t="str">
        <f t="shared" si="44"/>
        <v>High</v>
      </c>
      <c r="U1472" t="str">
        <f t="shared" si="45"/>
        <v>Beginner</v>
      </c>
    </row>
    <row r="1473" spans="1:21" x14ac:dyDescent="0.35">
      <c r="A1473" t="s">
        <v>1546</v>
      </c>
      <c r="B1473" t="s">
        <v>57</v>
      </c>
      <c r="C1473" t="s">
        <v>74</v>
      </c>
      <c r="D1473" t="s">
        <v>75</v>
      </c>
      <c r="E1473" t="s">
        <v>33</v>
      </c>
      <c r="F1473">
        <v>23</v>
      </c>
      <c r="G1473">
        <v>0.06</v>
      </c>
      <c r="H1473">
        <v>0.56000000000000005</v>
      </c>
      <c r="I1473" t="s">
        <v>60</v>
      </c>
      <c r="J1473">
        <v>63817</v>
      </c>
      <c r="K1473" t="s">
        <v>27</v>
      </c>
      <c r="L1473">
        <v>4</v>
      </c>
      <c r="M1473">
        <v>30</v>
      </c>
      <c r="N1473" t="s">
        <v>26</v>
      </c>
      <c r="O1473" t="s">
        <v>25</v>
      </c>
      <c r="P1473">
        <v>4.01</v>
      </c>
      <c r="Q1473" t="s">
        <v>24</v>
      </c>
      <c r="R1473">
        <v>4.51</v>
      </c>
      <c r="S1473" t="s">
        <v>28</v>
      </c>
      <c r="T1473" t="str">
        <f t="shared" si="44"/>
        <v>High</v>
      </c>
      <c r="U1473" t="str">
        <f t="shared" si="45"/>
        <v>Expert</v>
      </c>
    </row>
    <row r="1474" spans="1:21" x14ac:dyDescent="0.35">
      <c r="A1474" t="s">
        <v>1547</v>
      </c>
      <c r="B1474" t="s">
        <v>106</v>
      </c>
      <c r="C1474" t="s">
        <v>55</v>
      </c>
      <c r="D1474" t="s">
        <v>75</v>
      </c>
      <c r="E1474" t="s">
        <v>41</v>
      </c>
      <c r="F1474">
        <v>13</v>
      </c>
      <c r="G1474">
        <v>0.56999999999999995</v>
      </c>
      <c r="H1474">
        <v>0.97</v>
      </c>
      <c r="I1474" t="s">
        <v>60</v>
      </c>
      <c r="J1474">
        <v>180241</v>
      </c>
      <c r="K1474" t="s">
        <v>42</v>
      </c>
      <c r="L1474">
        <v>4</v>
      </c>
      <c r="M1474">
        <v>33</v>
      </c>
      <c r="N1474" t="s">
        <v>42</v>
      </c>
      <c r="O1474" t="s">
        <v>36</v>
      </c>
      <c r="P1474">
        <v>3.84</v>
      </c>
      <c r="Q1474" t="s">
        <v>34</v>
      </c>
      <c r="R1474">
        <v>3.91</v>
      </c>
      <c r="S1474" t="s">
        <v>43</v>
      </c>
      <c r="T1474" t="str">
        <f t="shared" si="44"/>
        <v>High</v>
      </c>
      <c r="U1474" t="str">
        <f t="shared" si="45"/>
        <v>Experienced</v>
      </c>
    </row>
    <row r="1475" spans="1:21" x14ac:dyDescent="0.35">
      <c r="A1475" t="s">
        <v>1548</v>
      </c>
      <c r="B1475" t="s">
        <v>45</v>
      </c>
      <c r="C1475" t="s">
        <v>58</v>
      </c>
      <c r="D1475" t="s">
        <v>69</v>
      </c>
      <c r="E1475" t="s">
        <v>41</v>
      </c>
      <c r="F1475">
        <v>13</v>
      </c>
      <c r="G1475">
        <v>0.28000000000000003</v>
      </c>
      <c r="H1475">
        <v>0.42</v>
      </c>
      <c r="I1475" t="s">
        <v>34</v>
      </c>
      <c r="J1475">
        <v>96249</v>
      </c>
      <c r="K1475" t="s">
        <v>42</v>
      </c>
      <c r="L1475">
        <v>27</v>
      </c>
      <c r="M1475">
        <v>44</v>
      </c>
      <c r="N1475" t="s">
        <v>35</v>
      </c>
      <c r="O1475" t="s">
        <v>25</v>
      </c>
      <c r="P1475">
        <v>4.0599999999999996</v>
      </c>
      <c r="Q1475" t="s">
        <v>34</v>
      </c>
      <c r="R1475">
        <v>2.16</v>
      </c>
      <c r="S1475" t="s">
        <v>28</v>
      </c>
      <c r="T1475" t="str">
        <f t="shared" ref="T1475:T1538" si="46">IF(AND(G1475&lt;0.4,H1475&gt;=0.7),"Very High",
IF(AND(G1475&gt;=0.7,H1475&lt;0.5),"Very Low",
IF(G1475&lt;H1475,"High","Moderate")))</f>
        <v>High</v>
      </c>
      <c r="U1475" t="str">
        <f t="shared" ref="U1475:U1538" si="47">_xlfn.IFS(F1475&lt;=2,"Beginner",F1475&lt;=8,"Intermediate",F1475&lt;=15,"Experienced",F1475&lt;=25,"Expert")</f>
        <v>Experienced</v>
      </c>
    </row>
    <row r="1476" spans="1:21" x14ac:dyDescent="0.35">
      <c r="A1476" t="s">
        <v>1549</v>
      </c>
      <c r="B1476" t="s">
        <v>106</v>
      </c>
      <c r="C1476" t="s">
        <v>46</v>
      </c>
      <c r="D1476" t="s">
        <v>69</v>
      </c>
      <c r="E1476" t="s">
        <v>33</v>
      </c>
      <c r="F1476">
        <v>16</v>
      </c>
      <c r="G1476">
        <v>0.64</v>
      </c>
      <c r="H1476">
        <v>0.59</v>
      </c>
      <c r="I1476" t="s">
        <v>24</v>
      </c>
      <c r="J1476">
        <v>108465</v>
      </c>
      <c r="K1476" t="s">
        <v>27</v>
      </c>
      <c r="L1476">
        <v>-2</v>
      </c>
      <c r="M1476">
        <v>39</v>
      </c>
      <c r="N1476" t="s">
        <v>35</v>
      </c>
      <c r="O1476" t="s">
        <v>25</v>
      </c>
      <c r="P1476">
        <v>3.08</v>
      </c>
      <c r="Q1476" t="s">
        <v>34</v>
      </c>
      <c r="R1476">
        <v>4.2699999999999996</v>
      </c>
      <c r="S1476" t="s">
        <v>28</v>
      </c>
      <c r="T1476" t="str">
        <f t="shared" si="46"/>
        <v>Moderate</v>
      </c>
      <c r="U1476" t="str">
        <f t="shared" si="47"/>
        <v>Expert</v>
      </c>
    </row>
    <row r="1477" spans="1:21" x14ac:dyDescent="0.35">
      <c r="A1477" t="s">
        <v>1550</v>
      </c>
      <c r="B1477" t="s">
        <v>57</v>
      </c>
      <c r="C1477" t="s">
        <v>82</v>
      </c>
      <c r="D1477" t="s">
        <v>32</v>
      </c>
      <c r="E1477" t="s">
        <v>41</v>
      </c>
      <c r="F1477">
        <v>10</v>
      </c>
      <c r="G1477">
        <v>0.69</v>
      </c>
      <c r="H1477">
        <v>0.49</v>
      </c>
      <c r="I1477" t="s">
        <v>60</v>
      </c>
      <c r="J1477">
        <v>213010</v>
      </c>
      <c r="K1477" t="s">
        <v>27</v>
      </c>
      <c r="L1477">
        <v>2</v>
      </c>
      <c r="M1477">
        <v>44</v>
      </c>
      <c r="N1477" t="s">
        <v>26</v>
      </c>
      <c r="O1477" t="s">
        <v>36</v>
      </c>
      <c r="P1477">
        <v>3.91</v>
      </c>
      <c r="Q1477" t="s">
        <v>24</v>
      </c>
      <c r="R1477">
        <v>2.4</v>
      </c>
      <c r="S1477" t="s">
        <v>43</v>
      </c>
      <c r="T1477" t="str">
        <f t="shared" si="46"/>
        <v>Moderate</v>
      </c>
      <c r="U1477" t="str">
        <f t="shared" si="47"/>
        <v>Experienced</v>
      </c>
    </row>
    <row r="1478" spans="1:21" x14ac:dyDescent="0.35">
      <c r="A1478" t="s">
        <v>1551</v>
      </c>
      <c r="B1478" t="s">
        <v>102</v>
      </c>
      <c r="C1478" t="s">
        <v>46</v>
      </c>
      <c r="D1478" t="s">
        <v>63</v>
      </c>
      <c r="E1478" t="s">
        <v>41</v>
      </c>
      <c r="F1478">
        <v>24</v>
      </c>
      <c r="G1478">
        <v>0.21</v>
      </c>
      <c r="H1478">
        <v>0.47</v>
      </c>
      <c r="I1478" t="s">
        <v>24</v>
      </c>
      <c r="J1478">
        <v>207304</v>
      </c>
      <c r="K1478" t="s">
        <v>25</v>
      </c>
      <c r="L1478">
        <v>-3</v>
      </c>
      <c r="M1478">
        <v>59</v>
      </c>
      <c r="N1478" t="s">
        <v>42</v>
      </c>
      <c r="O1478" t="s">
        <v>25</v>
      </c>
      <c r="P1478">
        <v>4.45</v>
      </c>
      <c r="Q1478" t="s">
        <v>34</v>
      </c>
      <c r="R1478">
        <v>3.03</v>
      </c>
      <c r="S1478" t="s">
        <v>43</v>
      </c>
      <c r="T1478" t="str">
        <f t="shared" si="46"/>
        <v>High</v>
      </c>
      <c r="U1478" t="str">
        <f t="shared" si="47"/>
        <v>Expert</v>
      </c>
    </row>
    <row r="1479" spans="1:21" x14ac:dyDescent="0.35">
      <c r="A1479" t="s">
        <v>1552</v>
      </c>
      <c r="B1479" t="s">
        <v>54</v>
      </c>
      <c r="C1479" t="s">
        <v>55</v>
      </c>
      <c r="D1479" t="s">
        <v>22</v>
      </c>
      <c r="E1479" t="s">
        <v>41</v>
      </c>
      <c r="F1479">
        <v>7</v>
      </c>
      <c r="G1479">
        <v>0.09</v>
      </c>
      <c r="H1479">
        <v>0.27</v>
      </c>
      <c r="I1479" t="s">
        <v>24</v>
      </c>
      <c r="J1479">
        <v>146691</v>
      </c>
      <c r="K1479" t="s">
        <v>42</v>
      </c>
      <c r="L1479">
        <v>12</v>
      </c>
      <c r="M1479">
        <v>55</v>
      </c>
      <c r="N1479" t="s">
        <v>26</v>
      </c>
      <c r="O1479" t="s">
        <v>27</v>
      </c>
      <c r="P1479">
        <v>2.02</v>
      </c>
      <c r="Q1479" t="s">
        <v>34</v>
      </c>
      <c r="R1479">
        <v>1.47</v>
      </c>
      <c r="S1479" t="s">
        <v>28</v>
      </c>
      <c r="T1479" t="str">
        <f t="shared" si="46"/>
        <v>High</v>
      </c>
      <c r="U1479" t="str">
        <f t="shared" si="47"/>
        <v>Intermediate</v>
      </c>
    </row>
    <row r="1480" spans="1:21" x14ac:dyDescent="0.35">
      <c r="A1480" t="s">
        <v>1553</v>
      </c>
      <c r="B1480" t="s">
        <v>62</v>
      </c>
      <c r="C1480" t="s">
        <v>74</v>
      </c>
      <c r="D1480" t="s">
        <v>22</v>
      </c>
      <c r="E1480" t="s">
        <v>33</v>
      </c>
      <c r="F1480">
        <v>1</v>
      </c>
      <c r="G1480">
        <v>0.38</v>
      </c>
      <c r="H1480">
        <v>0.75</v>
      </c>
      <c r="I1480" t="s">
        <v>34</v>
      </c>
      <c r="J1480">
        <v>211439</v>
      </c>
      <c r="K1480" t="s">
        <v>27</v>
      </c>
      <c r="L1480">
        <v>40</v>
      </c>
      <c r="M1480">
        <v>41</v>
      </c>
      <c r="N1480" t="s">
        <v>26</v>
      </c>
      <c r="O1480" t="s">
        <v>36</v>
      </c>
      <c r="P1480">
        <v>3.33</v>
      </c>
      <c r="Q1480" t="s">
        <v>34</v>
      </c>
      <c r="R1480">
        <v>2.98</v>
      </c>
      <c r="S1480" t="s">
        <v>28</v>
      </c>
      <c r="T1480" t="str">
        <f t="shared" si="46"/>
        <v>Very High</v>
      </c>
      <c r="U1480" t="str">
        <f t="shared" si="47"/>
        <v>Beginner</v>
      </c>
    </row>
    <row r="1481" spans="1:21" x14ac:dyDescent="0.35">
      <c r="A1481" t="s">
        <v>1554</v>
      </c>
      <c r="B1481" t="s">
        <v>156</v>
      </c>
      <c r="C1481" t="s">
        <v>31</v>
      </c>
      <c r="D1481" t="s">
        <v>63</v>
      </c>
      <c r="E1481" t="s">
        <v>23</v>
      </c>
      <c r="F1481">
        <v>13</v>
      </c>
      <c r="G1481">
        <v>0.94</v>
      </c>
      <c r="H1481">
        <v>0.83</v>
      </c>
      <c r="I1481" t="s">
        <v>24</v>
      </c>
      <c r="J1481">
        <v>88589</v>
      </c>
      <c r="K1481" t="s">
        <v>42</v>
      </c>
      <c r="L1481">
        <v>45</v>
      </c>
      <c r="M1481">
        <v>38</v>
      </c>
      <c r="N1481" t="s">
        <v>42</v>
      </c>
      <c r="O1481" t="s">
        <v>27</v>
      </c>
      <c r="P1481">
        <v>2.31</v>
      </c>
      <c r="Q1481" t="s">
        <v>34</v>
      </c>
      <c r="R1481">
        <v>1</v>
      </c>
      <c r="S1481" t="s">
        <v>28</v>
      </c>
      <c r="T1481" t="str">
        <f t="shared" si="46"/>
        <v>Moderate</v>
      </c>
      <c r="U1481" t="str">
        <f t="shared" si="47"/>
        <v>Experienced</v>
      </c>
    </row>
    <row r="1482" spans="1:21" x14ac:dyDescent="0.35">
      <c r="A1482" t="s">
        <v>1555</v>
      </c>
      <c r="B1482" t="s">
        <v>51</v>
      </c>
      <c r="C1482" t="s">
        <v>21</v>
      </c>
      <c r="D1482" t="s">
        <v>59</v>
      </c>
      <c r="E1482" t="s">
        <v>33</v>
      </c>
      <c r="F1482">
        <v>12</v>
      </c>
      <c r="G1482">
        <v>0.15</v>
      </c>
      <c r="H1482">
        <v>0.48</v>
      </c>
      <c r="I1482" t="s">
        <v>60</v>
      </c>
      <c r="J1482">
        <v>74010</v>
      </c>
      <c r="K1482" t="s">
        <v>27</v>
      </c>
      <c r="L1482">
        <v>28</v>
      </c>
      <c r="M1482">
        <v>54</v>
      </c>
      <c r="N1482" t="s">
        <v>42</v>
      </c>
      <c r="O1482" t="s">
        <v>25</v>
      </c>
      <c r="P1482">
        <v>2.02</v>
      </c>
      <c r="Q1482" t="s">
        <v>24</v>
      </c>
      <c r="R1482">
        <v>2.09</v>
      </c>
      <c r="S1482" t="s">
        <v>43</v>
      </c>
      <c r="T1482" t="str">
        <f t="shared" si="46"/>
        <v>High</v>
      </c>
      <c r="U1482" t="str">
        <f t="shared" si="47"/>
        <v>Experienced</v>
      </c>
    </row>
    <row r="1483" spans="1:21" x14ac:dyDescent="0.35">
      <c r="A1483" t="s">
        <v>1556</v>
      </c>
      <c r="B1483" t="s">
        <v>54</v>
      </c>
      <c r="C1483" t="s">
        <v>52</v>
      </c>
      <c r="D1483" t="s">
        <v>40</v>
      </c>
      <c r="E1483" t="s">
        <v>41</v>
      </c>
      <c r="F1483">
        <v>23</v>
      </c>
      <c r="G1483">
        <v>0.06</v>
      </c>
      <c r="H1483">
        <v>0.98</v>
      </c>
      <c r="I1483" t="s">
        <v>24</v>
      </c>
      <c r="J1483">
        <v>159982</v>
      </c>
      <c r="K1483" t="s">
        <v>27</v>
      </c>
      <c r="L1483">
        <v>43</v>
      </c>
      <c r="M1483">
        <v>48</v>
      </c>
      <c r="N1483" t="s">
        <v>26</v>
      </c>
      <c r="O1483" t="s">
        <v>27</v>
      </c>
      <c r="P1483">
        <v>3.44</v>
      </c>
      <c r="Q1483" t="s">
        <v>24</v>
      </c>
      <c r="R1483">
        <v>2.87</v>
      </c>
      <c r="S1483" t="s">
        <v>28</v>
      </c>
      <c r="T1483" t="str">
        <f t="shared" si="46"/>
        <v>Very High</v>
      </c>
      <c r="U1483" t="str">
        <f t="shared" si="47"/>
        <v>Expert</v>
      </c>
    </row>
    <row r="1484" spans="1:21" x14ac:dyDescent="0.35">
      <c r="A1484" t="s">
        <v>1557</v>
      </c>
      <c r="B1484" t="s">
        <v>147</v>
      </c>
      <c r="C1484" t="s">
        <v>82</v>
      </c>
      <c r="D1484" t="s">
        <v>80</v>
      </c>
      <c r="E1484" t="s">
        <v>70</v>
      </c>
      <c r="F1484">
        <v>23</v>
      </c>
      <c r="G1484">
        <v>0.66</v>
      </c>
      <c r="H1484">
        <v>0.79</v>
      </c>
      <c r="I1484" t="s">
        <v>60</v>
      </c>
      <c r="J1484">
        <v>166065</v>
      </c>
      <c r="K1484" t="s">
        <v>27</v>
      </c>
      <c r="L1484">
        <v>45</v>
      </c>
      <c r="M1484">
        <v>49</v>
      </c>
      <c r="N1484" t="s">
        <v>26</v>
      </c>
      <c r="O1484" t="s">
        <v>36</v>
      </c>
      <c r="P1484">
        <v>3.54</v>
      </c>
      <c r="Q1484" t="s">
        <v>24</v>
      </c>
      <c r="R1484">
        <v>3.18</v>
      </c>
      <c r="S1484" t="s">
        <v>43</v>
      </c>
      <c r="T1484" t="str">
        <f t="shared" si="46"/>
        <v>High</v>
      </c>
      <c r="U1484" t="str">
        <f t="shared" si="47"/>
        <v>Expert</v>
      </c>
    </row>
    <row r="1485" spans="1:21" x14ac:dyDescent="0.35">
      <c r="A1485" t="s">
        <v>1558</v>
      </c>
      <c r="B1485" t="s">
        <v>156</v>
      </c>
      <c r="C1485" t="s">
        <v>107</v>
      </c>
      <c r="D1485" t="s">
        <v>59</v>
      </c>
      <c r="E1485" t="s">
        <v>23</v>
      </c>
      <c r="F1485">
        <v>18</v>
      </c>
      <c r="G1485">
        <v>0.69</v>
      </c>
      <c r="H1485">
        <v>0.91</v>
      </c>
      <c r="I1485" t="s">
        <v>34</v>
      </c>
      <c r="J1485">
        <v>32242</v>
      </c>
      <c r="K1485" t="s">
        <v>27</v>
      </c>
      <c r="L1485">
        <v>27</v>
      </c>
      <c r="M1485">
        <v>49</v>
      </c>
      <c r="N1485" t="s">
        <v>26</v>
      </c>
      <c r="O1485" t="s">
        <v>27</v>
      </c>
      <c r="P1485">
        <v>4.47</v>
      </c>
      <c r="Q1485" t="s">
        <v>34</v>
      </c>
      <c r="R1485">
        <v>2.25</v>
      </c>
      <c r="S1485" t="s">
        <v>28</v>
      </c>
      <c r="T1485" t="str">
        <f t="shared" si="46"/>
        <v>High</v>
      </c>
      <c r="U1485" t="str">
        <f t="shared" si="47"/>
        <v>Expert</v>
      </c>
    </row>
    <row r="1486" spans="1:21" x14ac:dyDescent="0.35">
      <c r="A1486" t="s">
        <v>1559</v>
      </c>
      <c r="B1486" t="s">
        <v>94</v>
      </c>
      <c r="C1486" t="s">
        <v>82</v>
      </c>
      <c r="D1486" t="s">
        <v>69</v>
      </c>
      <c r="E1486" t="s">
        <v>70</v>
      </c>
      <c r="F1486">
        <v>9</v>
      </c>
      <c r="G1486">
        <v>0.46</v>
      </c>
      <c r="H1486">
        <v>0.66</v>
      </c>
      <c r="I1486" t="s">
        <v>60</v>
      </c>
      <c r="J1486">
        <v>74657</v>
      </c>
      <c r="K1486" t="s">
        <v>25</v>
      </c>
      <c r="L1486">
        <v>9</v>
      </c>
      <c r="M1486">
        <v>54</v>
      </c>
      <c r="N1486" t="s">
        <v>42</v>
      </c>
      <c r="O1486" t="s">
        <v>36</v>
      </c>
      <c r="P1486">
        <v>4.9800000000000004</v>
      </c>
      <c r="Q1486" t="s">
        <v>24</v>
      </c>
      <c r="R1486">
        <v>3.76</v>
      </c>
      <c r="S1486" t="s">
        <v>47</v>
      </c>
      <c r="T1486" t="str">
        <f t="shared" si="46"/>
        <v>High</v>
      </c>
      <c r="U1486" t="str">
        <f t="shared" si="47"/>
        <v>Experienced</v>
      </c>
    </row>
    <row r="1487" spans="1:21" x14ac:dyDescent="0.35">
      <c r="A1487" t="s">
        <v>1560</v>
      </c>
      <c r="B1487" t="s">
        <v>38</v>
      </c>
      <c r="C1487" t="s">
        <v>58</v>
      </c>
      <c r="D1487" t="s">
        <v>49</v>
      </c>
      <c r="E1487" t="s">
        <v>23</v>
      </c>
      <c r="F1487">
        <v>11</v>
      </c>
      <c r="G1487">
        <v>0.51</v>
      </c>
      <c r="H1487">
        <v>0.95</v>
      </c>
      <c r="I1487" t="s">
        <v>60</v>
      </c>
      <c r="J1487">
        <v>196941</v>
      </c>
      <c r="K1487" t="s">
        <v>42</v>
      </c>
      <c r="L1487">
        <v>18</v>
      </c>
      <c r="M1487">
        <v>46</v>
      </c>
      <c r="N1487" t="s">
        <v>35</v>
      </c>
      <c r="O1487" t="s">
        <v>27</v>
      </c>
      <c r="P1487">
        <v>3.49</v>
      </c>
      <c r="Q1487" t="s">
        <v>34</v>
      </c>
      <c r="R1487">
        <v>3.66</v>
      </c>
      <c r="S1487" t="s">
        <v>28</v>
      </c>
      <c r="T1487" t="str">
        <f t="shared" si="46"/>
        <v>High</v>
      </c>
      <c r="U1487" t="str">
        <f t="shared" si="47"/>
        <v>Experienced</v>
      </c>
    </row>
    <row r="1488" spans="1:21" x14ac:dyDescent="0.35">
      <c r="A1488" t="s">
        <v>1561</v>
      </c>
      <c r="B1488" t="s">
        <v>73</v>
      </c>
      <c r="C1488" t="s">
        <v>107</v>
      </c>
      <c r="D1488" t="s">
        <v>59</v>
      </c>
      <c r="E1488" t="s">
        <v>41</v>
      </c>
      <c r="F1488">
        <v>14</v>
      </c>
      <c r="G1488">
        <v>0.95</v>
      </c>
      <c r="H1488">
        <v>0.37</v>
      </c>
      <c r="I1488" t="s">
        <v>60</v>
      </c>
      <c r="J1488">
        <v>110368</v>
      </c>
      <c r="K1488" t="s">
        <v>27</v>
      </c>
      <c r="L1488">
        <v>-4</v>
      </c>
      <c r="M1488">
        <v>55</v>
      </c>
      <c r="N1488" t="s">
        <v>26</v>
      </c>
      <c r="O1488" t="s">
        <v>36</v>
      </c>
      <c r="P1488">
        <v>3.4</v>
      </c>
      <c r="Q1488" t="s">
        <v>34</v>
      </c>
      <c r="R1488">
        <v>1.38</v>
      </c>
      <c r="S1488" t="s">
        <v>28</v>
      </c>
      <c r="T1488" t="str">
        <f t="shared" si="46"/>
        <v>Very Low</v>
      </c>
      <c r="U1488" t="str">
        <f t="shared" si="47"/>
        <v>Experienced</v>
      </c>
    </row>
    <row r="1489" spans="1:21" x14ac:dyDescent="0.35">
      <c r="A1489" t="s">
        <v>1562</v>
      </c>
      <c r="B1489" t="s">
        <v>51</v>
      </c>
      <c r="C1489" t="s">
        <v>82</v>
      </c>
      <c r="D1489" t="s">
        <v>59</v>
      </c>
      <c r="E1489" t="s">
        <v>33</v>
      </c>
      <c r="F1489">
        <v>22</v>
      </c>
      <c r="G1489">
        <v>0.51</v>
      </c>
      <c r="H1489">
        <v>0.37</v>
      </c>
      <c r="I1489" t="s">
        <v>60</v>
      </c>
      <c r="J1489">
        <v>183057</v>
      </c>
      <c r="K1489" t="s">
        <v>27</v>
      </c>
      <c r="L1489">
        <v>10</v>
      </c>
      <c r="M1489">
        <v>39</v>
      </c>
      <c r="N1489" t="s">
        <v>35</v>
      </c>
      <c r="O1489" t="s">
        <v>25</v>
      </c>
      <c r="P1489">
        <v>4.71</v>
      </c>
      <c r="Q1489" t="s">
        <v>34</v>
      </c>
      <c r="R1489">
        <v>3.33</v>
      </c>
      <c r="S1489" t="s">
        <v>28</v>
      </c>
      <c r="T1489" t="str">
        <f t="shared" si="46"/>
        <v>Moderate</v>
      </c>
      <c r="U1489" t="str">
        <f t="shared" si="47"/>
        <v>Expert</v>
      </c>
    </row>
    <row r="1490" spans="1:21" x14ac:dyDescent="0.35">
      <c r="A1490" t="s">
        <v>1563</v>
      </c>
      <c r="B1490" t="s">
        <v>96</v>
      </c>
      <c r="C1490" t="s">
        <v>74</v>
      </c>
      <c r="D1490" t="s">
        <v>59</v>
      </c>
      <c r="E1490" t="s">
        <v>33</v>
      </c>
      <c r="F1490">
        <v>14</v>
      </c>
      <c r="G1490">
        <v>0.25</v>
      </c>
      <c r="H1490">
        <v>0.8</v>
      </c>
      <c r="I1490" t="s">
        <v>24</v>
      </c>
      <c r="J1490">
        <v>66239</v>
      </c>
      <c r="K1490" t="s">
        <v>42</v>
      </c>
      <c r="L1490">
        <v>34</v>
      </c>
      <c r="M1490">
        <v>51</v>
      </c>
      <c r="N1490" t="s">
        <v>26</v>
      </c>
      <c r="O1490" t="s">
        <v>36</v>
      </c>
      <c r="P1490">
        <v>4.43</v>
      </c>
      <c r="Q1490" t="s">
        <v>34</v>
      </c>
      <c r="R1490">
        <v>3.49</v>
      </c>
      <c r="S1490" t="s">
        <v>47</v>
      </c>
      <c r="T1490" t="str">
        <f t="shared" si="46"/>
        <v>Very High</v>
      </c>
      <c r="U1490" t="str">
        <f t="shared" si="47"/>
        <v>Experienced</v>
      </c>
    </row>
    <row r="1491" spans="1:21" x14ac:dyDescent="0.35">
      <c r="A1491" t="s">
        <v>1564</v>
      </c>
      <c r="B1491" t="s">
        <v>94</v>
      </c>
      <c r="C1491" t="s">
        <v>46</v>
      </c>
      <c r="D1491" t="s">
        <v>63</v>
      </c>
      <c r="E1491" t="s">
        <v>41</v>
      </c>
      <c r="F1491">
        <v>18</v>
      </c>
      <c r="G1491">
        <v>0.28999999999999998</v>
      </c>
      <c r="H1491">
        <v>0.57999999999999996</v>
      </c>
      <c r="I1491" t="s">
        <v>24</v>
      </c>
      <c r="J1491">
        <v>106551</v>
      </c>
      <c r="K1491" t="s">
        <v>27</v>
      </c>
      <c r="L1491">
        <v>12</v>
      </c>
      <c r="M1491">
        <v>40</v>
      </c>
      <c r="N1491" t="s">
        <v>42</v>
      </c>
      <c r="O1491" t="s">
        <v>36</v>
      </c>
      <c r="P1491">
        <v>4.08</v>
      </c>
      <c r="Q1491" t="s">
        <v>24</v>
      </c>
      <c r="R1491">
        <v>4.6500000000000004</v>
      </c>
      <c r="S1491" t="s">
        <v>47</v>
      </c>
      <c r="T1491" t="str">
        <f t="shared" si="46"/>
        <v>High</v>
      </c>
      <c r="U1491" t="str">
        <f t="shared" si="47"/>
        <v>Expert</v>
      </c>
    </row>
    <row r="1492" spans="1:21" x14ac:dyDescent="0.35">
      <c r="A1492" t="s">
        <v>1565</v>
      </c>
      <c r="B1492" t="s">
        <v>62</v>
      </c>
      <c r="C1492" t="s">
        <v>31</v>
      </c>
      <c r="D1492" t="s">
        <v>63</v>
      </c>
      <c r="E1492" t="s">
        <v>70</v>
      </c>
      <c r="F1492">
        <v>25</v>
      </c>
      <c r="G1492">
        <v>0.47</v>
      </c>
      <c r="H1492">
        <v>0.26</v>
      </c>
      <c r="I1492" t="s">
        <v>34</v>
      </c>
      <c r="J1492">
        <v>139601</v>
      </c>
      <c r="K1492" t="s">
        <v>42</v>
      </c>
      <c r="L1492">
        <v>-3</v>
      </c>
      <c r="M1492">
        <v>54</v>
      </c>
      <c r="N1492" t="s">
        <v>35</v>
      </c>
      <c r="O1492" t="s">
        <v>25</v>
      </c>
      <c r="P1492">
        <v>3.65</v>
      </c>
      <c r="Q1492" t="s">
        <v>24</v>
      </c>
      <c r="R1492">
        <v>4.71</v>
      </c>
      <c r="S1492" t="s">
        <v>28</v>
      </c>
      <c r="T1492" t="str">
        <f t="shared" si="46"/>
        <v>Moderate</v>
      </c>
      <c r="U1492" t="str">
        <f t="shared" si="47"/>
        <v>Expert</v>
      </c>
    </row>
    <row r="1493" spans="1:21" x14ac:dyDescent="0.35">
      <c r="A1493" t="s">
        <v>1566</v>
      </c>
      <c r="B1493" t="s">
        <v>96</v>
      </c>
      <c r="C1493" t="s">
        <v>21</v>
      </c>
      <c r="D1493" t="s">
        <v>32</v>
      </c>
      <c r="E1493" t="s">
        <v>33</v>
      </c>
      <c r="F1493">
        <v>4</v>
      </c>
      <c r="G1493">
        <v>0.81</v>
      </c>
      <c r="H1493">
        <v>0.46</v>
      </c>
      <c r="I1493" t="s">
        <v>60</v>
      </c>
      <c r="J1493">
        <v>144714</v>
      </c>
      <c r="K1493" t="s">
        <v>27</v>
      </c>
      <c r="L1493">
        <v>5</v>
      </c>
      <c r="M1493">
        <v>50</v>
      </c>
      <c r="N1493" t="s">
        <v>26</v>
      </c>
      <c r="O1493" t="s">
        <v>27</v>
      </c>
      <c r="P1493">
        <v>2.08</v>
      </c>
      <c r="Q1493" t="s">
        <v>34</v>
      </c>
      <c r="R1493">
        <v>2.1800000000000002</v>
      </c>
      <c r="S1493" t="s">
        <v>43</v>
      </c>
      <c r="T1493" t="str">
        <f t="shared" si="46"/>
        <v>Very Low</v>
      </c>
      <c r="U1493" t="str">
        <f t="shared" si="47"/>
        <v>Intermediate</v>
      </c>
    </row>
    <row r="1494" spans="1:21" x14ac:dyDescent="0.35">
      <c r="A1494" t="s">
        <v>1567</v>
      </c>
      <c r="B1494" t="s">
        <v>30</v>
      </c>
      <c r="C1494" t="s">
        <v>58</v>
      </c>
      <c r="D1494" t="s">
        <v>32</v>
      </c>
      <c r="E1494" t="s">
        <v>23</v>
      </c>
      <c r="F1494">
        <v>6</v>
      </c>
      <c r="G1494">
        <v>0.34</v>
      </c>
      <c r="H1494">
        <v>0.94</v>
      </c>
      <c r="I1494" t="s">
        <v>60</v>
      </c>
      <c r="J1494">
        <v>182209</v>
      </c>
      <c r="K1494" t="s">
        <v>42</v>
      </c>
      <c r="L1494">
        <v>17</v>
      </c>
      <c r="M1494">
        <v>30</v>
      </c>
      <c r="N1494" t="s">
        <v>42</v>
      </c>
      <c r="O1494" t="s">
        <v>36</v>
      </c>
      <c r="P1494">
        <v>3.46</v>
      </c>
      <c r="Q1494" t="s">
        <v>34</v>
      </c>
      <c r="R1494">
        <v>4.6900000000000004</v>
      </c>
      <c r="S1494" t="s">
        <v>47</v>
      </c>
      <c r="T1494" t="str">
        <f t="shared" si="46"/>
        <v>Very High</v>
      </c>
      <c r="U1494" t="str">
        <f t="shared" si="47"/>
        <v>Intermediate</v>
      </c>
    </row>
    <row r="1495" spans="1:21" x14ac:dyDescent="0.35">
      <c r="A1495" t="s">
        <v>1568</v>
      </c>
      <c r="B1495" t="s">
        <v>73</v>
      </c>
      <c r="C1495" t="s">
        <v>31</v>
      </c>
      <c r="D1495" t="s">
        <v>69</v>
      </c>
      <c r="E1495" t="s">
        <v>41</v>
      </c>
      <c r="F1495">
        <v>0</v>
      </c>
      <c r="G1495">
        <v>0.94</v>
      </c>
      <c r="H1495">
        <v>0.66</v>
      </c>
      <c r="I1495" t="s">
        <v>60</v>
      </c>
      <c r="J1495">
        <v>187445</v>
      </c>
      <c r="K1495" t="s">
        <v>25</v>
      </c>
      <c r="L1495">
        <v>34</v>
      </c>
      <c r="M1495">
        <v>53</v>
      </c>
      <c r="N1495" t="s">
        <v>35</v>
      </c>
      <c r="O1495" t="s">
        <v>36</v>
      </c>
      <c r="P1495">
        <v>3.7</v>
      </c>
      <c r="Q1495" t="s">
        <v>24</v>
      </c>
      <c r="R1495">
        <v>4.79</v>
      </c>
      <c r="S1495" t="s">
        <v>43</v>
      </c>
      <c r="T1495" t="str">
        <f t="shared" si="46"/>
        <v>Moderate</v>
      </c>
      <c r="U1495" t="str">
        <f t="shared" si="47"/>
        <v>Beginner</v>
      </c>
    </row>
    <row r="1496" spans="1:21" x14ac:dyDescent="0.35">
      <c r="A1496" t="s">
        <v>1569</v>
      </c>
      <c r="B1496" t="s">
        <v>156</v>
      </c>
      <c r="C1496" t="s">
        <v>52</v>
      </c>
      <c r="D1496" t="s">
        <v>40</v>
      </c>
      <c r="E1496" t="s">
        <v>23</v>
      </c>
      <c r="F1496">
        <v>24</v>
      </c>
      <c r="G1496">
        <v>0.11</v>
      </c>
      <c r="H1496">
        <v>0.55000000000000004</v>
      </c>
      <c r="I1496" t="s">
        <v>60</v>
      </c>
      <c r="J1496">
        <v>118384</v>
      </c>
      <c r="K1496" t="s">
        <v>25</v>
      </c>
      <c r="L1496">
        <v>17</v>
      </c>
      <c r="M1496">
        <v>50</v>
      </c>
      <c r="N1496" t="s">
        <v>42</v>
      </c>
      <c r="O1496" t="s">
        <v>25</v>
      </c>
      <c r="P1496">
        <v>4.75</v>
      </c>
      <c r="Q1496" t="s">
        <v>24</v>
      </c>
      <c r="R1496">
        <v>4.82</v>
      </c>
      <c r="S1496" t="s">
        <v>28</v>
      </c>
      <c r="T1496" t="str">
        <f t="shared" si="46"/>
        <v>High</v>
      </c>
      <c r="U1496" t="str">
        <f t="shared" si="47"/>
        <v>Expert</v>
      </c>
    </row>
    <row r="1497" spans="1:21" x14ac:dyDescent="0.35">
      <c r="A1497" t="s">
        <v>1570</v>
      </c>
      <c r="B1497" t="s">
        <v>62</v>
      </c>
      <c r="C1497" t="s">
        <v>46</v>
      </c>
      <c r="D1497" t="s">
        <v>75</v>
      </c>
      <c r="E1497" t="s">
        <v>23</v>
      </c>
      <c r="F1497">
        <v>13</v>
      </c>
      <c r="G1497">
        <v>0.24</v>
      </c>
      <c r="H1497">
        <v>0.87</v>
      </c>
      <c r="I1497" t="s">
        <v>60</v>
      </c>
      <c r="J1497">
        <v>96283</v>
      </c>
      <c r="K1497" t="s">
        <v>42</v>
      </c>
      <c r="L1497">
        <v>0</v>
      </c>
      <c r="M1497">
        <v>59</v>
      </c>
      <c r="N1497" t="s">
        <v>35</v>
      </c>
      <c r="O1497" t="s">
        <v>36</v>
      </c>
      <c r="P1497">
        <v>2.5499999999999998</v>
      </c>
      <c r="Q1497" t="s">
        <v>24</v>
      </c>
      <c r="R1497">
        <v>3.2</v>
      </c>
      <c r="S1497" t="s">
        <v>47</v>
      </c>
      <c r="T1497" t="str">
        <f t="shared" si="46"/>
        <v>Very High</v>
      </c>
      <c r="U1497" t="str">
        <f t="shared" si="47"/>
        <v>Experienced</v>
      </c>
    </row>
    <row r="1498" spans="1:21" x14ac:dyDescent="0.35">
      <c r="A1498" t="s">
        <v>1571</v>
      </c>
      <c r="B1498" t="s">
        <v>106</v>
      </c>
      <c r="C1498" t="s">
        <v>21</v>
      </c>
      <c r="D1498" t="s">
        <v>75</v>
      </c>
      <c r="E1498" t="s">
        <v>70</v>
      </c>
      <c r="F1498">
        <v>7</v>
      </c>
      <c r="G1498">
        <v>0.88</v>
      </c>
      <c r="H1498">
        <v>0.82</v>
      </c>
      <c r="I1498" t="s">
        <v>24</v>
      </c>
      <c r="J1498">
        <v>189750</v>
      </c>
      <c r="K1498" t="s">
        <v>42</v>
      </c>
      <c r="L1498">
        <v>-5</v>
      </c>
      <c r="M1498">
        <v>35</v>
      </c>
      <c r="N1498" t="s">
        <v>35</v>
      </c>
      <c r="O1498" t="s">
        <v>36</v>
      </c>
      <c r="P1498">
        <v>2.13</v>
      </c>
      <c r="Q1498" t="s">
        <v>24</v>
      </c>
      <c r="R1498">
        <v>4.59</v>
      </c>
      <c r="S1498" t="s">
        <v>47</v>
      </c>
      <c r="T1498" t="str">
        <f t="shared" si="46"/>
        <v>Moderate</v>
      </c>
      <c r="U1498" t="str">
        <f t="shared" si="47"/>
        <v>Intermediate</v>
      </c>
    </row>
    <row r="1499" spans="1:21" x14ac:dyDescent="0.35">
      <c r="A1499" t="s">
        <v>1572</v>
      </c>
      <c r="B1499" t="s">
        <v>30</v>
      </c>
      <c r="C1499" t="s">
        <v>31</v>
      </c>
      <c r="D1499" t="s">
        <v>22</v>
      </c>
      <c r="E1499" t="s">
        <v>70</v>
      </c>
      <c r="F1499">
        <v>15</v>
      </c>
      <c r="G1499">
        <v>0.72</v>
      </c>
      <c r="H1499">
        <v>0.34</v>
      </c>
      <c r="I1499" t="s">
        <v>60</v>
      </c>
      <c r="J1499">
        <v>44192</v>
      </c>
      <c r="K1499" t="s">
        <v>27</v>
      </c>
      <c r="L1499">
        <v>24</v>
      </c>
      <c r="M1499">
        <v>58</v>
      </c>
      <c r="N1499" t="s">
        <v>42</v>
      </c>
      <c r="O1499" t="s">
        <v>25</v>
      </c>
      <c r="P1499">
        <v>4.67</v>
      </c>
      <c r="Q1499" t="s">
        <v>24</v>
      </c>
      <c r="R1499">
        <v>1.25</v>
      </c>
      <c r="S1499" t="s">
        <v>47</v>
      </c>
      <c r="T1499" t="str">
        <f t="shared" si="46"/>
        <v>Very Low</v>
      </c>
      <c r="U1499" t="str">
        <f t="shared" si="47"/>
        <v>Experienced</v>
      </c>
    </row>
    <row r="1500" spans="1:21" x14ac:dyDescent="0.35">
      <c r="A1500" t="s">
        <v>1573</v>
      </c>
      <c r="B1500" t="s">
        <v>20</v>
      </c>
      <c r="C1500" t="s">
        <v>58</v>
      </c>
      <c r="D1500" t="s">
        <v>66</v>
      </c>
      <c r="E1500" t="s">
        <v>70</v>
      </c>
      <c r="F1500">
        <v>13</v>
      </c>
      <c r="G1500">
        <v>0.93</v>
      </c>
      <c r="H1500">
        <v>0.33</v>
      </c>
      <c r="I1500" t="s">
        <v>60</v>
      </c>
      <c r="J1500">
        <v>181236</v>
      </c>
      <c r="K1500" t="s">
        <v>42</v>
      </c>
      <c r="L1500">
        <v>13</v>
      </c>
      <c r="M1500">
        <v>46</v>
      </c>
      <c r="N1500" t="s">
        <v>26</v>
      </c>
      <c r="O1500" t="s">
        <v>36</v>
      </c>
      <c r="P1500">
        <v>2.41</v>
      </c>
      <c r="Q1500" t="s">
        <v>34</v>
      </c>
      <c r="R1500">
        <v>2.96</v>
      </c>
      <c r="S1500" t="s">
        <v>47</v>
      </c>
      <c r="T1500" t="str">
        <f t="shared" si="46"/>
        <v>Very Low</v>
      </c>
      <c r="U1500" t="str">
        <f t="shared" si="47"/>
        <v>Experienced</v>
      </c>
    </row>
    <row r="1501" spans="1:21" x14ac:dyDescent="0.35">
      <c r="A1501" t="s">
        <v>1574</v>
      </c>
      <c r="B1501" t="s">
        <v>51</v>
      </c>
      <c r="C1501" t="s">
        <v>74</v>
      </c>
      <c r="D1501" t="s">
        <v>49</v>
      </c>
      <c r="E1501" t="s">
        <v>33</v>
      </c>
      <c r="F1501">
        <v>14</v>
      </c>
      <c r="G1501">
        <v>0.61</v>
      </c>
      <c r="H1501">
        <v>0.92</v>
      </c>
      <c r="I1501" t="s">
        <v>60</v>
      </c>
      <c r="J1501">
        <v>119821</v>
      </c>
      <c r="K1501" t="s">
        <v>42</v>
      </c>
      <c r="L1501">
        <v>34</v>
      </c>
      <c r="M1501">
        <v>38</v>
      </c>
      <c r="N1501" t="s">
        <v>42</v>
      </c>
      <c r="O1501" t="s">
        <v>36</v>
      </c>
      <c r="P1501">
        <v>3.64</v>
      </c>
      <c r="Q1501" t="s">
        <v>34</v>
      </c>
      <c r="R1501">
        <v>1.06</v>
      </c>
      <c r="S1501" t="s">
        <v>47</v>
      </c>
      <c r="T1501" t="str">
        <f t="shared" si="46"/>
        <v>High</v>
      </c>
      <c r="U1501" t="str">
        <f t="shared" si="47"/>
        <v>Experienced</v>
      </c>
    </row>
    <row r="1502" spans="1:21" x14ac:dyDescent="0.35">
      <c r="A1502" t="s">
        <v>1575</v>
      </c>
      <c r="B1502" t="s">
        <v>45</v>
      </c>
      <c r="C1502" t="s">
        <v>82</v>
      </c>
      <c r="D1502" t="s">
        <v>22</v>
      </c>
      <c r="E1502" t="s">
        <v>23</v>
      </c>
      <c r="F1502">
        <v>4</v>
      </c>
      <c r="G1502">
        <v>0.75</v>
      </c>
      <c r="H1502">
        <v>0.24</v>
      </c>
      <c r="I1502" t="s">
        <v>60</v>
      </c>
      <c r="J1502">
        <v>143764</v>
      </c>
      <c r="K1502" t="s">
        <v>42</v>
      </c>
      <c r="L1502">
        <v>-1</v>
      </c>
      <c r="M1502">
        <v>42</v>
      </c>
      <c r="N1502" t="s">
        <v>26</v>
      </c>
      <c r="O1502" t="s">
        <v>25</v>
      </c>
      <c r="P1502">
        <v>4.3899999999999997</v>
      </c>
      <c r="Q1502" t="s">
        <v>24</v>
      </c>
      <c r="R1502">
        <v>3.05</v>
      </c>
      <c r="S1502" t="s">
        <v>47</v>
      </c>
      <c r="T1502" t="str">
        <f t="shared" si="46"/>
        <v>Very Low</v>
      </c>
      <c r="U1502" t="str">
        <f t="shared" si="47"/>
        <v>Intermediate</v>
      </c>
    </row>
    <row r="1503" spans="1:21" x14ac:dyDescent="0.35">
      <c r="A1503" t="s">
        <v>1576</v>
      </c>
      <c r="B1503" t="s">
        <v>45</v>
      </c>
      <c r="C1503" t="s">
        <v>55</v>
      </c>
      <c r="D1503" t="s">
        <v>69</v>
      </c>
      <c r="E1503" t="s">
        <v>41</v>
      </c>
      <c r="F1503">
        <v>10</v>
      </c>
      <c r="G1503">
        <v>0.05</v>
      </c>
      <c r="H1503">
        <v>0.35</v>
      </c>
      <c r="I1503" t="s">
        <v>34</v>
      </c>
      <c r="J1503">
        <v>159156</v>
      </c>
      <c r="K1503" t="s">
        <v>27</v>
      </c>
      <c r="L1503">
        <v>35</v>
      </c>
      <c r="M1503">
        <v>42</v>
      </c>
      <c r="N1503" t="s">
        <v>26</v>
      </c>
      <c r="O1503" t="s">
        <v>27</v>
      </c>
      <c r="P1503">
        <v>2.0299999999999998</v>
      </c>
      <c r="Q1503" t="s">
        <v>24</v>
      </c>
      <c r="R1503">
        <v>1.3</v>
      </c>
      <c r="S1503" t="s">
        <v>28</v>
      </c>
      <c r="T1503" t="str">
        <f t="shared" si="46"/>
        <v>High</v>
      </c>
      <c r="U1503" t="str">
        <f t="shared" si="47"/>
        <v>Experienced</v>
      </c>
    </row>
    <row r="1504" spans="1:21" x14ac:dyDescent="0.35">
      <c r="A1504" t="s">
        <v>1577</v>
      </c>
      <c r="B1504" t="s">
        <v>65</v>
      </c>
      <c r="C1504" t="s">
        <v>39</v>
      </c>
      <c r="D1504" t="s">
        <v>40</v>
      </c>
      <c r="E1504" t="s">
        <v>33</v>
      </c>
      <c r="F1504">
        <v>24</v>
      </c>
      <c r="G1504">
        <v>0.62</v>
      </c>
      <c r="H1504">
        <v>0.31</v>
      </c>
      <c r="I1504" t="s">
        <v>34</v>
      </c>
      <c r="J1504">
        <v>182733</v>
      </c>
      <c r="K1504" t="s">
        <v>25</v>
      </c>
      <c r="L1504">
        <v>25</v>
      </c>
      <c r="M1504">
        <v>51</v>
      </c>
      <c r="N1504" t="s">
        <v>42</v>
      </c>
      <c r="O1504" t="s">
        <v>25</v>
      </c>
      <c r="P1504">
        <v>4.95</v>
      </c>
      <c r="Q1504" t="s">
        <v>34</v>
      </c>
      <c r="R1504">
        <v>1.33</v>
      </c>
      <c r="S1504" t="s">
        <v>43</v>
      </c>
      <c r="T1504" t="str">
        <f t="shared" si="46"/>
        <v>Moderate</v>
      </c>
      <c r="U1504" t="str">
        <f t="shared" si="47"/>
        <v>Expert</v>
      </c>
    </row>
    <row r="1505" spans="1:21" x14ac:dyDescent="0.35">
      <c r="A1505" t="s">
        <v>1578</v>
      </c>
      <c r="B1505" t="s">
        <v>68</v>
      </c>
      <c r="C1505" t="s">
        <v>107</v>
      </c>
      <c r="D1505" t="s">
        <v>75</v>
      </c>
      <c r="E1505" t="s">
        <v>23</v>
      </c>
      <c r="F1505">
        <v>15</v>
      </c>
      <c r="G1505">
        <v>0.55000000000000004</v>
      </c>
      <c r="H1505">
        <v>0.61</v>
      </c>
      <c r="I1505" t="s">
        <v>24</v>
      </c>
      <c r="J1505">
        <v>30724</v>
      </c>
      <c r="K1505" t="s">
        <v>42</v>
      </c>
      <c r="L1505">
        <v>0</v>
      </c>
      <c r="M1505">
        <v>31</v>
      </c>
      <c r="N1505" t="s">
        <v>42</v>
      </c>
      <c r="O1505" t="s">
        <v>36</v>
      </c>
      <c r="P1505">
        <v>3.95</v>
      </c>
      <c r="Q1505" t="s">
        <v>24</v>
      </c>
      <c r="R1505">
        <v>2.89</v>
      </c>
      <c r="S1505" t="s">
        <v>43</v>
      </c>
      <c r="T1505" t="str">
        <f t="shared" si="46"/>
        <v>High</v>
      </c>
      <c r="U1505" t="str">
        <f t="shared" si="47"/>
        <v>Experienced</v>
      </c>
    </row>
    <row r="1506" spans="1:21" x14ac:dyDescent="0.35">
      <c r="A1506" t="s">
        <v>1579</v>
      </c>
      <c r="B1506" t="s">
        <v>91</v>
      </c>
      <c r="C1506" t="s">
        <v>46</v>
      </c>
      <c r="D1506" t="s">
        <v>69</v>
      </c>
      <c r="E1506" t="s">
        <v>23</v>
      </c>
      <c r="F1506">
        <v>22</v>
      </c>
      <c r="G1506">
        <v>0.43</v>
      </c>
      <c r="H1506">
        <v>0.63</v>
      </c>
      <c r="I1506" t="s">
        <v>24</v>
      </c>
      <c r="J1506">
        <v>127777</v>
      </c>
      <c r="K1506" t="s">
        <v>27</v>
      </c>
      <c r="L1506">
        <v>8</v>
      </c>
      <c r="M1506">
        <v>43</v>
      </c>
      <c r="N1506" t="s">
        <v>35</v>
      </c>
      <c r="O1506" t="s">
        <v>27</v>
      </c>
      <c r="P1506">
        <v>2.16</v>
      </c>
      <c r="Q1506" t="s">
        <v>24</v>
      </c>
      <c r="R1506">
        <v>1.37</v>
      </c>
      <c r="S1506" t="s">
        <v>28</v>
      </c>
      <c r="T1506" t="str">
        <f t="shared" si="46"/>
        <v>High</v>
      </c>
      <c r="U1506" t="str">
        <f t="shared" si="47"/>
        <v>Expert</v>
      </c>
    </row>
    <row r="1507" spans="1:21" x14ac:dyDescent="0.35">
      <c r="A1507" t="s">
        <v>1580</v>
      </c>
      <c r="B1507" t="s">
        <v>156</v>
      </c>
      <c r="C1507" t="s">
        <v>82</v>
      </c>
      <c r="D1507" t="s">
        <v>75</v>
      </c>
      <c r="E1507" t="s">
        <v>70</v>
      </c>
      <c r="F1507">
        <v>1</v>
      </c>
      <c r="G1507">
        <v>0.78</v>
      </c>
      <c r="H1507">
        <v>0.59</v>
      </c>
      <c r="I1507" t="s">
        <v>24</v>
      </c>
      <c r="J1507">
        <v>124927</v>
      </c>
      <c r="K1507" t="s">
        <v>42</v>
      </c>
      <c r="L1507">
        <v>32</v>
      </c>
      <c r="M1507">
        <v>39</v>
      </c>
      <c r="N1507" t="s">
        <v>26</v>
      </c>
      <c r="O1507" t="s">
        <v>36</v>
      </c>
      <c r="P1507">
        <v>2.4900000000000002</v>
      </c>
      <c r="Q1507" t="s">
        <v>24</v>
      </c>
      <c r="R1507">
        <v>3.81</v>
      </c>
      <c r="S1507" t="s">
        <v>28</v>
      </c>
      <c r="T1507" t="str">
        <f t="shared" si="46"/>
        <v>Moderate</v>
      </c>
      <c r="U1507" t="str">
        <f t="shared" si="47"/>
        <v>Beginner</v>
      </c>
    </row>
    <row r="1508" spans="1:21" x14ac:dyDescent="0.35">
      <c r="A1508" t="s">
        <v>1581</v>
      </c>
      <c r="B1508" t="s">
        <v>147</v>
      </c>
      <c r="C1508" t="s">
        <v>46</v>
      </c>
      <c r="D1508" t="s">
        <v>22</v>
      </c>
      <c r="E1508" t="s">
        <v>23</v>
      </c>
      <c r="F1508">
        <v>8</v>
      </c>
      <c r="G1508">
        <v>0.2</v>
      </c>
      <c r="H1508">
        <v>0.91</v>
      </c>
      <c r="I1508" t="s">
        <v>60</v>
      </c>
      <c r="J1508">
        <v>153382</v>
      </c>
      <c r="K1508" t="s">
        <v>42</v>
      </c>
      <c r="L1508">
        <v>33</v>
      </c>
      <c r="M1508">
        <v>52</v>
      </c>
      <c r="N1508" t="s">
        <v>26</v>
      </c>
      <c r="O1508" t="s">
        <v>27</v>
      </c>
      <c r="P1508">
        <v>4.58</v>
      </c>
      <c r="Q1508" t="s">
        <v>34</v>
      </c>
      <c r="R1508">
        <v>3.56</v>
      </c>
      <c r="S1508" t="s">
        <v>28</v>
      </c>
      <c r="T1508" t="str">
        <f t="shared" si="46"/>
        <v>Very High</v>
      </c>
      <c r="U1508" t="str">
        <f t="shared" si="47"/>
        <v>Intermediate</v>
      </c>
    </row>
    <row r="1509" spans="1:21" x14ac:dyDescent="0.35">
      <c r="A1509" t="s">
        <v>1582</v>
      </c>
      <c r="B1509" t="s">
        <v>77</v>
      </c>
      <c r="C1509" t="s">
        <v>31</v>
      </c>
      <c r="D1509" t="s">
        <v>32</v>
      </c>
      <c r="E1509" t="s">
        <v>41</v>
      </c>
      <c r="F1509">
        <v>9</v>
      </c>
      <c r="G1509">
        <v>0.2</v>
      </c>
      <c r="H1509">
        <v>0.32</v>
      </c>
      <c r="I1509" t="s">
        <v>24</v>
      </c>
      <c r="J1509">
        <v>203829</v>
      </c>
      <c r="K1509" t="s">
        <v>42</v>
      </c>
      <c r="L1509">
        <v>8</v>
      </c>
      <c r="M1509">
        <v>33</v>
      </c>
      <c r="N1509" t="s">
        <v>42</v>
      </c>
      <c r="O1509" t="s">
        <v>27</v>
      </c>
      <c r="P1509">
        <v>2.63</v>
      </c>
      <c r="Q1509" t="s">
        <v>34</v>
      </c>
      <c r="R1509">
        <v>1.1599999999999999</v>
      </c>
      <c r="S1509" t="s">
        <v>28</v>
      </c>
      <c r="T1509" t="str">
        <f t="shared" si="46"/>
        <v>High</v>
      </c>
      <c r="U1509" t="str">
        <f t="shared" si="47"/>
        <v>Experienced</v>
      </c>
    </row>
    <row r="1510" spans="1:21" x14ac:dyDescent="0.35">
      <c r="A1510" t="s">
        <v>1583</v>
      </c>
      <c r="B1510" t="s">
        <v>94</v>
      </c>
      <c r="C1510" t="s">
        <v>52</v>
      </c>
      <c r="D1510" t="s">
        <v>22</v>
      </c>
      <c r="E1510" t="s">
        <v>23</v>
      </c>
      <c r="F1510">
        <v>12</v>
      </c>
      <c r="G1510">
        <v>0.93</v>
      </c>
      <c r="H1510">
        <v>0.81</v>
      </c>
      <c r="I1510" t="s">
        <v>60</v>
      </c>
      <c r="J1510">
        <v>146428</v>
      </c>
      <c r="K1510" t="s">
        <v>25</v>
      </c>
      <c r="L1510">
        <v>37</v>
      </c>
      <c r="M1510">
        <v>51</v>
      </c>
      <c r="N1510" t="s">
        <v>42</v>
      </c>
      <c r="O1510" t="s">
        <v>25</v>
      </c>
      <c r="P1510">
        <v>4.51</v>
      </c>
      <c r="Q1510" t="s">
        <v>34</v>
      </c>
      <c r="R1510">
        <v>2.37</v>
      </c>
      <c r="S1510" t="s">
        <v>47</v>
      </c>
      <c r="T1510" t="str">
        <f t="shared" si="46"/>
        <v>Moderate</v>
      </c>
      <c r="U1510" t="str">
        <f t="shared" si="47"/>
        <v>Experienced</v>
      </c>
    </row>
    <row r="1511" spans="1:21" x14ac:dyDescent="0.35">
      <c r="A1511" t="s">
        <v>1584</v>
      </c>
      <c r="B1511" t="s">
        <v>54</v>
      </c>
      <c r="C1511" t="s">
        <v>31</v>
      </c>
      <c r="D1511" t="s">
        <v>22</v>
      </c>
      <c r="E1511" t="s">
        <v>41</v>
      </c>
      <c r="F1511">
        <v>16</v>
      </c>
      <c r="G1511">
        <v>0.7</v>
      </c>
      <c r="H1511">
        <v>0.61</v>
      </c>
      <c r="I1511" t="s">
        <v>24</v>
      </c>
      <c r="J1511">
        <v>50667</v>
      </c>
      <c r="K1511" t="s">
        <v>25</v>
      </c>
      <c r="L1511">
        <v>42</v>
      </c>
      <c r="M1511">
        <v>55</v>
      </c>
      <c r="N1511" t="s">
        <v>42</v>
      </c>
      <c r="O1511" t="s">
        <v>27</v>
      </c>
      <c r="P1511">
        <v>3.2</v>
      </c>
      <c r="Q1511" t="s">
        <v>34</v>
      </c>
      <c r="R1511">
        <v>3.94</v>
      </c>
      <c r="S1511" t="s">
        <v>28</v>
      </c>
      <c r="T1511" t="str">
        <f t="shared" si="46"/>
        <v>Moderate</v>
      </c>
      <c r="U1511" t="str">
        <f t="shared" si="47"/>
        <v>Expert</v>
      </c>
    </row>
    <row r="1512" spans="1:21" x14ac:dyDescent="0.35">
      <c r="A1512" t="s">
        <v>1585</v>
      </c>
      <c r="B1512" t="s">
        <v>102</v>
      </c>
      <c r="C1512" t="s">
        <v>82</v>
      </c>
      <c r="D1512" t="s">
        <v>66</v>
      </c>
      <c r="E1512" t="s">
        <v>70</v>
      </c>
      <c r="F1512">
        <v>24</v>
      </c>
      <c r="G1512">
        <v>0.56000000000000005</v>
      </c>
      <c r="H1512">
        <v>0.66</v>
      </c>
      <c r="I1512" t="s">
        <v>24</v>
      </c>
      <c r="J1512">
        <v>144486</v>
      </c>
      <c r="K1512" t="s">
        <v>42</v>
      </c>
      <c r="L1512">
        <v>-1</v>
      </c>
      <c r="M1512">
        <v>44</v>
      </c>
      <c r="N1512" t="s">
        <v>26</v>
      </c>
      <c r="O1512" t="s">
        <v>27</v>
      </c>
      <c r="P1512">
        <v>2.33</v>
      </c>
      <c r="Q1512" t="s">
        <v>24</v>
      </c>
      <c r="R1512">
        <v>1.36</v>
      </c>
      <c r="S1512" t="s">
        <v>47</v>
      </c>
      <c r="T1512" t="str">
        <f t="shared" si="46"/>
        <v>High</v>
      </c>
      <c r="U1512" t="str">
        <f t="shared" si="47"/>
        <v>Expert</v>
      </c>
    </row>
    <row r="1513" spans="1:21" x14ac:dyDescent="0.35">
      <c r="A1513" t="s">
        <v>1586</v>
      </c>
      <c r="B1513" t="s">
        <v>30</v>
      </c>
      <c r="C1513" t="s">
        <v>46</v>
      </c>
      <c r="D1513" t="s">
        <v>59</v>
      </c>
      <c r="E1513" t="s">
        <v>33</v>
      </c>
      <c r="F1513">
        <v>2</v>
      </c>
      <c r="G1513">
        <v>0.86</v>
      </c>
      <c r="H1513">
        <v>0.68</v>
      </c>
      <c r="I1513" t="s">
        <v>24</v>
      </c>
      <c r="J1513">
        <v>205193</v>
      </c>
      <c r="K1513" t="s">
        <v>42</v>
      </c>
      <c r="L1513">
        <v>42</v>
      </c>
      <c r="M1513">
        <v>48</v>
      </c>
      <c r="N1513" t="s">
        <v>42</v>
      </c>
      <c r="O1513" t="s">
        <v>25</v>
      </c>
      <c r="P1513">
        <v>3.5</v>
      </c>
      <c r="Q1513" t="s">
        <v>24</v>
      </c>
      <c r="R1513">
        <v>1.21</v>
      </c>
      <c r="S1513" t="s">
        <v>28</v>
      </c>
      <c r="T1513" t="str">
        <f t="shared" si="46"/>
        <v>Moderate</v>
      </c>
      <c r="U1513" t="str">
        <f t="shared" si="47"/>
        <v>Beginner</v>
      </c>
    </row>
    <row r="1514" spans="1:21" x14ac:dyDescent="0.35">
      <c r="A1514" t="s">
        <v>1587</v>
      </c>
      <c r="B1514" t="s">
        <v>54</v>
      </c>
      <c r="C1514" t="s">
        <v>82</v>
      </c>
      <c r="D1514" t="s">
        <v>63</v>
      </c>
      <c r="E1514" t="s">
        <v>23</v>
      </c>
      <c r="F1514">
        <v>21</v>
      </c>
      <c r="G1514">
        <v>0.85</v>
      </c>
      <c r="H1514">
        <v>0.32</v>
      </c>
      <c r="I1514" t="s">
        <v>24</v>
      </c>
      <c r="J1514">
        <v>139731</v>
      </c>
      <c r="K1514" t="s">
        <v>25</v>
      </c>
      <c r="L1514">
        <v>11</v>
      </c>
      <c r="M1514">
        <v>57</v>
      </c>
      <c r="N1514" t="s">
        <v>42</v>
      </c>
      <c r="O1514" t="s">
        <v>36</v>
      </c>
      <c r="P1514">
        <v>3.64</v>
      </c>
      <c r="Q1514" t="s">
        <v>24</v>
      </c>
      <c r="R1514">
        <v>4.29</v>
      </c>
      <c r="S1514" t="s">
        <v>28</v>
      </c>
      <c r="T1514" t="str">
        <f t="shared" si="46"/>
        <v>Very Low</v>
      </c>
      <c r="U1514" t="str">
        <f t="shared" si="47"/>
        <v>Expert</v>
      </c>
    </row>
    <row r="1515" spans="1:21" x14ac:dyDescent="0.35">
      <c r="A1515" t="s">
        <v>1588</v>
      </c>
      <c r="B1515" t="s">
        <v>54</v>
      </c>
      <c r="C1515" t="s">
        <v>46</v>
      </c>
      <c r="D1515" t="s">
        <v>80</v>
      </c>
      <c r="E1515" t="s">
        <v>70</v>
      </c>
      <c r="F1515">
        <v>14</v>
      </c>
      <c r="G1515">
        <v>0.77</v>
      </c>
      <c r="H1515">
        <v>0.56999999999999995</v>
      </c>
      <c r="I1515" t="s">
        <v>34</v>
      </c>
      <c r="J1515">
        <v>209067</v>
      </c>
      <c r="K1515" t="s">
        <v>42</v>
      </c>
      <c r="L1515">
        <v>-10</v>
      </c>
      <c r="M1515">
        <v>39</v>
      </c>
      <c r="N1515" t="s">
        <v>35</v>
      </c>
      <c r="O1515" t="s">
        <v>27</v>
      </c>
      <c r="P1515">
        <v>2.74</v>
      </c>
      <c r="Q1515" t="s">
        <v>34</v>
      </c>
      <c r="R1515">
        <v>4.83</v>
      </c>
      <c r="S1515" t="s">
        <v>43</v>
      </c>
      <c r="T1515" t="str">
        <f t="shared" si="46"/>
        <v>Moderate</v>
      </c>
      <c r="U1515" t="str">
        <f t="shared" si="47"/>
        <v>Experienced</v>
      </c>
    </row>
    <row r="1516" spans="1:21" x14ac:dyDescent="0.35">
      <c r="A1516" t="s">
        <v>1589</v>
      </c>
      <c r="B1516" t="s">
        <v>20</v>
      </c>
      <c r="C1516" t="s">
        <v>58</v>
      </c>
      <c r="D1516" t="s">
        <v>66</v>
      </c>
      <c r="E1516" t="s">
        <v>70</v>
      </c>
      <c r="F1516">
        <v>25</v>
      </c>
      <c r="G1516">
        <v>0.12</v>
      </c>
      <c r="H1516">
        <v>0.34</v>
      </c>
      <c r="I1516" t="s">
        <v>24</v>
      </c>
      <c r="J1516">
        <v>118067</v>
      </c>
      <c r="K1516" t="s">
        <v>27</v>
      </c>
      <c r="L1516">
        <v>43</v>
      </c>
      <c r="M1516">
        <v>58</v>
      </c>
      <c r="N1516" t="s">
        <v>35</v>
      </c>
      <c r="O1516" t="s">
        <v>36</v>
      </c>
      <c r="P1516">
        <v>3.34</v>
      </c>
      <c r="Q1516" t="s">
        <v>34</v>
      </c>
      <c r="R1516">
        <v>3.48</v>
      </c>
      <c r="S1516" t="s">
        <v>28</v>
      </c>
      <c r="T1516" t="str">
        <f t="shared" si="46"/>
        <v>High</v>
      </c>
      <c r="U1516" t="str">
        <f t="shared" si="47"/>
        <v>Expert</v>
      </c>
    </row>
    <row r="1517" spans="1:21" x14ac:dyDescent="0.35">
      <c r="A1517" t="s">
        <v>1590</v>
      </c>
      <c r="B1517" t="s">
        <v>62</v>
      </c>
      <c r="C1517" t="s">
        <v>21</v>
      </c>
      <c r="D1517" t="s">
        <v>59</v>
      </c>
      <c r="E1517" t="s">
        <v>70</v>
      </c>
      <c r="F1517">
        <v>0</v>
      </c>
      <c r="G1517">
        <v>0.3</v>
      </c>
      <c r="H1517">
        <v>0.61</v>
      </c>
      <c r="I1517" t="s">
        <v>24</v>
      </c>
      <c r="J1517">
        <v>148467</v>
      </c>
      <c r="K1517" t="s">
        <v>27</v>
      </c>
      <c r="L1517">
        <v>-2</v>
      </c>
      <c r="M1517">
        <v>53</v>
      </c>
      <c r="N1517" t="s">
        <v>26</v>
      </c>
      <c r="O1517" t="s">
        <v>27</v>
      </c>
      <c r="P1517">
        <v>4.95</v>
      </c>
      <c r="Q1517" t="s">
        <v>34</v>
      </c>
      <c r="R1517">
        <v>4.9800000000000004</v>
      </c>
      <c r="S1517" t="s">
        <v>47</v>
      </c>
      <c r="T1517" t="str">
        <f t="shared" si="46"/>
        <v>High</v>
      </c>
      <c r="U1517" t="str">
        <f t="shared" si="47"/>
        <v>Beginner</v>
      </c>
    </row>
    <row r="1518" spans="1:21" x14ac:dyDescent="0.35">
      <c r="A1518" t="s">
        <v>1591</v>
      </c>
      <c r="B1518" t="s">
        <v>102</v>
      </c>
      <c r="C1518" t="s">
        <v>31</v>
      </c>
      <c r="D1518" t="s">
        <v>69</v>
      </c>
      <c r="E1518" t="s">
        <v>33</v>
      </c>
      <c r="F1518">
        <v>16</v>
      </c>
      <c r="G1518">
        <v>0.94</v>
      </c>
      <c r="H1518">
        <v>0.98</v>
      </c>
      <c r="I1518" t="s">
        <v>60</v>
      </c>
      <c r="J1518">
        <v>182417</v>
      </c>
      <c r="K1518" t="s">
        <v>25</v>
      </c>
      <c r="L1518">
        <v>-3</v>
      </c>
      <c r="M1518">
        <v>34</v>
      </c>
      <c r="N1518" t="s">
        <v>42</v>
      </c>
      <c r="O1518" t="s">
        <v>27</v>
      </c>
      <c r="P1518">
        <v>2.86</v>
      </c>
      <c r="Q1518" t="s">
        <v>34</v>
      </c>
      <c r="R1518">
        <v>2.91</v>
      </c>
      <c r="S1518" t="s">
        <v>47</v>
      </c>
      <c r="T1518" t="str">
        <f t="shared" si="46"/>
        <v>High</v>
      </c>
      <c r="U1518" t="str">
        <f t="shared" si="47"/>
        <v>Expert</v>
      </c>
    </row>
    <row r="1519" spans="1:21" x14ac:dyDescent="0.35">
      <c r="A1519" t="s">
        <v>1592</v>
      </c>
      <c r="B1519" t="s">
        <v>106</v>
      </c>
      <c r="C1519" t="s">
        <v>39</v>
      </c>
      <c r="D1519" t="s">
        <v>75</v>
      </c>
      <c r="E1519" t="s">
        <v>23</v>
      </c>
      <c r="F1519">
        <v>0</v>
      </c>
      <c r="G1519">
        <v>0.42</v>
      </c>
      <c r="H1519">
        <v>0.83</v>
      </c>
      <c r="I1519" t="s">
        <v>60</v>
      </c>
      <c r="J1519">
        <v>65678</v>
      </c>
      <c r="K1519" t="s">
        <v>42</v>
      </c>
      <c r="L1519">
        <v>11</v>
      </c>
      <c r="M1519">
        <v>49</v>
      </c>
      <c r="N1519" t="s">
        <v>42</v>
      </c>
      <c r="O1519" t="s">
        <v>27</v>
      </c>
      <c r="P1519">
        <v>2.09</v>
      </c>
      <c r="Q1519" t="s">
        <v>34</v>
      </c>
      <c r="R1519">
        <v>4.87</v>
      </c>
      <c r="S1519" t="s">
        <v>47</v>
      </c>
      <c r="T1519" t="str">
        <f t="shared" si="46"/>
        <v>High</v>
      </c>
      <c r="U1519" t="str">
        <f t="shared" si="47"/>
        <v>Beginner</v>
      </c>
    </row>
    <row r="1520" spans="1:21" x14ac:dyDescent="0.35">
      <c r="A1520" t="s">
        <v>1593</v>
      </c>
      <c r="B1520" t="s">
        <v>51</v>
      </c>
      <c r="C1520" t="s">
        <v>107</v>
      </c>
      <c r="D1520" t="s">
        <v>40</v>
      </c>
      <c r="E1520" t="s">
        <v>23</v>
      </c>
      <c r="F1520">
        <v>20</v>
      </c>
      <c r="G1520">
        <v>0.27</v>
      </c>
      <c r="H1520">
        <v>0.24</v>
      </c>
      <c r="I1520" t="s">
        <v>60</v>
      </c>
      <c r="J1520">
        <v>145341</v>
      </c>
      <c r="K1520" t="s">
        <v>25</v>
      </c>
      <c r="L1520">
        <v>8</v>
      </c>
      <c r="M1520">
        <v>39</v>
      </c>
      <c r="N1520" t="s">
        <v>42</v>
      </c>
      <c r="O1520" t="s">
        <v>36</v>
      </c>
      <c r="P1520">
        <v>3.26</v>
      </c>
      <c r="Q1520" t="s">
        <v>24</v>
      </c>
      <c r="R1520">
        <v>4.2</v>
      </c>
      <c r="S1520" t="s">
        <v>47</v>
      </c>
      <c r="T1520" t="str">
        <f t="shared" si="46"/>
        <v>Moderate</v>
      </c>
      <c r="U1520" t="str">
        <f t="shared" si="47"/>
        <v>Expert</v>
      </c>
    </row>
    <row r="1521" spans="1:21" x14ac:dyDescent="0.35">
      <c r="A1521" t="s">
        <v>1594</v>
      </c>
      <c r="B1521" t="s">
        <v>20</v>
      </c>
      <c r="C1521" t="s">
        <v>58</v>
      </c>
      <c r="D1521" t="s">
        <v>69</v>
      </c>
      <c r="E1521" t="s">
        <v>23</v>
      </c>
      <c r="F1521">
        <v>2</v>
      </c>
      <c r="G1521">
        <v>0.54</v>
      </c>
      <c r="H1521">
        <v>0.35</v>
      </c>
      <c r="I1521" t="s">
        <v>34</v>
      </c>
      <c r="J1521">
        <v>157997</v>
      </c>
      <c r="K1521" t="s">
        <v>27</v>
      </c>
      <c r="L1521">
        <v>9</v>
      </c>
      <c r="M1521">
        <v>41</v>
      </c>
      <c r="N1521" t="s">
        <v>26</v>
      </c>
      <c r="O1521" t="s">
        <v>27</v>
      </c>
      <c r="P1521">
        <v>2.99</v>
      </c>
      <c r="Q1521" t="s">
        <v>34</v>
      </c>
      <c r="R1521">
        <v>2.5099999999999998</v>
      </c>
      <c r="S1521" t="s">
        <v>43</v>
      </c>
      <c r="T1521" t="str">
        <f t="shared" si="46"/>
        <v>Moderate</v>
      </c>
      <c r="U1521" t="str">
        <f t="shared" si="47"/>
        <v>Beginner</v>
      </c>
    </row>
    <row r="1522" spans="1:21" x14ac:dyDescent="0.35">
      <c r="A1522" t="s">
        <v>1595</v>
      </c>
      <c r="B1522" t="s">
        <v>51</v>
      </c>
      <c r="C1522" t="s">
        <v>74</v>
      </c>
      <c r="D1522" t="s">
        <v>32</v>
      </c>
      <c r="E1522" t="s">
        <v>41</v>
      </c>
      <c r="F1522">
        <v>5</v>
      </c>
      <c r="G1522">
        <v>0.62</v>
      </c>
      <c r="H1522">
        <v>0.64</v>
      </c>
      <c r="I1522" t="s">
        <v>60</v>
      </c>
      <c r="J1522">
        <v>166905</v>
      </c>
      <c r="K1522" t="s">
        <v>27</v>
      </c>
      <c r="L1522">
        <v>35</v>
      </c>
      <c r="M1522">
        <v>47</v>
      </c>
      <c r="N1522" t="s">
        <v>42</v>
      </c>
      <c r="O1522" t="s">
        <v>36</v>
      </c>
      <c r="P1522">
        <v>3.75</v>
      </c>
      <c r="Q1522" t="s">
        <v>34</v>
      </c>
      <c r="R1522">
        <v>4.34</v>
      </c>
      <c r="S1522" t="s">
        <v>28</v>
      </c>
      <c r="T1522" t="str">
        <f t="shared" si="46"/>
        <v>High</v>
      </c>
      <c r="U1522" t="str">
        <f t="shared" si="47"/>
        <v>Intermediate</v>
      </c>
    </row>
    <row r="1523" spans="1:21" x14ac:dyDescent="0.35">
      <c r="A1523" t="s">
        <v>1596</v>
      </c>
      <c r="B1523" t="s">
        <v>20</v>
      </c>
      <c r="C1523" t="s">
        <v>31</v>
      </c>
      <c r="D1523" t="s">
        <v>49</v>
      </c>
      <c r="E1523" t="s">
        <v>41</v>
      </c>
      <c r="F1523">
        <v>10</v>
      </c>
      <c r="G1523">
        <v>0.5</v>
      </c>
      <c r="H1523">
        <v>0.32</v>
      </c>
      <c r="I1523" t="s">
        <v>24</v>
      </c>
      <c r="J1523">
        <v>211581</v>
      </c>
      <c r="K1523" t="s">
        <v>25</v>
      </c>
      <c r="L1523">
        <v>5</v>
      </c>
      <c r="M1523">
        <v>32</v>
      </c>
      <c r="N1523" t="s">
        <v>26</v>
      </c>
      <c r="O1523" t="s">
        <v>25</v>
      </c>
      <c r="P1523">
        <v>4.5199999999999996</v>
      </c>
      <c r="Q1523" t="s">
        <v>24</v>
      </c>
      <c r="R1523">
        <v>4.26</v>
      </c>
      <c r="S1523" t="s">
        <v>28</v>
      </c>
      <c r="T1523" t="str">
        <f t="shared" si="46"/>
        <v>Moderate</v>
      </c>
      <c r="U1523" t="str">
        <f t="shared" si="47"/>
        <v>Experienced</v>
      </c>
    </row>
    <row r="1524" spans="1:21" x14ac:dyDescent="0.35">
      <c r="A1524" t="s">
        <v>1597</v>
      </c>
      <c r="B1524" t="s">
        <v>65</v>
      </c>
      <c r="C1524" t="s">
        <v>52</v>
      </c>
      <c r="D1524" t="s">
        <v>66</v>
      </c>
      <c r="E1524" t="s">
        <v>33</v>
      </c>
      <c r="F1524">
        <v>25</v>
      </c>
      <c r="G1524">
        <v>0.24</v>
      </c>
      <c r="H1524">
        <v>0.54</v>
      </c>
      <c r="I1524" t="s">
        <v>34</v>
      </c>
      <c r="J1524">
        <v>130043</v>
      </c>
      <c r="K1524" t="s">
        <v>27</v>
      </c>
      <c r="L1524">
        <v>20</v>
      </c>
      <c r="M1524">
        <v>47</v>
      </c>
      <c r="N1524" t="s">
        <v>42</v>
      </c>
      <c r="O1524" t="s">
        <v>25</v>
      </c>
      <c r="P1524">
        <v>3.28</v>
      </c>
      <c r="Q1524" t="s">
        <v>34</v>
      </c>
      <c r="R1524">
        <v>1.74</v>
      </c>
      <c r="S1524" t="s">
        <v>47</v>
      </c>
      <c r="T1524" t="str">
        <f t="shared" si="46"/>
        <v>High</v>
      </c>
      <c r="U1524" t="str">
        <f t="shared" si="47"/>
        <v>Expert</v>
      </c>
    </row>
    <row r="1525" spans="1:21" x14ac:dyDescent="0.35">
      <c r="A1525" t="s">
        <v>1598</v>
      </c>
      <c r="B1525" t="s">
        <v>57</v>
      </c>
      <c r="C1525" t="s">
        <v>31</v>
      </c>
      <c r="D1525" t="s">
        <v>49</v>
      </c>
      <c r="E1525" t="s">
        <v>41</v>
      </c>
      <c r="F1525">
        <v>23</v>
      </c>
      <c r="G1525">
        <v>0.94</v>
      </c>
      <c r="H1525">
        <v>0.57999999999999996</v>
      </c>
      <c r="I1525" t="s">
        <v>24</v>
      </c>
      <c r="J1525">
        <v>177072</v>
      </c>
      <c r="K1525" t="s">
        <v>42</v>
      </c>
      <c r="L1525">
        <v>1</v>
      </c>
      <c r="M1525">
        <v>51</v>
      </c>
      <c r="N1525" t="s">
        <v>26</v>
      </c>
      <c r="O1525" t="s">
        <v>25</v>
      </c>
      <c r="P1525">
        <v>4.47</v>
      </c>
      <c r="Q1525" t="s">
        <v>34</v>
      </c>
      <c r="R1525">
        <v>3.55</v>
      </c>
      <c r="S1525" t="s">
        <v>43</v>
      </c>
      <c r="T1525" t="str">
        <f t="shared" si="46"/>
        <v>Moderate</v>
      </c>
      <c r="U1525" t="str">
        <f t="shared" si="47"/>
        <v>Expert</v>
      </c>
    </row>
    <row r="1526" spans="1:21" x14ac:dyDescent="0.35">
      <c r="A1526" t="s">
        <v>1599</v>
      </c>
      <c r="B1526" t="s">
        <v>91</v>
      </c>
      <c r="C1526" t="s">
        <v>107</v>
      </c>
      <c r="D1526" t="s">
        <v>75</v>
      </c>
      <c r="E1526" t="s">
        <v>41</v>
      </c>
      <c r="F1526">
        <v>8</v>
      </c>
      <c r="G1526">
        <v>0.21</v>
      </c>
      <c r="H1526">
        <v>0.95</v>
      </c>
      <c r="I1526" t="s">
        <v>34</v>
      </c>
      <c r="J1526">
        <v>63833</v>
      </c>
      <c r="K1526" t="s">
        <v>25</v>
      </c>
      <c r="L1526">
        <v>11</v>
      </c>
      <c r="M1526">
        <v>46</v>
      </c>
      <c r="N1526" t="s">
        <v>42</v>
      </c>
      <c r="O1526" t="s">
        <v>27</v>
      </c>
      <c r="P1526">
        <v>3.75</v>
      </c>
      <c r="Q1526" t="s">
        <v>24</v>
      </c>
      <c r="R1526">
        <v>1.24</v>
      </c>
      <c r="S1526" t="s">
        <v>47</v>
      </c>
      <c r="T1526" t="str">
        <f t="shared" si="46"/>
        <v>Very High</v>
      </c>
      <c r="U1526" t="str">
        <f t="shared" si="47"/>
        <v>Intermediate</v>
      </c>
    </row>
    <row r="1527" spans="1:21" x14ac:dyDescent="0.35">
      <c r="A1527" t="s">
        <v>1600</v>
      </c>
      <c r="B1527" t="s">
        <v>51</v>
      </c>
      <c r="C1527" t="s">
        <v>31</v>
      </c>
      <c r="D1527" t="s">
        <v>75</v>
      </c>
      <c r="E1527" t="s">
        <v>33</v>
      </c>
      <c r="F1527">
        <v>10</v>
      </c>
      <c r="G1527">
        <v>0.45</v>
      </c>
      <c r="H1527">
        <v>0.92</v>
      </c>
      <c r="I1527" t="s">
        <v>34</v>
      </c>
      <c r="J1527">
        <v>111834</v>
      </c>
      <c r="K1527" t="s">
        <v>42</v>
      </c>
      <c r="L1527">
        <v>8</v>
      </c>
      <c r="M1527">
        <v>59</v>
      </c>
      <c r="N1527" t="s">
        <v>42</v>
      </c>
      <c r="O1527" t="s">
        <v>27</v>
      </c>
      <c r="P1527">
        <v>3.81</v>
      </c>
      <c r="Q1527" t="s">
        <v>24</v>
      </c>
      <c r="R1527">
        <v>4.92</v>
      </c>
      <c r="S1527" t="s">
        <v>43</v>
      </c>
      <c r="T1527" t="str">
        <f t="shared" si="46"/>
        <v>High</v>
      </c>
      <c r="U1527" t="str">
        <f t="shared" si="47"/>
        <v>Experienced</v>
      </c>
    </row>
    <row r="1528" spans="1:21" x14ac:dyDescent="0.35">
      <c r="A1528" t="s">
        <v>1601</v>
      </c>
      <c r="B1528" t="s">
        <v>147</v>
      </c>
      <c r="C1528" t="s">
        <v>46</v>
      </c>
      <c r="D1528" t="s">
        <v>69</v>
      </c>
      <c r="E1528" t="s">
        <v>70</v>
      </c>
      <c r="F1528">
        <v>12</v>
      </c>
      <c r="G1528">
        <v>0.92</v>
      </c>
      <c r="H1528">
        <v>0.62</v>
      </c>
      <c r="I1528" t="s">
        <v>60</v>
      </c>
      <c r="J1528">
        <v>48127</v>
      </c>
      <c r="K1528" t="s">
        <v>42</v>
      </c>
      <c r="L1528">
        <v>4</v>
      </c>
      <c r="M1528">
        <v>46</v>
      </c>
      <c r="N1528" t="s">
        <v>42</v>
      </c>
      <c r="O1528" t="s">
        <v>36</v>
      </c>
      <c r="P1528">
        <v>3.14</v>
      </c>
      <c r="Q1528" t="s">
        <v>24</v>
      </c>
      <c r="R1528">
        <v>2.19</v>
      </c>
      <c r="S1528" t="s">
        <v>43</v>
      </c>
      <c r="T1528" t="str">
        <f t="shared" si="46"/>
        <v>Moderate</v>
      </c>
      <c r="U1528" t="str">
        <f t="shared" si="47"/>
        <v>Experienced</v>
      </c>
    </row>
    <row r="1529" spans="1:21" x14ac:dyDescent="0.35">
      <c r="A1529" t="s">
        <v>1602</v>
      </c>
      <c r="B1529" t="s">
        <v>51</v>
      </c>
      <c r="C1529" t="s">
        <v>31</v>
      </c>
      <c r="D1529" t="s">
        <v>80</v>
      </c>
      <c r="E1529" t="s">
        <v>70</v>
      </c>
      <c r="F1529">
        <v>11</v>
      </c>
      <c r="G1529">
        <v>0.69</v>
      </c>
      <c r="H1529">
        <v>0.69</v>
      </c>
      <c r="I1529" t="s">
        <v>60</v>
      </c>
      <c r="J1529">
        <v>48495</v>
      </c>
      <c r="K1529" t="s">
        <v>42</v>
      </c>
      <c r="L1529">
        <v>34</v>
      </c>
      <c r="M1529">
        <v>44</v>
      </c>
      <c r="N1529" t="s">
        <v>35</v>
      </c>
      <c r="O1529" t="s">
        <v>25</v>
      </c>
      <c r="P1529">
        <v>3.98</v>
      </c>
      <c r="Q1529" t="s">
        <v>34</v>
      </c>
      <c r="R1529">
        <v>4.5599999999999996</v>
      </c>
      <c r="S1529" t="s">
        <v>47</v>
      </c>
      <c r="T1529" t="str">
        <f t="shared" si="46"/>
        <v>Moderate</v>
      </c>
      <c r="U1529" t="str">
        <f t="shared" si="47"/>
        <v>Experienced</v>
      </c>
    </row>
    <row r="1530" spans="1:21" x14ac:dyDescent="0.35">
      <c r="A1530" t="s">
        <v>1603</v>
      </c>
      <c r="B1530" t="s">
        <v>20</v>
      </c>
      <c r="C1530" t="s">
        <v>46</v>
      </c>
      <c r="D1530" t="s">
        <v>63</v>
      </c>
      <c r="E1530" t="s">
        <v>33</v>
      </c>
      <c r="F1530">
        <v>1</v>
      </c>
      <c r="G1530">
        <v>0.08</v>
      </c>
      <c r="H1530">
        <v>0.53</v>
      </c>
      <c r="I1530" t="s">
        <v>24</v>
      </c>
      <c r="J1530">
        <v>196770</v>
      </c>
      <c r="K1530" t="s">
        <v>25</v>
      </c>
      <c r="L1530">
        <v>35</v>
      </c>
      <c r="M1530">
        <v>31</v>
      </c>
      <c r="N1530" t="s">
        <v>35</v>
      </c>
      <c r="O1530" t="s">
        <v>25</v>
      </c>
      <c r="P1530">
        <v>3.73</v>
      </c>
      <c r="Q1530" t="s">
        <v>24</v>
      </c>
      <c r="R1530">
        <v>3.78</v>
      </c>
      <c r="S1530" t="s">
        <v>47</v>
      </c>
      <c r="T1530" t="str">
        <f t="shared" si="46"/>
        <v>High</v>
      </c>
      <c r="U1530" t="str">
        <f t="shared" si="47"/>
        <v>Beginner</v>
      </c>
    </row>
    <row r="1531" spans="1:21" x14ac:dyDescent="0.35">
      <c r="A1531" t="s">
        <v>1604</v>
      </c>
      <c r="B1531" t="s">
        <v>30</v>
      </c>
      <c r="C1531" t="s">
        <v>55</v>
      </c>
      <c r="D1531" t="s">
        <v>40</v>
      </c>
      <c r="E1531" t="s">
        <v>41</v>
      </c>
      <c r="F1531">
        <v>17</v>
      </c>
      <c r="G1531">
        <v>0.37</v>
      </c>
      <c r="H1531">
        <v>0.63</v>
      </c>
      <c r="I1531" t="s">
        <v>60</v>
      </c>
      <c r="J1531">
        <v>43983</v>
      </c>
      <c r="K1531" t="s">
        <v>25</v>
      </c>
      <c r="L1531">
        <v>-3</v>
      </c>
      <c r="M1531">
        <v>41</v>
      </c>
      <c r="N1531" t="s">
        <v>35</v>
      </c>
      <c r="O1531" t="s">
        <v>25</v>
      </c>
      <c r="P1531">
        <v>3.37</v>
      </c>
      <c r="Q1531" t="s">
        <v>24</v>
      </c>
      <c r="R1531">
        <v>2.2999999999999998</v>
      </c>
      <c r="S1531" t="s">
        <v>43</v>
      </c>
      <c r="T1531" t="str">
        <f t="shared" si="46"/>
        <v>High</v>
      </c>
      <c r="U1531" t="str">
        <f t="shared" si="47"/>
        <v>Expert</v>
      </c>
    </row>
    <row r="1532" spans="1:21" x14ac:dyDescent="0.35">
      <c r="A1532" t="s">
        <v>1605</v>
      </c>
      <c r="B1532" t="s">
        <v>30</v>
      </c>
      <c r="C1532" t="s">
        <v>52</v>
      </c>
      <c r="D1532" t="s">
        <v>63</v>
      </c>
      <c r="E1532" t="s">
        <v>23</v>
      </c>
      <c r="F1532">
        <v>21</v>
      </c>
      <c r="G1532">
        <v>0.2</v>
      </c>
      <c r="H1532">
        <v>0.81</v>
      </c>
      <c r="I1532" t="s">
        <v>60</v>
      </c>
      <c r="J1532">
        <v>48580</v>
      </c>
      <c r="K1532" t="s">
        <v>42</v>
      </c>
      <c r="L1532">
        <v>19</v>
      </c>
      <c r="M1532">
        <v>52</v>
      </c>
      <c r="N1532" t="s">
        <v>26</v>
      </c>
      <c r="O1532" t="s">
        <v>27</v>
      </c>
      <c r="P1532">
        <v>4.6900000000000004</v>
      </c>
      <c r="Q1532" t="s">
        <v>34</v>
      </c>
      <c r="R1532">
        <v>4.84</v>
      </c>
      <c r="S1532" t="s">
        <v>43</v>
      </c>
      <c r="T1532" t="str">
        <f t="shared" si="46"/>
        <v>Very High</v>
      </c>
      <c r="U1532" t="str">
        <f t="shared" si="47"/>
        <v>Expert</v>
      </c>
    </row>
    <row r="1533" spans="1:21" x14ac:dyDescent="0.35">
      <c r="A1533" t="s">
        <v>1606</v>
      </c>
      <c r="B1533" t="s">
        <v>96</v>
      </c>
      <c r="C1533" t="s">
        <v>82</v>
      </c>
      <c r="D1533" t="s">
        <v>22</v>
      </c>
      <c r="E1533" t="s">
        <v>41</v>
      </c>
      <c r="F1533">
        <v>14</v>
      </c>
      <c r="G1533">
        <v>0.34</v>
      </c>
      <c r="H1533">
        <v>0.71</v>
      </c>
      <c r="I1533" t="s">
        <v>24</v>
      </c>
      <c r="J1533">
        <v>210441</v>
      </c>
      <c r="K1533" t="s">
        <v>42</v>
      </c>
      <c r="L1533">
        <v>22</v>
      </c>
      <c r="M1533">
        <v>41</v>
      </c>
      <c r="N1533" t="s">
        <v>42</v>
      </c>
      <c r="O1533" t="s">
        <v>25</v>
      </c>
      <c r="P1533">
        <v>3.68</v>
      </c>
      <c r="Q1533" t="s">
        <v>34</v>
      </c>
      <c r="R1533">
        <v>4.7699999999999996</v>
      </c>
      <c r="S1533" t="s">
        <v>28</v>
      </c>
      <c r="T1533" t="str">
        <f t="shared" si="46"/>
        <v>Very High</v>
      </c>
      <c r="U1533" t="str">
        <f t="shared" si="47"/>
        <v>Experienced</v>
      </c>
    </row>
    <row r="1534" spans="1:21" x14ac:dyDescent="0.35">
      <c r="A1534" t="s">
        <v>1607</v>
      </c>
      <c r="B1534" t="s">
        <v>65</v>
      </c>
      <c r="C1534" t="s">
        <v>82</v>
      </c>
      <c r="D1534" t="s">
        <v>40</v>
      </c>
      <c r="E1534" t="s">
        <v>23</v>
      </c>
      <c r="F1534">
        <v>20</v>
      </c>
      <c r="G1534">
        <v>0.9</v>
      </c>
      <c r="H1534">
        <v>0.91</v>
      </c>
      <c r="I1534" t="s">
        <v>34</v>
      </c>
      <c r="J1534">
        <v>168829</v>
      </c>
      <c r="K1534" t="s">
        <v>25</v>
      </c>
      <c r="L1534">
        <v>45</v>
      </c>
      <c r="M1534">
        <v>32</v>
      </c>
      <c r="N1534" t="s">
        <v>26</v>
      </c>
      <c r="O1534" t="s">
        <v>27</v>
      </c>
      <c r="P1534">
        <v>4.13</v>
      </c>
      <c r="Q1534" t="s">
        <v>24</v>
      </c>
      <c r="R1534">
        <v>2.2000000000000002</v>
      </c>
      <c r="S1534" t="s">
        <v>43</v>
      </c>
      <c r="T1534" t="str">
        <f t="shared" si="46"/>
        <v>High</v>
      </c>
      <c r="U1534" t="str">
        <f t="shared" si="47"/>
        <v>Expert</v>
      </c>
    </row>
    <row r="1535" spans="1:21" x14ac:dyDescent="0.35">
      <c r="A1535" t="s">
        <v>1608</v>
      </c>
      <c r="B1535" t="s">
        <v>106</v>
      </c>
      <c r="C1535" t="s">
        <v>107</v>
      </c>
      <c r="D1535" t="s">
        <v>69</v>
      </c>
      <c r="E1535" t="s">
        <v>70</v>
      </c>
      <c r="F1535">
        <v>14</v>
      </c>
      <c r="G1535">
        <v>0.23</v>
      </c>
      <c r="H1535">
        <v>0.82</v>
      </c>
      <c r="I1535" t="s">
        <v>24</v>
      </c>
      <c r="J1535">
        <v>204276</v>
      </c>
      <c r="K1535" t="s">
        <v>25</v>
      </c>
      <c r="L1535">
        <v>22</v>
      </c>
      <c r="M1535">
        <v>53</v>
      </c>
      <c r="N1535" t="s">
        <v>26</v>
      </c>
      <c r="O1535" t="s">
        <v>25</v>
      </c>
      <c r="P1535">
        <v>2.9</v>
      </c>
      <c r="Q1535" t="s">
        <v>24</v>
      </c>
      <c r="R1535">
        <v>1.75</v>
      </c>
      <c r="S1535" t="s">
        <v>28</v>
      </c>
      <c r="T1535" t="str">
        <f t="shared" si="46"/>
        <v>Very High</v>
      </c>
      <c r="U1535" t="str">
        <f t="shared" si="47"/>
        <v>Experienced</v>
      </c>
    </row>
    <row r="1536" spans="1:21" x14ac:dyDescent="0.35">
      <c r="A1536" t="s">
        <v>1609</v>
      </c>
      <c r="B1536" t="s">
        <v>156</v>
      </c>
      <c r="C1536" t="s">
        <v>82</v>
      </c>
      <c r="D1536" t="s">
        <v>22</v>
      </c>
      <c r="E1536" t="s">
        <v>33</v>
      </c>
      <c r="F1536">
        <v>24</v>
      </c>
      <c r="G1536">
        <v>0.71</v>
      </c>
      <c r="H1536">
        <v>0.42</v>
      </c>
      <c r="I1536" t="s">
        <v>34</v>
      </c>
      <c r="J1536">
        <v>104902</v>
      </c>
      <c r="K1536" t="s">
        <v>25</v>
      </c>
      <c r="L1536">
        <v>8</v>
      </c>
      <c r="M1536">
        <v>50</v>
      </c>
      <c r="N1536" t="s">
        <v>35</v>
      </c>
      <c r="O1536" t="s">
        <v>27</v>
      </c>
      <c r="P1536">
        <v>2.75</v>
      </c>
      <c r="Q1536" t="s">
        <v>24</v>
      </c>
      <c r="R1536">
        <v>4.1900000000000004</v>
      </c>
      <c r="S1536" t="s">
        <v>47</v>
      </c>
      <c r="T1536" t="str">
        <f t="shared" si="46"/>
        <v>Very Low</v>
      </c>
      <c r="U1536" t="str">
        <f t="shared" si="47"/>
        <v>Expert</v>
      </c>
    </row>
    <row r="1537" spans="1:21" x14ac:dyDescent="0.35">
      <c r="A1537" t="s">
        <v>1610</v>
      </c>
      <c r="B1537" t="s">
        <v>73</v>
      </c>
      <c r="C1537" t="s">
        <v>58</v>
      </c>
      <c r="D1537" t="s">
        <v>66</v>
      </c>
      <c r="E1537" t="s">
        <v>23</v>
      </c>
      <c r="F1537">
        <v>19</v>
      </c>
      <c r="G1537">
        <v>0.48</v>
      </c>
      <c r="H1537">
        <v>0.45</v>
      </c>
      <c r="I1537" t="s">
        <v>34</v>
      </c>
      <c r="J1537">
        <v>178945</v>
      </c>
      <c r="K1537" t="s">
        <v>25</v>
      </c>
      <c r="L1537">
        <v>-2</v>
      </c>
      <c r="M1537">
        <v>55</v>
      </c>
      <c r="N1537" t="s">
        <v>26</v>
      </c>
      <c r="O1537" t="s">
        <v>25</v>
      </c>
      <c r="P1537">
        <v>4.71</v>
      </c>
      <c r="Q1537" t="s">
        <v>34</v>
      </c>
      <c r="R1537">
        <v>2.21</v>
      </c>
      <c r="S1537" t="s">
        <v>47</v>
      </c>
      <c r="T1537" t="str">
        <f t="shared" si="46"/>
        <v>Moderate</v>
      </c>
      <c r="U1537" t="str">
        <f t="shared" si="47"/>
        <v>Expert</v>
      </c>
    </row>
    <row r="1538" spans="1:21" x14ac:dyDescent="0.35">
      <c r="A1538" t="s">
        <v>1611</v>
      </c>
      <c r="B1538" t="s">
        <v>54</v>
      </c>
      <c r="C1538" t="s">
        <v>55</v>
      </c>
      <c r="D1538" t="s">
        <v>63</v>
      </c>
      <c r="E1538" t="s">
        <v>23</v>
      </c>
      <c r="F1538">
        <v>2</v>
      </c>
      <c r="G1538">
        <v>0.23</v>
      </c>
      <c r="H1538">
        <v>0.44</v>
      </c>
      <c r="I1538" t="s">
        <v>24</v>
      </c>
      <c r="J1538">
        <v>91138</v>
      </c>
      <c r="K1538" t="s">
        <v>25</v>
      </c>
      <c r="L1538">
        <v>28</v>
      </c>
      <c r="M1538">
        <v>54</v>
      </c>
      <c r="N1538" t="s">
        <v>26</v>
      </c>
      <c r="O1538" t="s">
        <v>27</v>
      </c>
      <c r="P1538">
        <v>3.3</v>
      </c>
      <c r="Q1538" t="s">
        <v>24</v>
      </c>
      <c r="R1538">
        <v>4.57</v>
      </c>
      <c r="S1538" t="s">
        <v>43</v>
      </c>
      <c r="T1538" t="str">
        <f t="shared" si="46"/>
        <v>High</v>
      </c>
      <c r="U1538" t="str">
        <f t="shared" si="47"/>
        <v>Beginner</v>
      </c>
    </row>
    <row r="1539" spans="1:21" x14ac:dyDescent="0.35">
      <c r="A1539" t="s">
        <v>1612</v>
      </c>
      <c r="B1539" t="s">
        <v>51</v>
      </c>
      <c r="C1539" t="s">
        <v>46</v>
      </c>
      <c r="D1539" t="s">
        <v>40</v>
      </c>
      <c r="E1539" t="s">
        <v>33</v>
      </c>
      <c r="F1539">
        <v>16</v>
      </c>
      <c r="G1539">
        <v>0.15</v>
      </c>
      <c r="H1539">
        <v>0.28999999999999998</v>
      </c>
      <c r="I1539" t="s">
        <v>24</v>
      </c>
      <c r="J1539">
        <v>36794</v>
      </c>
      <c r="K1539" t="s">
        <v>25</v>
      </c>
      <c r="L1539">
        <v>-8</v>
      </c>
      <c r="M1539">
        <v>32</v>
      </c>
      <c r="N1539" t="s">
        <v>42</v>
      </c>
      <c r="O1539" t="s">
        <v>27</v>
      </c>
      <c r="P1539">
        <v>4.58</v>
      </c>
      <c r="Q1539" t="s">
        <v>24</v>
      </c>
      <c r="R1539">
        <v>1.65</v>
      </c>
      <c r="S1539" t="s">
        <v>28</v>
      </c>
      <c r="T1539" t="str">
        <f t="shared" ref="T1539:T1602" si="48">IF(AND(G1539&lt;0.4,H1539&gt;=0.7),"Very High",
IF(AND(G1539&gt;=0.7,H1539&lt;0.5),"Very Low",
IF(G1539&lt;H1539,"High","Moderate")))</f>
        <v>High</v>
      </c>
      <c r="U1539" t="str">
        <f t="shared" ref="U1539:U1602" si="49">_xlfn.IFS(F1539&lt;=2,"Beginner",F1539&lt;=8,"Intermediate",F1539&lt;=15,"Experienced",F1539&lt;=25,"Expert")</f>
        <v>Expert</v>
      </c>
    </row>
    <row r="1540" spans="1:21" x14ac:dyDescent="0.35">
      <c r="A1540" t="s">
        <v>1613</v>
      </c>
      <c r="B1540" t="s">
        <v>147</v>
      </c>
      <c r="C1540" t="s">
        <v>82</v>
      </c>
      <c r="D1540" t="s">
        <v>59</v>
      </c>
      <c r="E1540" t="s">
        <v>41</v>
      </c>
      <c r="F1540">
        <v>18</v>
      </c>
      <c r="G1540">
        <v>0.56999999999999995</v>
      </c>
      <c r="H1540">
        <v>0.74</v>
      </c>
      <c r="I1540" t="s">
        <v>24</v>
      </c>
      <c r="J1540">
        <v>109172</v>
      </c>
      <c r="K1540" t="s">
        <v>27</v>
      </c>
      <c r="L1540">
        <v>26</v>
      </c>
      <c r="M1540">
        <v>57</v>
      </c>
      <c r="N1540" t="s">
        <v>26</v>
      </c>
      <c r="O1540" t="s">
        <v>25</v>
      </c>
      <c r="P1540">
        <v>3.54</v>
      </c>
      <c r="Q1540" t="s">
        <v>24</v>
      </c>
      <c r="R1540">
        <v>3.68</v>
      </c>
      <c r="S1540" t="s">
        <v>47</v>
      </c>
      <c r="T1540" t="str">
        <f t="shared" si="48"/>
        <v>High</v>
      </c>
      <c r="U1540" t="str">
        <f t="shared" si="49"/>
        <v>Expert</v>
      </c>
    </row>
    <row r="1541" spans="1:21" x14ac:dyDescent="0.35">
      <c r="A1541" t="s">
        <v>1614</v>
      </c>
      <c r="B1541" t="s">
        <v>96</v>
      </c>
      <c r="C1541" t="s">
        <v>107</v>
      </c>
      <c r="D1541" t="s">
        <v>75</v>
      </c>
      <c r="E1541" t="s">
        <v>70</v>
      </c>
      <c r="F1541">
        <v>22</v>
      </c>
      <c r="G1541">
        <v>0.26</v>
      </c>
      <c r="H1541">
        <v>0.54</v>
      </c>
      <c r="I1541" t="s">
        <v>60</v>
      </c>
      <c r="J1541">
        <v>194111</v>
      </c>
      <c r="K1541" t="s">
        <v>25</v>
      </c>
      <c r="L1541">
        <v>20</v>
      </c>
      <c r="M1541">
        <v>32</v>
      </c>
      <c r="N1541" t="s">
        <v>35</v>
      </c>
      <c r="O1541" t="s">
        <v>27</v>
      </c>
      <c r="P1541">
        <v>2.65</v>
      </c>
      <c r="Q1541" t="s">
        <v>24</v>
      </c>
      <c r="R1541">
        <v>3.47</v>
      </c>
      <c r="S1541" t="s">
        <v>28</v>
      </c>
      <c r="T1541" t="str">
        <f t="shared" si="48"/>
        <v>High</v>
      </c>
      <c r="U1541" t="str">
        <f t="shared" si="49"/>
        <v>Expert</v>
      </c>
    </row>
    <row r="1542" spans="1:21" x14ac:dyDescent="0.35">
      <c r="A1542" t="s">
        <v>1615</v>
      </c>
      <c r="B1542" t="s">
        <v>156</v>
      </c>
      <c r="C1542" t="s">
        <v>39</v>
      </c>
      <c r="D1542" t="s">
        <v>66</v>
      </c>
      <c r="E1542" t="s">
        <v>70</v>
      </c>
      <c r="F1542">
        <v>18</v>
      </c>
      <c r="G1542">
        <v>0.15</v>
      </c>
      <c r="H1542">
        <v>0.77</v>
      </c>
      <c r="I1542" t="s">
        <v>34</v>
      </c>
      <c r="J1542">
        <v>71651</v>
      </c>
      <c r="K1542" t="s">
        <v>42</v>
      </c>
      <c r="L1542">
        <v>-9</v>
      </c>
      <c r="M1542">
        <v>60</v>
      </c>
      <c r="N1542" t="s">
        <v>42</v>
      </c>
      <c r="O1542" t="s">
        <v>25</v>
      </c>
      <c r="P1542">
        <v>2.77</v>
      </c>
      <c r="Q1542" t="s">
        <v>34</v>
      </c>
      <c r="R1542">
        <v>4.08</v>
      </c>
      <c r="S1542" t="s">
        <v>43</v>
      </c>
      <c r="T1542" t="str">
        <f t="shared" si="48"/>
        <v>Very High</v>
      </c>
      <c r="U1542" t="str">
        <f t="shared" si="49"/>
        <v>Expert</v>
      </c>
    </row>
    <row r="1543" spans="1:21" x14ac:dyDescent="0.35">
      <c r="A1543" t="s">
        <v>1616</v>
      </c>
      <c r="B1543" t="s">
        <v>91</v>
      </c>
      <c r="C1543" t="s">
        <v>82</v>
      </c>
      <c r="D1543" t="s">
        <v>59</v>
      </c>
      <c r="E1543" t="s">
        <v>41</v>
      </c>
      <c r="F1543">
        <v>12</v>
      </c>
      <c r="G1543">
        <v>0.73</v>
      </c>
      <c r="H1543">
        <v>0.32</v>
      </c>
      <c r="I1543" t="s">
        <v>60</v>
      </c>
      <c r="J1543">
        <v>215463</v>
      </c>
      <c r="K1543" t="s">
        <v>25</v>
      </c>
      <c r="L1543">
        <v>-3</v>
      </c>
      <c r="M1543">
        <v>42</v>
      </c>
      <c r="N1543" t="s">
        <v>35</v>
      </c>
      <c r="O1543" t="s">
        <v>25</v>
      </c>
      <c r="P1543">
        <v>3.99</v>
      </c>
      <c r="Q1543" t="s">
        <v>24</v>
      </c>
      <c r="R1543">
        <v>1.37</v>
      </c>
      <c r="S1543" t="s">
        <v>28</v>
      </c>
      <c r="T1543" t="str">
        <f t="shared" si="48"/>
        <v>Very Low</v>
      </c>
      <c r="U1543" t="str">
        <f t="shared" si="49"/>
        <v>Experienced</v>
      </c>
    </row>
    <row r="1544" spans="1:21" x14ac:dyDescent="0.35">
      <c r="A1544" t="s">
        <v>1617</v>
      </c>
      <c r="B1544" t="s">
        <v>77</v>
      </c>
      <c r="C1544" t="s">
        <v>52</v>
      </c>
      <c r="D1544" t="s">
        <v>59</v>
      </c>
      <c r="E1544" t="s">
        <v>41</v>
      </c>
      <c r="F1544">
        <v>13</v>
      </c>
      <c r="G1544">
        <v>0.91</v>
      </c>
      <c r="H1544">
        <v>0.8</v>
      </c>
      <c r="I1544" t="s">
        <v>34</v>
      </c>
      <c r="J1544">
        <v>180295</v>
      </c>
      <c r="K1544" t="s">
        <v>42</v>
      </c>
      <c r="L1544">
        <v>-9</v>
      </c>
      <c r="M1544">
        <v>30</v>
      </c>
      <c r="N1544" t="s">
        <v>42</v>
      </c>
      <c r="O1544" t="s">
        <v>27</v>
      </c>
      <c r="P1544">
        <v>3.82</v>
      </c>
      <c r="Q1544" t="s">
        <v>34</v>
      </c>
      <c r="R1544">
        <v>4.66</v>
      </c>
      <c r="S1544" t="s">
        <v>43</v>
      </c>
      <c r="T1544" t="str">
        <f t="shared" si="48"/>
        <v>Moderate</v>
      </c>
      <c r="U1544" t="str">
        <f t="shared" si="49"/>
        <v>Experienced</v>
      </c>
    </row>
    <row r="1545" spans="1:21" x14ac:dyDescent="0.35">
      <c r="A1545" t="s">
        <v>1618</v>
      </c>
      <c r="B1545" t="s">
        <v>30</v>
      </c>
      <c r="C1545" t="s">
        <v>55</v>
      </c>
      <c r="D1545" t="s">
        <v>75</v>
      </c>
      <c r="E1545" t="s">
        <v>41</v>
      </c>
      <c r="F1545">
        <v>18</v>
      </c>
      <c r="G1545">
        <v>0.1</v>
      </c>
      <c r="H1545">
        <v>0.59</v>
      </c>
      <c r="I1545" t="s">
        <v>34</v>
      </c>
      <c r="J1545">
        <v>208569</v>
      </c>
      <c r="K1545" t="s">
        <v>25</v>
      </c>
      <c r="L1545">
        <v>7</v>
      </c>
      <c r="M1545">
        <v>50</v>
      </c>
      <c r="N1545" t="s">
        <v>35</v>
      </c>
      <c r="O1545" t="s">
        <v>27</v>
      </c>
      <c r="P1545">
        <v>3.26</v>
      </c>
      <c r="Q1545" t="s">
        <v>24</v>
      </c>
      <c r="R1545">
        <v>1.73</v>
      </c>
      <c r="S1545" t="s">
        <v>43</v>
      </c>
      <c r="T1545" t="str">
        <f t="shared" si="48"/>
        <v>High</v>
      </c>
      <c r="U1545" t="str">
        <f t="shared" si="49"/>
        <v>Expert</v>
      </c>
    </row>
    <row r="1546" spans="1:21" x14ac:dyDescent="0.35">
      <c r="A1546" t="s">
        <v>1619</v>
      </c>
      <c r="B1546" t="s">
        <v>20</v>
      </c>
      <c r="C1546" t="s">
        <v>55</v>
      </c>
      <c r="D1546" t="s">
        <v>80</v>
      </c>
      <c r="E1546" t="s">
        <v>33</v>
      </c>
      <c r="F1546">
        <v>19</v>
      </c>
      <c r="G1546">
        <v>0.53</v>
      </c>
      <c r="H1546">
        <v>0.59</v>
      </c>
      <c r="I1546" t="s">
        <v>60</v>
      </c>
      <c r="J1546">
        <v>104793</v>
      </c>
      <c r="K1546" t="s">
        <v>25</v>
      </c>
      <c r="L1546">
        <v>5</v>
      </c>
      <c r="M1546">
        <v>44</v>
      </c>
      <c r="N1546" t="s">
        <v>42</v>
      </c>
      <c r="O1546" t="s">
        <v>27</v>
      </c>
      <c r="P1546">
        <v>4.2</v>
      </c>
      <c r="Q1546" t="s">
        <v>34</v>
      </c>
      <c r="R1546">
        <v>1.75</v>
      </c>
      <c r="S1546" t="s">
        <v>28</v>
      </c>
      <c r="T1546" t="str">
        <f t="shared" si="48"/>
        <v>High</v>
      </c>
      <c r="U1546" t="str">
        <f t="shared" si="49"/>
        <v>Expert</v>
      </c>
    </row>
    <row r="1547" spans="1:21" x14ac:dyDescent="0.35">
      <c r="A1547" t="s">
        <v>1620</v>
      </c>
      <c r="B1547" t="s">
        <v>102</v>
      </c>
      <c r="C1547" t="s">
        <v>46</v>
      </c>
      <c r="D1547" t="s">
        <v>40</v>
      </c>
      <c r="E1547" t="s">
        <v>23</v>
      </c>
      <c r="F1547">
        <v>25</v>
      </c>
      <c r="G1547">
        <v>0.72</v>
      </c>
      <c r="H1547">
        <v>0.48</v>
      </c>
      <c r="I1547" t="s">
        <v>24</v>
      </c>
      <c r="J1547">
        <v>59509</v>
      </c>
      <c r="K1547" t="s">
        <v>25</v>
      </c>
      <c r="L1547">
        <v>9</v>
      </c>
      <c r="M1547">
        <v>46</v>
      </c>
      <c r="N1547" t="s">
        <v>35</v>
      </c>
      <c r="O1547" t="s">
        <v>25</v>
      </c>
      <c r="P1547">
        <v>3.29</v>
      </c>
      <c r="Q1547" t="s">
        <v>24</v>
      </c>
      <c r="R1547">
        <v>3.19</v>
      </c>
      <c r="S1547" t="s">
        <v>43</v>
      </c>
      <c r="T1547" t="str">
        <f t="shared" si="48"/>
        <v>Very Low</v>
      </c>
      <c r="U1547" t="str">
        <f t="shared" si="49"/>
        <v>Expert</v>
      </c>
    </row>
    <row r="1548" spans="1:21" x14ac:dyDescent="0.35">
      <c r="A1548" t="s">
        <v>1621</v>
      </c>
      <c r="B1548" t="s">
        <v>57</v>
      </c>
      <c r="C1548" t="s">
        <v>52</v>
      </c>
      <c r="D1548" t="s">
        <v>66</v>
      </c>
      <c r="E1548" t="s">
        <v>23</v>
      </c>
      <c r="F1548">
        <v>11</v>
      </c>
      <c r="G1548">
        <v>0.53</v>
      </c>
      <c r="H1548">
        <v>0.23</v>
      </c>
      <c r="I1548" t="s">
        <v>60</v>
      </c>
      <c r="J1548">
        <v>212152</v>
      </c>
      <c r="K1548" t="s">
        <v>42</v>
      </c>
      <c r="L1548">
        <v>16</v>
      </c>
      <c r="M1548">
        <v>43</v>
      </c>
      <c r="N1548" t="s">
        <v>42</v>
      </c>
      <c r="O1548" t="s">
        <v>27</v>
      </c>
      <c r="P1548">
        <v>3.29</v>
      </c>
      <c r="Q1548" t="s">
        <v>34</v>
      </c>
      <c r="R1548">
        <v>4.7699999999999996</v>
      </c>
      <c r="S1548" t="s">
        <v>43</v>
      </c>
      <c r="T1548" t="str">
        <f t="shared" si="48"/>
        <v>Moderate</v>
      </c>
      <c r="U1548" t="str">
        <f t="shared" si="49"/>
        <v>Experienced</v>
      </c>
    </row>
    <row r="1549" spans="1:21" x14ac:dyDescent="0.35">
      <c r="A1549" t="s">
        <v>1622</v>
      </c>
      <c r="B1549" t="s">
        <v>57</v>
      </c>
      <c r="C1549" t="s">
        <v>21</v>
      </c>
      <c r="D1549" t="s">
        <v>49</v>
      </c>
      <c r="E1549" t="s">
        <v>70</v>
      </c>
      <c r="F1549">
        <v>11</v>
      </c>
      <c r="G1549">
        <v>0.74</v>
      </c>
      <c r="H1549">
        <v>0.3</v>
      </c>
      <c r="I1549" t="s">
        <v>24</v>
      </c>
      <c r="J1549">
        <v>134942</v>
      </c>
      <c r="K1549" t="s">
        <v>27</v>
      </c>
      <c r="L1549">
        <v>18</v>
      </c>
      <c r="M1549">
        <v>45</v>
      </c>
      <c r="N1549" t="s">
        <v>42</v>
      </c>
      <c r="O1549" t="s">
        <v>25</v>
      </c>
      <c r="P1549">
        <v>2.37</v>
      </c>
      <c r="Q1549" t="s">
        <v>34</v>
      </c>
      <c r="R1549">
        <v>3.05</v>
      </c>
      <c r="S1549" t="s">
        <v>47</v>
      </c>
      <c r="T1549" t="str">
        <f t="shared" si="48"/>
        <v>Very Low</v>
      </c>
      <c r="U1549" t="str">
        <f t="shared" si="49"/>
        <v>Experienced</v>
      </c>
    </row>
    <row r="1550" spans="1:21" x14ac:dyDescent="0.35">
      <c r="A1550" t="s">
        <v>1623</v>
      </c>
      <c r="B1550" t="s">
        <v>20</v>
      </c>
      <c r="C1550" t="s">
        <v>21</v>
      </c>
      <c r="D1550" t="s">
        <v>66</v>
      </c>
      <c r="E1550" t="s">
        <v>33</v>
      </c>
      <c r="F1550">
        <v>22</v>
      </c>
      <c r="G1550">
        <v>0.77</v>
      </c>
      <c r="H1550">
        <v>0.49</v>
      </c>
      <c r="I1550" t="s">
        <v>34</v>
      </c>
      <c r="J1550">
        <v>76730</v>
      </c>
      <c r="K1550" t="s">
        <v>25</v>
      </c>
      <c r="L1550">
        <v>-6</v>
      </c>
      <c r="M1550">
        <v>43</v>
      </c>
      <c r="N1550" t="s">
        <v>26</v>
      </c>
      <c r="O1550" t="s">
        <v>36</v>
      </c>
      <c r="P1550">
        <v>2.35</v>
      </c>
      <c r="Q1550" t="s">
        <v>34</v>
      </c>
      <c r="R1550">
        <v>2.5499999999999998</v>
      </c>
      <c r="S1550" t="s">
        <v>47</v>
      </c>
      <c r="T1550" t="str">
        <f t="shared" si="48"/>
        <v>Very Low</v>
      </c>
      <c r="U1550" t="str">
        <f t="shared" si="49"/>
        <v>Expert</v>
      </c>
    </row>
    <row r="1551" spans="1:21" x14ac:dyDescent="0.35">
      <c r="A1551" t="s">
        <v>1624</v>
      </c>
      <c r="B1551" t="s">
        <v>30</v>
      </c>
      <c r="C1551" t="s">
        <v>74</v>
      </c>
      <c r="D1551" t="s">
        <v>63</v>
      </c>
      <c r="E1551" t="s">
        <v>70</v>
      </c>
      <c r="F1551">
        <v>12</v>
      </c>
      <c r="G1551">
        <v>0.6</v>
      </c>
      <c r="H1551">
        <v>0.52</v>
      </c>
      <c r="I1551" t="s">
        <v>34</v>
      </c>
      <c r="J1551">
        <v>35802</v>
      </c>
      <c r="K1551" t="s">
        <v>42</v>
      </c>
      <c r="L1551">
        <v>1</v>
      </c>
      <c r="M1551">
        <v>53</v>
      </c>
      <c r="N1551" t="s">
        <v>42</v>
      </c>
      <c r="O1551" t="s">
        <v>27</v>
      </c>
      <c r="P1551">
        <v>4.91</v>
      </c>
      <c r="Q1551" t="s">
        <v>34</v>
      </c>
      <c r="R1551">
        <v>3.03</v>
      </c>
      <c r="S1551" t="s">
        <v>43</v>
      </c>
      <c r="T1551" t="str">
        <f t="shared" si="48"/>
        <v>Moderate</v>
      </c>
      <c r="U1551" t="str">
        <f t="shared" si="49"/>
        <v>Experienced</v>
      </c>
    </row>
    <row r="1552" spans="1:21" x14ac:dyDescent="0.35">
      <c r="A1552" t="s">
        <v>1625</v>
      </c>
      <c r="B1552" t="s">
        <v>54</v>
      </c>
      <c r="C1552" t="s">
        <v>74</v>
      </c>
      <c r="D1552" t="s">
        <v>66</v>
      </c>
      <c r="E1552" t="s">
        <v>70</v>
      </c>
      <c r="F1552">
        <v>18</v>
      </c>
      <c r="G1552">
        <v>0.78</v>
      </c>
      <c r="H1552">
        <v>0.36</v>
      </c>
      <c r="I1552" t="s">
        <v>34</v>
      </c>
      <c r="J1552">
        <v>207381</v>
      </c>
      <c r="K1552" t="s">
        <v>27</v>
      </c>
      <c r="L1552">
        <v>16</v>
      </c>
      <c r="M1552">
        <v>55</v>
      </c>
      <c r="N1552" t="s">
        <v>42</v>
      </c>
      <c r="O1552" t="s">
        <v>25</v>
      </c>
      <c r="P1552">
        <v>2.0299999999999998</v>
      </c>
      <c r="Q1552" t="s">
        <v>24</v>
      </c>
      <c r="R1552">
        <v>4.4000000000000004</v>
      </c>
      <c r="S1552" t="s">
        <v>47</v>
      </c>
      <c r="T1552" t="str">
        <f t="shared" si="48"/>
        <v>Very Low</v>
      </c>
      <c r="U1552" t="str">
        <f t="shared" si="49"/>
        <v>Expert</v>
      </c>
    </row>
    <row r="1553" spans="1:21" x14ac:dyDescent="0.35">
      <c r="A1553" t="s">
        <v>1626</v>
      </c>
      <c r="B1553" t="s">
        <v>89</v>
      </c>
      <c r="C1553" t="s">
        <v>31</v>
      </c>
      <c r="D1553" t="s">
        <v>32</v>
      </c>
      <c r="E1553" t="s">
        <v>41</v>
      </c>
      <c r="F1553">
        <v>20</v>
      </c>
      <c r="G1553">
        <v>0.92</v>
      </c>
      <c r="H1553">
        <v>0.5</v>
      </c>
      <c r="I1553" t="s">
        <v>60</v>
      </c>
      <c r="J1553">
        <v>183890</v>
      </c>
      <c r="K1553" t="s">
        <v>42</v>
      </c>
      <c r="L1553">
        <v>37</v>
      </c>
      <c r="M1553">
        <v>57</v>
      </c>
      <c r="N1553" t="s">
        <v>35</v>
      </c>
      <c r="O1553" t="s">
        <v>36</v>
      </c>
      <c r="P1553">
        <v>4.3899999999999997</v>
      </c>
      <c r="Q1553" t="s">
        <v>24</v>
      </c>
      <c r="R1553">
        <v>3.14</v>
      </c>
      <c r="S1553" t="s">
        <v>28</v>
      </c>
      <c r="T1553" t="str">
        <f t="shared" si="48"/>
        <v>Moderate</v>
      </c>
      <c r="U1553" t="str">
        <f t="shared" si="49"/>
        <v>Expert</v>
      </c>
    </row>
    <row r="1554" spans="1:21" x14ac:dyDescent="0.35">
      <c r="A1554" t="s">
        <v>1627</v>
      </c>
      <c r="B1554" t="s">
        <v>156</v>
      </c>
      <c r="C1554" t="s">
        <v>46</v>
      </c>
      <c r="D1554" t="s">
        <v>22</v>
      </c>
      <c r="E1554" t="s">
        <v>41</v>
      </c>
      <c r="F1554">
        <v>13</v>
      </c>
      <c r="G1554">
        <v>0.93</v>
      </c>
      <c r="H1554">
        <v>0.66</v>
      </c>
      <c r="I1554" t="s">
        <v>60</v>
      </c>
      <c r="J1554">
        <v>97800</v>
      </c>
      <c r="K1554" t="s">
        <v>42</v>
      </c>
      <c r="L1554">
        <v>-8</v>
      </c>
      <c r="M1554">
        <v>47</v>
      </c>
      <c r="N1554" t="s">
        <v>35</v>
      </c>
      <c r="O1554" t="s">
        <v>25</v>
      </c>
      <c r="P1554">
        <v>2.57</v>
      </c>
      <c r="Q1554" t="s">
        <v>34</v>
      </c>
      <c r="R1554">
        <v>4.42</v>
      </c>
      <c r="S1554" t="s">
        <v>47</v>
      </c>
      <c r="T1554" t="str">
        <f t="shared" si="48"/>
        <v>Moderate</v>
      </c>
      <c r="U1554" t="str">
        <f t="shared" si="49"/>
        <v>Experienced</v>
      </c>
    </row>
    <row r="1555" spans="1:21" x14ac:dyDescent="0.35">
      <c r="A1555" t="s">
        <v>1628</v>
      </c>
      <c r="B1555" t="s">
        <v>91</v>
      </c>
      <c r="C1555" t="s">
        <v>58</v>
      </c>
      <c r="D1555" t="s">
        <v>75</v>
      </c>
      <c r="E1555" t="s">
        <v>23</v>
      </c>
      <c r="F1555">
        <v>5</v>
      </c>
      <c r="G1555">
        <v>0.28999999999999998</v>
      </c>
      <c r="H1555">
        <v>0.89</v>
      </c>
      <c r="I1555" t="s">
        <v>34</v>
      </c>
      <c r="J1555">
        <v>154219</v>
      </c>
      <c r="K1555" t="s">
        <v>27</v>
      </c>
      <c r="L1555">
        <v>11</v>
      </c>
      <c r="M1555">
        <v>52</v>
      </c>
      <c r="N1555" t="s">
        <v>26</v>
      </c>
      <c r="O1555" t="s">
        <v>27</v>
      </c>
      <c r="P1555">
        <v>3.01</v>
      </c>
      <c r="Q1555" t="s">
        <v>24</v>
      </c>
      <c r="R1555">
        <v>2.2200000000000002</v>
      </c>
      <c r="S1555" t="s">
        <v>47</v>
      </c>
      <c r="T1555" t="str">
        <f t="shared" si="48"/>
        <v>Very High</v>
      </c>
      <c r="U1555" t="str">
        <f t="shared" si="49"/>
        <v>Intermediate</v>
      </c>
    </row>
    <row r="1556" spans="1:21" x14ac:dyDescent="0.35">
      <c r="A1556" t="s">
        <v>1629</v>
      </c>
      <c r="B1556" t="s">
        <v>89</v>
      </c>
      <c r="C1556" t="s">
        <v>74</v>
      </c>
      <c r="D1556" t="s">
        <v>69</v>
      </c>
      <c r="E1556" t="s">
        <v>33</v>
      </c>
      <c r="F1556">
        <v>15</v>
      </c>
      <c r="G1556">
        <v>0.35</v>
      </c>
      <c r="H1556">
        <v>0.31</v>
      </c>
      <c r="I1556" t="s">
        <v>34</v>
      </c>
      <c r="J1556">
        <v>52162</v>
      </c>
      <c r="K1556" t="s">
        <v>25</v>
      </c>
      <c r="L1556">
        <v>22</v>
      </c>
      <c r="M1556">
        <v>30</v>
      </c>
      <c r="N1556" t="s">
        <v>35</v>
      </c>
      <c r="O1556" t="s">
        <v>25</v>
      </c>
      <c r="P1556">
        <v>3.24</v>
      </c>
      <c r="Q1556" t="s">
        <v>24</v>
      </c>
      <c r="R1556">
        <v>3.59</v>
      </c>
      <c r="S1556" t="s">
        <v>43</v>
      </c>
      <c r="T1556" t="str">
        <f t="shared" si="48"/>
        <v>Moderate</v>
      </c>
      <c r="U1556" t="str">
        <f t="shared" si="49"/>
        <v>Experienced</v>
      </c>
    </row>
    <row r="1557" spans="1:21" x14ac:dyDescent="0.35">
      <c r="A1557" t="s">
        <v>1630</v>
      </c>
      <c r="B1557" t="s">
        <v>38</v>
      </c>
      <c r="C1557" t="s">
        <v>82</v>
      </c>
      <c r="D1557" t="s">
        <v>59</v>
      </c>
      <c r="E1557" t="s">
        <v>70</v>
      </c>
      <c r="F1557">
        <v>21</v>
      </c>
      <c r="G1557">
        <v>0.65</v>
      </c>
      <c r="H1557">
        <v>0.42</v>
      </c>
      <c r="I1557" t="s">
        <v>24</v>
      </c>
      <c r="J1557">
        <v>113604</v>
      </c>
      <c r="K1557" t="s">
        <v>42</v>
      </c>
      <c r="L1557">
        <v>35</v>
      </c>
      <c r="M1557">
        <v>36</v>
      </c>
      <c r="N1557" t="s">
        <v>26</v>
      </c>
      <c r="O1557" t="s">
        <v>25</v>
      </c>
      <c r="P1557">
        <v>4.47</v>
      </c>
      <c r="Q1557" t="s">
        <v>34</v>
      </c>
      <c r="R1557">
        <v>2.11</v>
      </c>
      <c r="S1557" t="s">
        <v>28</v>
      </c>
      <c r="T1557" t="str">
        <f t="shared" si="48"/>
        <v>Moderate</v>
      </c>
      <c r="U1557" t="str">
        <f t="shared" si="49"/>
        <v>Expert</v>
      </c>
    </row>
    <row r="1558" spans="1:21" x14ac:dyDescent="0.35">
      <c r="A1558" t="s">
        <v>1631</v>
      </c>
      <c r="B1558" t="s">
        <v>106</v>
      </c>
      <c r="C1558" t="s">
        <v>46</v>
      </c>
      <c r="D1558" t="s">
        <v>66</v>
      </c>
      <c r="E1558" t="s">
        <v>70</v>
      </c>
      <c r="F1558">
        <v>14</v>
      </c>
      <c r="G1558">
        <v>0.47</v>
      </c>
      <c r="H1558">
        <v>0.96</v>
      </c>
      <c r="I1558" t="s">
        <v>34</v>
      </c>
      <c r="J1558">
        <v>57116</v>
      </c>
      <c r="K1558" t="s">
        <v>25</v>
      </c>
      <c r="L1558">
        <v>37</v>
      </c>
      <c r="M1558">
        <v>53</v>
      </c>
      <c r="N1558" t="s">
        <v>35</v>
      </c>
      <c r="O1558" t="s">
        <v>25</v>
      </c>
      <c r="P1558">
        <v>4.57</v>
      </c>
      <c r="Q1558" t="s">
        <v>34</v>
      </c>
      <c r="R1558">
        <v>3.24</v>
      </c>
      <c r="S1558" t="s">
        <v>47</v>
      </c>
      <c r="T1558" t="str">
        <f t="shared" si="48"/>
        <v>High</v>
      </c>
      <c r="U1558" t="str">
        <f t="shared" si="49"/>
        <v>Experienced</v>
      </c>
    </row>
    <row r="1559" spans="1:21" x14ac:dyDescent="0.35">
      <c r="A1559" t="s">
        <v>1632</v>
      </c>
      <c r="B1559" t="s">
        <v>102</v>
      </c>
      <c r="C1559" t="s">
        <v>39</v>
      </c>
      <c r="D1559" t="s">
        <v>49</v>
      </c>
      <c r="E1559" t="s">
        <v>33</v>
      </c>
      <c r="F1559">
        <v>21</v>
      </c>
      <c r="G1559">
        <v>0.75</v>
      </c>
      <c r="H1559">
        <v>0.82</v>
      </c>
      <c r="I1559" t="s">
        <v>60</v>
      </c>
      <c r="J1559">
        <v>172035</v>
      </c>
      <c r="K1559" t="s">
        <v>42</v>
      </c>
      <c r="L1559">
        <v>35</v>
      </c>
      <c r="M1559">
        <v>41</v>
      </c>
      <c r="N1559" t="s">
        <v>42</v>
      </c>
      <c r="O1559" t="s">
        <v>27</v>
      </c>
      <c r="P1559">
        <v>3.48</v>
      </c>
      <c r="Q1559" t="s">
        <v>24</v>
      </c>
      <c r="R1559">
        <v>3.64</v>
      </c>
      <c r="S1559" t="s">
        <v>47</v>
      </c>
      <c r="T1559" t="str">
        <f t="shared" si="48"/>
        <v>High</v>
      </c>
      <c r="U1559" t="str">
        <f t="shared" si="49"/>
        <v>Expert</v>
      </c>
    </row>
    <row r="1560" spans="1:21" x14ac:dyDescent="0.35">
      <c r="A1560" t="s">
        <v>1633</v>
      </c>
      <c r="B1560" t="s">
        <v>68</v>
      </c>
      <c r="C1560" t="s">
        <v>21</v>
      </c>
      <c r="D1560" t="s">
        <v>63</v>
      </c>
      <c r="E1560" t="s">
        <v>33</v>
      </c>
      <c r="F1560">
        <v>23</v>
      </c>
      <c r="G1560">
        <v>0.62</v>
      </c>
      <c r="H1560">
        <v>0.95</v>
      </c>
      <c r="I1560" t="s">
        <v>60</v>
      </c>
      <c r="J1560">
        <v>153824</v>
      </c>
      <c r="K1560" t="s">
        <v>25</v>
      </c>
      <c r="L1560">
        <v>43</v>
      </c>
      <c r="M1560">
        <v>46</v>
      </c>
      <c r="N1560" t="s">
        <v>42</v>
      </c>
      <c r="O1560" t="s">
        <v>25</v>
      </c>
      <c r="P1560">
        <v>4.03</v>
      </c>
      <c r="Q1560" t="s">
        <v>34</v>
      </c>
      <c r="R1560">
        <v>1.29</v>
      </c>
      <c r="S1560" t="s">
        <v>28</v>
      </c>
      <c r="T1560" t="str">
        <f t="shared" si="48"/>
        <v>High</v>
      </c>
      <c r="U1560" t="str">
        <f t="shared" si="49"/>
        <v>Expert</v>
      </c>
    </row>
    <row r="1561" spans="1:21" x14ac:dyDescent="0.35">
      <c r="A1561" t="s">
        <v>1634</v>
      </c>
      <c r="B1561" t="s">
        <v>96</v>
      </c>
      <c r="C1561" t="s">
        <v>31</v>
      </c>
      <c r="D1561" t="s">
        <v>66</v>
      </c>
      <c r="E1561" t="s">
        <v>23</v>
      </c>
      <c r="F1561">
        <v>22</v>
      </c>
      <c r="G1561">
        <v>0.94</v>
      </c>
      <c r="H1561">
        <v>0.28999999999999998</v>
      </c>
      <c r="I1561" t="s">
        <v>60</v>
      </c>
      <c r="J1561">
        <v>108825</v>
      </c>
      <c r="K1561" t="s">
        <v>25</v>
      </c>
      <c r="L1561">
        <v>-4</v>
      </c>
      <c r="M1561">
        <v>48</v>
      </c>
      <c r="N1561" t="s">
        <v>26</v>
      </c>
      <c r="O1561" t="s">
        <v>25</v>
      </c>
      <c r="P1561">
        <v>2.1800000000000002</v>
      </c>
      <c r="Q1561" t="s">
        <v>34</v>
      </c>
      <c r="R1561">
        <v>2.4500000000000002</v>
      </c>
      <c r="S1561" t="s">
        <v>43</v>
      </c>
      <c r="T1561" t="str">
        <f t="shared" si="48"/>
        <v>Very Low</v>
      </c>
      <c r="U1561" t="str">
        <f t="shared" si="49"/>
        <v>Expert</v>
      </c>
    </row>
    <row r="1562" spans="1:21" x14ac:dyDescent="0.35">
      <c r="A1562" t="s">
        <v>1635</v>
      </c>
      <c r="B1562" t="s">
        <v>30</v>
      </c>
      <c r="C1562" t="s">
        <v>82</v>
      </c>
      <c r="D1562" t="s">
        <v>59</v>
      </c>
      <c r="E1562" t="s">
        <v>23</v>
      </c>
      <c r="F1562">
        <v>23</v>
      </c>
      <c r="G1562">
        <v>0.78</v>
      </c>
      <c r="H1562">
        <v>0.73</v>
      </c>
      <c r="I1562" t="s">
        <v>60</v>
      </c>
      <c r="J1562">
        <v>173293</v>
      </c>
      <c r="K1562" t="s">
        <v>42</v>
      </c>
      <c r="L1562">
        <v>8</v>
      </c>
      <c r="M1562">
        <v>47</v>
      </c>
      <c r="N1562" t="s">
        <v>26</v>
      </c>
      <c r="O1562" t="s">
        <v>27</v>
      </c>
      <c r="P1562">
        <v>3.49</v>
      </c>
      <c r="Q1562" t="s">
        <v>24</v>
      </c>
      <c r="R1562">
        <v>1.23</v>
      </c>
      <c r="S1562" t="s">
        <v>28</v>
      </c>
      <c r="T1562" t="str">
        <f t="shared" si="48"/>
        <v>Moderate</v>
      </c>
      <c r="U1562" t="str">
        <f t="shared" si="49"/>
        <v>Expert</v>
      </c>
    </row>
    <row r="1563" spans="1:21" x14ac:dyDescent="0.35">
      <c r="A1563" t="s">
        <v>1636</v>
      </c>
      <c r="B1563" t="s">
        <v>45</v>
      </c>
      <c r="C1563" t="s">
        <v>55</v>
      </c>
      <c r="D1563" t="s">
        <v>75</v>
      </c>
      <c r="E1563" t="s">
        <v>33</v>
      </c>
      <c r="F1563">
        <v>24</v>
      </c>
      <c r="G1563">
        <v>0.21</v>
      </c>
      <c r="H1563">
        <v>0.94</v>
      </c>
      <c r="I1563" t="s">
        <v>24</v>
      </c>
      <c r="J1563">
        <v>71110</v>
      </c>
      <c r="K1563" t="s">
        <v>42</v>
      </c>
      <c r="L1563">
        <v>20</v>
      </c>
      <c r="M1563">
        <v>48</v>
      </c>
      <c r="N1563" t="s">
        <v>26</v>
      </c>
      <c r="O1563" t="s">
        <v>25</v>
      </c>
      <c r="P1563">
        <v>3.84</v>
      </c>
      <c r="Q1563" t="s">
        <v>34</v>
      </c>
      <c r="R1563">
        <v>2.65</v>
      </c>
      <c r="S1563" t="s">
        <v>47</v>
      </c>
      <c r="T1563" t="str">
        <f t="shared" si="48"/>
        <v>Very High</v>
      </c>
      <c r="U1563" t="str">
        <f t="shared" si="49"/>
        <v>Expert</v>
      </c>
    </row>
    <row r="1564" spans="1:21" x14ac:dyDescent="0.35">
      <c r="A1564" t="s">
        <v>1637</v>
      </c>
      <c r="B1564" t="s">
        <v>38</v>
      </c>
      <c r="C1564" t="s">
        <v>74</v>
      </c>
      <c r="D1564" t="s">
        <v>49</v>
      </c>
      <c r="E1564" t="s">
        <v>41</v>
      </c>
      <c r="F1564">
        <v>13</v>
      </c>
      <c r="G1564">
        <v>0.7</v>
      </c>
      <c r="H1564">
        <v>0.36</v>
      </c>
      <c r="I1564" t="s">
        <v>34</v>
      </c>
      <c r="J1564">
        <v>86362</v>
      </c>
      <c r="K1564" t="s">
        <v>42</v>
      </c>
      <c r="L1564">
        <v>38</v>
      </c>
      <c r="M1564">
        <v>56</v>
      </c>
      <c r="N1564" t="s">
        <v>26</v>
      </c>
      <c r="O1564" t="s">
        <v>27</v>
      </c>
      <c r="P1564">
        <v>2.4</v>
      </c>
      <c r="Q1564" t="s">
        <v>24</v>
      </c>
      <c r="R1564">
        <v>4.07</v>
      </c>
      <c r="S1564" t="s">
        <v>47</v>
      </c>
      <c r="T1564" t="str">
        <f t="shared" si="48"/>
        <v>Very Low</v>
      </c>
      <c r="U1564" t="str">
        <f t="shared" si="49"/>
        <v>Experienced</v>
      </c>
    </row>
    <row r="1565" spans="1:21" x14ac:dyDescent="0.35">
      <c r="A1565" t="s">
        <v>1638</v>
      </c>
      <c r="B1565" t="s">
        <v>91</v>
      </c>
      <c r="C1565" t="s">
        <v>58</v>
      </c>
      <c r="D1565" t="s">
        <v>59</v>
      </c>
      <c r="E1565" t="s">
        <v>23</v>
      </c>
      <c r="F1565">
        <v>16</v>
      </c>
      <c r="G1565">
        <v>0.8</v>
      </c>
      <c r="H1565">
        <v>0.79</v>
      </c>
      <c r="I1565" t="s">
        <v>24</v>
      </c>
      <c r="J1565">
        <v>35550</v>
      </c>
      <c r="K1565" t="s">
        <v>27</v>
      </c>
      <c r="L1565">
        <v>30</v>
      </c>
      <c r="M1565">
        <v>46</v>
      </c>
      <c r="N1565" t="s">
        <v>26</v>
      </c>
      <c r="O1565" t="s">
        <v>36</v>
      </c>
      <c r="P1565">
        <v>4.76</v>
      </c>
      <c r="Q1565" t="s">
        <v>34</v>
      </c>
      <c r="R1565">
        <v>4.01</v>
      </c>
      <c r="S1565" t="s">
        <v>28</v>
      </c>
      <c r="T1565" t="str">
        <f t="shared" si="48"/>
        <v>Moderate</v>
      </c>
      <c r="U1565" t="str">
        <f t="shared" si="49"/>
        <v>Expert</v>
      </c>
    </row>
    <row r="1566" spans="1:21" x14ac:dyDescent="0.35">
      <c r="A1566" t="s">
        <v>1639</v>
      </c>
      <c r="B1566" t="s">
        <v>38</v>
      </c>
      <c r="C1566" t="s">
        <v>55</v>
      </c>
      <c r="D1566" t="s">
        <v>59</v>
      </c>
      <c r="E1566" t="s">
        <v>70</v>
      </c>
      <c r="F1566">
        <v>16</v>
      </c>
      <c r="G1566">
        <v>0.81</v>
      </c>
      <c r="H1566">
        <v>0.79</v>
      </c>
      <c r="I1566" t="s">
        <v>34</v>
      </c>
      <c r="J1566">
        <v>39207</v>
      </c>
      <c r="K1566" t="s">
        <v>27</v>
      </c>
      <c r="L1566">
        <v>-1</v>
      </c>
      <c r="M1566">
        <v>51</v>
      </c>
      <c r="N1566" t="s">
        <v>26</v>
      </c>
      <c r="O1566" t="s">
        <v>27</v>
      </c>
      <c r="P1566">
        <v>3.31</v>
      </c>
      <c r="Q1566" t="s">
        <v>34</v>
      </c>
      <c r="R1566">
        <v>3.16</v>
      </c>
      <c r="S1566" t="s">
        <v>43</v>
      </c>
      <c r="T1566" t="str">
        <f t="shared" si="48"/>
        <v>Moderate</v>
      </c>
      <c r="U1566" t="str">
        <f t="shared" si="49"/>
        <v>Expert</v>
      </c>
    </row>
    <row r="1567" spans="1:21" x14ac:dyDescent="0.35">
      <c r="A1567" t="s">
        <v>1640</v>
      </c>
      <c r="B1567" t="s">
        <v>30</v>
      </c>
      <c r="C1567" t="s">
        <v>52</v>
      </c>
      <c r="D1567" t="s">
        <v>63</v>
      </c>
      <c r="E1567" t="s">
        <v>23</v>
      </c>
      <c r="F1567">
        <v>4</v>
      </c>
      <c r="G1567">
        <v>0.48</v>
      </c>
      <c r="H1567">
        <v>0.43</v>
      </c>
      <c r="I1567" t="s">
        <v>34</v>
      </c>
      <c r="J1567">
        <v>100522</v>
      </c>
      <c r="K1567" t="s">
        <v>42</v>
      </c>
      <c r="L1567">
        <v>15</v>
      </c>
      <c r="M1567">
        <v>41</v>
      </c>
      <c r="N1567" t="s">
        <v>26</v>
      </c>
      <c r="O1567" t="s">
        <v>36</v>
      </c>
      <c r="P1567">
        <v>2.27</v>
      </c>
      <c r="Q1567" t="s">
        <v>24</v>
      </c>
      <c r="R1567">
        <v>3.01</v>
      </c>
      <c r="S1567" t="s">
        <v>43</v>
      </c>
      <c r="T1567" t="str">
        <f t="shared" si="48"/>
        <v>Moderate</v>
      </c>
      <c r="U1567" t="str">
        <f t="shared" si="49"/>
        <v>Intermediate</v>
      </c>
    </row>
    <row r="1568" spans="1:21" x14ac:dyDescent="0.35">
      <c r="A1568" t="s">
        <v>1641</v>
      </c>
      <c r="B1568" t="s">
        <v>30</v>
      </c>
      <c r="C1568" t="s">
        <v>82</v>
      </c>
      <c r="D1568" t="s">
        <v>32</v>
      </c>
      <c r="E1568" t="s">
        <v>41</v>
      </c>
      <c r="F1568">
        <v>5</v>
      </c>
      <c r="G1568">
        <v>0.88</v>
      </c>
      <c r="H1568">
        <v>0.23</v>
      </c>
      <c r="I1568" t="s">
        <v>34</v>
      </c>
      <c r="J1568">
        <v>110565</v>
      </c>
      <c r="K1568" t="s">
        <v>25</v>
      </c>
      <c r="L1568">
        <v>15</v>
      </c>
      <c r="M1568">
        <v>49</v>
      </c>
      <c r="N1568" t="s">
        <v>35</v>
      </c>
      <c r="O1568" t="s">
        <v>25</v>
      </c>
      <c r="P1568">
        <v>2.65</v>
      </c>
      <c r="Q1568" t="s">
        <v>34</v>
      </c>
      <c r="R1568">
        <v>3.65</v>
      </c>
      <c r="S1568" t="s">
        <v>43</v>
      </c>
      <c r="T1568" t="str">
        <f t="shared" si="48"/>
        <v>Very Low</v>
      </c>
      <c r="U1568" t="str">
        <f t="shared" si="49"/>
        <v>Intermediate</v>
      </c>
    </row>
    <row r="1569" spans="1:21" x14ac:dyDescent="0.35">
      <c r="A1569" t="s">
        <v>1642</v>
      </c>
      <c r="B1569" t="s">
        <v>91</v>
      </c>
      <c r="C1569" t="s">
        <v>31</v>
      </c>
      <c r="D1569" t="s">
        <v>75</v>
      </c>
      <c r="E1569" t="s">
        <v>23</v>
      </c>
      <c r="F1569">
        <v>7</v>
      </c>
      <c r="G1569">
        <v>0.06</v>
      </c>
      <c r="H1569">
        <v>0.92</v>
      </c>
      <c r="I1569" t="s">
        <v>34</v>
      </c>
      <c r="J1569">
        <v>38652</v>
      </c>
      <c r="K1569" t="s">
        <v>25</v>
      </c>
      <c r="L1569">
        <v>17</v>
      </c>
      <c r="M1569">
        <v>46</v>
      </c>
      <c r="N1569" t="s">
        <v>42</v>
      </c>
      <c r="O1569" t="s">
        <v>25</v>
      </c>
      <c r="P1569">
        <v>3.94</v>
      </c>
      <c r="Q1569" t="s">
        <v>34</v>
      </c>
      <c r="R1569">
        <v>2.86</v>
      </c>
      <c r="S1569" t="s">
        <v>28</v>
      </c>
      <c r="T1569" t="str">
        <f t="shared" si="48"/>
        <v>Very High</v>
      </c>
      <c r="U1569" t="str">
        <f t="shared" si="49"/>
        <v>Intermediate</v>
      </c>
    </row>
    <row r="1570" spans="1:21" x14ac:dyDescent="0.35">
      <c r="A1570" t="s">
        <v>1643</v>
      </c>
      <c r="B1570" t="s">
        <v>38</v>
      </c>
      <c r="C1570" t="s">
        <v>58</v>
      </c>
      <c r="D1570" t="s">
        <v>75</v>
      </c>
      <c r="E1570" t="s">
        <v>70</v>
      </c>
      <c r="F1570">
        <v>6</v>
      </c>
      <c r="G1570">
        <v>0.23</v>
      </c>
      <c r="H1570">
        <v>0.8</v>
      </c>
      <c r="I1570" t="s">
        <v>34</v>
      </c>
      <c r="J1570">
        <v>180668</v>
      </c>
      <c r="K1570" t="s">
        <v>27</v>
      </c>
      <c r="L1570">
        <v>39</v>
      </c>
      <c r="M1570">
        <v>43</v>
      </c>
      <c r="N1570" t="s">
        <v>26</v>
      </c>
      <c r="O1570" t="s">
        <v>25</v>
      </c>
      <c r="P1570">
        <v>2.58</v>
      </c>
      <c r="Q1570" t="s">
        <v>34</v>
      </c>
      <c r="R1570">
        <v>2.74</v>
      </c>
      <c r="S1570" t="s">
        <v>47</v>
      </c>
      <c r="T1570" t="str">
        <f t="shared" si="48"/>
        <v>Very High</v>
      </c>
      <c r="U1570" t="str">
        <f t="shared" si="49"/>
        <v>Intermediate</v>
      </c>
    </row>
    <row r="1571" spans="1:21" x14ac:dyDescent="0.35">
      <c r="A1571" t="s">
        <v>1644</v>
      </c>
      <c r="B1571" t="s">
        <v>57</v>
      </c>
      <c r="C1571" t="s">
        <v>107</v>
      </c>
      <c r="D1571" t="s">
        <v>32</v>
      </c>
      <c r="E1571" t="s">
        <v>33</v>
      </c>
      <c r="F1571">
        <v>15</v>
      </c>
      <c r="G1571">
        <v>0.19</v>
      </c>
      <c r="H1571">
        <v>0.95</v>
      </c>
      <c r="I1571" t="s">
        <v>60</v>
      </c>
      <c r="J1571">
        <v>166219</v>
      </c>
      <c r="K1571" t="s">
        <v>25</v>
      </c>
      <c r="L1571">
        <v>1</v>
      </c>
      <c r="M1571">
        <v>40</v>
      </c>
      <c r="N1571" t="s">
        <v>26</v>
      </c>
      <c r="O1571" t="s">
        <v>25</v>
      </c>
      <c r="P1571">
        <v>2.31</v>
      </c>
      <c r="Q1571" t="s">
        <v>24</v>
      </c>
      <c r="R1571">
        <v>4.24</v>
      </c>
      <c r="S1571" t="s">
        <v>28</v>
      </c>
      <c r="T1571" t="str">
        <f t="shared" si="48"/>
        <v>Very High</v>
      </c>
      <c r="U1571" t="str">
        <f t="shared" si="49"/>
        <v>Experienced</v>
      </c>
    </row>
    <row r="1572" spans="1:21" x14ac:dyDescent="0.35">
      <c r="A1572" t="s">
        <v>1645</v>
      </c>
      <c r="B1572" t="s">
        <v>91</v>
      </c>
      <c r="C1572" t="s">
        <v>58</v>
      </c>
      <c r="D1572" t="s">
        <v>66</v>
      </c>
      <c r="E1572" t="s">
        <v>33</v>
      </c>
      <c r="F1572">
        <v>6</v>
      </c>
      <c r="G1572">
        <v>0.28000000000000003</v>
      </c>
      <c r="H1572">
        <v>0.91</v>
      </c>
      <c r="I1572" t="s">
        <v>24</v>
      </c>
      <c r="J1572">
        <v>83585</v>
      </c>
      <c r="K1572" t="s">
        <v>25</v>
      </c>
      <c r="L1572">
        <v>33</v>
      </c>
      <c r="M1572">
        <v>33</v>
      </c>
      <c r="N1572" t="s">
        <v>26</v>
      </c>
      <c r="O1572" t="s">
        <v>27</v>
      </c>
      <c r="P1572">
        <v>3.61</v>
      </c>
      <c r="Q1572" t="s">
        <v>24</v>
      </c>
      <c r="R1572">
        <v>3.13</v>
      </c>
      <c r="S1572" t="s">
        <v>43</v>
      </c>
      <c r="T1572" t="str">
        <f t="shared" si="48"/>
        <v>Very High</v>
      </c>
      <c r="U1572" t="str">
        <f t="shared" si="49"/>
        <v>Intermediate</v>
      </c>
    </row>
    <row r="1573" spans="1:21" x14ac:dyDescent="0.35">
      <c r="A1573" t="s">
        <v>1646</v>
      </c>
      <c r="B1573" t="s">
        <v>57</v>
      </c>
      <c r="C1573" t="s">
        <v>107</v>
      </c>
      <c r="D1573" t="s">
        <v>40</v>
      </c>
      <c r="E1573" t="s">
        <v>70</v>
      </c>
      <c r="F1573">
        <v>24</v>
      </c>
      <c r="G1573">
        <v>0.61</v>
      </c>
      <c r="H1573">
        <v>0.21</v>
      </c>
      <c r="I1573" t="s">
        <v>60</v>
      </c>
      <c r="J1573">
        <v>151828</v>
      </c>
      <c r="K1573" t="s">
        <v>27</v>
      </c>
      <c r="L1573">
        <v>-3</v>
      </c>
      <c r="M1573">
        <v>45</v>
      </c>
      <c r="N1573" t="s">
        <v>42</v>
      </c>
      <c r="O1573" t="s">
        <v>27</v>
      </c>
      <c r="P1573">
        <v>3.98</v>
      </c>
      <c r="Q1573" t="s">
        <v>24</v>
      </c>
      <c r="R1573">
        <v>4.57</v>
      </c>
      <c r="S1573" t="s">
        <v>28</v>
      </c>
      <c r="T1573" t="str">
        <f t="shared" si="48"/>
        <v>Moderate</v>
      </c>
      <c r="U1573" t="str">
        <f t="shared" si="49"/>
        <v>Expert</v>
      </c>
    </row>
    <row r="1574" spans="1:21" x14ac:dyDescent="0.35">
      <c r="A1574" t="s">
        <v>1647</v>
      </c>
      <c r="B1574" t="s">
        <v>89</v>
      </c>
      <c r="C1574" t="s">
        <v>55</v>
      </c>
      <c r="D1574" t="s">
        <v>59</v>
      </c>
      <c r="E1574" t="s">
        <v>23</v>
      </c>
      <c r="F1574">
        <v>19</v>
      </c>
      <c r="G1574">
        <v>0.8</v>
      </c>
      <c r="H1574">
        <v>0.31</v>
      </c>
      <c r="I1574" t="s">
        <v>60</v>
      </c>
      <c r="J1574">
        <v>126377</v>
      </c>
      <c r="K1574" t="s">
        <v>25</v>
      </c>
      <c r="L1574">
        <v>17</v>
      </c>
      <c r="M1574">
        <v>39</v>
      </c>
      <c r="N1574" t="s">
        <v>35</v>
      </c>
      <c r="O1574" t="s">
        <v>36</v>
      </c>
      <c r="P1574">
        <v>2.62</v>
      </c>
      <c r="Q1574" t="s">
        <v>24</v>
      </c>
      <c r="R1574">
        <v>3.52</v>
      </c>
      <c r="S1574" t="s">
        <v>43</v>
      </c>
      <c r="T1574" t="str">
        <f t="shared" si="48"/>
        <v>Very Low</v>
      </c>
      <c r="U1574" t="str">
        <f t="shared" si="49"/>
        <v>Expert</v>
      </c>
    </row>
    <row r="1575" spans="1:21" x14ac:dyDescent="0.35">
      <c r="A1575" t="s">
        <v>1648</v>
      </c>
      <c r="B1575" t="s">
        <v>65</v>
      </c>
      <c r="C1575" t="s">
        <v>55</v>
      </c>
      <c r="D1575" t="s">
        <v>59</v>
      </c>
      <c r="E1575" t="s">
        <v>41</v>
      </c>
      <c r="F1575">
        <v>7</v>
      </c>
      <c r="G1575">
        <v>0.23</v>
      </c>
      <c r="H1575">
        <v>0.77</v>
      </c>
      <c r="I1575" t="s">
        <v>60</v>
      </c>
      <c r="J1575">
        <v>64809</v>
      </c>
      <c r="K1575" t="s">
        <v>42</v>
      </c>
      <c r="L1575">
        <v>29</v>
      </c>
      <c r="M1575">
        <v>59</v>
      </c>
      <c r="N1575" t="s">
        <v>26</v>
      </c>
      <c r="O1575" t="s">
        <v>36</v>
      </c>
      <c r="P1575">
        <v>4.74</v>
      </c>
      <c r="Q1575" t="s">
        <v>24</v>
      </c>
      <c r="R1575">
        <v>3.71</v>
      </c>
      <c r="S1575" t="s">
        <v>47</v>
      </c>
      <c r="T1575" t="str">
        <f t="shared" si="48"/>
        <v>Very High</v>
      </c>
      <c r="U1575" t="str">
        <f t="shared" si="49"/>
        <v>Intermediate</v>
      </c>
    </row>
    <row r="1576" spans="1:21" x14ac:dyDescent="0.35">
      <c r="A1576" t="s">
        <v>1649</v>
      </c>
      <c r="B1576" t="s">
        <v>94</v>
      </c>
      <c r="C1576" t="s">
        <v>74</v>
      </c>
      <c r="D1576" t="s">
        <v>63</v>
      </c>
      <c r="E1576" t="s">
        <v>41</v>
      </c>
      <c r="F1576">
        <v>21</v>
      </c>
      <c r="G1576">
        <v>0.51</v>
      </c>
      <c r="H1576">
        <v>0.8</v>
      </c>
      <c r="I1576" t="s">
        <v>60</v>
      </c>
      <c r="J1576">
        <v>206735</v>
      </c>
      <c r="K1576" t="s">
        <v>27</v>
      </c>
      <c r="L1576">
        <v>-9</v>
      </c>
      <c r="M1576">
        <v>34</v>
      </c>
      <c r="N1576" t="s">
        <v>42</v>
      </c>
      <c r="O1576" t="s">
        <v>25</v>
      </c>
      <c r="P1576">
        <v>3.19</v>
      </c>
      <c r="Q1576" t="s">
        <v>34</v>
      </c>
      <c r="R1576">
        <v>4.51</v>
      </c>
      <c r="S1576" t="s">
        <v>28</v>
      </c>
      <c r="T1576" t="str">
        <f t="shared" si="48"/>
        <v>High</v>
      </c>
      <c r="U1576" t="str">
        <f t="shared" si="49"/>
        <v>Expert</v>
      </c>
    </row>
    <row r="1577" spans="1:21" x14ac:dyDescent="0.35">
      <c r="A1577" t="s">
        <v>1650</v>
      </c>
      <c r="B1577" t="s">
        <v>38</v>
      </c>
      <c r="C1577" t="s">
        <v>46</v>
      </c>
      <c r="D1577" t="s">
        <v>80</v>
      </c>
      <c r="E1577" t="s">
        <v>23</v>
      </c>
      <c r="F1577">
        <v>7</v>
      </c>
      <c r="G1577">
        <v>0.43</v>
      </c>
      <c r="H1577">
        <v>0.27</v>
      </c>
      <c r="I1577" t="s">
        <v>24</v>
      </c>
      <c r="J1577">
        <v>108077</v>
      </c>
      <c r="K1577" t="s">
        <v>27</v>
      </c>
      <c r="L1577">
        <v>27</v>
      </c>
      <c r="M1577">
        <v>41</v>
      </c>
      <c r="N1577" t="s">
        <v>26</v>
      </c>
      <c r="O1577" t="s">
        <v>27</v>
      </c>
      <c r="P1577">
        <v>2.27</v>
      </c>
      <c r="Q1577" t="s">
        <v>24</v>
      </c>
      <c r="R1577">
        <v>1.92</v>
      </c>
      <c r="S1577" t="s">
        <v>43</v>
      </c>
      <c r="T1577" t="str">
        <f t="shared" si="48"/>
        <v>Moderate</v>
      </c>
      <c r="U1577" t="str">
        <f t="shared" si="49"/>
        <v>Intermediate</v>
      </c>
    </row>
    <row r="1578" spans="1:21" x14ac:dyDescent="0.35">
      <c r="A1578" t="s">
        <v>1651</v>
      </c>
      <c r="B1578" t="s">
        <v>38</v>
      </c>
      <c r="C1578" t="s">
        <v>52</v>
      </c>
      <c r="D1578" t="s">
        <v>59</v>
      </c>
      <c r="E1578" t="s">
        <v>23</v>
      </c>
      <c r="F1578">
        <v>9</v>
      </c>
      <c r="G1578">
        <v>0.2</v>
      </c>
      <c r="H1578">
        <v>0.28000000000000003</v>
      </c>
      <c r="I1578" t="s">
        <v>24</v>
      </c>
      <c r="J1578">
        <v>122397</v>
      </c>
      <c r="K1578" t="s">
        <v>27</v>
      </c>
      <c r="L1578">
        <v>33</v>
      </c>
      <c r="M1578">
        <v>43</v>
      </c>
      <c r="N1578" t="s">
        <v>35</v>
      </c>
      <c r="O1578" t="s">
        <v>27</v>
      </c>
      <c r="P1578">
        <v>3.81</v>
      </c>
      <c r="Q1578" t="s">
        <v>34</v>
      </c>
      <c r="R1578">
        <v>4.67</v>
      </c>
      <c r="S1578" t="s">
        <v>43</v>
      </c>
      <c r="T1578" t="str">
        <f t="shared" si="48"/>
        <v>High</v>
      </c>
      <c r="U1578" t="str">
        <f t="shared" si="49"/>
        <v>Experienced</v>
      </c>
    </row>
    <row r="1579" spans="1:21" x14ac:dyDescent="0.35">
      <c r="A1579" t="s">
        <v>1652</v>
      </c>
      <c r="B1579" t="s">
        <v>94</v>
      </c>
      <c r="C1579" t="s">
        <v>74</v>
      </c>
      <c r="D1579" t="s">
        <v>59</v>
      </c>
      <c r="E1579" t="s">
        <v>41</v>
      </c>
      <c r="F1579">
        <v>15</v>
      </c>
      <c r="G1579">
        <v>0.76</v>
      </c>
      <c r="H1579">
        <v>0.43</v>
      </c>
      <c r="I1579" t="s">
        <v>24</v>
      </c>
      <c r="J1579">
        <v>124973</v>
      </c>
      <c r="K1579" t="s">
        <v>27</v>
      </c>
      <c r="L1579">
        <v>21</v>
      </c>
      <c r="M1579">
        <v>36</v>
      </c>
      <c r="N1579" t="s">
        <v>35</v>
      </c>
      <c r="O1579" t="s">
        <v>25</v>
      </c>
      <c r="P1579">
        <v>2.4500000000000002</v>
      </c>
      <c r="Q1579" t="s">
        <v>24</v>
      </c>
      <c r="R1579">
        <v>1.06</v>
      </c>
      <c r="S1579" t="s">
        <v>47</v>
      </c>
      <c r="T1579" t="str">
        <f t="shared" si="48"/>
        <v>Very Low</v>
      </c>
      <c r="U1579" t="str">
        <f t="shared" si="49"/>
        <v>Experienced</v>
      </c>
    </row>
    <row r="1580" spans="1:21" x14ac:dyDescent="0.35">
      <c r="A1580" t="s">
        <v>1653</v>
      </c>
      <c r="B1580" t="s">
        <v>91</v>
      </c>
      <c r="C1580" t="s">
        <v>39</v>
      </c>
      <c r="D1580" t="s">
        <v>32</v>
      </c>
      <c r="E1580" t="s">
        <v>33</v>
      </c>
      <c r="F1580">
        <v>23</v>
      </c>
      <c r="G1580">
        <v>0.93</v>
      </c>
      <c r="H1580">
        <v>0.48</v>
      </c>
      <c r="I1580" t="s">
        <v>24</v>
      </c>
      <c r="J1580">
        <v>132372</v>
      </c>
      <c r="K1580" t="s">
        <v>42</v>
      </c>
      <c r="L1580">
        <v>22</v>
      </c>
      <c r="M1580">
        <v>44</v>
      </c>
      <c r="N1580" t="s">
        <v>42</v>
      </c>
      <c r="O1580" t="s">
        <v>27</v>
      </c>
      <c r="P1580">
        <v>2.64</v>
      </c>
      <c r="Q1580" t="s">
        <v>24</v>
      </c>
      <c r="R1580">
        <v>2.7</v>
      </c>
      <c r="S1580" t="s">
        <v>43</v>
      </c>
      <c r="T1580" t="str">
        <f t="shared" si="48"/>
        <v>Very Low</v>
      </c>
      <c r="U1580" t="str">
        <f t="shared" si="49"/>
        <v>Expert</v>
      </c>
    </row>
    <row r="1581" spans="1:21" x14ac:dyDescent="0.35">
      <c r="A1581" t="s">
        <v>1654</v>
      </c>
      <c r="B1581" t="s">
        <v>94</v>
      </c>
      <c r="C1581" t="s">
        <v>52</v>
      </c>
      <c r="D1581" t="s">
        <v>75</v>
      </c>
      <c r="E1581" t="s">
        <v>23</v>
      </c>
      <c r="F1581">
        <v>6</v>
      </c>
      <c r="G1581">
        <v>0.59</v>
      </c>
      <c r="H1581">
        <v>0.44</v>
      </c>
      <c r="I1581" t="s">
        <v>60</v>
      </c>
      <c r="J1581">
        <v>166156</v>
      </c>
      <c r="K1581" t="s">
        <v>25</v>
      </c>
      <c r="L1581">
        <v>16</v>
      </c>
      <c r="M1581">
        <v>39</v>
      </c>
      <c r="N1581" t="s">
        <v>42</v>
      </c>
      <c r="O1581" t="s">
        <v>36</v>
      </c>
      <c r="P1581">
        <v>4.32</v>
      </c>
      <c r="Q1581" t="s">
        <v>24</v>
      </c>
      <c r="R1581">
        <v>3.66</v>
      </c>
      <c r="S1581" t="s">
        <v>28</v>
      </c>
      <c r="T1581" t="str">
        <f t="shared" si="48"/>
        <v>Moderate</v>
      </c>
      <c r="U1581" t="str">
        <f t="shared" si="49"/>
        <v>Intermediate</v>
      </c>
    </row>
    <row r="1582" spans="1:21" x14ac:dyDescent="0.35">
      <c r="A1582" t="s">
        <v>1655</v>
      </c>
      <c r="B1582" t="s">
        <v>156</v>
      </c>
      <c r="C1582" t="s">
        <v>46</v>
      </c>
      <c r="D1582" t="s">
        <v>59</v>
      </c>
      <c r="E1582" t="s">
        <v>23</v>
      </c>
      <c r="F1582">
        <v>3</v>
      </c>
      <c r="G1582">
        <v>0.77</v>
      </c>
      <c r="H1582">
        <v>0.82</v>
      </c>
      <c r="I1582" t="s">
        <v>34</v>
      </c>
      <c r="J1582">
        <v>191575</v>
      </c>
      <c r="K1582" t="s">
        <v>42</v>
      </c>
      <c r="L1582">
        <v>39</v>
      </c>
      <c r="M1582">
        <v>52</v>
      </c>
      <c r="N1582" t="s">
        <v>26</v>
      </c>
      <c r="O1582" t="s">
        <v>27</v>
      </c>
      <c r="P1582">
        <v>3.1</v>
      </c>
      <c r="Q1582" t="s">
        <v>24</v>
      </c>
      <c r="R1582">
        <v>1.06</v>
      </c>
      <c r="S1582" t="s">
        <v>43</v>
      </c>
      <c r="T1582" t="str">
        <f t="shared" si="48"/>
        <v>High</v>
      </c>
      <c r="U1582" t="str">
        <f t="shared" si="49"/>
        <v>Intermediate</v>
      </c>
    </row>
    <row r="1583" spans="1:21" x14ac:dyDescent="0.35">
      <c r="A1583" t="s">
        <v>1656</v>
      </c>
      <c r="B1583" t="s">
        <v>57</v>
      </c>
      <c r="C1583" t="s">
        <v>55</v>
      </c>
      <c r="D1583" t="s">
        <v>49</v>
      </c>
      <c r="E1583" t="s">
        <v>41</v>
      </c>
      <c r="F1583">
        <v>23</v>
      </c>
      <c r="G1583">
        <v>0.28000000000000003</v>
      </c>
      <c r="H1583">
        <v>0.59</v>
      </c>
      <c r="I1583" t="s">
        <v>60</v>
      </c>
      <c r="J1583">
        <v>85943</v>
      </c>
      <c r="K1583" t="s">
        <v>42</v>
      </c>
      <c r="L1583">
        <v>-2</v>
      </c>
      <c r="M1583">
        <v>46</v>
      </c>
      <c r="N1583" t="s">
        <v>26</v>
      </c>
      <c r="O1583" t="s">
        <v>25</v>
      </c>
      <c r="P1583">
        <v>3.98</v>
      </c>
      <c r="Q1583" t="s">
        <v>34</v>
      </c>
      <c r="R1583">
        <v>2.75</v>
      </c>
      <c r="S1583" t="s">
        <v>47</v>
      </c>
      <c r="T1583" t="str">
        <f t="shared" si="48"/>
        <v>High</v>
      </c>
      <c r="U1583" t="str">
        <f t="shared" si="49"/>
        <v>Expert</v>
      </c>
    </row>
    <row r="1584" spans="1:21" x14ac:dyDescent="0.35">
      <c r="A1584" t="s">
        <v>1657</v>
      </c>
      <c r="B1584" t="s">
        <v>65</v>
      </c>
      <c r="C1584" t="s">
        <v>39</v>
      </c>
      <c r="D1584" t="s">
        <v>49</v>
      </c>
      <c r="E1584" t="s">
        <v>70</v>
      </c>
      <c r="F1584">
        <v>7</v>
      </c>
      <c r="G1584">
        <v>0.13</v>
      </c>
      <c r="H1584">
        <v>0.62</v>
      </c>
      <c r="I1584" t="s">
        <v>34</v>
      </c>
      <c r="J1584">
        <v>171491</v>
      </c>
      <c r="K1584" t="s">
        <v>42</v>
      </c>
      <c r="L1584">
        <v>-8</v>
      </c>
      <c r="M1584">
        <v>49</v>
      </c>
      <c r="N1584" t="s">
        <v>42</v>
      </c>
      <c r="O1584" t="s">
        <v>27</v>
      </c>
      <c r="P1584">
        <v>2.96</v>
      </c>
      <c r="Q1584" t="s">
        <v>24</v>
      </c>
      <c r="R1584">
        <v>3.01</v>
      </c>
      <c r="S1584" t="s">
        <v>43</v>
      </c>
      <c r="T1584" t="str">
        <f t="shared" si="48"/>
        <v>High</v>
      </c>
      <c r="U1584" t="str">
        <f t="shared" si="49"/>
        <v>Intermediate</v>
      </c>
    </row>
    <row r="1585" spans="1:21" x14ac:dyDescent="0.35">
      <c r="A1585" t="s">
        <v>1658</v>
      </c>
      <c r="B1585" t="s">
        <v>38</v>
      </c>
      <c r="C1585" t="s">
        <v>52</v>
      </c>
      <c r="D1585" t="s">
        <v>66</v>
      </c>
      <c r="E1585" t="s">
        <v>23</v>
      </c>
      <c r="F1585">
        <v>25</v>
      </c>
      <c r="G1585">
        <v>0.09</v>
      </c>
      <c r="H1585">
        <v>0.88</v>
      </c>
      <c r="I1585" t="s">
        <v>60</v>
      </c>
      <c r="J1585">
        <v>199063</v>
      </c>
      <c r="K1585" t="s">
        <v>27</v>
      </c>
      <c r="L1585">
        <v>0</v>
      </c>
      <c r="M1585">
        <v>38</v>
      </c>
      <c r="N1585" t="s">
        <v>35</v>
      </c>
      <c r="O1585" t="s">
        <v>36</v>
      </c>
      <c r="P1585">
        <v>4.32</v>
      </c>
      <c r="Q1585" t="s">
        <v>24</v>
      </c>
      <c r="R1585">
        <v>2.4300000000000002</v>
      </c>
      <c r="S1585" t="s">
        <v>28</v>
      </c>
      <c r="T1585" t="str">
        <f t="shared" si="48"/>
        <v>Very High</v>
      </c>
      <c r="U1585" t="str">
        <f t="shared" si="49"/>
        <v>Expert</v>
      </c>
    </row>
    <row r="1586" spans="1:21" x14ac:dyDescent="0.35">
      <c r="A1586" t="s">
        <v>1659</v>
      </c>
      <c r="B1586" t="s">
        <v>65</v>
      </c>
      <c r="C1586" t="s">
        <v>107</v>
      </c>
      <c r="D1586" t="s">
        <v>40</v>
      </c>
      <c r="E1586" t="s">
        <v>41</v>
      </c>
      <c r="F1586">
        <v>16</v>
      </c>
      <c r="G1586">
        <v>0.67</v>
      </c>
      <c r="H1586">
        <v>0.51</v>
      </c>
      <c r="I1586" t="s">
        <v>60</v>
      </c>
      <c r="J1586">
        <v>91639</v>
      </c>
      <c r="K1586" t="s">
        <v>25</v>
      </c>
      <c r="L1586">
        <v>3</v>
      </c>
      <c r="M1586">
        <v>40</v>
      </c>
      <c r="N1586" t="s">
        <v>42</v>
      </c>
      <c r="O1586" t="s">
        <v>36</v>
      </c>
      <c r="P1586">
        <v>3.87</v>
      </c>
      <c r="Q1586" t="s">
        <v>34</v>
      </c>
      <c r="R1586">
        <v>2.71</v>
      </c>
      <c r="S1586" t="s">
        <v>43</v>
      </c>
      <c r="T1586" t="str">
        <f t="shared" si="48"/>
        <v>Moderate</v>
      </c>
      <c r="U1586" t="str">
        <f t="shared" si="49"/>
        <v>Expert</v>
      </c>
    </row>
    <row r="1587" spans="1:21" x14ac:dyDescent="0.35">
      <c r="A1587" t="s">
        <v>1660</v>
      </c>
      <c r="B1587" t="s">
        <v>38</v>
      </c>
      <c r="C1587" t="s">
        <v>21</v>
      </c>
      <c r="D1587" t="s">
        <v>40</v>
      </c>
      <c r="E1587" t="s">
        <v>23</v>
      </c>
      <c r="F1587">
        <v>2</v>
      </c>
      <c r="G1587">
        <v>0.28000000000000003</v>
      </c>
      <c r="H1587">
        <v>0.42</v>
      </c>
      <c r="I1587" t="s">
        <v>24</v>
      </c>
      <c r="J1587">
        <v>142803</v>
      </c>
      <c r="K1587" t="s">
        <v>25</v>
      </c>
      <c r="L1587">
        <v>-3</v>
      </c>
      <c r="M1587">
        <v>55</v>
      </c>
      <c r="N1587" t="s">
        <v>42</v>
      </c>
      <c r="O1587" t="s">
        <v>25</v>
      </c>
      <c r="P1587">
        <v>4.96</v>
      </c>
      <c r="Q1587" t="s">
        <v>24</v>
      </c>
      <c r="R1587">
        <v>3.91</v>
      </c>
      <c r="S1587" t="s">
        <v>28</v>
      </c>
      <c r="T1587" t="str">
        <f t="shared" si="48"/>
        <v>High</v>
      </c>
      <c r="U1587" t="str">
        <f t="shared" si="49"/>
        <v>Beginner</v>
      </c>
    </row>
    <row r="1588" spans="1:21" x14ac:dyDescent="0.35">
      <c r="A1588" t="s">
        <v>1661</v>
      </c>
      <c r="B1588" t="s">
        <v>73</v>
      </c>
      <c r="C1588" t="s">
        <v>58</v>
      </c>
      <c r="D1588" t="s">
        <v>66</v>
      </c>
      <c r="E1588" t="s">
        <v>41</v>
      </c>
      <c r="F1588">
        <v>10</v>
      </c>
      <c r="G1588">
        <v>0.88</v>
      </c>
      <c r="H1588">
        <v>0.26</v>
      </c>
      <c r="I1588" t="s">
        <v>60</v>
      </c>
      <c r="J1588">
        <v>177594</v>
      </c>
      <c r="K1588" t="s">
        <v>27</v>
      </c>
      <c r="L1588">
        <v>4</v>
      </c>
      <c r="M1588">
        <v>36</v>
      </c>
      <c r="N1588" t="s">
        <v>35</v>
      </c>
      <c r="O1588" t="s">
        <v>36</v>
      </c>
      <c r="P1588">
        <v>2.39</v>
      </c>
      <c r="Q1588" t="s">
        <v>34</v>
      </c>
      <c r="R1588">
        <v>3.86</v>
      </c>
      <c r="S1588" t="s">
        <v>28</v>
      </c>
      <c r="T1588" t="str">
        <f t="shared" si="48"/>
        <v>Very Low</v>
      </c>
      <c r="U1588" t="str">
        <f t="shared" si="49"/>
        <v>Experienced</v>
      </c>
    </row>
    <row r="1589" spans="1:21" x14ac:dyDescent="0.35">
      <c r="A1589" t="s">
        <v>1662</v>
      </c>
      <c r="B1589" t="s">
        <v>51</v>
      </c>
      <c r="C1589" t="s">
        <v>46</v>
      </c>
      <c r="D1589" t="s">
        <v>63</v>
      </c>
      <c r="E1589" t="s">
        <v>23</v>
      </c>
      <c r="F1589">
        <v>6</v>
      </c>
      <c r="G1589">
        <v>0.72</v>
      </c>
      <c r="H1589">
        <v>0.81</v>
      </c>
      <c r="I1589" t="s">
        <v>60</v>
      </c>
      <c r="J1589">
        <v>36792</v>
      </c>
      <c r="K1589" t="s">
        <v>25</v>
      </c>
      <c r="L1589">
        <v>-4</v>
      </c>
      <c r="M1589">
        <v>58</v>
      </c>
      <c r="N1589" t="s">
        <v>35</v>
      </c>
      <c r="O1589" t="s">
        <v>25</v>
      </c>
      <c r="P1589">
        <v>2.5499999999999998</v>
      </c>
      <c r="Q1589" t="s">
        <v>34</v>
      </c>
      <c r="R1589">
        <v>4.24</v>
      </c>
      <c r="S1589" t="s">
        <v>43</v>
      </c>
      <c r="T1589" t="str">
        <f t="shared" si="48"/>
        <v>High</v>
      </c>
      <c r="U1589" t="str">
        <f t="shared" si="49"/>
        <v>Intermediate</v>
      </c>
    </row>
    <row r="1590" spans="1:21" x14ac:dyDescent="0.35">
      <c r="A1590" t="s">
        <v>1663</v>
      </c>
      <c r="B1590" t="s">
        <v>45</v>
      </c>
      <c r="C1590" t="s">
        <v>46</v>
      </c>
      <c r="D1590" t="s">
        <v>66</v>
      </c>
      <c r="E1590" t="s">
        <v>41</v>
      </c>
      <c r="F1590">
        <v>6</v>
      </c>
      <c r="G1590">
        <v>0.55000000000000004</v>
      </c>
      <c r="H1590">
        <v>0.5</v>
      </c>
      <c r="I1590" t="s">
        <v>34</v>
      </c>
      <c r="J1590">
        <v>201461</v>
      </c>
      <c r="K1590" t="s">
        <v>27</v>
      </c>
      <c r="L1590">
        <v>40</v>
      </c>
      <c r="M1590">
        <v>53</v>
      </c>
      <c r="N1590" t="s">
        <v>42</v>
      </c>
      <c r="O1590" t="s">
        <v>25</v>
      </c>
      <c r="P1590">
        <v>4.63</v>
      </c>
      <c r="Q1590" t="s">
        <v>34</v>
      </c>
      <c r="R1590">
        <v>1.48</v>
      </c>
      <c r="S1590" t="s">
        <v>47</v>
      </c>
      <c r="T1590" t="str">
        <f t="shared" si="48"/>
        <v>Moderate</v>
      </c>
      <c r="U1590" t="str">
        <f t="shared" si="49"/>
        <v>Intermediate</v>
      </c>
    </row>
    <row r="1591" spans="1:21" x14ac:dyDescent="0.35">
      <c r="A1591" t="s">
        <v>1664</v>
      </c>
      <c r="B1591" t="s">
        <v>89</v>
      </c>
      <c r="C1591" t="s">
        <v>58</v>
      </c>
      <c r="D1591" t="s">
        <v>80</v>
      </c>
      <c r="E1591" t="s">
        <v>41</v>
      </c>
      <c r="F1591">
        <v>20</v>
      </c>
      <c r="G1591">
        <v>0.44</v>
      </c>
      <c r="H1591">
        <v>0.72</v>
      </c>
      <c r="I1591" t="s">
        <v>34</v>
      </c>
      <c r="J1591">
        <v>50133</v>
      </c>
      <c r="K1591" t="s">
        <v>27</v>
      </c>
      <c r="L1591">
        <v>-1</v>
      </c>
      <c r="M1591">
        <v>49</v>
      </c>
      <c r="N1591" t="s">
        <v>35</v>
      </c>
      <c r="O1591" t="s">
        <v>27</v>
      </c>
      <c r="P1591">
        <v>2.4900000000000002</v>
      </c>
      <c r="Q1591" t="s">
        <v>34</v>
      </c>
      <c r="R1591">
        <v>1.07</v>
      </c>
      <c r="S1591" t="s">
        <v>28</v>
      </c>
      <c r="T1591" t="str">
        <f t="shared" si="48"/>
        <v>High</v>
      </c>
      <c r="U1591" t="str">
        <f t="shared" si="49"/>
        <v>Expert</v>
      </c>
    </row>
    <row r="1592" spans="1:21" x14ac:dyDescent="0.35">
      <c r="A1592" t="s">
        <v>1665</v>
      </c>
      <c r="B1592" t="s">
        <v>45</v>
      </c>
      <c r="C1592" t="s">
        <v>39</v>
      </c>
      <c r="D1592" t="s">
        <v>66</v>
      </c>
      <c r="E1592" t="s">
        <v>70</v>
      </c>
      <c r="F1592">
        <v>5</v>
      </c>
      <c r="G1592">
        <v>0.92</v>
      </c>
      <c r="H1592">
        <v>0.37</v>
      </c>
      <c r="I1592" t="s">
        <v>24</v>
      </c>
      <c r="J1592">
        <v>66830</v>
      </c>
      <c r="K1592" t="s">
        <v>25</v>
      </c>
      <c r="L1592">
        <v>26</v>
      </c>
      <c r="M1592">
        <v>57</v>
      </c>
      <c r="N1592" t="s">
        <v>42</v>
      </c>
      <c r="O1592" t="s">
        <v>25</v>
      </c>
      <c r="P1592">
        <v>4</v>
      </c>
      <c r="Q1592" t="s">
        <v>24</v>
      </c>
      <c r="R1592">
        <v>2.91</v>
      </c>
      <c r="S1592" t="s">
        <v>28</v>
      </c>
      <c r="T1592" t="str">
        <f t="shared" si="48"/>
        <v>Very Low</v>
      </c>
      <c r="U1592" t="str">
        <f t="shared" si="49"/>
        <v>Intermediate</v>
      </c>
    </row>
    <row r="1593" spans="1:21" x14ac:dyDescent="0.35">
      <c r="A1593" t="s">
        <v>1666</v>
      </c>
      <c r="B1593" t="s">
        <v>91</v>
      </c>
      <c r="C1593" t="s">
        <v>31</v>
      </c>
      <c r="D1593" t="s">
        <v>80</v>
      </c>
      <c r="E1593" t="s">
        <v>41</v>
      </c>
      <c r="F1593">
        <v>12</v>
      </c>
      <c r="G1593">
        <v>0.52</v>
      </c>
      <c r="H1593">
        <v>0.48</v>
      </c>
      <c r="I1593" t="s">
        <v>34</v>
      </c>
      <c r="J1593">
        <v>70501</v>
      </c>
      <c r="K1593" t="s">
        <v>25</v>
      </c>
      <c r="L1593">
        <v>-6</v>
      </c>
      <c r="M1593">
        <v>52</v>
      </c>
      <c r="N1593" t="s">
        <v>35</v>
      </c>
      <c r="O1593" t="s">
        <v>36</v>
      </c>
      <c r="P1593">
        <v>4.37</v>
      </c>
      <c r="Q1593" t="s">
        <v>24</v>
      </c>
      <c r="R1593">
        <v>3.88</v>
      </c>
      <c r="S1593" t="s">
        <v>28</v>
      </c>
      <c r="T1593" t="str">
        <f t="shared" si="48"/>
        <v>Moderate</v>
      </c>
      <c r="U1593" t="str">
        <f t="shared" si="49"/>
        <v>Experienced</v>
      </c>
    </row>
    <row r="1594" spans="1:21" x14ac:dyDescent="0.35">
      <c r="A1594" t="s">
        <v>1667</v>
      </c>
      <c r="B1594" t="s">
        <v>51</v>
      </c>
      <c r="C1594" t="s">
        <v>21</v>
      </c>
      <c r="D1594" t="s">
        <v>40</v>
      </c>
      <c r="E1594" t="s">
        <v>23</v>
      </c>
      <c r="F1594">
        <v>1</v>
      </c>
      <c r="G1594">
        <v>0.44</v>
      </c>
      <c r="H1594">
        <v>0.59</v>
      </c>
      <c r="I1594" t="s">
        <v>60</v>
      </c>
      <c r="J1594">
        <v>54458</v>
      </c>
      <c r="K1594" t="s">
        <v>25</v>
      </c>
      <c r="L1594">
        <v>24</v>
      </c>
      <c r="M1594">
        <v>32</v>
      </c>
      <c r="N1594" t="s">
        <v>35</v>
      </c>
      <c r="O1594" t="s">
        <v>27</v>
      </c>
      <c r="P1594">
        <v>4.1900000000000004</v>
      </c>
      <c r="Q1594" t="s">
        <v>24</v>
      </c>
      <c r="R1594">
        <v>4.5</v>
      </c>
      <c r="S1594" t="s">
        <v>28</v>
      </c>
      <c r="T1594" t="str">
        <f t="shared" si="48"/>
        <v>High</v>
      </c>
      <c r="U1594" t="str">
        <f t="shared" si="49"/>
        <v>Beginner</v>
      </c>
    </row>
    <row r="1595" spans="1:21" x14ac:dyDescent="0.35">
      <c r="A1595" t="s">
        <v>1668</v>
      </c>
      <c r="B1595" t="s">
        <v>89</v>
      </c>
      <c r="C1595" t="s">
        <v>46</v>
      </c>
      <c r="D1595" t="s">
        <v>32</v>
      </c>
      <c r="E1595" t="s">
        <v>41</v>
      </c>
      <c r="F1595">
        <v>13</v>
      </c>
      <c r="G1595">
        <v>0.37</v>
      </c>
      <c r="H1595">
        <v>0.89</v>
      </c>
      <c r="I1595" t="s">
        <v>24</v>
      </c>
      <c r="J1595">
        <v>163160</v>
      </c>
      <c r="K1595" t="s">
        <v>25</v>
      </c>
      <c r="L1595">
        <v>-3</v>
      </c>
      <c r="M1595">
        <v>55</v>
      </c>
      <c r="N1595" t="s">
        <v>42</v>
      </c>
      <c r="O1595" t="s">
        <v>27</v>
      </c>
      <c r="P1595">
        <v>3.02</v>
      </c>
      <c r="Q1595" t="s">
        <v>34</v>
      </c>
      <c r="R1595">
        <v>3.22</v>
      </c>
      <c r="S1595" t="s">
        <v>28</v>
      </c>
      <c r="T1595" t="str">
        <f t="shared" si="48"/>
        <v>Very High</v>
      </c>
      <c r="U1595" t="str">
        <f t="shared" si="49"/>
        <v>Experienced</v>
      </c>
    </row>
    <row r="1596" spans="1:21" x14ac:dyDescent="0.35">
      <c r="A1596" t="s">
        <v>1669</v>
      </c>
      <c r="B1596" t="s">
        <v>73</v>
      </c>
      <c r="C1596" t="s">
        <v>31</v>
      </c>
      <c r="D1596" t="s">
        <v>63</v>
      </c>
      <c r="E1596" t="s">
        <v>41</v>
      </c>
      <c r="F1596">
        <v>11</v>
      </c>
      <c r="G1596">
        <v>0.56000000000000005</v>
      </c>
      <c r="H1596">
        <v>0.52</v>
      </c>
      <c r="I1596" t="s">
        <v>24</v>
      </c>
      <c r="J1596">
        <v>173542</v>
      </c>
      <c r="K1596" t="s">
        <v>25</v>
      </c>
      <c r="L1596">
        <v>-6</v>
      </c>
      <c r="M1596">
        <v>34</v>
      </c>
      <c r="N1596" t="s">
        <v>35</v>
      </c>
      <c r="O1596" t="s">
        <v>25</v>
      </c>
      <c r="P1596">
        <v>4.38</v>
      </c>
      <c r="Q1596" t="s">
        <v>24</v>
      </c>
      <c r="R1596">
        <v>3.08</v>
      </c>
      <c r="S1596" t="s">
        <v>43</v>
      </c>
      <c r="T1596" t="str">
        <f t="shared" si="48"/>
        <v>Moderate</v>
      </c>
      <c r="U1596" t="str">
        <f t="shared" si="49"/>
        <v>Experienced</v>
      </c>
    </row>
    <row r="1597" spans="1:21" x14ac:dyDescent="0.35">
      <c r="A1597" t="s">
        <v>1670</v>
      </c>
      <c r="B1597" t="s">
        <v>20</v>
      </c>
      <c r="C1597" t="s">
        <v>21</v>
      </c>
      <c r="D1597" t="s">
        <v>22</v>
      </c>
      <c r="E1597" t="s">
        <v>23</v>
      </c>
      <c r="F1597">
        <v>3</v>
      </c>
      <c r="G1597">
        <v>0.77</v>
      </c>
      <c r="H1597">
        <v>0.52</v>
      </c>
      <c r="I1597" t="s">
        <v>34</v>
      </c>
      <c r="J1597">
        <v>41141</v>
      </c>
      <c r="K1597" t="s">
        <v>25</v>
      </c>
      <c r="L1597">
        <v>41</v>
      </c>
      <c r="M1597">
        <v>54</v>
      </c>
      <c r="N1597" t="s">
        <v>26</v>
      </c>
      <c r="O1597" t="s">
        <v>25</v>
      </c>
      <c r="P1597">
        <v>2.82</v>
      </c>
      <c r="Q1597" t="s">
        <v>34</v>
      </c>
      <c r="R1597">
        <v>2.0499999999999998</v>
      </c>
      <c r="S1597" t="s">
        <v>28</v>
      </c>
      <c r="T1597" t="str">
        <f t="shared" si="48"/>
        <v>Moderate</v>
      </c>
      <c r="U1597" t="str">
        <f t="shared" si="49"/>
        <v>Intermediate</v>
      </c>
    </row>
    <row r="1598" spans="1:21" x14ac:dyDescent="0.35">
      <c r="A1598" t="s">
        <v>1671</v>
      </c>
      <c r="B1598" t="s">
        <v>73</v>
      </c>
      <c r="C1598" t="s">
        <v>52</v>
      </c>
      <c r="D1598" t="s">
        <v>32</v>
      </c>
      <c r="E1598" t="s">
        <v>23</v>
      </c>
      <c r="F1598">
        <v>8</v>
      </c>
      <c r="G1598">
        <v>0.78</v>
      </c>
      <c r="H1598">
        <v>0.78</v>
      </c>
      <c r="I1598" t="s">
        <v>34</v>
      </c>
      <c r="J1598">
        <v>161465</v>
      </c>
      <c r="K1598" t="s">
        <v>42</v>
      </c>
      <c r="L1598">
        <v>17</v>
      </c>
      <c r="M1598">
        <v>49</v>
      </c>
      <c r="N1598" t="s">
        <v>26</v>
      </c>
      <c r="O1598" t="s">
        <v>25</v>
      </c>
      <c r="P1598">
        <v>4.05</v>
      </c>
      <c r="Q1598" t="s">
        <v>34</v>
      </c>
      <c r="R1598">
        <v>3.29</v>
      </c>
      <c r="S1598" t="s">
        <v>47</v>
      </c>
      <c r="T1598" t="str">
        <f t="shared" si="48"/>
        <v>Moderate</v>
      </c>
      <c r="U1598" t="str">
        <f t="shared" si="49"/>
        <v>Intermediate</v>
      </c>
    </row>
    <row r="1599" spans="1:21" x14ac:dyDescent="0.35">
      <c r="A1599" t="s">
        <v>1672</v>
      </c>
      <c r="B1599" t="s">
        <v>77</v>
      </c>
      <c r="C1599" t="s">
        <v>74</v>
      </c>
      <c r="D1599" t="s">
        <v>49</v>
      </c>
      <c r="E1599" t="s">
        <v>23</v>
      </c>
      <c r="F1599">
        <v>13</v>
      </c>
      <c r="G1599">
        <v>0.65</v>
      </c>
      <c r="H1599">
        <v>0.72</v>
      </c>
      <c r="I1599" t="s">
        <v>24</v>
      </c>
      <c r="J1599">
        <v>106115</v>
      </c>
      <c r="K1599" t="s">
        <v>42</v>
      </c>
      <c r="L1599">
        <v>44</v>
      </c>
      <c r="M1599">
        <v>36</v>
      </c>
      <c r="N1599" t="s">
        <v>26</v>
      </c>
      <c r="O1599" t="s">
        <v>27</v>
      </c>
      <c r="P1599">
        <v>3.6</v>
      </c>
      <c r="Q1599" t="s">
        <v>34</v>
      </c>
      <c r="R1599">
        <v>2.62</v>
      </c>
      <c r="S1599" t="s">
        <v>43</v>
      </c>
      <c r="T1599" t="str">
        <f t="shared" si="48"/>
        <v>High</v>
      </c>
      <c r="U1599" t="str">
        <f t="shared" si="49"/>
        <v>Experienced</v>
      </c>
    </row>
    <row r="1600" spans="1:21" x14ac:dyDescent="0.35">
      <c r="A1600" t="s">
        <v>1673</v>
      </c>
      <c r="B1600" t="s">
        <v>89</v>
      </c>
      <c r="C1600" t="s">
        <v>82</v>
      </c>
      <c r="D1600" t="s">
        <v>80</v>
      </c>
      <c r="E1600" t="s">
        <v>23</v>
      </c>
      <c r="F1600">
        <v>3</v>
      </c>
      <c r="G1600">
        <v>0.14000000000000001</v>
      </c>
      <c r="H1600">
        <v>0.94</v>
      </c>
      <c r="I1600" t="s">
        <v>34</v>
      </c>
      <c r="J1600">
        <v>104892</v>
      </c>
      <c r="K1600" t="s">
        <v>42</v>
      </c>
      <c r="L1600">
        <v>33</v>
      </c>
      <c r="M1600">
        <v>52</v>
      </c>
      <c r="N1600" t="s">
        <v>42</v>
      </c>
      <c r="O1600" t="s">
        <v>27</v>
      </c>
      <c r="P1600">
        <v>2.96</v>
      </c>
      <c r="Q1600" t="s">
        <v>24</v>
      </c>
      <c r="R1600">
        <v>1.54</v>
      </c>
      <c r="S1600" t="s">
        <v>28</v>
      </c>
      <c r="T1600" t="str">
        <f t="shared" si="48"/>
        <v>Very High</v>
      </c>
      <c r="U1600" t="str">
        <f t="shared" si="49"/>
        <v>Intermediate</v>
      </c>
    </row>
    <row r="1601" spans="1:21" x14ac:dyDescent="0.35">
      <c r="A1601" t="s">
        <v>1674</v>
      </c>
      <c r="B1601" t="s">
        <v>20</v>
      </c>
      <c r="C1601" t="s">
        <v>52</v>
      </c>
      <c r="D1601" t="s">
        <v>69</v>
      </c>
      <c r="E1601" t="s">
        <v>41</v>
      </c>
      <c r="F1601">
        <v>24</v>
      </c>
      <c r="G1601">
        <v>0.4</v>
      </c>
      <c r="H1601">
        <v>0.31</v>
      </c>
      <c r="I1601" t="s">
        <v>24</v>
      </c>
      <c r="J1601">
        <v>218523</v>
      </c>
      <c r="K1601" t="s">
        <v>42</v>
      </c>
      <c r="L1601">
        <v>28</v>
      </c>
      <c r="M1601">
        <v>46</v>
      </c>
      <c r="N1601" t="s">
        <v>35</v>
      </c>
      <c r="O1601" t="s">
        <v>36</v>
      </c>
      <c r="P1601">
        <v>4.42</v>
      </c>
      <c r="Q1601" t="s">
        <v>34</v>
      </c>
      <c r="R1601">
        <v>4.5</v>
      </c>
      <c r="S1601" t="s">
        <v>28</v>
      </c>
      <c r="T1601" t="str">
        <f t="shared" si="48"/>
        <v>Moderate</v>
      </c>
      <c r="U1601" t="str">
        <f t="shared" si="49"/>
        <v>Expert</v>
      </c>
    </row>
    <row r="1602" spans="1:21" x14ac:dyDescent="0.35">
      <c r="A1602" t="s">
        <v>1675</v>
      </c>
      <c r="B1602" t="s">
        <v>62</v>
      </c>
      <c r="C1602" t="s">
        <v>58</v>
      </c>
      <c r="D1602" t="s">
        <v>32</v>
      </c>
      <c r="E1602" t="s">
        <v>41</v>
      </c>
      <c r="F1602">
        <v>11</v>
      </c>
      <c r="G1602">
        <v>0.19</v>
      </c>
      <c r="H1602">
        <v>0.59</v>
      </c>
      <c r="I1602" t="s">
        <v>34</v>
      </c>
      <c r="J1602">
        <v>158731</v>
      </c>
      <c r="K1602" t="s">
        <v>25</v>
      </c>
      <c r="L1602">
        <v>3</v>
      </c>
      <c r="M1602">
        <v>32</v>
      </c>
      <c r="N1602" t="s">
        <v>26</v>
      </c>
      <c r="O1602" t="s">
        <v>25</v>
      </c>
      <c r="P1602">
        <v>2.97</v>
      </c>
      <c r="Q1602" t="s">
        <v>34</v>
      </c>
      <c r="R1602">
        <v>1.72</v>
      </c>
      <c r="S1602" t="s">
        <v>47</v>
      </c>
      <c r="T1602" t="str">
        <f t="shared" si="48"/>
        <v>High</v>
      </c>
      <c r="U1602" t="str">
        <f t="shared" si="49"/>
        <v>Experienced</v>
      </c>
    </row>
    <row r="1603" spans="1:21" x14ac:dyDescent="0.35">
      <c r="A1603" t="s">
        <v>1676</v>
      </c>
      <c r="B1603" t="s">
        <v>77</v>
      </c>
      <c r="C1603" t="s">
        <v>31</v>
      </c>
      <c r="D1603" t="s">
        <v>22</v>
      </c>
      <c r="E1603" t="s">
        <v>23</v>
      </c>
      <c r="F1603">
        <v>2</v>
      </c>
      <c r="G1603">
        <v>0.05</v>
      </c>
      <c r="H1603">
        <v>0.45</v>
      </c>
      <c r="I1603" t="s">
        <v>34</v>
      </c>
      <c r="J1603">
        <v>166965</v>
      </c>
      <c r="K1603" t="s">
        <v>25</v>
      </c>
      <c r="L1603">
        <v>-4</v>
      </c>
      <c r="M1603">
        <v>41</v>
      </c>
      <c r="N1603" t="s">
        <v>35</v>
      </c>
      <c r="O1603" t="s">
        <v>36</v>
      </c>
      <c r="P1603">
        <v>4.32</v>
      </c>
      <c r="Q1603" t="s">
        <v>24</v>
      </c>
      <c r="R1603">
        <v>3.5</v>
      </c>
      <c r="S1603" t="s">
        <v>28</v>
      </c>
      <c r="T1603" t="str">
        <f t="shared" ref="T1603:T1666" si="50">IF(AND(G1603&lt;0.4,H1603&gt;=0.7),"Very High",
IF(AND(G1603&gt;=0.7,H1603&lt;0.5),"Very Low",
IF(G1603&lt;H1603,"High","Moderate")))</f>
        <v>High</v>
      </c>
      <c r="U1603" t="str">
        <f t="shared" ref="U1603:U1666" si="51">_xlfn.IFS(F1603&lt;=2,"Beginner",F1603&lt;=8,"Intermediate",F1603&lt;=15,"Experienced",F1603&lt;=25,"Expert")</f>
        <v>Beginner</v>
      </c>
    </row>
    <row r="1604" spans="1:21" x14ac:dyDescent="0.35">
      <c r="A1604" t="s">
        <v>1677</v>
      </c>
      <c r="B1604" t="s">
        <v>94</v>
      </c>
      <c r="C1604" t="s">
        <v>58</v>
      </c>
      <c r="D1604" t="s">
        <v>63</v>
      </c>
      <c r="E1604" t="s">
        <v>33</v>
      </c>
      <c r="F1604">
        <v>9</v>
      </c>
      <c r="G1604">
        <v>0.7</v>
      </c>
      <c r="H1604">
        <v>0.61</v>
      </c>
      <c r="I1604" t="s">
        <v>60</v>
      </c>
      <c r="J1604">
        <v>127377</v>
      </c>
      <c r="K1604" t="s">
        <v>25</v>
      </c>
      <c r="L1604">
        <v>5</v>
      </c>
      <c r="M1604">
        <v>34</v>
      </c>
      <c r="N1604" t="s">
        <v>35</v>
      </c>
      <c r="O1604" t="s">
        <v>27</v>
      </c>
      <c r="P1604">
        <v>4.1500000000000004</v>
      </c>
      <c r="Q1604" t="s">
        <v>24</v>
      </c>
      <c r="R1604">
        <v>1.03</v>
      </c>
      <c r="S1604" t="s">
        <v>47</v>
      </c>
      <c r="T1604" t="str">
        <f t="shared" si="50"/>
        <v>Moderate</v>
      </c>
      <c r="U1604" t="str">
        <f t="shared" si="51"/>
        <v>Experienced</v>
      </c>
    </row>
    <row r="1605" spans="1:21" x14ac:dyDescent="0.35">
      <c r="A1605" t="s">
        <v>1678</v>
      </c>
      <c r="B1605" t="s">
        <v>45</v>
      </c>
      <c r="C1605" t="s">
        <v>31</v>
      </c>
      <c r="D1605" t="s">
        <v>75</v>
      </c>
      <c r="E1605" t="s">
        <v>23</v>
      </c>
      <c r="F1605">
        <v>16</v>
      </c>
      <c r="G1605">
        <v>0.15</v>
      </c>
      <c r="H1605">
        <v>0.84</v>
      </c>
      <c r="I1605" t="s">
        <v>24</v>
      </c>
      <c r="J1605">
        <v>213068</v>
      </c>
      <c r="K1605" t="s">
        <v>42</v>
      </c>
      <c r="L1605">
        <v>34</v>
      </c>
      <c r="M1605">
        <v>59</v>
      </c>
      <c r="N1605" t="s">
        <v>35</v>
      </c>
      <c r="O1605" t="s">
        <v>27</v>
      </c>
      <c r="P1605">
        <v>4.53</v>
      </c>
      <c r="Q1605" t="s">
        <v>34</v>
      </c>
      <c r="R1605">
        <v>4.5</v>
      </c>
      <c r="S1605" t="s">
        <v>43</v>
      </c>
      <c r="T1605" t="str">
        <f t="shared" si="50"/>
        <v>Very High</v>
      </c>
      <c r="U1605" t="str">
        <f t="shared" si="51"/>
        <v>Expert</v>
      </c>
    </row>
    <row r="1606" spans="1:21" x14ac:dyDescent="0.35">
      <c r="A1606" t="s">
        <v>1679</v>
      </c>
      <c r="B1606" t="s">
        <v>106</v>
      </c>
      <c r="C1606" t="s">
        <v>39</v>
      </c>
      <c r="D1606" t="s">
        <v>40</v>
      </c>
      <c r="E1606" t="s">
        <v>33</v>
      </c>
      <c r="F1606">
        <v>15</v>
      </c>
      <c r="G1606">
        <v>0.89</v>
      </c>
      <c r="H1606">
        <v>0.54</v>
      </c>
      <c r="I1606" t="s">
        <v>60</v>
      </c>
      <c r="J1606">
        <v>169173</v>
      </c>
      <c r="K1606" t="s">
        <v>27</v>
      </c>
      <c r="L1606">
        <v>45</v>
      </c>
      <c r="M1606">
        <v>51</v>
      </c>
      <c r="N1606" t="s">
        <v>26</v>
      </c>
      <c r="O1606" t="s">
        <v>27</v>
      </c>
      <c r="P1606">
        <v>2.2400000000000002</v>
      </c>
      <c r="Q1606" t="s">
        <v>24</v>
      </c>
      <c r="R1606">
        <v>3.61</v>
      </c>
      <c r="S1606" t="s">
        <v>47</v>
      </c>
      <c r="T1606" t="str">
        <f t="shared" si="50"/>
        <v>Moderate</v>
      </c>
      <c r="U1606" t="str">
        <f t="shared" si="51"/>
        <v>Experienced</v>
      </c>
    </row>
    <row r="1607" spans="1:21" x14ac:dyDescent="0.35">
      <c r="A1607" t="s">
        <v>1680</v>
      </c>
      <c r="B1607" t="s">
        <v>102</v>
      </c>
      <c r="C1607" t="s">
        <v>74</v>
      </c>
      <c r="D1607" t="s">
        <v>63</v>
      </c>
      <c r="E1607" t="s">
        <v>23</v>
      </c>
      <c r="F1607">
        <v>14</v>
      </c>
      <c r="G1607">
        <v>0.52</v>
      </c>
      <c r="H1607">
        <v>0.69</v>
      </c>
      <c r="I1607" t="s">
        <v>34</v>
      </c>
      <c r="J1607">
        <v>144090</v>
      </c>
      <c r="K1607" t="s">
        <v>42</v>
      </c>
      <c r="L1607">
        <v>45</v>
      </c>
      <c r="M1607">
        <v>34</v>
      </c>
      <c r="N1607" t="s">
        <v>42</v>
      </c>
      <c r="O1607" t="s">
        <v>25</v>
      </c>
      <c r="P1607">
        <v>4.3</v>
      </c>
      <c r="Q1607" t="s">
        <v>34</v>
      </c>
      <c r="R1607">
        <v>3.01</v>
      </c>
      <c r="S1607" t="s">
        <v>28</v>
      </c>
      <c r="T1607" t="str">
        <f t="shared" si="50"/>
        <v>High</v>
      </c>
      <c r="U1607" t="str">
        <f t="shared" si="51"/>
        <v>Experienced</v>
      </c>
    </row>
    <row r="1608" spans="1:21" x14ac:dyDescent="0.35">
      <c r="A1608" t="s">
        <v>1681</v>
      </c>
      <c r="B1608" t="s">
        <v>30</v>
      </c>
      <c r="C1608" t="s">
        <v>39</v>
      </c>
      <c r="D1608" t="s">
        <v>63</v>
      </c>
      <c r="E1608" t="s">
        <v>41</v>
      </c>
      <c r="F1608">
        <v>2</v>
      </c>
      <c r="G1608">
        <v>0.33</v>
      </c>
      <c r="H1608">
        <v>0.79</v>
      </c>
      <c r="I1608" t="s">
        <v>34</v>
      </c>
      <c r="J1608">
        <v>63622</v>
      </c>
      <c r="K1608" t="s">
        <v>27</v>
      </c>
      <c r="L1608">
        <v>33</v>
      </c>
      <c r="M1608">
        <v>47</v>
      </c>
      <c r="N1608" t="s">
        <v>35</v>
      </c>
      <c r="O1608" t="s">
        <v>27</v>
      </c>
      <c r="P1608">
        <v>2.08</v>
      </c>
      <c r="Q1608" t="s">
        <v>24</v>
      </c>
      <c r="R1608">
        <v>4.9400000000000004</v>
      </c>
      <c r="S1608" t="s">
        <v>43</v>
      </c>
      <c r="T1608" t="str">
        <f t="shared" si="50"/>
        <v>Very High</v>
      </c>
      <c r="U1608" t="str">
        <f t="shared" si="51"/>
        <v>Beginner</v>
      </c>
    </row>
    <row r="1609" spans="1:21" x14ac:dyDescent="0.35">
      <c r="A1609" t="s">
        <v>1682</v>
      </c>
      <c r="B1609" t="s">
        <v>96</v>
      </c>
      <c r="C1609" t="s">
        <v>107</v>
      </c>
      <c r="D1609" t="s">
        <v>69</v>
      </c>
      <c r="E1609" t="s">
        <v>23</v>
      </c>
      <c r="F1609">
        <v>12</v>
      </c>
      <c r="G1609">
        <v>0.19</v>
      </c>
      <c r="H1609">
        <v>0.98</v>
      </c>
      <c r="I1609" t="s">
        <v>60</v>
      </c>
      <c r="J1609">
        <v>145705</v>
      </c>
      <c r="K1609" t="s">
        <v>25</v>
      </c>
      <c r="L1609">
        <v>24</v>
      </c>
      <c r="M1609">
        <v>34</v>
      </c>
      <c r="N1609" t="s">
        <v>26</v>
      </c>
      <c r="O1609" t="s">
        <v>27</v>
      </c>
      <c r="P1609">
        <v>4.91</v>
      </c>
      <c r="Q1609" t="s">
        <v>34</v>
      </c>
      <c r="R1609">
        <v>2.2799999999999998</v>
      </c>
      <c r="S1609" t="s">
        <v>28</v>
      </c>
      <c r="T1609" t="str">
        <f t="shared" si="50"/>
        <v>Very High</v>
      </c>
      <c r="U1609" t="str">
        <f t="shared" si="51"/>
        <v>Experienced</v>
      </c>
    </row>
    <row r="1610" spans="1:21" x14ac:dyDescent="0.35">
      <c r="A1610" t="s">
        <v>1683</v>
      </c>
      <c r="B1610" t="s">
        <v>96</v>
      </c>
      <c r="C1610" t="s">
        <v>55</v>
      </c>
      <c r="D1610" t="s">
        <v>63</v>
      </c>
      <c r="E1610" t="s">
        <v>33</v>
      </c>
      <c r="F1610">
        <v>3</v>
      </c>
      <c r="G1610">
        <v>0.24</v>
      </c>
      <c r="H1610">
        <v>0.74</v>
      </c>
      <c r="I1610" t="s">
        <v>34</v>
      </c>
      <c r="J1610">
        <v>86399</v>
      </c>
      <c r="K1610" t="s">
        <v>27</v>
      </c>
      <c r="L1610">
        <v>-2</v>
      </c>
      <c r="M1610">
        <v>42</v>
      </c>
      <c r="N1610" t="s">
        <v>35</v>
      </c>
      <c r="O1610" t="s">
        <v>25</v>
      </c>
      <c r="P1610">
        <v>3.97</v>
      </c>
      <c r="Q1610" t="s">
        <v>24</v>
      </c>
      <c r="R1610">
        <v>2.92</v>
      </c>
      <c r="S1610" t="s">
        <v>43</v>
      </c>
      <c r="T1610" t="str">
        <f t="shared" si="50"/>
        <v>Very High</v>
      </c>
      <c r="U1610" t="str">
        <f t="shared" si="51"/>
        <v>Intermediate</v>
      </c>
    </row>
    <row r="1611" spans="1:21" x14ac:dyDescent="0.35">
      <c r="A1611" t="s">
        <v>1684</v>
      </c>
      <c r="B1611" t="s">
        <v>96</v>
      </c>
      <c r="C1611" t="s">
        <v>21</v>
      </c>
      <c r="D1611" t="s">
        <v>66</v>
      </c>
      <c r="E1611" t="s">
        <v>70</v>
      </c>
      <c r="F1611">
        <v>11</v>
      </c>
      <c r="G1611">
        <v>0.05</v>
      </c>
      <c r="H1611">
        <v>0.85</v>
      </c>
      <c r="I1611" t="s">
        <v>24</v>
      </c>
      <c r="J1611">
        <v>33991</v>
      </c>
      <c r="K1611" t="s">
        <v>27</v>
      </c>
      <c r="L1611">
        <v>40</v>
      </c>
      <c r="M1611">
        <v>57</v>
      </c>
      <c r="N1611" t="s">
        <v>26</v>
      </c>
      <c r="O1611" t="s">
        <v>36</v>
      </c>
      <c r="P1611">
        <v>4.79</v>
      </c>
      <c r="Q1611" t="s">
        <v>34</v>
      </c>
      <c r="R1611">
        <v>3.83</v>
      </c>
      <c r="S1611" t="s">
        <v>43</v>
      </c>
      <c r="T1611" t="str">
        <f t="shared" si="50"/>
        <v>Very High</v>
      </c>
      <c r="U1611" t="str">
        <f t="shared" si="51"/>
        <v>Experienced</v>
      </c>
    </row>
    <row r="1612" spans="1:21" x14ac:dyDescent="0.35">
      <c r="A1612" t="s">
        <v>1685</v>
      </c>
      <c r="B1612" t="s">
        <v>147</v>
      </c>
      <c r="C1612" t="s">
        <v>39</v>
      </c>
      <c r="D1612" t="s">
        <v>59</v>
      </c>
      <c r="E1612" t="s">
        <v>33</v>
      </c>
      <c r="F1612">
        <v>8</v>
      </c>
      <c r="G1612">
        <v>0.6</v>
      </c>
      <c r="H1612">
        <v>0.57999999999999996</v>
      </c>
      <c r="I1612" t="s">
        <v>60</v>
      </c>
      <c r="J1612">
        <v>62107</v>
      </c>
      <c r="K1612" t="s">
        <v>42</v>
      </c>
      <c r="L1612">
        <v>0</v>
      </c>
      <c r="M1612">
        <v>49</v>
      </c>
      <c r="N1612" t="s">
        <v>42</v>
      </c>
      <c r="O1612" t="s">
        <v>27</v>
      </c>
      <c r="P1612">
        <v>3.4</v>
      </c>
      <c r="Q1612" t="s">
        <v>24</v>
      </c>
      <c r="R1612">
        <v>1.1000000000000001</v>
      </c>
      <c r="S1612" t="s">
        <v>47</v>
      </c>
      <c r="T1612" t="str">
        <f t="shared" si="50"/>
        <v>Moderate</v>
      </c>
      <c r="U1612" t="str">
        <f t="shared" si="51"/>
        <v>Intermediate</v>
      </c>
    </row>
    <row r="1613" spans="1:21" x14ac:dyDescent="0.35">
      <c r="A1613" t="s">
        <v>1686</v>
      </c>
      <c r="B1613" t="s">
        <v>20</v>
      </c>
      <c r="C1613" t="s">
        <v>74</v>
      </c>
      <c r="D1613" t="s">
        <v>80</v>
      </c>
      <c r="E1613" t="s">
        <v>23</v>
      </c>
      <c r="F1613">
        <v>20</v>
      </c>
      <c r="G1613">
        <v>0.59</v>
      </c>
      <c r="H1613">
        <v>0.59</v>
      </c>
      <c r="I1613" t="s">
        <v>24</v>
      </c>
      <c r="J1613">
        <v>216499</v>
      </c>
      <c r="K1613" t="s">
        <v>27</v>
      </c>
      <c r="L1613">
        <v>23</v>
      </c>
      <c r="M1613">
        <v>46</v>
      </c>
      <c r="N1613" t="s">
        <v>26</v>
      </c>
      <c r="O1613" t="s">
        <v>25</v>
      </c>
      <c r="P1613">
        <v>4.51</v>
      </c>
      <c r="Q1613" t="s">
        <v>34</v>
      </c>
      <c r="R1613">
        <v>3.05</v>
      </c>
      <c r="S1613" t="s">
        <v>47</v>
      </c>
      <c r="T1613" t="str">
        <f t="shared" si="50"/>
        <v>Moderate</v>
      </c>
      <c r="U1613" t="str">
        <f t="shared" si="51"/>
        <v>Expert</v>
      </c>
    </row>
    <row r="1614" spans="1:21" x14ac:dyDescent="0.35">
      <c r="A1614" t="s">
        <v>1687</v>
      </c>
      <c r="B1614" t="s">
        <v>57</v>
      </c>
      <c r="C1614" t="s">
        <v>55</v>
      </c>
      <c r="D1614" t="s">
        <v>32</v>
      </c>
      <c r="E1614" t="s">
        <v>23</v>
      </c>
      <c r="F1614">
        <v>9</v>
      </c>
      <c r="G1614">
        <v>0.6</v>
      </c>
      <c r="H1614">
        <v>0.37</v>
      </c>
      <c r="I1614" t="s">
        <v>60</v>
      </c>
      <c r="J1614">
        <v>144584</v>
      </c>
      <c r="K1614" t="s">
        <v>25</v>
      </c>
      <c r="L1614">
        <v>3</v>
      </c>
      <c r="M1614">
        <v>36</v>
      </c>
      <c r="N1614" t="s">
        <v>35</v>
      </c>
      <c r="O1614" t="s">
        <v>25</v>
      </c>
      <c r="P1614">
        <v>2.5</v>
      </c>
      <c r="Q1614" t="s">
        <v>24</v>
      </c>
      <c r="R1614">
        <v>4.4800000000000004</v>
      </c>
      <c r="S1614" t="s">
        <v>43</v>
      </c>
      <c r="T1614" t="str">
        <f t="shared" si="50"/>
        <v>Moderate</v>
      </c>
      <c r="U1614" t="str">
        <f t="shared" si="51"/>
        <v>Experienced</v>
      </c>
    </row>
    <row r="1615" spans="1:21" x14ac:dyDescent="0.35">
      <c r="A1615" t="s">
        <v>1688</v>
      </c>
      <c r="B1615" t="s">
        <v>65</v>
      </c>
      <c r="C1615" t="s">
        <v>39</v>
      </c>
      <c r="D1615" t="s">
        <v>69</v>
      </c>
      <c r="E1615" t="s">
        <v>23</v>
      </c>
      <c r="F1615">
        <v>9</v>
      </c>
      <c r="G1615">
        <v>0.46</v>
      </c>
      <c r="H1615">
        <v>0.74</v>
      </c>
      <c r="I1615" t="s">
        <v>34</v>
      </c>
      <c r="J1615">
        <v>111840</v>
      </c>
      <c r="K1615" t="s">
        <v>42</v>
      </c>
      <c r="L1615">
        <v>36</v>
      </c>
      <c r="M1615">
        <v>57</v>
      </c>
      <c r="N1615" t="s">
        <v>42</v>
      </c>
      <c r="O1615" t="s">
        <v>36</v>
      </c>
      <c r="P1615">
        <v>2.02</v>
      </c>
      <c r="Q1615" t="s">
        <v>24</v>
      </c>
      <c r="R1615">
        <v>1.88</v>
      </c>
      <c r="S1615" t="s">
        <v>43</v>
      </c>
      <c r="T1615" t="str">
        <f t="shared" si="50"/>
        <v>High</v>
      </c>
      <c r="U1615" t="str">
        <f t="shared" si="51"/>
        <v>Experienced</v>
      </c>
    </row>
    <row r="1616" spans="1:21" x14ac:dyDescent="0.35">
      <c r="A1616" t="s">
        <v>1689</v>
      </c>
      <c r="B1616" t="s">
        <v>20</v>
      </c>
      <c r="C1616" t="s">
        <v>82</v>
      </c>
      <c r="D1616" t="s">
        <v>40</v>
      </c>
      <c r="E1616" t="s">
        <v>33</v>
      </c>
      <c r="F1616">
        <v>25</v>
      </c>
      <c r="G1616">
        <v>0.39</v>
      </c>
      <c r="H1616">
        <v>0.77</v>
      </c>
      <c r="I1616" t="s">
        <v>60</v>
      </c>
      <c r="J1616">
        <v>72481</v>
      </c>
      <c r="K1616" t="s">
        <v>27</v>
      </c>
      <c r="L1616">
        <v>24</v>
      </c>
      <c r="M1616">
        <v>34</v>
      </c>
      <c r="N1616" t="s">
        <v>35</v>
      </c>
      <c r="O1616" t="s">
        <v>27</v>
      </c>
      <c r="P1616">
        <v>4.49</v>
      </c>
      <c r="Q1616" t="s">
        <v>24</v>
      </c>
      <c r="R1616">
        <v>4.43</v>
      </c>
      <c r="S1616" t="s">
        <v>28</v>
      </c>
      <c r="T1616" t="str">
        <f t="shared" si="50"/>
        <v>Very High</v>
      </c>
      <c r="U1616" t="str">
        <f t="shared" si="51"/>
        <v>Expert</v>
      </c>
    </row>
    <row r="1617" spans="1:21" x14ac:dyDescent="0.35">
      <c r="A1617" t="s">
        <v>1690</v>
      </c>
      <c r="B1617" t="s">
        <v>102</v>
      </c>
      <c r="C1617" t="s">
        <v>46</v>
      </c>
      <c r="D1617" t="s">
        <v>59</v>
      </c>
      <c r="E1617" t="s">
        <v>33</v>
      </c>
      <c r="F1617">
        <v>0</v>
      </c>
      <c r="G1617">
        <v>0.74</v>
      </c>
      <c r="H1617">
        <v>0.31</v>
      </c>
      <c r="I1617" t="s">
        <v>34</v>
      </c>
      <c r="J1617">
        <v>98531</v>
      </c>
      <c r="K1617" t="s">
        <v>27</v>
      </c>
      <c r="L1617">
        <v>39</v>
      </c>
      <c r="M1617">
        <v>41</v>
      </c>
      <c r="N1617" t="s">
        <v>26</v>
      </c>
      <c r="O1617" t="s">
        <v>27</v>
      </c>
      <c r="P1617">
        <v>4.99</v>
      </c>
      <c r="Q1617" t="s">
        <v>34</v>
      </c>
      <c r="R1617">
        <v>3.28</v>
      </c>
      <c r="S1617" t="s">
        <v>28</v>
      </c>
      <c r="T1617" t="str">
        <f t="shared" si="50"/>
        <v>Very Low</v>
      </c>
      <c r="U1617" t="str">
        <f t="shared" si="51"/>
        <v>Beginner</v>
      </c>
    </row>
    <row r="1618" spans="1:21" x14ac:dyDescent="0.35">
      <c r="A1618" t="s">
        <v>1691</v>
      </c>
      <c r="B1618" t="s">
        <v>57</v>
      </c>
      <c r="C1618" t="s">
        <v>21</v>
      </c>
      <c r="D1618" t="s">
        <v>32</v>
      </c>
      <c r="E1618" t="s">
        <v>33</v>
      </c>
      <c r="F1618">
        <v>8</v>
      </c>
      <c r="G1618">
        <v>0.08</v>
      </c>
      <c r="H1618">
        <v>0.42</v>
      </c>
      <c r="I1618" t="s">
        <v>60</v>
      </c>
      <c r="J1618">
        <v>122357</v>
      </c>
      <c r="K1618" t="s">
        <v>42</v>
      </c>
      <c r="L1618">
        <v>3</v>
      </c>
      <c r="M1618">
        <v>40</v>
      </c>
      <c r="N1618" t="s">
        <v>26</v>
      </c>
      <c r="O1618" t="s">
        <v>27</v>
      </c>
      <c r="P1618">
        <v>2.83</v>
      </c>
      <c r="Q1618" t="s">
        <v>24</v>
      </c>
      <c r="R1618">
        <v>1.45</v>
      </c>
      <c r="S1618" t="s">
        <v>28</v>
      </c>
      <c r="T1618" t="str">
        <f t="shared" si="50"/>
        <v>High</v>
      </c>
      <c r="U1618" t="str">
        <f t="shared" si="51"/>
        <v>Intermediate</v>
      </c>
    </row>
    <row r="1619" spans="1:21" x14ac:dyDescent="0.35">
      <c r="A1619" t="s">
        <v>1692</v>
      </c>
      <c r="B1619" t="s">
        <v>57</v>
      </c>
      <c r="C1619" t="s">
        <v>107</v>
      </c>
      <c r="D1619" t="s">
        <v>80</v>
      </c>
      <c r="E1619" t="s">
        <v>41</v>
      </c>
      <c r="F1619">
        <v>15</v>
      </c>
      <c r="G1619">
        <v>0.21</v>
      </c>
      <c r="H1619">
        <v>0.22</v>
      </c>
      <c r="I1619" t="s">
        <v>60</v>
      </c>
      <c r="J1619">
        <v>131921</v>
      </c>
      <c r="K1619" t="s">
        <v>25</v>
      </c>
      <c r="L1619">
        <v>9</v>
      </c>
      <c r="M1619">
        <v>47</v>
      </c>
      <c r="N1619" t="s">
        <v>26</v>
      </c>
      <c r="O1619" t="s">
        <v>27</v>
      </c>
      <c r="P1619">
        <v>4.8099999999999996</v>
      </c>
      <c r="Q1619" t="s">
        <v>34</v>
      </c>
      <c r="R1619">
        <v>2.0099999999999998</v>
      </c>
      <c r="S1619" t="s">
        <v>28</v>
      </c>
      <c r="T1619" t="str">
        <f t="shared" si="50"/>
        <v>High</v>
      </c>
      <c r="U1619" t="str">
        <f t="shared" si="51"/>
        <v>Experienced</v>
      </c>
    </row>
    <row r="1620" spans="1:21" x14ac:dyDescent="0.35">
      <c r="A1620" t="s">
        <v>1693</v>
      </c>
      <c r="B1620" t="s">
        <v>147</v>
      </c>
      <c r="C1620" t="s">
        <v>46</v>
      </c>
      <c r="D1620" t="s">
        <v>66</v>
      </c>
      <c r="E1620" t="s">
        <v>33</v>
      </c>
      <c r="F1620">
        <v>2</v>
      </c>
      <c r="G1620">
        <v>0.56999999999999995</v>
      </c>
      <c r="H1620">
        <v>0.93</v>
      </c>
      <c r="I1620" t="s">
        <v>60</v>
      </c>
      <c r="J1620">
        <v>174830</v>
      </c>
      <c r="K1620" t="s">
        <v>25</v>
      </c>
      <c r="L1620">
        <v>21</v>
      </c>
      <c r="M1620">
        <v>48</v>
      </c>
      <c r="N1620" t="s">
        <v>35</v>
      </c>
      <c r="O1620" t="s">
        <v>25</v>
      </c>
      <c r="P1620">
        <v>2.63</v>
      </c>
      <c r="Q1620" t="s">
        <v>34</v>
      </c>
      <c r="R1620">
        <v>1.77</v>
      </c>
      <c r="S1620" t="s">
        <v>28</v>
      </c>
      <c r="T1620" t="str">
        <f t="shared" si="50"/>
        <v>High</v>
      </c>
      <c r="U1620" t="str">
        <f t="shared" si="51"/>
        <v>Beginner</v>
      </c>
    </row>
    <row r="1621" spans="1:21" x14ac:dyDescent="0.35">
      <c r="A1621" t="s">
        <v>1694</v>
      </c>
      <c r="B1621" t="s">
        <v>147</v>
      </c>
      <c r="C1621" t="s">
        <v>46</v>
      </c>
      <c r="D1621" t="s">
        <v>59</v>
      </c>
      <c r="E1621" t="s">
        <v>70</v>
      </c>
      <c r="F1621">
        <v>25</v>
      </c>
      <c r="G1621">
        <v>0.43</v>
      </c>
      <c r="H1621">
        <v>0.59</v>
      </c>
      <c r="I1621" t="s">
        <v>60</v>
      </c>
      <c r="J1621">
        <v>157956</v>
      </c>
      <c r="K1621" t="s">
        <v>42</v>
      </c>
      <c r="L1621">
        <v>-6</v>
      </c>
      <c r="M1621">
        <v>36</v>
      </c>
      <c r="N1621" t="s">
        <v>42</v>
      </c>
      <c r="O1621" t="s">
        <v>25</v>
      </c>
      <c r="P1621">
        <v>3.46</v>
      </c>
      <c r="Q1621" t="s">
        <v>24</v>
      </c>
      <c r="R1621">
        <v>3.34</v>
      </c>
      <c r="S1621" t="s">
        <v>47</v>
      </c>
      <c r="T1621" t="str">
        <f t="shared" si="50"/>
        <v>High</v>
      </c>
      <c r="U1621" t="str">
        <f t="shared" si="51"/>
        <v>Expert</v>
      </c>
    </row>
    <row r="1622" spans="1:21" x14ac:dyDescent="0.35">
      <c r="A1622" t="s">
        <v>1695</v>
      </c>
      <c r="B1622" t="s">
        <v>102</v>
      </c>
      <c r="C1622" t="s">
        <v>39</v>
      </c>
      <c r="D1622" t="s">
        <v>22</v>
      </c>
      <c r="E1622" t="s">
        <v>41</v>
      </c>
      <c r="F1622">
        <v>21</v>
      </c>
      <c r="G1622">
        <v>0.44</v>
      </c>
      <c r="H1622">
        <v>0.59</v>
      </c>
      <c r="I1622" t="s">
        <v>34</v>
      </c>
      <c r="J1622">
        <v>64151</v>
      </c>
      <c r="K1622" t="s">
        <v>42</v>
      </c>
      <c r="L1622">
        <v>-3</v>
      </c>
      <c r="M1622">
        <v>41</v>
      </c>
      <c r="N1622" t="s">
        <v>35</v>
      </c>
      <c r="O1622" t="s">
        <v>25</v>
      </c>
      <c r="P1622">
        <v>2.2799999999999998</v>
      </c>
      <c r="Q1622" t="s">
        <v>24</v>
      </c>
      <c r="R1622">
        <v>1.9</v>
      </c>
      <c r="S1622" t="s">
        <v>47</v>
      </c>
      <c r="T1622" t="str">
        <f t="shared" si="50"/>
        <v>High</v>
      </c>
      <c r="U1622" t="str">
        <f t="shared" si="51"/>
        <v>Expert</v>
      </c>
    </row>
    <row r="1623" spans="1:21" x14ac:dyDescent="0.35">
      <c r="A1623" t="s">
        <v>1696</v>
      </c>
      <c r="B1623" t="s">
        <v>89</v>
      </c>
      <c r="C1623" t="s">
        <v>46</v>
      </c>
      <c r="D1623" t="s">
        <v>32</v>
      </c>
      <c r="E1623" t="s">
        <v>41</v>
      </c>
      <c r="F1623">
        <v>8</v>
      </c>
      <c r="G1623">
        <v>0.22</v>
      </c>
      <c r="H1623">
        <v>0.36</v>
      </c>
      <c r="I1623" t="s">
        <v>60</v>
      </c>
      <c r="J1623">
        <v>95828</v>
      </c>
      <c r="K1623" t="s">
        <v>27</v>
      </c>
      <c r="L1623">
        <v>-10</v>
      </c>
      <c r="M1623">
        <v>32</v>
      </c>
      <c r="N1623" t="s">
        <v>35</v>
      </c>
      <c r="O1623" t="s">
        <v>27</v>
      </c>
      <c r="P1623">
        <v>3.57</v>
      </c>
      <c r="Q1623" t="s">
        <v>34</v>
      </c>
      <c r="R1623">
        <v>1.39</v>
      </c>
      <c r="S1623" t="s">
        <v>43</v>
      </c>
      <c r="T1623" t="str">
        <f t="shared" si="50"/>
        <v>High</v>
      </c>
      <c r="U1623" t="str">
        <f t="shared" si="51"/>
        <v>Intermediate</v>
      </c>
    </row>
    <row r="1624" spans="1:21" x14ac:dyDescent="0.35">
      <c r="A1624" t="s">
        <v>1697</v>
      </c>
      <c r="B1624" t="s">
        <v>45</v>
      </c>
      <c r="C1624" t="s">
        <v>74</v>
      </c>
      <c r="D1624" t="s">
        <v>49</v>
      </c>
      <c r="E1624" t="s">
        <v>33</v>
      </c>
      <c r="F1624">
        <v>16</v>
      </c>
      <c r="G1624">
        <v>0.93</v>
      </c>
      <c r="H1624">
        <v>0.72</v>
      </c>
      <c r="I1624" t="s">
        <v>60</v>
      </c>
      <c r="J1624">
        <v>179602</v>
      </c>
      <c r="K1624" t="s">
        <v>25</v>
      </c>
      <c r="L1624">
        <v>14</v>
      </c>
      <c r="M1624">
        <v>44</v>
      </c>
      <c r="N1624" t="s">
        <v>26</v>
      </c>
      <c r="O1624" t="s">
        <v>27</v>
      </c>
      <c r="P1624">
        <v>3.14</v>
      </c>
      <c r="Q1624" t="s">
        <v>24</v>
      </c>
      <c r="R1624">
        <v>2.5499999999999998</v>
      </c>
      <c r="S1624" t="s">
        <v>47</v>
      </c>
      <c r="T1624" t="str">
        <f t="shared" si="50"/>
        <v>Moderate</v>
      </c>
      <c r="U1624" t="str">
        <f t="shared" si="51"/>
        <v>Expert</v>
      </c>
    </row>
    <row r="1625" spans="1:21" x14ac:dyDescent="0.35">
      <c r="A1625" t="s">
        <v>1698</v>
      </c>
      <c r="B1625" t="s">
        <v>51</v>
      </c>
      <c r="C1625" t="s">
        <v>52</v>
      </c>
      <c r="D1625" t="s">
        <v>66</v>
      </c>
      <c r="E1625" t="s">
        <v>33</v>
      </c>
      <c r="F1625">
        <v>21</v>
      </c>
      <c r="G1625">
        <v>0.77</v>
      </c>
      <c r="H1625">
        <v>0.8</v>
      </c>
      <c r="I1625" t="s">
        <v>24</v>
      </c>
      <c r="J1625">
        <v>150080</v>
      </c>
      <c r="K1625" t="s">
        <v>25</v>
      </c>
      <c r="L1625">
        <v>13</v>
      </c>
      <c r="M1625">
        <v>46</v>
      </c>
      <c r="N1625" t="s">
        <v>42</v>
      </c>
      <c r="O1625" t="s">
        <v>27</v>
      </c>
      <c r="P1625">
        <v>3.7</v>
      </c>
      <c r="Q1625" t="s">
        <v>24</v>
      </c>
      <c r="R1625">
        <v>4.58</v>
      </c>
      <c r="S1625" t="s">
        <v>43</v>
      </c>
      <c r="T1625" t="str">
        <f t="shared" si="50"/>
        <v>High</v>
      </c>
      <c r="U1625" t="str">
        <f t="shared" si="51"/>
        <v>Expert</v>
      </c>
    </row>
    <row r="1626" spans="1:21" x14ac:dyDescent="0.35">
      <c r="A1626" t="s">
        <v>1699</v>
      </c>
      <c r="B1626" t="s">
        <v>91</v>
      </c>
      <c r="C1626" t="s">
        <v>58</v>
      </c>
      <c r="D1626" t="s">
        <v>40</v>
      </c>
      <c r="E1626" t="s">
        <v>41</v>
      </c>
      <c r="F1626">
        <v>21</v>
      </c>
      <c r="G1626">
        <v>0.61</v>
      </c>
      <c r="H1626">
        <v>0.32</v>
      </c>
      <c r="I1626" t="s">
        <v>34</v>
      </c>
      <c r="J1626">
        <v>158160</v>
      </c>
      <c r="K1626" t="s">
        <v>42</v>
      </c>
      <c r="L1626">
        <v>33</v>
      </c>
      <c r="M1626">
        <v>49</v>
      </c>
      <c r="N1626" t="s">
        <v>35</v>
      </c>
      <c r="O1626" t="s">
        <v>36</v>
      </c>
      <c r="P1626">
        <v>4.03</v>
      </c>
      <c r="Q1626" t="s">
        <v>24</v>
      </c>
      <c r="R1626">
        <v>3.5</v>
      </c>
      <c r="S1626" t="s">
        <v>47</v>
      </c>
      <c r="T1626" t="str">
        <f t="shared" si="50"/>
        <v>Moderate</v>
      </c>
      <c r="U1626" t="str">
        <f t="shared" si="51"/>
        <v>Expert</v>
      </c>
    </row>
    <row r="1627" spans="1:21" x14ac:dyDescent="0.35">
      <c r="A1627" t="s">
        <v>1700</v>
      </c>
      <c r="B1627" t="s">
        <v>20</v>
      </c>
      <c r="C1627" t="s">
        <v>52</v>
      </c>
      <c r="D1627" t="s">
        <v>40</v>
      </c>
      <c r="E1627" t="s">
        <v>41</v>
      </c>
      <c r="F1627">
        <v>24</v>
      </c>
      <c r="G1627">
        <v>0.67</v>
      </c>
      <c r="H1627">
        <v>0.89</v>
      </c>
      <c r="I1627" t="s">
        <v>60</v>
      </c>
      <c r="J1627">
        <v>210005</v>
      </c>
      <c r="K1627" t="s">
        <v>42</v>
      </c>
      <c r="L1627">
        <v>33</v>
      </c>
      <c r="M1627">
        <v>49</v>
      </c>
      <c r="N1627" t="s">
        <v>42</v>
      </c>
      <c r="O1627" t="s">
        <v>25</v>
      </c>
      <c r="P1627">
        <v>4.83</v>
      </c>
      <c r="Q1627" t="s">
        <v>34</v>
      </c>
      <c r="R1627">
        <v>4.95</v>
      </c>
      <c r="S1627" t="s">
        <v>43</v>
      </c>
      <c r="T1627" t="str">
        <f t="shared" si="50"/>
        <v>High</v>
      </c>
      <c r="U1627" t="str">
        <f t="shared" si="51"/>
        <v>Expert</v>
      </c>
    </row>
    <row r="1628" spans="1:21" x14ac:dyDescent="0.35">
      <c r="A1628" t="s">
        <v>1701</v>
      </c>
      <c r="B1628" t="s">
        <v>102</v>
      </c>
      <c r="C1628" t="s">
        <v>82</v>
      </c>
      <c r="D1628" t="s">
        <v>49</v>
      </c>
      <c r="E1628" t="s">
        <v>23</v>
      </c>
      <c r="F1628">
        <v>15</v>
      </c>
      <c r="G1628">
        <v>0.85</v>
      </c>
      <c r="H1628">
        <v>0.24</v>
      </c>
      <c r="I1628" t="s">
        <v>60</v>
      </c>
      <c r="J1628">
        <v>130316</v>
      </c>
      <c r="K1628" t="s">
        <v>42</v>
      </c>
      <c r="L1628">
        <v>41</v>
      </c>
      <c r="M1628">
        <v>54</v>
      </c>
      <c r="N1628" t="s">
        <v>42</v>
      </c>
      <c r="O1628" t="s">
        <v>27</v>
      </c>
      <c r="P1628">
        <v>3.18</v>
      </c>
      <c r="Q1628" t="s">
        <v>34</v>
      </c>
      <c r="R1628">
        <v>3.94</v>
      </c>
      <c r="S1628" t="s">
        <v>28</v>
      </c>
      <c r="T1628" t="str">
        <f t="shared" si="50"/>
        <v>Very Low</v>
      </c>
      <c r="U1628" t="str">
        <f t="shared" si="51"/>
        <v>Experienced</v>
      </c>
    </row>
    <row r="1629" spans="1:21" x14ac:dyDescent="0.35">
      <c r="A1629" t="s">
        <v>1702</v>
      </c>
      <c r="B1629" t="s">
        <v>147</v>
      </c>
      <c r="C1629" t="s">
        <v>74</v>
      </c>
      <c r="D1629" t="s">
        <v>59</v>
      </c>
      <c r="E1629" t="s">
        <v>70</v>
      </c>
      <c r="F1629">
        <v>14</v>
      </c>
      <c r="G1629">
        <v>0.28999999999999998</v>
      </c>
      <c r="H1629">
        <v>0.55000000000000004</v>
      </c>
      <c r="I1629" t="s">
        <v>34</v>
      </c>
      <c r="J1629">
        <v>50527</v>
      </c>
      <c r="K1629" t="s">
        <v>42</v>
      </c>
      <c r="L1629">
        <v>31</v>
      </c>
      <c r="M1629">
        <v>31</v>
      </c>
      <c r="N1629" t="s">
        <v>26</v>
      </c>
      <c r="O1629" t="s">
        <v>27</v>
      </c>
      <c r="P1629">
        <v>2.39</v>
      </c>
      <c r="Q1629" t="s">
        <v>24</v>
      </c>
      <c r="R1629">
        <v>4.0999999999999996</v>
      </c>
      <c r="S1629" t="s">
        <v>47</v>
      </c>
      <c r="T1629" t="str">
        <f t="shared" si="50"/>
        <v>High</v>
      </c>
      <c r="U1629" t="str">
        <f t="shared" si="51"/>
        <v>Experienced</v>
      </c>
    </row>
    <row r="1630" spans="1:21" x14ac:dyDescent="0.35">
      <c r="A1630" t="s">
        <v>1703</v>
      </c>
      <c r="B1630" t="s">
        <v>96</v>
      </c>
      <c r="C1630" t="s">
        <v>74</v>
      </c>
      <c r="D1630" t="s">
        <v>59</v>
      </c>
      <c r="E1630" t="s">
        <v>70</v>
      </c>
      <c r="F1630">
        <v>10</v>
      </c>
      <c r="G1630">
        <v>0.66</v>
      </c>
      <c r="H1630">
        <v>0.79</v>
      </c>
      <c r="I1630" t="s">
        <v>24</v>
      </c>
      <c r="J1630">
        <v>190207</v>
      </c>
      <c r="K1630" t="s">
        <v>25</v>
      </c>
      <c r="L1630">
        <v>18</v>
      </c>
      <c r="M1630">
        <v>55</v>
      </c>
      <c r="N1630" t="s">
        <v>42</v>
      </c>
      <c r="O1630" t="s">
        <v>36</v>
      </c>
      <c r="P1630">
        <v>3.66</v>
      </c>
      <c r="Q1630" t="s">
        <v>24</v>
      </c>
      <c r="R1630">
        <v>4.09</v>
      </c>
      <c r="S1630" t="s">
        <v>43</v>
      </c>
      <c r="T1630" t="str">
        <f t="shared" si="50"/>
        <v>High</v>
      </c>
      <c r="U1630" t="str">
        <f t="shared" si="51"/>
        <v>Experienced</v>
      </c>
    </row>
    <row r="1631" spans="1:21" x14ac:dyDescent="0.35">
      <c r="A1631" t="s">
        <v>1704</v>
      </c>
      <c r="B1631" t="s">
        <v>38</v>
      </c>
      <c r="C1631" t="s">
        <v>39</v>
      </c>
      <c r="D1631" t="s">
        <v>32</v>
      </c>
      <c r="E1631" t="s">
        <v>41</v>
      </c>
      <c r="F1631">
        <v>7</v>
      </c>
      <c r="G1631">
        <v>0.23</v>
      </c>
      <c r="H1631">
        <v>0.62</v>
      </c>
      <c r="I1631" t="s">
        <v>34</v>
      </c>
      <c r="J1631">
        <v>135621</v>
      </c>
      <c r="K1631" t="s">
        <v>27</v>
      </c>
      <c r="L1631">
        <v>14</v>
      </c>
      <c r="M1631">
        <v>39</v>
      </c>
      <c r="N1631" t="s">
        <v>26</v>
      </c>
      <c r="O1631" t="s">
        <v>27</v>
      </c>
      <c r="P1631">
        <v>2.13</v>
      </c>
      <c r="Q1631" t="s">
        <v>34</v>
      </c>
      <c r="R1631">
        <v>4.25</v>
      </c>
      <c r="S1631" t="s">
        <v>47</v>
      </c>
      <c r="T1631" t="str">
        <f t="shared" si="50"/>
        <v>High</v>
      </c>
      <c r="U1631" t="str">
        <f t="shared" si="51"/>
        <v>Intermediate</v>
      </c>
    </row>
    <row r="1632" spans="1:21" x14ac:dyDescent="0.35">
      <c r="A1632" t="s">
        <v>1705</v>
      </c>
      <c r="B1632" t="s">
        <v>102</v>
      </c>
      <c r="C1632" t="s">
        <v>82</v>
      </c>
      <c r="D1632" t="s">
        <v>66</v>
      </c>
      <c r="E1632" t="s">
        <v>41</v>
      </c>
      <c r="F1632">
        <v>10</v>
      </c>
      <c r="G1632">
        <v>0.13</v>
      </c>
      <c r="H1632">
        <v>0.2</v>
      </c>
      <c r="I1632" t="s">
        <v>24</v>
      </c>
      <c r="J1632">
        <v>131272</v>
      </c>
      <c r="K1632" t="s">
        <v>25</v>
      </c>
      <c r="L1632">
        <v>41</v>
      </c>
      <c r="M1632">
        <v>53</v>
      </c>
      <c r="N1632" t="s">
        <v>35</v>
      </c>
      <c r="O1632" t="s">
        <v>36</v>
      </c>
      <c r="P1632">
        <v>3.08</v>
      </c>
      <c r="Q1632" t="s">
        <v>24</v>
      </c>
      <c r="R1632">
        <v>4.4800000000000004</v>
      </c>
      <c r="S1632" t="s">
        <v>43</v>
      </c>
      <c r="T1632" t="str">
        <f t="shared" si="50"/>
        <v>High</v>
      </c>
      <c r="U1632" t="str">
        <f t="shared" si="51"/>
        <v>Experienced</v>
      </c>
    </row>
    <row r="1633" spans="1:21" x14ac:dyDescent="0.35">
      <c r="A1633" t="s">
        <v>1706</v>
      </c>
      <c r="B1633" t="s">
        <v>96</v>
      </c>
      <c r="C1633" t="s">
        <v>52</v>
      </c>
      <c r="D1633" t="s">
        <v>75</v>
      </c>
      <c r="E1633" t="s">
        <v>33</v>
      </c>
      <c r="F1633">
        <v>6</v>
      </c>
      <c r="G1633">
        <v>0.3</v>
      </c>
      <c r="H1633">
        <v>0.54</v>
      </c>
      <c r="I1633" t="s">
        <v>24</v>
      </c>
      <c r="J1633">
        <v>211313</v>
      </c>
      <c r="K1633" t="s">
        <v>42</v>
      </c>
      <c r="L1633">
        <v>2</v>
      </c>
      <c r="M1633">
        <v>56</v>
      </c>
      <c r="N1633" t="s">
        <v>26</v>
      </c>
      <c r="O1633" t="s">
        <v>27</v>
      </c>
      <c r="P1633">
        <v>3.42</v>
      </c>
      <c r="Q1633" t="s">
        <v>24</v>
      </c>
      <c r="R1633">
        <v>2.34</v>
      </c>
      <c r="S1633" t="s">
        <v>47</v>
      </c>
      <c r="T1633" t="str">
        <f t="shared" si="50"/>
        <v>High</v>
      </c>
      <c r="U1633" t="str">
        <f t="shared" si="51"/>
        <v>Intermediate</v>
      </c>
    </row>
    <row r="1634" spans="1:21" x14ac:dyDescent="0.35">
      <c r="A1634" t="s">
        <v>1707</v>
      </c>
      <c r="B1634" t="s">
        <v>89</v>
      </c>
      <c r="C1634" t="s">
        <v>52</v>
      </c>
      <c r="D1634" t="s">
        <v>75</v>
      </c>
      <c r="E1634" t="s">
        <v>23</v>
      </c>
      <c r="F1634">
        <v>25</v>
      </c>
      <c r="G1634">
        <v>0.84</v>
      </c>
      <c r="H1634">
        <v>0.22</v>
      </c>
      <c r="I1634" t="s">
        <v>60</v>
      </c>
      <c r="J1634">
        <v>194701</v>
      </c>
      <c r="K1634" t="s">
        <v>25</v>
      </c>
      <c r="L1634">
        <v>33</v>
      </c>
      <c r="M1634">
        <v>57</v>
      </c>
      <c r="N1634" t="s">
        <v>26</v>
      </c>
      <c r="O1634" t="s">
        <v>36</v>
      </c>
      <c r="P1634">
        <v>2.34</v>
      </c>
      <c r="Q1634" t="s">
        <v>34</v>
      </c>
      <c r="R1634">
        <v>4.91</v>
      </c>
      <c r="S1634" t="s">
        <v>43</v>
      </c>
      <c r="T1634" t="str">
        <f t="shared" si="50"/>
        <v>Very Low</v>
      </c>
      <c r="U1634" t="str">
        <f t="shared" si="51"/>
        <v>Expert</v>
      </c>
    </row>
    <row r="1635" spans="1:21" x14ac:dyDescent="0.35">
      <c r="A1635" t="s">
        <v>1708</v>
      </c>
      <c r="B1635" t="s">
        <v>54</v>
      </c>
      <c r="C1635" t="s">
        <v>31</v>
      </c>
      <c r="D1635" t="s">
        <v>59</v>
      </c>
      <c r="E1635" t="s">
        <v>70</v>
      </c>
      <c r="F1635">
        <v>14</v>
      </c>
      <c r="G1635">
        <v>0.83</v>
      </c>
      <c r="H1635">
        <v>0.22</v>
      </c>
      <c r="I1635" t="s">
        <v>60</v>
      </c>
      <c r="J1635">
        <v>52857</v>
      </c>
      <c r="K1635" t="s">
        <v>42</v>
      </c>
      <c r="L1635">
        <v>7</v>
      </c>
      <c r="M1635">
        <v>52</v>
      </c>
      <c r="N1635" t="s">
        <v>42</v>
      </c>
      <c r="O1635" t="s">
        <v>27</v>
      </c>
      <c r="P1635">
        <v>3.77</v>
      </c>
      <c r="Q1635" t="s">
        <v>34</v>
      </c>
      <c r="R1635">
        <v>1.0900000000000001</v>
      </c>
      <c r="S1635" t="s">
        <v>43</v>
      </c>
      <c r="T1635" t="str">
        <f t="shared" si="50"/>
        <v>Very Low</v>
      </c>
      <c r="U1635" t="str">
        <f t="shared" si="51"/>
        <v>Experienced</v>
      </c>
    </row>
    <row r="1636" spans="1:21" x14ac:dyDescent="0.35">
      <c r="A1636" t="s">
        <v>1709</v>
      </c>
      <c r="B1636" t="s">
        <v>89</v>
      </c>
      <c r="C1636" t="s">
        <v>74</v>
      </c>
      <c r="D1636" t="s">
        <v>69</v>
      </c>
      <c r="E1636" t="s">
        <v>23</v>
      </c>
      <c r="F1636">
        <v>1</v>
      </c>
      <c r="G1636">
        <v>0.47</v>
      </c>
      <c r="H1636">
        <v>0.77</v>
      </c>
      <c r="I1636" t="s">
        <v>34</v>
      </c>
      <c r="J1636">
        <v>168374</v>
      </c>
      <c r="K1636" t="s">
        <v>25</v>
      </c>
      <c r="L1636">
        <v>30</v>
      </c>
      <c r="M1636">
        <v>57</v>
      </c>
      <c r="N1636" t="s">
        <v>26</v>
      </c>
      <c r="O1636" t="s">
        <v>27</v>
      </c>
      <c r="P1636">
        <v>4.04</v>
      </c>
      <c r="Q1636" t="s">
        <v>24</v>
      </c>
      <c r="R1636">
        <v>4.7699999999999996</v>
      </c>
      <c r="S1636" t="s">
        <v>28</v>
      </c>
      <c r="T1636" t="str">
        <f t="shared" si="50"/>
        <v>High</v>
      </c>
      <c r="U1636" t="str">
        <f t="shared" si="51"/>
        <v>Beginner</v>
      </c>
    </row>
    <row r="1637" spans="1:21" x14ac:dyDescent="0.35">
      <c r="A1637" t="s">
        <v>1710</v>
      </c>
      <c r="B1637" t="s">
        <v>89</v>
      </c>
      <c r="C1637" t="s">
        <v>107</v>
      </c>
      <c r="D1637" t="s">
        <v>66</v>
      </c>
      <c r="E1637" t="s">
        <v>70</v>
      </c>
      <c r="F1637">
        <v>19</v>
      </c>
      <c r="G1637">
        <v>0.25</v>
      </c>
      <c r="H1637">
        <v>0.28999999999999998</v>
      </c>
      <c r="I1637" t="s">
        <v>60</v>
      </c>
      <c r="J1637">
        <v>79179</v>
      </c>
      <c r="K1637" t="s">
        <v>27</v>
      </c>
      <c r="L1637">
        <v>23</v>
      </c>
      <c r="M1637">
        <v>60</v>
      </c>
      <c r="N1637" t="s">
        <v>42</v>
      </c>
      <c r="O1637" t="s">
        <v>27</v>
      </c>
      <c r="P1637">
        <v>2.31</v>
      </c>
      <c r="Q1637" t="s">
        <v>24</v>
      </c>
      <c r="R1637">
        <v>4.6399999999999997</v>
      </c>
      <c r="S1637" t="s">
        <v>47</v>
      </c>
      <c r="T1637" t="str">
        <f t="shared" si="50"/>
        <v>High</v>
      </c>
      <c r="U1637" t="str">
        <f t="shared" si="51"/>
        <v>Expert</v>
      </c>
    </row>
    <row r="1638" spans="1:21" x14ac:dyDescent="0.35">
      <c r="A1638" t="s">
        <v>1711</v>
      </c>
      <c r="B1638" t="s">
        <v>38</v>
      </c>
      <c r="C1638" t="s">
        <v>21</v>
      </c>
      <c r="D1638" t="s">
        <v>75</v>
      </c>
      <c r="E1638" t="s">
        <v>23</v>
      </c>
      <c r="F1638">
        <v>20</v>
      </c>
      <c r="G1638">
        <v>0.5</v>
      </c>
      <c r="H1638">
        <v>0.97</v>
      </c>
      <c r="I1638" t="s">
        <v>34</v>
      </c>
      <c r="J1638">
        <v>158261</v>
      </c>
      <c r="K1638" t="s">
        <v>25</v>
      </c>
      <c r="L1638">
        <v>-9</v>
      </c>
      <c r="M1638">
        <v>56</v>
      </c>
      <c r="N1638" t="s">
        <v>42</v>
      </c>
      <c r="O1638" t="s">
        <v>36</v>
      </c>
      <c r="P1638">
        <v>2.12</v>
      </c>
      <c r="Q1638" t="s">
        <v>24</v>
      </c>
      <c r="R1638">
        <v>4.8600000000000003</v>
      </c>
      <c r="S1638" t="s">
        <v>28</v>
      </c>
      <c r="T1638" t="str">
        <f t="shared" si="50"/>
        <v>High</v>
      </c>
      <c r="U1638" t="str">
        <f t="shared" si="51"/>
        <v>Expert</v>
      </c>
    </row>
    <row r="1639" spans="1:21" x14ac:dyDescent="0.35">
      <c r="A1639" t="s">
        <v>1712</v>
      </c>
      <c r="B1639" t="s">
        <v>156</v>
      </c>
      <c r="C1639" t="s">
        <v>39</v>
      </c>
      <c r="D1639" t="s">
        <v>66</v>
      </c>
      <c r="E1639" t="s">
        <v>70</v>
      </c>
      <c r="F1639">
        <v>14</v>
      </c>
      <c r="G1639">
        <v>0.71</v>
      </c>
      <c r="H1639">
        <v>0.6</v>
      </c>
      <c r="I1639" t="s">
        <v>24</v>
      </c>
      <c r="J1639">
        <v>81453</v>
      </c>
      <c r="K1639" t="s">
        <v>42</v>
      </c>
      <c r="L1639">
        <v>45</v>
      </c>
      <c r="M1639">
        <v>40</v>
      </c>
      <c r="N1639" t="s">
        <v>26</v>
      </c>
      <c r="O1639" t="s">
        <v>36</v>
      </c>
      <c r="P1639">
        <v>4.07</v>
      </c>
      <c r="Q1639" t="s">
        <v>24</v>
      </c>
      <c r="R1639">
        <v>4.47</v>
      </c>
      <c r="S1639" t="s">
        <v>43</v>
      </c>
      <c r="T1639" t="str">
        <f t="shared" si="50"/>
        <v>Moderate</v>
      </c>
      <c r="U1639" t="str">
        <f t="shared" si="51"/>
        <v>Experienced</v>
      </c>
    </row>
    <row r="1640" spans="1:21" x14ac:dyDescent="0.35">
      <c r="A1640" t="s">
        <v>1713</v>
      </c>
      <c r="B1640" t="s">
        <v>20</v>
      </c>
      <c r="C1640" t="s">
        <v>55</v>
      </c>
      <c r="D1640" t="s">
        <v>59</v>
      </c>
      <c r="E1640" t="s">
        <v>23</v>
      </c>
      <c r="F1640">
        <v>25</v>
      </c>
      <c r="G1640">
        <v>0.06</v>
      </c>
      <c r="H1640">
        <v>0.28999999999999998</v>
      </c>
      <c r="I1640" t="s">
        <v>34</v>
      </c>
      <c r="J1640">
        <v>148406</v>
      </c>
      <c r="K1640" t="s">
        <v>25</v>
      </c>
      <c r="L1640">
        <v>37</v>
      </c>
      <c r="M1640">
        <v>60</v>
      </c>
      <c r="N1640" t="s">
        <v>35</v>
      </c>
      <c r="O1640" t="s">
        <v>36</v>
      </c>
      <c r="P1640">
        <v>3.48</v>
      </c>
      <c r="Q1640" t="s">
        <v>34</v>
      </c>
      <c r="R1640">
        <v>3.98</v>
      </c>
      <c r="S1640" t="s">
        <v>28</v>
      </c>
      <c r="T1640" t="str">
        <f t="shared" si="50"/>
        <v>High</v>
      </c>
      <c r="U1640" t="str">
        <f t="shared" si="51"/>
        <v>Expert</v>
      </c>
    </row>
    <row r="1641" spans="1:21" x14ac:dyDescent="0.35">
      <c r="A1641" t="s">
        <v>1714</v>
      </c>
      <c r="B1641" t="s">
        <v>102</v>
      </c>
      <c r="C1641" t="s">
        <v>58</v>
      </c>
      <c r="D1641" t="s">
        <v>59</v>
      </c>
      <c r="E1641" t="s">
        <v>33</v>
      </c>
      <c r="F1641">
        <v>20</v>
      </c>
      <c r="G1641">
        <v>0.64</v>
      </c>
      <c r="H1641">
        <v>0.91</v>
      </c>
      <c r="I1641" t="s">
        <v>24</v>
      </c>
      <c r="J1641">
        <v>184042</v>
      </c>
      <c r="K1641" t="s">
        <v>42</v>
      </c>
      <c r="L1641">
        <v>30</v>
      </c>
      <c r="M1641">
        <v>58</v>
      </c>
      <c r="N1641" t="s">
        <v>42</v>
      </c>
      <c r="O1641" t="s">
        <v>36</v>
      </c>
      <c r="P1641">
        <v>2.02</v>
      </c>
      <c r="Q1641" t="s">
        <v>34</v>
      </c>
      <c r="R1641">
        <v>1.62</v>
      </c>
      <c r="S1641" t="s">
        <v>28</v>
      </c>
      <c r="T1641" t="str">
        <f t="shared" si="50"/>
        <v>High</v>
      </c>
      <c r="U1641" t="str">
        <f t="shared" si="51"/>
        <v>Expert</v>
      </c>
    </row>
    <row r="1642" spans="1:21" x14ac:dyDescent="0.35">
      <c r="A1642" t="s">
        <v>1715</v>
      </c>
      <c r="B1642" t="s">
        <v>106</v>
      </c>
      <c r="C1642" t="s">
        <v>46</v>
      </c>
      <c r="D1642" t="s">
        <v>22</v>
      </c>
      <c r="E1642" t="s">
        <v>23</v>
      </c>
      <c r="F1642">
        <v>12</v>
      </c>
      <c r="G1642">
        <v>0.24</v>
      </c>
      <c r="H1642">
        <v>0.92</v>
      </c>
      <c r="I1642" t="s">
        <v>24</v>
      </c>
      <c r="J1642">
        <v>39899</v>
      </c>
      <c r="K1642" t="s">
        <v>25</v>
      </c>
      <c r="L1642">
        <v>-9</v>
      </c>
      <c r="M1642">
        <v>60</v>
      </c>
      <c r="N1642" t="s">
        <v>26</v>
      </c>
      <c r="O1642" t="s">
        <v>25</v>
      </c>
      <c r="P1642">
        <v>4.7300000000000004</v>
      </c>
      <c r="Q1642" t="s">
        <v>34</v>
      </c>
      <c r="R1642">
        <v>4.4000000000000004</v>
      </c>
      <c r="S1642" t="s">
        <v>43</v>
      </c>
      <c r="T1642" t="str">
        <f t="shared" si="50"/>
        <v>Very High</v>
      </c>
      <c r="U1642" t="str">
        <f t="shared" si="51"/>
        <v>Experienced</v>
      </c>
    </row>
    <row r="1643" spans="1:21" x14ac:dyDescent="0.35">
      <c r="A1643" t="s">
        <v>1716</v>
      </c>
      <c r="B1643" t="s">
        <v>54</v>
      </c>
      <c r="C1643" t="s">
        <v>58</v>
      </c>
      <c r="D1643" t="s">
        <v>32</v>
      </c>
      <c r="E1643" t="s">
        <v>23</v>
      </c>
      <c r="F1643">
        <v>6</v>
      </c>
      <c r="G1643">
        <v>0.59</v>
      </c>
      <c r="H1643">
        <v>0.67</v>
      </c>
      <c r="I1643" t="s">
        <v>24</v>
      </c>
      <c r="J1643">
        <v>122594</v>
      </c>
      <c r="K1643" t="s">
        <v>25</v>
      </c>
      <c r="L1643">
        <v>-3</v>
      </c>
      <c r="M1643">
        <v>34</v>
      </c>
      <c r="N1643" t="s">
        <v>26</v>
      </c>
      <c r="O1643" t="s">
        <v>27</v>
      </c>
      <c r="P1643">
        <v>3.07</v>
      </c>
      <c r="Q1643" t="s">
        <v>24</v>
      </c>
      <c r="R1643">
        <v>3.23</v>
      </c>
      <c r="S1643" t="s">
        <v>43</v>
      </c>
      <c r="T1643" t="str">
        <f t="shared" si="50"/>
        <v>High</v>
      </c>
      <c r="U1643" t="str">
        <f t="shared" si="51"/>
        <v>Intermediate</v>
      </c>
    </row>
    <row r="1644" spans="1:21" x14ac:dyDescent="0.35">
      <c r="A1644" t="s">
        <v>1717</v>
      </c>
      <c r="B1644" t="s">
        <v>106</v>
      </c>
      <c r="C1644" t="s">
        <v>58</v>
      </c>
      <c r="D1644" t="s">
        <v>69</v>
      </c>
      <c r="E1644" t="s">
        <v>33</v>
      </c>
      <c r="F1644">
        <v>25</v>
      </c>
      <c r="G1644">
        <v>0.23</v>
      </c>
      <c r="H1644">
        <v>0.72</v>
      </c>
      <c r="I1644" t="s">
        <v>24</v>
      </c>
      <c r="J1644">
        <v>169381</v>
      </c>
      <c r="K1644" t="s">
        <v>42</v>
      </c>
      <c r="L1644">
        <v>23</v>
      </c>
      <c r="M1644">
        <v>57</v>
      </c>
      <c r="N1644" t="s">
        <v>35</v>
      </c>
      <c r="O1644" t="s">
        <v>27</v>
      </c>
      <c r="P1644">
        <v>2.1</v>
      </c>
      <c r="Q1644" t="s">
        <v>24</v>
      </c>
      <c r="R1644">
        <v>4.6399999999999997</v>
      </c>
      <c r="S1644" t="s">
        <v>47</v>
      </c>
      <c r="T1644" t="str">
        <f t="shared" si="50"/>
        <v>Very High</v>
      </c>
      <c r="U1644" t="str">
        <f t="shared" si="51"/>
        <v>Expert</v>
      </c>
    </row>
    <row r="1645" spans="1:21" x14ac:dyDescent="0.35">
      <c r="A1645" t="s">
        <v>1718</v>
      </c>
      <c r="B1645" t="s">
        <v>89</v>
      </c>
      <c r="C1645" t="s">
        <v>46</v>
      </c>
      <c r="D1645" t="s">
        <v>49</v>
      </c>
      <c r="E1645" t="s">
        <v>33</v>
      </c>
      <c r="F1645">
        <v>18</v>
      </c>
      <c r="G1645">
        <v>0.25</v>
      </c>
      <c r="H1645">
        <v>0.61</v>
      </c>
      <c r="I1645" t="s">
        <v>60</v>
      </c>
      <c r="J1645">
        <v>146251</v>
      </c>
      <c r="K1645" t="s">
        <v>27</v>
      </c>
      <c r="L1645">
        <v>-1</v>
      </c>
      <c r="M1645">
        <v>38</v>
      </c>
      <c r="N1645" t="s">
        <v>26</v>
      </c>
      <c r="O1645" t="s">
        <v>36</v>
      </c>
      <c r="P1645">
        <v>3.91</v>
      </c>
      <c r="Q1645" t="s">
        <v>34</v>
      </c>
      <c r="R1645">
        <v>1.95</v>
      </c>
      <c r="S1645" t="s">
        <v>47</v>
      </c>
      <c r="T1645" t="str">
        <f t="shared" si="50"/>
        <v>High</v>
      </c>
      <c r="U1645" t="str">
        <f t="shared" si="51"/>
        <v>Expert</v>
      </c>
    </row>
    <row r="1646" spans="1:21" x14ac:dyDescent="0.35">
      <c r="A1646" t="s">
        <v>1719</v>
      </c>
      <c r="B1646" t="s">
        <v>94</v>
      </c>
      <c r="C1646" t="s">
        <v>31</v>
      </c>
      <c r="D1646" t="s">
        <v>32</v>
      </c>
      <c r="E1646" t="s">
        <v>70</v>
      </c>
      <c r="F1646">
        <v>3</v>
      </c>
      <c r="G1646">
        <v>0.66</v>
      </c>
      <c r="H1646">
        <v>0.8</v>
      </c>
      <c r="I1646" t="s">
        <v>60</v>
      </c>
      <c r="J1646">
        <v>66197</v>
      </c>
      <c r="K1646" t="s">
        <v>42</v>
      </c>
      <c r="L1646">
        <v>1</v>
      </c>
      <c r="M1646">
        <v>57</v>
      </c>
      <c r="N1646" t="s">
        <v>42</v>
      </c>
      <c r="O1646" t="s">
        <v>36</v>
      </c>
      <c r="P1646">
        <v>3.94</v>
      </c>
      <c r="Q1646" t="s">
        <v>34</v>
      </c>
      <c r="R1646">
        <v>4.0999999999999996</v>
      </c>
      <c r="S1646" t="s">
        <v>28</v>
      </c>
      <c r="T1646" t="str">
        <f t="shared" si="50"/>
        <v>High</v>
      </c>
      <c r="U1646" t="str">
        <f t="shared" si="51"/>
        <v>Intermediate</v>
      </c>
    </row>
    <row r="1647" spans="1:21" x14ac:dyDescent="0.35">
      <c r="A1647" t="s">
        <v>1720</v>
      </c>
      <c r="B1647" t="s">
        <v>38</v>
      </c>
      <c r="C1647" t="s">
        <v>52</v>
      </c>
      <c r="D1647" t="s">
        <v>22</v>
      </c>
      <c r="E1647" t="s">
        <v>70</v>
      </c>
      <c r="F1647">
        <v>9</v>
      </c>
      <c r="G1647">
        <v>0.27</v>
      </c>
      <c r="H1647">
        <v>0.94</v>
      </c>
      <c r="I1647" t="s">
        <v>34</v>
      </c>
      <c r="J1647">
        <v>62488</v>
      </c>
      <c r="K1647" t="s">
        <v>27</v>
      </c>
      <c r="L1647">
        <v>22</v>
      </c>
      <c r="M1647">
        <v>44</v>
      </c>
      <c r="N1647" t="s">
        <v>42</v>
      </c>
      <c r="O1647" t="s">
        <v>25</v>
      </c>
      <c r="P1647">
        <v>4.03</v>
      </c>
      <c r="Q1647" t="s">
        <v>34</v>
      </c>
      <c r="R1647">
        <v>1.06</v>
      </c>
      <c r="S1647" t="s">
        <v>28</v>
      </c>
      <c r="T1647" t="str">
        <f t="shared" si="50"/>
        <v>Very High</v>
      </c>
      <c r="U1647" t="str">
        <f t="shared" si="51"/>
        <v>Experienced</v>
      </c>
    </row>
    <row r="1648" spans="1:21" x14ac:dyDescent="0.35">
      <c r="A1648" t="s">
        <v>1721</v>
      </c>
      <c r="B1648" t="s">
        <v>38</v>
      </c>
      <c r="C1648" t="s">
        <v>82</v>
      </c>
      <c r="D1648" t="s">
        <v>66</v>
      </c>
      <c r="E1648" t="s">
        <v>70</v>
      </c>
      <c r="F1648">
        <v>13</v>
      </c>
      <c r="G1648">
        <v>0.81</v>
      </c>
      <c r="H1648">
        <v>0.78</v>
      </c>
      <c r="I1648" t="s">
        <v>60</v>
      </c>
      <c r="J1648">
        <v>163803</v>
      </c>
      <c r="K1648" t="s">
        <v>42</v>
      </c>
      <c r="L1648">
        <v>-8</v>
      </c>
      <c r="M1648">
        <v>37</v>
      </c>
      <c r="N1648" t="s">
        <v>42</v>
      </c>
      <c r="O1648" t="s">
        <v>25</v>
      </c>
      <c r="P1648">
        <v>3.33</v>
      </c>
      <c r="Q1648" t="s">
        <v>34</v>
      </c>
      <c r="R1648">
        <v>3.38</v>
      </c>
      <c r="S1648" t="s">
        <v>43</v>
      </c>
      <c r="T1648" t="str">
        <f t="shared" si="50"/>
        <v>Moderate</v>
      </c>
      <c r="U1648" t="str">
        <f t="shared" si="51"/>
        <v>Experienced</v>
      </c>
    </row>
    <row r="1649" spans="1:21" x14ac:dyDescent="0.35">
      <c r="A1649" t="s">
        <v>1722</v>
      </c>
      <c r="B1649" t="s">
        <v>65</v>
      </c>
      <c r="C1649" t="s">
        <v>82</v>
      </c>
      <c r="D1649" t="s">
        <v>32</v>
      </c>
      <c r="E1649" t="s">
        <v>23</v>
      </c>
      <c r="F1649">
        <v>14</v>
      </c>
      <c r="G1649">
        <v>0.51</v>
      </c>
      <c r="H1649">
        <v>0.26</v>
      </c>
      <c r="I1649" t="s">
        <v>34</v>
      </c>
      <c r="J1649">
        <v>46253</v>
      </c>
      <c r="K1649" t="s">
        <v>42</v>
      </c>
      <c r="L1649">
        <v>18</v>
      </c>
      <c r="M1649">
        <v>54</v>
      </c>
      <c r="N1649" t="s">
        <v>42</v>
      </c>
      <c r="O1649" t="s">
        <v>27</v>
      </c>
      <c r="P1649">
        <v>3.49</v>
      </c>
      <c r="Q1649" t="s">
        <v>34</v>
      </c>
      <c r="R1649">
        <v>2.09</v>
      </c>
      <c r="S1649" t="s">
        <v>28</v>
      </c>
      <c r="T1649" t="str">
        <f t="shared" si="50"/>
        <v>Moderate</v>
      </c>
      <c r="U1649" t="str">
        <f t="shared" si="51"/>
        <v>Experienced</v>
      </c>
    </row>
    <row r="1650" spans="1:21" x14ac:dyDescent="0.35">
      <c r="A1650" t="s">
        <v>1723</v>
      </c>
      <c r="B1650" t="s">
        <v>38</v>
      </c>
      <c r="C1650" t="s">
        <v>39</v>
      </c>
      <c r="D1650" t="s">
        <v>49</v>
      </c>
      <c r="E1650" t="s">
        <v>23</v>
      </c>
      <c r="F1650">
        <v>19</v>
      </c>
      <c r="G1650">
        <v>0.25</v>
      </c>
      <c r="H1650">
        <v>0.55000000000000004</v>
      </c>
      <c r="I1650" t="s">
        <v>24</v>
      </c>
      <c r="J1650">
        <v>105617</v>
      </c>
      <c r="K1650" t="s">
        <v>25</v>
      </c>
      <c r="L1650">
        <v>21</v>
      </c>
      <c r="M1650">
        <v>31</v>
      </c>
      <c r="N1650" t="s">
        <v>26</v>
      </c>
      <c r="O1650" t="s">
        <v>36</v>
      </c>
      <c r="P1650">
        <v>4.62</v>
      </c>
      <c r="Q1650" t="s">
        <v>34</v>
      </c>
      <c r="R1650">
        <v>3.4</v>
      </c>
      <c r="S1650" t="s">
        <v>43</v>
      </c>
      <c r="T1650" t="str">
        <f t="shared" si="50"/>
        <v>High</v>
      </c>
      <c r="U1650" t="str">
        <f t="shared" si="51"/>
        <v>Expert</v>
      </c>
    </row>
    <row r="1651" spans="1:21" x14ac:dyDescent="0.35">
      <c r="A1651" t="s">
        <v>1724</v>
      </c>
      <c r="B1651" t="s">
        <v>106</v>
      </c>
      <c r="C1651" t="s">
        <v>39</v>
      </c>
      <c r="D1651" t="s">
        <v>22</v>
      </c>
      <c r="E1651" t="s">
        <v>70</v>
      </c>
      <c r="F1651">
        <v>25</v>
      </c>
      <c r="G1651">
        <v>0.81</v>
      </c>
      <c r="H1651">
        <v>0.28000000000000003</v>
      </c>
      <c r="I1651" t="s">
        <v>34</v>
      </c>
      <c r="J1651">
        <v>141770</v>
      </c>
      <c r="K1651" t="s">
        <v>27</v>
      </c>
      <c r="L1651">
        <v>44</v>
      </c>
      <c r="M1651">
        <v>45</v>
      </c>
      <c r="N1651" t="s">
        <v>35</v>
      </c>
      <c r="O1651" t="s">
        <v>25</v>
      </c>
      <c r="P1651">
        <v>2.99</v>
      </c>
      <c r="Q1651" t="s">
        <v>24</v>
      </c>
      <c r="R1651">
        <v>2.37</v>
      </c>
      <c r="S1651" t="s">
        <v>47</v>
      </c>
      <c r="T1651" t="str">
        <f t="shared" si="50"/>
        <v>Very Low</v>
      </c>
      <c r="U1651" t="str">
        <f t="shared" si="51"/>
        <v>Expert</v>
      </c>
    </row>
    <row r="1652" spans="1:21" x14ac:dyDescent="0.35">
      <c r="A1652" t="s">
        <v>1725</v>
      </c>
      <c r="B1652" t="s">
        <v>62</v>
      </c>
      <c r="C1652" t="s">
        <v>21</v>
      </c>
      <c r="D1652" t="s">
        <v>32</v>
      </c>
      <c r="E1652" t="s">
        <v>33</v>
      </c>
      <c r="F1652">
        <v>15</v>
      </c>
      <c r="G1652">
        <v>0.61</v>
      </c>
      <c r="H1652">
        <v>0.83</v>
      </c>
      <c r="I1652" t="s">
        <v>24</v>
      </c>
      <c r="J1652">
        <v>128462</v>
      </c>
      <c r="K1652" t="s">
        <v>27</v>
      </c>
      <c r="L1652">
        <v>20</v>
      </c>
      <c r="M1652">
        <v>42</v>
      </c>
      <c r="N1652" t="s">
        <v>42</v>
      </c>
      <c r="O1652" t="s">
        <v>25</v>
      </c>
      <c r="P1652">
        <v>4.42</v>
      </c>
      <c r="Q1652" t="s">
        <v>34</v>
      </c>
      <c r="R1652">
        <v>4.2699999999999996</v>
      </c>
      <c r="S1652" t="s">
        <v>47</v>
      </c>
      <c r="T1652" t="str">
        <f t="shared" si="50"/>
        <v>High</v>
      </c>
      <c r="U1652" t="str">
        <f t="shared" si="51"/>
        <v>Experienced</v>
      </c>
    </row>
    <row r="1653" spans="1:21" x14ac:dyDescent="0.35">
      <c r="A1653" t="s">
        <v>1726</v>
      </c>
      <c r="B1653" t="s">
        <v>30</v>
      </c>
      <c r="C1653" t="s">
        <v>31</v>
      </c>
      <c r="D1653" t="s">
        <v>63</v>
      </c>
      <c r="E1653" t="s">
        <v>70</v>
      </c>
      <c r="F1653">
        <v>17</v>
      </c>
      <c r="G1653">
        <v>0.89</v>
      </c>
      <c r="H1653">
        <v>0.85</v>
      </c>
      <c r="I1653" t="s">
        <v>24</v>
      </c>
      <c r="J1653">
        <v>44649</v>
      </c>
      <c r="K1653" t="s">
        <v>42</v>
      </c>
      <c r="L1653">
        <v>12</v>
      </c>
      <c r="M1653">
        <v>41</v>
      </c>
      <c r="N1653" t="s">
        <v>26</v>
      </c>
      <c r="O1653" t="s">
        <v>36</v>
      </c>
      <c r="P1653">
        <v>4.66</v>
      </c>
      <c r="Q1653" t="s">
        <v>34</v>
      </c>
      <c r="R1653">
        <v>4.6900000000000004</v>
      </c>
      <c r="S1653" t="s">
        <v>47</v>
      </c>
      <c r="T1653" t="str">
        <f t="shared" si="50"/>
        <v>Moderate</v>
      </c>
      <c r="U1653" t="str">
        <f t="shared" si="51"/>
        <v>Expert</v>
      </c>
    </row>
    <row r="1654" spans="1:21" x14ac:dyDescent="0.35">
      <c r="A1654" t="s">
        <v>1727</v>
      </c>
      <c r="B1654" t="s">
        <v>89</v>
      </c>
      <c r="C1654" t="s">
        <v>52</v>
      </c>
      <c r="D1654" t="s">
        <v>69</v>
      </c>
      <c r="E1654" t="s">
        <v>41</v>
      </c>
      <c r="F1654">
        <v>17</v>
      </c>
      <c r="G1654">
        <v>0.39</v>
      </c>
      <c r="H1654">
        <v>0.97</v>
      </c>
      <c r="I1654" t="s">
        <v>60</v>
      </c>
      <c r="J1654">
        <v>202497</v>
      </c>
      <c r="K1654" t="s">
        <v>42</v>
      </c>
      <c r="L1654">
        <v>38</v>
      </c>
      <c r="M1654">
        <v>30</v>
      </c>
      <c r="N1654" t="s">
        <v>42</v>
      </c>
      <c r="O1654" t="s">
        <v>27</v>
      </c>
      <c r="P1654">
        <v>3.74</v>
      </c>
      <c r="Q1654" t="s">
        <v>24</v>
      </c>
      <c r="R1654">
        <v>3.01</v>
      </c>
      <c r="S1654" t="s">
        <v>28</v>
      </c>
      <c r="T1654" t="str">
        <f t="shared" si="50"/>
        <v>Very High</v>
      </c>
      <c r="U1654" t="str">
        <f t="shared" si="51"/>
        <v>Expert</v>
      </c>
    </row>
    <row r="1655" spans="1:21" x14ac:dyDescent="0.35">
      <c r="A1655" t="s">
        <v>1728</v>
      </c>
      <c r="B1655" t="s">
        <v>89</v>
      </c>
      <c r="C1655" t="s">
        <v>55</v>
      </c>
      <c r="D1655" t="s">
        <v>63</v>
      </c>
      <c r="E1655" t="s">
        <v>33</v>
      </c>
      <c r="F1655">
        <v>2</v>
      </c>
      <c r="G1655">
        <v>0.48</v>
      </c>
      <c r="H1655">
        <v>0.49</v>
      </c>
      <c r="I1655" t="s">
        <v>60</v>
      </c>
      <c r="J1655">
        <v>116410</v>
      </c>
      <c r="K1655" t="s">
        <v>27</v>
      </c>
      <c r="L1655">
        <v>27</v>
      </c>
      <c r="M1655">
        <v>44</v>
      </c>
      <c r="N1655" t="s">
        <v>26</v>
      </c>
      <c r="O1655" t="s">
        <v>25</v>
      </c>
      <c r="P1655">
        <v>2.67</v>
      </c>
      <c r="Q1655" t="s">
        <v>34</v>
      </c>
      <c r="R1655">
        <v>4.55</v>
      </c>
      <c r="S1655" t="s">
        <v>28</v>
      </c>
      <c r="T1655" t="str">
        <f t="shared" si="50"/>
        <v>High</v>
      </c>
      <c r="U1655" t="str">
        <f t="shared" si="51"/>
        <v>Beginner</v>
      </c>
    </row>
    <row r="1656" spans="1:21" x14ac:dyDescent="0.35">
      <c r="A1656" t="s">
        <v>1729</v>
      </c>
      <c r="B1656" t="s">
        <v>65</v>
      </c>
      <c r="C1656" t="s">
        <v>55</v>
      </c>
      <c r="D1656" t="s">
        <v>63</v>
      </c>
      <c r="E1656" t="s">
        <v>41</v>
      </c>
      <c r="F1656">
        <v>2</v>
      </c>
      <c r="G1656">
        <v>0.56999999999999995</v>
      </c>
      <c r="H1656">
        <v>0.96</v>
      </c>
      <c r="I1656" t="s">
        <v>24</v>
      </c>
      <c r="J1656">
        <v>165699</v>
      </c>
      <c r="K1656" t="s">
        <v>42</v>
      </c>
      <c r="L1656">
        <v>13</v>
      </c>
      <c r="M1656">
        <v>55</v>
      </c>
      <c r="N1656" t="s">
        <v>26</v>
      </c>
      <c r="O1656" t="s">
        <v>25</v>
      </c>
      <c r="P1656">
        <v>3.79</v>
      </c>
      <c r="Q1656" t="s">
        <v>24</v>
      </c>
      <c r="R1656">
        <v>1.43</v>
      </c>
      <c r="S1656" t="s">
        <v>47</v>
      </c>
      <c r="T1656" t="str">
        <f t="shared" si="50"/>
        <v>High</v>
      </c>
      <c r="U1656" t="str">
        <f t="shared" si="51"/>
        <v>Beginner</v>
      </c>
    </row>
    <row r="1657" spans="1:21" x14ac:dyDescent="0.35">
      <c r="A1657" t="s">
        <v>1730</v>
      </c>
      <c r="B1657" t="s">
        <v>57</v>
      </c>
      <c r="C1657" t="s">
        <v>39</v>
      </c>
      <c r="D1657" t="s">
        <v>22</v>
      </c>
      <c r="E1657" t="s">
        <v>23</v>
      </c>
      <c r="F1657">
        <v>7</v>
      </c>
      <c r="G1657">
        <v>0.09</v>
      </c>
      <c r="H1657">
        <v>0.68</v>
      </c>
      <c r="I1657" t="s">
        <v>34</v>
      </c>
      <c r="J1657">
        <v>79770</v>
      </c>
      <c r="K1657" t="s">
        <v>27</v>
      </c>
      <c r="L1657">
        <v>-8</v>
      </c>
      <c r="M1657">
        <v>35</v>
      </c>
      <c r="N1657" t="s">
        <v>35</v>
      </c>
      <c r="O1657" t="s">
        <v>27</v>
      </c>
      <c r="P1657">
        <v>4.01</v>
      </c>
      <c r="Q1657" t="s">
        <v>24</v>
      </c>
      <c r="R1657">
        <v>3.17</v>
      </c>
      <c r="S1657" t="s">
        <v>28</v>
      </c>
      <c r="T1657" t="str">
        <f t="shared" si="50"/>
        <v>High</v>
      </c>
      <c r="U1657" t="str">
        <f t="shared" si="51"/>
        <v>Intermediate</v>
      </c>
    </row>
    <row r="1658" spans="1:21" x14ac:dyDescent="0.35">
      <c r="A1658" t="s">
        <v>1731</v>
      </c>
      <c r="B1658" t="s">
        <v>65</v>
      </c>
      <c r="C1658" t="s">
        <v>21</v>
      </c>
      <c r="D1658" t="s">
        <v>69</v>
      </c>
      <c r="E1658" t="s">
        <v>23</v>
      </c>
      <c r="F1658">
        <v>13</v>
      </c>
      <c r="G1658">
        <v>0.24</v>
      </c>
      <c r="H1658">
        <v>0.43</v>
      </c>
      <c r="I1658" t="s">
        <v>34</v>
      </c>
      <c r="J1658">
        <v>147910</v>
      </c>
      <c r="K1658" t="s">
        <v>25</v>
      </c>
      <c r="L1658">
        <v>37</v>
      </c>
      <c r="M1658">
        <v>58</v>
      </c>
      <c r="N1658" t="s">
        <v>42</v>
      </c>
      <c r="O1658" t="s">
        <v>25</v>
      </c>
      <c r="P1658">
        <v>4.22</v>
      </c>
      <c r="Q1658" t="s">
        <v>24</v>
      </c>
      <c r="R1658">
        <v>2.2000000000000002</v>
      </c>
      <c r="S1658" t="s">
        <v>28</v>
      </c>
      <c r="T1658" t="str">
        <f t="shared" si="50"/>
        <v>High</v>
      </c>
      <c r="U1658" t="str">
        <f t="shared" si="51"/>
        <v>Experienced</v>
      </c>
    </row>
    <row r="1659" spans="1:21" x14ac:dyDescent="0.35">
      <c r="A1659" t="s">
        <v>1732</v>
      </c>
      <c r="B1659" t="s">
        <v>89</v>
      </c>
      <c r="C1659" t="s">
        <v>31</v>
      </c>
      <c r="D1659" t="s">
        <v>32</v>
      </c>
      <c r="E1659" t="s">
        <v>23</v>
      </c>
      <c r="F1659">
        <v>9</v>
      </c>
      <c r="G1659">
        <v>0.72</v>
      </c>
      <c r="H1659">
        <v>0.52</v>
      </c>
      <c r="I1659" t="s">
        <v>34</v>
      </c>
      <c r="J1659">
        <v>106572</v>
      </c>
      <c r="K1659" t="s">
        <v>25</v>
      </c>
      <c r="L1659">
        <v>6</v>
      </c>
      <c r="M1659">
        <v>44</v>
      </c>
      <c r="N1659" t="s">
        <v>26</v>
      </c>
      <c r="O1659" t="s">
        <v>27</v>
      </c>
      <c r="P1659">
        <v>2.58</v>
      </c>
      <c r="Q1659" t="s">
        <v>24</v>
      </c>
      <c r="R1659">
        <v>4.05</v>
      </c>
      <c r="S1659" t="s">
        <v>28</v>
      </c>
      <c r="T1659" t="str">
        <f t="shared" si="50"/>
        <v>Moderate</v>
      </c>
      <c r="U1659" t="str">
        <f t="shared" si="51"/>
        <v>Experienced</v>
      </c>
    </row>
    <row r="1660" spans="1:21" x14ac:dyDescent="0.35">
      <c r="A1660" t="s">
        <v>1733</v>
      </c>
      <c r="B1660" t="s">
        <v>20</v>
      </c>
      <c r="C1660" t="s">
        <v>107</v>
      </c>
      <c r="D1660" t="s">
        <v>49</v>
      </c>
      <c r="E1660" t="s">
        <v>70</v>
      </c>
      <c r="F1660">
        <v>8</v>
      </c>
      <c r="G1660">
        <v>0.34</v>
      </c>
      <c r="H1660">
        <v>0.27</v>
      </c>
      <c r="I1660" t="s">
        <v>60</v>
      </c>
      <c r="J1660">
        <v>211680</v>
      </c>
      <c r="K1660" t="s">
        <v>27</v>
      </c>
      <c r="L1660">
        <v>0</v>
      </c>
      <c r="M1660">
        <v>39</v>
      </c>
      <c r="N1660" t="s">
        <v>42</v>
      </c>
      <c r="O1660" t="s">
        <v>27</v>
      </c>
      <c r="P1660">
        <v>3.34</v>
      </c>
      <c r="Q1660" t="s">
        <v>24</v>
      </c>
      <c r="R1660">
        <v>2.2200000000000002</v>
      </c>
      <c r="S1660" t="s">
        <v>43</v>
      </c>
      <c r="T1660" t="str">
        <f t="shared" si="50"/>
        <v>Moderate</v>
      </c>
      <c r="U1660" t="str">
        <f t="shared" si="51"/>
        <v>Intermediate</v>
      </c>
    </row>
    <row r="1661" spans="1:21" x14ac:dyDescent="0.35">
      <c r="A1661" t="s">
        <v>1734</v>
      </c>
      <c r="B1661" t="s">
        <v>106</v>
      </c>
      <c r="C1661" t="s">
        <v>39</v>
      </c>
      <c r="D1661" t="s">
        <v>22</v>
      </c>
      <c r="E1661" t="s">
        <v>70</v>
      </c>
      <c r="F1661">
        <v>0</v>
      </c>
      <c r="G1661">
        <v>0.35</v>
      </c>
      <c r="H1661">
        <v>0.55000000000000004</v>
      </c>
      <c r="I1661" t="s">
        <v>24</v>
      </c>
      <c r="J1661">
        <v>111514</v>
      </c>
      <c r="K1661" t="s">
        <v>27</v>
      </c>
      <c r="L1661">
        <v>14</v>
      </c>
      <c r="M1661">
        <v>55</v>
      </c>
      <c r="N1661" t="s">
        <v>26</v>
      </c>
      <c r="O1661" t="s">
        <v>25</v>
      </c>
      <c r="P1661">
        <v>4.54</v>
      </c>
      <c r="Q1661" t="s">
        <v>34</v>
      </c>
      <c r="R1661">
        <v>2.0699999999999998</v>
      </c>
      <c r="S1661" t="s">
        <v>28</v>
      </c>
      <c r="T1661" t="str">
        <f t="shared" si="50"/>
        <v>High</v>
      </c>
      <c r="U1661" t="str">
        <f t="shared" si="51"/>
        <v>Beginner</v>
      </c>
    </row>
    <row r="1662" spans="1:21" x14ac:dyDescent="0.35">
      <c r="A1662" t="s">
        <v>1735</v>
      </c>
      <c r="B1662" t="s">
        <v>38</v>
      </c>
      <c r="C1662" t="s">
        <v>82</v>
      </c>
      <c r="D1662" t="s">
        <v>59</v>
      </c>
      <c r="E1662" t="s">
        <v>33</v>
      </c>
      <c r="F1662">
        <v>8</v>
      </c>
      <c r="G1662">
        <v>0.94</v>
      </c>
      <c r="H1662">
        <v>0.34</v>
      </c>
      <c r="I1662" t="s">
        <v>34</v>
      </c>
      <c r="J1662">
        <v>66465</v>
      </c>
      <c r="K1662" t="s">
        <v>27</v>
      </c>
      <c r="L1662">
        <v>21</v>
      </c>
      <c r="M1662">
        <v>34</v>
      </c>
      <c r="N1662" t="s">
        <v>35</v>
      </c>
      <c r="O1662" t="s">
        <v>25</v>
      </c>
      <c r="P1662">
        <v>2.68</v>
      </c>
      <c r="Q1662" t="s">
        <v>24</v>
      </c>
      <c r="R1662">
        <v>1.92</v>
      </c>
      <c r="S1662" t="s">
        <v>28</v>
      </c>
      <c r="T1662" t="str">
        <f t="shared" si="50"/>
        <v>Very Low</v>
      </c>
      <c r="U1662" t="str">
        <f t="shared" si="51"/>
        <v>Intermediate</v>
      </c>
    </row>
    <row r="1663" spans="1:21" x14ac:dyDescent="0.35">
      <c r="A1663" t="s">
        <v>1736</v>
      </c>
      <c r="B1663" t="s">
        <v>65</v>
      </c>
      <c r="C1663" t="s">
        <v>74</v>
      </c>
      <c r="D1663" t="s">
        <v>49</v>
      </c>
      <c r="E1663" t="s">
        <v>33</v>
      </c>
      <c r="F1663">
        <v>1</v>
      </c>
      <c r="G1663">
        <v>0.42</v>
      </c>
      <c r="H1663">
        <v>0.93</v>
      </c>
      <c r="I1663" t="s">
        <v>34</v>
      </c>
      <c r="J1663">
        <v>215294</v>
      </c>
      <c r="K1663" t="s">
        <v>42</v>
      </c>
      <c r="L1663">
        <v>10</v>
      </c>
      <c r="M1663">
        <v>48</v>
      </c>
      <c r="N1663" t="s">
        <v>42</v>
      </c>
      <c r="O1663" t="s">
        <v>27</v>
      </c>
      <c r="P1663">
        <v>4.4000000000000004</v>
      </c>
      <c r="Q1663" t="s">
        <v>34</v>
      </c>
      <c r="R1663">
        <v>3.7</v>
      </c>
      <c r="S1663" t="s">
        <v>43</v>
      </c>
      <c r="T1663" t="str">
        <f t="shared" si="50"/>
        <v>High</v>
      </c>
      <c r="U1663" t="str">
        <f t="shared" si="51"/>
        <v>Beginner</v>
      </c>
    </row>
    <row r="1664" spans="1:21" x14ac:dyDescent="0.35">
      <c r="A1664" t="s">
        <v>1737</v>
      </c>
      <c r="B1664" t="s">
        <v>106</v>
      </c>
      <c r="C1664" t="s">
        <v>52</v>
      </c>
      <c r="D1664" t="s">
        <v>49</v>
      </c>
      <c r="E1664" t="s">
        <v>23</v>
      </c>
      <c r="F1664">
        <v>8</v>
      </c>
      <c r="G1664">
        <v>0.1</v>
      </c>
      <c r="H1664">
        <v>0.48</v>
      </c>
      <c r="I1664" t="s">
        <v>60</v>
      </c>
      <c r="J1664">
        <v>47590</v>
      </c>
      <c r="K1664" t="s">
        <v>42</v>
      </c>
      <c r="L1664">
        <v>28</v>
      </c>
      <c r="M1664">
        <v>38</v>
      </c>
      <c r="N1664" t="s">
        <v>35</v>
      </c>
      <c r="O1664" t="s">
        <v>36</v>
      </c>
      <c r="P1664">
        <v>4.75</v>
      </c>
      <c r="Q1664" t="s">
        <v>24</v>
      </c>
      <c r="R1664">
        <v>2.87</v>
      </c>
      <c r="S1664" t="s">
        <v>43</v>
      </c>
      <c r="T1664" t="str">
        <f t="shared" si="50"/>
        <v>High</v>
      </c>
      <c r="U1664" t="str">
        <f t="shared" si="51"/>
        <v>Intermediate</v>
      </c>
    </row>
    <row r="1665" spans="1:21" x14ac:dyDescent="0.35">
      <c r="A1665" t="s">
        <v>1738</v>
      </c>
      <c r="B1665" t="s">
        <v>62</v>
      </c>
      <c r="C1665" t="s">
        <v>82</v>
      </c>
      <c r="D1665" t="s">
        <v>40</v>
      </c>
      <c r="E1665" t="s">
        <v>23</v>
      </c>
      <c r="F1665">
        <v>14</v>
      </c>
      <c r="G1665">
        <v>0.77</v>
      </c>
      <c r="H1665">
        <v>0.34</v>
      </c>
      <c r="I1665" t="s">
        <v>34</v>
      </c>
      <c r="J1665">
        <v>46109</v>
      </c>
      <c r="K1665" t="s">
        <v>42</v>
      </c>
      <c r="L1665">
        <v>35</v>
      </c>
      <c r="M1665">
        <v>33</v>
      </c>
      <c r="N1665" t="s">
        <v>42</v>
      </c>
      <c r="O1665" t="s">
        <v>25</v>
      </c>
      <c r="P1665">
        <v>2.15</v>
      </c>
      <c r="Q1665" t="s">
        <v>34</v>
      </c>
      <c r="R1665">
        <v>1.33</v>
      </c>
      <c r="S1665" t="s">
        <v>28</v>
      </c>
      <c r="T1665" t="str">
        <f t="shared" si="50"/>
        <v>Very Low</v>
      </c>
      <c r="U1665" t="str">
        <f t="shared" si="51"/>
        <v>Experienced</v>
      </c>
    </row>
    <row r="1666" spans="1:21" x14ac:dyDescent="0.35">
      <c r="A1666" t="s">
        <v>1739</v>
      </c>
      <c r="B1666" t="s">
        <v>68</v>
      </c>
      <c r="C1666" t="s">
        <v>39</v>
      </c>
      <c r="D1666" t="s">
        <v>59</v>
      </c>
      <c r="E1666" t="s">
        <v>70</v>
      </c>
      <c r="F1666">
        <v>17</v>
      </c>
      <c r="G1666">
        <v>0.77</v>
      </c>
      <c r="H1666">
        <v>0.52</v>
      </c>
      <c r="I1666" t="s">
        <v>34</v>
      </c>
      <c r="J1666">
        <v>194455</v>
      </c>
      <c r="K1666" t="s">
        <v>25</v>
      </c>
      <c r="L1666">
        <v>24</v>
      </c>
      <c r="M1666">
        <v>32</v>
      </c>
      <c r="N1666" t="s">
        <v>26</v>
      </c>
      <c r="O1666" t="s">
        <v>36</v>
      </c>
      <c r="P1666">
        <v>4.97</v>
      </c>
      <c r="Q1666" t="s">
        <v>24</v>
      </c>
      <c r="R1666">
        <v>4.33</v>
      </c>
      <c r="S1666" t="s">
        <v>28</v>
      </c>
      <c r="T1666" t="str">
        <f t="shared" si="50"/>
        <v>Moderate</v>
      </c>
      <c r="U1666" t="str">
        <f t="shared" si="51"/>
        <v>Expert</v>
      </c>
    </row>
    <row r="1667" spans="1:21" x14ac:dyDescent="0.35">
      <c r="A1667" t="s">
        <v>1740</v>
      </c>
      <c r="B1667" t="s">
        <v>54</v>
      </c>
      <c r="C1667" t="s">
        <v>82</v>
      </c>
      <c r="D1667" t="s">
        <v>59</v>
      </c>
      <c r="E1667" t="s">
        <v>33</v>
      </c>
      <c r="F1667">
        <v>17</v>
      </c>
      <c r="G1667">
        <v>0.65</v>
      </c>
      <c r="H1667">
        <v>0.75</v>
      </c>
      <c r="I1667" t="s">
        <v>24</v>
      </c>
      <c r="J1667">
        <v>42483</v>
      </c>
      <c r="K1667" t="s">
        <v>25</v>
      </c>
      <c r="L1667">
        <v>15</v>
      </c>
      <c r="M1667">
        <v>31</v>
      </c>
      <c r="N1667" t="s">
        <v>26</v>
      </c>
      <c r="O1667" t="s">
        <v>27</v>
      </c>
      <c r="P1667">
        <v>3.85</v>
      </c>
      <c r="Q1667" t="s">
        <v>24</v>
      </c>
      <c r="R1667">
        <v>3.95</v>
      </c>
      <c r="S1667" t="s">
        <v>43</v>
      </c>
      <c r="T1667" t="str">
        <f t="shared" ref="T1667:T1730" si="52">IF(AND(G1667&lt;0.4,H1667&gt;=0.7),"Very High",
IF(AND(G1667&gt;=0.7,H1667&lt;0.5),"Very Low",
IF(G1667&lt;H1667,"High","Moderate")))</f>
        <v>High</v>
      </c>
      <c r="U1667" t="str">
        <f t="shared" ref="U1667:U1730" si="53">_xlfn.IFS(F1667&lt;=2,"Beginner",F1667&lt;=8,"Intermediate",F1667&lt;=15,"Experienced",F1667&lt;=25,"Expert")</f>
        <v>Expert</v>
      </c>
    </row>
    <row r="1668" spans="1:21" x14ac:dyDescent="0.35">
      <c r="A1668" t="s">
        <v>1741</v>
      </c>
      <c r="B1668" t="s">
        <v>147</v>
      </c>
      <c r="C1668" t="s">
        <v>107</v>
      </c>
      <c r="D1668" t="s">
        <v>66</v>
      </c>
      <c r="E1668" t="s">
        <v>23</v>
      </c>
      <c r="F1668">
        <v>11</v>
      </c>
      <c r="G1668">
        <v>0.16</v>
      </c>
      <c r="H1668">
        <v>0.26</v>
      </c>
      <c r="I1668" t="s">
        <v>60</v>
      </c>
      <c r="J1668">
        <v>100063</v>
      </c>
      <c r="K1668" t="s">
        <v>27</v>
      </c>
      <c r="L1668">
        <v>-9</v>
      </c>
      <c r="M1668">
        <v>40</v>
      </c>
      <c r="N1668" t="s">
        <v>35</v>
      </c>
      <c r="O1668" t="s">
        <v>36</v>
      </c>
      <c r="P1668">
        <v>2.06</v>
      </c>
      <c r="Q1668" t="s">
        <v>24</v>
      </c>
      <c r="R1668">
        <v>2.41</v>
      </c>
      <c r="S1668" t="s">
        <v>28</v>
      </c>
      <c r="T1668" t="str">
        <f t="shared" si="52"/>
        <v>High</v>
      </c>
      <c r="U1668" t="str">
        <f t="shared" si="53"/>
        <v>Experienced</v>
      </c>
    </row>
    <row r="1669" spans="1:21" x14ac:dyDescent="0.35">
      <c r="A1669" t="s">
        <v>1742</v>
      </c>
      <c r="B1669" t="s">
        <v>89</v>
      </c>
      <c r="C1669" t="s">
        <v>107</v>
      </c>
      <c r="D1669" t="s">
        <v>63</v>
      </c>
      <c r="E1669" t="s">
        <v>41</v>
      </c>
      <c r="F1669">
        <v>7</v>
      </c>
      <c r="G1669">
        <v>0.79</v>
      </c>
      <c r="H1669">
        <v>0.24</v>
      </c>
      <c r="I1669" t="s">
        <v>24</v>
      </c>
      <c r="J1669">
        <v>31635</v>
      </c>
      <c r="K1669" t="s">
        <v>42</v>
      </c>
      <c r="L1669">
        <v>-6</v>
      </c>
      <c r="M1669">
        <v>30</v>
      </c>
      <c r="N1669" t="s">
        <v>26</v>
      </c>
      <c r="O1669" t="s">
        <v>25</v>
      </c>
      <c r="P1669">
        <v>4.6900000000000004</v>
      </c>
      <c r="Q1669" t="s">
        <v>24</v>
      </c>
      <c r="R1669">
        <v>1.43</v>
      </c>
      <c r="S1669" t="s">
        <v>28</v>
      </c>
      <c r="T1669" t="str">
        <f t="shared" si="52"/>
        <v>Very Low</v>
      </c>
      <c r="U1669" t="str">
        <f t="shared" si="53"/>
        <v>Intermediate</v>
      </c>
    </row>
    <row r="1670" spans="1:21" x14ac:dyDescent="0.35">
      <c r="A1670" t="s">
        <v>1743</v>
      </c>
      <c r="B1670" t="s">
        <v>73</v>
      </c>
      <c r="C1670" t="s">
        <v>31</v>
      </c>
      <c r="D1670" t="s">
        <v>59</v>
      </c>
      <c r="E1670" t="s">
        <v>41</v>
      </c>
      <c r="F1670">
        <v>19</v>
      </c>
      <c r="G1670">
        <v>0.3</v>
      </c>
      <c r="H1670">
        <v>0.55000000000000004</v>
      </c>
      <c r="I1670" t="s">
        <v>24</v>
      </c>
      <c r="J1670">
        <v>70631</v>
      </c>
      <c r="K1670" t="s">
        <v>42</v>
      </c>
      <c r="L1670">
        <v>8</v>
      </c>
      <c r="M1670">
        <v>37</v>
      </c>
      <c r="N1670" t="s">
        <v>35</v>
      </c>
      <c r="O1670" t="s">
        <v>25</v>
      </c>
      <c r="P1670">
        <v>3.24</v>
      </c>
      <c r="Q1670" t="s">
        <v>34</v>
      </c>
      <c r="R1670">
        <v>2.41</v>
      </c>
      <c r="S1670" t="s">
        <v>47</v>
      </c>
      <c r="T1670" t="str">
        <f t="shared" si="52"/>
        <v>High</v>
      </c>
      <c r="U1670" t="str">
        <f t="shared" si="53"/>
        <v>Expert</v>
      </c>
    </row>
    <row r="1671" spans="1:21" x14ac:dyDescent="0.35">
      <c r="A1671" t="s">
        <v>1744</v>
      </c>
      <c r="B1671" t="s">
        <v>65</v>
      </c>
      <c r="C1671" t="s">
        <v>58</v>
      </c>
      <c r="D1671" t="s">
        <v>69</v>
      </c>
      <c r="E1671" t="s">
        <v>33</v>
      </c>
      <c r="F1671">
        <v>8</v>
      </c>
      <c r="G1671">
        <v>0.86</v>
      </c>
      <c r="H1671">
        <v>0.96</v>
      </c>
      <c r="I1671" t="s">
        <v>34</v>
      </c>
      <c r="J1671">
        <v>119064</v>
      </c>
      <c r="K1671" t="s">
        <v>42</v>
      </c>
      <c r="L1671">
        <v>11</v>
      </c>
      <c r="M1671">
        <v>40</v>
      </c>
      <c r="N1671" t="s">
        <v>35</v>
      </c>
      <c r="O1671" t="s">
        <v>36</v>
      </c>
      <c r="P1671">
        <v>3.37</v>
      </c>
      <c r="Q1671" t="s">
        <v>24</v>
      </c>
      <c r="R1671">
        <v>4.58</v>
      </c>
      <c r="S1671" t="s">
        <v>28</v>
      </c>
      <c r="T1671" t="str">
        <f t="shared" si="52"/>
        <v>High</v>
      </c>
      <c r="U1671" t="str">
        <f t="shared" si="53"/>
        <v>Intermediate</v>
      </c>
    </row>
    <row r="1672" spans="1:21" x14ac:dyDescent="0.35">
      <c r="A1672" t="s">
        <v>1745</v>
      </c>
      <c r="B1672" t="s">
        <v>156</v>
      </c>
      <c r="C1672" t="s">
        <v>74</v>
      </c>
      <c r="D1672" t="s">
        <v>69</v>
      </c>
      <c r="E1672" t="s">
        <v>23</v>
      </c>
      <c r="F1672">
        <v>1</v>
      </c>
      <c r="G1672">
        <v>0.46</v>
      </c>
      <c r="H1672">
        <v>0.45</v>
      </c>
      <c r="I1672" t="s">
        <v>34</v>
      </c>
      <c r="J1672">
        <v>32022</v>
      </c>
      <c r="K1672" t="s">
        <v>27</v>
      </c>
      <c r="L1672">
        <v>-10</v>
      </c>
      <c r="M1672">
        <v>40</v>
      </c>
      <c r="N1672" t="s">
        <v>42</v>
      </c>
      <c r="O1672" t="s">
        <v>25</v>
      </c>
      <c r="P1672">
        <v>4.32</v>
      </c>
      <c r="Q1672" t="s">
        <v>24</v>
      </c>
      <c r="R1672">
        <v>1.33</v>
      </c>
      <c r="S1672" t="s">
        <v>28</v>
      </c>
      <c r="T1672" t="str">
        <f t="shared" si="52"/>
        <v>Moderate</v>
      </c>
      <c r="U1672" t="str">
        <f t="shared" si="53"/>
        <v>Beginner</v>
      </c>
    </row>
    <row r="1673" spans="1:21" x14ac:dyDescent="0.35">
      <c r="A1673" t="s">
        <v>1746</v>
      </c>
      <c r="B1673" t="s">
        <v>102</v>
      </c>
      <c r="C1673" t="s">
        <v>46</v>
      </c>
      <c r="D1673" t="s">
        <v>59</v>
      </c>
      <c r="E1673" t="s">
        <v>33</v>
      </c>
      <c r="F1673">
        <v>0</v>
      </c>
      <c r="G1673">
        <v>0.78</v>
      </c>
      <c r="H1673">
        <v>0.97</v>
      </c>
      <c r="I1673" t="s">
        <v>60</v>
      </c>
      <c r="J1673">
        <v>125676</v>
      </c>
      <c r="K1673" t="s">
        <v>42</v>
      </c>
      <c r="L1673">
        <v>7</v>
      </c>
      <c r="M1673">
        <v>46</v>
      </c>
      <c r="N1673" t="s">
        <v>42</v>
      </c>
      <c r="O1673" t="s">
        <v>27</v>
      </c>
      <c r="P1673">
        <v>3.75</v>
      </c>
      <c r="Q1673" t="s">
        <v>34</v>
      </c>
      <c r="R1673">
        <v>4.87</v>
      </c>
      <c r="S1673" t="s">
        <v>43</v>
      </c>
      <c r="T1673" t="str">
        <f t="shared" si="52"/>
        <v>High</v>
      </c>
      <c r="U1673" t="str">
        <f t="shared" si="53"/>
        <v>Beginner</v>
      </c>
    </row>
    <row r="1674" spans="1:21" x14ac:dyDescent="0.35">
      <c r="A1674" t="s">
        <v>1747</v>
      </c>
      <c r="B1674" t="s">
        <v>65</v>
      </c>
      <c r="C1674" t="s">
        <v>39</v>
      </c>
      <c r="D1674" t="s">
        <v>75</v>
      </c>
      <c r="E1674" t="s">
        <v>33</v>
      </c>
      <c r="F1674">
        <v>8</v>
      </c>
      <c r="G1674">
        <v>0.22</v>
      </c>
      <c r="H1674">
        <v>0.88</v>
      </c>
      <c r="I1674" t="s">
        <v>24</v>
      </c>
      <c r="J1674">
        <v>215142</v>
      </c>
      <c r="K1674" t="s">
        <v>42</v>
      </c>
      <c r="L1674">
        <v>33</v>
      </c>
      <c r="M1674">
        <v>38</v>
      </c>
      <c r="N1674" t="s">
        <v>42</v>
      </c>
      <c r="O1674" t="s">
        <v>27</v>
      </c>
      <c r="P1674">
        <v>3.58</v>
      </c>
      <c r="Q1674" t="s">
        <v>34</v>
      </c>
      <c r="R1674">
        <v>3.51</v>
      </c>
      <c r="S1674" t="s">
        <v>28</v>
      </c>
      <c r="T1674" t="str">
        <f t="shared" si="52"/>
        <v>Very High</v>
      </c>
      <c r="U1674" t="str">
        <f t="shared" si="53"/>
        <v>Intermediate</v>
      </c>
    </row>
    <row r="1675" spans="1:21" x14ac:dyDescent="0.35">
      <c r="A1675" t="s">
        <v>1748</v>
      </c>
      <c r="B1675" t="s">
        <v>45</v>
      </c>
      <c r="C1675" t="s">
        <v>74</v>
      </c>
      <c r="D1675" t="s">
        <v>66</v>
      </c>
      <c r="E1675" t="s">
        <v>41</v>
      </c>
      <c r="F1675">
        <v>24</v>
      </c>
      <c r="G1675">
        <v>0.32</v>
      </c>
      <c r="H1675">
        <v>0.88</v>
      </c>
      <c r="I1675" t="s">
        <v>34</v>
      </c>
      <c r="J1675">
        <v>201034</v>
      </c>
      <c r="K1675" t="s">
        <v>25</v>
      </c>
      <c r="L1675">
        <v>-7</v>
      </c>
      <c r="M1675">
        <v>49</v>
      </c>
      <c r="N1675" t="s">
        <v>35</v>
      </c>
      <c r="O1675" t="s">
        <v>25</v>
      </c>
      <c r="P1675">
        <v>2.85</v>
      </c>
      <c r="Q1675" t="s">
        <v>34</v>
      </c>
      <c r="R1675">
        <v>3.89</v>
      </c>
      <c r="S1675" t="s">
        <v>47</v>
      </c>
      <c r="T1675" t="str">
        <f t="shared" si="52"/>
        <v>Very High</v>
      </c>
      <c r="U1675" t="str">
        <f t="shared" si="53"/>
        <v>Expert</v>
      </c>
    </row>
    <row r="1676" spans="1:21" x14ac:dyDescent="0.35">
      <c r="A1676" t="s">
        <v>1749</v>
      </c>
      <c r="B1676" t="s">
        <v>91</v>
      </c>
      <c r="C1676" t="s">
        <v>58</v>
      </c>
      <c r="D1676" t="s">
        <v>75</v>
      </c>
      <c r="E1676" t="s">
        <v>70</v>
      </c>
      <c r="F1676">
        <v>3</v>
      </c>
      <c r="G1676">
        <v>0.75</v>
      </c>
      <c r="H1676">
        <v>0.75</v>
      </c>
      <c r="I1676" t="s">
        <v>34</v>
      </c>
      <c r="J1676">
        <v>80726</v>
      </c>
      <c r="K1676" t="s">
        <v>42</v>
      </c>
      <c r="L1676">
        <v>4</v>
      </c>
      <c r="M1676">
        <v>44</v>
      </c>
      <c r="N1676" t="s">
        <v>42</v>
      </c>
      <c r="O1676" t="s">
        <v>25</v>
      </c>
      <c r="P1676">
        <v>3.92</v>
      </c>
      <c r="Q1676" t="s">
        <v>24</v>
      </c>
      <c r="R1676">
        <v>1.38</v>
      </c>
      <c r="S1676" t="s">
        <v>43</v>
      </c>
      <c r="T1676" t="str">
        <f t="shared" si="52"/>
        <v>Moderate</v>
      </c>
      <c r="U1676" t="str">
        <f t="shared" si="53"/>
        <v>Intermediate</v>
      </c>
    </row>
    <row r="1677" spans="1:21" x14ac:dyDescent="0.35">
      <c r="A1677" t="s">
        <v>1750</v>
      </c>
      <c r="B1677" t="s">
        <v>77</v>
      </c>
      <c r="C1677" t="s">
        <v>82</v>
      </c>
      <c r="D1677" t="s">
        <v>80</v>
      </c>
      <c r="E1677" t="s">
        <v>33</v>
      </c>
      <c r="F1677">
        <v>6</v>
      </c>
      <c r="G1677">
        <v>0.15</v>
      </c>
      <c r="H1677">
        <v>0.35</v>
      </c>
      <c r="I1677" t="s">
        <v>60</v>
      </c>
      <c r="J1677">
        <v>214487</v>
      </c>
      <c r="K1677" t="s">
        <v>27</v>
      </c>
      <c r="L1677">
        <v>37</v>
      </c>
      <c r="M1677">
        <v>45</v>
      </c>
      <c r="N1677" t="s">
        <v>35</v>
      </c>
      <c r="O1677" t="s">
        <v>36</v>
      </c>
      <c r="P1677">
        <v>3.93</v>
      </c>
      <c r="Q1677" t="s">
        <v>34</v>
      </c>
      <c r="R1677">
        <v>2.52</v>
      </c>
      <c r="S1677" t="s">
        <v>47</v>
      </c>
      <c r="T1677" t="str">
        <f t="shared" si="52"/>
        <v>High</v>
      </c>
      <c r="U1677" t="str">
        <f t="shared" si="53"/>
        <v>Intermediate</v>
      </c>
    </row>
    <row r="1678" spans="1:21" x14ac:dyDescent="0.35">
      <c r="A1678" t="s">
        <v>1751</v>
      </c>
      <c r="B1678" t="s">
        <v>38</v>
      </c>
      <c r="C1678" t="s">
        <v>39</v>
      </c>
      <c r="D1678" t="s">
        <v>75</v>
      </c>
      <c r="E1678" t="s">
        <v>41</v>
      </c>
      <c r="F1678">
        <v>1</v>
      </c>
      <c r="G1678">
        <v>0.13</v>
      </c>
      <c r="H1678">
        <v>0.95</v>
      </c>
      <c r="I1678" t="s">
        <v>60</v>
      </c>
      <c r="J1678">
        <v>92063</v>
      </c>
      <c r="K1678" t="s">
        <v>42</v>
      </c>
      <c r="L1678">
        <v>36</v>
      </c>
      <c r="M1678">
        <v>41</v>
      </c>
      <c r="N1678" t="s">
        <v>26</v>
      </c>
      <c r="O1678" t="s">
        <v>25</v>
      </c>
      <c r="P1678">
        <v>4.32</v>
      </c>
      <c r="Q1678" t="s">
        <v>24</v>
      </c>
      <c r="R1678">
        <v>1.99</v>
      </c>
      <c r="S1678" t="s">
        <v>28</v>
      </c>
      <c r="T1678" t="str">
        <f t="shared" si="52"/>
        <v>Very High</v>
      </c>
      <c r="U1678" t="str">
        <f t="shared" si="53"/>
        <v>Beginner</v>
      </c>
    </row>
    <row r="1679" spans="1:21" x14ac:dyDescent="0.35">
      <c r="A1679" t="s">
        <v>1752</v>
      </c>
      <c r="B1679" t="s">
        <v>77</v>
      </c>
      <c r="C1679" t="s">
        <v>31</v>
      </c>
      <c r="D1679" t="s">
        <v>66</v>
      </c>
      <c r="E1679" t="s">
        <v>41</v>
      </c>
      <c r="F1679">
        <v>12</v>
      </c>
      <c r="G1679">
        <v>0.31</v>
      </c>
      <c r="H1679">
        <v>0.59</v>
      </c>
      <c r="I1679" t="s">
        <v>34</v>
      </c>
      <c r="J1679">
        <v>166087</v>
      </c>
      <c r="K1679" t="s">
        <v>27</v>
      </c>
      <c r="L1679">
        <v>35</v>
      </c>
      <c r="M1679">
        <v>55</v>
      </c>
      <c r="N1679" t="s">
        <v>26</v>
      </c>
      <c r="O1679" t="s">
        <v>36</v>
      </c>
      <c r="P1679">
        <v>4.78</v>
      </c>
      <c r="Q1679" t="s">
        <v>34</v>
      </c>
      <c r="R1679">
        <v>4.3099999999999996</v>
      </c>
      <c r="S1679" t="s">
        <v>28</v>
      </c>
      <c r="T1679" t="str">
        <f t="shared" si="52"/>
        <v>High</v>
      </c>
      <c r="U1679" t="str">
        <f t="shared" si="53"/>
        <v>Experienced</v>
      </c>
    </row>
    <row r="1680" spans="1:21" x14ac:dyDescent="0.35">
      <c r="A1680" t="s">
        <v>1753</v>
      </c>
      <c r="B1680" t="s">
        <v>147</v>
      </c>
      <c r="C1680" t="s">
        <v>58</v>
      </c>
      <c r="D1680" t="s">
        <v>22</v>
      </c>
      <c r="E1680" t="s">
        <v>70</v>
      </c>
      <c r="F1680">
        <v>12</v>
      </c>
      <c r="G1680">
        <v>0.5</v>
      </c>
      <c r="H1680">
        <v>0.94</v>
      </c>
      <c r="I1680" t="s">
        <v>24</v>
      </c>
      <c r="J1680">
        <v>130190</v>
      </c>
      <c r="K1680" t="s">
        <v>25</v>
      </c>
      <c r="L1680">
        <v>20</v>
      </c>
      <c r="M1680">
        <v>47</v>
      </c>
      <c r="N1680" t="s">
        <v>26</v>
      </c>
      <c r="O1680" t="s">
        <v>36</v>
      </c>
      <c r="P1680">
        <v>3.28</v>
      </c>
      <c r="Q1680" t="s">
        <v>24</v>
      </c>
      <c r="R1680">
        <v>2.8</v>
      </c>
      <c r="S1680" t="s">
        <v>28</v>
      </c>
      <c r="T1680" t="str">
        <f t="shared" si="52"/>
        <v>High</v>
      </c>
      <c r="U1680" t="str">
        <f t="shared" si="53"/>
        <v>Experienced</v>
      </c>
    </row>
    <row r="1681" spans="1:21" x14ac:dyDescent="0.35">
      <c r="A1681" t="s">
        <v>1754</v>
      </c>
      <c r="B1681" t="s">
        <v>68</v>
      </c>
      <c r="C1681" t="s">
        <v>55</v>
      </c>
      <c r="D1681" t="s">
        <v>69</v>
      </c>
      <c r="E1681" t="s">
        <v>41</v>
      </c>
      <c r="F1681">
        <v>23</v>
      </c>
      <c r="G1681">
        <v>0.8</v>
      </c>
      <c r="H1681">
        <v>0.72</v>
      </c>
      <c r="I1681" t="s">
        <v>24</v>
      </c>
      <c r="J1681">
        <v>47001</v>
      </c>
      <c r="K1681" t="s">
        <v>25</v>
      </c>
      <c r="L1681">
        <v>28</v>
      </c>
      <c r="M1681">
        <v>58</v>
      </c>
      <c r="N1681" t="s">
        <v>35</v>
      </c>
      <c r="O1681" t="s">
        <v>36</v>
      </c>
      <c r="P1681">
        <v>4.5199999999999996</v>
      </c>
      <c r="Q1681" t="s">
        <v>24</v>
      </c>
      <c r="R1681">
        <v>3.36</v>
      </c>
      <c r="S1681" t="s">
        <v>28</v>
      </c>
      <c r="T1681" t="str">
        <f t="shared" si="52"/>
        <v>Moderate</v>
      </c>
      <c r="U1681" t="str">
        <f t="shared" si="53"/>
        <v>Expert</v>
      </c>
    </row>
    <row r="1682" spans="1:21" x14ac:dyDescent="0.35">
      <c r="A1682" t="s">
        <v>1755</v>
      </c>
      <c r="B1682" t="s">
        <v>89</v>
      </c>
      <c r="C1682" t="s">
        <v>52</v>
      </c>
      <c r="D1682" t="s">
        <v>32</v>
      </c>
      <c r="E1682" t="s">
        <v>41</v>
      </c>
      <c r="F1682">
        <v>11</v>
      </c>
      <c r="G1682">
        <v>0.09</v>
      </c>
      <c r="H1682">
        <v>0.89</v>
      </c>
      <c r="I1682" t="s">
        <v>60</v>
      </c>
      <c r="J1682">
        <v>65634</v>
      </c>
      <c r="K1682" t="s">
        <v>27</v>
      </c>
      <c r="L1682">
        <v>34</v>
      </c>
      <c r="M1682">
        <v>46</v>
      </c>
      <c r="N1682" t="s">
        <v>42</v>
      </c>
      <c r="O1682" t="s">
        <v>36</v>
      </c>
      <c r="P1682">
        <v>4.47</v>
      </c>
      <c r="Q1682" t="s">
        <v>34</v>
      </c>
      <c r="R1682">
        <v>4.1399999999999997</v>
      </c>
      <c r="S1682" t="s">
        <v>47</v>
      </c>
      <c r="T1682" t="str">
        <f t="shared" si="52"/>
        <v>Very High</v>
      </c>
      <c r="U1682" t="str">
        <f t="shared" si="53"/>
        <v>Experienced</v>
      </c>
    </row>
    <row r="1683" spans="1:21" x14ac:dyDescent="0.35">
      <c r="A1683" t="s">
        <v>1756</v>
      </c>
      <c r="B1683" t="s">
        <v>30</v>
      </c>
      <c r="C1683" t="s">
        <v>52</v>
      </c>
      <c r="D1683" t="s">
        <v>22</v>
      </c>
      <c r="E1683" t="s">
        <v>23</v>
      </c>
      <c r="F1683">
        <v>9</v>
      </c>
      <c r="G1683">
        <v>0.84</v>
      </c>
      <c r="H1683">
        <v>0.28000000000000003</v>
      </c>
      <c r="I1683" t="s">
        <v>34</v>
      </c>
      <c r="J1683">
        <v>177631</v>
      </c>
      <c r="K1683" t="s">
        <v>25</v>
      </c>
      <c r="L1683">
        <v>21</v>
      </c>
      <c r="M1683">
        <v>44</v>
      </c>
      <c r="N1683" t="s">
        <v>35</v>
      </c>
      <c r="O1683" t="s">
        <v>27</v>
      </c>
      <c r="P1683">
        <v>2.95</v>
      </c>
      <c r="Q1683" t="s">
        <v>34</v>
      </c>
      <c r="R1683">
        <v>2.56</v>
      </c>
      <c r="S1683" t="s">
        <v>28</v>
      </c>
      <c r="T1683" t="str">
        <f t="shared" si="52"/>
        <v>Very Low</v>
      </c>
      <c r="U1683" t="str">
        <f t="shared" si="53"/>
        <v>Experienced</v>
      </c>
    </row>
    <row r="1684" spans="1:21" x14ac:dyDescent="0.35">
      <c r="A1684" t="s">
        <v>1757</v>
      </c>
      <c r="B1684" t="s">
        <v>102</v>
      </c>
      <c r="C1684" t="s">
        <v>74</v>
      </c>
      <c r="D1684" t="s">
        <v>69</v>
      </c>
      <c r="E1684" t="s">
        <v>33</v>
      </c>
      <c r="F1684">
        <v>23</v>
      </c>
      <c r="G1684">
        <v>0.37</v>
      </c>
      <c r="H1684">
        <v>0.84</v>
      </c>
      <c r="I1684" t="s">
        <v>60</v>
      </c>
      <c r="J1684">
        <v>61490</v>
      </c>
      <c r="K1684" t="s">
        <v>27</v>
      </c>
      <c r="L1684">
        <v>32</v>
      </c>
      <c r="M1684">
        <v>44</v>
      </c>
      <c r="N1684" t="s">
        <v>42</v>
      </c>
      <c r="O1684" t="s">
        <v>27</v>
      </c>
      <c r="P1684">
        <v>3.59</v>
      </c>
      <c r="Q1684" t="s">
        <v>24</v>
      </c>
      <c r="R1684">
        <v>2.41</v>
      </c>
      <c r="S1684" t="s">
        <v>47</v>
      </c>
      <c r="T1684" t="str">
        <f t="shared" si="52"/>
        <v>Very High</v>
      </c>
      <c r="U1684" t="str">
        <f t="shared" si="53"/>
        <v>Expert</v>
      </c>
    </row>
    <row r="1685" spans="1:21" x14ac:dyDescent="0.35">
      <c r="A1685" t="s">
        <v>1758</v>
      </c>
      <c r="B1685" t="s">
        <v>89</v>
      </c>
      <c r="C1685" t="s">
        <v>39</v>
      </c>
      <c r="D1685" t="s">
        <v>63</v>
      </c>
      <c r="E1685" t="s">
        <v>41</v>
      </c>
      <c r="F1685">
        <v>17</v>
      </c>
      <c r="G1685">
        <v>0.84</v>
      </c>
      <c r="H1685">
        <v>0.77</v>
      </c>
      <c r="I1685" t="s">
        <v>24</v>
      </c>
      <c r="J1685">
        <v>139069</v>
      </c>
      <c r="K1685" t="s">
        <v>27</v>
      </c>
      <c r="L1685">
        <v>-3</v>
      </c>
      <c r="M1685">
        <v>45</v>
      </c>
      <c r="N1685" t="s">
        <v>26</v>
      </c>
      <c r="O1685" t="s">
        <v>36</v>
      </c>
      <c r="P1685">
        <v>2.79</v>
      </c>
      <c r="Q1685" t="s">
        <v>34</v>
      </c>
      <c r="R1685">
        <v>4.78</v>
      </c>
      <c r="S1685" t="s">
        <v>43</v>
      </c>
      <c r="T1685" t="str">
        <f t="shared" si="52"/>
        <v>Moderate</v>
      </c>
      <c r="U1685" t="str">
        <f t="shared" si="53"/>
        <v>Expert</v>
      </c>
    </row>
    <row r="1686" spans="1:21" x14ac:dyDescent="0.35">
      <c r="A1686" t="s">
        <v>1759</v>
      </c>
      <c r="B1686" t="s">
        <v>20</v>
      </c>
      <c r="C1686" t="s">
        <v>31</v>
      </c>
      <c r="D1686" t="s">
        <v>59</v>
      </c>
      <c r="E1686" t="s">
        <v>33</v>
      </c>
      <c r="F1686">
        <v>11</v>
      </c>
      <c r="G1686">
        <v>0.65</v>
      </c>
      <c r="H1686">
        <v>0.95</v>
      </c>
      <c r="I1686" t="s">
        <v>34</v>
      </c>
      <c r="J1686">
        <v>201600</v>
      </c>
      <c r="K1686" t="s">
        <v>27</v>
      </c>
      <c r="L1686">
        <v>27</v>
      </c>
      <c r="M1686">
        <v>48</v>
      </c>
      <c r="N1686" t="s">
        <v>42</v>
      </c>
      <c r="O1686" t="s">
        <v>25</v>
      </c>
      <c r="P1686">
        <v>2.5299999999999998</v>
      </c>
      <c r="Q1686" t="s">
        <v>24</v>
      </c>
      <c r="R1686">
        <v>4.09</v>
      </c>
      <c r="S1686" t="s">
        <v>47</v>
      </c>
      <c r="T1686" t="str">
        <f t="shared" si="52"/>
        <v>High</v>
      </c>
      <c r="U1686" t="str">
        <f t="shared" si="53"/>
        <v>Experienced</v>
      </c>
    </row>
    <row r="1687" spans="1:21" x14ac:dyDescent="0.35">
      <c r="A1687" t="s">
        <v>1760</v>
      </c>
      <c r="B1687" t="s">
        <v>89</v>
      </c>
      <c r="C1687" t="s">
        <v>21</v>
      </c>
      <c r="D1687" t="s">
        <v>22</v>
      </c>
      <c r="E1687" t="s">
        <v>41</v>
      </c>
      <c r="F1687">
        <v>18</v>
      </c>
      <c r="G1687">
        <v>0.63</v>
      </c>
      <c r="H1687">
        <v>0.3</v>
      </c>
      <c r="I1687" t="s">
        <v>34</v>
      </c>
      <c r="J1687">
        <v>130014</v>
      </c>
      <c r="K1687" t="s">
        <v>27</v>
      </c>
      <c r="L1687">
        <v>26</v>
      </c>
      <c r="M1687">
        <v>36</v>
      </c>
      <c r="N1687" t="s">
        <v>35</v>
      </c>
      <c r="O1687" t="s">
        <v>36</v>
      </c>
      <c r="P1687">
        <v>2.72</v>
      </c>
      <c r="Q1687" t="s">
        <v>24</v>
      </c>
      <c r="R1687">
        <v>1.85</v>
      </c>
      <c r="S1687" t="s">
        <v>47</v>
      </c>
      <c r="T1687" t="str">
        <f t="shared" si="52"/>
        <v>Moderate</v>
      </c>
      <c r="U1687" t="str">
        <f t="shared" si="53"/>
        <v>Expert</v>
      </c>
    </row>
    <row r="1688" spans="1:21" x14ac:dyDescent="0.35">
      <c r="A1688" t="s">
        <v>1761</v>
      </c>
      <c r="B1688" t="s">
        <v>65</v>
      </c>
      <c r="C1688" t="s">
        <v>107</v>
      </c>
      <c r="D1688" t="s">
        <v>63</v>
      </c>
      <c r="E1688" t="s">
        <v>33</v>
      </c>
      <c r="F1688">
        <v>7</v>
      </c>
      <c r="G1688">
        <v>0.34</v>
      </c>
      <c r="H1688">
        <v>0.51</v>
      </c>
      <c r="I1688" t="s">
        <v>34</v>
      </c>
      <c r="J1688">
        <v>64761</v>
      </c>
      <c r="K1688" t="s">
        <v>42</v>
      </c>
      <c r="L1688">
        <v>1</v>
      </c>
      <c r="M1688">
        <v>43</v>
      </c>
      <c r="N1688" t="s">
        <v>26</v>
      </c>
      <c r="O1688" t="s">
        <v>25</v>
      </c>
      <c r="P1688">
        <v>2.16</v>
      </c>
      <c r="Q1688" t="s">
        <v>34</v>
      </c>
      <c r="R1688">
        <v>4.0999999999999996</v>
      </c>
      <c r="S1688" t="s">
        <v>43</v>
      </c>
      <c r="T1688" t="str">
        <f t="shared" si="52"/>
        <v>High</v>
      </c>
      <c r="U1688" t="str">
        <f t="shared" si="53"/>
        <v>Intermediate</v>
      </c>
    </row>
    <row r="1689" spans="1:21" x14ac:dyDescent="0.35">
      <c r="A1689" t="s">
        <v>1762</v>
      </c>
      <c r="B1689" t="s">
        <v>38</v>
      </c>
      <c r="C1689" t="s">
        <v>39</v>
      </c>
      <c r="D1689" t="s">
        <v>66</v>
      </c>
      <c r="E1689" t="s">
        <v>70</v>
      </c>
      <c r="F1689">
        <v>3</v>
      </c>
      <c r="G1689">
        <v>0.55000000000000004</v>
      </c>
      <c r="H1689">
        <v>0.52</v>
      </c>
      <c r="I1689" t="s">
        <v>34</v>
      </c>
      <c r="J1689">
        <v>204182</v>
      </c>
      <c r="K1689" t="s">
        <v>25</v>
      </c>
      <c r="L1689">
        <v>26</v>
      </c>
      <c r="M1689">
        <v>35</v>
      </c>
      <c r="N1689" t="s">
        <v>35</v>
      </c>
      <c r="O1689" t="s">
        <v>25</v>
      </c>
      <c r="P1689">
        <v>3.74</v>
      </c>
      <c r="Q1689" t="s">
        <v>24</v>
      </c>
      <c r="R1689">
        <v>2.76</v>
      </c>
      <c r="S1689" t="s">
        <v>43</v>
      </c>
      <c r="T1689" t="str">
        <f t="shared" si="52"/>
        <v>Moderate</v>
      </c>
      <c r="U1689" t="str">
        <f t="shared" si="53"/>
        <v>Intermediate</v>
      </c>
    </row>
    <row r="1690" spans="1:21" x14ac:dyDescent="0.35">
      <c r="A1690" t="s">
        <v>1763</v>
      </c>
      <c r="B1690" t="s">
        <v>147</v>
      </c>
      <c r="C1690" t="s">
        <v>58</v>
      </c>
      <c r="D1690" t="s">
        <v>63</v>
      </c>
      <c r="E1690" t="s">
        <v>70</v>
      </c>
      <c r="F1690">
        <v>15</v>
      </c>
      <c r="G1690">
        <v>0.67</v>
      </c>
      <c r="H1690">
        <v>0.84</v>
      </c>
      <c r="I1690" t="s">
        <v>60</v>
      </c>
      <c r="J1690">
        <v>145180</v>
      </c>
      <c r="K1690" t="s">
        <v>27</v>
      </c>
      <c r="L1690">
        <v>21</v>
      </c>
      <c r="M1690">
        <v>53</v>
      </c>
      <c r="N1690" t="s">
        <v>42</v>
      </c>
      <c r="O1690" t="s">
        <v>27</v>
      </c>
      <c r="P1690">
        <v>2.2400000000000002</v>
      </c>
      <c r="Q1690" t="s">
        <v>34</v>
      </c>
      <c r="R1690">
        <v>1.82</v>
      </c>
      <c r="S1690" t="s">
        <v>47</v>
      </c>
      <c r="T1690" t="str">
        <f t="shared" si="52"/>
        <v>High</v>
      </c>
      <c r="U1690" t="str">
        <f t="shared" si="53"/>
        <v>Experienced</v>
      </c>
    </row>
    <row r="1691" spans="1:21" x14ac:dyDescent="0.35">
      <c r="A1691" t="s">
        <v>1764</v>
      </c>
      <c r="B1691" t="s">
        <v>45</v>
      </c>
      <c r="C1691" t="s">
        <v>74</v>
      </c>
      <c r="D1691" t="s">
        <v>49</v>
      </c>
      <c r="E1691" t="s">
        <v>70</v>
      </c>
      <c r="F1691">
        <v>1</v>
      </c>
      <c r="G1691">
        <v>0.27</v>
      </c>
      <c r="H1691">
        <v>0.93</v>
      </c>
      <c r="I1691" t="s">
        <v>60</v>
      </c>
      <c r="J1691">
        <v>50051</v>
      </c>
      <c r="K1691" t="s">
        <v>25</v>
      </c>
      <c r="L1691">
        <v>19</v>
      </c>
      <c r="M1691">
        <v>35</v>
      </c>
      <c r="N1691" t="s">
        <v>35</v>
      </c>
      <c r="O1691" t="s">
        <v>27</v>
      </c>
      <c r="P1691">
        <v>2.82</v>
      </c>
      <c r="Q1691" t="s">
        <v>24</v>
      </c>
      <c r="R1691">
        <v>3.93</v>
      </c>
      <c r="S1691" t="s">
        <v>47</v>
      </c>
      <c r="T1691" t="str">
        <f t="shared" si="52"/>
        <v>Very High</v>
      </c>
      <c r="U1691" t="str">
        <f t="shared" si="53"/>
        <v>Beginner</v>
      </c>
    </row>
    <row r="1692" spans="1:21" x14ac:dyDescent="0.35">
      <c r="A1692" t="s">
        <v>1765</v>
      </c>
      <c r="B1692" t="s">
        <v>94</v>
      </c>
      <c r="C1692" t="s">
        <v>55</v>
      </c>
      <c r="D1692" t="s">
        <v>69</v>
      </c>
      <c r="E1692" t="s">
        <v>23</v>
      </c>
      <c r="F1692">
        <v>0</v>
      </c>
      <c r="G1692">
        <v>0.28000000000000003</v>
      </c>
      <c r="H1692">
        <v>0.36</v>
      </c>
      <c r="I1692" t="s">
        <v>60</v>
      </c>
      <c r="J1692">
        <v>56324</v>
      </c>
      <c r="K1692" t="s">
        <v>27</v>
      </c>
      <c r="L1692">
        <v>10</v>
      </c>
      <c r="M1692">
        <v>40</v>
      </c>
      <c r="N1692" t="s">
        <v>35</v>
      </c>
      <c r="O1692" t="s">
        <v>36</v>
      </c>
      <c r="P1692">
        <v>3.72</v>
      </c>
      <c r="Q1692" t="s">
        <v>34</v>
      </c>
      <c r="R1692">
        <v>1.91</v>
      </c>
      <c r="S1692" t="s">
        <v>28</v>
      </c>
      <c r="T1692" t="str">
        <f t="shared" si="52"/>
        <v>High</v>
      </c>
      <c r="U1692" t="str">
        <f t="shared" si="53"/>
        <v>Beginner</v>
      </c>
    </row>
    <row r="1693" spans="1:21" x14ac:dyDescent="0.35">
      <c r="A1693" t="s">
        <v>1766</v>
      </c>
      <c r="B1693" t="s">
        <v>38</v>
      </c>
      <c r="C1693" t="s">
        <v>107</v>
      </c>
      <c r="D1693" t="s">
        <v>66</v>
      </c>
      <c r="E1693" t="s">
        <v>33</v>
      </c>
      <c r="F1693">
        <v>11</v>
      </c>
      <c r="G1693">
        <v>0.11</v>
      </c>
      <c r="H1693">
        <v>0.44</v>
      </c>
      <c r="I1693" t="s">
        <v>34</v>
      </c>
      <c r="J1693">
        <v>157607</v>
      </c>
      <c r="K1693" t="s">
        <v>27</v>
      </c>
      <c r="L1693">
        <v>-1</v>
      </c>
      <c r="M1693">
        <v>33</v>
      </c>
      <c r="N1693" t="s">
        <v>35</v>
      </c>
      <c r="O1693" t="s">
        <v>25</v>
      </c>
      <c r="P1693">
        <v>4.55</v>
      </c>
      <c r="Q1693" t="s">
        <v>24</v>
      </c>
      <c r="R1693">
        <v>3.02</v>
      </c>
      <c r="S1693" t="s">
        <v>28</v>
      </c>
      <c r="T1693" t="str">
        <f t="shared" si="52"/>
        <v>High</v>
      </c>
      <c r="U1693" t="str">
        <f t="shared" si="53"/>
        <v>Experienced</v>
      </c>
    </row>
    <row r="1694" spans="1:21" x14ac:dyDescent="0.35">
      <c r="A1694" t="s">
        <v>1767</v>
      </c>
      <c r="B1694" t="s">
        <v>102</v>
      </c>
      <c r="C1694" t="s">
        <v>55</v>
      </c>
      <c r="D1694" t="s">
        <v>66</v>
      </c>
      <c r="E1694" t="s">
        <v>41</v>
      </c>
      <c r="F1694">
        <v>3</v>
      </c>
      <c r="G1694">
        <v>0.57999999999999996</v>
      </c>
      <c r="H1694">
        <v>0.49</v>
      </c>
      <c r="I1694" t="s">
        <v>24</v>
      </c>
      <c r="J1694">
        <v>114137</v>
      </c>
      <c r="K1694" t="s">
        <v>42</v>
      </c>
      <c r="L1694">
        <v>35</v>
      </c>
      <c r="M1694">
        <v>45</v>
      </c>
      <c r="N1694" t="s">
        <v>35</v>
      </c>
      <c r="O1694" t="s">
        <v>25</v>
      </c>
      <c r="P1694">
        <v>2.9</v>
      </c>
      <c r="Q1694" t="s">
        <v>34</v>
      </c>
      <c r="R1694">
        <v>2.58</v>
      </c>
      <c r="S1694" t="s">
        <v>28</v>
      </c>
      <c r="T1694" t="str">
        <f t="shared" si="52"/>
        <v>Moderate</v>
      </c>
      <c r="U1694" t="str">
        <f t="shared" si="53"/>
        <v>Intermediate</v>
      </c>
    </row>
    <row r="1695" spans="1:21" x14ac:dyDescent="0.35">
      <c r="A1695" t="s">
        <v>1768</v>
      </c>
      <c r="B1695" t="s">
        <v>30</v>
      </c>
      <c r="C1695" t="s">
        <v>31</v>
      </c>
      <c r="D1695" t="s">
        <v>69</v>
      </c>
      <c r="E1695" t="s">
        <v>33</v>
      </c>
      <c r="F1695">
        <v>0</v>
      </c>
      <c r="G1695">
        <v>0.4</v>
      </c>
      <c r="H1695">
        <v>0.44</v>
      </c>
      <c r="I1695" t="s">
        <v>24</v>
      </c>
      <c r="J1695">
        <v>117640</v>
      </c>
      <c r="K1695" t="s">
        <v>25</v>
      </c>
      <c r="L1695">
        <v>43</v>
      </c>
      <c r="M1695">
        <v>37</v>
      </c>
      <c r="N1695" t="s">
        <v>42</v>
      </c>
      <c r="O1695" t="s">
        <v>27</v>
      </c>
      <c r="P1695">
        <v>2.75</v>
      </c>
      <c r="Q1695" t="s">
        <v>34</v>
      </c>
      <c r="R1695">
        <v>3.49</v>
      </c>
      <c r="S1695" t="s">
        <v>28</v>
      </c>
      <c r="T1695" t="str">
        <f t="shared" si="52"/>
        <v>High</v>
      </c>
      <c r="U1695" t="str">
        <f t="shared" si="53"/>
        <v>Beginner</v>
      </c>
    </row>
    <row r="1696" spans="1:21" x14ac:dyDescent="0.35">
      <c r="A1696" t="s">
        <v>1769</v>
      </c>
      <c r="B1696" t="s">
        <v>57</v>
      </c>
      <c r="C1696" t="s">
        <v>31</v>
      </c>
      <c r="D1696" t="s">
        <v>59</v>
      </c>
      <c r="E1696" t="s">
        <v>70</v>
      </c>
      <c r="F1696">
        <v>12</v>
      </c>
      <c r="G1696">
        <v>0.49</v>
      </c>
      <c r="H1696">
        <v>0.88</v>
      </c>
      <c r="I1696" t="s">
        <v>34</v>
      </c>
      <c r="J1696">
        <v>146607</v>
      </c>
      <c r="K1696" t="s">
        <v>25</v>
      </c>
      <c r="L1696">
        <v>41</v>
      </c>
      <c r="M1696">
        <v>49</v>
      </c>
      <c r="N1696" t="s">
        <v>42</v>
      </c>
      <c r="O1696" t="s">
        <v>36</v>
      </c>
      <c r="P1696">
        <v>3.42</v>
      </c>
      <c r="Q1696" t="s">
        <v>24</v>
      </c>
      <c r="R1696">
        <v>3.88</v>
      </c>
      <c r="S1696" t="s">
        <v>47</v>
      </c>
      <c r="T1696" t="str">
        <f t="shared" si="52"/>
        <v>High</v>
      </c>
      <c r="U1696" t="str">
        <f t="shared" si="53"/>
        <v>Experienced</v>
      </c>
    </row>
    <row r="1697" spans="1:21" x14ac:dyDescent="0.35">
      <c r="A1697" t="s">
        <v>1770</v>
      </c>
      <c r="B1697" t="s">
        <v>102</v>
      </c>
      <c r="C1697" t="s">
        <v>74</v>
      </c>
      <c r="D1697" t="s">
        <v>32</v>
      </c>
      <c r="E1697" t="s">
        <v>41</v>
      </c>
      <c r="F1697">
        <v>8</v>
      </c>
      <c r="G1697">
        <v>0.95</v>
      </c>
      <c r="H1697">
        <v>0.48</v>
      </c>
      <c r="I1697" t="s">
        <v>60</v>
      </c>
      <c r="J1697">
        <v>132546</v>
      </c>
      <c r="K1697" t="s">
        <v>27</v>
      </c>
      <c r="L1697">
        <v>-5</v>
      </c>
      <c r="M1697">
        <v>53</v>
      </c>
      <c r="N1697" t="s">
        <v>35</v>
      </c>
      <c r="O1697" t="s">
        <v>25</v>
      </c>
      <c r="P1697">
        <v>4.74</v>
      </c>
      <c r="Q1697" t="s">
        <v>24</v>
      </c>
      <c r="R1697">
        <v>2.16</v>
      </c>
      <c r="S1697" t="s">
        <v>47</v>
      </c>
      <c r="T1697" t="str">
        <f t="shared" si="52"/>
        <v>Very Low</v>
      </c>
      <c r="U1697" t="str">
        <f t="shared" si="53"/>
        <v>Intermediate</v>
      </c>
    </row>
    <row r="1698" spans="1:21" x14ac:dyDescent="0.35">
      <c r="A1698" t="s">
        <v>1771</v>
      </c>
      <c r="B1698" t="s">
        <v>45</v>
      </c>
      <c r="C1698" t="s">
        <v>55</v>
      </c>
      <c r="D1698" t="s">
        <v>63</v>
      </c>
      <c r="E1698" t="s">
        <v>70</v>
      </c>
      <c r="F1698">
        <v>3</v>
      </c>
      <c r="G1698">
        <v>0.86</v>
      </c>
      <c r="H1698">
        <v>0.47</v>
      </c>
      <c r="I1698" t="s">
        <v>24</v>
      </c>
      <c r="J1698">
        <v>96346</v>
      </c>
      <c r="K1698" t="s">
        <v>25</v>
      </c>
      <c r="L1698">
        <v>33</v>
      </c>
      <c r="M1698">
        <v>36</v>
      </c>
      <c r="N1698" t="s">
        <v>42</v>
      </c>
      <c r="O1698" t="s">
        <v>36</v>
      </c>
      <c r="P1698">
        <v>3.08</v>
      </c>
      <c r="Q1698" t="s">
        <v>24</v>
      </c>
      <c r="R1698">
        <v>1.56</v>
      </c>
      <c r="S1698" t="s">
        <v>43</v>
      </c>
      <c r="T1698" t="str">
        <f t="shared" si="52"/>
        <v>Very Low</v>
      </c>
      <c r="U1698" t="str">
        <f t="shared" si="53"/>
        <v>Intermediate</v>
      </c>
    </row>
    <row r="1699" spans="1:21" x14ac:dyDescent="0.35">
      <c r="A1699" t="s">
        <v>1772</v>
      </c>
      <c r="B1699" t="s">
        <v>68</v>
      </c>
      <c r="C1699" t="s">
        <v>74</v>
      </c>
      <c r="D1699" t="s">
        <v>49</v>
      </c>
      <c r="E1699" t="s">
        <v>33</v>
      </c>
      <c r="F1699">
        <v>18</v>
      </c>
      <c r="G1699">
        <v>0.55000000000000004</v>
      </c>
      <c r="H1699">
        <v>0.55000000000000004</v>
      </c>
      <c r="I1699" t="s">
        <v>24</v>
      </c>
      <c r="J1699">
        <v>190595</v>
      </c>
      <c r="K1699" t="s">
        <v>27</v>
      </c>
      <c r="L1699">
        <v>11</v>
      </c>
      <c r="M1699">
        <v>35</v>
      </c>
      <c r="N1699" t="s">
        <v>26</v>
      </c>
      <c r="O1699" t="s">
        <v>36</v>
      </c>
      <c r="P1699">
        <v>3.78</v>
      </c>
      <c r="Q1699" t="s">
        <v>24</v>
      </c>
      <c r="R1699">
        <v>1.34</v>
      </c>
      <c r="S1699" t="s">
        <v>28</v>
      </c>
      <c r="T1699" t="str">
        <f t="shared" si="52"/>
        <v>Moderate</v>
      </c>
      <c r="U1699" t="str">
        <f t="shared" si="53"/>
        <v>Expert</v>
      </c>
    </row>
    <row r="1700" spans="1:21" x14ac:dyDescent="0.35">
      <c r="A1700" t="s">
        <v>1773</v>
      </c>
      <c r="B1700" t="s">
        <v>65</v>
      </c>
      <c r="C1700" t="s">
        <v>21</v>
      </c>
      <c r="D1700" t="s">
        <v>66</v>
      </c>
      <c r="E1700" t="s">
        <v>41</v>
      </c>
      <c r="F1700">
        <v>9</v>
      </c>
      <c r="G1700">
        <v>0.56000000000000005</v>
      </c>
      <c r="H1700">
        <v>0.92</v>
      </c>
      <c r="I1700" t="s">
        <v>24</v>
      </c>
      <c r="J1700">
        <v>100866</v>
      </c>
      <c r="K1700" t="s">
        <v>25</v>
      </c>
      <c r="L1700">
        <v>3</v>
      </c>
      <c r="M1700">
        <v>56</v>
      </c>
      <c r="N1700" t="s">
        <v>26</v>
      </c>
      <c r="O1700" t="s">
        <v>36</v>
      </c>
      <c r="P1700">
        <v>4.08</v>
      </c>
      <c r="Q1700" t="s">
        <v>34</v>
      </c>
      <c r="R1700">
        <v>4.6100000000000003</v>
      </c>
      <c r="S1700" t="s">
        <v>28</v>
      </c>
      <c r="T1700" t="str">
        <f t="shared" si="52"/>
        <v>High</v>
      </c>
      <c r="U1700" t="str">
        <f t="shared" si="53"/>
        <v>Experienced</v>
      </c>
    </row>
    <row r="1701" spans="1:21" x14ac:dyDescent="0.35">
      <c r="A1701" t="s">
        <v>1774</v>
      </c>
      <c r="B1701" t="s">
        <v>51</v>
      </c>
      <c r="C1701" t="s">
        <v>58</v>
      </c>
      <c r="D1701" t="s">
        <v>40</v>
      </c>
      <c r="E1701" t="s">
        <v>23</v>
      </c>
      <c r="F1701">
        <v>9</v>
      </c>
      <c r="G1701">
        <v>0.34</v>
      </c>
      <c r="H1701">
        <v>0.2</v>
      </c>
      <c r="I1701" t="s">
        <v>24</v>
      </c>
      <c r="J1701">
        <v>61642</v>
      </c>
      <c r="K1701" t="s">
        <v>25</v>
      </c>
      <c r="L1701">
        <v>-7</v>
      </c>
      <c r="M1701">
        <v>49</v>
      </c>
      <c r="N1701" t="s">
        <v>26</v>
      </c>
      <c r="O1701" t="s">
        <v>27</v>
      </c>
      <c r="P1701">
        <v>2.91</v>
      </c>
      <c r="Q1701" t="s">
        <v>34</v>
      </c>
      <c r="R1701">
        <v>2.74</v>
      </c>
      <c r="S1701" t="s">
        <v>28</v>
      </c>
      <c r="T1701" t="str">
        <f t="shared" si="52"/>
        <v>Moderate</v>
      </c>
      <c r="U1701" t="str">
        <f t="shared" si="53"/>
        <v>Experienced</v>
      </c>
    </row>
    <row r="1702" spans="1:21" x14ac:dyDescent="0.35">
      <c r="A1702" t="s">
        <v>1775</v>
      </c>
      <c r="B1702" t="s">
        <v>68</v>
      </c>
      <c r="C1702" t="s">
        <v>39</v>
      </c>
      <c r="D1702" t="s">
        <v>69</v>
      </c>
      <c r="E1702" t="s">
        <v>23</v>
      </c>
      <c r="F1702">
        <v>21</v>
      </c>
      <c r="G1702">
        <v>0.54</v>
      </c>
      <c r="H1702">
        <v>0.56999999999999995</v>
      </c>
      <c r="I1702" t="s">
        <v>34</v>
      </c>
      <c r="J1702">
        <v>187249</v>
      </c>
      <c r="K1702" t="s">
        <v>27</v>
      </c>
      <c r="L1702">
        <v>-4</v>
      </c>
      <c r="M1702">
        <v>59</v>
      </c>
      <c r="N1702" t="s">
        <v>42</v>
      </c>
      <c r="O1702" t="s">
        <v>36</v>
      </c>
      <c r="P1702">
        <v>4.87</v>
      </c>
      <c r="Q1702" t="s">
        <v>24</v>
      </c>
      <c r="R1702">
        <v>4.9800000000000004</v>
      </c>
      <c r="S1702" t="s">
        <v>43</v>
      </c>
      <c r="T1702" t="str">
        <f t="shared" si="52"/>
        <v>High</v>
      </c>
      <c r="U1702" t="str">
        <f t="shared" si="53"/>
        <v>Expert</v>
      </c>
    </row>
    <row r="1703" spans="1:21" x14ac:dyDescent="0.35">
      <c r="A1703" t="s">
        <v>1776</v>
      </c>
      <c r="B1703" t="s">
        <v>30</v>
      </c>
      <c r="C1703" t="s">
        <v>82</v>
      </c>
      <c r="D1703" t="s">
        <v>59</v>
      </c>
      <c r="E1703" t="s">
        <v>41</v>
      </c>
      <c r="F1703">
        <v>11</v>
      </c>
      <c r="G1703">
        <v>0.14000000000000001</v>
      </c>
      <c r="H1703">
        <v>0.35</v>
      </c>
      <c r="I1703" t="s">
        <v>34</v>
      </c>
      <c r="J1703">
        <v>165628</v>
      </c>
      <c r="K1703" t="s">
        <v>27</v>
      </c>
      <c r="L1703">
        <v>39</v>
      </c>
      <c r="M1703">
        <v>35</v>
      </c>
      <c r="N1703" t="s">
        <v>35</v>
      </c>
      <c r="O1703" t="s">
        <v>36</v>
      </c>
      <c r="P1703">
        <v>2.5499999999999998</v>
      </c>
      <c r="Q1703" t="s">
        <v>34</v>
      </c>
      <c r="R1703">
        <v>4.74</v>
      </c>
      <c r="S1703" t="s">
        <v>47</v>
      </c>
      <c r="T1703" t="str">
        <f t="shared" si="52"/>
        <v>High</v>
      </c>
      <c r="U1703" t="str">
        <f t="shared" si="53"/>
        <v>Experienced</v>
      </c>
    </row>
    <row r="1704" spans="1:21" x14ac:dyDescent="0.35">
      <c r="A1704" t="s">
        <v>1777</v>
      </c>
      <c r="B1704" t="s">
        <v>57</v>
      </c>
      <c r="C1704" t="s">
        <v>82</v>
      </c>
      <c r="D1704" t="s">
        <v>75</v>
      </c>
      <c r="E1704" t="s">
        <v>33</v>
      </c>
      <c r="F1704">
        <v>10</v>
      </c>
      <c r="G1704">
        <v>0.9</v>
      </c>
      <c r="H1704">
        <v>0.57999999999999996</v>
      </c>
      <c r="I1704" t="s">
        <v>24</v>
      </c>
      <c r="J1704">
        <v>51410</v>
      </c>
      <c r="K1704" t="s">
        <v>42</v>
      </c>
      <c r="L1704">
        <v>0</v>
      </c>
      <c r="M1704">
        <v>37</v>
      </c>
      <c r="N1704" t="s">
        <v>26</v>
      </c>
      <c r="O1704" t="s">
        <v>36</v>
      </c>
      <c r="P1704">
        <v>3.32</v>
      </c>
      <c r="Q1704" t="s">
        <v>24</v>
      </c>
      <c r="R1704">
        <v>4.25</v>
      </c>
      <c r="S1704" t="s">
        <v>43</v>
      </c>
      <c r="T1704" t="str">
        <f t="shared" si="52"/>
        <v>Moderate</v>
      </c>
      <c r="U1704" t="str">
        <f t="shared" si="53"/>
        <v>Experienced</v>
      </c>
    </row>
    <row r="1705" spans="1:21" x14ac:dyDescent="0.35">
      <c r="A1705" t="s">
        <v>1778</v>
      </c>
      <c r="B1705" t="s">
        <v>38</v>
      </c>
      <c r="C1705" t="s">
        <v>55</v>
      </c>
      <c r="D1705" t="s">
        <v>49</v>
      </c>
      <c r="E1705" t="s">
        <v>23</v>
      </c>
      <c r="F1705">
        <v>22</v>
      </c>
      <c r="G1705">
        <v>0.64</v>
      </c>
      <c r="H1705">
        <v>0.7</v>
      </c>
      <c r="I1705" t="s">
        <v>34</v>
      </c>
      <c r="J1705">
        <v>203307</v>
      </c>
      <c r="K1705" t="s">
        <v>42</v>
      </c>
      <c r="L1705">
        <v>9</v>
      </c>
      <c r="M1705">
        <v>31</v>
      </c>
      <c r="N1705" t="s">
        <v>26</v>
      </c>
      <c r="O1705" t="s">
        <v>27</v>
      </c>
      <c r="P1705">
        <v>4.63</v>
      </c>
      <c r="Q1705" t="s">
        <v>34</v>
      </c>
      <c r="R1705">
        <v>2.95</v>
      </c>
      <c r="S1705" t="s">
        <v>47</v>
      </c>
      <c r="T1705" t="str">
        <f t="shared" si="52"/>
        <v>High</v>
      </c>
      <c r="U1705" t="str">
        <f t="shared" si="53"/>
        <v>Expert</v>
      </c>
    </row>
    <row r="1706" spans="1:21" x14ac:dyDescent="0.35">
      <c r="A1706" t="s">
        <v>1779</v>
      </c>
      <c r="B1706" t="s">
        <v>73</v>
      </c>
      <c r="C1706" t="s">
        <v>58</v>
      </c>
      <c r="D1706" t="s">
        <v>59</v>
      </c>
      <c r="E1706" t="s">
        <v>33</v>
      </c>
      <c r="F1706">
        <v>22</v>
      </c>
      <c r="G1706">
        <v>0.21</v>
      </c>
      <c r="H1706">
        <v>0.43</v>
      </c>
      <c r="I1706" t="s">
        <v>24</v>
      </c>
      <c r="J1706">
        <v>210394</v>
      </c>
      <c r="K1706" t="s">
        <v>42</v>
      </c>
      <c r="L1706">
        <v>44</v>
      </c>
      <c r="M1706">
        <v>32</v>
      </c>
      <c r="N1706" t="s">
        <v>35</v>
      </c>
      <c r="O1706" t="s">
        <v>27</v>
      </c>
      <c r="P1706">
        <v>4.0199999999999996</v>
      </c>
      <c r="Q1706" t="s">
        <v>34</v>
      </c>
      <c r="R1706">
        <v>4.87</v>
      </c>
      <c r="S1706" t="s">
        <v>47</v>
      </c>
      <c r="T1706" t="str">
        <f t="shared" si="52"/>
        <v>High</v>
      </c>
      <c r="U1706" t="str">
        <f t="shared" si="53"/>
        <v>Expert</v>
      </c>
    </row>
    <row r="1707" spans="1:21" x14ac:dyDescent="0.35">
      <c r="A1707" t="s">
        <v>1780</v>
      </c>
      <c r="B1707" t="s">
        <v>94</v>
      </c>
      <c r="C1707" t="s">
        <v>55</v>
      </c>
      <c r="D1707" t="s">
        <v>22</v>
      </c>
      <c r="E1707" t="s">
        <v>33</v>
      </c>
      <c r="F1707">
        <v>18</v>
      </c>
      <c r="G1707">
        <v>0.44</v>
      </c>
      <c r="H1707">
        <v>0.43</v>
      </c>
      <c r="I1707" t="s">
        <v>24</v>
      </c>
      <c r="J1707">
        <v>46968</v>
      </c>
      <c r="K1707" t="s">
        <v>42</v>
      </c>
      <c r="L1707">
        <v>44</v>
      </c>
      <c r="M1707">
        <v>43</v>
      </c>
      <c r="N1707" t="s">
        <v>26</v>
      </c>
      <c r="O1707" t="s">
        <v>27</v>
      </c>
      <c r="P1707">
        <v>4.1399999999999997</v>
      </c>
      <c r="Q1707" t="s">
        <v>34</v>
      </c>
      <c r="R1707">
        <v>3.8</v>
      </c>
      <c r="S1707" t="s">
        <v>47</v>
      </c>
      <c r="T1707" t="str">
        <f t="shared" si="52"/>
        <v>Moderate</v>
      </c>
      <c r="U1707" t="str">
        <f t="shared" si="53"/>
        <v>Expert</v>
      </c>
    </row>
    <row r="1708" spans="1:21" x14ac:dyDescent="0.35">
      <c r="A1708" t="s">
        <v>1781</v>
      </c>
      <c r="B1708" t="s">
        <v>51</v>
      </c>
      <c r="C1708" t="s">
        <v>107</v>
      </c>
      <c r="D1708" t="s">
        <v>80</v>
      </c>
      <c r="E1708" t="s">
        <v>23</v>
      </c>
      <c r="F1708">
        <v>16</v>
      </c>
      <c r="G1708">
        <v>0.87</v>
      </c>
      <c r="H1708">
        <v>0.71</v>
      </c>
      <c r="I1708" t="s">
        <v>24</v>
      </c>
      <c r="J1708">
        <v>205798</v>
      </c>
      <c r="K1708" t="s">
        <v>42</v>
      </c>
      <c r="L1708">
        <v>37</v>
      </c>
      <c r="M1708">
        <v>59</v>
      </c>
      <c r="N1708" t="s">
        <v>35</v>
      </c>
      <c r="O1708" t="s">
        <v>36</v>
      </c>
      <c r="P1708">
        <v>2.54</v>
      </c>
      <c r="Q1708" t="s">
        <v>24</v>
      </c>
      <c r="R1708">
        <v>2.41</v>
      </c>
      <c r="S1708" t="s">
        <v>43</v>
      </c>
      <c r="T1708" t="str">
        <f t="shared" si="52"/>
        <v>Moderate</v>
      </c>
      <c r="U1708" t="str">
        <f t="shared" si="53"/>
        <v>Expert</v>
      </c>
    </row>
    <row r="1709" spans="1:21" x14ac:dyDescent="0.35">
      <c r="A1709" t="s">
        <v>1782</v>
      </c>
      <c r="B1709" t="s">
        <v>38</v>
      </c>
      <c r="C1709" t="s">
        <v>46</v>
      </c>
      <c r="D1709" t="s">
        <v>32</v>
      </c>
      <c r="E1709" t="s">
        <v>41</v>
      </c>
      <c r="F1709">
        <v>20</v>
      </c>
      <c r="G1709">
        <v>0.26</v>
      </c>
      <c r="H1709">
        <v>0.85</v>
      </c>
      <c r="I1709" t="s">
        <v>24</v>
      </c>
      <c r="J1709">
        <v>141773</v>
      </c>
      <c r="K1709" t="s">
        <v>42</v>
      </c>
      <c r="L1709">
        <v>5</v>
      </c>
      <c r="M1709">
        <v>39</v>
      </c>
      <c r="N1709" t="s">
        <v>26</v>
      </c>
      <c r="O1709" t="s">
        <v>36</v>
      </c>
      <c r="P1709">
        <v>4.16</v>
      </c>
      <c r="Q1709" t="s">
        <v>34</v>
      </c>
      <c r="R1709">
        <v>1.03</v>
      </c>
      <c r="S1709" t="s">
        <v>43</v>
      </c>
      <c r="T1709" t="str">
        <f t="shared" si="52"/>
        <v>Very High</v>
      </c>
      <c r="U1709" t="str">
        <f t="shared" si="53"/>
        <v>Expert</v>
      </c>
    </row>
    <row r="1710" spans="1:21" x14ac:dyDescent="0.35">
      <c r="A1710" t="s">
        <v>1783</v>
      </c>
      <c r="B1710" t="s">
        <v>38</v>
      </c>
      <c r="C1710" t="s">
        <v>31</v>
      </c>
      <c r="D1710" t="s">
        <v>22</v>
      </c>
      <c r="E1710" t="s">
        <v>23</v>
      </c>
      <c r="F1710">
        <v>6</v>
      </c>
      <c r="G1710">
        <v>0.06</v>
      </c>
      <c r="H1710">
        <v>0.64</v>
      </c>
      <c r="I1710" t="s">
        <v>34</v>
      </c>
      <c r="J1710">
        <v>107996</v>
      </c>
      <c r="K1710" t="s">
        <v>42</v>
      </c>
      <c r="L1710">
        <v>14</v>
      </c>
      <c r="M1710">
        <v>46</v>
      </c>
      <c r="N1710" t="s">
        <v>42</v>
      </c>
      <c r="O1710" t="s">
        <v>27</v>
      </c>
      <c r="P1710">
        <v>4.87</v>
      </c>
      <c r="Q1710" t="s">
        <v>24</v>
      </c>
      <c r="R1710">
        <v>4.07</v>
      </c>
      <c r="S1710" t="s">
        <v>47</v>
      </c>
      <c r="T1710" t="str">
        <f t="shared" si="52"/>
        <v>High</v>
      </c>
      <c r="U1710" t="str">
        <f t="shared" si="53"/>
        <v>Intermediate</v>
      </c>
    </row>
    <row r="1711" spans="1:21" x14ac:dyDescent="0.35">
      <c r="A1711" t="s">
        <v>1784</v>
      </c>
      <c r="B1711" t="s">
        <v>54</v>
      </c>
      <c r="C1711" t="s">
        <v>74</v>
      </c>
      <c r="D1711" t="s">
        <v>66</v>
      </c>
      <c r="E1711" t="s">
        <v>33</v>
      </c>
      <c r="F1711">
        <v>5</v>
      </c>
      <c r="G1711">
        <v>0.6</v>
      </c>
      <c r="H1711">
        <v>0.85</v>
      </c>
      <c r="I1711" t="s">
        <v>34</v>
      </c>
      <c r="J1711">
        <v>174820</v>
      </c>
      <c r="K1711" t="s">
        <v>27</v>
      </c>
      <c r="L1711">
        <v>11</v>
      </c>
      <c r="M1711">
        <v>40</v>
      </c>
      <c r="N1711" t="s">
        <v>35</v>
      </c>
      <c r="O1711" t="s">
        <v>25</v>
      </c>
      <c r="P1711">
        <v>4.45</v>
      </c>
      <c r="Q1711" t="s">
        <v>24</v>
      </c>
      <c r="R1711">
        <v>3.83</v>
      </c>
      <c r="S1711" t="s">
        <v>28</v>
      </c>
      <c r="T1711" t="str">
        <f t="shared" si="52"/>
        <v>High</v>
      </c>
      <c r="U1711" t="str">
        <f t="shared" si="53"/>
        <v>Intermediate</v>
      </c>
    </row>
    <row r="1712" spans="1:21" x14ac:dyDescent="0.35">
      <c r="A1712" t="s">
        <v>1785</v>
      </c>
      <c r="B1712" t="s">
        <v>68</v>
      </c>
      <c r="C1712" t="s">
        <v>21</v>
      </c>
      <c r="D1712" t="s">
        <v>75</v>
      </c>
      <c r="E1712" t="s">
        <v>23</v>
      </c>
      <c r="F1712">
        <v>15</v>
      </c>
      <c r="G1712">
        <v>0.42</v>
      </c>
      <c r="H1712">
        <v>0.72</v>
      </c>
      <c r="I1712" t="s">
        <v>34</v>
      </c>
      <c r="J1712">
        <v>122900</v>
      </c>
      <c r="K1712" t="s">
        <v>42</v>
      </c>
      <c r="L1712">
        <v>-4</v>
      </c>
      <c r="M1712">
        <v>51</v>
      </c>
      <c r="N1712" t="s">
        <v>35</v>
      </c>
      <c r="O1712" t="s">
        <v>36</v>
      </c>
      <c r="P1712">
        <v>2.69</v>
      </c>
      <c r="Q1712" t="s">
        <v>34</v>
      </c>
      <c r="R1712">
        <v>3.94</v>
      </c>
      <c r="S1712" t="s">
        <v>47</v>
      </c>
      <c r="T1712" t="str">
        <f t="shared" si="52"/>
        <v>High</v>
      </c>
      <c r="U1712" t="str">
        <f t="shared" si="53"/>
        <v>Experienced</v>
      </c>
    </row>
    <row r="1713" spans="1:21" x14ac:dyDescent="0.35">
      <c r="A1713" t="s">
        <v>1786</v>
      </c>
      <c r="B1713" t="s">
        <v>106</v>
      </c>
      <c r="C1713" t="s">
        <v>39</v>
      </c>
      <c r="D1713" t="s">
        <v>66</v>
      </c>
      <c r="E1713" t="s">
        <v>33</v>
      </c>
      <c r="F1713">
        <v>13</v>
      </c>
      <c r="G1713">
        <v>0.5</v>
      </c>
      <c r="H1713">
        <v>0.93</v>
      </c>
      <c r="I1713" t="s">
        <v>60</v>
      </c>
      <c r="J1713">
        <v>67319</v>
      </c>
      <c r="K1713" t="s">
        <v>42</v>
      </c>
      <c r="L1713">
        <v>43</v>
      </c>
      <c r="M1713">
        <v>46</v>
      </c>
      <c r="N1713" t="s">
        <v>42</v>
      </c>
      <c r="O1713" t="s">
        <v>25</v>
      </c>
      <c r="P1713">
        <v>4.9800000000000004</v>
      </c>
      <c r="Q1713" t="s">
        <v>24</v>
      </c>
      <c r="R1713">
        <v>4.53</v>
      </c>
      <c r="S1713" t="s">
        <v>28</v>
      </c>
      <c r="T1713" t="str">
        <f t="shared" si="52"/>
        <v>High</v>
      </c>
      <c r="U1713" t="str">
        <f t="shared" si="53"/>
        <v>Experienced</v>
      </c>
    </row>
    <row r="1714" spans="1:21" x14ac:dyDescent="0.35">
      <c r="A1714" t="s">
        <v>1787</v>
      </c>
      <c r="B1714" t="s">
        <v>77</v>
      </c>
      <c r="C1714" t="s">
        <v>46</v>
      </c>
      <c r="D1714" t="s">
        <v>59</v>
      </c>
      <c r="E1714" t="s">
        <v>70</v>
      </c>
      <c r="F1714">
        <v>9</v>
      </c>
      <c r="G1714">
        <v>0.12</v>
      </c>
      <c r="H1714">
        <v>0.25</v>
      </c>
      <c r="I1714" t="s">
        <v>60</v>
      </c>
      <c r="J1714">
        <v>167973</v>
      </c>
      <c r="K1714" t="s">
        <v>42</v>
      </c>
      <c r="L1714">
        <v>37</v>
      </c>
      <c r="M1714">
        <v>51</v>
      </c>
      <c r="N1714" t="s">
        <v>26</v>
      </c>
      <c r="O1714" t="s">
        <v>36</v>
      </c>
      <c r="P1714">
        <v>4.63</v>
      </c>
      <c r="Q1714" t="s">
        <v>24</v>
      </c>
      <c r="R1714">
        <v>1.28</v>
      </c>
      <c r="S1714" t="s">
        <v>47</v>
      </c>
      <c r="T1714" t="str">
        <f t="shared" si="52"/>
        <v>High</v>
      </c>
      <c r="U1714" t="str">
        <f t="shared" si="53"/>
        <v>Experienced</v>
      </c>
    </row>
    <row r="1715" spans="1:21" x14ac:dyDescent="0.35">
      <c r="A1715" t="s">
        <v>1788</v>
      </c>
      <c r="B1715" t="s">
        <v>62</v>
      </c>
      <c r="C1715" t="s">
        <v>46</v>
      </c>
      <c r="D1715" t="s">
        <v>59</v>
      </c>
      <c r="E1715" t="s">
        <v>33</v>
      </c>
      <c r="F1715">
        <v>3</v>
      </c>
      <c r="G1715">
        <v>0.85</v>
      </c>
      <c r="H1715">
        <v>0.37</v>
      </c>
      <c r="I1715" t="s">
        <v>24</v>
      </c>
      <c r="J1715">
        <v>52984</v>
      </c>
      <c r="K1715" t="s">
        <v>27</v>
      </c>
      <c r="L1715">
        <v>22</v>
      </c>
      <c r="M1715">
        <v>42</v>
      </c>
      <c r="N1715" t="s">
        <v>35</v>
      </c>
      <c r="O1715" t="s">
        <v>25</v>
      </c>
      <c r="P1715">
        <v>2.16</v>
      </c>
      <c r="Q1715" t="s">
        <v>34</v>
      </c>
      <c r="R1715">
        <v>3.93</v>
      </c>
      <c r="S1715" t="s">
        <v>43</v>
      </c>
      <c r="T1715" t="str">
        <f t="shared" si="52"/>
        <v>Very Low</v>
      </c>
      <c r="U1715" t="str">
        <f t="shared" si="53"/>
        <v>Intermediate</v>
      </c>
    </row>
    <row r="1716" spans="1:21" x14ac:dyDescent="0.35">
      <c r="A1716" t="s">
        <v>1789</v>
      </c>
      <c r="B1716" t="s">
        <v>94</v>
      </c>
      <c r="C1716" t="s">
        <v>31</v>
      </c>
      <c r="D1716" t="s">
        <v>80</v>
      </c>
      <c r="E1716" t="s">
        <v>70</v>
      </c>
      <c r="F1716">
        <v>22</v>
      </c>
      <c r="G1716">
        <v>0.14000000000000001</v>
      </c>
      <c r="H1716">
        <v>0.83</v>
      </c>
      <c r="I1716" t="s">
        <v>24</v>
      </c>
      <c r="J1716">
        <v>93820</v>
      </c>
      <c r="K1716" t="s">
        <v>27</v>
      </c>
      <c r="L1716">
        <v>-8</v>
      </c>
      <c r="M1716">
        <v>59</v>
      </c>
      <c r="N1716" t="s">
        <v>35</v>
      </c>
      <c r="O1716" t="s">
        <v>25</v>
      </c>
      <c r="P1716">
        <v>2.2000000000000002</v>
      </c>
      <c r="Q1716" t="s">
        <v>24</v>
      </c>
      <c r="R1716">
        <v>2.2200000000000002</v>
      </c>
      <c r="S1716" t="s">
        <v>28</v>
      </c>
      <c r="T1716" t="str">
        <f t="shared" si="52"/>
        <v>Very High</v>
      </c>
      <c r="U1716" t="str">
        <f t="shared" si="53"/>
        <v>Expert</v>
      </c>
    </row>
    <row r="1717" spans="1:21" x14ac:dyDescent="0.35">
      <c r="A1717" t="s">
        <v>1790</v>
      </c>
      <c r="B1717" t="s">
        <v>94</v>
      </c>
      <c r="C1717" t="s">
        <v>55</v>
      </c>
      <c r="D1717" t="s">
        <v>49</v>
      </c>
      <c r="E1717" t="s">
        <v>23</v>
      </c>
      <c r="F1717">
        <v>20</v>
      </c>
      <c r="G1717">
        <v>0.52</v>
      </c>
      <c r="H1717">
        <v>0.97</v>
      </c>
      <c r="I1717" t="s">
        <v>60</v>
      </c>
      <c r="J1717">
        <v>46431</v>
      </c>
      <c r="K1717" t="s">
        <v>25</v>
      </c>
      <c r="L1717">
        <v>1</v>
      </c>
      <c r="M1717">
        <v>54</v>
      </c>
      <c r="N1717" t="s">
        <v>35</v>
      </c>
      <c r="O1717" t="s">
        <v>36</v>
      </c>
      <c r="P1717">
        <v>3.7</v>
      </c>
      <c r="Q1717" t="s">
        <v>34</v>
      </c>
      <c r="R1717">
        <v>4.45</v>
      </c>
      <c r="S1717" t="s">
        <v>47</v>
      </c>
      <c r="T1717" t="str">
        <f t="shared" si="52"/>
        <v>High</v>
      </c>
      <c r="U1717" t="str">
        <f t="shared" si="53"/>
        <v>Expert</v>
      </c>
    </row>
    <row r="1718" spans="1:21" x14ac:dyDescent="0.35">
      <c r="A1718" t="s">
        <v>1791</v>
      </c>
      <c r="B1718" t="s">
        <v>102</v>
      </c>
      <c r="C1718" t="s">
        <v>39</v>
      </c>
      <c r="D1718" t="s">
        <v>66</v>
      </c>
      <c r="E1718" t="s">
        <v>70</v>
      </c>
      <c r="F1718">
        <v>4</v>
      </c>
      <c r="G1718">
        <v>0.63</v>
      </c>
      <c r="H1718">
        <v>0.72</v>
      </c>
      <c r="I1718" t="s">
        <v>24</v>
      </c>
      <c r="J1718">
        <v>97059</v>
      </c>
      <c r="K1718" t="s">
        <v>25</v>
      </c>
      <c r="L1718">
        <v>16</v>
      </c>
      <c r="M1718">
        <v>41</v>
      </c>
      <c r="N1718" t="s">
        <v>35</v>
      </c>
      <c r="O1718" t="s">
        <v>25</v>
      </c>
      <c r="P1718">
        <v>4.41</v>
      </c>
      <c r="Q1718" t="s">
        <v>34</v>
      </c>
      <c r="R1718">
        <v>4.37</v>
      </c>
      <c r="S1718" t="s">
        <v>47</v>
      </c>
      <c r="T1718" t="str">
        <f t="shared" si="52"/>
        <v>High</v>
      </c>
      <c r="U1718" t="str">
        <f t="shared" si="53"/>
        <v>Intermediate</v>
      </c>
    </row>
    <row r="1719" spans="1:21" x14ac:dyDescent="0.35">
      <c r="A1719" t="s">
        <v>1792</v>
      </c>
      <c r="B1719" t="s">
        <v>30</v>
      </c>
      <c r="C1719" t="s">
        <v>107</v>
      </c>
      <c r="D1719" t="s">
        <v>22</v>
      </c>
      <c r="E1719" t="s">
        <v>70</v>
      </c>
      <c r="F1719">
        <v>4</v>
      </c>
      <c r="G1719">
        <v>0.23</v>
      </c>
      <c r="H1719">
        <v>0.39</v>
      </c>
      <c r="I1719" t="s">
        <v>24</v>
      </c>
      <c r="J1719">
        <v>126046</v>
      </c>
      <c r="K1719" t="s">
        <v>27</v>
      </c>
      <c r="L1719">
        <v>20</v>
      </c>
      <c r="M1719">
        <v>54</v>
      </c>
      <c r="N1719" t="s">
        <v>35</v>
      </c>
      <c r="O1719" t="s">
        <v>27</v>
      </c>
      <c r="P1719">
        <v>4.04</v>
      </c>
      <c r="Q1719" t="s">
        <v>24</v>
      </c>
      <c r="R1719">
        <v>3.39</v>
      </c>
      <c r="S1719" t="s">
        <v>43</v>
      </c>
      <c r="T1719" t="str">
        <f t="shared" si="52"/>
        <v>High</v>
      </c>
      <c r="U1719" t="str">
        <f t="shared" si="53"/>
        <v>Intermediate</v>
      </c>
    </row>
    <row r="1720" spans="1:21" x14ac:dyDescent="0.35">
      <c r="A1720" t="s">
        <v>1793</v>
      </c>
      <c r="B1720" t="s">
        <v>20</v>
      </c>
      <c r="C1720" t="s">
        <v>46</v>
      </c>
      <c r="D1720" t="s">
        <v>80</v>
      </c>
      <c r="E1720" t="s">
        <v>23</v>
      </c>
      <c r="F1720">
        <v>22</v>
      </c>
      <c r="G1720">
        <v>0.75</v>
      </c>
      <c r="H1720">
        <v>0.76</v>
      </c>
      <c r="I1720" t="s">
        <v>60</v>
      </c>
      <c r="J1720">
        <v>187262</v>
      </c>
      <c r="K1720" t="s">
        <v>42</v>
      </c>
      <c r="L1720">
        <v>21</v>
      </c>
      <c r="M1720">
        <v>43</v>
      </c>
      <c r="N1720" t="s">
        <v>42</v>
      </c>
      <c r="O1720" t="s">
        <v>27</v>
      </c>
      <c r="P1720">
        <v>3.31</v>
      </c>
      <c r="Q1720" t="s">
        <v>34</v>
      </c>
      <c r="R1720">
        <v>4.46</v>
      </c>
      <c r="S1720" t="s">
        <v>47</v>
      </c>
      <c r="T1720" t="str">
        <f t="shared" si="52"/>
        <v>High</v>
      </c>
      <c r="U1720" t="str">
        <f t="shared" si="53"/>
        <v>Expert</v>
      </c>
    </row>
    <row r="1721" spans="1:21" x14ac:dyDescent="0.35">
      <c r="A1721" t="s">
        <v>1794</v>
      </c>
      <c r="B1721" t="s">
        <v>57</v>
      </c>
      <c r="C1721" t="s">
        <v>46</v>
      </c>
      <c r="D1721" t="s">
        <v>49</v>
      </c>
      <c r="E1721" t="s">
        <v>33</v>
      </c>
      <c r="F1721">
        <v>1</v>
      </c>
      <c r="G1721">
        <v>0.53</v>
      </c>
      <c r="H1721">
        <v>0.62</v>
      </c>
      <c r="I1721" t="s">
        <v>34</v>
      </c>
      <c r="J1721">
        <v>180407</v>
      </c>
      <c r="K1721" t="s">
        <v>27</v>
      </c>
      <c r="L1721">
        <v>20</v>
      </c>
      <c r="M1721">
        <v>37</v>
      </c>
      <c r="N1721" t="s">
        <v>35</v>
      </c>
      <c r="O1721" t="s">
        <v>36</v>
      </c>
      <c r="P1721">
        <v>3.08</v>
      </c>
      <c r="Q1721" t="s">
        <v>34</v>
      </c>
      <c r="R1721">
        <v>2.2799999999999998</v>
      </c>
      <c r="S1721" t="s">
        <v>28</v>
      </c>
      <c r="T1721" t="str">
        <f t="shared" si="52"/>
        <v>High</v>
      </c>
      <c r="U1721" t="str">
        <f t="shared" si="53"/>
        <v>Beginner</v>
      </c>
    </row>
    <row r="1722" spans="1:21" x14ac:dyDescent="0.35">
      <c r="A1722" t="s">
        <v>1795</v>
      </c>
      <c r="B1722" t="s">
        <v>156</v>
      </c>
      <c r="C1722" t="s">
        <v>107</v>
      </c>
      <c r="D1722" t="s">
        <v>22</v>
      </c>
      <c r="E1722" t="s">
        <v>23</v>
      </c>
      <c r="F1722">
        <v>24</v>
      </c>
      <c r="G1722">
        <v>0.3</v>
      </c>
      <c r="H1722">
        <v>0.63</v>
      </c>
      <c r="I1722" t="s">
        <v>34</v>
      </c>
      <c r="J1722">
        <v>209723</v>
      </c>
      <c r="K1722" t="s">
        <v>27</v>
      </c>
      <c r="L1722">
        <v>33</v>
      </c>
      <c r="M1722">
        <v>31</v>
      </c>
      <c r="N1722" t="s">
        <v>35</v>
      </c>
      <c r="O1722" t="s">
        <v>27</v>
      </c>
      <c r="P1722">
        <v>3.9</v>
      </c>
      <c r="Q1722" t="s">
        <v>24</v>
      </c>
      <c r="R1722">
        <v>2.39</v>
      </c>
      <c r="S1722" t="s">
        <v>43</v>
      </c>
      <c r="T1722" t="str">
        <f t="shared" si="52"/>
        <v>High</v>
      </c>
      <c r="U1722" t="str">
        <f t="shared" si="53"/>
        <v>Expert</v>
      </c>
    </row>
    <row r="1723" spans="1:21" x14ac:dyDescent="0.35">
      <c r="A1723" t="s">
        <v>1796</v>
      </c>
      <c r="B1723" t="s">
        <v>30</v>
      </c>
      <c r="C1723" t="s">
        <v>39</v>
      </c>
      <c r="D1723" t="s">
        <v>69</v>
      </c>
      <c r="E1723" t="s">
        <v>33</v>
      </c>
      <c r="F1723">
        <v>1</v>
      </c>
      <c r="G1723">
        <v>0.15</v>
      </c>
      <c r="H1723">
        <v>0.98</v>
      </c>
      <c r="I1723" t="s">
        <v>34</v>
      </c>
      <c r="J1723">
        <v>197132</v>
      </c>
      <c r="K1723" t="s">
        <v>42</v>
      </c>
      <c r="L1723">
        <v>42</v>
      </c>
      <c r="M1723">
        <v>39</v>
      </c>
      <c r="N1723" t="s">
        <v>26</v>
      </c>
      <c r="O1723" t="s">
        <v>25</v>
      </c>
      <c r="P1723">
        <v>4.3</v>
      </c>
      <c r="Q1723" t="s">
        <v>24</v>
      </c>
      <c r="R1723">
        <v>2.79</v>
      </c>
      <c r="S1723" t="s">
        <v>28</v>
      </c>
      <c r="T1723" t="str">
        <f t="shared" si="52"/>
        <v>Very High</v>
      </c>
      <c r="U1723" t="str">
        <f t="shared" si="53"/>
        <v>Beginner</v>
      </c>
    </row>
    <row r="1724" spans="1:21" x14ac:dyDescent="0.35">
      <c r="A1724" t="s">
        <v>1797</v>
      </c>
      <c r="B1724" t="s">
        <v>156</v>
      </c>
      <c r="C1724" t="s">
        <v>82</v>
      </c>
      <c r="D1724" t="s">
        <v>75</v>
      </c>
      <c r="E1724" t="s">
        <v>23</v>
      </c>
      <c r="F1724">
        <v>20</v>
      </c>
      <c r="G1724">
        <v>0.33</v>
      </c>
      <c r="H1724">
        <v>0.53</v>
      </c>
      <c r="I1724" t="s">
        <v>24</v>
      </c>
      <c r="J1724">
        <v>149560</v>
      </c>
      <c r="K1724" t="s">
        <v>42</v>
      </c>
      <c r="L1724">
        <v>2</v>
      </c>
      <c r="M1724">
        <v>44</v>
      </c>
      <c r="N1724" t="s">
        <v>26</v>
      </c>
      <c r="O1724" t="s">
        <v>27</v>
      </c>
      <c r="P1724">
        <v>2.84</v>
      </c>
      <c r="Q1724" t="s">
        <v>24</v>
      </c>
      <c r="R1724">
        <v>3.75</v>
      </c>
      <c r="S1724" t="s">
        <v>43</v>
      </c>
      <c r="T1724" t="str">
        <f t="shared" si="52"/>
        <v>High</v>
      </c>
      <c r="U1724" t="str">
        <f t="shared" si="53"/>
        <v>Expert</v>
      </c>
    </row>
    <row r="1725" spans="1:21" x14ac:dyDescent="0.35">
      <c r="A1725" t="s">
        <v>1798</v>
      </c>
      <c r="B1725" t="s">
        <v>91</v>
      </c>
      <c r="C1725" t="s">
        <v>55</v>
      </c>
      <c r="D1725" t="s">
        <v>22</v>
      </c>
      <c r="E1725" t="s">
        <v>23</v>
      </c>
      <c r="F1725">
        <v>14</v>
      </c>
      <c r="G1725">
        <v>0.28999999999999998</v>
      </c>
      <c r="H1725">
        <v>0.94</v>
      </c>
      <c r="I1725" t="s">
        <v>34</v>
      </c>
      <c r="J1725">
        <v>39440</v>
      </c>
      <c r="K1725" t="s">
        <v>27</v>
      </c>
      <c r="L1725">
        <v>22</v>
      </c>
      <c r="M1725">
        <v>57</v>
      </c>
      <c r="N1725" t="s">
        <v>26</v>
      </c>
      <c r="O1725" t="s">
        <v>27</v>
      </c>
      <c r="P1725">
        <v>4.92</v>
      </c>
      <c r="Q1725" t="s">
        <v>24</v>
      </c>
      <c r="R1725">
        <v>3.58</v>
      </c>
      <c r="S1725" t="s">
        <v>28</v>
      </c>
      <c r="T1725" t="str">
        <f t="shared" si="52"/>
        <v>Very High</v>
      </c>
      <c r="U1725" t="str">
        <f t="shared" si="53"/>
        <v>Experienced</v>
      </c>
    </row>
    <row r="1726" spans="1:21" x14ac:dyDescent="0.35">
      <c r="A1726" t="s">
        <v>1799</v>
      </c>
      <c r="B1726" t="s">
        <v>54</v>
      </c>
      <c r="C1726" t="s">
        <v>58</v>
      </c>
      <c r="D1726" t="s">
        <v>22</v>
      </c>
      <c r="E1726" t="s">
        <v>70</v>
      </c>
      <c r="F1726">
        <v>15</v>
      </c>
      <c r="G1726">
        <v>0.75</v>
      </c>
      <c r="H1726">
        <v>0.74</v>
      </c>
      <c r="I1726" t="s">
        <v>24</v>
      </c>
      <c r="J1726">
        <v>32398</v>
      </c>
      <c r="K1726" t="s">
        <v>25</v>
      </c>
      <c r="L1726">
        <v>40</v>
      </c>
      <c r="M1726">
        <v>35</v>
      </c>
      <c r="N1726" t="s">
        <v>42</v>
      </c>
      <c r="O1726" t="s">
        <v>36</v>
      </c>
      <c r="P1726">
        <v>2.3199999999999998</v>
      </c>
      <c r="Q1726" t="s">
        <v>34</v>
      </c>
      <c r="R1726">
        <v>2.4700000000000002</v>
      </c>
      <c r="S1726" t="s">
        <v>43</v>
      </c>
      <c r="T1726" t="str">
        <f t="shared" si="52"/>
        <v>Moderate</v>
      </c>
      <c r="U1726" t="str">
        <f t="shared" si="53"/>
        <v>Experienced</v>
      </c>
    </row>
    <row r="1727" spans="1:21" x14ac:dyDescent="0.35">
      <c r="A1727" t="s">
        <v>1800</v>
      </c>
      <c r="B1727" t="s">
        <v>94</v>
      </c>
      <c r="C1727" t="s">
        <v>52</v>
      </c>
      <c r="D1727" t="s">
        <v>49</v>
      </c>
      <c r="E1727" t="s">
        <v>41</v>
      </c>
      <c r="F1727">
        <v>16</v>
      </c>
      <c r="G1727">
        <v>0.91</v>
      </c>
      <c r="H1727">
        <v>0.98</v>
      </c>
      <c r="I1727" t="s">
        <v>34</v>
      </c>
      <c r="J1727">
        <v>174690</v>
      </c>
      <c r="K1727" t="s">
        <v>42</v>
      </c>
      <c r="L1727">
        <v>7</v>
      </c>
      <c r="M1727">
        <v>34</v>
      </c>
      <c r="N1727" t="s">
        <v>42</v>
      </c>
      <c r="O1727" t="s">
        <v>25</v>
      </c>
      <c r="P1727">
        <v>4.3099999999999996</v>
      </c>
      <c r="Q1727" t="s">
        <v>34</v>
      </c>
      <c r="R1727">
        <v>4.29</v>
      </c>
      <c r="S1727" t="s">
        <v>43</v>
      </c>
      <c r="T1727" t="str">
        <f t="shared" si="52"/>
        <v>High</v>
      </c>
      <c r="U1727" t="str">
        <f t="shared" si="53"/>
        <v>Expert</v>
      </c>
    </row>
    <row r="1728" spans="1:21" x14ac:dyDescent="0.35">
      <c r="A1728" t="s">
        <v>1801</v>
      </c>
      <c r="B1728" t="s">
        <v>65</v>
      </c>
      <c r="C1728" t="s">
        <v>107</v>
      </c>
      <c r="D1728" t="s">
        <v>49</v>
      </c>
      <c r="E1728" t="s">
        <v>41</v>
      </c>
      <c r="F1728">
        <v>7</v>
      </c>
      <c r="G1728">
        <v>0.12</v>
      </c>
      <c r="H1728">
        <v>0.84</v>
      </c>
      <c r="I1728" t="s">
        <v>24</v>
      </c>
      <c r="J1728">
        <v>60794</v>
      </c>
      <c r="K1728" t="s">
        <v>25</v>
      </c>
      <c r="L1728">
        <v>10</v>
      </c>
      <c r="M1728">
        <v>44</v>
      </c>
      <c r="N1728" t="s">
        <v>35</v>
      </c>
      <c r="O1728" t="s">
        <v>27</v>
      </c>
      <c r="P1728">
        <v>2.86</v>
      </c>
      <c r="Q1728" t="s">
        <v>34</v>
      </c>
      <c r="R1728">
        <v>1.9</v>
      </c>
      <c r="S1728" t="s">
        <v>47</v>
      </c>
      <c r="T1728" t="str">
        <f t="shared" si="52"/>
        <v>Very High</v>
      </c>
      <c r="U1728" t="str">
        <f t="shared" si="53"/>
        <v>Intermediate</v>
      </c>
    </row>
    <row r="1729" spans="1:21" x14ac:dyDescent="0.35">
      <c r="A1729" t="s">
        <v>1802</v>
      </c>
      <c r="B1729" t="s">
        <v>89</v>
      </c>
      <c r="C1729" t="s">
        <v>31</v>
      </c>
      <c r="D1729" t="s">
        <v>22</v>
      </c>
      <c r="E1729" t="s">
        <v>41</v>
      </c>
      <c r="F1729">
        <v>24</v>
      </c>
      <c r="G1729">
        <v>0.43</v>
      </c>
      <c r="H1729">
        <v>0.62</v>
      </c>
      <c r="I1729" t="s">
        <v>24</v>
      </c>
      <c r="J1729">
        <v>190842</v>
      </c>
      <c r="K1729" t="s">
        <v>27</v>
      </c>
      <c r="L1729">
        <v>39</v>
      </c>
      <c r="M1729">
        <v>31</v>
      </c>
      <c r="N1729" t="s">
        <v>42</v>
      </c>
      <c r="O1729" t="s">
        <v>25</v>
      </c>
      <c r="P1729">
        <v>3.54</v>
      </c>
      <c r="Q1729" t="s">
        <v>24</v>
      </c>
      <c r="R1729">
        <v>4.21</v>
      </c>
      <c r="S1729" t="s">
        <v>43</v>
      </c>
      <c r="T1729" t="str">
        <f t="shared" si="52"/>
        <v>High</v>
      </c>
      <c r="U1729" t="str">
        <f t="shared" si="53"/>
        <v>Expert</v>
      </c>
    </row>
    <row r="1730" spans="1:21" x14ac:dyDescent="0.35">
      <c r="A1730" t="s">
        <v>1803</v>
      </c>
      <c r="B1730" t="s">
        <v>68</v>
      </c>
      <c r="C1730" t="s">
        <v>21</v>
      </c>
      <c r="D1730" t="s">
        <v>59</v>
      </c>
      <c r="E1730" t="s">
        <v>41</v>
      </c>
      <c r="F1730">
        <v>2</v>
      </c>
      <c r="G1730">
        <v>0.47</v>
      </c>
      <c r="H1730">
        <v>0.42</v>
      </c>
      <c r="I1730" t="s">
        <v>60</v>
      </c>
      <c r="J1730">
        <v>168253</v>
      </c>
      <c r="K1730" t="s">
        <v>42</v>
      </c>
      <c r="L1730">
        <v>39</v>
      </c>
      <c r="M1730">
        <v>39</v>
      </c>
      <c r="N1730" t="s">
        <v>35</v>
      </c>
      <c r="O1730" t="s">
        <v>25</v>
      </c>
      <c r="P1730">
        <v>2.74</v>
      </c>
      <c r="Q1730" t="s">
        <v>34</v>
      </c>
      <c r="R1730">
        <v>4.6900000000000004</v>
      </c>
      <c r="S1730" t="s">
        <v>28</v>
      </c>
      <c r="T1730" t="str">
        <f t="shared" si="52"/>
        <v>Moderate</v>
      </c>
      <c r="U1730" t="str">
        <f t="shared" si="53"/>
        <v>Beginner</v>
      </c>
    </row>
    <row r="1731" spans="1:21" x14ac:dyDescent="0.35">
      <c r="A1731" t="s">
        <v>1804</v>
      </c>
      <c r="B1731" t="s">
        <v>73</v>
      </c>
      <c r="C1731" t="s">
        <v>58</v>
      </c>
      <c r="D1731" t="s">
        <v>59</v>
      </c>
      <c r="E1731" t="s">
        <v>70</v>
      </c>
      <c r="F1731">
        <v>7</v>
      </c>
      <c r="G1731">
        <v>0.59</v>
      </c>
      <c r="H1731">
        <v>0.91</v>
      </c>
      <c r="I1731" t="s">
        <v>34</v>
      </c>
      <c r="J1731">
        <v>154421</v>
      </c>
      <c r="K1731" t="s">
        <v>42</v>
      </c>
      <c r="L1731">
        <v>2</v>
      </c>
      <c r="M1731">
        <v>53</v>
      </c>
      <c r="N1731" t="s">
        <v>35</v>
      </c>
      <c r="O1731" t="s">
        <v>36</v>
      </c>
      <c r="P1731">
        <v>4.66</v>
      </c>
      <c r="Q1731" t="s">
        <v>34</v>
      </c>
      <c r="R1731">
        <v>2.1800000000000002</v>
      </c>
      <c r="S1731" t="s">
        <v>28</v>
      </c>
      <c r="T1731" t="str">
        <f t="shared" ref="T1731:T1794" si="54">IF(AND(G1731&lt;0.4,H1731&gt;=0.7),"Very High",
IF(AND(G1731&gt;=0.7,H1731&lt;0.5),"Very Low",
IF(G1731&lt;H1731,"High","Moderate")))</f>
        <v>High</v>
      </c>
      <c r="U1731" t="str">
        <f t="shared" ref="U1731:U1794" si="55">_xlfn.IFS(F1731&lt;=2,"Beginner",F1731&lt;=8,"Intermediate",F1731&lt;=15,"Experienced",F1731&lt;=25,"Expert")</f>
        <v>Intermediate</v>
      </c>
    </row>
    <row r="1732" spans="1:21" x14ac:dyDescent="0.35">
      <c r="A1732" t="s">
        <v>1805</v>
      </c>
      <c r="B1732" t="s">
        <v>68</v>
      </c>
      <c r="C1732" t="s">
        <v>21</v>
      </c>
      <c r="D1732" t="s">
        <v>63</v>
      </c>
      <c r="E1732" t="s">
        <v>70</v>
      </c>
      <c r="F1732">
        <v>3</v>
      </c>
      <c r="G1732">
        <v>0.84</v>
      </c>
      <c r="H1732">
        <v>0.73</v>
      </c>
      <c r="I1732" t="s">
        <v>60</v>
      </c>
      <c r="J1732">
        <v>83871</v>
      </c>
      <c r="K1732" t="s">
        <v>25</v>
      </c>
      <c r="L1732">
        <v>-3</v>
      </c>
      <c r="M1732">
        <v>48</v>
      </c>
      <c r="N1732" t="s">
        <v>35</v>
      </c>
      <c r="O1732" t="s">
        <v>27</v>
      </c>
      <c r="P1732">
        <v>2.41</v>
      </c>
      <c r="Q1732" t="s">
        <v>34</v>
      </c>
      <c r="R1732">
        <v>1.05</v>
      </c>
      <c r="S1732" t="s">
        <v>47</v>
      </c>
      <c r="T1732" t="str">
        <f t="shared" si="54"/>
        <v>Moderate</v>
      </c>
      <c r="U1732" t="str">
        <f t="shared" si="55"/>
        <v>Intermediate</v>
      </c>
    </row>
    <row r="1733" spans="1:21" x14ac:dyDescent="0.35">
      <c r="A1733" t="s">
        <v>1806</v>
      </c>
      <c r="B1733" t="s">
        <v>45</v>
      </c>
      <c r="C1733" t="s">
        <v>31</v>
      </c>
      <c r="D1733" t="s">
        <v>66</v>
      </c>
      <c r="E1733" t="s">
        <v>33</v>
      </c>
      <c r="F1733">
        <v>20</v>
      </c>
      <c r="G1733">
        <v>0.08</v>
      </c>
      <c r="H1733">
        <v>0.89</v>
      </c>
      <c r="I1733" t="s">
        <v>34</v>
      </c>
      <c r="J1733">
        <v>76277</v>
      </c>
      <c r="K1733" t="s">
        <v>42</v>
      </c>
      <c r="L1733">
        <v>31</v>
      </c>
      <c r="M1733">
        <v>60</v>
      </c>
      <c r="N1733" t="s">
        <v>35</v>
      </c>
      <c r="O1733" t="s">
        <v>27</v>
      </c>
      <c r="P1733">
        <v>4.26</v>
      </c>
      <c r="Q1733" t="s">
        <v>24</v>
      </c>
      <c r="R1733">
        <v>3.24</v>
      </c>
      <c r="S1733" t="s">
        <v>28</v>
      </c>
      <c r="T1733" t="str">
        <f t="shared" si="54"/>
        <v>Very High</v>
      </c>
      <c r="U1733" t="str">
        <f t="shared" si="55"/>
        <v>Expert</v>
      </c>
    </row>
    <row r="1734" spans="1:21" x14ac:dyDescent="0.35">
      <c r="A1734" t="s">
        <v>1807</v>
      </c>
      <c r="B1734" t="s">
        <v>30</v>
      </c>
      <c r="C1734" t="s">
        <v>46</v>
      </c>
      <c r="D1734" t="s">
        <v>22</v>
      </c>
      <c r="E1734" t="s">
        <v>70</v>
      </c>
      <c r="F1734">
        <v>8</v>
      </c>
      <c r="G1734">
        <v>0.8</v>
      </c>
      <c r="H1734">
        <v>0.28999999999999998</v>
      </c>
      <c r="I1734" t="s">
        <v>60</v>
      </c>
      <c r="J1734">
        <v>209678</v>
      </c>
      <c r="K1734" t="s">
        <v>25</v>
      </c>
      <c r="L1734">
        <v>16</v>
      </c>
      <c r="M1734">
        <v>55</v>
      </c>
      <c r="N1734" t="s">
        <v>26</v>
      </c>
      <c r="O1734" t="s">
        <v>25</v>
      </c>
      <c r="P1734">
        <v>3.6</v>
      </c>
      <c r="Q1734" t="s">
        <v>34</v>
      </c>
      <c r="R1734">
        <v>2.2599999999999998</v>
      </c>
      <c r="S1734" t="s">
        <v>43</v>
      </c>
      <c r="T1734" t="str">
        <f t="shared" si="54"/>
        <v>Very Low</v>
      </c>
      <c r="U1734" t="str">
        <f t="shared" si="55"/>
        <v>Intermediate</v>
      </c>
    </row>
    <row r="1735" spans="1:21" x14ac:dyDescent="0.35">
      <c r="A1735" t="s">
        <v>1808</v>
      </c>
      <c r="B1735" t="s">
        <v>20</v>
      </c>
      <c r="C1735" t="s">
        <v>21</v>
      </c>
      <c r="D1735" t="s">
        <v>66</v>
      </c>
      <c r="E1735" t="s">
        <v>70</v>
      </c>
      <c r="F1735">
        <v>1</v>
      </c>
      <c r="G1735">
        <v>0.7</v>
      </c>
      <c r="H1735">
        <v>0.69</v>
      </c>
      <c r="I1735" t="s">
        <v>24</v>
      </c>
      <c r="J1735">
        <v>45735</v>
      </c>
      <c r="K1735" t="s">
        <v>25</v>
      </c>
      <c r="L1735">
        <v>-2</v>
      </c>
      <c r="M1735">
        <v>36</v>
      </c>
      <c r="N1735" t="s">
        <v>42</v>
      </c>
      <c r="O1735" t="s">
        <v>27</v>
      </c>
      <c r="P1735">
        <v>3.11</v>
      </c>
      <c r="Q1735" t="s">
        <v>24</v>
      </c>
      <c r="R1735">
        <v>4.3</v>
      </c>
      <c r="S1735" t="s">
        <v>28</v>
      </c>
      <c r="T1735" t="str">
        <f t="shared" si="54"/>
        <v>Moderate</v>
      </c>
      <c r="U1735" t="str">
        <f t="shared" si="55"/>
        <v>Beginner</v>
      </c>
    </row>
    <row r="1736" spans="1:21" x14ac:dyDescent="0.35">
      <c r="A1736" t="s">
        <v>1809</v>
      </c>
      <c r="B1736" t="s">
        <v>89</v>
      </c>
      <c r="C1736" t="s">
        <v>74</v>
      </c>
      <c r="D1736" t="s">
        <v>75</v>
      </c>
      <c r="E1736" t="s">
        <v>23</v>
      </c>
      <c r="F1736">
        <v>22</v>
      </c>
      <c r="G1736">
        <v>0.51</v>
      </c>
      <c r="H1736">
        <v>0.22</v>
      </c>
      <c r="I1736" t="s">
        <v>60</v>
      </c>
      <c r="J1736">
        <v>37344</v>
      </c>
      <c r="K1736" t="s">
        <v>27</v>
      </c>
      <c r="L1736">
        <v>-5</v>
      </c>
      <c r="M1736">
        <v>48</v>
      </c>
      <c r="N1736" t="s">
        <v>26</v>
      </c>
      <c r="O1736" t="s">
        <v>27</v>
      </c>
      <c r="P1736">
        <v>4.46</v>
      </c>
      <c r="Q1736" t="s">
        <v>24</v>
      </c>
      <c r="R1736">
        <v>2.44</v>
      </c>
      <c r="S1736" t="s">
        <v>43</v>
      </c>
      <c r="T1736" t="str">
        <f t="shared" si="54"/>
        <v>Moderate</v>
      </c>
      <c r="U1736" t="str">
        <f t="shared" si="55"/>
        <v>Expert</v>
      </c>
    </row>
    <row r="1737" spans="1:21" x14ac:dyDescent="0.35">
      <c r="A1737" t="s">
        <v>1810</v>
      </c>
      <c r="B1737" t="s">
        <v>54</v>
      </c>
      <c r="C1737" t="s">
        <v>31</v>
      </c>
      <c r="D1737" t="s">
        <v>66</v>
      </c>
      <c r="E1737" t="s">
        <v>23</v>
      </c>
      <c r="F1737">
        <v>8</v>
      </c>
      <c r="G1737">
        <v>0.68</v>
      </c>
      <c r="H1737">
        <v>0.59</v>
      </c>
      <c r="I1737" t="s">
        <v>60</v>
      </c>
      <c r="J1737">
        <v>156464</v>
      </c>
      <c r="K1737" t="s">
        <v>25</v>
      </c>
      <c r="L1737">
        <v>-8</v>
      </c>
      <c r="M1737">
        <v>39</v>
      </c>
      <c r="N1737" t="s">
        <v>42</v>
      </c>
      <c r="O1737" t="s">
        <v>36</v>
      </c>
      <c r="P1737">
        <v>4.42</v>
      </c>
      <c r="Q1737" t="s">
        <v>24</v>
      </c>
      <c r="R1737">
        <v>2.74</v>
      </c>
      <c r="S1737" t="s">
        <v>43</v>
      </c>
      <c r="T1737" t="str">
        <f t="shared" si="54"/>
        <v>Moderate</v>
      </c>
      <c r="U1737" t="str">
        <f t="shared" si="55"/>
        <v>Intermediate</v>
      </c>
    </row>
    <row r="1738" spans="1:21" x14ac:dyDescent="0.35">
      <c r="A1738" t="s">
        <v>1811</v>
      </c>
      <c r="B1738" t="s">
        <v>147</v>
      </c>
      <c r="C1738" t="s">
        <v>39</v>
      </c>
      <c r="D1738" t="s">
        <v>49</v>
      </c>
      <c r="E1738" t="s">
        <v>23</v>
      </c>
      <c r="F1738">
        <v>18</v>
      </c>
      <c r="G1738">
        <v>0.91</v>
      </c>
      <c r="H1738">
        <v>0.73</v>
      </c>
      <c r="I1738" t="s">
        <v>24</v>
      </c>
      <c r="J1738">
        <v>125460</v>
      </c>
      <c r="K1738" t="s">
        <v>27</v>
      </c>
      <c r="L1738">
        <v>12</v>
      </c>
      <c r="M1738">
        <v>58</v>
      </c>
      <c r="N1738" t="s">
        <v>26</v>
      </c>
      <c r="O1738" t="s">
        <v>36</v>
      </c>
      <c r="P1738">
        <v>3.96</v>
      </c>
      <c r="Q1738" t="s">
        <v>34</v>
      </c>
      <c r="R1738">
        <v>1.08</v>
      </c>
      <c r="S1738" t="s">
        <v>47</v>
      </c>
      <c r="T1738" t="str">
        <f t="shared" si="54"/>
        <v>Moderate</v>
      </c>
      <c r="U1738" t="str">
        <f t="shared" si="55"/>
        <v>Expert</v>
      </c>
    </row>
    <row r="1739" spans="1:21" x14ac:dyDescent="0.35">
      <c r="A1739" t="s">
        <v>1812</v>
      </c>
      <c r="B1739" t="s">
        <v>147</v>
      </c>
      <c r="C1739" t="s">
        <v>39</v>
      </c>
      <c r="D1739" t="s">
        <v>22</v>
      </c>
      <c r="E1739" t="s">
        <v>23</v>
      </c>
      <c r="F1739">
        <v>1</v>
      </c>
      <c r="G1739">
        <v>0.47</v>
      </c>
      <c r="H1739">
        <v>0.88</v>
      </c>
      <c r="I1739" t="s">
        <v>24</v>
      </c>
      <c r="J1739">
        <v>96396</v>
      </c>
      <c r="K1739" t="s">
        <v>42</v>
      </c>
      <c r="L1739">
        <v>-7</v>
      </c>
      <c r="M1739">
        <v>48</v>
      </c>
      <c r="N1739" t="s">
        <v>26</v>
      </c>
      <c r="O1739" t="s">
        <v>25</v>
      </c>
      <c r="P1739">
        <v>2.42</v>
      </c>
      <c r="Q1739" t="s">
        <v>34</v>
      </c>
      <c r="R1739">
        <v>2.87</v>
      </c>
      <c r="S1739" t="s">
        <v>43</v>
      </c>
      <c r="T1739" t="str">
        <f t="shared" si="54"/>
        <v>High</v>
      </c>
      <c r="U1739" t="str">
        <f t="shared" si="55"/>
        <v>Beginner</v>
      </c>
    </row>
    <row r="1740" spans="1:21" x14ac:dyDescent="0.35">
      <c r="A1740" t="s">
        <v>1813</v>
      </c>
      <c r="B1740" t="s">
        <v>89</v>
      </c>
      <c r="C1740" t="s">
        <v>31</v>
      </c>
      <c r="D1740" t="s">
        <v>59</v>
      </c>
      <c r="E1740" t="s">
        <v>41</v>
      </c>
      <c r="F1740">
        <v>21</v>
      </c>
      <c r="G1740">
        <v>0.89</v>
      </c>
      <c r="H1740">
        <v>0.83</v>
      </c>
      <c r="I1740" t="s">
        <v>34</v>
      </c>
      <c r="J1740">
        <v>215247</v>
      </c>
      <c r="K1740" t="s">
        <v>25</v>
      </c>
      <c r="L1740">
        <v>3</v>
      </c>
      <c r="M1740">
        <v>34</v>
      </c>
      <c r="N1740" t="s">
        <v>42</v>
      </c>
      <c r="O1740" t="s">
        <v>25</v>
      </c>
      <c r="P1740">
        <v>3.95</v>
      </c>
      <c r="Q1740" t="s">
        <v>24</v>
      </c>
      <c r="R1740">
        <v>4</v>
      </c>
      <c r="S1740" t="s">
        <v>28</v>
      </c>
      <c r="T1740" t="str">
        <f t="shared" si="54"/>
        <v>Moderate</v>
      </c>
      <c r="U1740" t="str">
        <f t="shared" si="55"/>
        <v>Expert</v>
      </c>
    </row>
    <row r="1741" spans="1:21" x14ac:dyDescent="0.35">
      <c r="A1741" t="s">
        <v>1814</v>
      </c>
      <c r="B1741" t="s">
        <v>57</v>
      </c>
      <c r="C1741" t="s">
        <v>52</v>
      </c>
      <c r="D1741" t="s">
        <v>40</v>
      </c>
      <c r="E1741" t="s">
        <v>23</v>
      </c>
      <c r="F1741">
        <v>18</v>
      </c>
      <c r="G1741">
        <v>0.46</v>
      </c>
      <c r="H1741">
        <v>0.65</v>
      </c>
      <c r="I1741" t="s">
        <v>34</v>
      </c>
      <c r="J1741">
        <v>70709</v>
      </c>
      <c r="K1741" t="s">
        <v>27</v>
      </c>
      <c r="L1741">
        <v>16</v>
      </c>
      <c r="M1741">
        <v>53</v>
      </c>
      <c r="N1741" t="s">
        <v>42</v>
      </c>
      <c r="O1741" t="s">
        <v>36</v>
      </c>
      <c r="P1741">
        <v>4.78</v>
      </c>
      <c r="Q1741" t="s">
        <v>34</v>
      </c>
      <c r="R1741">
        <v>3.42</v>
      </c>
      <c r="S1741" t="s">
        <v>28</v>
      </c>
      <c r="T1741" t="str">
        <f t="shared" si="54"/>
        <v>High</v>
      </c>
      <c r="U1741" t="str">
        <f t="shared" si="55"/>
        <v>Expert</v>
      </c>
    </row>
    <row r="1742" spans="1:21" x14ac:dyDescent="0.35">
      <c r="A1742" t="s">
        <v>1815</v>
      </c>
      <c r="B1742" t="s">
        <v>62</v>
      </c>
      <c r="C1742" t="s">
        <v>82</v>
      </c>
      <c r="D1742" t="s">
        <v>49</v>
      </c>
      <c r="E1742" t="s">
        <v>41</v>
      </c>
      <c r="F1742">
        <v>16</v>
      </c>
      <c r="G1742">
        <v>0.7</v>
      </c>
      <c r="H1742">
        <v>0.77</v>
      </c>
      <c r="I1742" t="s">
        <v>24</v>
      </c>
      <c r="J1742">
        <v>159240</v>
      </c>
      <c r="K1742" t="s">
        <v>25</v>
      </c>
      <c r="L1742">
        <v>44</v>
      </c>
      <c r="M1742">
        <v>34</v>
      </c>
      <c r="N1742" t="s">
        <v>26</v>
      </c>
      <c r="O1742" t="s">
        <v>36</v>
      </c>
      <c r="P1742">
        <v>4.71</v>
      </c>
      <c r="Q1742" t="s">
        <v>24</v>
      </c>
      <c r="R1742">
        <v>1.85</v>
      </c>
      <c r="S1742" t="s">
        <v>47</v>
      </c>
      <c r="T1742" t="str">
        <f t="shared" si="54"/>
        <v>High</v>
      </c>
      <c r="U1742" t="str">
        <f t="shared" si="55"/>
        <v>Expert</v>
      </c>
    </row>
    <row r="1743" spans="1:21" x14ac:dyDescent="0.35">
      <c r="A1743" t="s">
        <v>1816</v>
      </c>
      <c r="B1743" t="s">
        <v>54</v>
      </c>
      <c r="C1743" t="s">
        <v>58</v>
      </c>
      <c r="D1743" t="s">
        <v>66</v>
      </c>
      <c r="E1743" t="s">
        <v>23</v>
      </c>
      <c r="F1743">
        <v>10</v>
      </c>
      <c r="G1743">
        <v>0.88</v>
      </c>
      <c r="H1743">
        <v>0.41</v>
      </c>
      <c r="I1743" t="s">
        <v>60</v>
      </c>
      <c r="J1743">
        <v>37968</v>
      </c>
      <c r="K1743" t="s">
        <v>42</v>
      </c>
      <c r="L1743">
        <v>-4</v>
      </c>
      <c r="M1743">
        <v>32</v>
      </c>
      <c r="N1743" t="s">
        <v>35</v>
      </c>
      <c r="O1743" t="s">
        <v>27</v>
      </c>
      <c r="P1743">
        <v>3.13</v>
      </c>
      <c r="Q1743" t="s">
        <v>24</v>
      </c>
      <c r="R1743">
        <v>4.83</v>
      </c>
      <c r="S1743" t="s">
        <v>47</v>
      </c>
      <c r="T1743" t="str">
        <f t="shared" si="54"/>
        <v>Very Low</v>
      </c>
      <c r="U1743" t="str">
        <f t="shared" si="55"/>
        <v>Experienced</v>
      </c>
    </row>
    <row r="1744" spans="1:21" x14ac:dyDescent="0.35">
      <c r="A1744" t="s">
        <v>1817</v>
      </c>
      <c r="B1744" t="s">
        <v>62</v>
      </c>
      <c r="C1744" t="s">
        <v>74</v>
      </c>
      <c r="D1744" t="s">
        <v>22</v>
      </c>
      <c r="E1744" t="s">
        <v>70</v>
      </c>
      <c r="F1744">
        <v>5</v>
      </c>
      <c r="G1744">
        <v>0.59</v>
      </c>
      <c r="H1744">
        <v>0.23</v>
      </c>
      <c r="I1744" t="s">
        <v>60</v>
      </c>
      <c r="J1744">
        <v>200354</v>
      </c>
      <c r="K1744" t="s">
        <v>27</v>
      </c>
      <c r="L1744">
        <v>-2</v>
      </c>
      <c r="M1744">
        <v>44</v>
      </c>
      <c r="N1744" t="s">
        <v>42</v>
      </c>
      <c r="O1744" t="s">
        <v>36</v>
      </c>
      <c r="P1744">
        <v>3.44</v>
      </c>
      <c r="Q1744" t="s">
        <v>34</v>
      </c>
      <c r="R1744">
        <v>1.73</v>
      </c>
      <c r="S1744" t="s">
        <v>28</v>
      </c>
      <c r="T1744" t="str">
        <f t="shared" si="54"/>
        <v>Moderate</v>
      </c>
      <c r="U1744" t="str">
        <f t="shared" si="55"/>
        <v>Intermediate</v>
      </c>
    </row>
    <row r="1745" spans="1:21" x14ac:dyDescent="0.35">
      <c r="A1745" t="s">
        <v>1818</v>
      </c>
      <c r="B1745" t="s">
        <v>102</v>
      </c>
      <c r="C1745" t="s">
        <v>82</v>
      </c>
      <c r="D1745" t="s">
        <v>49</v>
      </c>
      <c r="E1745" t="s">
        <v>33</v>
      </c>
      <c r="F1745">
        <v>19</v>
      </c>
      <c r="G1745">
        <v>0.73</v>
      </c>
      <c r="H1745">
        <v>0.85</v>
      </c>
      <c r="I1745" t="s">
        <v>34</v>
      </c>
      <c r="J1745">
        <v>149749</v>
      </c>
      <c r="K1745" t="s">
        <v>27</v>
      </c>
      <c r="L1745">
        <v>27</v>
      </c>
      <c r="M1745">
        <v>35</v>
      </c>
      <c r="N1745" t="s">
        <v>35</v>
      </c>
      <c r="O1745" t="s">
        <v>36</v>
      </c>
      <c r="P1745">
        <v>2.36</v>
      </c>
      <c r="Q1745" t="s">
        <v>24</v>
      </c>
      <c r="R1745">
        <v>1.55</v>
      </c>
      <c r="S1745" t="s">
        <v>47</v>
      </c>
      <c r="T1745" t="str">
        <f t="shared" si="54"/>
        <v>High</v>
      </c>
      <c r="U1745" t="str">
        <f t="shared" si="55"/>
        <v>Expert</v>
      </c>
    </row>
    <row r="1746" spans="1:21" x14ac:dyDescent="0.35">
      <c r="A1746" t="s">
        <v>1819</v>
      </c>
      <c r="B1746" t="s">
        <v>65</v>
      </c>
      <c r="C1746" t="s">
        <v>52</v>
      </c>
      <c r="D1746" t="s">
        <v>22</v>
      </c>
      <c r="E1746" t="s">
        <v>23</v>
      </c>
      <c r="F1746">
        <v>25</v>
      </c>
      <c r="G1746">
        <v>0.61</v>
      </c>
      <c r="H1746">
        <v>0.95</v>
      </c>
      <c r="I1746" t="s">
        <v>34</v>
      </c>
      <c r="J1746">
        <v>212690</v>
      </c>
      <c r="K1746" t="s">
        <v>25</v>
      </c>
      <c r="L1746">
        <v>45</v>
      </c>
      <c r="M1746">
        <v>45</v>
      </c>
      <c r="N1746" t="s">
        <v>35</v>
      </c>
      <c r="O1746" t="s">
        <v>36</v>
      </c>
      <c r="P1746">
        <v>4.71</v>
      </c>
      <c r="Q1746" t="s">
        <v>34</v>
      </c>
      <c r="R1746">
        <v>1.99</v>
      </c>
      <c r="S1746" t="s">
        <v>47</v>
      </c>
      <c r="T1746" t="str">
        <f t="shared" si="54"/>
        <v>High</v>
      </c>
      <c r="U1746" t="str">
        <f t="shared" si="55"/>
        <v>Expert</v>
      </c>
    </row>
    <row r="1747" spans="1:21" x14ac:dyDescent="0.35">
      <c r="A1747" t="s">
        <v>1820</v>
      </c>
      <c r="B1747" t="s">
        <v>147</v>
      </c>
      <c r="C1747" t="s">
        <v>58</v>
      </c>
      <c r="D1747" t="s">
        <v>49</v>
      </c>
      <c r="E1747" t="s">
        <v>33</v>
      </c>
      <c r="F1747">
        <v>7</v>
      </c>
      <c r="G1747">
        <v>0.46</v>
      </c>
      <c r="H1747">
        <v>0.22</v>
      </c>
      <c r="I1747" t="s">
        <v>34</v>
      </c>
      <c r="J1747">
        <v>178988</v>
      </c>
      <c r="K1747" t="s">
        <v>42</v>
      </c>
      <c r="L1747">
        <v>44</v>
      </c>
      <c r="M1747">
        <v>56</v>
      </c>
      <c r="N1747" t="s">
        <v>35</v>
      </c>
      <c r="O1747" t="s">
        <v>25</v>
      </c>
      <c r="P1747">
        <v>4.95</v>
      </c>
      <c r="Q1747" t="s">
        <v>34</v>
      </c>
      <c r="R1747">
        <v>4.96</v>
      </c>
      <c r="S1747" t="s">
        <v>43</v>
      </c>
      <c r="T1747" t="str">
        <f t="shared" si="54"/>
        <v>Moderate</v>
      </c>
      <c r="U1747" t="str">
        <f t="shared" si="55"/>
        <v>Intermediate</v>
      </c>
    </row>
    <row r="1748" spans="1:21" x14ac:dyDescent="0.35">
      <c r="A1748" t="s">
        <v>1821</v>
      </c>
      <c r="B1748" t="s">
        <v>91</v>
      </c>
      <c r="C1748" t="s">
        <v>74</v>
      </c>
      <c r="D1748" t="s">
        <v>22</v>
      </c>
      <c r="E1748" t="s">
        <v>41</v>
      </c>
      <c r="F1748">
        <v>16</v>
      </c>
      <c r="G1748">
        <v>0.1</v>
      </c>
      <c r="H1748">
        <v>0.97</v>
      </c>
      <c r="I1748" t="s">
        <v>24</v>
      </c>
      <c r="J1748">
        <v>71919</v>
      </c>
      <c r="K1748" t="s">
        <v>42</v>
      </c>
      <c r="L1748">
        <v>24</v>
      </c>
      <c r="M1748">
        <v>52</v>
      </c>
      <c r="N1748" t="s">
        <v>35</v>
      </c>
      <c r="O1748" t="s">
        <v>25</v>
      </c>
      <c r="P1748">
        <v>3.82</v>
      </c>
      <c r="Q1748" t="s">
        <v>34</v>
      </c>
      <c r="R1748">
        <v>1.6</v>
      </c>
      <c r="S1748" t="s">
        <v>47</v>
      </c>
      <c r="T1748" t="str">
        <f t="shared" si="54"/>
        <v>Very High</v>
      </c>
      <c r="U1748" t="str">
        <f t="shared" si="55"/>
        <v>Expert</v>
      </c>
    </row>
    <row r="1749" spans="1:21" x14ac:dyDescent="0.35">
      <c r="A1749" t="s">
        <v>1822</v>
      </c>
      <c r="B1749" t="s">
        <v>77</v>
      </c>
      <c r="C1749" t="s">
        <v>74</v>
      </c>
      <c r="D1749" t="s">
        <v>22</v>
      </c>
      <c r="E1749" t="s">
        <v>23</v>
      </c>
      <c r="F1749">
        <v>24</v>
      </c>
      <c r="G1749">
        <v>0.93</v>
      </c>
      <c r="H1749">
        <v>0.47</v>
      </c>
      <c r="I1749" t="s">
        <v>24</v>
      </c>
      <c r="J1749">
        <v>94306</v>
      </c>
      <c r="K1749" t="s">
        <v>25</v>
      </c>
      <c r="L1749">
        <v>5</v>
      </c>
      <c r="M1749">
        <v>36</v>
      </c>
      <c r="N1749" t="s">
        <v>35</v>
      </c>
      <c r="O1749" t="s">
        <v>36</v>
      </c>
      <c r="P1749">
        <v>4.43</v>
      </c>
      <c r="Q1749" t="s">
        <v>34</v>
      </c>
      <c r="R1749">
        <v>4.78</v>
      </c>
      <c r="S1749" t="s">
        <v>47</v>
      </c>
      <c r="T1749" t="str">
        <f t="shared" si="54"/>
        <v>Very Low</v>
      </c>
      <c r="U1749" t="str">
        <f t="shared" si="55"/>
        <v>Expert</v>
      </c>
    </row>
    <row r="1750" spans="1:21" x14ac:dyDescent="0.35">
      <c r="A1750" t="s">
        <v>1823</v>
      </c>
      <c r="B1750" t="s">
        <v>20</v>
      </c>
      <c r="C1750" t="s">
        <v>58</v>
      </c>
      <c r="D1750" t="s">
        <v>69</v>
      </c>
      <c r="E1750" t="s">
        <v>41</v>
      </c>
      <c r="F1750">
        <v>19</v>
      </c>
      <c r="G1750">
        <v>0.06</v>
      </c>
      <c r="H1750">
        <v>0.94</v>
      </c>
      <c r="I1750" t="s">
        <v>34</v>
      </c>
      <c r="J1750">
        <v>167828</v>
      </c>
      <c r="K1750" t="s">
        <v>25</v>
      </c>
      <c r="L1750">
        <v>19</v>
      </c>
      <c r="M1750">
        <v>40</v>
      </c>
      <c r="N1750" t="s">
        <v>35</v>
      </c>
      <c r="O1750" t="s">
        <v>25</v>
      </c>
      <c r="P1750">
        <v>4.8600000000000003</v>
      </c>
      <c r="Q1750" t="s">
        <v>34</v>
      </c>
      <c r="R1750">
        <v>1.49</v>
      </c>
      <c r="S1750" t="s">
        <v>47</v>
      </c>
      <c r="T1750" t="str">
        <f t="shared" si="54"/>
        <v>Very High</v>
      </c>
      <c r="U1750" t="str">
        <f t="shared" si="55"/>
        <v>Expert</v>
      </c>
    </row>
    <row r="1751" spans="1:21" x14ac:dyDescent="0.35">
      <c r="A1751" t="s">
        <v>1824</v>
      </c>
      <c r="B1751" t="s">
        <v>89</v>
      </c>
      <c r="C1751" t="s">
        <v>74</v>
      </c>
      <c r="D1751" t="s">
        <v>63</v>
      </c>
      <c r="E1751" t="s">
        <v>70</v>
      </c>
      <c r="F1751">
        <v>0</v>
      </c>
      <c r="G1751">
        <v>0.49</v>
      </c>
      <c r="H1751">
        <v>0.48</v>
      </c>
      <c r="I1751" t="s">
        <v>60</v>
      </c>
      <c r="J1751">
        <v>213675</v>
      </c>
      <c r="K1751" t="s">
        <v>42</v>
      </c>
      <c r="L1751">
        <v>26</v>
      </c>
      <c r="M1751">
        <v>54</v>
      </c>
      <c r="N1751" t="s">
        <v>35</v>
      </c>
      <c r="O1751" t="s">
        <v>36</v>
      </c>
      <c r="P1751">
        <v>3.01</v>
      </c>
      <c r="Q1751" t="s">
        <v>34</v>
      </c>
      <c r="R1751">
        <v>3.47</v>
      </c>
      <c r="S1751" t="s">
        <v>43</v>
      </c>
      <c r="T1751" t="str">
        <f t="shared" si="54"/>
        <v>Moderate</v>
      </c>
      <c r="U1751" t="str">
        <f t="shared" si="55"/>
        <v>Beginner</v>
      </c>
    </row>
    <row r="1752" spans="1:21" x14ac:dyDescent="0.35">
      <c r="A1752" t="s">
        <v>1825</v>
      </c>
      <c r="B1752" t="s">
        <v>51</v>
      </c>
      <c r="C1752" t="s">
        <v>55</v>
      </c>
      <c r="D1752" t="s">
        <v>69</v>
      </c>
      <c r="E1752" t="s">
        <v>70</v>
      </c>
      <c r="F1752">
        <v>3</v>
      </c>
      <c r="G1752">
        <v>0.31</v>
      </c>
      <c r="H1752">
        <v>0.51</v>
      </c>
      <c r="I1752" t="s">
        <v>60</v>
      </c>
      <c r="J1752">
        <v>146736</v>
      </c>
      <c r="K1752" t="s">
        <v>25</v>
      </c>
      <c r="L1752">
        <v>8</v>
      </c>
      <c r="M1752">
        <v>54</v>
      </c>
      <c r="N1752" t="s">
        <v>26</v>
      </c>
      <c r="O1752" t="s">
        <v>25</v>
      </c>
      <c r="P1752">
        <v>2.12</v>
      </c>
      <c r="Q1752" t="s">
        <v>24</v>
      </c>
      <c r="R1752">
        <v>3.61</v>
      </c>
      <c r="S1752" t="s">
        <v>43</v>
      </c>
      <c r="T1752" t="str">
        <f t="shared" si="54"/>
        <v>High</v>
      </c>
      <c r="U1752" t="str">
        <f t="shared" si="55"/>
        <v>Intermediate</v>
      </c>
    </row>
    <row r="1753" spans="1:21" x14ac:dyDescent="0.35">
      <c r="A1753" t="s">
        <v>1826</v>
      </c>
      <c r="B1753" t="s">
        <v>102</v>
      </c>
      <c r="C1753" t="s">
        <v>31</v>
      </c>
      <c r="D1753" t="s">
        <v>22</v>
      </c>
      <c r="E1753" t="s">
        <v>33</v>
      </c>
      <c r="F1753">
        <v>18</v>
      </c>
      <c r="G1753">
        <v>0.49</v>
      </c>
      <c r="H1753">
        <v>0.5</v>
      </c>
      <c r="I1753" t="s">
        <v>34</v>
      </c>
      <c r="J1753">
        <v>203643</v>
      </c>
      <c r="K1753" t="s">
        <v>25</v>
      </c>
      <c r="L1753">
        <v>17</v>
      </c>
      <c r="M1753">
        <v>55</v>
      </c>
      <c r="N1753" t="s">
        <v>26</v>
      </c>
      <c r="O1753" t="s">
        <v>36</v>
      </c>
      <c r="P1753">
        <v>3.35</v>
      </c>
      <c r="Q1753" t="s">
        <v>24</v>
      </c>
      <c r="R1753">
        <v>2.77</v>
      </c>
      <c r="S1753" t="s">
        <v>28</v>
      </c>
      <c r="T1753" t="str">
        <f t="shared" si="54"/>
        <v>High</v>
      </c>
      <c r="U1753" t="str">
        <f t="shared" si="55"/>
        <v>Expert</v>
      </c>
    </row>
    <row r="1754" spans="1:21" x14ac:dyDescent="0.35">
      <c r="A1754" t="s">
        <v>1827</v>
      </c>
      <c r="B1754" t="s">
        <v>96</v>
      </c>
      <c r="C1754" t="s">
        <v>52</v>
      </c>
      <c r="D1754" t="s">
        <v>49</v>
      </c>
      <c r="E1754" t="s">
        <v>33</v>
      </c>
      <c r="F1754">
        <v>13</v>
      </c>
      <c r="G1754">
        <v>0.12</v>
      </c>
      <c r="H1754">
        <v>0.79</v>
      </c>
      <c r="I1754" t="s">
        <v>34</v>
      </c>
      <c r="J1754">
        <v>44313</v>
      </c>
      <c r="K1754" t="s">
        <v>25</v>
      </c>
      <c r="L1754">
        <v>22</v>
      </c>
      <c r="M1754">
        <v>44</v>
      </c>
      <c r="N1754" t="s">
        <v>26</v>
      </c>
      <c r="O1754" t="s">
        <v>25</v>
      </c>
      <c r="P1754">
        <v>3.96</v>
      </c>
      <c r="Q1754" t="s">
        <v>34</v>
      </c>
      <c r="R1754">
        <v>3.15</v>
      </c>
      <c r="S1754" t="s">
        <v>43</v>
      </c>
      <c r="T1754" t="str">
        <f t="shared" si="54"/>
        <v>Very High</v>
      </c>
      <c r="U1754" t="str">
        <f t="shared" si="55"/>
        <v>Experienced</v>
      </c>
    </row>
    <row r="1755" spans="1:21" x14ac:dyDescent="0.35">
      <c r="A1755" t="s">
        <v>1828</v>
      </c>
      <c r="B1755" t="s">
        <v>68</v>
      </c>
      <c r="C1755" t="s">
        <v>52</v>
      </c>
      <c r="D1755" t="s">
        <v>66</v>
      </c>
      <c r="E1755" t="s">
        <v>70</v>
      </c>
      <c r="F1755">
        <v>21</v>
      </c>
      <c r="G1755">
        <v>0.92</v>
      </c>
      <c r="H1755">
        <v>0.42</v>
      </c>
      <c r="I1755" t="s">
        <v>60</v>
      </c>
      <c r="J1755">
        <v>85774</v>
      </c>
      <c r="K1755" t="s">
        <v>27</v>
      </c>
      <c r="L1755">
        <v>23</v>
      </c>
      <c r="M1755">
        <v>34</v>
      </c>
      <c r="N1755" t="s">
        <v>42</v>
      </c>
      <c r="O1755" t="s">
        <v>25</v>
      </c>
      <c r="P1755">
        <v>4.96</v>
      </c>
      <c r="Q1755" t="s">
        <v>34</v>
      </c>
      <c r="R1755">
        <v>3.19</v>
      </c>
      <c r="S1755" t="s">
        <v>43</v>
      </c>
      <c r="T1755" t="str">
        <f t="shared" si="54"/>
        <v>Very Low</v>
      </c>
      <c r="U1755" t="str">
        <f t="shared" si="55"/>
        <v>Expert</v>
      </c>
    </row>
    <row r="1756" spans="1:21" x14ac:dyDescent="0.35">
      <c r="A1756" t="s">
        <v>1829</v>
      </c>
      <c r="B1756" t="s">
        <v>91</v>
      </c>
      <c r="C1756" t="s">
        <v>74</v>
      </c>
      <c r="D1756" t="s">
        <v>69</v>
      </c>
      <c r="E1756" t="s">
        <v>33</v>
      </c>
      <c r="F1756">
        <v>13</v>
      </c>
      <c r="G1756">
        <v>0.23</v>
      </c>
      <c r="H1756">
        <v>0.47</v>
      </c>
      <c r="I1756" t="s">
        <v>60</v>
      </c>
      <c r="J1756">
        <v>163421</v>
      </c>
      <c r="K1756" t="s">
        <v>27</v>
      </c>
      <c r="L1756">
        <v>-2</v>
      </c>
      <c r="M1756">
        <v>54</v>
      </c>
      <c r="N1756" t="s">
        <v>35</v>
      </c>
      <c r="O1756" t="s">
        <v>25</v>
      </c>
      <c r="P1756">
        <v>4</v>
      </c>
      <c r="Q1756" t="s">
        <v>24</v>
      </c>
      <c r="R1756">
        <v>2.88</v>
      </c>
      <c r="S1756" t="s">
        <v>47</v>
      </c>
      <c r="T1756" t="str">
        <f t="shared" si="54"/>
        <v>High</v>
      </c>
      <c r="U1756" t="str">
        <f t="shared" si="55"/>
        <v>Experienced</v>
      </c>
    </row>
    <row r="1757" spans="1:21" x14ac:dyDescent="0.35">
      <c r="A1757" t="s">
        <v>1830</v>
      </c>
      <c r="B1757" t="s">
        <v>106</v>
      </c>
      <c r="C1757" t="s">
        <v>39</v>
      </c>
      <c r="D1757" t="s">
        <v>75</v>
      </c>
      <c r="E1757" t="s">
        <v>41</v>
      </c>
      <c r="F1757">
        <v>17</v>
      </c>
      <c r="G1757">
        <v>0.85</v>
      </c>
      <c r="H1757">
        <v>0.98</v>
      </c>
      <c r="I1757" t="s">
        <v>34</v>
      </c>
      <c r="J1757">
        <v>48970</v>
      </c>
      <c r="K1757" t="s">
        <v>42</v>
      </c>
      <c r="L1757">
        <v>32</v>
      </c>
      <c r="M1757">
        <v>46</v>
      </c>
      <c r="N1757" t="s">
        <v>26</v>
      </c>
      <c r="O1757" t="s">
        <v>36</v>
      </c>
      <c r="P1757">
        <v>4.3600000000000003</v>
      </c>
      <c r="Q1757" t="s">
        <v>24</v>
      </c>
      <c r="R1757">
        <v>2.4700000000000002</v>
      </c>
      <c r="S1757" t="s">
        <v>47</v>
      </c>
      <c r="T1757" t="str">
        <f t="shared" si="54"/>
        <v>High</v>
      </c>
      <c r="U1757" t="str">
        <f t="shared" si="55"/>
        <v>Expert</v>
      </c>
    </row>
    <row r="1758" spans="1:21" x14ac:dyDescent="0.35">
      <c r="A1758" t="s">
        <v>1831</v>
      </c>
      <c r="B1758" t="s">
        <v>156</v>
      </c>
      <c r="C1758" t="s">
        <v>74</v>
      </c>
      <c r="D1758" t="s">
        <v>49</v>
      </c>
      <c r="E1758" t="s">
        <v>33</v>
      </c>
      <c r="F1758">
        <v>13</v>
      </c>
      <c r="G1758">
        <v>0.06</v>
      </c>
      <c r="H1758">
        <v>0.63</v>
      </c>
      <c r="I1758" t="s">
        <v>60</v>
      </c>
      <c r="J1758">
        <v>219786</v>
      </c>
      <c r="K1758" t="s">
        <v>27</v>
      </c>
      <c r="L1758">
        <v>-8</v>
      </c>
      <c r="M1758">
        <v>52</v>
      </c>
      <c r="N1758" t="s">
        <v>35</v>
      </c>
      <c r="O1758" t="s">
        <v>25</v>
      </c>
      <c r="P1758">
        <v>2.61</v>
      </c>
      <c r="Q1758" t="s">
        <v>34</v>
      </c>
      <c r="R1758">
        <v>1.29</v>
      </c>
      <c r="S1758" t="s">
        <v>47</v>
      </c>
      <c r="T1758" t="str">
        <f t="shared" si="54"/>
        <v>High</v>
      </c>
      <c r="U1758" t="str">
        <f t="shared" si="55"/>
        <v>Experienced</v>
      </c>
    </row>
    <row r="1759" spans="1:21" x14ac:dyDescent="0.35">
      <c r="A1759" t="s">
        <v>1832</v>
      </c>
      <c r="B1759" t="s">
        <v>77</v>
      </c>
      <c r="C1759" t="s">
        <v>46</v>
      </c>
      <c r="D1759" t="s">
        <v>49</v>
      </c>
      <c r="E1759" t="s">
        <v>23</v>
      </c>
      <c r="F1759">
        <v>0</v>
      </c>
      <c r="G1759">
        <v>0.44</v>
      </c>
      <c r="H1759">
        <v>0.94</v>
      </c>
      <c r="I1759" t="s">
        <v>60</v>
      </c>
      <c r="J1759">
        <v>99983</v>
      </c>
      <c r="K1759" t="s">
        <v>42</v>
      </c>
      <c r="L1759">
        <v>41</v>
      </c>
      <c r="M1759">
        <v>31</v>
      </c>
      <c r="N1759" t="s">
        <v>42</v>
      </c>
      <c r="O1759" t="s">
        <v>25</v>
      </c>
      <c r="P1759">
        <v>2.0699999999999998</v>
      </c>
      <c r="Q1759" t="s">
        <v>34</v>
      </c>
      <c r="R1759">
        <v>4.75</v>
      </c>
      <c r="S1759" t="s">
        <v>47</v>
      </c>
      <c r="T1759" t="str">
        <f t="shared" si="54"/>
        <v>High</v>
      </c>
      <c r="U1759" t="str">
        <f t="shared" si="55"/>
        <v>Beginner</v>
      </c>
    </row>
    <row r="1760" spans="1:21" x14ac:dyDescent="0.35">
      <c r="A1760" t="s">
        <v>1833</v>
      </c>
      <c r="B1760" t="s">
        <v>89</v>
      </c>
      <c r="C1760" t="s">
        <v>31</v>
      </c>
      <c r="D1760" t="s">
        <v>66</v>
      </c>
      <c r="E1760" t="s">
        <v>33</v>
      </c>
      <c r="F1760">
        <v>12</v>
      </c>
      <c r="G1760">
        <v>0.76</v>
      </c>
      <c r="H1760">
        <v>0.78</v>
      </c>
      <c r="I1760" t="s">
        <v>60</v>
      </c>
      <c r="J1760">
        <v>50799</v>
      </c>
      <c r="K1760" t="s">
        <v>42</v>
      </c>
      <c r="L1760">
        <v>-5</v>
      </c>
      <c r="M1760">
        <v>51</v>
      </c>
      <c r="N1760" t="s">
        <v>26</v>
      </c>
      <c r="O1760" t="s">
        <v>27</v>
      </c>
      <c r="P1760">
        <v>4.4800000000000004</v>
      </c>
      <c r="Q1760" t="s">
        <v>34</v>
      </c>
      <c r="R1760">
        <v>1.95</v>
      </c>
      <c r="S1760" t="s">
        <v>28</v>
      </c>
      <c r="T1760" t="str">
        <f t="shared" si="54"/>
        <v>High</v>
      </c>
      <c r="U1760" t="str">
        <f t="shared" si="55"/>
        <v>Experienced</v>
      </c>
    </row>
    <row r="1761" spans="1:21" x14ac:dyDescent="0.35">
      <c r="A1761" t="s">
        <v>1834</v>
      </c>
      <c r="B1761" t="s">
        <v>30</v>
      </c>
      <c r="C1761" t="s">
        <v>31</v>
      </c>
      <c r="D1761" t="s">
        <v>63</v>
      </c>
      <c r="E1761" t="s">
        <v>23</v>
      </c>
      <c r="F1761">
        <v>13</v>
      </c>
      <c r="G1761">
        <v>0.69</v>
      </c>
      <c r="H1761">
        <v>0.83</v>
      </c>
      <c r="I1761" t="s">
        <v>24</v>
      </c>
      <c r="J1761">
        <v>31628</v>
      </c>
      <c r="K1761" t="s">
        <v>27</v>
      </c>
      <c r="L1761">
        <v>-1</v>
      </c>
      <c r="M1761">
        <v>39</v>
      </c>
      <c r="N1761" t="s">
        <v>26</v>
      </c>
      <c r="O1761" t="s">
        <v>27</v>
      </c>
      <c r="P1761">
        <v>3.5</v>
      </c>
      <c r="Q1761" t="s">
        <v>24</v>
      </c>
      <c r="R1761">
        <v>2.1</v>
      </c>
      <c r="S1761" t="s">
        <v>43</v>
      </c>
      <c r="T1761" t="str">
        <f t="shared" si="54"/>
        <v>High</v>
      </c>
      <c r="U1761" t="str">
        <f t="shared" si="55"/>
        <v>Experienced</v>
      </c>
    </row>
    <row r="1762" spans="1:21" x14ac:dyDescent="0.35">
      <c r="A1762" t="s">
        <v>1835</v>
      </c>
      <c r="B1762" t="s">
        <v>51</v>
      </c>
      <c r="C1762" t="s">
        <v>52</v>
      </c>
      <c r="D1762" t="s">
        <v>59</v>
      </c>
      <c r="E1762" t="s">
        <v>70</v>
      </c>
      <c r="F1762">
        <v>21</v>
      </c>
      <c r="G1762">
        <v>0.71</v>
      </c>
      <c r="H1762">
        <v>0.6</v>
      </c>
      <c r="I1762" t="s">
        <v>60</v>
      </c>
      <c r="J1762">
        <v>153240</v>
      </c>
      <c r="K1762" t="s">
        <v>25</v>
      </c>
      <c r="L1762">
        <v>-5</v>
      </c>
      <c r="M1762">
        <v>50</v>
      </c>
      <c r="N1762" t="s">
        <v>35</v>
      </c>
      <c r="O1762" t="s">
        <v>25</v>
      </c>
      <c r="P1762">
        <v>2.61</v>
      </c>
      <c r="Q1762" t="s">
        <v>24</v>
      </c>
      <c r="R1762">
        <v>3.3</v>
      </c>
      <c r="S1762" t="s">
        <v>28</v>
      </c>
      <c r="T1762" t="str">
        <f t="shared" si="54"/>
        <v>Moderate</v>
      </c>
      <c r="U1762" t="str">
        <f t="shared" si="55"/>
        <v>Expert</v>
      </c>
    </row>
    <row r="1763" spans="1:21" x14ac:dyDescent="0.35">
      <c r="A1763" t="s">
        <v>1836</v>
      </c>
      <c r="B1763" t="s">
        <v>106</v>
      </c>
      <c r="C1763" t="s">
        <v>58</v>
      </c>
      <c r="D1763" t="s">
        <v>66</v>
      </c>
      <c r="E1763" t="s">
        <v>70</v>
      </c>
      <c r="F1763">
        <v>16</v>
      </c>
      <c r="G1763">
        <v>0.46</v>
      </c>
      <c r="H1763">
        <v>0.85</v>
      </c>
      <c r="I1763" t="s">
        <v>34</v>
      </c>
      <c r="J1763">
        <v>85475</v>
      </c>
      <c r="K1763" t="s">
        <v>42</v>
      </c>
      <c r="L1763">
        <v>16</v>
      </c>
      <c r="M1763">
        <v>44</v>
      </c>
      <c r="N1763" t="s">
        <v>42</v>
      </c>
      <c r="O1763" t="s">
        <v>25</v>
      </c>
      <c r="P1763">
        <v>3.09</v>
      </c>
      <c r="Q1763" t="s">
        <v>34</v>
      </c>
      <c r="R1763">
        <v>1.44</v>
      </c>
      <c r="S1763" t="s">
        <v>43</v>
      </c>
      <c r="T1763" t="str">
        <f t="shared" si="54"/>
        <v>High</v>
      </c>
      <c r="U1763" t="str">
        <f t="shared" si="55"/>
        <v>Expert</v>
      </c>
    </row>
    <row r="1764" spans="1:21" x14ac:dyDescent="0.35">
      <c r="A1764" t="s">
        <v>1837</v>
      </c>
      <c r="B1764" t="s">
        <v>68</v>
      </c>
      <c r="C1764" t="s">
        <v>52</v>
      </c>
      <c r="D1764" t="s">
        <v>66</v>
      </c>
      <c r="E1764" t="s">
        <v>70</v>
      </c>
      <c r="F1764">
        <v>14</v>
      </c>
      <c r="G1764">
        <v>0.57999999999999996</v>
      </c>
      <c r="H1764">
        <v>0.38</v>
      </c>
      <c r="I1764" t="s">
        <v>60</v>
      </c>
      <c r="J1764">
        <v>52156</v>
      </c>
      <c r="K1764" t="s">
        <v>42</v>
      </c>
      <c r="L1764">
        <v>21</v>
      </c>
      <c r="M1764">
        <v>59</v>
      </c>
      <c r="N1764" t="s">
        <v>26</v>
      </c>
      <c r="O1764" t="s">
        <v>36</v>
      </c>
      <c r="P1764">
        <v>4.26</v>
      </c>
      <c r="Q1764" t="s">
        <v>34</v>
      </c>
      <c r="R1764">
        <v>4.7300000000000004</v>
      </c>
      <c r="S1764" t="s">
        <v>43</v>
      </c>
      <c r="T1764" t="str">
        <f t="shared" si="54"/>
        <v>Moderate</v>
      </c>
      <c r="U1764" t="str">
        <f t="shared" si="55"/>
        <v>Experienced</v>
      </c>
    </row>
    <row r="1765" spans="1:21" x14ac:dyDescent="0.35">
      <c r="A1765" t="s">
        <v>1838</v>
      </c>
      <c r="B1765" t="s">
        <v>30</v>
      </c>
      <c r="C1765" t="s">
        <v>82</v>
      </c>
      <c r="D1765" t="s">
        <v>22</v>
      </c>
      <c r="E1765" t="s">
        <v>23</v>
      </c>
      <c r="F1765">
        <v>9</v>
      </c>
      <c r="G1765">
        <v>0.56000000000000005</v>
      </c>
      <c r="H1765">
        <v>0.3</v>
      </c>
      <c r="I1765" t="s">
        <v>34</v>
      </c>
      <c r="J1765">
        <v>161107</v>
      </c>
      <c r="K1765" t="s">
        <v>42</v>
      </c>
      <c r="L1765">
        <v>1</v>
      </c>
      <c r="M1765">
        <v>32</v>
      </c>
      <c r="N1765" t="s">
        <v>42</v>
      </c>
      <c r="O1765" t="s">
        <v>36</v>
      </c>
      <c r="P1765">
        <v>2.19</v>
      </c>
      <c r="Q1765" t="s">
        <v>34</v>
      </c>
      <c r="R1765">
        <v>3.12</v>
      </c>
      <c r="S1765" t="s">
        <v>28</v>
      </c>
      <c r="T1765" t="str">
        <f t="shared" si="54"/>
        <v>Moderate</v>
      </c>
      <c r="U1765" t="str">
        <f t="shared" si="55"/>
        <v>Experienced</v>
      </c>
    </row>
    <row r="1766" spans="1:21" x14ac:dyDescent="0.35">
      <c r="A1766" t="s">
        <v>1839</v>
      </c>
      <c r="B1766" t="s">
        <v>20</v>
      </c>
      <c r="C1766" t="s">
        <v>74</v>
      </c>
      <c r="D1766" t="s">
        <v>75</v>
      </c>
      <c r="E1766" t="s">
        <v>23</v>
      </c>
      <c r="F1766">
        <v>19</v>
      </c>
      <c r="G1766">
        <v>0.18</v>
      </c>
      <c r="H1766">
        <v>0.2</v>
      </c>
      <c r="I1766" t="s">
        <v>24</v>
      </c>
      <c r="J1766">
        <v>50186</v>
      </c>
      <c r="K1766" t="s">
        <v>27</v>
      </c>
      <c r="L1766">
        <v>42</v>
      </c>
      <c r="M1766">
        <v>47</v>
      </c>
      <c r="N1766" t="s">
        <v>42</v>
      </c>
      <c r="O1766" t="s">
        <v>27</v>
      </c>
      <c r="P1766">
        <v>2.7</v>
      </c>
      <c r="Q1766" t="s">
        <v>34</v>
      </c>
      <c r="R1766">
        <v>4.1399999999999997</v>
      </c>
      <c r="S1766" t="s">
        <v>43</v>
      </c>
      <c r="T1766" t="str">
        <f t="shared" si="54"/>
        <v>High</v>
      </c>
      <c r="U1766" t="str">
        <f t="shared" si="55"/>
        <v>Expert</v>
      </c>
    </row>
    <row r="1767" spans="1:21" x14ac:dyDescent="0.35">
      <c r="A1767" t="s">
        <v>1840</v>
      </c>
      <c r="B1767" t="s">
        <v>102</v>
      </c>
      <c r="C1767" t="s">
        <v>46</v>
      </c>
      <c r="D1767" t="s">
        <v>75</v>
      </c>
      <c r="E1767" t="s">
        <v>33</v>
      </c>
      <c r="F1767">
        <v>5</v>
      </c>
      <c r="G1767">
        <v>0.18</v>
      </c>
      <c r="H1767">
        <v>0.53</v>
      </c>
      <c r="I1767" t="s">
        <v>24</v>
      </c>
      <c r="J1767">
        <v>143191</v>
      </c>
      <c r="K1767" t="s">
        <v>42</v>
      </c>
      <c r="L1767">
        <v>5</v>
      </c>
      <c r="M1767">
        <v>31</v>
      </c>
      <c r="N1767" t="s">
        <v>35</v>
      </c>
      <c r="O1767" t="s">
        <v>25</v>
      </c>
      <c r="P1767">
        <v>3.63</v>
      </c>
      <c r="Q1767" t="s">
        <v>24</v>
      </c>
      <c r="R1767">
        <v>5</v>
      </c>
      <c r="S1767" t="s">
        <v>47</v>
      </c>
      <c r="T1767" t="str">
        <f t="shared" si="54"/>
        <v>High</v>
      </c>
      <c r="U1767" t="str">
        <f t="shared" si="55"/>
        <v>Intermediate</v>
      </c>
    </row>
    <row r="1768" spans="1:21" x14ac:dyDescent="0.35">
      <c r="A1768" t="s">
        <v>1841</v>
      </c>
      <c r="B1768" t="s">
        <v>156</v>
      </c>
      <c r="C1768" t="s">
        <v>52</v>
      </c>
      <c r="D1768" t="s">
        <v>63</v>
      </c>
      <c r="E1768" t="s">
        <v>70</v>
      </c>
      <c r="F1768">
        <v>16</v>
      </c>
      <c r="G1768">
        <v>0.15</v>
      </c>
      <c r="H1768">
        <v>0.89</v>
      </c>
      <c r="I1768" t="s">
        <v>60</v>
      </c>
      <c r="J1768">
        <v>98903</v>
      </c>
      <c r="K1768" t="s">
        <v>42</v>
      </c>
      <c r="L1768">
        <v>11</v>
      </c>
      <c r="M1768">
        <v>46</v>
      </c>
      <c r="N1768" t="s">
        <v>42</v>
      </c>
      <c r="O1768" t="s">
        <v>36</v>
      </c>
      <c r="P1768">
        <v>3.11</v>
      </c>
      <c r="Q1768" t="s">
        <v>34</v>
      </c>
      <c r="R1768">
        <v>2.42</v>
      </c>
      <c r="S1768" t="s">
        <v>28</v>
      </c>
      <c r="T1768" t="str">
        <f t="shared" si="54"/>
        <v>Very High</v>
      </c>
      <c r="U1768" t="str">
        <f t="shared" si="55"/>
        <v>Expert</v>
      </c>
    </row>
    <row r="1769" spans="1:21" x14ac:dyDescent="0.35">
      <c r="A1769" t="s">
        <v>1842</v>
      </c>
      <c r="B1769" t="s">
        <v>91</v>
      </c>
      <c r="C1769" t="s">
        <v>55</v>
      </c>
      <c r="D1769" t="s">
        <v>59</v>
      </c>
      <c r="E1769" t="s">
        <v>70</v>
      </c>
      <c r="F1769">
        <v>2</v>
      </c>
      <c r="G1769">
        <v>0.6</v>
      </c>
      <c r="H1769">
        <v>0.94</v>
      </c>
      <c r="I1769" t="s">
        <v>34</v>
      </c>
      <c r="J1769">
        <v>120817</v>
      </c>
      <c r="K1769" t="s">
        <v>27</v>
      </c>
      <c r="L1769">
        <v>24</v>
      </c>
      <c r="M1769">
        <v>36</v>
      </c>
      <c r="N1769" t="s">
        <v>26</v>
      </c>
      <c r="O1769" t="s">
        <v>27</v>
      </c>
      <c r="P1769">
        <v>3.37</v>
      </c>
      <c r="Q1769" t="s">
        <v>24</v>
      </c>
      <c r="R1769">
        <v>3.63</v>
      </c>
      <c r="S1769" t="s">
        <v>43</v>
      </c>
      <c r="T1769" t="str">
        <f t="shared" si="54"/>
        <v>High</v>
      </c>
      <c r="U1769" t="str">
        <f t="shared" si="55"/>
        <v>Beginner</v>
      </c>
    </row>
    <row r="1770" spans="1:21" x14ac:dyDescent="0.35">
      <c r="A1770" t="s">
        <v>1843</v>
      </c>
      <c r="B1770" t="s">
        <v>38</v>
      </c>
      <c r="C1770" t="s">
        <v>74</v>
      </c>
      <c r="D1770" t="s">
        <v>80</v>
      </c>
      <c r="E1770" t="s">
        <v>23</v>
      </c>
      <c r="F1770">
        <v>21</v>
      </c>
      <c r="G1770">
        <v>0.64</v>
      </c>
      <c r="H1770">
        <v>0.36</v>
      </c>
      <c r="I1770" t="s">
        <v>34</v>
      </c>
      <c r="J1770">
        <v>172241</v>
      </c>
      <c r="K1770" t="s">
        <v>25</v>
      </c>
      <c r="L1770">
        <v>19</v>
      </c>
      <c r="M1770">
        <v>50</v>
      </c>
      <c r="N1770" t="s">
        <v>26</v>
      </c>
      <c r="O1770" t="s">
        <v>25</v>
      </c>
      <c r="P1770">
        <v>2.98</v>
      </c>
      <c r="Q1770" t="s">
        <v>34</v>
      </c>
      <c r="R1770">
        <v>4.62</v>
      </c>
      <c r="S1770" t="s">
        <v>28</v>
      </c>
      <c r="T1770" t="str">
        <f t="shared" si="54"/>
        <v>Moderate</v>
      </c>
      <c r="U1770" t="str">
        <f t="shared" si="55"/>
        <v>Expert</v>
      </c>
    </row>
    <row r="1771" spans="1:21" x14ac:dyDescent="0.35">
      <c r="A1771" t="s">
        <v>1844</v>
      </c>
      <c r="B1771" t="s">
        <v>62</v>
      </c>
      <c r="C1771" t="s">
        <v>107</v>
      </c>
      <c r="D1771" t="s">
        <v>69</v>
      </c>
      <c r="E1771" t="s">
        <v>33</v>
      </c>
      <c r="F1771">
        <v>18</v>
      </c>
      <c r="G1771">
        <v>0.28999999999999998</v>
      </c>
      <c r="H1771">
        <v>0.54</v>
      </c>
      <c r="I1771" t="s">
        <v>24</v>
      </c>
      <c r="J1771">
        <v>188009</v>
      </c>
      <c r="K1771" t="s">
        <v>42</v>
      </c>
      <c r="L1771">
        <v>41</v>
      </c>
      <c r="M1771">
        <v>58</v>
      </c>
      <c r="N1771" t="s">
        <v>26</v>
      </c>
      <c r="O1771" t="s">
        <v>27</v>
      </c>
      <c r="P1771">
        <v>2.85</v>
      </c>
      <c r="Q1771" t="s">
        <v>34</v>
      </c>
      <c r="R1771">
        <v>3.1</v>
      </c>
      <c r="S1771" t="s">
        <v>43</v>
      </c>
      <c r="T1771" t="str">
        <f t="shared" si="54"/>
        <v>High</v>
      </c>
      <c r="U1771" t="str">
        <f t="shared" si="55"/>
        <v>Expert</v>
      </c>
    </row>
    <row r="1772" spans="1:21" x14ac:dyDescent="0.35">
      <c r="A1772" t="s">
        <v>1845</v>
      </c>
      <c r="B1772" t="s">
        <v>73</v>
      </c>
      <c r="C1772" t="s">
        <v>21</v>
      </c>
      <c r="D1772" t="s">
        <v>75</v>
      </c>
      <c r="E1772" t="s">
        <v>33</v>
      </c>
      <c r="F1772">
        <v>20</v>
      </c>
      <c r="G1772">
        <v>0.44</v>
      </c>
      <c r="H1772">
        <v>0.65</v>
      </c>
      <c r="I1772" t="s">
        <v>34</v>
      </c>
      <c r="J1772">
        <v>188912</v>
      </c>
      <c r="K1772" t="s">
        <v>25</v>
      </c>
      <c r="L1772">
        <v>28</v>
      </c>
      <c r="M1772">
        <v>54</v>
      </c>
      <c r="N1772" t="s">
        <v>35</v>
      </c>
      <c r="O1772" t="s">
        <v>27</v>
      </c>
      <c r="P1772">
        <v>4.3600000000000003</v>
      </c>
      <c r="Q1772" t="s">
        <v>34</v>
      </c>
      <c r="R1772">
        <v>4.42</v>
      </c>
      <c r="S1772" t="s">
        <v>28</v>
      </c>
      <c r="T1772" t="str">
        <f t="shared" si="54"/>
        <v>High</v>
      </c>
      <c r="U1772" t="str">
        <f t="shared" si="55"/>
        <v>Expert</v>
      </c>
    </row>
    <row r="1773" spans="1:21" x14ac:dyDescent="0.35">
      <c r="A1773" t="s">
        <v>1846</v>
      </c>
      <c r="B1773" t="s">
        <v>45</v>
      </c>
      <c r="C1773" t="s">
        <v>46</v>
      </c>
      <c r="D1773" t="s">
        <v>75</v>
      </c>
      <c r="E1773" t="s">
        <v>70</v>
      </c>
      <c r="F1773">
        <v>11</v>
      </c>
      <c r="G1773">
        <v>0.14000000000000001</v>
      </c>
      <c r="H1773">
        <v>0.3</v>
      </c>
      <c r="I1773" t="s">
        <v>60</v>
      </c>
      <c r="J1773">
        <v>125769</v>
      </c>
      <c r="K1773" t="s">
        <v>42</v>
      </c>
      <c r="L1773">
        <v>0</v>
      </c>
      <c r="M1773">
        <v>56</v>
      </c>
      <c r="N1773" t="s">
        <v>42</v>
      </c>
      <c r="O1773" t="s">
        <v>27</v>
      </c>
      <c r="P1773">
        <v>2.81</v>
      </c>
      <c r="Q1773" t="s">
        <v>24</v>
      </c>
      <c r="R1773">
        <v>1.6</v>
      </c>
      <c r="S1773" t="s">
        <v>47</v>
      </c>
      <c r="T1773" t="str">
        <f t="shared" si="54"/>
        <v>High</v>
      </c>
      <c r="U1773" t="str">
        <f t="shared" si="55"/>
        <v>Experienced</v>
      </c>
    </row>
    <row r="1774" spans="1:21" x14ac:dyDescent="0.35">
      <c r="A1774" t="s">
        <v>1847</v>
      </c>
      <c r="B1774" t="s">
        <v>147</v>
      </c>
      <c r="C1774" t="s">
        <v>58</v>
      </c>
      <c r="D1774" t="s">
        <v>80</v>
      </c>
      <c r="E1774" t="s">
        <v>33</v>
      </c>
      <c r="F1774">
        <v>9</v>
      </c>
      <c r="G1774">
        <v>0.26</v>
      </c>
      <c r="H1774">
        <v>0.37</v>
      </c>
      <c r="I1774" t="s">
        <v>24</v>
      </c>
      <c r="J1774">
        <v>207763</v>
      </c>
      <c r="K1774" t="s">
        <v>27</v>
      </c>
      <c r="L1774">
        <v>-2</v>
      </c>
      <c r="M1774">
        <v>42</v>
      </c>
      <c r="N1774" t="s">
        <v>35</v>
      </c>
      <c r="O1774" t="s">
        <v>36</v>
      </c>
      <c r="P1774">
        <v>2.72</v>
      </c>
      <c r="Q1774" t="s">
        <v>24</v>
      </c>
      <c r="R1774">
        <v>4.82</v>
      </c>
      <c r="S1774" t="s">
        <v>47</v>
      </c>
      <c r="T1774" t="str">
        <f t="shared" si="54"/>
        <v>High</v>
      </c>
      <c r="U1774" t="str">
        <f t="shared" si="55"/>
        <v>Experienced</v>
      </c>
    </row>
    <row r="1775" spans="1:21" x14ac:dyDescent="0.35">
      <c r="A1775" t="s">
        <v>1848</v>
      </c>
      <c r="B1775" t="s">
        <v>62</v>
      </c>
      <c r="C1775" t="s">
        <v>21</v>
      </c>
      <c r="D1775" t="s">
        <v>66</v>
      </c>
      <c r="E1775" t="s">
        <v>33</v>
      </c>
      <c r="F1775">
        <v>1</v>
      </c>
      <c r="G1775">
        <v>0.9</v>
      </c>
      <c r="H1775">
        <v>0.67</v>
      </c>
      <c r="I1775" t="s">
        <v>24</v>
      </c>
      <c r="J1775">
        <v>168163</v>
      </c>
      <c r="K1775" t="s">
        <v>42</v>
      </c>
      <c r="L1775">
        <v>23</v>
      </c>
      <c r="M1775">
        <v>39</v>
      </c>
      <c r="N1775" t="s">
        <v>35</v>
      </c>
      <c r="O1775" t="s">
        <v>36</v>
      </c>
      <c r="P1775">
        <v>2.15</v>
      </c>
      <c r="Q1775" t="s">
        <v>34</v>
      </c>
      <c r="R1775">
        <v>2.48</v>
      </c>
      <c r="S1775" t="s">
        <v>28</v>
      </c>
      <c r="T1775" t="str">
        <f t="shared" si="54"/>
        <v>Moderate</v>
      </c>
      <c r="U1775" t="str">
        <f t="shared" si="55"/>
        <v>Beginner</v>
      </c>
    </row>
    <row r="1776" spans="1:21" x14ac:dyDescent="0.35">
      <c r="A1776" t="s">
        <v>1849</v>
      </c>
      <c r="B1776" t="s">
        <v>77</v>
      </c>
      <c r="C1776" t="s">
        <v>107</v>
      </c>
      <c r="D1776" t="s">
        <v>75</v>
      </c>
      <c r="E1776" t="s">
        <v>33</v>
      </c>
      <c r="F1776">
        <v>8</v>
      </c>
      <c r="G1776">
        <v>0.57999999999999996</v>
      </c>
      <c r="H1776">
        <v>0.94</v>
      </c>
      <c r="I1776" t="s">
        <v>34</v>
      </c>
      <c r="J1776">
        <v>178112</v>
      </c>
      <c r="K1776" t="s">
        <v>25</v>
      </c>
      <c r="L1776">
        <v>9</v>
      </c>
      <c r="M1776">
        <v>59</v>
      </c>
      <c r="N1776" t="s">
        <v>35</v>
      </c>
      <c r="O1776" t="s">
        <v>25</v>
      </c>
      <c r="P1776">
        <v>2.0699999999999998</v>
      </c>
      <c r="Q1776" t="s">
        <v>24</v>
      </c>
      <c r="R1776">
        <v>2.87</v>
      </c>
      <c r="S1776" t="s">
        <v>47</v>
      </c>
      <c r="T1776" t="str">
        <f t="shared" si="54"/>
        <v>High</v>
      </c>
      <c r="U1776" t="str">
        <f t="shared" si="55"/>
        <v>Intermediate</v>
      </c>
    </row>
    <row r="1777" spans="1:21" x14ac:dyDescent="0.35">
      <c r="A1777" t="s">
        <v>1850</v>
      </c>
      <c r="B1777" t="s">
        <v>57</v>
      </c>
      <c r="C1777" t="s">
        <v>107</v>
      </c>
      <c r="D1777" t="s">
        <v>69</v>
      </c>
      <c r="E1777" t="s">
        <v>70</v>
      </c>
      <c r="F1777">
        <v>10</v>
      </c>
      <c r="G1777">
        <v>0.17</v>
      </c>
      <c r="H1777">
        <v>0.89</v>
      </c>
      <c r="I1777" t="s">
        <v>34</v>
      </c>
      <c r="J1777">
        <v>154443</v>
      </c>
      <c r="K1777" t="s">
        <v>42</v>
      </c>
      <c r="L1777">
        <v>15</v>
      </c>
      <c r="M1777">
        <v>32</v>
      </c>
      <c r="N1777" t="s">
        <v>42</v>
      </c>
      <c r="O1777" t="s">
        <v>25</v>
      </c>
      <c r="P1777">
        <v>3.33</v>
      </c>
      <c r="Q1777" t="s">
        <v>34</v>
      </c>
      <c r="R1777">
        <v>4.79</v>
      </c>
      <c r="S1777" t="s">
        <v>43</v>
      </c>
      <c r="T1777" t="str">
        <f t="shared" si="54"/>
        <v>Very High</v>
      </c>
      <c r="U1777" t="str">
        <f t="shared" si="55"/>
        <v>Experienced</v>
      </c>
    </row>
    <row r="1778" spans="1:21" x14ac:dyDescent="0.35">
      <c r="A1778" t="s">
        <v>1851</v>
      </c>
      <c r="B1778" t="s">
        <v>68</v>
      </c>
      <c r="C1778" t="s">
        <v>74</v>
      </c>
      <c r="D1778" t="s">
        <v>59</v>
      </c>
      <c r="E1778" t="s">
        <v>33</v>
      </c>
      <c r="F1778">
        <v>25</v>
      </c>
      <c r="G1778">
        <v>0.21</v>
      </c>
      <c r="H1778">
        <v>0.51</v>
      </c>
      <c r="I1778" t="s">
        <v>60</v>
      </c>
      <c r="J1778">
        <v>142195</v>
      </c>
      <c r="K1778" t="s">
        <v>27</v>
      </c>
      <c r="L1778">
        <v>45</v>
      </c>
      <c r="M1778">
        <v>34</v>
      </c>
      <c r="N1778" t="s">
        <v>26</v>
      </c>
      <c r="O1778" t="s">
        <v>36</v>
      </c>
      <c r="P1778">
        <v>2.54</v>
      </c>
      <c r="Q1778" t="s">
        <v>24</v>
      </c>
      <c r="R1778">
        <v>4.33</v>
      </c>
      <c r="S1778" t="s">
        <v>47</v>
      </c>
      <c r="T1778" t="str">
        <f t="shared" si="54"/>
        <v>High</v>
      </c>
      <c r="U1778" t="str">
        <f t="shared" si="55"/>
        <v>Expert</v>
      </c>
    </row>
    <row r="1779" spans="1:21" x14ac:dyDescent="0.35">
      <c r="A1779" t="s">
        <v>1852</v>
      </c>
      <c r="B1779" t="s">
        <v>38</v>
      </c>
      <c r="C1779" t="s">
        <v>58</v>
      </c>
      <c r="D1779" t="s">
        <v>69</v>
      </c>
      <c r="E1779" t="s">
        <v>33</v>
      </c>
      <c r="F1779">
        <v>15</v>
      </c>
      <c r="G1779">
        <v>0.8</v>
      </c>
      <c r="H1779">
        <v>0.38</v>
      </c>
      <c r="I1779" t="s">
        <v>60</v>
      </c>
      <c r="J1779">
        <v>95420</v>
      </c>
      <c r="K1779" t="s">
        <v>27</v>
      </c>
      <c r="L1779">
        <v>24</v>
      </c>
      <c r="M1779">
        <v>49</v>
      </c>
      <c r="N1779" t="s">
        <v>26</v>
      </c>
      <c r="O1779" t="s">
        <v>36</v>
      </c>
      <c r="P1779">
        <v>3.51</v>
      </c>
      <c r="Q1779" t="s">
        <v>34</v>
      </c>
      <c r="R1779">
        <v>4.25</v>
      </c>
      <c r="S1779" t="s">
        <v>43</v>
      </c>
      <c r="T1779" t="str">
        <f t="shared" si="54"/>
        <v>Very Low</v>
      </c>
      <c r="U1779" t="str">
        <f t="shared" si="55"/>
        <v>Experienced</v>
      </c>
    </row>
    <row r="1780" spans="1:21" x14ac:dyDescent="0.35">
      <c r="A1780" t="s">
        <v>1853</v>
      </c>
      <c r="B1780" t="s">
        <v>91</v>
      </c>
      <c r="C1780" t="s">
        <v>21</v>
      </c>
      <c r="D1780" t="s">
        <v>22</v>
      </c>
      <c r="E1780" t="s">
        <v>41</v>
      </c>
      <c r="F1780">
        <v>4</v>
      </c>
      <c r="G1780">
        <v>0.83</v>
      </c>
      <c r="H1780">
        <v>0.88</v>
      </c>
      <c r="I1780" t="s">
        <v>34</v>
      </c>
      <c r="J1780">
        <v>87946</v>
      </c>
      <c r="K1780" t="s">
        <v>42</v>
      </c>
      <c r="L1780">
        <v>28</v>
      </c>
      <c r="M1780">
        <v>37</v>
      </c>
      <c r="N1780" t="s">
        <v>26</v>
      </c>
      <c r="O1780" t="s">
        <v>27</v>
      </c>
      <c r="P1780">
        <v>4.3600000000000003</v>
      </c>
      <c r="Q1780" t="s">
        <v>34</v>
      </c>
      <c r="R1780">
        <v>2.85</v>
      </c>
      <c r="S1780" t="s">
        <v>47</v>
      </c>
      <c r="T1780" t="str">
        <f t="shared" si="54"/>
        <v>High</v>
      </c>
      <c r="U1780" t="str">
        <f t="shared" si="55"/>
        <v>Intermediate</v>
      </c>
    </row>
    <row r="1781" spans="1:21" x14ac:dyDescent="0.35">
      <c r="A1781" t="s">
        <v>1854</v>
      </c>
      <c r="B1781" t="s">
        <v>96</v>
      </c>
      <c r="C1781" t="s">
        <v>74</v>
      </c>
      <c r="D1781" t="s">
        <v>22</v>
      </c>
      <c r="E1781" t="s">
        <v>41</v>
      </c>
      <c r="F1781">
        <v>1</v>
      </c>
      <c r="G1781">
        <v>0.22</v>
      </c>
      <c r="H1781">
        <v>0.34</v>
      </c>
      <c r="I1781" t="s">
        <v>24</v>
      </c>
      <c r="J1781">
        <v>215125</v>
      </c>
      <c r="K1781" t="s">
        <v>27</v>
      </c>
      <c r="L1781">
        <v>7</v>
      </c>
      <c r="M1781">
        <v>56</v>
      </c>
      <c r="N1781" t="s">
        <v>42</v>
      </c>
      <c r="O1781" t="s">
        <v>25</v>
      </c>
      <c r="P1781">
        <v>3.18</v>
      </c>
      <c r="Q1781" t="s">
        <v>24</v>
      </c>
      <c r="R1781">
        <v>2.57</v>
      </c>
      <c r="S1781" t="s">
        <v>43</v>
      </c>
      <c r="T1781" t="str">
        <f t="shared" si="54"/>
        <v>High</v>
      </c>
      <c r="U1781" t="str">
        <f t="shared" si="55"/>
        <v>Beginner</v>
      </c>
    </row>
    <row r="1782" spans="1:21" x14ac:dyDescent="0.35">
      <c r="A1782" t="s">
        <v>1855</v>
      </c>
      <c r="B1782" t="s">
        <v>156</v>
      </c>
      <c r="C1782" t="s">
        <v>58</v>
      </c>
      <c r="D1782" t="s">
        <v>49</v>
      </c>
      <c r="E1782" t="s">
        <v>33</v>
      </c>
      <c r="F1782">
        <v>5</v>
      </c>
      <c r="G1782">
        <v>0.28000000000000003</v>
      </c>
      <c r="H1782">
        <v>0.32</v>
      </c>
      <c r="I1782" t="s">
        <v>34</v>
      </c>
      <c r="J1782">
        <v>215478</v>
      </c>
      <c r="K1782" t="s">
        <v>42</v>
      </c>
      <c r="L1782">
        <v>35</v>
      </c>
      <c r="M1782">
        <v>46</v>
      </c>
      <c r="N1782" t="s">
        <v>35</v>
      </c>
      <c r="O1782" t="s">
        <v>36</v>
      </c>
      <c r="P1782">
        <v>2.4700000000000002</v>
      </c>
      <c r="Q1782" t="s">
        <v>24</v>
      </c>
      <c r="R1782">
        <v>4.3899999999999997</v>
      </c>
      <c r="S1782" t="s">
        <v>28</v>
      </c>
      <c r="T1782" t="str">
        <f t="shared" si="54"/>
        <v>High</v>
      </c>
      <c r="U1782" t="str">
        <f t="shared" si="55"/>
        <v>Intermediate</v>
      </c>
    </row>
    <row r="1783" spans="1:21" x14ac:dyDescent="0.35">
      <c r="A1783" t="s">
        <v>1856</v>
      </c>
      <c r="B1783" t="s">
        <v>102</v>
      </c>
      <c r="C1783" t="s">
        <v>58</v>
      </c>
      <c r="D1783" t="s">
        <v>75</v>
      </c>
      <c r="E1783" t="s">
        <v>41</v>
      </c>
      <c r="F1783">
        <v>18</v>
      </c>
      <c r="G1783">
        <v>0.87</v>
      </c>
      <c r="H1783">
        <v>0.35</v>
      </c>
      <c r="I1783" t="s">
        <v>24</v>
      </c>
      <c r="J1783">
        <v>127552</v>
      </c>
      <c r="K1783" t="s">
        <v>25</v>
      </c>
      <c r="L1783">
        <v>32</v>
      </c>
      <c r="M1783">
        <v>43</v>
      </c>
      <c r="N1783" t="s">
        <v>35</v>
      </c>
      <c r="O1783" t="s">
        <v>27</v>
      </c>
      <c r="P1783">
        <v>4.93</v>
      </c>
      <c r="Q1783" t="s">
        <v>34</v>
      </c>
      <c r="R1783">
        <v>3.06</v>
      </c>
      <c r="S1783" t="s">
        <v>43</v>
      </c>
      <c r="T1783" t="str">
        <f t="shared" si="54"/>
        <v>Very Low</v>
      </c>
      <c r="U1783" t="str">
        <f t="shared" si="55"/>
        <v>Expert</v>
      </c>
    </row>
    <row r="1784" spans="1:21" x14ac:dyDescent="0.35">
      <c r="A1784" t="s">
        <v>1857</v>
      </c>
      <c r="B1784" t="s">
        <v>62</v>
      </c>
      <c r="C1784" t="s">
        <v>107</v>
      </c>
      <c r="D1784" t="s">
        <v>75</v>
      </c>
      <c r="E1784" t="s">
        <v>33</v>
      </c>
      <c r="F1784">
        <v>9</v>
      </c>
      <c r="G1784">
        <v>0.42</v>
      </c>
      <c r="H1784">
        <v>0.57999999999999996</v>
      </c>
      <c r="I1784" t="s">
        <v>34</v>
      </c>
      <c r="J1784">
        <v>174897</v>
      </c>
      <c r="K1784" t="s">
        <v>42</v>
      </c>
      <c r="L1784">
        <v>30</v>
      </c>
      <c r="M1784">
        <v>36</v>
      </c>
      <c r="N1784" t="s">
        <v>35</v>
      </c>
      <c r="O1784" t="s">
        <v>25</v>
      </c>
      <c r="P1784">
        <v>4.1399999999999997</v>
      </c>
      <c r="Q1784" t="s">
        <v>34</v>
      </c>
      <c r="R1784">
        <v>2.41</v>
      </c>
      <c r="S1784" t="s">
        <v>28</v>
      </c>
      <c r="T1784" t="str">
        <f t="shared" si="54"/>
        <v>High</v>
      </c>
      <c r="U1784" t="str">
        <f t="shared" si="55"/>
        <v>Experienced</v>
      </c>
    </row>
    <row r="1785" spans="1:21" x14ac:dyDescent="0.35">
      <c r="A1785" t="s">
        <v>1858</v>
      </c>
      <c r="B1785" t="s">
        <v>91</v>
      </c>
      <c r="C1785" t="s">
        <v>74</v>
      </c>
      <c r="D1785" t="s">
        <v>49</v>
      </c>
      <c r="E1785" t="s">
        <v>33</v>
      </c>
      <c r="F1785">
        <v>10</v>
      </c>
      <c r="G1785">
        <v>0.42</v>
      </c>
      <c r="H1785">
        <v>0.36</v>
      </c>
      <c r="I1785" t="s">
        <v>24</v>
      </c>
      <c r="J1785">
        <v>61742</v>
      </c>
      <c r="K1785" t="s">
        <v>27</v>
      </c>
      <c r="L1785">
        <v>13</v>
      </c>
      <c r="M1785">
        <v>33</v>
      </c>
      <c r="N1785" t="s">
        <v>26</v>
      </c>
      <c r="O1785" t="s">
        <v>36</v>
      </c>
      <c r="P1785">
        <v>3.19</v>
      </c>
      <c r="Q1785" t="s">
        <v>34</v>
      </c>
      <c r="R1785">
        <v>2.44</v>
      </c>
      <c r="S1785" t="s">
        <v>28</v>
      </c>
      <c r="T1785" t="str">
        <f t="shared" si="54"/>
        <v>Moderate</v>
      </c>
      <c r="U1785" t="str">
        <f t="shared" si="55"/>
        <v>Experienced</v>
      </c>
    </row>
    <row r="1786" spans="1:21" x14ac:dyDescent="0.35">
      <c r="A1786" t="s">
        <v>1859</v>
      </c>
      <c r="B1786" t="s">
        <v>57</v>
      </c>
      <c r="C1786" t="s">
        <v>107</v>
      </c>
      <c r="D1786" t="s">
        <v>63</v>
      </c>
      <c r="E1786" t="s">
        <v>33</v>
      </c>
      <c r="F1786">
        <v>5</v>
      </c>
      <c r="G1786">
        <v>0.76</v>
      </c>
      <c r="H1786">
        <v>0.71</v>
      </c>
      <c r="I1786" t="s">
        <v>60</v>
      </c>
      <c r="J1786">
        <v>89943</v>
      </c>
      <c r="K1786" t="s">
        <v>42</v>
      </c>
      <c r="L1786">
        <v>37</v>
      </c>
      <c r="M1786">
        <v>38</v>
      </c>
      <c r="N1786" t="s">
        <v>26</v>
      </c>
      <c r="O1786" t="s">
        <v>36</v>
      </c>
      <c r="P1786">
        <v>3.91</v>
      </c>
      <c r="Q1786" t="s">
        <v>24</v>
      </c>
      <c r="R1786">
        <v>1.03</v>
      </c>
      <c r="S1786" t="s">
        <v>47</v>
      </c>
      <c r="T1786" t="str">
        <f t="shared" si="54"/>
        <v>Moderate</v>
      </c>
      <c r="U1786" t="str">
        <f t="shared" si="55"/>
        <v>Intermediate</v>
      </c>
    </row>
    <row r="1787" spans="1:21" x14ac:dyDescent="0.35">
      <c r="A1787" t="s">
        <v>1860</v>
      </c>
      <c r="B1787" t="s">
        <v>147</v>
      </c>
      <c r="C1787" t="s">
        <v>39</v>
      </c>
      <c r="D1787" t="s">
        <v>49</v>
      </c>
      <c r="E1787" t="s">
        <v>33</v>
      </c>
      <c r="F1787">
        <v>7</v>
      </c>
      <c r="G1787">
        <v>0.28999999999999998</v>
      </c>
      <c r="H1787">
        <v>0.48</v>
      </c>
      <c r="I1787" t="s">
        <v>34</v>
      </c>
      <c r="J1787">
        <v>184107</v>
      </c>
      <c r="K1787" t="s">
        <v>42</v>
      </c>
      <c r="L1787">
        <v>16</v>
      </c>
      <c r="M1787">
        <v>31</v>
      </c>
      <c r="N1787" t="s">
        <v>42</v>
      </c>
      <c r="O1787" t="s">
        <v>25</v>
      </c>
      <c r="P1787">
        <v>2.85</v>
      </c>
      <c r="Q1787" t="s">
        <v>34</v>
      </c>
      <c r="R1787">
        <v>2.23</v>
      </c>
      <c r="S1787" t="s">
        <v>47</v>
      </c>
      <c r="T1787" t="str">
        <f t="shared" si="54"/>
        <v>High</v>
      </c>
      <c r="U1787" t="str">
        <f t="shared" si="55"/>
        <v>Intermediate</v>
      </c>
    </row>
    <row r="1788" spans="1:21" x14ac:dyDescent="0.35">
      <c r="A1788" t="s">
        <v>1861</v>
      </c>
      <c r="B1788" t="s">
        <v>20</v>
      </c>
      <c r="C1788" t="s">
        <v>82</v>
      </c>
      <c r="D1788" t="s">
        <v>40</v>
      </c>
      <c r="E1788" t="s">
        <v>41</v>
      </c>
      <c r="F1788">
        <v>19</v>
      </c>
      <c r="G1788">
        <v>0.76</v>
      </c>
      <c r="H1788">
        <v>0.32</v>
      </c>
      <c r="I1788" t="s">
        <v>24</v>
      </c>
      <c r="J1788">
        <v>184753</v>
      </c>
      <c r="K1788" t="s">
        <v>42</v>
      </c>
      <c r="L1788">
        <v>30</v>
      </c>
      <c r="M1788">
        <v>54</v>
      </c>
      <c r="N1788" t="s">
        <v>35</v>
      </c>
      <c r="O1788" t="s">
        <v>36</v>
      </c>
      <c r="P1788">
        <v>4.68</v>
      </c>
      <c r="Q1788" t="s">
        <v>24</v>
      </c>
      <c r="R1788">
        <v>3.42</v>
      </c>
      <c r="S1788" t="s">
        <v>47</v>
      </c>
      <c r="T1788" t="str">
        <f t="shared" si="54"/>
        <v>Very Low</v>
      </c>
      <c r="U1788" t="str">
        <f t="shared" si="55"/>
        <v>Expert</v>
      </c>
    </row>
    <row r="1789" spans="1:21" x14ac:dyDescent="0.35">
      <c r="A1789" t="s">
        <v>1862</v>
      </c>
      <c r="B1789" t="s">
        <v>91</v>
      </c>
      <c r="C1789" t="s">
        <v>52</v>
      </c>
      <c r="D1789" t="s">
        <v>22</v>
      </c>
      <c r="E1789" t="s">
        <v>70</v>
      </c>
      <c r="F1789">
        <v>6</v>
      </c>
      <c r="G1789">
        <v>0.86</v>
      </c>
      <c r="H1789">
        <v>0.64</v>
      </c>
      <c r="I1789" t="s">
        <v>60</v>
      </c>
      <c r="J1789">
        <v>36704</v>
      </c>
      <c r="K1789" t="s">
        <v>25</v>
      </c>
      <c r="L1789">
        <v>24</v>
      </c>
      <c r="M1789">
        <v>44</v>
      </c>
      <c r="N1789" t="s">
        <v>26</v>
      </c>
      <c r="O1789" t="s">
        <v>25</v>
      </c>
      <c r="P1789">
        <v>3.98</v>
      </c>
      <c r="Q1789" t="s">
        <v>34</v>
      </c>
      <c r="R1789">
        <v>4.01</v>
      </c>
      <c r="S1789" t="s">
        <v>43</v>
      </c>
      <c r="T1789" t="str">
        <f t="shared" si="54"/>
        <v>Moderate</v>
      </c>
      <c r="U1789" t="str">
        <f t="shared" si="55"/>
        <v>Intermediate</v>
      </c>
    </row>
    <row r="1790" spans="1:21" x14ac:dyDescent="0.35">
      <c r="A1790" t="s">
        <v>1863</v>
      </c>
      <c r="B1790" t="s">
        <v>96</v>
      </c>
      <c r="C1790" t="s">
        <v>46</v>
      </c>
      <c r="D1790" t="s">
        <v>66</v>
      </c>
      <c r="E1790" t="s">
        <v>33</v>
      </c>
      <c r="F1790">
        <v>13</v>
      </c>
      <c r="G1790">
        <v>0.32</v>
      </c>
      <c r="H1790">
        <v>0.54</v>
      </c>
      <c r="I1790" t="s">
        <v>60</v>
      </c>
      <c r="J1790">
        <v>132795</v>
      </c>
      <c r="K1790" t="s">
        <v>25</v>
      </c>
      <c r="L1790">
        <v>33</v>
      </c>
      <c r="M1790">
        <v>60</v>
      </c>
      <c r="N1790" t="s">
        <v>26</v>
      </c>
      <c r="O1790" t="s">
        <v>27</v>
      </c>
      <c r="P1790">
        <v>2.93</v>
      </c>
      <c r="Q1790" t="s">
        <v>34</v>
      </c>
      <c r="R1790">
        <v>3.02</v>
      </c>
      <c r="S1790" t="s">
        <v>28</v>
      </c>
      <c r="T1790" t="str">
        <f t="shared" si="54"/>
        <v>High</v>
      </c>
      <c r="U1790" t="str">
        <f t="shared" si="55"/>
        <v>Experienced</v>
      </c>
    </row>
    <row r="1791" spans="1:21" x14ac:dyDescent="0.35">
      <c r="A1791" t="s">
        <v>1864</v>
      </c>
      <c r="B1791" t="s">
        <v>51</v>
      </c>
      <c r="C1791" t="s">
        <v>46</v>
      </c>
      <c r="D1791" t="s">
        <v>49</v>
      </c>
      <c r="E1791" t="s">
        <v>33</v>
      </c>
      <c r="F1791">
        <v>12</v>
      </c>
      <c r="G1791">
        <v>0.21</v>
      </c>
      <c r="H1791">
        <v>0.82</v>
      </c>
      <c r="I1791" t="s">
        <v>34</v>
      </c>
      <c r="J1791">
        <v>141981</v>
      </c>
      <c r="K1791" t="s">
        <v>27</v>
      </c>
      <c r="L1791">
        <v>38</v>
      </c>
      <c r="M1791">
        <v>57</v>
      </c>
      <c r="N1791" t="s">
        <v>35</v>
      </c>
      <c r="O1791" t="s">
        <v>25</v>
      </c>
      <c r="P1791">
        <v>4.42</v>
      </c>
      <c r="Q1791" t="s">
        <v>24</v>
      </c>
      <c r="R1791">
        <v>2.31</v>
      </c>
      <c r="S1791" t="s">
        <v>28</v>
      </c>
      <c r="T1791" t="str">
        <f t="shared" si="54"/>
        <v>Very High</v>
      </c>
      <c r="U1791" t="str">
        <f t="shared" si="55"/>
        <v>Experienced</v>
      </c>
    </row>
    <row r="1792" spans="1:21" x14ac:dyDescent="0.35">
      <c r="A1792" t="s">
        <v>1865</v>
      </c>
      <c r="B1792" t="s">
        <v>77</v>
      </c>
      <c r="C1792" t="s">
        <v>82</v>
      </c>
      <c r="D1792" t="s">
        <v>49</v>
      </c>
      <c r="E1792" t="s">
        <v>41</v>
      </c>
      <c r="F1792">
        <v>23</v>
      </c>
      <c r="G1792">
        <v>0.8</v>
      </c>
      <c r="H1792">
        <v>0.53</v>
      </c>
      <c r="I1792" t="s">
        <v>60</v>
      </c>
      <c r="J1792">
        <v>171635</v>
      </c>
      <c r="K1792" t="s">
        <v>42</v>
      </c>
      <c r="L1792">
        <v>19</v>
      </c>
      <c r="M1792">
        <v>35</v>
      </c>
      <c r="N1792" t="s">
        <v>35</v>
      </c>
      <c r="O1792" t="s">
        <v>27</v>
      </c>
      <c r="P1792">
        <v>4.04</v>
      </c>
      <c r="Q1792" t="s">
        <v>34</v>
      </c>
      <c r="R1792">
        <v>3.55</v>
      </c>
      <c r="S1792" t="s">
        <v>43</v>
      </c>
      <c r="T1792" t="str">
        <f t="shared" si="54"/>
        <v>Moderate</v>
      </c>
      <c r="U1792" t="str">
        <f t="shared" si="55"/>
        <v>Expert</v>
      </c>
    </row>
    <row r="1793" spans="1:21" x14ac:dyDescent="0.35">
      <c r="A1793" t="s">
        <v>1866</v>
      </c>
      <c r="B1793" t="s">
        <v>20</v>
      </c>
      <c r="C1793" t="s">
        <v>58</v>
      </c>
      <c r="D1793" t="s">
        <v>69</v>
      </c>
      <c r="E1793" t="s">
        <v>23</v>
      </c>
      <c r="F1793">
        <v>5</v>
      </c>
      <c r="G1793">
        <v>0.59</v>
      </c>
      <c r="H1793">
        <v>0.79</v>
      </c>
      <c r="I1793" t="s">
        <v>60</v>
      </c>
      <c r="J1793">
        <v>52789</v>
      </c>
      <c r="K1793" t="s">
        <v>27</v>
      </c>
      <c r="L1793">
        <v>14</v>
      </c>
      <c r="M1793">
        <v>54</v>
      </c>
      <c r="N1793" t="s">
        <v>26</v>
      </c>
      <c r="O1793" t="s">
        <v>27</v>
      </c>
      <c r="P1793">
        <v>3.56</v>
      </c>
      <c r="Q1793" t="s">
        <v>34</v>
      </c>
      <c r="R1793">
        <v>4.7699999999999996</v>
      </c>
      <c r="S1793" t="s">
        <v>28</v>
      </c>
      <c r="T1793" t="str">
        <f t="shared" si="54"/>
        <v>High</v>
      </c>
      <c r="U1793" t="str">
        <f t="shared" si="55"/>
        <v>Intermediate</v>
      </c>
    </row>
    <row r="1794" spans="1:21" x14ac:dyDescent="0.35">
      <c r="A1794" t="s">
        <v>1867</v>
      </c>
      <c r="B1794" t="s">
        <v>77</v>
      </c>
      <c r="C1794" t="s">
        <v>74</v>
      </c>
      <c r="D1794" t="s">
        <v>40</v>
      </c>
      <c r="E1794" t="s">
        <v>23</v>
      </c>
      <c r="F1794">
        <v>19</v>
      </c>
      <c r="G1794">
        <v>7.0000000000000007E-2</v>
      </c>
      <c r="H1794">
        <v>0.39</v>
      </c>
      <c r="I1794" t="s">
        <v>60</v>
      </c>
      <c r="J1794">
        <v>200396</v>
      </c>
      <c r="K1794" t="s">
        <v>42</v>
      </c>
      <c r="L1794">
        <v>16</v>
      </c>
      <c r="M1794">
        <v>55</v>
      </c>
      <c r="N1794" t="s">
        <v>35</v>
      </c>
      <c r="O1794" t="s">
        <v>25</v>
      </c>
      <c r="P1794">
        <v>4</v>
      </c>
      <c r="Q1794" t="s">
        <v>34</v>
      </c>
      <c r="R1794">
        <v>1.19</v>
      </c>
      <c r="S1794" t="s">
        <v>28</v>
      </c>
      <c r="T1794" t="str">
        <f t="shared" si="54"/>
        <v>High</v>
      </c>
      <c r="U1794" t="str">
        <f t="shared" si="55"/>
        <v>Expert</v>
      </c>
    </row>
    <row r="1795" spans="1:21" x14ac:dyDescent="0.35">
      <c r="A1795" t="s">
        <v>1868</v>
      </c>
      <c r="B1795" t="s">
        <v>54</v>
      </c>
      <c r="C1795" t="s">
        <v>107</v>
      </c>
      <c r="D1795" t="s">
        <v>69</v>
      </c>
      <c r="E1795" t="s">
        <v>41</v>
      </c>
      <c r="F1795">
        <v>25</v>
      </c>
      <c r="G1795">
        <v>7.0000000000000007E-2</v>
      </c>
      <c r="H1795">
        <v>0.51</v>
      </c>
      <c r="I1795" t="s">
        <v>24</v>
      </c>
      <c r="J1795">
        <v>79968</v>
      </c>
      <c r="K1795" t="s">
        <v>27</v>
      </c>
      <c r="L1795">
        <v>43</v>
      </c>
      <c r="M1795">
        <v>55</v>
      </c>
      <c r="N1795" t="s">
        <v>35</v>
      </c>
      <c r="O1795" t="s">
        <v>36</v>
      </c>
      <c r="P1795">
        <v>4.9000000000000004</v>
      </c>
      <c r="Q1795" t="s">
        <v>24</v>
      </c>
      <c r="R1795">
        <v>3.53</v>
      </c>
      <c r="S1795" t="s">
        <v>28</v>
      </c>
      <c r="T1795" t="str">
        <f t="shared" ref="T1795:T1858" si="56">IF(AND(G1795&lt;0.4,H1795&gt;=0.7),"Very High",
IF(AND(G1795&gt;=0.7,H1795&lt;0.5),"Very Low",
IF(G1795&lt;H1795,"High","Moderate")))</f>
        <v>High</v>
      </c>
      <c r="U1795" t="str">
        <f t="shared" ref="U1795:U1858" si="57">_xlfn.IFS(F1795&lt;=2,"Beginner",F1795&lt;=8,"Intermediate",F1795&lt;=15,"Experienced",F1795&lt;=25,"Expert")</f>
        <v>Expert</v>
      </c>
    </row>
    <row r="1796" spans="1:21" x14ac:dyDescent="0.35">
      <c r="A1796" t="s">
        <v>1869</v>
      </c>
      <c r="B1796" t="s">
        <v>102</v>
      </c>
      <c r="C1796" t="s">
        <v>21</v>
      </c>
      <c r="D1796" t="s">
        <v>80</v>
      </c>
      <c r="E1796" t="s">
        <v>70</v>
      </c>
      <c r="F1796">
        <v>5</v>
      </c>
      <c r="G1796">
        <v>0.89</v>
      </c>
      <c r="H1796">
        <v>0.22</v>
      </c>
      <c r="I1796" t="s">
        <v>24</v>
      </c>
      <c r="J1796">
        <v>131071</v>
      </c>
      <c r="K1796" t="s">
        <v>25</v>
      </c>
      <c r="L1796">
        <v>30</v>
      </c>
      <c r="M1796">
        <v>34</v>
      </c>
      <c r="N1796" t="s">
        <v>35</v>
      </c>
      <c r="O1796" t="s">
        <v>27</v>
      </c>
      <c r="P1796">
        <v>2.2999999999999998</v>
      </c>
      <c r="Q1796" t="s">
        <v>24</v>
      </c>
      <c r="R1796">
        <v>1.86</v>
      </c>
      <c r="S1796" t="s">
        <v>47</v>
      </c>
      <c r="T1796" t="str">
        <f t="shared" si="56"/>
        <v>Very Low</v>
      </c>
      <c r="U1796" t="str">
        <f t="shared" si="57"/>
        <v>Intermediate</v>
      </c>
    </row>
    <row r="1797" spans="1:21" x14ac:dyDescent="0.35">
      <c r="A1797" t="s">
        <v>1870</v>
      </c>
      <c r="B1797" t="s">
        <v>45</v>
      </c>
      <c r="C1797" t="s">
        <v>82</v>
      </c>
      <c r="D1797" t="s">
        <v>49</v>
      </c>
      <c r="E1797" t="s">
        <v>41</v>
      </c>
      <c r="F1797">
        <v>5</v>
      </c>
      <c r="G1797">
        <v>0.74</v>
      </c>
      <c r="H1797">
        <v>0.67</v>
      </c>
      <c r="I1797" t="s">
        <v>24</v>
      </c>
      <c r="J1797">
        <v>76513</v>
      </c>
      <c r="K1797" t="s">
        <v>25</v>
      </c>
      <c r="L1797">
        <v>25</v>
      </c>
      <c r="M1797">
        <v>49</v>
      </c>
      <c r="N1797" t="s">
        <v>42</v>
      </c>
      <c r="O1797" t="s">
        <v>36</v>
      </c>
      <c r="P1797">
        <v>2.56</v>
      </c>
      <c r="Q1797" t="s">
        <v>24</v>
      </c>
      <c r="R1797">
        <v>1.73</v>
      </c>
      <c r="S1797" t="s">
        <v>43</v>
      </c>
      <c r="T1797" t="str">
        <f t="shared" si="56"/>
        <v>Moderate</v>
      </c>
      <c r="U1797" t="str">
        <f t="shared" si="57"/>
        <v>Intermediate</v>
      </c>
    </row>
    <row r="1798" spans="1:21" x14ac:dyDescent="0.35">
      <c r="A1798" t="s">
        <v>1871</v>
      </c>
      <c r="B1798" t="s">
        <v>156</v>
      </c>
      <c r="C1798" t="s">
        <v>58</v>
      </c>
      <c r="D1798" t="s">
        <v>75</v>
      </c>
      <c r="E1798" t="s">
        <v>41</v>
      </c>
      <c r="F1798">
        <v>20</v>
      </c>
      <c r="G1798">
        <v>0.49</v>
      </c>
      <c r="H1798">
        <v>0.45</v>
      </c>
      <c r="I1798" t="s">
        <v>60</v>
      </c>
      <c r="J1798">
        <v>180810</v>
      </c>
      <c r="K1798" t="s">
        <v>27</v>
      </c>
      <c r="L1798">
        <v>38</v>
      </c>
      <c r="M1798">
        <v>53</v>
      </c>
      <c r="N1798" t="s">
        <v>35</v>
      </c>
      <c r="O1798" t="s">
        <v>36</v>
      </c>
      <c r="P1798">
        <v>3.13</v>
      </c>
      <c r="Q1798" t="s">
        <v>34</v>
      </c>
      <c r="R1798">
        <v>4.37</v>
      </c>
      <c r="S1798" t="s">
        <v>47</v>
      </c>
      <c r="T1798" t="str">
        <f t="shared" si="56"/>
        <v>Moderate</v>
      </c>
      <c r="U1798" t="str">
        <f t="shared" si="57"/>
        <v>Expert</v>
      </c>
    </row>
    <row r="1799" spans="1:21" x14ac:dyDescent="0.35">
      <c r="A1799" t="s">
        <v>1872</v>
      </c>
      <c r="B1799" t="s">
        <v>89</v>
      </c>
      <c r="C1799" t="s">
        <v>21</v>
      </c>
      <c r="D1799" t="s">
        <v>63</v>
      </c>
      <c r="E1799" t="s">
        <v>41</v>
      </c>
      <c r="F1799">
        <v>10</v>
      </c>
      <c r="G1799">
        <v>0.94</v>
      </c>
      <c r="H1799">
        <v>0.82</v>
      </c>
      <c r="I1799" t="s">
        <v>34</v>
      </c>
      <c r="J1799">
        <v>163775</v>
      </c>
      <c r="K1799" t="s">
        <v>27</v>
      </c>
      <c r="L1799">
        <v>21</v>
      </c>
      <c r="M1799">
        <v>39</v>
      </c>
      <c r="N1799" t="s">
        <v>42</v>
      </c>
      <c r="O1799" t="s">
        <v>27</v>
      </c>
      <c r="P1799">
        <v>2.35</v>
      </c>
      <c r="Q1799" t="s">
        <v>34</v>
      </c>
      <c r="R1799">
        <v>4.91</v>
      </c>
      <c r="S1799" t="s">
        <v>47</v>
      </c>
      <c r="T1799" t="str">
        <f t="shared" si="56"/>
        <v>Moderate</v>
      </c>
      <c r="U1799" t="str">
        <f t="shared" si="57"/>
        <v>Experienced</v>
      </c>
    </row>
    <row r="1800" spans="1:21" x14ac:dyDescent="0.35">
      <c r="A1800" t="s">
        <v>1873</v>
      </c>
      <c r="B1800" t="s">
        <v>73</v>
      </c>
      <c r="C1800" t="s">
        <v>46</v>
      </c>
      <c r="D1800" t="s">
        <v>59</v>
      </c>
      <c r="E1800" t="s">
        <v>41</v>
      </c>
      <c r="F1800">
        <v>17</v>
      </c>
      <c r="G1800">
        <v>0.87</v>
      </c>
      <c r="H1800">
        <v>0.87</v>
      </c>
      <c r="I1800" t="s">
        <v>60</v>
      </c>
      <c r="J1800">
        <v>43953</v>
      </c>
      <c r="K1800" t="s">
        <v>25</v>
      </c>
      <c r="L1800">
        <v>8</v>
      </c>
      <c r="M1800">
        <v>50</v>
      </c>
      <c r="N1800" t="s">
        <v>26</v>
      </c>
      <c r="O1800" t="s">
        <v>27</v>
      </c>
      <c r="P1800">
        <v>3.92</v>
      </c>
      <c r="Q1800" t="s">
        <v>24</v>
      </c>
      <c r="R1800">
        <v>4.3499999999999996</v>
      </c>
      <c r="S1800" t="s">
        <v>47</v>
      </c>
      <c r="T1800" t="str">
        <f t="shared" si="56"/>
        <v>Moderate</v>
      </c>
      <c r="U1800" t="str">
        <f t="shared" si="57"/>
        <v>Expert</v>
      </c>
    </row>
    <row r="1801" spans="1:21" x14ac:dyDescent="0.35">
      <c r="A1801" t="s">
        <v>1874</v>
      </c>
      <c r="B1801" t="s">
        <v>102</v>
      </c>
      <c r="C1801" t="s">
        <v>82</v>
      </c>
      <c r="D1801" t="s">
        <v>66</v>
      </c>
      <c r="E1801" t="s">
        <v>41</v>
      </c>
      <c r="F1801">
        <v>17</v>
      </c>
      <c r="G1801">
        <v>0.39</v>
      </c>
      <c r="H1801">
        <v>0.67</v>
      </c>
      <c r="I1801" t="s">
        <v>24</v>
      </c>
      <c r="J1801">
        <v>216171</v>
      </c>
      <c r="K1801" t="s">
        <v>25</v>
      </c>
      <c r="L1801">
        <v>33</v>
      </c>
      <c r="M1801">
        <v>53</v>
      </c>
      <c r="N1801" t="s">
        <v>42</v>
      </c>
      <c r="O1801" t="s">
        <v>25</v>
      </c>
      <c r="P1801">
        <v>4.13</v>
      </c>
      <c r="Q1801" t="s">
        <v>34</v>
      </c>
      <c r="R1801">
        <v>1.64</v>
      </c>
      <c r="S1801" t="s">
        <v>47</v>
      </c>
      <c r="T1801" t="str">
        <f t="shared" si="56"/>
        <v>High</v>
      </c>
      <c r="U1801" t="str">
        <f t="shared" si="57"/>
        <v>Expert</v>
      </c>
    </row>
    <row r="1802" spans="1:21" x14ac:dyDescent="0.35">
      <c r="A1802" t="s">
        <v>1875</v>
      </c>
      <c r="B1802" t="s">
        <v>147</v>
      </c>
      <c r="C1802" t="s">
        <v>31</v>
      </c>
      <c r="D1802" t="s">
        <v>32</v>
      </c>
      <c r="E1802" t="s">
        <v>33</v>
      </c>
      <c r="F1802">
        <v>5</v>
      </c>
      <c r="G1802">
        <v>0.15</v>
      </c>
      <c r="H1802">
        <v>0.54</v>
      </c>
      <c r="I1802" t="s">
        <v>34</v>
      </c>
      <c r="J1802">
        <v>177849</v>
      </c>
      <c r="K1802" t="s">
        <v>42</v>
      </c>
      <c r="L1802">
        <v>33</v>
      </c>
      <c r="M1802">
        <v>30</v>
      </c>
      <c r="N1802" t="s">
        <v>35</v>
      </c>
      <c r="O1802" t="s">
        <v>27</v>
      </c>
      <c r="P1802">
        <v>4.2699999999999996</v>
      </c>
      <c r="Q1802" t="s">
        <v>34</v>
      </c>
      <c r="R1802">
        <v>2.78</v>
      </c>
      <c r="S1802" t="s">
        <v>47</v>
      </c>
      <c r="T1802" t="str">
        <f t="shared" si="56"/>
        <v>High</v>
      </c>
      <c r="U1802" t="str">
        <f t="shared" si="57"/>
        <v>Intermediate</v>
      </c>
    </row>
    <row r="1803" spans="1:21" x14ac:dyDescent="0.35">
      <c r="A1803" t="s">
        <v>1876</v>
      </c>
      <c r="B1803" t="s">
        <v>51</v>
      </c>
      <c r="C1803" t="s">
        <v>74</v>
      </c>
      <c r="D1803" t="s">
        <v>40</v>
      </c>
      <c r="E1803" t="s">
        <v>70</v>
      </c>
      <c r="F1803">
        <v>6</v>
      </c>
      <c r="G1803">
        <v>0.71</v>
      </c>
      <c r="H1803">
        <v>0.95</v>
      </c>
      <c r="I1803" t="s">
        <v>60</v>
      </c>
      <c r="J1803">
        <v>31850</v>
      </c>
      <c r="K1803" t="s">
        <v>42</v>
      </c>
      <c r="L1803">
        <v>45</v>
      </c>
      <c r="M1803">
        <v>38</v>
      </c>
      <c r="N1803" t="s">
        <v>35</v>
      </c>
      <c r="O1803" t="s">
        <v>36</v>
      </c>
      <c r="P1803">
        <v>3.33</v>
      </c>
      <c r="Q1803" t="s">
        <v>24</v>
      </c>
      <c r="R1803">
        <v>1.68</v>
      </c>
      <c r="S1803" t="s">
        <v>47</v>
      </c>
      <c r="T1803" t="str">
        <f t="shared" si="56"/>
        <v>High</v>
      </c>
      <c r="U1803" t="str">
        <f t="shared" si="57"/>
        <v>Intermediate</v>
      </c>
    </row>
    <row r="1804" spans="1:21" x14ac:dyDescent="0.35">
      <c r="A1804" t="s">
        <v>1877</v>
      </c>
      <c r="B1804" t="s">
        <v>156</v>
      </c>
      <c r="C1804" t="s">
        <v>74</v>
      </c>
      <c r="D1804" t="s">
        <v>59</v>
      </c>
      <c r="E1804" t="s">
        <v>41</v>
      </c>
      <c r="F1804">
        <v>19</v>
      </c>
      <c r="G1804">
        <v>0.82</v>
      </c>
      <c r="H1804">
        <v>0.42</v>
      </c>
      <c r="I1804" t="s">
        <v>60</v>
      </c>
      <c r="J1804">
        <v>206608</v>
      </c>
      <c r="K1804" t="s">
        <v>42</v>
      </c>
      <c r="L1804">
        <v>39</v>
      </c>
      <c r="M1804">
        <v>32</v>
      </c>
      <c r="N1804" t="s">
        <v>35</v>
      </c>
      <c r="O1804" t="s">
        <v>27</v>
      </c>
      <c r="P1804">
        <v>3.03</v>
      </c>
      <c r="Q1804" t="s">
        <v>34</v>
      </c>
      <c r="R1804">
        <v>2.29</v>
      </c>
      <c r="S1804" t="s">
        <v>43</v>
      </c>
      <c r="T1804" t="str">
        <f t="shared" si="56"/>
        <v>Very Low</v>
      </c>
      <c r="U1804" t="str">
        <f t="shared" si="57"/>
        <v>Expert</v>
      </c>
    </row>
    <row r="1805" spans="1:21" x14ac:dyDescent="0.35">
      <c r="A1805" t="s">
        <v>1878</v>
      </c>
      <c r="B1805" t="s">
        <v>91</v>
      </c>
      <c r="C1805" t="s">
        <v>58</v>
      </c>
      <c r="D1805" t="s">
        <v>59</v>
      </c>
      <c r="E1805" t="s">
        <v>23</v>
      </c>
      <c r="F1805">
        <v>16</v>
      </c>
      <c r="G1805">
        <v>0.2</v>
      </c>
      <c r="H1805">
        <v>0.43</v>
      </c>
      <c r="I1805" t="s">
        <v>34</v>
      </c>
      <c r="J1805">
        <v>158290</v>
      </c>
      <c r="K1805" t="s">
        <v>42</v>
      </c>
      <c r="L1805">
        <v>18</v>
      </c>
      <c r="M1805">
        <v>49</v>
      </c>
      <c r="N1805" t="s">
        <v>42</v>
      </c>
      <c r="O1805" t="s">
        <v>25</v>
      </c>
      <c r="P1805">
        <v>4.2</v>
      </c>
      <c r="Q1805" t="s">
        <v>24</v>
      </c>
      <c r="R1805">
        <v>4.9800000000000004</v>
      </c>
      <c r="S1805" t="s">
        <v>28</v>
      </c>
      <c r="T1805" t="str">
        <f t="shared" si="56"/>
        <v>High</v>
      </c>
      <c r="U1805" t="str">
        <f t="shared" si="57"/>
        <v>Expert</v>
      </c>
    </row>
    <row r="1806" spans="1:21" x14ac:dyDescent="0.35">
      <c r="A1806" t="s">
        <v>1879</v>
      </c>
      <c r="B1806" t="s">
        <v>156</v>
      </c>
      <c r="C1806" t="s">
        <v>21</v>
      </c>
      <c r="D1806" t="s">
        <v>49</v>
      </c>
      <c r="E1806" t="s">
        <v>33</v>
      </c>
      <c r="F1806">
        <v>14</v>
      </c>
      <c r="G1806">
        <v>0.89</v>
      </c>
      <c r="H1806">
        <v>0.38</v>
      </c>
      <c r="I1806" t="s">
        <v>24</v>
      </c>
      <c r="J1806">
        <v>115897</v>
      </c>
      <c r="K1806" t="s">
        <v>42</v>
      </c>
      <c r="L1806">
        <v>31</v>
      </c>
      <c r="M1806">
        <v>49</v>
      </c>
      <c r="N1806" t="s">
        <v>42</v>
      </c>
      <c r="O1806" t="s">
        <v>25</v>
      </c>
      <c r="P1806">
        <v>4.79</v>
      </c>
      <c r="Q1806" t="s">
        <v>24</v>
      </c>
      <c r="R1806">
        <v>3.19</v>
      </c>
      <c r="S1806" t="s">
        <v>28</v>
      </c>
      <c r="T1806" t="str">
        <f t="shared" si="56"/>
        <v>Very Low</v>
      </c>
      <c r="U1806" t="str">
        <f t="shared" si="57"/>
        <v>Experienced</v>
      </c>
    </row>
    <row r="1807" spans="1:21" x14ac:dyDescent="0.35">
      <c r="A1807" t="s">
        <v>1880</v>
      </c>
      <c r="B1807" t="s">
        <v>45</v>
      </c>
      <c r="C1807" t="s">
        <v>39</v>
      </c>
      <c r="D1807" t="s">
        <v>66</v>
      </c>
      <c r="E1807" t="s">
        <v>41</v>
      </c>
      <c r="F1807">
        <v>13</v>
      </c>
      <c r="G1807">
        <v>0.06</v>
      </c>
      <c r="H1807">
        <v>0.28999999999999998</v>
      </c>
      <c r="I1807" t="s">
        <v>24</v>
      </c>
      <c r="J1807">
        <v>71327</v>
      </c>
      <c r="K1807" t="s">
        <v>42</v>
      </c>
      <c r="L1807">
        <v>24</v>
      </c>
      <c r="M1807">
        <v>30</v>
      </c>
      <c r="N1807" t="s">
        <v>35</v>
      </c>
      <c r="O1807" t="s">
        <v>27</v>
      </c>
      <c r="P1807">
        <v>3.79</v>
      </c>
      <c r="Q1807" t="s">
        <v>34</v>
      </c>
      <c r="R1807">
        <v>1.1200000000000001</v>
      </c>
      <c r="S1807" t="s">
        <v>43</v>
      </c>
      <c r="T1807" t="str">
        <f t="shared" si="56"/>
        <v>High</v>
      </c>
      <c r="U1807" t="str">
        <f t="shared" si="57"/>
        <v>Experienced</v>
      </c>
    </row>
    <row r="1808" spans="1:21" x14ac:dyDescent="0.35">
      <c r="A1808" t="s">
        <v>1881</v>
      </c>
      <c r="B1808" t="s">
        <v>54</v>
      </c>
      <c r="C1808" t="s">
        <v>107</v>
      </c>
      <c r="D1808" t="s">
        <v>40</v>
      </c>
      <c r="E1808" t="s">
        <v>41</v>
      </c>
      <c r="F1808">
        <v>14</v>
      </c>
      <c r="G1808">
        <v>0.11</v>
      </c>
      <c r="H1808">
        <v>0.56999999999999995</v>
      </c>
      <c r="I1808" t="s">
        <v>24</v>
      </c>
      <c r="J1808">
        <v>216976</v>
      </c>
      <c r="K1808" t="s">
        <v>27</v>
      </c>
      <c r="L1808">
        <v>15</v>
      </c>
      <c r="M1808">
        <v>38</v>
      </c>
      <c r="N1808" t="s">
        <v>26</v>
      </c>
      <c r="O1808" t="s">
        <v>36</v>
      </c>
      <c r="P1808">
        <v>4.82</v>
      </c>
      <c r="Q1808" t="s">
        <v>34</v>
      </c>
      <c r="R1808">
        <v>3.27</v>
      </c>
      <c r="S1808" t="s">
        <v>28</v>
      </c>
      <c r="T1808" t="str">
        <f t="shared" si="56"/>
        <v>High</v>
      </c>
      <c r="U1808" t="str">
        <f t="shared" si="57"/>
        <v>Experienced</v>
      </c>
    </row>
    <row r="1809" spans="1:21" x14ac:dyDescent="0.35">
      <c r="A1809" t="s">
        <v>1882</v>
      </c>
      <c r="B1809" t="s">
        <v>77</v>
      </c>
      <c r="C1809" t="s">
        <v>58</v>
      </c>
      <c r="D1809" t="s">
        <v>66</v>
      </c>
      <c r="E1809" t="s">
        <v>70</v>
      </c>
      <c r="F1809">
        <v>17</v>
      </c>
      <c r="G1809">
        <v>0.28000000000000003</v>
      </c>
      <c r="H1809">
        <v>0.24</v>
      </c>
      <c r="I1809" t="s">
        <v>60</v>
      </c>
      <c r="J1809">
        <v>203079</v>
      </c>
      <c r="K1809" t="s">
        <v>25</v>
      </c>
      <c r="L1809">
        <v>5</v>
      </c>
      <c r="M1809">
        <v>47</v>
      </c>
      <c r="N1809" t="s">
        <v>26</v>
      </c>
      <c r="O1809" t="s">
        <v>27</v>
      </c>
      <c r="P1809">
        <v>2.36</v>
      </c>
      <c r="Q1809" t="s">
        <v>24</v>
      </c>
      <c r="R1809">
        <v>4.66</v>
      </c>
      <c r="S1809" t="s">
        <v>47</v>
      </c>
      <c r="T1809" t="str">
        <f t="shared" si="56"/>
        <v>Moderate</v>
      </c>
      <c r="U1809" t="str">
        <f t="shared" si="57"/>
        <v>Expert</v>
      </c>
    </row>
    <row r="1810" spans="1:21" x14ac:dyDescent="0.35">
      <c r="A1810" t="s">
        <v>1883</v>
      </c>
      <c r="B1810" t="s">
        <v>38</v>
      </c>
      <c r="C1810" t="s">
        <v>74</v>
      </c>
      <c r="D1810" t="s">
        <v>32</v>
      </c>
      <c r="E1810" t="s">
        <v>70</v>
      </c>
      <c r="F1810">
        <v>18</v>
      </c>
      <c r="G1810">
        <v>0.41</v>
      </c>
      <c r="H1810">
        <v>0.55000000000000004</v>
      </c>
      <c r="I1810" t="s">
        <v>34</v>
      </c>
      <c r="J1810">
        <v>48671</v>
      </c>
      <c r="K1810" t="s">
        <v>27</v>
      </c>
      <c r="L1810">
        <v>-9</v>
      </c>
      <c r="M1810">
        <v>33</v>
      </c>
      <c r="N1810" t="s">
        <v>42</v>
      </c>
      <c r="O1810" t="s">
        <v>25</v>
      </c>
      <c r="P1810">
        <v>3.7</v>
      </c>
      <c r="Q1810" t="s">
        <v>24</v>
      </c>
      <c r="R1810">
        <v>2.8</v>
      </c>
      <c r="S1810" t="s">
        <v>43</v>
      </c>
      <c r="T1810" t="str">
        <f t="shared" si="56"/>
        <v>High</v>
      </c>
      <c r="U1810" t="str">
        <f t="shared" si="57"/>
        <v>Expert</v>
      </c>
    </row>
    <row r="1811" spans="1:21" x14ac:dyDescent="0.35">
      <c r="A1811" t="s">
        <v>1884</v>
      </c>
      <c r="B1811" t="s">
        <v>102</v>
      </c>
      <c r="C1811" t="s">
        <v>55</v>
      </c>
      <c r="D1811" t="s">
        <v>75</v>
      </c>
      <c r="E1811" t="s">
        <v>70</v>
      </c>
      <c r="F1811">
        <v>22</v>
      </c>
      <c r="G1811">
        <v>0.09</v>
      </c>
      <c r="H1811">
        <v>0.9</v>
      </c>
      <c r="I1811" t="s">
        <v>34</v>
      </c>
      <c r="J1811">
        <v>204451</v>
      </c>
      <c r="K1811" t="s">
        <v>25</v>
      </c>
      <c r="L1811">
        <v>9</v>
      </c>
      <c r="M1811">
        <v>44</v>
      </c>
      <c r="N1811" t="s">
        <v>26</v>
      </c>
      <c r="O1811" t="s">
        <v>25</v>
      </c>
      <c r="P1811">
        <v>3.32</v>
      </c>
      <c r="Q1811" t="s">
        <v>24</v>
      </c>
      <c r="R1811">
        <v>2.29</v>
      </c>
      <c r="S1811" t="s">
        <v>47</v>
      </c>
      <c r="T1811" t="str">
        <f t="shared" si="56"/>
        <v>Very High</v>
      </c>
      <c r="U1811" t="str">
        <f t="shared" si="57"/>
        <v>Expert</v>
      </c>
    </row>
    <row r="1812" spans="1:21" x14ac:dyDescent="0.35">
      <c r="A1812" t="s">
        <v>1885</v>
      </c>
      <c r="B1812" t="s">
        <v>57</v>
      </c>
      <c r="C1812" t="s">
        <v>74</v>
      </c>
      <c r="D1812" t="s">
        <v>80</v>
      </c>
      <c r="E1812" t="s">
        <v>23</v>
      </c>
      <c r="F1812">
        <v>5</v>
      </c>
      <c r="G1812">
        <v>0.28999999999999998</v>
      </c>
      <c r="H1812">
        <v>0.65</v>
      </c>
      <c r="I1812" t="s">
        <v>34</v>
      </c>
      <c r="J1812">
        <v>154335</v>
      </c>
      <c r="K1812" t="s">
        <v>25</v>
      </c>
      <c r="L1812">
        <v>29</v>
      </c>
      <c r="M1812">
        <v>49</v>
      </c>
      <c r="N1812" t="s">
        <v>35</v>
      </c>
      <c r="O1812" t="s">
        <v>25</v>
      </c>
      <c r="P1812">
        <v>3.89</v>
      </c>
      <c r="Q1812" t="s">
        <v>34</v>
      </c>
      <c r="R1812">
        <v>3.8</v>
      </c>
      <c r="S1812" t="s">
        <v>28</v>
      </c>
      <c r="T1812" t="str">
        <f t="shared" si="56"/>
        <v>High</v>
      </c>
      <c r="U1812" t="str">
        <f t="shared" si="57"/>
        <v>Intermediate</v>
      </c>
    </row>
    <row r="1813" spans="1:21" x14ac:dyDescent="0.35">
      <c r="A1813" t="s">
        <v>1886</v>
      </c>
      <c r="B1813" t="s">
        <v>65</v>
      </c>
      <c r="C1813" t="s">
        <v>52</v>
      </c>
      <c r="D1813" t="s">
        <v>69</v>
      </c>
      <c r="E1813" t="s">
        <v>33</v>
      </c>
      <c r="F1813">
        <v>22</v>
      </c>
      <c r="G1813">
        <v>0.85</v>
      </c>
      <c r="H1813">
        <v>0.68</v>
      </c>
      <c r="I1813" t="s">
        <v>60</v>
      </c>
      <c r="J1813">
        <v>180818</v>
      </c>
      <c r="K1813" t="s">
        <v>27</v>
      </c>
      <c r="L1813">
        <v>9</v>
      </c>
      <c r="M1813">
        <v>54</v>
      </c>
      <c r="N1813" t="s">
        <v>42</v>
      </c>
      <c r="O1813" t="s">
        <v>36</v>
      </c>
      <c r="P1813">
        <v>3.6</v>
      </c>
      <c r="Q1813" t="s">
        <v>34</v>
      </c>
      <c r="R1813">
        <v>1.54</v>
      </c>
      <c r="S1813" t="s">
        <v>43</v>
      </c>
      <c r="T1813" t="str">
        <f t="shared" si="56"/>
        <v>Moderate</v>
      </c>
      <c r="U1813" t="str">
        <f t="shared" si="57"/>
        <v>Expert</v>
      </c>
    </row>
    <row r="1814" spans="1:21" x14ac:dyDescent="0.35">
      <c r="A1814" t="s">
        <v>1887</v>
      </c>
      <c r="B1814" t="s">
        <v>106</v>
      </c>
      <c r="C1814" t="s">
        <v>39</v>
      </c>
      <c r="D1814" t="s">
        <v>22</v>
      </c>
      <c r="E1814" t="s">
        <v>41</v>
      </c>
      <c r="F1814">
        <v>17</v>
      </c>
      <c r="G1814">
        <v>0.73</v>
      </c>
      <c r="H1814">
        <v>0.83</v>
      </c>
      <c r="I1814" t="s">
        <v>60</v>
      </c>
      <c r="J1814">
        <v>120912</v>
      </c>
      <c r="K1814" t="s">
        <v>27</v>
      </c>
      <c r="L1814">
        <v>16</v>
      </c>
      <c r="M1814">
        <v>51</v>
      </c>
      <c r="N1814" t="s">
        <v>42</v>
      </c>
      <c r="O1814" t="s">
        <v>36</v>
      </c>
      <c r="P1814">
        <v>2.5</v>
      </c>
      <c r="Q1814" t="s">
        <v>24</v>
      </c>
      <c r="R1814">
        <v>2.89</v>
      </c>
      <c r="S1814" t="s">
        <v>43</v>
      </c>
      <c r="T1814" t="str">
        <f t="shared" si="56"/>
        <v>High</v>
      </c>
      <c r="U1814" t="str">
        <f t="shared" si="57"/>
        <v>Expert</v>
      </c>
    </row>
    <row r="1815" spans="1:21" x14ac:dyDescent="0.35">
      <c r="A1815" t="s">
        <v>1888</v>
      </c>
      <c r="B1815" t="s">
        <v>94</v>
      </c>
      <c r="C1815" t="s">
        <v>52</v>
      </c>
      <c r="D1815" t="s">
        <v>59</v>
      </c>
      <c r="E1815" t="s">
        <v>33</v>
      </c>
      <c r="F1815">
        <v>8</v>
      </c>
      <c r="G1815">
        <v>0.62</v>
      </c>
      <c r="H1815">
        <v>0.24</v>
      </c>
      <c r="I1815" t="s">
        <v>24</v>
      </c>
      <c r="J1815">
        <v>57357</v>
      </c>
      <c r="K1815" t="s">
        <v>25</v>
      </c>
      <c r="L1815">
        <v>6</v>
      </c>
      <c r="M1815">
        <v>52</v>
      </c>
      <c r="N1815" t="s">
        <v>35</v>
      </c>
      <c r="O1815" t="s">
        <v>25</v>
      </c>
      <c r="P1815">
        <v>3.12</v>
      </c>
      <c r="Q1815" t="s">
        <v>24</v>
      </c>
      <c r="R1815">
        <v>2.02</v>
      </c>
      <c r="S1815" t="s">
        <v>28</v>
      </c>
      <c r="T1815" t="str">
        <f t="shared" si="56"/>
        <v>Moderate</v>
      </c>
      <c r="U1815" t="str">
        <f t="shared" si="57"/>
        <v>Intermediate</v>
      </c>
    </row>
    <row r="1816" spans="1:21" x14ac:dyDescent="0.35">
      <c r="A1816" t="s">
        <v>1889</v>
      </c>
      <c r="B1816" t="s">
        <v>51</v>
      </c>
      <c r="C1816" t="s">
        <v>39</v>
      </c>
      <c r="D1816" t="s">
        <v>59</v>
      </c>
      <c r="E1816" t="s">
        <v>70</v>
      </c>
      <c r="F1816">
        <v>14</v>
      </c>
      <c r="G1816">
        <v>0.77</v>
      </c>
      <c r="H1816">
        <v>0.62</v>
      </c>
      <c r="I1816" t="s">
        <v>24</v>
      </c>
      <c r="J1816">
        <v>139993</v>
      </c>
      <c r="K1816" t="s">
        <v>42</v>
      </c>
      <c r="L1816">
        <v>7</v>
      </c>
      <c r="M1816">
        <v>38</v>
      </c>
      <c r="N1816" t="s">
        <v>42</v>
      </c>
      <c r="O1816" t="s">
        <v>36</v>
      </c>
      <c r="P1816">
        <v>4.4000000000000004</v>
      </c>
      <c r="Q1816" t="s">
        <v>24</v>
      </c>
      <c r="R1816">
        <v>3.96</v>
      </c>
      <c r="S1816" t="s">
        <v>28</v>
      </c>
      <c r="T1816" t="str">
        <f t="shared" si="56"/>
        <v>Moderate</v>
      </c>
      <c r="U1816" t="str">
        <f t="shared" si="57"/>
        <v>Experienced</v>
      </c>
    </row>
    <row r="1817" spans="1:21" x14ac:dyDescent="0.35">
      <c r="A1817" t="s">
        <v>1890</v>
      </c>
      <c r="B1817" t="s">
        <v>54</v>
      </c>
      <c r="C1817" t="s">
        <v>46</v>
      </c>
      <c r="D1817" t="s">
        <v>66</v>
      </c>
      <c r="E1817" t="s">
        <v>70</v>
      </c>
      <c r="F1817">
        <v>18</v>
      </c>
      <c r="G1817">
        <v>0.13</v>
      </c>
      <c r="H1817">
        <v>0.28000000000000003</v>
      </c>
      <c r="I1817" t="s">
        <v>34</v>
      </c>
      <c r="J1817">
        <v>119006</v>
      </c>
      <c r="K1817" t="s">
        <v>42</v>
      </c>
      <c r="L1817">
        <v>31</v>
      </c>
      <c r="M1817">
        <v>39</v>
      </c>
      <c r="N1817" t="s">
        <v>35</v>
      </c>
      <c r="O1817" t="s">
        <v>25</v>
      </c>
      <c r="P1817">
        <v>3.9</v>
      </c>
      <c r="Q1817" t="s">
        <v>34</v>
      </c>
      <c r="R1817">
        <v>1.72</v>
      </c>
      <c r="S1817" t="s">
        <v>28</v>
      </c>
      <c r="T1817" t="str">
        <f t="shared" si="56"/>
        <v>High</v>
      </c>
      <c r="U1817" t="str">
        <f t="shared" si="57"/>
        <v>Expert</v>
      </c>
    </row>
    <row r="1818" spans="1:21" x14ac:dyDescent="0.35">
      <c r="A1818" t="s">
        <v>1891</v>
      </c>
      <c r="B1818" t="s">
        <v>94</v>
      </c>
      <c r="C1818" t="s">
        <v>31</v>
      </c>
      <c r="D1818" t="s">
        <v>49</v>
      </c>
      <c r="E1818" t="s">
        <v>33</v>
      </c>
      <c r="F1818">
        <v>8</v>
      </c>
      <c r="G1818">
        <v>0.12</v>
      </c>
      <c r="H1818">
        <v>0.69</v>
      </c>
      <c r="I1818" t="s">
        <v>60</v>
      </c>
      <c r="J1818">
        <v>62248</v>
      </c>
      <c r="K1818" t="s">
        <v>42</v>
      </c>
      <c r="L1818">
        <v>8</v>
      </c>
      <c r="M1818">
        <v>35</v>
      </c>
      <c r="N1818" t="s">
        <v>26</v>
      </c>
      <c r="O1818" t="s">
        <v>27</v>
      </c>
      <c r="P1818">
        <v>4.6399999999999997</v>
      </c>
      <c r="Q1818" t="s">
        <v>34</v>
      </c>
      <c r="R1818">
        <v>1.69</v>
      </c>
      <c r="S1818" t="s">
        <v>43</v>
      </c>
      <c r="T1818" t="str">
        <f t="shared" si="56"/>
        <v>High</v>
      </c>
      <c r="U1818" t="str">
        <f t="shared" si="57"/>
        <v>Intermediate</v>
      </c>
    </row>
    <row r="1819" spans="1:21" x14ac:dyDescent="0.35">
      <c r="A1819" t="s">
        <v>1892</v>
      </c>
      <c r="B1819" t="s">
        <v>147</v>
      </c>
      <c r="C1819" t="s">
        <v>39</v>
      </c>
      <c r="D1819" t="s">
        <v>75</v>
      </c>
      <c r="E1819" t="s">
        <v>41</v>
      </c>
      <c r="F1819">
        <v>14</v>
      </c>
      <c r="G1819">
        <v>0.74</v>
      </c>
      <c r="H1819">
        <v>0.65</v>
      </c>
      <c r="I1819" t="s">
        <v>34</v>
      </c>
      <c r="J1819">
        <v>60999</v>
      </c>
      <c r="K1819" t="s">
        <v>25</v>
      </c>
      <c r="L1819">
        <v>6</v>
      </c>
      <c r="M1819">
        <v>41</v>
      </c>
      <c r="N1819" t="s">
        <v>26</v>
      </c>
      <c r="O1819" t="s">
        <v>25</v>
      </c>
      <c r="P1819">
        <v>4.3899999999999997</v>
      </c>
      <c r="Q1819" t="s">
        <v>24</v>
      </c>
      <c r="R1819">
        <v>4.43</v>
      </c>
      <c r="S1819" t="s">
        <v>43</v>
      </c>
      <c r="T1819" t="str">
        <f t="shared" si="56"/>
        <v>Moderate</v>
      </c>
      <c r="U1819" t="str">
        <f t="shared" si="57"/>
        <v>Experienced</v>
      </c>
    </row>
    <row r="1820" spans="1:21" x14ac:dyDescent="0.35">
      <c r="A1820" t="s">
        <v>1893</v>
      </c>
      <c r="B1820" t="s">
        <v>30</v>
      </c>
      <c r="C1820" t="s">
        <v>39</v>
      </c>
      <c r="D1820" t="s">
        <v>40</v>
      </c>
      <c r="E1820" t="s">
        <v>41</v>
      </c>
      <c r="F1820">
        <v>23</v>
      </c>
      <c r="G1820">
        <v>0.78</v>
      </c>
      <c r="H1820">
        <v>0.64</v>
      </c>
      <c r="I1820" t="s">
        <v>60</v>
      </c>
      <c r="J1820">
        <v>98177</v>
      </c>
      <c r="K1820" t="s">
        <v>25</v>
      </c>
      <c r="L1820">
        <v>-2</v>
      </c>
      <c r="M1820">
        <v>38</v>
      </c>
      <c r="N1820" t="s">
        <v>42</v>
      </c>
      <c r="O1820" t="s">
        <v>36</v>
      </c>
      <c r="P1820">
        <v>4.71</v>
      </c>
      <c r="Q1820" t="s">
        <v>24</v>
      </c>
      <c r="R1820">
        <v>3.97</v>
      </c>
      <c r="S1820" t="s">
        <v>28</v>
      </c>
      <c r="T1820" t="str">
        <f t="shared" si="56"/>
        <v>Moderate</v>
      </c>
      <c r="U1820" t="str">
        <f t="shared" si="57"/>
        <v>Expert</v>
      </c>
    </row>
    <row r="1821" spans="1:21" x14ac:dyDescent="0.35">
      <c r="A1821" t="s">
        <v>1894</v>
      </c>
      <c r="B1821" t="s">
        <v>156</v>
      </c>
      <c r="C1821" t="s">
        <v>52</v>
      </c>
      <c r="D1821" t="s">
        <v>69</v>
      </c>
      <c r="E1821" t="s">
        <v>23</v>
      </c>
      <c r="F1821">
        <v>3</v>
      </c>
      <c r="G1821">
        <v>0.11</v>
      </c>
      <c r="H1821">
        <v>0.41</v>
      </c>
      <c r="I1821" t="s">
        <v>60</v>
      </c>
      <c r="J1821">
        <v>138989</v>
      </c>
      <c r="K1821" t="s">
        <v>25</v>
      </c>
      <c r="L1821">
        <v>14</v>
      </c>
      <c r="M1821">
        <v>55</v>
      </c>
      <c r="N1821" t="s">
        <v>26</v>
      </c>
      <c r="O1821" t="s">
        <v>27</v>
      </c>
      <c r="P1821">
        <v>3.24</v>
      </c>
      <c r="Q1821" t="s">
        <v>34</v>
      </c>
      <c r="R1821">
        <v>4.6500000000000004</v>
      </c>
      <c r="S1821" t="s">
        <v>28</v>
      </c>
      <c r="T1821" t="str">
        <f t="shared" si="56"/>
        <v>High</v>
      </c>
      <c r="U1821" t="str">
        <f t="shared" si="57"/>
        <v>Intermediate</v>
      </c>
    </row>
    <row r="1822" spans="1:21" x14ac:dyDescent="0.35">
      <c r="A1822" t="s">
        <v>1895</v>
      </c>
      <c r="B1822" t="s">
        <v>96</v>
      </c>
      <c r="C1822" t="s">
        <v>74</v>
      </c>
      <c r="D1822" t="s">
        <v>75</v>
      </c>
      <c r="E1822" t="s">
        <v>23</v>
      </c>
      <c r="F1822">
        <v>2</v>
      </c>
      <c r="G1822">
        <v>0.59</v>
      </c>
      <c r="H1822">
        <v>0.75</v>
      </c>
      <c r="I1822" t="s">
        <v>34</v>
      </c>
      <c r="J1822">
        <v>39692</v>
      </c>
      <c r="K1822" t="s">
        <v>42</v>
      </c>
      <c r="L1822">
        <v>-5</v>
      </c>
      <c r="M1822">
        <v>41</v>
      </c>
      <c r="N1822" t="s">
        <v>26</v>
      </c>
      <c r="O1822" t="s">
        <v>25</v>
      </c>
      <c r="P1822">
        <v>2.31</v>
      </c>
      <c r="Q1822" t="s">
        <v>24</v>
      </c>
      <c r="R1822">
        <v>2.27</v>
      </c>
      <c r="S1822" t="s">
        <v>47</v>
      </c>
      <c r="T1822" t="str">
        <f t="shared" si="56"/>
        <v>High</v>
      </c>
      <c r="U1822" t="str">
        <f t="shared" si="57"/>
        <v>Beginner</v>
      </c>
    </row>
    <row r="1823" spans="1:21" x14ac:dyDescent="0.35">
      <c r="A1823" t="s">
        <v>1896</v>
      </c>
      <c r="B1823" t="s">
        <v>89</v>
      </c>
      <c r="C1823" t="s">
        <v>82</v>
      </c>
      <c r="D1823" t="s">
        <v>80</v>
      </c>
      <c r="E1823" t="s">
        <v>23</v>
      </c>
      <c r="F1823">
        <v>25</v>
      </c>
      <c r="G1823">
        <v>0.87</v>
      </c>
      <c r="H1823">
        <v>0.8</v>
      </c>
      <c r="I1823" t="s">
        <v>60</v>
      </c>
      <c r="J1823">
        <v>79085</v>
      </c>
      <c r="K1823" t="s">
        <v>25</v>
      </c>
      <c r="L1823">
        <v>30</v>
      </c>
      <c r="M1823">
        <v>34</v>
      </c>
      <c r="N1823" t="s">
        <v>35</v>
      </c>
      <c r="O1823" t="s">
        <v>25</v>
      </c>
      <c r="P1823">
        <v>2.1800000000000002</v>
      </c>
      <c r="Q1823" t="s">
        <v>34</v>
      </c>
      <c r="R1823">
        <v>4.55</v>
      </c>
      <c r="S1823" t="s">
        <v>43</v>
      </c>
      <c r="T1823" t="str">
        <f t="shared" si="56"/>
        <v>Moderate</v>
      </c>
      <c r="U1823" t="str">
        <f t="shared" si="57"/>
        <v>Expert</v>
      </c>
    </row>
    <row r="1824" spans="1:21" x14ac:dyDescent="0.35">
      <c r="A1824" t="s">
        <v>1897</v>
      </c>
      <c r="B1824" t="s">
        <v>77</v>
      </c>
      <c r="C1824" t="s">
        <v>107</v>
      </c>
      <c r="D1824" t="s">
        <v>80</v>
      </c>
      <c r="E1824" t="s">
        <v>70</v>
      </c>
      <c r="F1824">
        <v>5</v>
      </c>
      <c r="G1824">
        <v>0.61</v>
      </c>
      <c r="H1824">
        <v>0.8</v>
      </c>
      <c r="I1824" t="s">
        <v>24</v>
      </c>
      <c r="J1824">
        <v>191975</v>
      </c>
      <c r="K1824" t="s">
        <v>25</v>
      </c>
      <c r="L1824">
        <v>31</v>
      </c>
      <c r="M1824">
        <v>32</v>
      </c>
      <c r="N1824" t="s">
        <v>42</v>
      </c>
      <c r="O1824" t="s">
        <v>25</v>
      </c>
      <c r="P1824">
        <v>2.83</v>
      </c>
      <c r="Q1824" t="s">
        <v>34</v>
      </c>
      <c r="R1824">
        <v>1.55</v>
      </c>
      <c r="S1824" t="s">
        <v>43</v>
      </c>
      <c r="T1824" t="str">
        <f t="shared" si="56"/>
        <v>High</v>
      </c>
      <c r="U1824" t="str">
        <f t="shared" si="57"/>
        <v>Intermediate</v>
      </c>
    </row>
    <row r="1825" spans="1:21" x14ac:dyDescent="0.35">
      <c r="A1825" t="s">
        <v>1898</v>
      </c>
      <c r="B1825" t="s">
        <v>94</v>
      </c>
      <c r="C1825" t="s">
        <v>21</v>
      </c>
      <c r="D1825" t="s">
        <v>63</v>
      </c>
      <c r="E1825" t="s">
        <v>70</v>
      </c>
      <c r="F1825">
        <v>5</v>
      </c>
      <c r="G1825">
        <v>0.2</v>
      </c>
      <c r="H1825">
        <v>0.76</v>
      </c>
      <c r="I1825" t="s">
        <v>60</v>
      </c>
      <c r="J1825">
        <v>169790</v>
      </c>
      <c r="K1825" t="s">
        <v>27</v>
      </c>
      <c r="L1825">
        <v>43</v>
      </c>
      <c r="M1825">
        <v>40</v>
      </c>
      <c r="N1825" t="s">
        <v>26</v>
      </c>
      <c r="O1825" t="s">
        <v>27</v>
      </c>
      <c r="P1825">
        <v>4.13</v>
      </c>
      <c r="Q1825" t="s">
        <v>34</v>
      </c>
      <c r="R1825">
        <v>2.83</v>
      </c>
      <c r="S1825" t="s">
        <v>43</v>
      </c>
      <c r="T1825" t="str">
        <f t="shared" si="56"/>
        <v>Very High</v>
      </c>
      <c r="U1825" t="str">
        <f t="shared" si="57"/>
        <v>Intermediate</v>
      </c>
    </row>
    <row r="1826" spans="1:21" x14ac:dyDescent="0.35">
      <c r="A1826" t="s">
        <v>1899</v>
      </c>
      <c r="B1826" t="s">
        <v>30</v>
      </c>
      <c r="C1826" t="s">
        <v>74</v>
      </c>
      <c r="D1826" t="s">
        <v>49</v>
      </c>
      <c r="E1826" t="s">
        <v>23</v>
      </c>
      <c r="F1826">
        <v>18</v>
      </c>
      <c r="G1826">
        <v>0.5</v>
      </c>
      <c r="H1826">
        <v>0.67</v>
      </c>
      <c r="I1826" t="s">
        <v>34</v>
      </c>
      <c r="J1826">
        <v>37527</v>
      </c>
      <c r="K1826" t="s">
        <v>27</v>
      </c>
      <c r="L1826">
        <v>42</v>
      </c>
      <c r="M1826">
        <v>49</v>
      </c>
      <c r="N1826" t="s">
        <v>26</v>
      </c>
      <c r="O1826" t="s">
        <v>27</v>
      </c>
      <c r="P1826">
        <v>4.55</v>
      </c>
      <c r="Q1826" t="s">
        <v>24</v>
      </c>
      <c r="R1826">
        <v>2.56</v>
      </c>
      <c r="S1826" t="s">
        <v>43</v>
      </c>
      <c r="T1826" t="str">
        <f t="shared" si="56"/>
        <v>High</v>
      </c>
      <c r="U1826" t="str">
        <f t="shared" si="57"/>
        <v>Expert</v>
      </c>
    </row>
    <row r="1827" spans="1:21" x14ac:dyDescent="0.35">
      <c r="A1827" t="s">
        <v>1900</v>
      </c>
      <c r="B1827" t="s">
        <v>54</v>
      </c>
      <c r="C1827" t="s">
        <v>55</v>
      </c>
      <c r="D1827" t="s">
        <v>40</v>
      </c>
      <c r="E1827" t="s">
        <v>70</v>
      </c>
      <c r="F1827">
        <v>0</v>
      </c>
      <c r="G1827">
        <v>0.09</v>
      </c>
      <c r="H1827">
        <v>0.66</v>
      </c>
      <c r="I1827" t="s">
        <v>34</v>
      </c>
      <c r="J1827">
        <v>188661</v>
      </c>
      <c r="K1827" t="s">
        <v>25</v>
      </c>
      <c r="L1827">
        <v>26</v>
      </c>
      <c r="M1827">
        <v>31</v>
      </c>
      <c r="N1827" t="s">
        <v>35</v>
      </c>
      <c r="O1827" t="s">
        <v>36</v>
      </c>
      <c r="P1827">
        <v>4.92</v>
      </c>
      <c r="Q1827" t="s">
        <v>34</v>
      </c>
      <c r="R1827">
        <v>3.97</v>
      </c>
      <c r="S1827" t="s">
        <v>47</v>
      </c>
      <c r="T1827" t="str">
        <f t="shared" si="56"/>
        <v>High</v>
      </c>
      <c r="U1827" t="str">
        <f t="shared" si="57"/>
        <v>Beginner</v>
      </c>
    </row>
    <row r="1828" spans="1:21" x14ac:dyDescent="0.35">
      <c r="A1828" t="s">
        <v>1901</v>
      </c>
      <c r="B1828" t="s">
        <v>147</v>
      </c>
      <c r="C1828" t="s">
        <v>31</v>
      </c>
      <c r="D1828" t="s">
        <v>49</v>
      </c>
      <c r="E1828" t="s">
        <v>23</v>
      </c>
      <c r="F1828">
        <v>0</v>
      </c>
      <c r="G1828">
        <v>0.06</v>
      </c>
      <c r="H1828">
        <v>0.69</v>
      </c>
      <c r="I1828" t="s">
        <v>34</v>
      </c>
      <c r="J1828">
        <v>85437</v>
      </c>
      <c r="K1828" t="s">
        <v>42</v>
      </c>
      <c r="L1828">
        <v>44</v>
      </c>
      <c r="M1828">
        <v>32</v>
      </c>
      <c r="N1828" t="s">
        <v>35</v>
      </c>
      <c r="O1828" t="s">
        <v>25</v>
      </c>
      <c r="P1828">
        <v>2.17</v>
      </c>
      <c r="Q1828" t="s">
        <v>34</v>
      </c>
      <c r="R1828">
        <v>1.52</v>
      </c>
      <c r="S1828" t="s">
        <v>47</v>
      </c>
      <c r="T1828" t="str">
        <f t="shared" si="56"/>
        <v>High</v>
      </c>
      <c r="U1828" t="str">
        <f t="shared" si="57"/>
        <v>Beginner</v>
      </c>
    </row>
    <row r="1829" spans="1:21" x14ac:dyDescent="0.35">
      <c r="A1829" t="s">
        <v>1902</v>
      </c>
      <c r="B1829" t="s">
        <v>54</v>
      </c>
      <c r="C1829" t="s">
        <v>74</v>
      </c>
      <c r="D1829" t="s">
        <v>22</v>
      </c>
      <c r="E1829" t="s">
        <v>70</v>
      </c>
      <c r="F1829">
        <v>1</v>
      </c>
      <c r="G1829">
        <v>0.14000000000000001</v>
      </c>
      <c r="H1829">
        <v>0.22</v>
      </c>
      <c r="I1829" t="s">
        <v>60</v>
      </c>
      <c r="J1829">
        <v>64250</v>
      </c>
      <c r="K1829" t="s">
        <v>42</v>
      </c>
      <c r="L1829">
        <v>40</v>
      </c>
      <c r="M1829">
        <v>49</v>
      </c>
      <c r="N1829" t="s">
        <v>26</v>
      </c>
      <c r="O1829" t="s">
        <v>25</v>
      </c>
      <c r="P1829">
        <v>2.96</v>
      </c>
      <c r="Q1829" t="s">
        <v>34</v>
      </c>
      <c r="R1829">
        <v>1.96</v>
      </c>
      <c r="S1829" t="s">
        <v>47</v>
      </c>
      <c r="T1829" t="str">
        <f t="shared" si="56"/>
        <v>High</v>
      </c>
      <c r="U1829" t="str">
        <f t="shared" si="57"/>
        <v>Beginner</v>
      </c>
    </row>
    <row r="1830" spans="1:21" x14ac:dyDescent="0.35">
      <c r="A1830" t="s">
        <v>1903</v>
      </c>
      <c r="B1830" t="s">
        <v>94</v>
      </c>
      <c r="C1830" t="s">
        <v>74</v>
      </c>
      <c r="D1830" t="s">
        <v>63</v>
      </c>
      <c r="E1830" t="s">
        <v>23</v>
      </c>
      <c r="F1830">
        <v>7</v>
      </c>
      <c r="G1830">
        <v>0.9</v>
      </c>
      <c r="H1830">
        <v>0.46</v>
      </c>
      <c r="I1830" t="s">
        <v>34</v>
      </c>
      <c r="J1830">
        <v>147247</v>
      </c>
      <c r="K1830" t="s">
        <v>42</v>
      </c>
      <c r="L1830">
        <v>25</v>
      </c>
      <c r="M1830">
        <v>55</v>
      </c>
      <c r="N1830" t="s">
        <v>26</v>
      </c>
      <c r="O1830" t="s">
        <v>27</v>
      </c>
      <c r="P1830">
        <v>3.06</v>
      </c>
      <c r="Q1830" t="s">
        <v>24</v>
      </c>
      <c r="R1830">
        <v>2.3199999999999998</v>
      </c>
      <c r="S1830" t="s">
        <v>47</v>
      </c>
      <c r="T1830" t="str">
        <f t="shared" si="56"/>
        <v>Very Low</v>
      </c>
      <c r="U1830" t="str">
        <f t="shared" si="57"/>
        <v>Intermediate</v>
      </c>
    </row>
    <row r="1831" spans="1:21" x14ac:dyDescent="0.35">
      <c r="A1831" t="s">
        <v>1904</v>
      </c>
      <c r="B1831" t="s">
        <v>45</v>
      </c>
      <c r="C1831" t="s">
        <v>107</v>
      </c>
      <c r="D1831" t="s">
        <v>63</v>
      </c>
      <c r="E1831" t="s">
        <v>33</v>
      </c>
      <c r="F1831">
        <v>5</v>
      </c>
      <c r="G1831">
        <v>0.76</v>
      </c>
      <c r="H1831">
        <v>0.87</v>
      </c>
      <c r="I1831" t="s">
        <v>34</v>
      </c>
      <c r="J1831">
        <v>43468</v>
      </c>
      <c r="K1831" t="s">
        <v>27</v>
      </c>
      <c r="L1831">
        <v>38</v>
      </c>
      <c r="M1831">
        <v>50</v>
      </c>
      <c r="N1831" t="s">
        <v>35</v>
      </c>
      <c r="O1831" t="s">
        <v>27</v>
      </c>
      <c r="P1831">
        <v>2.82</v>
      </c>
      <c r="Q1831" t="s">
        <v>34</v>
      </c>
      <c r="R1831">
        <v>2.31</v>
      </c>
      <c r="S1831" t="s">
        <v>47</v>
      </c>
      <c r="T1831" t="str">
        <f t="shared" si="56"/>
        <v>High</v>
      </c>
      <c r="U1831" t="str">
        <f t="shared" si="57"/>
        <v>Intermediate</v>
      </c>
    </row>
    <row r="1832" spans="1:21" x14ac:dyDescent="0.35">
      <c r="A1832" t="s">
        <v>1905</v>
      </c>
      <c r="B1832" t="s">
        <v>77</v>
      </c>
      <c r="C1832" t="s">
        <v>58</v>
      </c>
      <c r="D1832" t="s">
        <v>32</v>
      </c>
      <c r="E1832" t="s">
        <v>41</v>
      </c>
      <c r="F1832">
        <v>7</v>
      </c>
      <c r="G1832">
        <v>0.84</v>
      </c>
      <c r="H1832">
        <v>0.95</v>
      </c>
      <c r="I1832" t="s">
        <v>60</v>
      </c>
      <c r="J1832">
        <v>177780</v>
      </c>
      <c r="K1832" t="s">
        <v>27</v>
      </c>
      <c r="L1832">
        <v>11</v>
      </c>
      <c r="M1832">
        <v>38</v>
      </c>
      <c r="N1832" t="s">
        <v>35</v>
      </c>
      <c r="O1832" t="s">
        <v>36</v>
      </c>
      <c r="P1832">
        <v>2</v>
      </c>
      <c r="Q1832" t="s">
        <v>34</v>
      </c>
      <c r="R1832">
        <v>4.04</v>
      </c>
      <c r="S1832" t="s">
        <v>43</v>
      </c>
      <c r="T1832" t="str">
        <f t="shared" si="56"/>
        <v>High</v>
      </c>
      <c r="U1832" t="str">
        <f t="shared" si="57"/>
        <v>Intermediate</v>
      </c>
    </row>
    <row r="1833" spans="1:21" x14ac:dyDescent="0.35">
      <c r="A1833" t="s">
        <v>1906</v>
      </c>
      <c r="B1833" t="s">
        <v>30</v>
      </c>
      <c r="C1833" t="s">
        <v>39</v>
      </c>
      <c r="D1833" t="s">
        <v>80</v>
      </c>
      <c r="E1833" t="s">
        <v>70</v>
      </c>
      <c r="F1833">
        <v>2</v>
      </c>
      <c r="G1833">
        <v>0.42</v>
      </c>
      <c r="H1833">
        <v>0.78</v>
      </c>
      <c r="I1833" t="s">
        <v>60</v>
      </c>
      <c r="J1833">
        <v>153151</v>
      </c>
      <c r="K1833" t="s">
        <v>25</v>
      </c>
      <c r="L1833">
        <v>33</v>
      </c>
      <c r="M1833">
        <v>60</v>
      </c>
      <c r="N1833" t="s">
        <v>26</v>
      </c>
      <c r="O1833" t="s">
        <v>36</v>
      </c>
      <c r="P1833">
        <v>3.13</v>
      </c>
      <c r="Q1833" t="s">
        <v>24</v>
      </c>
      <c r="R1833">
        <v>2.33</v>
      </c>
      <c r="S1833" t="s">
        <v>28</v>
      </c>
      <c r="T1833" t="str">
        <f t="shared" si="56"/>
        <v>High</v>
      </c>
      <c r="U1833" t="str">
        <f t="shared" si="57"/>
        <v>Beginner</v>
      </c>
    </row>
    <row r="1834" spans="1:21" x14ac:dyDescent="0.35">
      <c r="A1834" t="s">
        <v>1907</v>
      </c>
      <c r="B1834" t="s">
        <v>73</v>
      </c>
      <c r="C1834" t="s">
        <v>55</v>
      </c>
      <c r="D1834" t="s">
        <v>63</v>
      </c>
      <c r="E1834" t="s">
        <v>33</v>
      </c>
      <c r="F1834">
        <v>0</v>
      </c>
      <c r="G1834">
        <v>0.44</v>
      </c>
      <c r="H1834">
        <v>0.33</v>
      </c>
      <c r="I1834" t="s">
        <v>34</v>
      </c>
      <c r="J1834">
        <v>101072</v>
      </c>
      <c r="K1834" t="s">
        <v>25</v>
      </c>
      <c r="L1834">
        <v>3</v>
      </c>
      <c r="M1834">
        <v>38</v>
      </c>
      <c r="N1834" t="s">
        <v>42</v>
      </c>
      <c r="O1834" t="s">
        <v>25</v>
      </c>
      <c r="P1834">
        <v>2.21</v>
      </c>
      <c r="Q1834" t="s">
        <v>34</v>
      </c>
      <c r="R1834">
        <v>3.1</v>
      </c>
      <c r="S1834" t="s">
        <v>47</v>
      </c>
      <c r="T1834" t="str">
        <f t="shared" si="56"/>
        <v>Moderate</v>
      </c>
      <c r="U1834" t="str">
        <f t="shared" si="57"/>
        <v>Beginner</v>
      </c>
    </row>
    <row r="1835" spans="1:21" x14ac:dyDescent="0.35">
      <c r="A1835" t="s">
        <v>1908</v>
      </c>
      <c r="B1835" t="s">
        <v>102</v>
      </c>
      <c r="C1835" t="s">
        <v>55</v>
      </c>
      <c r="D1835" t="s">
        <v>75</v>
      </c>
      <c r="E1835" t="s">
        <v>70</v>
      </c>
      <c r="F1835">
        <v>3</v>
      </c>
      <c r="G1835">
        <v>0.95</v>
      </c>
      <c r="H1835">
        <v>0.91</v>
      </c>
      <c r="I1835" t="s">
        <v>60</v>
      </c>
      <c r="J1835">
        <v>79438</v>
      </c>
      <c r="K1835" t="s">
        <v>27</v>
      </c>
      <c r="L1835">
        <v>-6</v>
      </c>
      <c r="M1835">
        <v>45</v>
      </c>
      <c r="N1835" t="s">
        <v>35</v>
      </c>
      <c r="O1835" t="s">
        <v>36</v>
      </c>
      <c r="P1835">
        <v>2.14</v>
      </c>
      <c r="Q1835" t="s">
        <v>24</v>
      </c>
      <c r="R1835">
        <v>1.81</v>
      </c>
      <c r="S1835" t="s">
        <v>28</v>
      </c>
      <c r="T1835" t="str">
        <f t="shared" si="56"/>
        <v>Moderate</v>
      </c>
      <c r="U1835" t="str">
        <f t="shared" si="57"/>
        <v>Intermediate</v>
      </c>
    </row>
    <row r="1836" spans="1:21" x14ac:dyDescent="0.35">
      <c r="A1836" t="s">
        <v>1909</v>
      </c>
      <c r="B1836" t="s">
        <v>57</v>
      </c>
      <c r="C1836" t="s">
        <v>52</v>
      </c>
      <c r="D1836" t="s">
        <v>69</v>
      </c>
      <c r="E1836" t="s">
        <v>41</v>
      </c>
      <c r="F1836">
        <v>21</v>
      </c>
      <c r="G1836">
        <v>0.3</v>
      </c>
      <c r="H1836">
        <v>0.62</v>
      </c>
      <c r="I1836" t="s">
        <v>24</v>
      </c>
      <c r="J1836">
        <v>109000</v>
      </c>
      <c r="K1836" t="s">
        <v>27</v>
      </c>
      <c r="L1836">
        <v>-9</v>
      </c>
      <c r="M1836">
        <v>50</v>
      </c>
      <c r="N1836" t="s">
        <v>26</v>
      </c>
      <c r="O1836" t="s">
        <v>25</v>
      </c>
      <c r="P1836">
        <v>2.2599999999999998</v>
      </c>
      <c r="Q1836" t="s">
        <v>34</v>
      </c>
      <c r="R1836">
        <v>4.6399999999999997</v>
      </c>
      <c r="S1836" t="s">
        <v>28</v>
      </c>
      <c r="T1836" t="str">
        <f t="shared" si="56"/>
        <v>High</v>
      </c>
      <c r="U1836" t="str">
        <f t="shared" si="57"/>
        <v>Expert</v>
      </c>
    </row>
    <row r="1837" spans="1:21" x14ac:dyDescent="0.35">
      <c r="A1837" t="s">
        <v>1910</v>
      </c>
      <c r="B1837" t="s">
        <v>94</v>
      </c>
      <c r="C1837" t="s">
        <v>107</v>
      </c>
      <c r="D1837" t="s">
        <v>49</v>
      </c>
      <c r="E1837" t="s">
        <v>23</v>
      </c>
      <c r="F1837">
        <v>14</v>
      </c>
      <c r="G1837">
        <v>0.56999999999999995</v>
      </c>
      <c r="H1837">
        <v>0.93</v>
      </c>
      <c r="I1837" t="s">
        <v>24</v>
      </c>
      <c r="J1837">
        <v>157276</v>
      </c>
      <c r="K1837" t="s">
        <v>42</v>
      </c>
      <c r="L1837">
        <v>11</v>
      </c>
      <c r="M1837">
        <v>54</v>
      </c>
      <c r="N1837" t="s">
        <v>42</v>
      </c>
      <c r="O1837" t="s">
        <v>36</v>
      </c>
      <c r="P1837">
        <v>2.93</v>
      </c>
      <c r="Q1837" t="s">
        <v>34</v>
      </c>
      <c r="R1837">
        <v>2.2000000000000002</v>
      </c>
      <c r="S1837" t="s">
        <v>28</v>
      </c>
      <c r="T1837" t="str">
        <f t="shared" si="56"/>
        <v>High</v>
      </c>
      <c r="U1837" t="str">
        <f t="shared" si="57"/>
        <v>Experienced</v>
      </c>
    </row>
    <row r="1838" spans="1:21" x14ac:dyDescent="0.35">
      <c r="A1838" t="s">
        <v>1911</v>
      </c>
      <c r="B1838" t="s">
        <v>54</v>
      </c>
      <c r="C1838" t="s">
        <v>39</v>
      </c>
      <c r="D1838" t="s">
        <v>63</v>
      </c>
      <c r="E1838" t="s">
        <v>41</v>
      </c>
      <c r="F1838">
        <v>3</v>
      </c>
      <c r="G1838">
        <v>0.6</v>
      </c>
      <c r="H1838">
        <v>0.84</v>
      </c>
      <c r="I1838" t="s">
        <v>24</v>
      </c>
      <c r="J1838">
        <v>212402</v>
      </c>
      <c r="K1838" t="s">
        <v>25</v>
      </c>
      <c r="L1838">
        <v>14</v>
      </c>
      <c r="M1838">
        <v>49</v>
      </c>
      <c r="N1838" t="s">
        <v>35</v>
      </c>
      <c r="O1838" t="s">
        <v>27</v>
      </c>
      <c r="P1838">
        <v>2.95</v>
      </c>
      <c r="Q1838" t="s">
        <v>24</v>
      </c>
      <c r="R1838">
        <v>1.94</v>
      </c>
      <c r="S1838" t="s">
        <v>47</v>
      </c>
      <c r="T1838" t="str">
        <f t="shared" si="56"/>
        <v>High</v>
      </c>
      <c r="U1838" t="str">
        <f t="shared" si="57"/>
        <v>Intermediate</v>
      </c>
    </row>
    <row r="1839" spans="1:21" x14ac:dyDescent="0.35">
      <c r="A1839" t="s">
        <v>1912</v>
      </c>
      <c r="B1839" t="s">
        <v>45</v>
      </c>
      <c r="C1839" t="s">
        <v>31</v>
      </c>
      <c r="D1839" t="s">
        <v>80</v>
      </c>
      <c r="E1839" t="s">
        <v>70</v>
      </c>
      <c r="F1839">
        <v>10</v>
      </c>
      <c r="G1839">
        <v>0.9</v>
      </c>
      <c r="H1839">
        <v>0.26</v>
      </c>
      <c r="I1839" t="s">
        <v>60</v>
      </c>
      <c r="J1839">
        <v>125741</v>
      </c>
      <c r="K1839" t="s">
        <v>25</v>
      </c>
      <c r="L1839">
        <v>19</v>
      </c>
      <c r="M1839">
        <v>30</v>
      </c>
      <c r="N1839" t="s">
        <v>35</v>
      </c>
      <c r="O1839" t="s">
        <v>36</v>
      </c>
      <c r="P1839">
        <v>2.75</v>
      </c>
      <c r="Q1839" t="s">
        <v>34</v>
      </c>
      <c r="R1839">
        <v>1.55</v>
      </c>
      <c r="S1839" t="s">
        <v>43</v>
      </c>
      <c r="T1839" t="str">
        <f t="shared" si="56"/>
        <v>Very Low</v>
      </c>
      <c r="U1839" t="str">
        <f t="shared" si="57"/>
        <v>Experienced</v>
      </c>
    </row>
    <row r="1840" spans="1:21" x14ac:dyDescent="0.35">
      <c r="A1840" t="s">
        <v>1913</v>
      </c>
      <c r="B1840" t="s">
        <v>62</v>
      </c>
      <c r="C1840" t="s">
        <v>31</v>
      </c>
      <c r="D1840" t="s">
        <v>80</v>
      </c>
      <c r="E1840" t="s">
        <v>23</v>
      </c>
      <c r="F1840">
        <v>13</v>
      </c>
      <c r="G1840">
        <v>0.7</v>
      </c>
      <c r="H1840">
        <v>0.45</v>
      </c>
      <c r="I1840" t="s">
        <v>24</v>
      </c>
      <c r="J1840">
        <v>62321</v>
      </c>
      <c r="K1840" t="s">
        <v>25</v>
      </c>
      <c r="L1840">
        <v>16</v>
      </c>
      <c r="M1840">
        <v>60</v>
      </c>
      <c r="N1840" t="s">
        <v>42</v>
      </c>
      <c r="O1840" t="s">
        <v>27</v>
      </c>
      <c r="P1840">
        <v>4.95</v>
      </c>
      <c r="Q1840" t="s">
        <v>34</v>
      </c>
      <c r="R1840">
        <v>3.64</v>
      </c>
      <c r="S1840" t="s">
        <v>43</v>
      </c>
      <c r="T1840" t="str">
        <f t="shared" si="56"/>
        <v>Very Low</v>
      </c>
      <c r="U1840" t="str">
        <f t="shared" si="57"/>
        <v>Experienced</v>
      </c>
    </row>
    <row r="1841" spans="1:21" x14ac:dyDescent="0.35">
      <c r="A1841" t="s">
        <v>1914</v>
      </c>
      <c r="B1841" t="s">
        <v>51</v>
      </c>
      <c r="C1841" t="s">
        <v>74</v>
      </c>
      <c r="D1841" t="s">
        <v>32</v>
      </c>
      <c r="E1841" t="s">
        <v>41</v>
      </c>
      <c r="F1841">
        <v>5</v>
      </c>
      <c r="G1841">
        <v>0.44</v>
      </c>
      <c r="H1841">
        <v>0.46</v>
      </c>
      <c r="I1841" t="s">
        <v>24</v>
      </c>
      <c r="J1841">
        <v>155301</v>
      </c>
      <c r="K1841" t="s">
        <v>27</v>
      </c>
      <c r="L1841">
        <v>41</v>
      </c>
      <c r="M1841">
        <v>54</v>
      </c>
      <c r="N1841" t="s">
        <v>42</v>
      </c>
      <c r="O1841" t="s">
        <v>27</v>
      </c>
      <c r="P1841">
        <v>3.86</v>
      </c>
      <c r="Q1841" t="s">
        <v>34</v>
      </c>
      <c r="R1841">
        <v>2.85</v>
      </c>
      <c r="S1841" t="s">
        <v>47</v>
      </c>
      <c r="T1841" t="str">
        <f t="shared" si="56"/>
        <v>High</v>
      </c>
      <c r="U1841" t="str">
        <f t="shared" si="57"/>
        <v>Intermediate</v>
      </c>
    </row>
    <row r="1842" spans="1:21" x14ac:dyDescent="0.35">
      <c r="A1842" t="s">
        <v>1915</v>
      </c>
      <c r="B1842" t="s">
        <v>38</v>
      </c>
      <c r="C1842" t="s">
        <v>46</v>
      </c>
      <c r="D1842" t="s">
        <v>66</v>
      </c>
      <c r="E1842" t="s">
        <v>70</v>
      </c>
      <c r="F1842">
        <v>2</v>
      </c>
      <c r="G1842">
        <v>0.94</v>
      </c>
      <c r="H1842">
        <v>0.64</v>
      </c>
      <c r="I1842" t="s">
        <v>34</v>
      </c>
      <c r="J1842">
        <v>52185</v>
      </c>
      <c r="K1842" t="s">
        <v>27</v>
      </c>
      <c r="L1842">
        <v>36</v>
      </c>
      <c r="M1842">
        <v>40</v>
      </c>
      <c r="N1842" t="s">
        <v>26</v>
      </c>
      <c r="O1842" t="s">
        <v>27</v>
      </c>
      <c r="P1842">
        <v>2.2000000000000002</v>
      </c>
      <c r="Q1842" t="s">
        <v>34</v>
      </c>
      <c r="R1842">
        <v>2.25</v>
      </c>
      <c r="S1842" t="s">
        <v>43</v>
      </c>
      <c r="T1842" t="str">
        <f t="shared" si="56"/>
        <v>Moderate</v>
      </c>
      <c r="U1842" t="str">
        <f t="shared" si="57"/>
        <v>Beginner</v>
      </c>
    </row>
    <row r="1843" spans="1:21" x14ac:dyDescent="0.35">
      <c r="A1843" t="s">
        <v>1916</v>
      </c>
      <c r="B1843" t="s">
        <v>156</v>
      </c>
      <c r="C1843" t="s">
        <v>31</v>
      </c>
      <c r="D1843" t="s">
        <v>40</v>
      </c>
      <c r="E1843" t="s">
        <v>70</v>
      </c>
      <c r="F1843">
        <v>5</v>
      </c>
      <c r="G1843">
        <v>0.18</v>
      </c>
      <c r="H1843">
        <v>0.85</v>
      </c>
      <c r="I1843" t="s">
        <v>34</v>
      </c>
      <c r="J1843">
        <v>31547</v>
      </c>
      <c r="K1843" t="s">
        <v>25</v>
      </c>
      <c r="L1843">
        <v>44</v>
      </c>
      <c r="M1843">
        <v>53</v>
      </c>
      <c r="N1843" t="s">
        <v>26</v>
      </c>
      <c r="O1843" t="s">
        <v>36</v>
      </c>
      <c r="P1843">
        <v>3.49</v>
      </c>
      <c r="Q1843" t="s">
        <v>34</v>
      </c>
      <c r="R1843">
        <v>2.3199999999999998</v>
      </c>
      <c r="S1843" t="s">
        <v>43</v>
      </c>
      <c r="T1843" t="str">
        <f t="shared" si="56"/>
        <v>Very High</v>
      </c>
      <c r="U1843" t="str">
        <f t="shared" si="57"/>
        <v>Intermediate</v>
      </c>
    </row>
    <row r="1844" spans="1:21" x14ac:dyDescent="0.35">
      <c r="A1844" t="s">
        <v>1917</v>
      </c>
      <c r="B1844" t="s">
        <v>73</v>
      </c>
      <c r="C1844" t="s">
        <v>21</v>
      </c>
      <c r="D1844" t="s">
        <v>66</v>
      </c>
      <c r="E1844" t="s">
        <v>23</v>
      </c>
      <c r="F1844">
        <v>14</v>
      </c>
      <c r="G1844">
        <v>0.74</v>
      </c>
      <c r="H1844">
        <v>0.67</v>
      </c>
      <c r="I1844" t="s">
        <v>24</v>
      </c>
      <c r="J1844">
        <v>120872</v>
      </c>
      <c r="K1844" t="s">
        <v>27</v>
      </c>
      <c r="L1844">
        <v>29</v>
      </c>
      <c r="M1844">
        <v>51</v>
      </c>
      <c r="N1844" t="s">
        <v>35</v>
      </c>
      <c r="O1844" t="s">
        <v>36</v>
      </c>
      <c r="P1844">
        <v>3.47</v>
      </c>
      <c r="Q1844" t="s">
        <v>34</v>
      </c>
      <c r="R1844">
        <v>4.6100000000000003</v>
      </c>
      <c r="S1844" t="s">
        <v>28</v>
      </c>
      <c r="T1844" t="str">
        <f t="shared" si="56"/>
        <v>Moderate</v>
      </c>
      <c r="U1844" t="str">
        <f t="shared" si="57"/>
        <v>Experienced</v>
      </c>
    </row>
    <row r="1845" spans="1:21" x14ac:dyDescent="0.35">
      <c r="A1845" t="s">
        <v>1918</v>
      </c>
      <c r="B1845" t="s">
        <v>89</v>
      </c>
      <c r="C1845" t="s">
        <v>58</v>
      </c>
      <c r="D1845" t="s">
        <v>49</v>
      </c>
      <c r="E1845" t="s">
        <v>33</v>
      </c>
      <c r="F1845">
        <v>8</v>
      </c>
      <c r="G1845">
        <v>0.67</v>
      </c>
      <c r="H1845">
        <v>0.73</v>
      </c>
      <c r="I1845" t="s">
        <v>60</v>
      </c>
      <c r="J1845">
        <v>150960</v>
      </c>
      <c r="K1845" t="s">
        <v>42</v>
      </c>
      <c r="L1845">
        <v>-8</v>
      </c>
      <c r="M1845">
        <v>51</v>
      </c>
      <c r="N1845" t="s">
        <v>35</v>
      </c>
      <c r="O1845" t="s">
        <v>25</v>
      </c>
      <c r="P1845">
        <v>3.24</v>
      </c>
      <c r="Q1845" t="s">
        <v>24</v>
      </c>
      <c r="R1845">
        <v>3.65</v>
      </c>
      <c r="S1845" t="s">
        <v>47</v>
      </c>
      <c r="T1845" t="str">
        <f t="shared" si="56"/>
        <v>High</v>
      </c>
      <c r="U1845" t="str">
        <f t="shared" si="57"/>
        <v>Intermediate</v>
      </c>
    </row>
    <row r="1846" spans="1:21" x14ac:dyDescent="0.35">
      <c r="A1846" t="s">
        <v>1919</v>
      </c>
      <c r="B1846" t="s">
        <v>147</v>
      </c>
      <c r="C1846" t="s">
        <v>31</v>
      </c>
      <c r="D1846" t="s">
        <v>32</v>
      </c>
      <c r="E1846" t="s">
        <v>33</v>
      </c>
      <c r="F1846">
        <v>4</v>
      </c>
      <c r="G1846">
        <v>0.48</v>
      </c>
      <c r="H1846">
        <v>0.87</v>
      </c>
      <c r="I1846" t="s">
        <v>60</v>
      </c>
      <c r="J1846">
        <v>157872</v>
      </c>
      <c r="K1846" t="s">
        <v>42</v>
      </c>
      <c r="L1846">
        <v>21</v>
      </c>
      <c r="M1846">
        <v>51</v>
      </c>
      <c r="N1846" t="s">
        <v>26</v>
      </c>
      <c r="O1846" t="s">
        <v>36</v>
      </c>
      <c r="P1846">
        <v>4.76</v>
      </c>
      <c r="Q1846" t="s">
        <v>34</v>
      </c>
      <c r="R1846">
        <v>3.72</v>
      </c>
      <c r="S1846" t="s">
        <v>43</v>
      </c>
      <c r="T1846" t="str">
        <f t="shared" si="56"/>
        <v>High</v>
      </c>
      <c r="U1846" t="str">
        <f t="shared" si="57"/>
        <v>Intermediate</v>
      </c>
    </row>
    <row r="1847" spans="1:21" x14ac:dyDescent="0.35">
      <c r="A1847" t="s">
        <v>1920</v>
      </c>
      <c r="B1847" t="s">
        <v>94</v>
      </c>
      <c r="C1847" t="s">
        <v>52</v>
      </c>
      <c r="D1847" t="s">
        <v>40</v>
      </c>
      <c r="E1847" t="s">
        <v>23</v>
      </c>
      <c r="F1847">
        <v>13</v>
      </c>
      <c r="G1847">
        <v>0.47</v>
      </c>
      <c r="H1847">
        <v>0.75</v>
      </c>
      <c r="I1847" t="s">
        <v>60</v>
      </c>
      <c r="J1847">
        <v>125631</v>
      </c>
      <c r="K1847" t="s">
        <v>27</v>
      </c>
      <c r="L1847">
        <v>9</v>
      </c>
      <c r="M1847">
        <v>31</v>
      </c>
      <c r="N1847" t="s">
        <v>26</v>
      </c>
      <c r="O1847" t="s">
        <v>25</v>
      </c>
      <c r="P1847">
        <v>3.26</v>
      </c>
      <c r="Q1847" t="s">
        <v>24</v>
      </c>
      <c r="R1847">
        <v>2.5499999999999998</v>
      </c>
      <c r="S1847" t="s">
        <v>43</v>
      </c>
      <c r="T1847" t="str">
        <f t="shared" si="56"/>
        <v>High</v>
      </c>
      <c r="U1847" t="str">
        <f t="shared" si="57"/>
        <v>Experienced</v>
      </c>
    </row>
    <row r="1848" spans="1:21" x14ac:dyDescent="0.35">
      <c r="A1848" t="s">
        <v>1921</v>
      </c>
      <c r="B1848" t="s">
        <v>57</v>
      </c>
      <c r="C1848" t="s">
        <v>39</v>
      </c>
      <c r="D1848" t="s">
        <v>22</v>
      </c>
      <c r="E1848" t="s">
        <v>70</v>
      </c>
      <c r="F1848">
        <v>13</v>
      </c>
      <c r="G1848">
        <v>0.16</v>
      </c>
      <c r="H1848">
        <v>0.53</v>
      </c>
      <c r="I1848" t="s">
        <v>24</v>
      </c>
      <c r="J1848">
        <v>48809</v>
      </c>
      <c r="K1848" t="s">
        <v>25</v>
      </c>
      <c r="L1848">
        <v>-2</v>
      </c>
      <c r="M1848">
        <v>38</v>
      </c>
      <c r="N1848" t="s">
        <v>42</v>
      </c>
      <c r="O1848" t="s">
        <v>25</v>
      </c>
      <c r="P1848">
        <v>3.53</v>
      </c>
      <c r="Q1848" t="s">
        <v>34</v>
      </c>
      <c r="R1848">
        <v>2.58</v>
      </c>
      <c r="S1848" t="s">
        <v>43</v>
      </c>
      <c r="T1848" t="str">
        <f t="shared" si="56"/>
        <v>High</v>
      </c>
      <c r="U1848" t="str">
        <f t="shared" si="57"/>
        <v>Experienced</v>
      </c>
    </row>
    <row r="1849" spans="1:21" x14ac:dyDescent="0.35">
      <c r="A1849" t="s">
        <v>1922</v>
      </c>
      <c r="B1849" t="s">
        <v>91</v>
      </c>
      <c r="C1849" t="s">
        <v>31</v>
      </c>
      <c r="D1849" t="s">
        <v>80</v>
      </c>
      <c r="E1849" t="s">
        <v>23</v>
      </c>
      <c r="F1849">
        <v>18</v>
      </c>
      <c r="G1849">
        <v>0.63</v>
      </c>
      <c r="H1849">
        <v>0.54</v>
      </c>
      <c r="I1849" t="s">
        <v>34</v>
      </c>
      <c r="J1849">
        <v>178768</v>
      </c>
      <c r="K1849" t="s">
        <v>27</v>
      </c>
      <c r="L1849">
        <v>9</v>
      </c>
      <c r="M1849">
        <v>46</v>
      </c>
      <c r="N1849" t="s">
        <v>42</v>
      </c>
      <c r="O1849" t="s">
        <v>27</v>
      </c>
      <c r="P1849">
        <v>4.26</v>
      </c>
      <c r="Q1849" t="s">
        <v>34</v>
      </c>
      <c r="R1849">
        <v>3.96</v>
      </c>
      <c r="S1849" t="s">
        <v>47</v>
      </c>
      <c r="T1849" t="str">
        <f t="shared" si="56"/>
        <v>Moderate</v>
      </c>
      <c r="U1849" t="str">
        <f t="shared" si="57"/>
        <v>Expert</v>
      </c>
    </row>
    <row r="1850" spans="1:21" x14ac:dyDescent="0.35">
      <c r="A1850" t="s">
        <v>1923</v>
      </c>
      <c r="B1850" t="s">
        <v>38</v>
      </c>
      <c r="C1850" t="s">
        <v>82</v>
      </c>
      <c r="D1850" t="s">
        <v>32</v>
      </c>
      <c r="E1850" t="s">
        <v>70</v>
      </c>
      <c r="F1850">
        <v>18</v>
      </c>
      <c r="G1850">
        <v>0.1</v>
      </c>
      <c r="H1850">
        <v>0.76</v>
      </c>
      <c r="I1850" t="s">
        <v>60</v>
      </c>
      <c r="J1850">
        <v>131890</v>
      </c>
      <c r="K1850" t="s">
        <v>25</v>
      </c>
      <c r="L1850">
        <v>17</v>
      </c>
      <c r="M1850">
        <v>38</v>
      </c>
      <c r="N1850" t="s">
        <v>35</v>
      </c>
      <c r="O1850" t="s">
        <v>25</v>
      </c>
      <c r="P1850">
        <v>2.0099999999999998</v>
      </c>
      <c r="Q1850" t="s">
        <v>24</v>
      </c>
      <c r="R1850">
        <v>1.54</v>
      </c>
      <c r="S1850" t="s">
        <v>43</v>
      </c>
      <c r="T1850" t="str">
        <f t="shared" si="56"/>
        <v>Very High</v>
      </c>
      <c r="U1850" t="str">
        <f t="shared" si="57"/>
        <v>Expert</v>
      </c>
    </row>
    <row r="1851" spans="1:21" x14ac:dyDescent="0.35">
      <c r="A1851" t="s">
        <v>1924</v>
      </c>
      <c r="B1851" t="s">
        <v>94</v>
      </c>
      <c r="C1851" t="s">
        <v>39</v>
      </c>
      <c r="D1851" t="s">
        <v>49</v>
      </c>
      <c r="E1851" t="s">
        <v>41</v>
      </c>
      <c r="F1851">
        <v>16</v>
      </c>
      <c r="G1851">
        <v>0.73</v>
      </c>
      <c r="H1851">
        <v>0.27</v>
      </c>
      <c r="I1851" t="s">
        <v>34</v>
      </c>
      <c r="J1851">
        <v>161703</v>
      </c>
      <c r="K1851" t="s">
        <v>27</v>
      </c>
      <c r="L1851">
        <v>12</v>
      </c>
      <c r="M1851">
        <v>37</v>
      </c>
      <c r="N1851" t="s">
        <v>42</v>
      </c>
      <c r="O1851" t="s">
        <v>25</v>
      </c>
      <c r="P1851">
        <v>3.26</v>
      </c>
      <c r="Q1851" t="s">
        <v>24</v>
      </c>
      <c r="R1851">
        <v>1.7</v>
      </c>
      <c r="S1851" t="s">
        <v>47</v>
      </c>
      <c r="T1851" t="str">
        <f t="shared" si="56"/>
        <v>Very Low</v>
      </c>
      <c r="U1851" t="str">
        <f t="shared" si="57"/>
        <v>Expert</v>
      </c>
    </row>
    <row r="1852" spans="1:21" x14ac:dyDescent="0.35">
      <c r="A1852" t="s">
        <v>1925</v>
      </c>
      <c r="B1852" t="s">
        <v>96</v>
      </c>
      <c r="C1852" t="s">
        <v>46</v>
      </c>
      <c r="D1852" t="s">
        <v>66</v>
      </c>
      <c r="E1852" t="s">
        <v>33</v>
      </c>
      <c r="F1852">
        <v>24</v>
      </c>
      <c r="G1852">
        <v>0.71</v>
      </c>
      <c r="H1852">
        <v>0.59</v>
      </c>
      <c r="I1852" t="s">
        <v>60</v>
      </c>
      <c r="J1852">
        <v>127966</v>
      </c>
      <c r="K1852" t="s">
        <v>27</v>
      </c>
      <c r="L1852">
        <v>9</v>
      </c>
      <c r="M1852">
        <v>55</v>
      </c>
      <c r="N1852" t="s">
        <v>35</v>
      </c>
      <c r="O1852" t="s">
        <v>25</v>
      </c>
      <c r="P1852">
        <v>4.4000000000000004</v>
      </c>
      <c r="Q1852" t="s">
        <v>24</v>
      </c>
      <c r="R1852">
        <v>4.3499999999999996</v>
      </c>
      <c r="S1852" t="s">
        <v>28</v>
      </c>
      <c r="T1852" t="str">
        <f t="shared" si="56"/>
        <v>Moderate</v>
      </c>
      <c r="U1852" t="str">
        <f t="shared" si="57"/>
        <v>Expert</v>
      </c>
    </row>
    <row r="1853" spans="1:21" x14ac:dyDescent="0.35">
      <c r="A1853" t="s">
        <v>1926</v>
      </c>
      <c r="B1853" t="s">
        <v>62</v>
      </c>
      <c r="C1853" t="s">
        <v>55</v>
      </c>
      <c r="D1853" t="s">
        <v>32</v>
      </c>
      <c r="E1853" t="s">
        <v>23</v>
      </c>
      <c r="F1853">
        <v>9</v>
      </c>
      <c r="G1853">
        <v>0.23</v>
      </c>
      <c r="H1853">
        <v>0.37</v>
      </c>
      <c r="I1853" t="s">
        <v>60</v>
      </c>
      <c r="J1853">
        <v>63413</v>
      </c>
      <c r="K1853" t="s">
        <v>42</v>
      </c>
      <c r="L1853">
        <v>3</v>
      </c>
      <c r="M1853">
        <v>53</v>
      </c>
      <c r="N1853" t="s">
        <v>42</v>
      </c>
      <c r="O1853" t="s">
        <v>25</v>
      </c>
      <c r="P1853">
        <v>4.05</v>
      </c>
      <c r="Q1853" t="s">
        <v>24</v>
      </c>
      <c r="R1853">
        <v>4.1500000000000004</v>
      </c>
      <c r="S1853" t="s">
        <v>43</v>
      </c>
      <c r="T1853" t="str">
        <f t="shared" si="56"/>
        <v>High</v>
      </c>
      <c r="U1853" t="str">
        <f t="shared" si="57"/>
        <v>Experienced</v>
      </c>
    </row>
    <row r="1854" spans="1:21" x14ac:dyDescent="0.35">
      <c r="A1854" t="s">
        <v>1927</v>
      </c>
      <c r="B1854" t="s">
        <v>156</v>
      </c>
      <c r="C1854" t="s">
        <v>52</v>
      </c>
      <c r="D1854" t="s">
        <v>22</v>
      </c>
      <c r="E1854" t="s">
        <v>70</v>
      </c>
      <c r="F1854">
        <v>16</v>
      </c>
      <c r="G1854">
        <v>0.06</v>
      </c>
      <c r="H1854">
        <v>0.39</v>
      </c>
      <c r="I1854" t="s">
        <v>60</v>
      </c>
      <c r="J1854">
        <v>171568</v>
      </c>
      <c r="K1854" t="s">
        <v>42</v>
      </c>
      <c r="L1854">
        <v>-2</v>
      </c>
      <c r="M1854">
        <v>51</v>
      </c>
      <c r="N1854" t="s">
        <v>35</v>
      </c>
      <c r="O1854" t="s">
        <v>27</v>
      </c>
      <c r="P1854">
        <v>3</v>
      </c>
      <c r="Q1854" t="s">
        <v>24</v>
      </c>
      <c r="R1854">
        <v>3.84</v>
      </c>
      <c r="S1854" t="s">
        <v>47</v>
      </c>
      <c r="T1854" t="str">
        <f t="shared" si="56"/>
        <v>High</v>
      </c>
      <c r="U1854" t="str">
        <f t="shared" si="57"/>
        <v>Expert</v>
      </c>
    </row>
    <row r="1855" spans="1:21" x14ac:dyDescent="0.35">
      <c r="A1855" t="s">
        <v>1928</v>
      </c>
      <c r="B1855" t="s">
        <v>96</v>
      </c>
      <c r="C1855" t="s">
        <v>52</v>
      </c>
      <c r="D1855" t="s">
        <v>69</v>
      </c>
      <c r="E1855" t="s">
        <v>23</v>
      </c>
      <c r="F1855">
        <v>7</v>
      </c>
      <c r="G1855">
        <v>0.77</v>
      </c>
      <c r="H1855">
        <v>0.22</v>
      </c>
      <c r="I1855" t="s">
        <v>34</v>
      </c>
      <c r="J1855">
        <v>84813</v>
      </c>
      <c r="K1855" t="s">
        <v>27</v>
      </c>
      <c r="L1855">
        <v>36</v>
      </c>
      <c r="M1855">
        <v>60</v>
      </c>
      <c r="N1855" t="s">
        <v>26</v>
      </c>
      <c r="O1855" t="s">
        <v>36</v>
      </c>
      <c r="P1855">
        <v>3.44</v>
      </c>
      <c r="Q1855" t="s">
        <v>24</v>
      </c>
      <c r="R1855">
        <v>3.6</v>
      </c>
      <c r="S1855" t="s">
        <v>47</v>
      </c>
      <c r="T1855" t="str">
        <f t="shared" si="56"/>
        <v>Very Low</v>
      </c>
      <c r="U1855" t="str">
        <f t="shared" si="57"/>
        <v>Intermediate</v>
      </c>
    </row>
    <row r="1856" spans="1:21" x14ac:dyDescent="0.35">
      <c r="A1856" t="s">
        <v>1929</v>
      </c>
      <c r="B1856" t="s">
        <v>73</v>
      </c>
      <c r="C1856" t="s">
        <v>82</v>
      </c>
      <c r="D1856" t="s">
        <v>22</v>
      </c>
      <c r="E1856" t="s">
        <v>70</v>
      </c>
      <c r="F1856">
        <v>0</v>
      </c>
      <c r="G1856">
        <v>0.23</v>
      </c>
      <c r="H1856">
        <v>0.74</v>
      </c>
      <c r="I1856" t="s">
        <v>24</v>
      </c>
      <c r="J1856">
        <v>190198</v>
      </c>
      <c r="K1856" t="s">
        <v>42</v>
      </c>
      <c r="L1856">
        <v>13</v>
      </c>
      <c r="M1856">
        <v>36</v>
      </c>
      <c r="N1856" t="s">
        <v>42</v>
      </c>
      <c r="O1856" t="s">
        <v>27</v>
      </c>
      <c r="P1856">
        <v>4.07</v>
      </c>
      <c r="Q1856" t="s">
        <v>24</v>
      </c>
      <c r="R1856">
        <v>3.64</v>
      </c>
      <c r="S1856" t="s">
        <v>47</v>
      </c>
      <c r="T1856" t="str">
        <f t="shared" si="56"/>
        <v>Very High</v>
      </c>
      <c r="U1856" t="str">
        <f t="shared" si="57"/>
        <v>Beginner</v>
      </c>
    </row>
    <row r="1857" spans="1:21" x14ac:dyDescent="0.35">
      <c r="A1857" t="s">
        <v>1930</v>
      </c>
      <c r="B1857" t="s">
        <v>30</v>
      </c>
      <c r="C1857" t="s">
        <v>58</v>
      </c>
      <c r="D1857" t="s">
        <v>59</v>
      </c>
      <c r="E1857" t="s">
        <v>41</v>
      </c>
      <c r="F1857">
        <v>11</v>
      </c>
      <c r="G1857">
        <v>0.42</v>
      </c>
      <c r="H1857">
        <v>0.86</v>
      </c>
      <c r="I1857" t="s">
        <v>34</v>
      </c>
      <c r="J1857">
        <v>182580</v>
      </c>
      <c r="K1857" t="s">
        <v>27</v>
      </c>
      <c r="L1857">
        <v>19</v>
      </c>
      <c r="M1857">
        <v>47</v>
      </c>
      <c r="N1857" t="s">
        <v>35</v>
      </c>
      <c r="O1857" t="s">
        <v>36</v>
      </c>
      <c r="P1857">
        <v>4.37</v>
      </c>
      <c r="Q1857" t="s">
        <v>24</v>
      </c>
      <c r="R1857">
        <v>3.8</v>
      </c>
      <c r="S1857" t="s">
        <v>43</v>
      </c>
      <c r="T1857" t="str">
        <f t="shared" si="56"/>
        <v>High</v>
      </c>
      <c r="U1857" t="str">
        <f t="shared" si="57"/>
        <v>Experienced</v>
      </c>
    </row>
    <row r="1858" spans="1:21" x14ac:dyDescent="0.35">
      <c r="A1858" t="s">
        <v>1931</v>
      </c>
      <c r="B1858" t="s">
        <v>77</v>
      </c>
      <c r="C1858" t="s">
        <v>55</v>
      </c>
      <c r="D1858" t="s">
        <v>59</v>
      </c>
      <c r="E1858" t="s">
        <v>33</v>
      </c>
      <c r="F1858">
        <v>0</v>
      </c>
      <c r="G1858">
        <v>0.59</v>
      </c>
      <c r="H1858">
        <v>0.6</v>
      </c>
      <c r="I1858" t="s">
        <v>60</v>
      </c>
      <c r="J1858">
        <v>71936</v>
      </c>
      <c r="K1858" t="s">
        <v>25</v>
      </c>
      <c r="L1858">
        <v>10</v>
      </c>
      <c r="M1858">
        <v>33</v>
      </c>
      <c r="N1858" t="s">
        <v>42</v>
      </c>
      <c r="O1858" t="s">
        <v>27</v>
      </c>
      <c r="P1858">
        <v>3.4</v>
      </c>
      <c r="Q1858" t="s">
        <v>34</v>
      </c>
      <c r="R1858">
        <v>2.65</v>
      </c>
      <c r="S1858" t="s">
        <v>28</v>
      </c>
      <c r="T1858" t="str">
        <f t="shared" si="56"/>
        <v>High</v>
      </c>
      <c r="U1858" t="str">
        <f t="shared" si="57"/>
        <v>Beginner</v>
      </c>
    </row>
    <row r="1859" spans="1:21" x14ac:dyDescent="0.35">
      <c r="A1859" t="s">
        <v>1932</v>
      </c>
      <c r="B1859" t="s">
        <v>147</v>
      </c>
      <c r="C1859" t="s">
        <v>82</v>
      </c>
      <c r="D1859" t="s">
        <v>80</v>
      </c>
      <c r="E1859" t="s">
        <v>33</v>
      </c>
      <c r="F1859">
        <v>4</v>
      </c>
      <c r="G1859">
        <v>0.42</v>
      </c>
      <c r="H1859">
        <v>0.48</v>
      </c>
      <c r="I1859" t="s">
        <v>60</v>
      </c>
      <c r="J1859">
        <v>138509</v>
      </c>
      <c r="K1859" t="s">
        <v>42</v>
      </c>
      <c r="L1859">
        <v>-4</v>
      </c>
      <c r="M1859">
        <v>56</v>
      </c>
      <c r="N1859" t="s">
        <v>26</v>
      </c>
      <c r="O1859" t="s">
        <v>27</v>
      </c>
      <c r="P1859">
        <v>2.98</v>
      </c>
      <c r="Q1859" t="s">
        <v>34</v>
      </c>
      <c r="R1859">
        <v>3.83</v>
      </c>
      <c r="S1859" t="s">
        <v>28</v>
      </c>
      <c r="T1859" t="str">
        <f t="shared" ref="T1859:T1922" si="58">IF(AND(G1859&lt;0.4,H1859&gt;=0.7),"Very High",
IF(AND(G1859&gt;=0.7,H1859&lt;0.5),"Very Low",
IF(G1859&lt;H1859,"High","Moderate")))</f>
        <v>High</v>
      </c>
      <c r="U1859" t="str">
        <f t="shared" ref="U1859:U1922" si="59">_xlfn.IFS(F1859&lt;=2,"Beginner",F1859&lt;=8,"Intermediate",F1859&lt;=15,"Experienced",F1859&lt;=25,"Expert")</f>
        <v>Intermediate</v>
      </c>
    </row>
    <row r="1860" spans="1:21" x14ac:dyDescent="0.35">
      <c r="A1860" t="s">
        <v>1933</v>
      </c>
      <c r="B1860" t="s">
        <v>54</v>
      </c>
      <c r="C1860" t="s">
        <v>74</v>
      </c>
      <c r="D1860" t="s">
        <v>49</v>
      </c>
      <c r="E1860" t="s">
        <v>23</v>
      </c>
      <c r="F1860">
        <v>25</v>
      </c>
      <c r="G1860">
        <v>0.56999999999999995</v>
      </c>
      <c r="H1860">
        <v>0.43</v>
      </c>
      <c r="I1860" t="s">
        <v>34</v>
      </c>
      <c r="J1860">
        <v>205873</v>
      </c>
      <c r="K1860" t="s">
        <v>42</v>
      </c>
      <c r="L1860">
        <v>-6</v>
      </c>
      <c r="M1860">
        <v>53</v>
      </c>
      <c r="N1860" t="s">
        <v>35</v>
      </c>
      <c r="O1860" t="s">
        <v>27</v>
      </c>
      <c r="P1860">
        <v>3.61</v>
      </c>
      <c r="Q1860" t="s">
        <v>34</v>
      </c>
      <c r="R1860">
        <v>2.37</v>
      </c>
      <c r="S1860" t="s">
        <v>43</v>
      </c>
      <c r="T1860" t="str">
        <f t="shared" si="58"/>
        <v>Moderate</v>
      </c>
      <c r="U1860" t="str">
        <f t="shared" si="59"/>
        <v>Expert</v>
      </c>
    </row>
    <row r="1861" spans="1:21" x14ac:dyDescent="0.35">
      <c r="A1861" t="s">
        <v>1934</v>
      </c>
      <c r="B1861" t="s">
        <v>65</v>
      </c>
      <c r="C1861" t="s">
        <v>39</v>
      </c>
      <c r="D1861" t="s">
        <v>32</v>
      </c>
      <c r="E1861" t="s">
        <v>33</v>
      </c>
      <c r="F1861">
        <v>18</v>
      </c>
      <c r="G1861">
        <v>0.57999999999999996</v>
      </c>
      <c r="H1861">
        <v>0.77</v>
      </c>
      <c r="I1861" t="s">
        <v>60</v>
      </c>
      <c r="J1861">
        <v>146287</v>
      </c>
      <c r="K1861" t="s">
        <v>27</v>
      </c>
      <c r="L1861">
        <v>37</v>
      </c>
      <c r="M1861">
        <v>55</v>
      </c>
      <c r="N1861" t="s">
        <v>42</v>
      </c>
      <c r="O1861" t="s">
        <v>27</v>
      </c>
      <c r="P1861">
        <v>4.2699999999999996</v>
      </c>
      <c r="Q1861" t="s">
        <v>34</v>
      </c>
      <c r="R1861">
        <v>4.2300000000000004</v>
      </c>
      <c r="S1861" t="s">
        <v>47</v>
      </c>
      <c r="T1861" t="str">
        <f t="shared" si="58"/>
        <v>High</v>
      </c>
      <c r="U1861" t="str">
        <f t="shared" si="59"/>
        <v>Expert</v>
      </c>
    </row>
    <row r="1862" spans="1:21" x14ac:dyDescent="0.35">
      <c r="A1862" t="s">
        <v>1935</v>
      </c>
      <c r="B1862" t="s">
        <v>57</v>
      </c>
      <c r="C1862" t="s">
        <v>52</v>
      </c>
      <c r="D1862" t="s">
        <v>75</v>
      </c>
      <c r="E1862" t="s">
        <v>23</v>
      </c>
      <c r="F1862">
        <v>17</v>
      </c>
      <c r="G1862">
        <v>0.39</v>
      </c>
      <c r="H1862">
        <v>0.64</v>
      </c>
      <c r="I1862" t="s">
        <v>24</v>
      </c>
      <c r="J1862">
        <v>115768</v>
      </c>
      <c r="K1862" t="s">
        <v>42</v>
      </c>
      <c r="L1862">
        <v>-2</v>
      </c>
      <c r="M1862">
        <v>30</v>
      </c>
      <c r="N1862" t="s">
        <v>26</v>
      </c>
      <c r="O1862" t="s">
        <v>25</v>
      </c>
      <c r="P1862">
        <v>2.09</v>
      </c>
      <c r="Q1862" t="s">
        <v>24</v>
      </c>
      <c r="R1862">
        <v>4.71</v>
      </c>
      <c r="S1862" t="s">
        <v>28</v>
      </c>
      <c r="T1862" t="str">
        <f t="shared" si="58"/>
        <v>High</v>
      </c>
      <c r="U1862" t="str">
        <f t="shared" si="59"/>
        <v>Expert</v>
      </c>
    </row>
    <row r="1863" spans="1:21" x14ac:dyDescent="0.35">
      <c r="A1863" t="s">
        <v>1936</v>
      </c>
      <c r="B1863" t="s">
        <v>94</v>
      </c>
      <c r="C1863" t="s">
        <v>52</v>
      </c>
      <c r="D1863" t="s">
        <v>49</v>
      </c>
      <c r="E1863" t="s">
        <v>23</v>
      </c>
      <c r="F1863">
        <v>7</v>
      </c>
      <c r="G1863">
        <v>0.06</v>
      </c>
      <c r="H1863">
        <v>0.92</v>
      </c>
      <c r="I1863" t="s">
        <v>34</v>
      </c>
      <c r="J1863">
        <v>191953</v>
      </c>
      <c r="K1863" t="s">
        <v>25</v>
      </c>
      <c r="L1863">
        <v>-9</v>
      </c>
      <c r="M1863">
        <v>36</v>
      </c>
      <c r="N1863" t="s">
        <v>26</v>
      </c>
      <c r="O1863" t="s">
        <v>36</v>
      </c>
      <c r="P1863">
        <v>2.67</v>
      </c>
      <c r="Q1863" t="s">
        <v>34</v>
      </c>
      <c r="R1863">
        <v>3.01</v>
      </c>
      <c r="S1863" t="s">
        <v>43</v>
      </c>
      <c r="T1863" t="str">
        <f t="shared" si="58"/>
        <v>Very High</v>
      </c>
      <c r="U1863" t="str">
        <f t="shared" si="59"/>
        <v>Intermediate</v>
      </c>
    </row>
    <row r="1864" spans="1:21" x14ac:dyDescent="0.35">
      <c r="A1864" t="s">
        <v>1937</v>
      </c>
      <c r="B1864" t="s">
        <v>147</v>
      </c>
      <c r="C1864" t="s">
        <v>52</v>
      </c>
      <c r="D1864" t="s">
        <v>63</v>
      </c>
      <c r="E1864" t="s">
        <v>23</v>
      </c>
      <c r="F1864">
        <v>25</v>
      </c>
      <c r="G1864">
        <v>0.14000000000000001</v>
      </c>
      <c r="H1864">
        <v>0.7</v>
      </c>
      <c r="I1864" t="s">
        <v>34</v>
      </c>
      <c r="J1864">
        <v>30658</v>
      </c>
      <c r="K1864" t="s">
        <v>25</v>
      </c>
      <c r="L1864">
        <v>27</v>
      </c>
      <c r="M1864">
        <v>43</v>
      </c>
      <c r="N1864" t="s">
        <v>42</v>
      </c>
      <c r="O1864" t="s">
        <v>36</v>
      </c>
      <c r="P1864">
        <v>2.1</v>
      </c>
      <c r="Q1864" t="s">
        <v>34</v>
      </c>
      <c r="R1864">
        <v>2.56</v>
      </c>
      <c r="S1864" t="s">
        <v>43</v>
      </c>
      <c r="T1864" t="str">
        <f t="shared" si="58"/>
        <v>Very High</v>
      </c>
      <c r="U1864" t="str">
        <f t="shared" si="59"/>
        <v>Expert</v>
      </c>
    </row>
    <row r="1865" spans="1:21" x14ac:dyDescent="0.35">
      <c r="A1865" t="s">
        <v>1938</v>
      </c>
      <c r="B1865" t="s">
        <v>54</v>
      </c>
      <c r="C1865" t="s">
        <v>52</v>
      </c>
      <c r="D1865" t="s">
        <v>80</v>
      </c>
      <c r="E1865" t="s">
        <v>23</v>
      </c>
      <c r="F1865">
        <v>23</v>
      </c>
      <c r="G1865">
        <v>0.7</v>
      </c>
      <c r="H1865">
        <v>0.2</v>
      </c>
      <c r="I1865" t="s">
        <v>24</v>
      </c>
      <c r="J1865">
        <v>119579</v>
      </c>
      <c r="K1865" t="s">
        <v>27</v>
      </c>
      <c r="L1865">
        <v>32</v>
      </c>
      <c r="M1865">
        <v>31</v>
      </c>
      <c r="N1865" t="s">
        <v>42</v>
      </c>
      <c r="O1865" t="s">
        <v>27</v>
      </c>
      <c r="P1865">
        <v>4.9000000000000004</v>
      </c>
      <c r="Q1865" t="s">
        <v>34</v>
      </c>
      <c r="R1865">
        <v>3.14</v>
      </c>
      <c r="S1865" t="s">
        <v>47</v>
      </c>
      <c r="T1865" t="str">
        <f t="shared" si="58"/>
        <v>Very Low</v>
      </c>
      <c r="U1865" t="str">
        <f t="shared" si="59"/>
        <v>Expert</v>
      </c>
    </row>
    <row r="1866" spans="1:21" x14ac:dyDescent="0.35">
      <c r="A1866" t="s">
        <v>1939</v>
      </c>
      <c r="B1866" t="s">
        <v>94</v>
      </c>
      <c r="C1866" t="s">
        <v>82</v>
      </c>
      <c r="D1866" t="s">
        <v>63</v>
      </c>
      <c r="E1866" t="s">
        <v>70</v>
      </c>
      <c r="F1866">
        <v>15</v>
      </c>
      <c r="G1866">
        <v>0.92</v>
      </c>
      <c r="H1866">
        <v>0.83</v>
      </c>
      <c r="I1866" t="s">
        <v>60</v>
      </c>
      <c r="J1866">
        <v>140735</v>
      </c>
      <c r="K1866" t="s">
        <v>25</v>
      </c>
      <c r="L1866">
        <v>33</v>
      </c>
      <c r="M1866">
        <v>31</v>
      </c>
      <c r="N1866" t="s">
        <v>26</v>
      </c>
      <c r="O1866" t="s">
        <v>36</v>
      </c>
      <c r="P1866">
        <v>3.55</v>
      </c>
      <c r="Q1866" t="s">
        <v>34</v>
      </c>
      <c r="R1866">
        <v>1.06</v>
      </c>
      <c r="S1866" t="s">
        <v>47</v>
      </c>
      <c r="T1866" t="str">
        <f t="shared" si="58"/>
        <v>Moderate</v>
      </c>
      <c r="U1866" t="str">
        <f t="shared" si="59"/>
        <v>Experienced</v>
      </c>
    </row>
    <row r="1867" spans="1:21" x14ac:dyDescent="0.35">
      <c r="A1867" t="s">
        <v>1940</v>
      </c>
      <c r="B1867" t="s">
        <v>156</v>
      </c>
      <c r="C1867" t="s">
        <v>21</v>
      </c>
      <c r="D1867" t="s">
        <v>22</v>
      </c>
      <c r="E1867" t="s">
        <v>41</v>
      </c>
      <c r="F1867">
        <v>1</v>
      </c>
      <c r="G1867">
        <v>0.47</v>
      </c>
      <c r="H1867">
        <v>0.78</v>
      </c>
      <c r="I1867" t="s">
        <v>34</v>
      </c>
      <c r="J1867">
        <v>40717</v>
      </c>
      <c r="K1867" t="s">
        <v>25</v>
      </c>
      <c r="L1867">
        <v>23</v>
      </c>
      <c r="M1867">
        <v>46</v>
      </c>
      <c r="N1867" t="s">
        <v>42</v>
      </c>
      <c r="O1867" t="s">
        <v>36</v>
      </c>
      <c r="P1867">
        <v>3.18</v>
      </c>
      <c r="Q1867" t="s">
        <v>24</v>
      </c>
      <c r="R1867">
        <v>3.52</v>
      </c>
      <c r="S1867" t="s">
        <v>28</v>
      </c>
      <c r="T1867" t="str">
        <f t="shared" si="58"/>
        <v>High</v>
      </c>
      <c r="U1867" t="str">
        <f t="shared" si="59"/>
        <v>Beginner</v>
      </c>
    </row>
    <row r="1868" spans="1:21" x14ac:dyDescent="0.35">
      <c r="A1868" t="s">
        <v>1941</v>
      </c>
      <c r="B1868" t="s">
        <v>20</v>
      </c>
      <c r="C1868" t="s">
        <v>46</v>
      </c>
      <c r="D1868" t="s">
        <v>66</v>
      </c>
      <c r="E1868" t="s">
        <v>41</v>
      </c>
      <c r="F1868">
        <v>6</v>
      </c>
      <c r="G1868">
        <v>0.79</v>
      </c>
      <c r="H1868">
        <v>0.7</v>
      </c>
      <c r="I1868" t="s">
        <v>24</v>
      </c>
      <c r="J1868">
        <v>38502</v>
      </c>
      <c r="K1868" t="s">
        <v>27</v>
      </c>
      <c r="L1868">
        <v>23</v>
      </c>
      <c r="M1868">
        <v>40</v>
      </c>
      <c r="N1868" t="s">
        <v>26</v>
      </c>
      <c r="O1868" t="s">
        <v>36</v>
      </c>
      <c r="P1868">
        <v>3.49</v>
      </c>
      <c r="Q1868" t="s">
        <v>24</v>
      </c>
      <c r="R1868">
        <v>1.57</v>
      </c>
      <c r="S1868" t="s">
        <v>47</v>
      </c>
      <c r="T1868" t="str">
        <f t="shared" si="58"/>
        <v>Moderate</v>
      </c>
      <c r="U1868" t="str">
        <f t="shared" si="59"/>
        <v>Intermediate</v>
      </c>
    </row>
    <row r="1869" spans="1:21" x14ac:dyDescent="0.35">
      <c r="A1869" t="s">
        <v>1942</v>
      </c>
      <c r="B1869" t="s">
        <v>51</v>
      </c>
      <c r="C1869" t="s">
        <v>74</v>
      </c>
      <c r="D1869" t="s">
        <v>40</v>
      </c>
      <c r="E1869" t="s">
        <v>41</v>
      </c>
      <c r="F1869">
        <v>2</v>
      </c>
      <c r="G1869">
        <v>0.89</v>
      </c>
      <c r="H1869">
        <v>0.63</v>
      </c>
      <c r="I1869" t="s">
        <v>60</v>
      </c>
      <c r="J1869">
        <v>96353</v>
      </c>
      <c r="K1869" t="s">
        <v>27</v>
      </c>
      <c r="L1869">
        <v>-8</v>
      </c>
      <c r="M1869">
        <v>36</v>
      </c>
      <c r="N1869" t="s">
        <v>42</v>
      </c>
      <c r="O1869" t="s">
        <v>27</v>
      </c>
      <c r="P1869">
        <v>2.9</v>
      </c>
      <c r="Q1869" t="s">
        <v>24</v>
      </c>
      <c r="R1869">
        <v>3.31</v>
      </c>
      <c r="S1869" t="s">
        <v>47</v>
      </c>
      <c r="T1869" t="str">
        <f t="shared" si="58"/>
        <v>Moderate</v>
      </c>
      <c r="U1869" t="str">
        <f t="shared" si="59"/>
        <v>Beginner</v>
      </c>
    </row>
    <row r="1870" spans="1:21" x14ac:dyDescent="0.35">
      <c r="A1870" t="s">
        <v>1943</v>
      </c>
      <c r="B1870" t="s">
        <v>73</v>
      </c>
      <c r="C1870" t="s">
        <v>39</v>
      </c>
      <c r="D1870" t="s">
        <v>32</v>
      </c>
      <c r="E1870" t="s">
        <v>33</v>
      </c>
      <c r="F1870">
        <v>17</v>
      </c>
      <c r="G1870">
        <v>0.61</v>
      </c>
      <c r="H1870">
        <v>0.78</v>
      </c>
      <c r="I1870" t="s">
        <v>60</v>
      </c>
      <c r="J1870">
        <v>184567</v>
      </c>
      <c r="K1870" t="s">
        <v>27</v>
      </c>
      <c r="L1870">
        <v>18</v>
      </c>
      <c r="M1870">
        <v>51</v>
      </c>
      <c r="N1870" t="s">
        <v>42</v>
      </c>
      <c r="O1870" t="s">
        <v>36</v>
      </c>
      <c r="P1870">
        <v>3.17</v>
      </c>
      <c r="Q1870" t="s">
        <v>34</v>
      </c>
      <c r="R1870">
        <v>1.1499999999999999</v>
      </c>
      <c r="S1870" t="s">
        <v>28</v>
      </c>
      <c r="T1870" t="str">
        <f t="shared" si="58"/>
        <v>High</v>
      </c>
      <c r="U1870" t="str">
        <f t="shared" si="59"/>
        <v>Expert</v>
      </c>
    </row>
    <row r="1871" spans="1:21" x14ac:dyDescent="0.35">
      <c r="A1871" t="s">
        <v>1944</v>
      </c>
      <c r="B1871" t="s">
        <v>156</v>
      </c>
      <c r="C1871" t="s">
        <v>39</v>
      </c>
      <c r="D1871" t="s">
        <v>22</v>
      </c>
      <c r="E1871" t="s">
        <v>23</v>
      </c>
      <c r="F1871">
        <v>17</v>
      </c>
      <c r="G1871">
        <v>0.85</v>
      </c>
      <c r="H1871">
        <v>0.82</v>
      </c>
      <c r="I1871" t="s">
        <v>24</v>
      </c>
      <c r="J1871">
        <v>111197</v>
      </c>
      <c r="K1871" t="s">
        <v>27</v>
      </c>
      <c r="L1871">
        <v>19</v>
      </c>
      <c r="M1871">
        <v>39</v>
      </c>
      <c r="N1871" t="s">
        <v>42</v>
      </c>
      <c r="O1871" t="s">
        <v>27</v>
      </c>
      <c r="P1871">
        <v>4.0999999999999996</v>
      </c>
      <c r="Q1871" t="s">
        <v>24</v>
      </c>
      <c r="R1871">
        <v>1.0900000000000001</v>
      </c>
      <c r="S1871" t="s">
        <v>47</v>
      </c>
      <c r="T1871" t="str">
        <f t="shared" si="58"/>
        <v>Moderate</v>
      </c>
      <c r="U1871" t="str">
        <f t="shared" si="59"/>
        <v>Expert</v>
      </c>
    </row>
    <row r="1872" spans="1:21" x14ac:dyDescent="0.35">
      <c r="A1872" t="s">
        <v>1945</v>
      </c>
      <c r="B1872" t="s">
        <v>77</v>
      </c>
      <c r="C1872" t="s">
        <v>107</v>
      </c>
      <c r="D1872" t="s">
        <v>75</v>
      </c>
      <c r="E1872" t="s">
        <v>33</v>
      </c>
      <c r="F1872">
        <v>12</v>
      </c>
      <c r="G1872">
        <v>0.73</v>
      </c>
      <c r="H1872">
        <v>0.72</v>
      </c>
      <c r="I1872" t="s">
        <v>34</v>
      </c>
      <c r="J1872">
        <v>196104</v>
      </c>
      <c r="K1872" t="s">
        <v>25</v>
      </c>
      <c r="L1872">
        <v>22</v>
      </c>
      <c r="M1872">
        <v>35</v>
      </c>
      <c r="N1872" t="s">
        <v>35</v>
      </c>
      <c r="O1872" t="s">
        <v>36</v>
      </c>
      <c r="P1872">
        <v>2.37</v>
      </c>
      <c r="Q1872" t="s">
        <v>34</v>
      </c>
      <c r="R1872">
        <v>3.24</v>
      </c>
      <c r="S1872" t="s">
        <v>28</v>
      </c>
      <c r="T1872" t="str">
        <f t="shared" si="58"/>
        <v>Moderate</v>
      </c>
      <c r="U1872" t="str">
        <f t="shared" si="59"/>
        <v>Experienced</v>
      </c>
    </row>
    <row r="1873" spans="1:21" x14ac:dyDescent="0.35">
      <c r="A1873" t="s">
        <v>1946</v>
      </c>
      <c r="B1873" t="s">
        <v>94</v>
      </c>
      <c r="C1873" t="s">
        <v>58</v>
      </c>
      <c r="D1873" t="s">
        <v>63</v>
      </c>
      <c r="E1873" t="s">
        <v>23</v>
      </c>
      <c r="F1873">
        <v>14</v>
      </c>
      <c r="G1873">
        <v>0.14000000000000001</v>
      </c>
      <c r="H1873">
        <v>0.84</v>
      </c>
      <c r="I1873" t="s">
        <v>34</v>
      </c>
      <c r="J1873">
        <v>163524</v>
      </c>
      <c r="K1873" t="s">
        <v>42</v>
      </c>
      <c r="L1873">
        <v>21</v>
      </c>
      <c r="M1873">
        <v>32</v>
      </c>
      <c r="N1873" t="s">
        <v>26</v>
      </c>
      <c r="O1873" t="s">
        <v>25</v>
      </c>
      <c r="P1873">
        <v>4.96</v>
      </c>
      <c r="Q1873" t="s">
        <v>24</v>
      </c>
      <c r="R1873">
        <v>4.05</v>
      </c>
      <c r="S1873" t="s">
        <v>47</v>
      </c>
      <c r="T1873" t="str">
        <f t="shared" si="58"/>
        <v>Very High</v>
      </c>
      <c r="U1873" t="str">
        <f t="shared" si="59"/>
        <v>Experienced</v>
      </c>
    </row>
    <row r="1874" spans="1:21" x14ac:dyDescent="0.35">
      <c r="A1874" t="s">
        <v>1947</v>
      </c>
      <c r="B1874" t="s">
        <v>147</v>
      </c>
      <c r="C1874" t="s">
        <v>55</v>
      </c>
      <c r="D1874" t="s">
        <v>22</v>
      </c>
      <c r="E1874" t="s">
        <v>33</v>
      </c>
      <c r="F1874">
        <v>7</v>
      </c>
      <c r="G1874">
        <v>0.34</v>
      </c>
      <c r="H1874">
        <v>0.55000000000000004</v>
      </c>
      <c r="I1874" t="s">
        <v>60</v>
      </c>
      <c r="J1874">
        <v>38780</v>
      </c>
      <c r="K1874" t="s">
        <v>25</v>
      </c>
      <c r="L1874">
        <v>3</v>
      </c>
      <c r="M1874">
        <v>43</v>
      </c>
      <c r="N1874" t="s">
        <v>35</v>
      </c>
      <c r="O1874" t="s">
        <v>36</v>
      </c>
      <c r="P1874">
        <v>3.31</v>
      </c>
      <c r="Q1874" t="s">
        <v>34</v>
      </c>
      <c r="R1874">
        <v>1.44</v>
      </c>
      <c r="S1874" t="s">
        <v>28</v>
      </c>
      <c r="T1874" t="str">
        <f t="shared" si="58"/>
        <v>High</v>
      </c>
      <c r="U1874" t="str">
        <f t="shared" si="59"/>
        <v>Intermediate</v>
      </c>
    </row>
    <row r="1875" spans="1:21" x14ac:dyDescent="0.35">
      <c r="A1875" t="s">
        <v>1948</v>
      </c>
      <c r="B1875" t="s">
        <v>45</v>
      </c>
      <c r="C1875" t="s">
        <v>39</v>
      </c>
      <c r="D1875" t="s">
        <v>69</v>
      </c>
      <c r="E1875" t="s">
        <v>70</v>
      </c>
      <c r="F1875">
        <v>18</v>
      </c>
      <c r="G1875">
        <v>0.34</v>
      </c>
      <c r="H1875">
        <v>0.79</v>
      </c>
      <c r="I1875" t="s">
        <v>34</v>
      </c>
      <c r="J1875">
        <v>151984</v>
      </c>
      <c r="K1875" t="s">
        <v>42</v>
      </c>
      <c r="L1875">
        <v>6</v>
      </c>
      <c r="M1875">
        <v>52</v>
      </c>
      <c r="N1875" t="s">
        <v>42</v>
      </c>
      <c r="O1875" t="s">
        <v>25</v>
      </c>
      <c r="P1875">
        <v>4.08</v>
      </c>
      <c r="Q1875" t="s">
        <v>34</v>
      </c>
      <c r="R1875">
        <v>2.27</v>
      </c>
      <c r="S1875" t="s">
        <v>43</v>
      </c>
      <c r="T1875" t="str">
        <f t="shared" si="58"/>
        <v>Very High</v>
      </c>
      <c r="U1875" t="str">
        <f t="shared" si="59"/>
        <v>Expert</v>
      </c>
    </row>
    <row r="1876" spans="1:21" x14ac:dyDescent="0.35">
      <c r="A1876" t="s">
        <v>1949</v>
      </c>
      <c r="B1876" t="s">
        <v>20</v>
      </c>
      <c r="C1876" t="s">
        <v>82</v>
      </c>
      <c r="D1876" t="s">
        <v>63</v>
      </c>
      <c r="E1876" t="s">
        <v>33</v>
      </c>
      <c r="F1876">
        <v>23</v>
      </c>
      <c r="G1876">
        <v>0.93</v>
      </c>
      <c r="H1876">
        <v>0.43</v>
      </c>
      <c r="I1876" t="s">
        <v>34</v>
      </c>
      <c r="J1876">
        <v>165845</v>
      </c>
      <c r="K1876" t="s">
        <v>27</v>
      </c>
      <c r="L1876">
        <v>43</v>
      </c>
      <c r="M1876">
        <v>60</v>
      </c>
      <c r="N1876" t="s">
        <v>26</v>
      </c>
      <c r="O1876" t="s">
        <v>27</v>
      </c>
      <c r="P1876">
        <v>4.9000000000000004</v>
      </c>
      <c r="Q1876" t="s">
        <v>24</v>
      </c>
      <c r="R1876">
        <v>4.2699999999999996</v>
      </c>
      <c r="S1876" t="s">
        <v>43</v>
      </c>
      <c r="T1876" t="str">
        <f t="shared" si="58"/>
        <v>Very Low</v>
      </c>
      <c r="U1876" t="str">
        <f t="shared" si="59"/>
        <v>Expert</v>
      </c>
    </row>
    <row r="1877" spans="1:21" x14ac:dyDescent="0.35">
      <c r="A1877" t="s">
        <v>1950</v>
      </c>
      <c r="B1877" t="s">
        <v>57</v>
      </c>
      <c r="C1877" t="s">
        <v>55</v>
      </c>
      <c r="D1877" t="s">
        <v>63</v>
      </c>
      <c r="E1877" t="s">
        <v>41</v>
      </c>
      <c r="F1877">
        <v>10</v>
      </c>
      <c r="G1877">
        <v>0.71</v>
      </c>
      <c r="H1877">
        <v>0.57999999999999996</v>
      </c>
      <c r="I1877" t="s">
        <v>34</v>
      </c>
      <c r="J1877">
        <v>95445</v>
      </c>
      <c r="K1877" t="s">
        <v>42</v>
      </c>
      <c r="L1877">
        <v>8</v>
      </c>
      <c r="M1877">
        <v>53</v>
      </c>
      <c r="N1877" t="s">
        <v>42</v>
      </c>
      <c r="O1877" t="s">
        <v>36</v>
      </c>
      <c r="P1877">
        <v>4.9800000000000004</v>
      </c>
      <c r="Q1877" t="s">
        <v>34</v>
      </c>
      <c r="R1877">
        <v>1.24</v>
      </c>
      <c r="S1877" t="s">
        <v>43</v>
      </c>
      <c r="T1877" t="str">
        <f t="shared" si="58"/>
        <v>Moderate</v>
      </c>
      <c r="U1877" t="str">
        <f t="shared" si="59"/>
        <v>Experienced</v>
      </c>
    </row>
    <row r="1878" spans="1:21" x14ac:dyDescent="0.35">
      <c r="A1878" t="s">
        <v>1951</v>
      </c>
      <c r="B1878" t="s">
        <v>54</v>
      </c>
      <c r="C1878" t="s">
        <v>52</v>
      </c>
      <c r="D1878" t="s">
        <v>63</v>
      </c>
      <c r="E1878" t="s">
        <v>41</v>
      </c>
      <c r="F1878">
        <v>5</v>
      </c>
      <c r="G1878">
        <v>0.94</v>
      </c>
      <c r="H1878">
        <v>0.88</v>
      </c>
      <c r="I1878" t="s">
        <v>34</v>
      </c>
      <c r="J1878">
        <v>88547</v>
      </c>
      <c r="K1878" t="s">
        <v>42</v>
      </c>
      <c r="L1878">
        <v>22</v>
      </c>
      <c r="M1878">
        <v>60</v>
      </c>
      <c r="N1878" t="s">
        <v>42</v>
      </c>
      <c r="O1878" t="s">
        <v>25</v>
      </c>
      <c r="P1878">
        <v>2.75</v>
      </c>
      <c r="Q1878" t="s">
        <v>34</v>
      </c>
      <c r="R1878">
        <v>3.99</v>
      </c>
      <c r="S1878" t="s">
        <v>43</v>
      </c>
      <c r="T1878" t="str">
        <f t="shared" si="58"/>
        <v>Moderate</v>
      </c>
      <c r="U1878" t="str">
        <f t="shared" si="59"/>
        <v>Intermediate</v>
      </c>
    </row>
    <row r="1879" spans="1:21" x14ac:dyDescent="0.35">
      <c r="A1879" t="s">
        <v>1952</v>
      </c>
      <c r="B1879" t="s">
        <v>106</v>
      </c>
      <c r="C1879" t="s">
        <v>31</v>
      </c>
      <c r="D1879" t="s">
        <v>63</v>
      </c>
      <c r="E1879" t="s">
        <v>23</v>
      </c>
      <c r="F1879">
        <v>1</v>
      </c>
      <c r="G1879">
        <v>0.19</v>
      </c>
      <c r="H1879">
        <v>0.44</v>
      </c>
      <c r="I1879" t="s">
        <v>34</v>
      </c>
      <c r="J1879">
        <v>124257</v>
      </c>
      <c r="K1879" t="s">
        <v>25</v>
      </c>
      <c r="L1879">
        <v>10</v>
      </c>
      <c r="M1879">
        <v>57</v>
      </c>
      <c r="N1879" t="s">
        <v>42</v>
      </c>
      <c r="O1879" t="s">
        <v>27</v>
      </c>
      <c r="P1879">
        <v>3.41</v>
      </c>
      <c r="Q1879" t="s">
        <v>24</v>
      </c>
      <c r="R1879">
        <v>2.61</v>
      </c>
      <c r="S1879" t="s">
        <v>28</v>
      </c>
      <c r="T1879" t="str">
        <f t="shared" si="58"/>
        <v>High</v>
      </c>
      <c r="U1879" t="str">
        <f t="shared" si="59"/>
        <v>Beginner</v>
      </c>
    </row>
    <row r="1880" spans="1:21" x14ac:dyDescent="0.35">
      <c r="A1880" t="s">
        <v>1953</v>
      </c>
      <c r="B1880" t="s">
        <v>91</v>
      </c>
      <c r="C1880" t="s">
        <v>21</v>
      </c>
      <c r="D1880" t="s">
        <v>69</v>
      </c>
      <c r="E1880" t="s">
        <v>41</v>
      </c>
      <c r="F1880">
        <v>21</v>
      </c>
      <c r="G1880">
        <v>0.95</v>
      </c>
      <c r="H1880">
        <v>0.78</v>
      </c>
      <c r="I1880" t="s">
        <v>60</v>
      </c>
      <c r="J1880">
        <v>68101</v>
      </c>
      <c r="K1880" t="s">
        <v>27</v>
      </c>
      <c r="L1880">
        <v>32</v>
      </c>
      <c r="M1880">
        <v>42</v>
      </c>
      <c r="N1880" t="s">
        <v>35</v>
      </c>
      <c r="O1880" t="s">
        <v>27</v>
      </c>
      <c r="P1880">
        <v>4.79</v>
      </c>
      <c r="Q1880" t="s">
        <v>34</v>
      </c>
      <c r="R1880">
        <v>3.32</v>
      </c>
      <c r="S1880" t="s">
        <v>43</v>
      </c>
      <c r="T1880" t="str">
        <f t="shared" si="58"/>
        <v>Moderate</v>
      </c>
      <c r="U1880" t="str">
        <f t="shared" si="59"/>
        <v>Expert</v>
      </c>
    </row>
    <row r="1881" spans="1:21" x14ac:dyDescent="0.35">
      <c r="A1881" t="s">
        <v>1954</v>
      </c>
      <c r="B1881" t="s">
        <v>20</v>
      </c>
      <c r="C1881" t="s">
        <v>74</v>
      </c>
      <c r="D1881" t="s">
        <v>66</v>
      </c>
      <c r="E1881" t="s">
        <v>23</v>
      </c>
      <c r="F1881">
        <v>17</v>
      </c>
      <c r="G1881">
        <v>0.62</v>
      </c>
      <c r="H1881">
        <v>0.22</v>
      </c>
      <c r="I1881" t="s">
        <v>34</v>
      </c>
      <c r="J1881">
        <v>209445</v>
      </c>
      <c r="K1881" t="s">
        <v>27</v>
      </c>
      <c r="L1881">
        <v>1</v>
      </c>
      <c r="M1881">
        <v>43</v>
      </c>
      <c r="N1881" t="s">
        <v>26</v>
      </c>
      <c r="O1881" t="s">
        <v>25</v>
      </c>
      <c r="P1881">
        <v>3.71</v>
      </c>
      <c r="Q1881" t="s">
        <v>24</v>
      </c>
      <c r="R1881">
        <v>4.67</v>
      </c>
      <c r="S1881" t="s">
        <v>28</v>
      </c>
      <c r="T1881" t="str">
        <f t="shared" si="58"/>
        <v>Moderate</v>
      </c>
      <c r="U1881" t="str">
        <f t="shared" si="59"/>
        <v>Expert</v>
      </c>
    </row>
    <row r="1882" spans="1:21" x14ac:dyDescent="0.35">
      <c r="A1882" t="s">
        <v>1955</v>
      </c>
      <c r="B1882" t="s">
        <v>57</v>
      </c>
      <c r="C1882" t="s">
        <v>82</v>
      </c>
      <c r="D1882" t="s">
        <v>80</v>
      </c>
      <c r="E1882" t="s">
        <v>41</v>
      </c>
      <c r="F1882">
        <v>24</v>
      </c>
      <c r="G1882">
        <v>0.76</v>
      </c>
      <c r="H1882">
        <v>0.96</v>
      </c>
      <c r="I1882" t="s">
        <v>34</v>
      </c>
      <c r="J1882">
        <v>213945</v>
      </c>
      <c r="K1882" t="s">
        <v>25</v>
      </c>
      <c r="L1882">
        <v>12</v>
      </c>
      <c r="M1882">
        <v>37</v>
      </c>
      <c r="N1882" t="s">
        <v>26</v>
      </c>
      <c r="O1882" t="s">
        <v>27</v>
      </c>
      <c r="P1882">
        <v>2.75</v>
      </c>
      <c r="Q1882" t="s">
        <v>24</v>
      </c>
      <c r="R1882">
        <v>4.6500000000000004</v>
      </c>
      <c r="S1882" t="s">
        <v>43</v>
      </c>
      <c r="T1882" t="str">
        <f t="shared" si="58"/>
        <v>High</v>
      </c>
      <c r="U1882" t="str">
        <f t="shared" si="59"/>
        <v>Expert</v>
      </c>
    </row>
    <row r="1883" spans="1:21" x14ac:dyDescent="0.35">
      <c r="A1883" t="s">
        <v>1956</v>
      </c>
      <c r="B1883" t="s">
        <v>65</v>
      </c>
      <c r="C1883" t="s">
        <v>39</v>
      </c>
      <c r="D1883" t="s">
        <v>40</v>
      </c>
      <c r="E1883" t="s">
        <v>70</v>
      </c>
      <c r="F1883">
        <v>24</v>
      </c>
      <c r="G1883">
        <v>0.54</v>
      </c>
      <c r="H1883">
        <v>0.33</v>
      </c>
      <c r="I1883" t="s">
        <v>24</v>
      </c>
      <c r="J1883">
        <v>171235</v>
      </c>
      <c r="K1883" t="s">
        <v>25</v>
      </c>
      <c r="L1883">
        <v>4</v>
      </c>
      <c r="M1883">
        <v>41</v>
      </c>
      <c r="N1883" t="s">
        <v>42</v>
      </c>
      <c r="O1883" t="s">
        <v>25</v>
      </c>
      <c r="P1883">
        <v>2.08</v>
      </c>
      <c r="Q1883" t="s">
        <v>24</v>
      </c>
      <c r="R1883">
        <v>3.02</v>
      </c>
      <c r="S1883" t="s">
        <v>43</v>
      </c>
      <c r="T1883" t="str">
        <f t="shared" si="58"/>
        <v>Moderate</v>
      </c>
      <c r="U1883" t="str">
        <f t="shared" si="59"/>
        <v>Expert</v>
      </c>
    </row>
    <row r="1884" spans="1:21" x14ac:dyDescent="0.35">
      <c r="A1884" t="s">
        <v>1957</v>
      </c>
      <c r="B1884" t="s">
        <v>96</v>
      </c>
      <c r="C1884" t="s">
        <v>74</v>
      </c>
      <c r="D1884" t="s">
        <v>49</v>
      </c>
      <c r="E1884" t="s">
        <v>41</v>
      </c>
      <c r="F1884">
        <v>13</v>
      </c>
      <c r="G1884">
        <v>0.33</v>
      </c>
      <c r="H1884">
        <v>0.55000000000000004</v>
      </c>
      <c r="I1884" t="s">
        <v>60</v>
      </c>
      <c r="J1884">
        <v>173304</v>
      </c>
      <c r="K1884" t="s">
        <v>27</v>
      </c>
      <c r="L1884">
        <v>35</v>
      </c>
      <c r="M1884">
        <v>43</v>
      </c>
      <c r="N1884" t="s">
        <v>26</v>
      </c>
      <c r="O1884" t="s">
        <v>25</v>
      </c>
      <c r="P1884">
        <v>2.2799999999999998</v>
      </c>
      <c r="Q1884" t="s">
        <v>24</v>
      </c>
      <c r="R1884">
        <v>4.12</v>
      </c>
      <c r="S1884" t="s">
        <v>43</v>
      </c>
      <c r="T1884" t="str">
        <f t="shared" si="58"/>
        <v>High</v>
      </c>
      <c r="U1884" t="str">
        <f t="shared" si="59"/>
        <v>Experienced</v>
      </c>
    </row>
    <row r="1885" spans="1:21" x14ac:dyDescent="0.35">
      <c r="A1885" t="s">
        <v>1958</v>
      </c>
      <c r="B1885" t="s">
        <v>30</v>
      </c>
      <c r="C1885" t="s">
        <v>52</v>
      </c>
      <c r="D1885" t="s">
        <v>66</v>
      </c>
      <c r="E1885" t="s">
        <v>33</v>
      </c>
      <c r="F1885">
        <v>9</v>
      </c>
      <c r="G1885">
        <v>0.82</v>
      </c>
      <c r="H1885">
        <v>0.52</v>
      </c>
      <c r="I1885" t="s">
        <v>34</v>
      </c>
      <c r="J1885">
        <v>170573</v>
      </c>
      <c r="K1885" t="s">
        <v>42</v>
      </c>
      <c r="L1885">
        <v>-7</v>
      </c>
      <c r="M1885">
        <v>51</v>
      </c>
      <c r="N1885" t="s">
        <v>26</v>
      </c>
      <c r="O1885" t="s">
        <v>27</v>
      </c>
      <c r="P1885">
        <v>4.47</v>
      </c>
      <c r="Q1885" t="s">
        <v>24</v>
      </c>
      <c r="R1885">
        <v>1.84</v>
      </c>
      <c r="S1885" t="s">
        <v>28</v>
      </c>
      <c r="T1885" t="str">
        <f t="shared" si="58"/>
        <v>Moderate</v>
      </c>
      <c r="U1885" t="str">
        <f t="shared" si="59"/>
        <v>Experienced</v>
      </c>
    </row>
    <row r="1886" spans="1:21" x14ac:dyDescent="0.35">
      <c r="A1886" t="s">
        <v>1959</v>
      </c>
      <c r="B1886" t="s">
        <v>96</v>
      </c>
      <c r="C1886" t="s">
        <v>107</v>
      </c>
      <c r="D1886" t="s">
        <v>59</v>
      </c>
      <c r="E1886" t="s">
        <v>23</v>
      </c>
      <c r="F1886">
        <v>6</v>
      </c>
      <c r="G1886">
        <v>0.59</v>
      </c>
      <c r="H1886">
        <v>0.71</v>
      </c>
      <c r="I1886" t="s">
        <v>24</v>
      </c>
      <c r="J1886">
        <v>105885</v>
      </c>
      <c r="K1886" t="s">
        <v>42</v>
      </c>
      <c r="L1886">
        <v>2</v>
      </c>
      <c r="M1886">
        <v>37</v>
      </c>
      <c r="N1886" t="s">
        <v>35</v>
      </c>
      <c r="O1886" t="s">
        <v>27</v>
      </c>
      <c r="P1886">
        <v>2.88</v>
      </c>
      <c r="Q1886" t="s">
        <v>24</v>
      </c>
      <c r="R1886">
        <v>1.41</v>
      </c>
      <c r="S1886" t="s">
        <v>47</v>
      </c>
      <c r="T1886" t="str">
        <f t="shared" si="58"/>
        <v>High</v>
      </c>
      <c r="U1886" t="str">
        <f t="shared" si="59"/>
        <v>Intermediate</v>
      </c>
    </row>
    <row r="1887" spans="1:21" x14ac:dyDescent="0.35">
      <c r="A1887" t="s">
        <v>1960</v>
      </c>
      <c r="B1887" t="s">
        <v>65</v>
      </c>
      <c r="C1887" t="s">
        <v>31</v>
      </c>
      <c r="D1887" t="s">
        <v>49</v>
      </c>
      <c r="E1887" t="s">
        <v>70</v>
      </c>
      <c r="F1887">
        <v>18</v>
      </c>
      <c r="G1887">
        <v>0.85</v>
      </c>
      <c r="H1887">
        <v>0.45</v>
      </c>
      <c r="I1887" t="s">
        <v>24</v>
      </c>
      <c r="J1887">
        <v>42871</v>
      </c>
      <c r="K1887" t="s">
        <v>27</v>
      </c>
      <c r="L1887">
        <v>-5</v>
      </c>
      <c r="M1887">
        <v>43</v>
      </c>
      <c r="N1887" t="s">
        <v>35</v>
      </c>
      <c r="O1887" t="s">
        <v>36</v>
      </c>
      <c r="P1887">
        <v>4.5599999999999996</v>
      </c>
      <c r="Q1887" t="s">
        <v>24</v>
      </c>
      <c r="R1887">
        <v>4.43</v>
      </c>
      <c r="S1887" t="s">
        <v>28</v>
      </c>
      <c r="T1887" t="str">
        <f t="shared" si="58"/>
        <v>Very Low</v>
      </c>
      <c r="U1887" t="str">
        <f t="shared" si="59"/>
        <v>Expert</v>
      </c>
    </row>
    <row r="1888" spans="1:21" x14ac:dyDescent="0.35">
      <c r="A1888" t="s">
        <v>1961</v>
      </c>
      <c r="B1888" t="s">
        <v>94</v>
      </c>
      <c r="C1888" t="s">
        <v>39</v>
      </c>
      <c r="D1888" t="s">
        <v>69</v>
      </c>
      <c r="E1888" t="s">
        <v>23</v>
      </c>
      <c r="F1888">
        <v>5</v>
      </c>
      <c r="G1888">
        <v>0.69</v>
      </c>
      <c r="H1888">
        <v>0.74</v>
      </c>
      <c r="I1888" t="s">
        <v>24</v>
      </c>
      <c r="J1888">
        <v>131761</v>
      </c>
      <c r="K1888" t="s">
        <v>27</v>
      </c>
      <c r="L1888">
        <v>7</v>
      </c>
      <c r="M1888">
        <v>41</v>
      </c>
      <c r="N1888" t="s">
        <v>42</v>
      </c>
      <c r="O1888" t="s">
        <v>36</v>
      </c>
      <c r="P1888">
        <v>2.2200000000000002</v>
      </c>
      <c r="Q1888" t="s">
        <v>24</v>
      </c>
      <c r="R1888">
        <v>3.13</v>
      </c>
      <c r="S1888" t="s">
        <v>43</v>
      </c>
      <c r="T1888" t="str">
        <f t="shared" si="58"/>
        <v>High</v>
      </c>
      <c r="U1888" t="str">
        <f t="shared" si="59"/>
        <v>Intermediate</v>
      </c>
    </row>
    <row r="1889" spans="1:21" x14ac:dyDescent="0.35">
      <c r="A1889" t="s">
        <v>1962</v>
      </c>
      <c r="B1889" t="s">
        <v>156</v>
      </c>
      <c r="C1889" t="s">
        <v>55</v>
      </c>
      <c r="D1889" t="s">
        <v>66</v>
      </c>
      <c r="E1889" t="s">
        <v>23</v>
      </c>
      <c r="F1889">
        <v>2</v>
      </c>
      <c r="G1889">
        <v>0.12</v>
      </c>
      <c r="H1889">
        <v>0.86</v>
      </c>
      <c r="I1889" t="s">
        <v>24</v>
      </c>
      <c r="J1889">
        <v>196161</v>
      </c>
      <c r="K1889" t="s">
        <v>42</v>
      </c>
      <c r="L1889">
        <v>36</v>
      </c>
      <c r="M1889">
        <v>54</v>
      </c>
      <c r="N1889" t="s">
        <v>42</v>
      </c>
      <c r="O1889" t="s">
        <v>27</v>
      </c>
      <c r="P1889">
        <v>2.13</v>
      </c>
      <c r="Q1889" t="s">
        <v>24</v>
      </c>
      <c r="R1889">
        <v>1.73</v>
      </c>
      <c r="S1889" t="s">
        <v>43</v>
      </c>
      <c r="T1889" t="str">
        <f t="shared" si="58"/>
        <v>Very High</v>
      </c>
      <c r="U1889" t="str">
        <f t="shared" si="59"/>
        <v>Beginner</v>
      </c>
    </row>
    <row r="1890" spans="1:21" x14ac:dyDescent="0.35">
      <c r="A1890" t="s">
        <v>1963</v>
      </c>
      <c r="B1890" t="s">
        <v>30</v>
      </c>
      <c r="C1890" t="s">
        <v>39</v>
      </c>
      <c r="D1890" t="s">
        <v>80</v>
      </c>
      <c r="E1890" t="s">
        <v>41</v>
      </c>
      <c r="F1890">
        <v>23</v>
      </c>
      <c r="G1890">
        <v>0.62</v>
      </c>
      <c r="H1890">
        <v>0.55000000000000004</v>
      </c>
      <c r="I1890" t="s">
        <v>34</v>
      </c>
      <c r="J1890">
        <v>190558</v>
      </c>
      <c r="K1890" t="s">
        <v>25</v>
      </c>
      <c r="L1890">
        <v>9</v>
      </c>
      <c r="M1890">
        <v>38</v>
      </c>
      <c r="N1890" t="s">
        <v>35</v>
      </c>
      <c r="O1890" t="s">
        <v>25</v>
      </c>
      <c r="P1890">
        <v>3.25</v>
      </c>
      <c r="Q1890" t="s">
        <v>34</v>
      </c>
      <c r="R1890">
        <v>3.18</v>
      </c>
      <c r="S1890" t="s">
        <v>43</v>
      </c>
      <c r="T1890" t="str">
        <f t="shared" si="58"/>
        <v>Moderate</v>
      </c>
      <c r="U1890" t="str">
        <f t="shared" si="59"/>
        <v>Expert</v>
      </c>
    </row>
    <row r="1891" spans="1:21" x14ac:dyDescent="0.35">
      <c r="A1891" t="s">
        <v>1964</v>
      </c>
      <c r="B1891" t="s">
        <v>54</v>
      </c>
      <c r="C1891" t="s">
        <v>82</v>
      </c>
      <c r="D1891" t="s">
        <v>59</v>
      </c>
      <c r="E1891" t="s">
        <v>33</v>
      </c>
      <c r="F1891">
        <v>11</v>
      </c>
      <c r="G1891">
        <v>0.44</v>
      </c>
      <c r="H1891">
        <v>0.24</v>
      </c>
      <c r="I1891" t="s">
        <v>34</v>
      </c>
      <c r="J1891">
        <v>76582</v>
      </c>
      <c r="K1891" t="s">
        <v>27</v>
      </c>
      <c r="L1891">
        <v>6</v>
      </c>
      <c r="M1891">
        <v>57</v>
      </c>
      <c r="N1891" t="s">
        <v>35</v>
      </c>
      <c r="O1891" t="s">
        <v>36</v>
      </c>
      <c r="P1891">
        <v>2.23</v>
      </c>
      <c r="Q1891" t="s">
        <v>24</v>
      </c>
      <c r="R1891">
        <v>3.57</v>
      </c>
      <c r="S1891" t="s">
        <v>47</v>
      </c>
      <c r="T1891" t="str">
        <f t="shared" si="58"/>
        <v>Moderate</v>
      </c>
      <c r="U1891" t="str">
        <f t="shared" si="59"/>
        <v>Experienced</v>
      </c>
    </row>
    <row r="1892" spans="1:21" x14ac:dyDescent="0.35">
      <c r="A1892" t="s">
        <v>1965</v>
      </c>
      <c r="B1892" t="s">
        <v>156</v>
      </c>
      <c r="C1892" t="s">
        <v>52</v>
      </c>
      <c r="D1892" t="s">
        <v>69</v>
      </c>
      <c r="E1892" t="s">
        <v>23</v>
      </c>
      <c r="F1892">
        <v>3</v>
      </c>
      <c r="G1892">
        <v>0.65</v>
      </c>
      <c r="H1892">
        <v>0.22</v>
      </c>
      <c r="I1892" t="s">
        <v>34</v>
      </c>
      <c r="J1892">
        <v>120716</v>
      </c>
      <c r="K1892" t="s">
        <v>27</v>
      </c>
      <c r="L1892">
        <v>11</v>
      </c>
      <c r="M1892">
        <v>37</v>
      </c>
      <c r="N1892" t="s">
        <v>35</v>
      </c>
      <c r="O1892" t="s">
        <v>27</v>
      </c>
      <c r="P1892">
        <v>2.6</v>
      </c>
      <c r="Q1892" t="s">
        <v>24</v>
      </c>
      <c r="R1892">
        <v>3</v>
      </c>
      <c r="S1892" t="s">
        <v>47</v>
      </c>
      <c r="T1892" t="str">
        <f t="shared" si="58"/>
        <v>Moderate</v>
      </c>
      <c r="U1892" t="str">
        <f t="shared" si="59"/>
        <v>Intermediate</v>
      </c>
    </row>
    <row r="1893" spans="1:21" x14ac:dyDescent="0.35">
      <c r="A1893" t="s">
        <v>1966</v>
      </c>
      <c r="B1893" t="s">
        <v>51</v>
      </c>
      <c r="C1893" t="s">
        <v>31</v>
      </c>
      <c r="D1893" t="s">
        <v>22</v>
      </c>
      <c r="E1893" t="s">
        <v>33</v>
      </c>
      <c r="F1893">
        <v>5</v>
      </c>
      <c r="G1893">
        <v>0.78</v>
      </c>
      <c r="H1893">
        <v>0.33</v>
      </c>
      <c r="I1893" t="s">
        <v>24</v>
      </c>
      <c r="J1893">
        <v>174809</v>
      </c>
      <c r="K1893" t="s">
        <v>25</v>
      </c>
      <c r="L1893">
        <v>22</v>
      </c>
      <c r="M1893">
        <v>60</v>
      </c>
      <c r="N1893" t="s">
        <v>26</v>
      </c>
      <c r="O1893" t="s">
        <v>27</v>
      </c>
      <c r="P1893">
        <v>2.2200000000000002</v>
      </c>
      <c r="Q1893" t="s">
        <v>24</v>
      </c>
      <c r="R1893">
        <v>1.19</v>
      </c>
      <c r="S1893" t="s">
        <v>28</v>
      </c>
      <c r="T1893" t="str">
        <f t="shared" si="58"/>
        <v>Very Low</v>
      </c>
      <c r="U1893" t="str">
        <f t="shared" si="59"/>
        <v>Intermediate</v>
      </c>
    </row>
    <row r="1894" spans="1:21" x14ac:dyDescent="0.35">
      <c r="A1894" t="s">
        <v>1967</v>
      </c>
      <c r="B1894" t="s">
        <v>94</v>
      </c>
      <c r="C1894" t="s">
        <v>46</v>
      </c>
      <c r="D1894" t="s">
        <v>69</v>
      </c>
      <c r="E1894" t="s">
        <v>33</v>
      </c>
      <c r="F1894">
        <v>10</v>
      </c>
      <c r="G1894">
        <v>0.54</v>
      </c>
      <c r="H1894">
        <v>0.28999999999999998</v>
      </c>
      <c r="I1894" t="s">
        <v>24</v>
      </c>
      <c r="J1894">
        <v>71398</v>
      </c>
      <c r="K1894" t="s">
        <v>42</v>
      </c>
      <c r="L1894">
        <v>38</v>
      </c>
      <c r="M1894">
        <v>31</v>
      </c>
      <c r="N1894" t="s">
        <v>42</v>
      </c>
      <c r="O1894" t="s">
        <v>27</v>
      </c>
      <c r="P1894">
        <v>2.68</v>
      </c>
      <c r="Q1894" t="s">
        <v>24</v>
      </c>
      <c r="R1894">
        <v>2.11</v>
      </c>
      <c r="S1894" t="s">
        <v>28</v>
      </c>
      <c r="T1894" t="str">
        <f t="shared" si="58"/>
        <v>Moderate</v>
      </c>
      <c r="U1894" t="str">
        <f t="shared" si="59"/>
        <v>Experienced</v>
      </c>
    </row>
    <row r="1895" spans="1:21" x14ac:dyDescent="0.35">
      <c r="A1895" t="s">
        <v>1968</v>
      </c>
      <c r="B1895" t="s">
        <v>51</v>
      </c>
      <c r="C1895" t="s">
        <v>74</v>
      </c>
      <c r="D1895" t="s">
        <v>75</v>
      </c>
      <c r="E1895" t="s">
        <v>33</v>
      </c>
      <c r="F1895">
        <v>15</v>
      </c>
      <c r="G1895">
        <v>0.1</v>
      </c>
      <c r="H1895">
        <v>0.85</v>
      </c>
      <c r="I1895" t="s">
        <v>34</v>
      </c>
      <c r="J1895">
        <v>210354</v>
      </c>
      <c r="K1895" t="s">
        <v>27</v>
      </c>
      <c r="L1895">
        <v>15</v>
      </c>
      <c r="M1895">
        <v>56</v>
      </c>
      <c r="N1895" t="s">
        <v>35</v>
      </c>
      <c r="O1895" t="s">
        <v>25</v>
      </c>
      <c r="P1895">
        <v>3.68</v>
      </c>
      <c r="Q1895" t="s">
        <v>34</v>
      </c>
      <c r="R1895">
        <v>2.1800000000000002</v>
      </c>
      <c r="S1895" t="s">
        <v>28</v>
      </c>
      <c r="T1895" t="str">
        <f t="shared" si="58"/>
        <v>Very High</v>
      </c>
      <c r="U1895" t="str">
        <f t="shared" si="59"/>
        <v>Experienced</v>
      </c>
    </row>
    <row r="1896" spans="1:21" x14ac:dyDescent="0.35">
      <c r="A1896" t="s">
        <v>1969</v>
      </c>
      <c r="B1896" t="s">
        <v>106</v>
      </c>
      <c r="C1896" t="s">
        <v>55</v>
      </c>
      <c r="D1896" t="s">
        <v>63</v>
      </c>
      <c r="E1896" t="s">
        <v>41</v>
      </c>
      <c r="F1896">
        <v>6</v>
      </c>
      <c r="G1896">
        <v>0.24</v>
      </c>
      <c r="H1896">
        <v>0.66</v>
      </c>
      <c r="I1896" t="s">
        <v>24</v>
      </c>
      <c r="J1896">
        <v>99734</v>
      </c>
      <c r="K1896" t="s">
        <v>25</v>
      </c>
      <c r="L1896">
        <v>23</v>
      </c>
      <c r="M1896">
        <v>43</v>
      </c>
      <c r="N1896" t="s">
        <v>26</v>
      </c>
      <c r="O1896" t="s">
        <v>36</v>
      </c>
      <c r="P1896">
        <v>4.46</v>
      </c>
      <c r="Q1896" t="s">
        <v>34</v>
      </c>
      <c r="R1896">
        <v>3.23</v>
      </c>
      <c r="S1896" t="s">
        <v>28</v>
      </c>
      <c r="T1896" t="str">
        <f t="shared" si="58"/>
        <v>High</v>
      </c>
      <c r="U1896" t="str">
        <f t="shared" si="59"/>
        <v>Intermediate</v>
      </c>
    </row>
    <row r="1897" spans="1:21" x14ac:dyDescent="0.35">
      <c r="A1897" t="s">
        <v>1970</v>
      </c>
      <c r="B1897" t="s">
        <v>65</v>
      </c>
      <c r="C1897" t="s">
        <v>107</v>
      </c>
      <c r="D1897" t="s">
        <v>40</v>
      </c>
      <c r="E1897" t="s">
        <v>70</v>
      </c>
      <c r="F1897">
        <v>18</v>
      </c>
      <c r="G1897">
        <v>7.0000000000000007E-2</v>
      </c>
      <c r="H1897">
        <v>0.97</v>
      </c>
      <c r="I1897" t="s">
        <v>24</v>
      </c>
      <c r="J1897">
        <v>101403</v>
      </c>
      <c r="K1897" t="s">
        <v>42</v>
      </c>
      <c r="L1897">
        <v>-3</v>
      </c>
      <c r="M1897">
        <v>47</v>
      </c>
      <c r="N1897" t="s">
        <v>35</v>
      </c>
      <c r="O1897" t="s">
        <v>25</v>
      </c>
      <c r="P1897">
        <v>3.4</v>
      </c>
      <c r="Q1897" t="s">
        <v>24</v>
      </c>
      <c r="R1897">
        <v>1.42</v>
      </c>
      <c r="S1897" t="s">
        <v>28</v>
      </c>
      <c r="T1897" t="str">
        <f t="shared" si="58"/>
        <v>Very High</v>
      </c>
      <c r="U1897" t="str">
        <f t="shared" si="59"/>
        <v>Expert</v>
      </c>
    </row>
    <row r="1898" spans="1:21" x14ac:dyDescent="0.35">
      <c r="A1898" t="s">
        <v>1971</v>
      </c>
      <c r="B1898" t="s">
        <v>38</v>
      </c>
      <c r="C1898" t="s">
        <v>21</v>
      </c>
      <c r="D1898" t="s">
        <v>40</v>
      </c>
      <c r="E1898" t="s">
        <v>23</v>
      </c>
      <c r="F1898">
        <v>3</v>
      </c>
      <c r="G1898">
        <v>0.28000000000000003</v>
      </c>
      <c r="H1898">
        <v>0.65</v>
      </c>
      <c r="I1898" t="s">
        <v>34</v>
      </c>
      <c r="J1898">
        <v>90687</v>
      </c>
      <c r="K1898" t="s">
        <v>42</v>
      </c>
      <c r="L1898">
        <v>44</v>
      </c>
      <c r="M1898">
        <v>52</v>
      </c>
      <c r="N1898" t="s">
        <v>35</v>
      </c>
      <c r="O1898" t="s">
        <v>25</v>
      </c>
      <c r="P1898">
        <v>2.6</v>
      </c>
      <c r="Q1898" t="s">
        <v>34</v>
      </c>
      <c r="R1898">
        <v>2.4300000000000002</v>
      </c>
      <c r="S1898" t="s">
        <v>28</v>
      </c>
      <c r="T1898" t="str">
        <f t="shared" si="58"/>
        <v>High</v>
      </c>
      <c r="U1898" t="str">
        <f t="shared" si="59"/>
        <v>Intermediate</v>
      </c>
    </row>
    <row r="1899" spans="1:21" x14ac:dyDescent="0.35">
      <c r="A1899" t="s">
        <v>1972</v>
      </c>
      <c r="B1899" t="s">
        <v>77</v>
      </c>
      <c r="C1899" t="s">
        <v>52</v>
      </c>
      <c r="D1899" t="s">
        <v>69</v>
      </c>
      <c r="E1899" t="s">
        <v>23</v>
      </c>
      <c r="F1899">
        <v>0</v>
      </c>
      <c r="G1899">
        <v>0.73</v>
      </c>
      <c r="H1899">
        <v>0.57999999999999996</v>
      </c>
      <c r="I1899" t="s">
        <v>34</v>
      </c>
      <c r="J1899">
        <v>102911</v>
      </c>
      <c r="K1899" t="s">
        <v>25</v>
      </c>
      <c r="L1899">
        <v>4</v>
      </c>
      <c r="M1899">
        <v>42</v>
      </c>
      <c r="N1899" t="s">
        <v>42</v>
      </c>
      <c r="O1899" t="s">
        <v>27</v>
      </c>
      <c r="P1899">
        <v>2.17</v>
      </c>
      <c r="Q1899" t="s">
        <v>34</v>
      </c>
      <c r="R1899">
        <v>4.4000000000000004</v>
      </c>
      <c r="S1899" t="s">
        <v>43</v>
      </c>
      <c r="T1899" t="str">
        <f t="shared" si="58"/>
        <v>Moderate</v>
      </c>
      <c r="U1899" t="str">
        <f t="shared" si="59"/>
        <v>Beginner</v>
      </c>
    </row>
    <row r="1900" spans="1:21" x14ac:dyDescent="0.35">
      <c r="A1900" t="s">
        <v>1973</v>
      </c>
      <c r="B1900" t="s">
        <v>77</v>
      </c>
      <c r="C1900" t="s">
        <v>39</v>
      </c>
      <c r="D1900" t="s">
        <v>80</v>
      </c>
      <c r="E1900" t="s">
        <v>33</v>
      </c>
      <c r="F1900">
        <v>11</v>
      </c>
      <c r="G1900">
        <v>0.54</v>
      </c>
      <c r="H1900">
        <v>0.35</v>
      </c>
      <c r="I1900" t="s">
        <v>24</v>
      </c>
      <c r="J1900">
        <v>165465</v>
      </c>
      <c r="K1900" t="s">
        <v>27</v>
      </c>
      <c r="L1900">
        <v>33</v>
      </c>
      <c r="M1900">
        <v>60</v>
      </c>
      <c r="N1900" t="s">
        <v>26</v>
      </c>
      <c r="O1900" t="s">
        <v>27</v>
      </c>
      <c r="P1900">
        <v>2.85</v>
      </c>
      <c r="Q1900" t="s">
        <v>34</v>
      </c>
      <c r="R1900">
        <v>1.86</v>
      </c>
      <c r="S1900" t="s">
        <v>47</v>
      </c>
      <c r="T1900" t="str">
        <f t="shared" si="58"/>
        <v>Moderate</v>
      </c>
      <c r="U1900" t="str">
        <f t="shared" si="59"/>
        <v>Experienced</v>
      </c>
    </row>
    <row r="1901" spans="1:21" x14ac:dyDescent="0.35">
      <c r="A1901" t="s">
        <v>1974</v>
      </c>
      <c r="B1901" t="s">
        <v>91</v>
      </c>
      <c r="C1901" t="s">
        <v>74</v>
      </c>
      <c r="D1901" t="s">
        <v>32</v>
      </c>
      <c r="E1901" t="s">
        <v>23</v>
      </c>
      <c r="F1901">
        <v>13</v>
      </c>
      <c r="G1901">
        <v>0.6</v>
      </c>
      <c r="H1901">
        <v>0.76</v>
      </c>
      <c r="I1901" t="s">
        <v>60</v>
      </c>
      <c r="J1901">
        <v>156655</v>
      </c>
      <c r="K1901" t="s">
        <v>42</v>
      </c>
      <c r="L1901">
        <v>25</v>
      </c>
      <c r="M1901">
        <v>59</v>
      </c>
      <c r="N1901" t="s">
        <v>35</v>
      </c>
      <c r="O1901" t="s">
        <v>25</v>
      </c>
      <c r="P1901">
        <v>4</v>
      </c>
      <c r="Q1901" t="s">
        <v>24</v>
      </c>
      <c r="R1901">
        <v>2.71</v>
      </c>
      <c r="S1901" t="s">
        <v>43</v>
      </c>
      <c r="T1901" t="str">
        <f t="shared" si="58"/>
        <v>High</v>
      </c>
      <c r="U1901" t="str">
        <f t="shared" si="59"/>
        <v>Experienced</v>
      </c>
    </row>
    <row r="1902" spans="1:21" x14ac:dyDescent="0.35">
      <c r="A1902" t="s">
        <v>1975</v>
      </c>
      <c r="B1902" t="s">
        <v>30</v>
      </c>
      <c r="C1902" t="s">
        <v>39</v>
      </c>
      <c r="D1902" t="s">
        <v>49</v>
      </c>
      <c r="E1902" t="s">
        <v>23</v>
      </c>
      <c r="F1902">
        <v>8</v>
      </c>
      <c r="G1902">
        <v>0.8</v>
      </c>
      <c r="H1902">
        <v>0.64</v>
      </c>
      <c r="I1902" t="s">
        <v>24</v>
      </c>
      <c r="J1902">
        <v>95141</v>
      </c>
      <c r="K1902" t="s">
        <v>27</v>
      </c>
      <c r="L1902">
        <v>43</v>
      </c>
      <c r="M1902">
        <v>58</v>
      </c>
      <c r="N1902" t="s">
        <v>26</v>
      </c>
      <c r="O1902" t="s">
        <v>25</v>
      </c>
      <c r="P1902">
        <v>4.2699999999999996</v>
      </c>
      <c r="Q1902" t="s">
        <v>24</v>
      </c>
      <c r="R1902">
        <v>1.05</v>
      </c>
      <c r="S1902" t="s">
        <v>28</v>
      </c>
      <c r="T1902" t="str">
        <f t="shared" si="58"/>
        <v>Moderate</v>
      </c>
      <c r="U1902" t="str">
        <f t="shared" si="59"/>
        <v>Intermediate</v>
      </c>
    </row>
    <row r="1903" spans="1:21" x14ac:dyDescent="0.35">
      <c r="A1903" t="s">
        <v>1976</v>
      </c>
      <c r="B1903" t="s">
        <v>20</v>
      </c>
      <c r="C1903" t="s">
        <v>74</v>
      </c>
      <c r="D1903" t="s">
        <v>59</v>
      </c>
      <c r="E1903" t="s">
        <v>33</v>
      </c>
      <c r="F1903">
        <v>19</v>
      </c>
      <c r="G1903">
        <v>0.84</v>
      </c>
      <c r="H1903">
        <v>0.51</v>
      </c>
      <c r="I1903" t="s">
        <v>60</v>
      </c>
      <c r="J1903">
        <v>166817</v>
      </c>
      <c r="K1903" t="s">
        <v>42</v>
      </c>
      <c r="L1903">
        <v>5</v>
      </c>
      <c r="M1903">
        <v>39</v>
      </c>
      <c r="N1903" t="s">
        <v>26</v>
      </c>
      <c r="O1903" t="s">
        <v>25</v>
      </c>
      <c r="P1903">
        <v>2.2799999999999998</v>
      </c>
      <c r="Q1903" t="s">
        <v>34</v>
      </c>
      <c r="R1903">
        <v>3.48</v>
      </c>
      <c r="S1903" t="s">
        <v>28</v>
      </c>
      <c r="T1903" t="str">
        <f t="shared" si="58"/>
        <v>Moderate</v>
      </c>
      <c r="U1903" t="str">
        <f t="shared" si="59"/>
        <v>Expert</v>
      </c>
    </row>
    <row r="1904" spans="1:21" x14ac:dyDescent="0.35">
      <c r="A1904" t="s">
        <v>1977</v>
      </c>
      <c r="B1904" t="s">
        <v>91</v>
      </c>
      <c r="C1904" t="s">
        <v>58</v>
      </c>
      <c r="D1904" t="s">
        <v>66</v>
      </c>
      <c r="E1904" t="s">
        <v>41</v>
      </c>
      <c r="F1904">
        <v>18</v>
      </c>
      <c r="G1904">
        <v>0.23</v>
      </c>
      <c r="H1904">
        <v>0.89</v>
      </c>
      <c r="I1904" t="s">
        <v>34</v>
      </c>
      <c r="J1904">
        <v>147841</v>
      </c>
      <c r="K1904" t="s">
        <v>42</v>
      </c>
      <c r="L1904">
        <v>24</v>
      </c>
      <c r="M1904">
        <v>32</v>
      </c>
      <c r="N1904" t="s">
        <v>26</v>
      </c>
      <c r="O1904" t="s">
        <v>36</v>
      </c>
      <c r="P1904">
        <v>3.09</v>
      </c>
      <c r="Q1904" t="s">
        <v>34</v>
      </c>
      <c r="R1904">
        <v>4.91</v>
      </c>
      <c r="S1904" t="s">
        <v>43</v>
      </c>
      <c r="T1904" t="str">
        <f t="shared" si="58"/>
        <v>Very High</v>
      </c>
      <c r="U1904" t="str">
        <f t="shared" si="59"/>
        <v>Expert</v>
      </c>
    </row>
    <row r="1905" spans="1:21" x14ac:dyDescent="0.35">
      <c r="A1905" t="s">
        <v>1978</v>
      </c>
      <c r="B1905" t="s">
        <v>156</v>
      </c>
      <c r="C1905" t="s">
        <v>74</v>
      </c>
      <c r="D1905" t="s">
        <v>49</v>
      </c>
      <c r="E1905" t="s">
        <v>33</v>
      </c>
      <c r="F1905">
        <v>12</v>
      </c>
      <c r="G1905">
        <v>0.65</v>
      </c>
      <c r="H1905">
        <v>0.81</v>
      </c>
      <c r="I1905" t="s">
        <v>60</v>
      </c>
      <c r="J1905">
        <v>95750</v>
      </c>
      <c r="K1905" t="s">
        <v>27</v>
      </c>
      <c r="L1905">
        <v>27</v>
      </c>
      <c r="M1905">
        <v>33</v>
      </c>
      <c r="N1905" t="s">
        <v>35</v>
      </c>
      <c r="O1905" t="s">
        <v>27</v>
      </c>
      <c r="P1905">
        <v>4.5999999999999996</v>
      </c>
      <c r="Q1905" t="s">
        <v>24</v>
      </c>
      <c r="R1905">
        <v>2.17</v>
      </c>
      <c r="S1905" t="s">
        <v>47</v>
      </c>
      <c r="T1905" t="str">
        <f t="shared" si="58"/>
        <v>High</v>
      </c>
      <c r="U1905" t="str">
        <f t="shared" si="59"/>
        <v>Experienced</v>
      </c>
    </row>
    <row r="1906" spans="1:21" x14ac:dyDescent="0.35">
      <c r="A1906" t="s">
        <v>1979</v>
      </c>
      <c r="B1906" t="s">
        <v>68</v>
      </c>
      <c r="C1906" t="s">
        <v>55</v>
      </c>
      <c r="D1906" t="s">
        <v>80</v>
      </c>
      <c r="E1906" t="s">
        <v>23</v>
      </c>
      <c r="F1906">
        <v>21</v>
      </c>
      <c r="G1906">
        <v>0.48</v>
      </c>
      <c r="H1906">
        <v>0.76</v>
      </c>
      <c r="I1906" t="s">
        <v>34</v>
      </c>
      <c r="J1906">
        <v>72348</v>
      </c>
      <c r="K1906" t="s">
        <v>25</v>
      </c>
      <c r="L1906">
        <v>33</v>
      </c>
      <c r="M1906">
        <v>53</v>
      </c>
      <c r="N1906" t="s">
        <v>42</v>
      </c>
      <c r="O1906" t="s">
        <v>27</v>
      </c>
      <c r="P1906">
        <v>3.76</v>
      </c>
      <c r="Q1906" t="s">
        <v>34</v>
      </c>
      <c r="R1906">
        <v>2.2799999999999998</v>
      </c>
      <c r="S1906" t="s">
        <v>43</v>
      </c>
      <c r="T1906" t="str">
        <f t="shared" si="58"/>
        <v>High</v>
      </c>
      <c r="U1906" t="str">
        <f t="shared" si="59"/>
        <v>Expert</v>
      </c>
    </row>
    <row r="1907" spans="1:21" x14ac:dyDescent="0.35">
      <c r="A1907" t="s">
        <v>1980</v>
      </c>
      <c r="B1907" t="s">
        <v>20</v>
      </c>
      <c r="C1907" t="s">
        <v>74</v>
      </c>
      <c r="D1907" t="s">
        <v>49</v>
      </c>
      <c r="E1907" t="s">
        <v>23</v>
      </c>
      <c r="F1907">
        <v>14</v>
      </c>
      <c r="G1907">
        <v>0.74</v>
      </c>
      <c r="H1907">
        <v>0.28999999999999998</v>
      </c>
      <c r="I1907" t="s">
        <v>24</v>
      </c>
      <c r="J1907">
        <v>99124</v>
      </c>
      <c r="K1907" t="s">
        <v>25</v>
      </c>
      <c r="L1907">
        <v>14</v>
      </c>
      <c r="M1907">
        <v>40</v>
      </c>
      <c r="N1907" t="s">
        <v>42</v>
      </c>
      <c r="O1907" t="s">
        <v>27</v>
      </c>
      <c r="P1907">
        <v>2.48</v>
      </c>
      <c r="Q1907" t="s">
        <v>24</v>
      </c>
      <c r="R1907">
        <v>3.21</v>
      </c>
      <c r="S1907" t="s">
        <v>47</v>
      </c>
      <c r="T1907" t="str">
        <f t="shared" si="58"/>
        <v>Very Low</v>
      </c>
      <c r="U1907" t="str">
        <f t="shared" si="59"/>
        <v>Experienced</v>
      </c>
    </row>
    <row r="1908" spans="1:21" x14ac:dyDescent="0.35">
      <c r="A1908" t="s">
        <v>1981</v>
      </c>
      <c r="B1908" t="s">
        <v>38</v>
      </c>
      <c r="C1908" t="s">
        <v>21</v>
      </c>
      <c r="D1908" t="s">
        <v>22</v>
      </c>
      <c r="E1908" t="s">
        <v>23</v>
      </c>
      <c r="F1908">
        <v>0</v>
      </c>
      <c r="G1908">
        <v>0.87</v>
      </c>
      <c r="H1908">
        <v>0.33</v>
      </c>
      <c r="I1908" t="s">
        <v>60</v>
      </c>
      <c r="J1908">
        <v>181375</v>
      </c>
      <c r="K1908" t="s">
        <v>27</v>
      </c>
      <c r="L1908">
        <v>8</v>
      </c>
      <c r="M1908">
        <v>33</v>
      </c>
      <c r="N1908" t="s">
        <v>26</v>
      </c>
      <c r="O1908" t="s">
        <v>27</v>
      </c>
      <c r="P1908">
        <v>3.04</v>
      </c>
      <c r="Q1908" t="s">
        <v>34</v>
      </c>
      <c r="R1908">
        <v>4.5</v>
      </c>
      <c r="S1908" t="s">
        <v>47</v>
      </c>
      <c r="T1908" t="str">
        <f t="shared" si="58"/>
        <v>Very Low</v>
      </c>
      <c r="U1908" t="str">
        <f t="shared" si="59"/>
        <v>Beginner</v>
      </c>
    </row>
    <row r="1909" spans="1:21" x14ac:dyDescent="0.35">
      <c r="A1909" t="s">
        <v>1982</v>
      </c>
      <c r="B1909" t="s">
        <v>38</v>
      </c>
      <c r="C1909" t="s">
        <v>52</v>
      </c>
      <c r="D1909" t="s">
        <v>49</v>
      </c>
      <c r="E1909" t="s">
        <v>41</v>
      </c>
      <c r="F1909">
        <v>15</v>
      </c>
      <c r="G1909">
        <v>0.23</v>
      </c>
      <c r="H1909">
        <v>0.62</v>
      </c>
      <c r="I1909" t="s">
        <v>24</v>
      </c>
      <c r="J1909">
        <v>126576</v>
      </c>
      <c r="K1909" t="s">
        <v>42</v>
      </c>
      <c r="L1909">
        <v>38</v>
      </c>
      <c r="M1909">
        <v>49</v>
      </c>
      <c r="N1909" t="s">
        <v>42</v>
      </c>
      <c r="O1909" t="s">
        <v>36</v>
      </c>
      <c r="P1909">
        <v>3.64</v>
      </c>
      <c r="Q1909" t="s">
        <v>24</v>
      </c>
      <c r="R1909">
        <v>2.08</v>
      </c>
      <c r="S1909" t="s">
        <v>43</v>
      </c>
      <c r="T1909" t="str">
        <f t="shared" si="58"/>
        <v>High</v>
      </c>
      <c r="U1909" t="str">
        <f t="shared" si="59"/>
        <v>Experienced</v>
      </c>
    </row>
    <row r="1910" spans="1:21" x14ac:dyDescent="0.35">
      <c r="A1910" t="s">
        <v>1983</v>
      </c>
      <c r="B1910" t="s">
        <v>73</v>
      </c>
      <c r="C1910" t="s">
        <v>82</v>
      </c>
      <c r="D1910" t="s">
        <v>59</v>
      </c>
      <c r="E1910" t="s">
        <v>41</v>
      </c>
      <c r="F1910">
        <v>1</v>
      </c>
      <c r="G1910">
        <v>0.08</v>
      </c>
      <c r="H1910">
        <v>0.55000000000000004</v>
      </c>
      <c r="I1910" t="s">
        <v>60</v>
      </c>
      <c r="J1910">
        <v>137557</v>
      </c>
      <c r="K1910" t="s">
        <v>42</v>
      </c>
      <c r="L1910">
        <v>9</v>
      </c>
      <c r="M1910">
        <v>54</v>
      </c>
      <c r="N1910" t="s">
        <v>35</v>
      </c>
      <c r="O1910" t="s">
        <v>36</v>
      </c>
      <c r="P1910">
        <v>4.3099999999999996</v>
      </c>
      <c r="Q1910" t="s">
        <v>34</v>
      </c>
      <c r="R1910">
        <v>1.64</v>
      </c>
      <c r="S1910" t="s">
        <v>43</v>
      </c>
      <c r="T1910" t="str">
        <f t="shared" si="58"/>
        <v>High</v>
      </c>
      <c r="U1910" t="str">
        <f t="shared" si="59"/>
        <v>Beginner</v>
      </c>
    </row>
    <row r="1911" spans="1:21" x14ac:dyDescent="0.35">
      <c r="A1911" t="s">
        <v>1984</v>
      </c>
      <c r="B1911" t="s">
        <v>54</v>
      </c>
      <c r="C1911" t="s">
        <v>31</v>
      </c>
      <c r="D1911" t="s">
        <v>22</v>
      </c>
      <c r="E1911" t="s">
        <v>23</v>
      </c>
      <c r="F1911">
        <v>18</v>
      </c>
      <c r="G1911">
        <v>0.76</v>
      </c>
      <c r="H1911">
        <v>0.32</v>
      </c>
      <c r="I1911" t="s">
        <v>60</v>
      </c>
      <c r="J1911">
        <v>84036</v>
      </c>
      <c r="K1911" t="s">
        <v>27</v>
      </c>
      <c r="L1911">
        <v>-1</v>
      </c>
      <c r="M1911">
        <v>58</v>
      </c>
      <c r="N1911" t="s">
        <v>42</v>
      </c>
      <c r="O1911" t="s">
        <v>25</v>
      </c>
      <c r="P1911">
        <v>4.3899999999999997</v>
      </c>
      <c r="Q1911" t="s">
        <v>34</v>
      </c>
      <c r="R1911">
        <v>3.76</v>
      </c>
      <c r="S1911" t="s">
        <v>43</v>
      </c>
      <c r="T1911" t="str">
        <f t="shared" si="58"/>
        <v>Very Low</v>
      </c>
      <c r="U1911" t="str">
        <f t="shared" si="59"/>
        <v>Expert</v>
      </c>
    </row>
    <row r="1912" spans="1:21" x14ac:dyDescent="0.35">
      <c r="A1912" t="s">
        <v>1985</v>
      </c>
      <c r="B1912" t="s">
        <v>57</v>
      </c>
      <c r="C1912" t="s">
        <v>107</v>
      </c>
      <c r="D1912" t="s">
        <v>40</v>
      </c>
      <c r="E1912" t="s">
        <v>41</v>
      </c>
      <c r="F1912">
        <v>22</v>
      </c>
      <c r="G1912">
        <v>0.86</v>
      </c>
      <c r="H1912">
        <v>0.56000000000000005</v>
      </c>
      <c r="I1912" t="s">
        <v>34</v>
      </c>
      <c r="J1912">
        <v>176877</v>
      </c>
      <c r="K1912" t="s">
        <v>25</v>
      </c>
      <c r="L1912">
        <v>27</v>
      </c>
      <c r="M1912">
        <v>53</v>
      </c>
      <c r="N1912" t="s">
        <v>26</v>
      </c>
      <c r="O1912" t="s">
        <v>25</v>
      </c>
      <c r="P1912">
        <v>3.06</v>
      </c>
      <c r="Q1912" t="s">
        <v>24</v>
      </c>
      <c r="R1912">
        <v>4.18</v>
      </c>
      <c r="S1912" t="s">
        <v>28</v>
      </c>
      <c r="T1912" t="str">
        <f t="shared" si="58"/>
        <v>Moderate</v>
      </c>
      <c r="U1912" t="str">
        <f t="shared" si="59"/>
        <v>Expert</v>
      </c>
    </row>
    <row r="1913" spans="1:21" x14ac:dyDescent="0.35">
      <c r="A1913" t="s">
        <v>1986</v>
      </c>
      <c r="B1913" t="s">
        <v>62</v>
      </c>
      <c r="C1913" t="s">
        <v>39</v>
      </c>
      <c r="D1913" t="s">
        <v>75</v>
      </c>
      <c r="E1913" t="s">
        <v>70</v>
      </c>
      <c r="F1913">
        <v>1</v>
      </c>
      <c r="G1913">
        <v>0.05</v>
      </c>
      <c r="H1913">
        <v>0.7</v>
      </c>
      <c r="I1913" t="s">
        <v>24</v>
      </c>
      <c r="J1913">
        <v>154640</v>
      </c>
      <c r="K1913" t="s">
        <v>42</v>
      </c>
      <c r="L1913">
        <v>14</v>
      </c>
      <c r="M1913">
        <v>60</v>
      </c>
      <c r="N1913" t="s">
        <v>35</v>
      </c>
      <c r="O1913" t="s">
        <v>25</v>
      </c>
      <c r="P1913">
        <v>2.88</v>
      </c>
      <c r="Q1913" t="s">
        <v>24</v>
      </c>
      <c r="R1913">
        <v>4.5999999999999996</v>
      </c>
      <c r="S1913" t="s">
        <v>43</v>
      </c>
      <c r="T1913" t="str">
        <f t="shared" si="58"/>
        <v>Very High</v>
      </c>
      <c r="U1913" t="str">
        <f t="shared" si="59"/>
        <v>Beginner</v>
      </c>
    </row>
    <row r="1914" spans="1:21" x14ac:dyDescent="0.35">
      <c r="A1914" t="s">
        <v>1987</v>
      </c>
      <c r="B1914" t="s">
        <v>91</v>
      </c>
      <c r="C1914" t="s">
        <v>46</v>
      </c>
      <c r="D1914" t="s">
        <v>49</v>
      </c>
      <c r="E1914" t="s">
        <v>41</v>
      </c>
      <c r="F1914">
        <v>14</v>
      </c>
      <c r="G1914">
        <v>0.95</v>
      </c>
      <c r="H1914">
        <v>0.55000000000000004</v>
      </c>
      <c r="I1914" t="s">
        <v>34</v>
      </c>
      <c r="J1914">
        <v>70828</v>
      </c>
      <c r="K1914" t="s">
        <v>25</v>
      </c>
      <c r="L1914">
        <v>37</v>
      </c>
      <c r="M1914">
        <v>60</v>
      </c>
      <c r="N1914" t="s">
        <v>42</v>
      </c>
      <c r="O1914" t="s">
        <v>25</v>
      </c>
      <c r="P1914">
        <v>3.23</v>
      </c>
      <c r="Q1914" t="s">
        <v>34</v>
      </c>
      <c r="R1914">
        <v>1.71</v>
      </c>
      <c r="S1914" t="s">
        <v>28</v>
      </c>
      <c r="T1914" t="str">
        <f t="shared" si="58"/>
        <v>Moderate</v>
      </c>
      <c r="U1914" t="str">
        <f t="shared" si="59"/>
        <v>Experienced</v>
      </c>
    </row>
    <row r="1915" spans="1:21" x14ac:dyDescent="0.35">
      <c r="A1915" t="s">
        <v>1988</v>
      </c>
      <c r="B1915" t="s">
        <v>94</v>
      </c>
      <c r="C1915" t="s">
        <v>107</v>
      </c>
      <c r="D1915" t="s">
        <v>69</v>
      </c>
      <c r="E1915" t="s">
        <v>33</v>
      </c>
      <c r="F1915">
        <v>5</v>
      </c>
      <c r="G1915">
        <v>0.62</v>
      </c>
      <c r="H1915">
        <v>0.57999999999999996</v>
      </c>
      <c r="I1915" t="s">
        <v>34</v>
      </c>
      <c r="J1915">
        <v>218557</v>
      </c>
      <c r="K1915" t="s">
        <v>25</v>
      </c>
      <c r="L1915">
        <v>-1</v>
      </c>
      <c r="M1915">
        <v>53</v>
      </c>
      <c r="N1915" t="s">
        <v>42</v>
      </c>
      <c r="O1915" t="s">
        <v>36</v>
      </c>
      <c r="P1915">
        <v>2.74</v>
      </c>
      <c r="Q1915" t="s">
        <v>24</v>
      </c>
      <c r="R1915">
        <v>2.59</v>
      </c>
      <c r="S1915" t="s">
        <v>47</v>
      </c>
      <c r="T1915" t="str">
        <f t="shared" si="58"/>
        <v>Moderate</v>
      </c>
      <c r="U1915" t="str">
        <f t="shared" si="59"/>
        <v>Intermediate</v>
      </c>
    </row>
    <row r="1916" spans="1:21" x14ac:dyDescent="0.35">
      <c r="A1916" t="s">
        <v>1989</v>
      </c>
      <c r="B1916" t="s">
        <v>106</v>
      </c>
      <c r="C1916" t="s">
        <v>74</v>
      </c>
      <c r="D1916" t="s">
        <v>69</v>
      </c>
      <c r="E1916" t="s">
        <v>41</v>
      </c>
      <c r="F1916">
        <v>9</v>
      </c>
      <c r="G1916">
        <v>0.95</v>
      </c>
      <c r="H1916">
        <v>0.42</v>
      </c>
      <c r="I1916" t="s">
        <v>34</v>
      </c>
      <c r="J1916">
        <v>156482</v>
      </c>
      <c r="K1916" t="s">
        <v>42</v>
      </c>
      <c r="L1916">
        <v>22</v>
      </c>
      <c r="M1916">
        <v>35</v>
      </c>
      <c r="N1916" t="s">
        <v>26</v>
      </c>
      <c r="O1916" t="s">
        <v>25</v>
      </c>
      <c r="P1916">
        <v>4.05</v>
      </c>
      <c r="Q1916" t="s">
        <v>34</v>
      </c>
      <c r="R1916">
        <v>3.48</v>
      </c>
      <c r="S1916" t="s">
        <v>43</v>
      </c>
      <c r="T1916" t="str">
        <f t="shared" si="58"/>
        <v>Very Low</v>
      </c>
      <c r="U1916" t="str">
        <f t="shared" si="59"/>
        <v>Experienced</v>
      </c>
    </row>
    <row r="1917" spans="1:21" x14ac:dyDescent="0.35">
      <c r="A1917" t="s">
        <v>1990</v>
      </c>
      <c r="B1917" t="s">
        <v>57</v>
      </c>
      <c r="C1917" t="s">
        <v>31</v>
      </c>
      <c r="D1917" t="s">
        <v>75</v>
      </c>
      <c r="E1917" t="s">
        <v>23</v>
      </c>
      <c r="F1917">
        <v>7</v>
      </c>
      <c r="G1917">
        <v>0.65</v>
      </c>
      <c r="H1917">
        <v>0.35</v>
      </c>
      <c r="I1917" t="s">
        <v>24</v>
      </c>
      <c r="J1917">
        <v>46952</v>
      </c>
      <c r="K1917" t="s">
        <v>25</v>
      </c>
      <c r="L1917">
        <v>-1</v>
      </c>
      <c r="M1917">
        <v>55</v>
      </c>
      <c r="N1917" t="s">
        <v>26</v>
      </c>
      <c r="O1917" t="s">
        <v>25</v>
      </c>
      <c r="P1917">
        <v>4.45</v>
      </c>
      <c r="Q1917" t="s">
        <v>34</v>
      </c>
      <c r="R1917">
        <v>2.54</v>
      </c>
      <c r="S1917" t="s">
        <v>43</v>
      </c>
      <c r="T1917" t="str">
        <f t="shared" si="58"/>
        <v>Moderate</v>
      </c>
      <c r="U1917" t="str">
        <f t="shared" si="59"/>
        <v>Intermediate</v>
      </c>
    </row>
    <row r="1918" spans="1:21" x14ac:dyDescent="0.35">
      <c r="A1918" t="s">
        <v>1991</v>
      </c>
      <c r="B1918" t="s">
        <v>68</v>
      </c>
      <c r="C1918" t="s">
        <v>52</v>
      </c>
      <c r="D1918" t="s">
        <v>22</v>
      </c>
      <c r="E1918" t="s">
        <v>70</v>
      </c>
      <c r="F1918">
        <v>7</v>
      </c>
      <c r="G1918">
        <v>0.62</v>
      </c>
      <c r="H1918">
        <v>0.42</v>
      </c>
      <c r="I1918" t="s">
        <v>34</v>
      </c>
      <c r="J1918">
        <v>194419</v>
      </c>
      <c r="K1918" t="s">
        <v>25</v>
      </c>
      <c r="L1918">
        <v>34</v>
      </c>
      <c r="M1918">
        <v>35</v>
      </c>
      <c r="N1918" t="s">
        <v>26</v>
      </c>
      <c r="O1918" t="s">
        <v>27</v>
      </c>
      <c r="P1918">
        <v>3.3</v>
      </c>
      <c r="Q1918" t="s">
        <v>24</v>
      </c>
      <c r="R1918">
        <v>2.87</v>
      </c>
      <c r="S1918" t="s">
        <v>28</v>
      </c>
      <c r="T1918" t="str">
        <f t="shared" si="58"/>
        <v>Moderate</v>
      </c>
      <c r="U1918" t="str">
        <f t="shared" si="59"/>
        <v>Intermediate</v>
      </c>
    </row>
    <row r="1919" spans="1:21" x14ac:dyDescent="0.35">
      <c r="A1919" t="s">
        <v>1992</v>
      </c>
      <c r="B1919" t="s">
        <v>91</v>
      </c>
      <c r="C1919" t="s">
        <v>39</v>
      </c>
      <c r="D1919" t="s">
        <v>32</v>
      </c>
      <c r="E1919" t="s">
        <v>41</v>
      </c>
      <c r="F1919">
        <v>7</v>
      </c>
      <c r="G1919">
        <v>0.93</v>
      </c>
      <c r="H1919">
        <v>0.61</v>
      </c>
      <c r="I1919" t="s">
        <v>34</v>
      </c>
      <c r="J1919">
        <v>117275</v>
      </c>
      <c r="K1919" t="s">
        <v>42</v>
      </c>
      <c r="L1919">
        <v>44</v>
      </c>
      <c r="M1919">
        <v>47</v>
      </c>
      <c r="N1919" t="s">
        <v>26</v>
      </c>
      <c r="O1919" t="s">
        <v>27</v>
      </c>
      <c r="P1919">
        <v>3.15</v>
      </c>
      <c r="Q1919" t="s">
        <v>34</v>
      </c>
      <c r="R1919">
        <v>2.33</v>
      </c>
      <c r="S1919" t="s">
        <v>43</v>
      </c>
      <c r="T1919" t="str">
        <f t="shared" si="58"/>
        <v>Moderate</v>
      </c>
      <c r="U1919" t="str">
        <f t="shared" si="59"/>
        <v>Intermediate</v>
      </c>
    </row>
    <row r="1920" spans="1:21" x14ac:dyDescent="0.35">
      <c r="A1920" t="s">
        <v>1993</v>
      </c>
      <c r="B1920" t="s">
        <v>147</v>
      </c>
      <c r="C1920" t="s">
        <v>107</v>
      </c>
      <c r="D1920" t="s">
        <v>75</v>
      </c>
      <c r="E1920" t="s">
        <v>70</v>
      </c>
      <c r="F1920">
        <v>5</v>
      </c>
      <c r="G1920">
        <v>0.08</v>
      </c>
      <c r="H1920">
        <v>0.21</v>
      </c>
      <c r="I1920" t="s">
        <v>60</v>
      </c>
      <c r="J1920">
        <v>121168</v>
      </c>
      <c r="K1920" t="s">
        <v>42</v>
      </c>
      <c r="L1920">
        <v>-8</v>
      </c>
      <c r="M1920">
        <v>47</v>
      </c>
      <c r="N1920" t="s">
        <v>42</v>
      </c>
      <c r="O1920" t="s">
        <v>27</v>
      </c>
      <c r="P1920">
        <v>3.48</v>
      </c>
      <c r="Q1920" t="s">
        <v>34</v>
      </c>
      <c r="R1920">
        <v>2.16</v>
      </c>
      <c r="S1920" t="s">
        <v>47</v>
      </c>
      <c r="T1920" t="str">
        <f t="shared" si="58"/>
        <v>High</v>
      </c>
      <c r="U1920" t="str">
        <f t="shared" si="59"/>
        <v>Intermediate</v>
      </c>
    </row>
    <row r="1921" spans="1:21" x14ac:dyDescent="0.35">
      <c r="A1921" t="s">
        <v>1994</v>
      </c>
      <c r="B1921" t="s">
        <v>106</v>
      </c>
      <c r="C1921" t="s">
        <v>52</v>
      </c>
      <c r="D1921" t="s">
        <v>59</v>
      </c>
      <c r="E1921" t="s">
        <v>70</v>
      </c>
      <c r="F1921">
        <v>13</v>
      </c>
      <c r="G1921">
        <v>0.89</v>
      </c>
      <c r="H1921">
        <v>0.64</v>
      </c>
      <c r="I1921" t="s">
        <v>24</v>
      </c>
      <c r="J1921">
        <v>186421</v>
      </c>
      <c r="K1921" t="s">
        <v>25</v>
      </c>
      <c r="L1921">
        <v>14</v>
      </c>
      <c r="M1921">
        <v>50</v>
      </c>
      <c r="N1921" t="s">
        <v>35</v>
      </c>
      <c r="O1921" t="s">
        <v>36</v>
      </c>
      <c r="P1921">
        <v>4</v>
      </c>
      <c r="Q1921" t="s">
        <v>24</v>
      </c>
      <c r="R1921">
        <v>2.46</v>
      </c>
      <c r="S1921" t="s">
        <v>43</v>
      </c>
      <c r="T1921" t="str">
        <f t="shared" si="58"/>
        <v>Moderate</v>
      </c>
      <c r="U1921" t="str">
        <f t="shared" si="59"/>
        <v>Experienced</v>
      </c>
    </row>
    <row r="1922" spans="1:21" x14ac:dyDescent="0.35">
      <c r="A1922" t="s">
        <v>1995</v>
      </c>
      <c r="B1922" t="s">
        <v>91</v>
      </c>
      <c r="C1922" t="s">
        <v>39</v>
      </c>
      <c r="D1922" t="s">
        <v>66</v>
      </c>
      <c r="E1922" t="s">
        <v>70</v>
      </c>
      <c r="F1922">
        <v>25</v>
      </c>
      <c r="G1922">
        <v>0.57999999999999996</v>
      </c>
      <c r="H1922">
        <v>0.37</v>
      </c>
      <c r="I1922" t="s">
        <v>34</v>
      </c>
      <c r="J1922">
        <v>75261</v>
      </c>
      <c r="K1922" t="s">
        <v>27</v>
      </c>
      <c r="L1922">
        <v>31</v>
      </c>
      <c r="M1922">
        <v>30</v>
      </c>
      <c r="N1922" t="s">
        <v>26</v>
      </c>
      <c r="O1922" t="s">
        <v>25</v>
      </c>
      <c r="P1922">
        <v>3.87</v>
      </c>
      <c r="Q1922" t="s">
        <v>34</v>
      </c>
      <c r="R1922">
        <v>2.69</v>
      </c>
      <c r="S1922" t="s">
        <v>47</v>
      </c>
      <c r="T1922" t="str">
        <f t="shared" si="58"/>
        <v>Moderate</v>
      </c>
      <c r="U1922" t="str">
        <f t="shared" si="59"/>
        <v>Expert</v>
      </c>
    </row>
    <row r="1923" spans="1:21" x14ac:dyDescent="0.35">
      <c r="A1923" t="s">
        <v>1996</v>
      </c>
      <c r="B1923" t="s">
        <v>96</v>
      </c>
      <c r="C1923" t="s">
        <v>21</v>
      </c>
      <c r="D1923" t="s">
        <v>63</v>
      </c>
      <c r="E1923" t="s">
        <v>33</v>
      </c>
      <c r="F1923">
        <v>22</v>
      </c>
      <c r="G1923">
        <v>0.74</v>
      </c>
      <c r="H1923">
        <v>0.51</v>
      </c>
      <c r="I1923" t="s">
        <v>34</v>
      </c>
      <c r="J1923">
        <v>209108</v>
      </c>
      <c r="K1923" t="s">
        <v>42</v>
      </c>
      <c r="L1923">
        <v>5</v>
      </c>
      <c r="M1923">
        <v>34</v>
      </c>
      <c r="N1923" t="s">
        <v>35</v>
      </c>
      <c r="O1923" t="s">
        <v>25</v>
      </c>
      <c r="P1923">
        <v>4.54</v>
      </c>
      <c r="Q1923" t="s">
        <v>34</v>
      </c>
      <c r="R1923">
        <v>4.6100000000000003</v>
      </c>
      <c r="S1923" t="s">
        <v>43</v>
      </c>
      <c r="T1923" t="str">
        <f t="shared" ref="T1923:T1986" si="60">IF(AND(G1923&lt;0.4,H1923&gt;=0.7),"Very High",
IF(AND(G1923&gt;=0.7,H1923&lt;0.5),"Very Low",
IF(G1923&lt;H1923,"High","Moderate")))</f>
        <v>Moderate</v>
      </c>
      <c r="U1923" t="str">
        <f t="shared" ref="U1923:U1986" si="61">_xlfn.IFS(F1923&lt;=2,"Beginner",F1923&lt;=8,"Intermediate",F1923&lt;=15,"Experienced",F1923&lt;=25,"Expert")</f>
        <v>Expert</v>
      </c>
    </row>
    <row r="1924" spans="1:21" x14ac:dyDescent="0.35">
      <c r="A1924" t="s">
        <v>1997</v>
      </c>
      <c r="B1924" t="s">
        <v>51</v>
      </c>
      <c r="C1924" t="s">
        <v>46</v>
      </c>
      <c r="D1924" t="s">
        <v>49</v>
      </c>
      <c r="E1924" t="s">
        <v>41</v>
      </c>
      <c r="F1924">
        <v>19</v>
      </c>
      <c r="G1924">
        <v>0.15</v>
      </c>
      <c r="H1924">
        <v>0.62</v>
      </c>
      <c r="I1924" t="s">
        <v>60</v>
      </c>
      <c r="J1924">
        <v>58348</v>
      </c>
      <c r="K1924" t="s">
        <v>27</v>
      </c>
      <c r="L1924">
        <v>7</v>
      </c>
      <c r="M1924">
        <v>31</v>
      </c>
      <c r="N1924" t="s">
        <v>26</v>
      </c>
      <c r="O1924" t="s">
        <v>27</v>
      </c>
      <c r="P1924">
        <v>4.6399999999999997</v>
      </c>
      <c r="Q1924" t="s">
        <v>34</v>
      </c>
      <c r="R1924">
        <v>1.99</v>
      </c>
      <c r="S1924" t="s">
        <v>43</v>
      </c>
      <c r="T1924" t="str">
        <f t="shared" si="60"/>
        <v>High</v>
      </c>
      <c r="U1924" t="str">
        <f t="shared" si="61"/>
        <v>Expert</v>
      </c>
    </row>
    <row r="1925" spans="1:21" x14ac:dyDescent="0.35">
      <c r="A1925" t="s">
        <v>1998</v>
      </c>
      <c r="B1925" t="s">
        <v>156</v>
      </c>
      <c r="C1925" t="s">
        <v>58</v>
      </c>
      <c r="D1925" t="s">
        <v>80</v>
      </c>
      <c r="E1925" t="s">
        <v>41</v>
      </c>
      <c r="F1925">
        <v>10</v>
      </c>
      <c r="G1925">
        <v>0.49</v>
      </c>
      <c r="H1925">
        <v>0.93</v>
      </c>
      <c r="I1925" t="s">
        <v>60</v>
      </c>
      <c r="J1925">
        <v>95467</v>
      </c>
      <c r="K1925" t="s">
        <v>27</v>
      </c>
      <c r="L1925">
        <v>41</v>
      </c>
      <c r="M1925">
        <v>48</v>
      </c>
      <c r="N1925" t="s">
        <v>26</v>
      </c>
      <c r="O1925" t="s">
        <v>25</v>
      </c>
      <c r="P1925">
        <v>2.99</v>
      </c>
      <c r="Q1925" t="s">
        <v>24</v>
      </c>
      <c r="R1925">
        <v>3.19</v>
      </c>
      <c r="S1925" t="s">
        <v>43</v>
      </c>
      <c r="T1925" t="str">
        <f t="shared" si="60"/>
        <v>High</v>
      </c>
      <c r="U1925" t="str">
        <f t="shared" si="61"/>
        <v>Experienced</v>
      </c>
    </row>
    <row r="1926" spans="1:21" x14ac:dyDescent="0.35">
      <c r="A1926" t="s">
        <v>1999</v>
      </c>
      <c r="B1926" t="s">
        <v>20</v>
      </c>
      <c r="C1926" t="s">
        <v>21</v>
      </c>
      <c r="D1926" t="s">
        <v>75</v>
      </c>
      <c r="E1926" t="s">
        <v>70</v>
      </c>
      <c r="F1926">
        <v>12</v>
      </c>
      <c r="G1926">
        <v>0.69</v>
      </c>
      <c r="H1926">
        <v>0.22</v>
      </c>
      <c r="I1926" t="s">
        <v>60</v>
      </c>
      <c r="J1926">
        <v>38737</v>
      </c>
      <c r="K1926" t="s">
        <v>25</v>
      </c>
      <c r="L1926">
        <v>11</v>
      </c>
      <c r="M1926">
        <v>60</v>
      </c>
      <c r="N1926" t="s">
        <v>26</v>
      </c>
      <c r="O1926" t="s">
        <v>27</v>
      </c>
      <c r="P1926">
        <v>4.16</v>
      </c>
      <c r="Q1926" t="s">
        <v>34</v>
      </c>
      <c r="R1926">
        <v>4.24</v>
      </c>
      <c r="S1926" t="s">
        <v>28</v>
      </c>
      <c r="T1926" t="str">
        <f t="shared" si="60"/>
        <v>Moderate</v>
      </c>
      <c r="U1926" t="str">
        <f t="shared" si="61"/>
        <v>Experienced</v>
      </c>
    </row>
    <row r="1927" spans="1:21" x14ac:dyDescent="0.35">
      <c r="A1927" t="s">
        <v>2000</v>
      </c>
      <c r="B1927" t="s">
        <v>94</v>
      </c>
      <c r="C1927" t="s">
        <v>46</v>
      </c>
      <c r="D1927" t="s">
        <v>66</v>
      </c>
      <c r="E1927" t="s">
        <v>23</v>
      </c>
      <c r="F1927">
        <v>0</v>
      </c>
      <c r="G1927">
        <v>0.95</v>
      </c>
      <c r="H1927">
        <v>0.28000000000000003</v>
      </c>
      <c r="I1927" t="s">
        <v>24</v>
      </c>
      <c r="J1927">
        <v>213934</v>
      </c>
      <c r="K1927" t="s">
        <v>27</v>
      </c>
      <c r="L1927">
        <v>-6</v>
      </c>
      <c r="M1927">
        <v>35</v>
      </c>
      <c r="N1927" t="s">
        <v>42</v>
      </c>
      <c r="O1927" t="s">
        <v>36</v>
      </c>
      <c r="P1927">
        <v>4.8899999999999997</v>
      </c>
      <c r="Q1927" t="s">
        <v>34</v>
      </c>
      <c r="R1927">
        <v>4.0999999999999996</v>
      </c>
      <c r="S1927" t="s">
        <v>47</v>
      </c>
      <c r="T1927" t="str">
        <f t="shared" si="60"/>
        <v>Very Low</v>
      </c>
      <c r="U1927" t="str">
        <f t="shared" si="61"/>
        <v>Beginner</v>
      </c>
    </row>
    <row r="1928" spans="1:21" x14ac:dyDescent="0.35">
      <c r="A1928" t="s">
        <v>2001</v>
      </c>
      <c r="B1928" t="s">
        <v>54</v>
      </c>
      <c r="C1928" t="s">
        <v>46</v>
      </c>
      <c r="D1928" t="s">
        <v>80</v>
      </c>
      <c r="E1928" t="s">
        <v>70</v>
      </c>
      <c r="F1928">
        <v>18</v>
      </c>
      <c r="G1928">
        <v>0.41</v>
      </c>
      <c r="H1928">
        <v>0.33</v>
      </c>
      <c r="I1928" t="s">
        <v>60</v>
      </c>
      <c r="J1928">
        <v>149809</v>
      </c>
      <c r="K1928" t="s">
        <v>27</v>
      </c>
      <c r="L1928">
        <v>10</v>
      </c>
      <c r="M1928">
        <v>49</v>
      </c>
      <c r="N1928" t="s">
        <v>35</v>
      </c>
      <c r="O1928" t="s">
        <v>25</v>
      </c>
      <c r="P1928">
        <v>3.17</v>
      </c>
      <c r="Q1928" t="s">
        <v>24</v>
      </c>
      <c r="R1928">
        <v>1</v>
      </c>
      <c r="S1928" t="s">
        <v>47</v>
      </c>
      <c r="T1928" t="str">
        <f t="shared" si="60"/>
        <v>Moderate</v>
      </c>
      <c r="U1928" t="str">
        <f t="shared" si="61"/>
        <v>Expert</v>
      </c>
    </row>
    <row r="1929" spans="1:21" x14ac:dyDescent="0.35">
      <c r="A1929" t="s">
        <v>2002</v>
      </c>
      <c r="B1929" t="s">
        <v>68</v>
      </c>
      <c r="C1929" t="s">
        <v>52</v>
      </c>
      <c r="D1929" t="s">
        <v>69</v>
      </c>
      <c r="E1929" t="s">
        <v>70</v>
      </c>
      <c r="F1929">
        <v>15</v>
      </c>
      <c r="G1929">
        <v>0.43</v>
      </c>
      <c r="H1929">
        <v>0.74</v>
      </c>
      <c r="I1929" t="s">
        <v>60</v>
      </c>
      <c r="J1929">
        <v>159875</v>
      </c>
      <c r="K1929" t="s">
        <v>27</v>
      </c>
      <c r="L1929">
        <v>-4</v>
      </c>
      <c r="M1929">
        <v>36</v>
      </c>
      <c r="N1929" t="s">
        <v>35</v>
      </c>
      <c r="O1929" t="s">
        <v>36</v>
      </c>
      <c r="P1929">
        <v>4.9400000000000004</v>
      </c>
      <c r="Q1929" t="s">
        <v>34</v>
      </c>
      <c r="R1929">
        <v>4.4000000000000004</v>
      </c>
      <c r="S1929" t="s">
        <v>43</v>
      </c>
      <c r="T1929" t="str">
        <f t="shared" si="60"/>
        <v>High</v>
      </c>
      <c r="U1929" t="str">
        <f t="shared" si="61"/>
        <v>Experienced</v>
      </c>
    </row>
    <row r="1930" spans="1:21" x14ac:dyDescent="0.35">
      <c r="A1930" t="s">
        <v>2003</v>
      </c>
      <c r="B1930" t="s">
        <v>65</v>
      </c>
      <c r="C1930" t="s">
        <v>52</v>
      </c>
      <c r="D1930" t="s">
        <v>32</v>
      </c>
      <c r="E1930" t="s">
        <v>70</v>
      </c>
      <c r="F1930">
        <v>6</v>
      </c>
      <c r="G1930">
        <v>0.14000000000000001</v>
      </c>
      <c r="H1930">
        <v>0.41</v>
      </c>
      <c r="I1930" t="s">
        <v>24</v>
      </c>
      <c r="J1930">
        <v>40345</v>
      </c>
      <c r="K1930" t="s">
        <v>25</v>
      </c>
      <c r="L1930">
        <v>44</v>
      </c>
      <c r="M1930">
        <v>37</v>
      </c>
      <c r="N1930" t="s">
        <v>35</v>
      </c>
      <c r="O1930" t="s">
        <v>36</v>
      </c>
      <c r="P1930">
        <v>4.99</v>
      </c>
      <c r="Q1930" t="s">
        <v>34</v>
      </c>
      <c r="R1930">
        <v>4.57</v>
      </c>
      <c r="S1930" t="s">
        <v>28</v>
      </c>
      <c r="T1930" t="str">
        <f t="shared" si="60"/>
        <v>High</v>
      </c>
      <c r="U1930" t="str">
        <f t="shared" si="61"/>
        <v>Intermediate</v>
      </c>
    </row>
    <row r="1931" spans="1:21" x14ac:dyDescent="0.35">
      <c r="A1931" t="s">
        <v>2004</v>
      </c>
      <c r="B1931" t="s">
        <v>147</v>
      </c>
      <c r="C1931" t="s">
        <v>74</v>
      </c>
      <c r="D1931" t="s">
        <v>49</v>
      </c>
      <c r="E1931" t="s">
        <v>70</v>
      </c>
      <c r="F1931">
        <v>10</v>
      </c>
      <c r="G1931">
        <v>0.14000000000000001</v>
      </c>
      <c r="H1931">
        <v>0.37</v>
      </c>
      <c r="I1931" t="s">
        <v>60</v>
      </c>
      <c r="J1931">
        <v>179031</v>
      </c>
      <c r="K1931" t="s">
        <v>42</v>
      </c>
      <c r="L1931">
        <v>-3</v>
      </c>
      <c r="M1931">
        <v>46</v>
      </c>
      <c r="N1931" t="s">
        <v>26</v>
      </c>
      <c r="O1931" t="s">
        <v>25</v>
      </c>
      <c r="P1931">
        <v>4.0599999999999996</v>
      </c>
      <c r="Q1931" t="s">
        <v>24</v>
      </c>
      <c r="R1931">
        <v>3.31</v>
      </c>
      <c r="S1931" t="s">
        <v>43</v>
      </c>
      <c r="T1931" t="str">
        <f t="shared" si="60"/>
        <v>High</v>
      </c>
      <c r="U1931" t="str">
        <f t="shared" si="61"/>
        <v>Experienced</v>
      </c>
    </row>
    <row r="1932" spans="1:21" x14ac:dyDescent="0.35">
      <c r="A1932" t="s">
        <v>2005</v>
      </c>
      <c r="B1932" t="s">
        <v>106</v>
      </c>
      <c r="C1932" t="s">
        <v>107</v>
      </c>
      <c r="D1932" t="s">
        <v>80</v>
      </c>
      <c r="E1932" t="s">
        <v>70</v>
      </c>
      <c r="F1932">
        <v>18</v>
      </c>
      <c r="G1932">
        <v>0.28999999999999998</v>
      </c>
      <c r="H1932">
        <v>0.84</v>
      </c>
      <c r="I1932" t="s">
        <v>60</v>
      </c>
      <c r="J1932">
        <v>103204</v>
      </c>
      <c r="K1932" t="s">
        <v>27</v>
      </c>
      <c r="L1932">
        <v>-3</v>
      </c>
      <c r="M1932">
        <v>48</v>
      </c>
      <c r="N1932" t="s">
        <v>35</v>
      </c>
      <c r="O1932" t="s">
        <v>25</v>
      </c>
      <c r="P1932">
        <v>3.3</v>
      </c>
      <c r="Q1932" t="s">
        <v>34</v>
      </c>
      <c r="R1932">
        <v>2.4900000000000002</v>
      </c>
      <c r="S1932" t="s">
        <v>28</v>
      </c>
      <c r="T1932" t="str">
        <f t="shared" si="60"/>
        <v>Very High</v>
      </c>
      <c r="U1932" t="str">
        <f t="shared" si="61"/>
        <v>Expert</v>
      </c>
    </row>
    <row r="1933" spans="1:21" x14ac:dyDescent="0.35">
      <c r="A1933" t="s">
        <v>2006</v>
      </c>
      <c r="B1933" t="s">
        <v>51</v>
      </c>
      <c r="C1933" t="s">
        <v>82</v>
      </c>
      <c r="D1933" t="s">
        <v>59</v>
      </c>
      <c r="E1933" t="s">
        <v>23</v>
      </c>
      <c r="F1933">
        <v>17</v>
      </c>
      <c r="G1933">
        <v>0.18</v>
      </c>
      <c r="H1933">
        <v>0.56000000000000005</v>
      </c>
      <c r="I1933" t="s">
        <v>24</v>
      </c>
      <c r="J1933">
        <v>210444</v>
      </c>
      <c r="K1933" t="s">
        <v>25</v>
      </c>
      <c r="L1933">
        <v>41</v>
      </c>
      <c r="M1933">
        <v>35</v>
      </c>
      <c r="N1933" t="s">
        <v>42</v>
      </c>
      <c r="O1933" t="s">
        <v>36</v>
      </c>
      <c r="P1933">
        <v>2.69</v>
      </c>
      <c r="Q1933" t="s">
        <v>34</v>
      </c>
      <c r="R1933">
        <v>1.49</v>
      </c>
      <c r="S1933" t="s">
        <v>47</v>
      </c>
      <c r="T1933" t="str">
        <f t="shared" si="60"/>
        <v>High</v>
      </c>
      <c r="U1933" t="str">
        <f t="shared" si="61"/>
        <v>Expert</v>
      </c>
    </row>
    <row r="1934" spans="1:21" x14ac:dyDescent="0.35">
      <c r="A1934" t="s">
        <v>2007</v>
      </c>
      <c r="B1934" t="s">
        <v>65</v>
      </c>
      <c r="C1934" t="s">
        <v>58</v>
      </c>
      <c r="D1934" t="s">
        <v>40</v>
      </c>
      <c r="E1934" t="s">
        <v>23</v>
      </c>
      <c r="F1934">
        <v>15</v>
      </c>
      <c r="G1934">
        <v>0.89</v>
      </c>
      <c r="H1934">
        <v>0.87</v>
      </c>
      <c r="I1934" t="s">
        <v>24</v>
      </c>
      <c r="J1934">
        <v>65180</v>
      </c>
      <c r="K1934" t="s">
        <v>27</v>
      </c>
      <c r="L1934">
        <v>-9</v>
      </c>
      <c r="M1934">
        <v>43</v>
      </c>
      <c r="N1934" t="s">
        <v>35</v>
      </c>
      <c r="O1934" t="s">
        <v>27</v>
      </c>
      <c r="P1934">
        <v>2.89</v>
      </c>
      <c r="Q1934" t="s">
        <v>24</v>
      </c>
      <c r="R1934">
        <v>1.53</v>
      </c>
      <c r="S1934" t="s">
        <v>43</v>
      </c>
      <c r="T1934" t="str">
        <f t="shared" si="60"/>
        <v>Moderate</v>
      </c>
      <c r="U1934" t="str">
        <f t="shared" si="61"/>
        <v>Experienced</v>
      </c>
    </row>
    <row r="1935" spans="1:21" x14ac:dyDescent="0.35">
      <c r="A1935" t="s">
        <v>2008</v>
      </c>
      <c r="B1935" t="s">
        <v>62</v>
      </c>
      <c r="C1935" t="s">
        <v>39</v>
      </c>
      <c r="D1935" t="s">
        <v>22</v>
      </c>
      <c r="E1935" t="s">
        <v>41</v>
      </c>
      <c r="F1935">
        <v>0</v>
      </c>
      <c r="G1935">
        <v>0.65</v>
      </c>
      <c r="H1935">
        <v>0.42</v>
      </c>
      <c r="I1935" t="s">
        <v>60</v>
      </c>
      <c r="J1935">
        <v>198437</v>
      </c>
      <c r="K1935" t="s">
        <v>25</v>
      </c>
      <c r="L1935">
        <v>1</v>
      </c>
      <c r="M1935">
        <v>60</v>
      </c>
      <c r="N1935" t="s">
        <v>35</v>
      </c>
      <c r="O1935" t="s">
        <v>27</v>
      </c>
      <c r="P1935">
        <v>4.0999999999999996</v>
      </c>
      <c r="Q1935" t="s">
        <v>34</v>
      </c>
      <c r="R1935">
        <v>4.3499999999999996</v>
      </c>
      <c r="S1935" t="s">
        <v>28</v>
      </c>
      <c r="T1935" t="str">
        <f t="shared" si="60"/>
        <v>Moderate</v>
      </c>
      <c r="U1935" t="str">
        <f t="shared" si="61"/>
        <v>Beginner</v>
      </c>
    </row>
    <row r="1936" spans="1:21" x14ac:dyDescent="0.35">
      <c r="A1936" t="s">
        <v>2009</v>
      </c>
      <c r="B1936" t="s">
        <v>106</v>
      </c>
      <c r="C1936" t="s">
        <v>58</v>
      </c>
      <c r="D1936" t="s">
        <v>40</v>
      </c>
      <c r="E1936" t="s">
        <v>41</v>
      </c>
      <c r="F1936">
        <v>21</v>
      </c>
      <c r="G1936">
        <v>0.91</v>
      </c>
      <c r="H1936">
        <v>0.4</v>
      </c>
      <c r="I1936" t="s">
        <v>24</v>
      </c>
      <c r="J1936">
        <v>156371</v>
      </c>
      <c r="K1936" t="s">
        <v>42</v>
      </c>
      <c r="L1936">
        <v>-10</v>
      </c>
      <c r="M1936">
        <v>47</v>
      </c>
      <c r="N1936" t="s">
        <v>35</v>
      </c>
      <c r="O1936" t="s">
        <v>27</v>
      </c>
      <c r="P1936">
        <v>2.75</v>
      </c>
      <c r="Q1936" t="s">
        <v>34</v>
      </c>
      <c r="R1936">
        <v>4.38</v>
      </c>
      <c r="S1936" t="s">
        <v>47</v>
      </c>
      <c r="T1936" t="str">
        <f t="shared" si="60"/>
        <v>Very Low</v>
      </c>
      <c r="U1936" t="str">
        <f t="shared" si="61"/>
        <v>Expert</v>
      </c>
    </row>
    <row r="1937" spans="1:21" x14ac:dyDescent="0.35">
      <c r="A1937" t="s">
        <v>2010</v>
      </c>
      <c r="B1937" t="s">
        <v>57</v>
      </c>
      <c r="C1937" t="s">
        <v>39</v>
      </c>
      <c r="D1937" t="s">
        <v>66</v>
      </c>
      <c r="E1937" t="s">
        <v>33</v>
      </c>
      <c r="F1937">
        <v>4</v>
      </c>
      <c r="G1937">
        <v>0.76</v>
      </c>
      <c r="H1937">
        <v>0.79</v>
      </c>
      <c r="I1937" t="s">
        <v>34</v>
      </c>
      <c r="J1937">
        <v>198912</v>
      </c>
      <c r="K1937" t="s">
        <v>25</v>
      </c>
      <c r="L1937">
        <v>27</v>
      </c>
      <c r="M1937">
        <v>37</v>
      </c>
      <c r="N1937" t="s">
        <v>26</v>
      </c>
      <c r="O1937" t="s">
        <v>25</v>
      </c>
      <c r="P1937">
        <v>2.4</v>
      </c>
      <c r="Q1937" t="s">
        <v>24</v>
      </c>
      <c r="R1937">
        <v>2.44</v>
      </c>
      <c r="S1937" t="s">
        <v>43</v>
      </c>
      <c r="T1937" t="str">
        <f t="shared" si="60"/>
        <v>High</v>
      </c>
      <c r="U1937" t="str">
        <f t="shared" si="61"/>
        <v>Intermediate</v>
      </c>
    </row>
    <row r="1938" spans="1:21" x14ac:dyDescent="0.35">
      <c r="A1938" t="s">
        <v>2011</v>
      </c>
      <c r="B1938" t="s">
        <v>68</v>
      </c>
      <c r="C1938" t="s">
        <v>55</v>
      </c>
      <c r="D1938" t="s">
        <v>80</v>
      </c>
      <c r="E1938" t="s">
        <v>70</v>
      </c>
      <c r="F1938">
        <v>5</v>
      </c>
      <c r="G1938">
        <v>0.45</v>
      </c>
      <c r="H1938">
        <v>0.47</v>
      </c>
      <c r="I1938" t="s">
        <v>24</v>
      </c>
      <c r="J1938">
        <v>73215</v>
      </c>
      <c r="K1938" t="s">
        <v>25</v>
      </c>
      <c r="L1938">
        <v>8</v>
      </c>
      <c r="M1938">
        <v>46</v>
      </c>
      <c r="N1938" t="s">
        <v>42</v>
      </c>
      <c r="O1938" t="s">
        <v>36</v>
      </c>
      <c r="P1938">
        <v>4.99</v>
      </c>
      <c r="Q1938" t="s">
        <v>24</v>
      </c>
      <c r="R1938">
        <v>3.84</v>
      </c>
      <c r="S1938" t="s">
        <v>47</v>
      </c>
      <c r="T1938" t="str">
        <f t="shared" si="60"/>
        <v>High</v>
      </c>
      <c r="U1938" t="str">
        <f t="shared" si="61"/>
        <v>Intermediate</v>
      </c>
    </row>
    <row r="1939" spans="1:21" x14ac:dyDescent="0.35">
      <c r="A1939" t="s">
        <v>2012</v>
      </c>
      <c r="B1939" t="s">
        <v>62</v>
      </c>
      <c r="C1939" t="s">
        <v>107</v>
      </c>
      <c r="D1939" t="s">
        <v>63</v>
      </c>
      <c r="E1939" t="s">
        <v>33</v>
      </c>
      <c r="F1939">
        <v>11</v>
      </c>
      <c r="G1939">
        <v>0.78</v>
      </c>
      <c r="H1939">
        <v>0.21</v>
      </c>
      <c r="I1939" t="s">
        <v>60</v>
      </c>
      <c r="J1939">
        <v>204890</v>
      </c>
      <c r="K1939" t="s">
        <v>27</v>
      </c>
      <c r="L1939">
        <v>40</v>
      </c>
      <c r="M1939">
        <v>49</v>
      </c>
      <c r="N1939" t="s">
        <v>42</v>
      </c>
      <c r="O1939" t="s">
        <v>36</v>
      </c>
      <c r="P1939">
        <v>4.26</v>
      </c>
      <c r="Q1939" t="s">
        <v>24</v>
      </c>
      <c r="R1939">
        <v>4.5199999999999996</v>
      </c>
      <c r="S1939" t="s">
        <v>28</v>
      </c>
      <c r="T1939" t="str">
        <f t="shared" si="60"/>
        <v>Very Low</v>
      </c>
      <c r="U1939" t="str">
        <f t="shared" si="61"/>
        <v>Experienced</v>
      </c>
    </row>
    <row r="1940" spans="1:21" x14ac:dyDescent="0.35">
      <c r="A1940" t="s">
        <v>2013</v>
      </c>
      <c r="B1940" t="s">
        <v>30</v>
      </c>
      <c r="C1940" t="s">
        <v>31</v>
      </c>
      <c r="D1940" t="s">
        <v>69</v>
      </c>
      <c r="E1940" t="s">
        <v>41</v>
      </c>
      <c r="F1940">
        <v>13</v>
      </c>
      <c r="G1940">
        <v>0.17</v>
      </c>
      <c r="H1940">
        <v>0.7</v>
      </c>
      <c r="I1940" t="s">
        <v>60</v>
      </c>
      <c r="J1940">
        <v>69377</v>
      </c>
      <c r="K1940" t="s">
        <v>27</v>
      </c>
      <c r="L1940">
        <v>35</v>
      </c>
      <c r="M1940">
        <v>50</v>
      </c>
      <c r="N1940" t="s">
        <v>42</v>
      </c>
      <c r="O1940" t="s">
        <v>27</v>
      </c>
      <c r="P1940">
        <v>4.8499999999999996</v>
      </c>
      <c r="Q1940" t="s">
        <v>34</v>
      </c>
      <c r="R1940">
        <v>3.98</v>
      </c>
      <c r="S1940" t="s">
        <v>43</v>
      </c>
      <c r="T1940" t="str">
        <f t="shared" si="60"/>
        <v>Very High</v>
      </c>
      <c r="U1940" t="str">
        <f t="shared" si="61"/>
        <v>Experienced</v>
      </c>
    </row>
    <row r="1941" spans="1:21" x14ac:dyDescent="0.35">
      <c r="A1941" t="s">
        <v>2014</v>
      </c>
      <c r="B1941" t="s">
        <v>38</v>
      </c>
      <c r="C1941" t="s">
        <v>74</v>
      </c>
      <c r="D1941" t="s">
        <v>22</v>
      </c>
      <c r="E1941" t="s">
        <v>70</v>
      </c>
      <c r="F1941">
        <v>24</v>
      </c>
      <c r="G1941">
        <v>0.72</v>
      </c>
      <c r="H1941">
        <v>0.26</v>
      </c>
      <c r="I1941" t="s">
        <v>60</v>
      </c>
      <c r="J1941">
        <v>88936</v>
      </c>
      <c r="K1941" t="s">
        <v>42</v>
      </c>
      <c r="L1941">
        <v>40</v>
      </c>
      <c r="M1941">
        <v>48</v>
      </c>
      <c r="N1941" t="s">
        <v>35</v>
      </c>
      <c r="O1941" t="s">
        <v>27</v>
      </c>
      <c r="P1941">
        <v>4.92</v>
      </c>
      <c r="Q1941" t="s">
        <v>24</v>
      </c>
      <c r="R1941">
        <v>3.85</v>
      </c>
      <c r="S1941" t="s">
        <v>43</v>
      </c>
      <c r="T1941" t="str">
        <f t="shared" si="60"/>
        <v>Very Low</v>
      </c>
      <c r="U1941" t="str">
        <f t="shared" si="61"/>
        <v>Expert</v>
      </c>
    </row>
    <row r="1942" spans="1:21" x14ac:dyDescent="0.35">
      <c r="A1942" t="s">
        <v>2015</v>
      </c>
      <c r="B1942" t="s">
        <v>89</v>
      </c>
      <c r="C1942" t="s">
        <v>46</v>
      </c>
      <c r="D1942" t="s">
        <v>69</v>
      </c>
      <c r="E1942" t="s">
        <v>33</v>
      </c>
      <c r="F1942">
        <v>12</v>
      </c>
      <c r="G1942">
        <v>0.61</v>
      </c>
      <c r="H1942">
        <v>0.56000000000000005</v>
      </c>
      <c r="I1942" t="s">
        <v>60</v>
      </c>
      <c r="J1942">
        <v>159585</v>
      </c>
      <c r="K1942" t="s">
        <v>25</v>
      </c>
      <c r="L1942">
        <v>22</v>
      </c>
      <c r="M1942">
        <v>59</v>
      </c>
      <c r="N1942" t="s">
        <v>26</v>
      </c>
      <c r="O1942" t="s">
        <v>36</v>
      </c>
      <c r="P1942">
        <v>4.6500000000000004</v>
      </c>
      <c r="Q1942" t="s">
        <v>34</v>
      </c>
      <c r="R1942">
        <v>2.17</v>
      </c>
      <c r="S1942" t="s">
        <v>28</v>
      </c>
      <c r="T1942" t="str">
        <f t="shared" si="60"/>
        <v>Moderate</v>
      </c>
      <c r="U1942" t="str">
        <f t="shared" si="61"/>
        <v>Experienced</v>
      </c>
    </row>
    <row r="1943" spans="1:21" x14ac:dyDescent="0.35">
      <c r="A1943" t="s">
        <v>2016</v>
      </c>
      <c r="B1943" t="s">
        <v>156</v>
      </c>
      <c r="C1943" t="s">
        <v>58</v>
      </c>
      <c r="D1943" t="s">
        <v>80</v>
      </c>
      <c r="E1943" t="s">
        <v>41</v>
      </c>
      <c r="F1943">
        <v>0</v>
      </c>
      <c r="G1943">
        <v>0.19</v>
      </c>
      <c r="H1943">
        <v>0.88</v>
      </c>
      <c r="I1943" t="s">
        <v>24</v>
      </c>
      <c r="J1943">
        <v>65427</v>
      </c>
      <c r="K1943" t="s">
        <v>25</v>
      </c>
      <c r="L1943">
        <v>37</v>
      </c>
      <c r="M1943">
        <v>38</v>
      </c>
      <c r="N1943" t="s">
        <v>35</v>
      </c>
      <c r="O1943" t="s">
        <v>27</v>
      </c>
      <c r="P1943">
        <v>4.45</v>
      </c>
      <c r="Q1943" t="s">
        <v>34</v>
      </c>
      <c r="R1943">
        <v>3.38</v>
      </c>
      <c r="S1943" t="s">
        <v>43</v>
      </c>
      <c r="T1943" t="str">
        <f t="shared" si="60"/>
        <v>Very High</v>
      </c>
      <c r="U1943" t="str">
        <f t="shared" si="61"/>
        <v>Beginner</v>
      </c>
    </row>
    <row r="1944" spans="1:21" x14ac:dyDescent="0.35">
      <c r="A1944" t="s">
        <v>2017</v>
      </c>
      <c r="B1944" t="s">
        <v>38</v>
      </c>
      <c r="C1944" t="s">
        <v>58</v>
      </c>
      <c r="D1944" t="s">
        <v>22</v>
      </c>
      <c r="E1944" t="s">
        <v>23</v>
      </c>
      <c r="F1944">
        <v>14</v>
      </c>
      <c r="G1944">
        <v>0.34</v>
      </c>
      <c r="H1944">
        <v>0.47</v>
      </c>
      <c r="I1944" t="s">
        <v>24</v>
      </c>
      <c r="J1944">
        <v>96416</v>
      </c>
      <c r="K1944" t="s">
        <v>27</v>
      </c>
      <c r="L1944">
        <v>34</v>
      </c>
      <c r="M1944">
        <v>55</v>
      </c>
      <c r="N1944" t="s">
        <v>26</v>
      </c>
      <c r="O1944" t="s">
        <v>25</v>
      </c>
      <c r="P1944">
        <v>3.99</v>
      </c>
      <c r="Q1944" t="s">
        <v>24</v>
      </c>
      <c r="R1944">
        <v>1.01</v>
      </c>
      <c r="S1944" t="s">
        <v>43</v>
      </c>
      <c r="T1944" t="str">
        <f t="shared" si="60"/>
        <v>High</v>
      </c>
      <c r="U1944" t="str">
        <f t="shared" si="61"/>
        <v>Experienced</v>
      </c>
    </row>
    <row r="1945" spans="1:21" x14ac:dyDescent="0.35">
      <c r="A1945" t="s">
        <v>2018</v>
      </c>
      <c r="B1945" t="s">
        <v>62</v>
      </c>
      <c r="C1945" t="s">
        <v>46</v>
      </c>
      <c r="D1945" t="s">
        <v>69</v>
      </c>
      <c r="E1945" t="s">
        <v>23</v>
      </c>
      <c r="F1945">
        <v>11</v>
      </c>
      <c r="G1945">
        <v>0.64</v>
      </c>
      <c r="H1945">
        <v>0.57999999999999996</v>
      </c>
      <c r="I1945" t="s">
        <v>60</v>
      </c>
      <c r="J1945">
        <v>206524</v>
      </c>
      <c r="K1945" t="s">
        <v>27</v>
      </c>
      <c r="L1945">
        <v>-2</v>
      </c>
      <c r="M1945">
        <v>49</v>
      </c>
      <c r="N1945" t="s">
        <v>42</v>
      </c>
      <c r="O1945" t="s">
        <v>27</v>
      </c>
      <c r="P1945">
        <v>2.6</v>
      </c>
      <c r="Q1945" t="s">
        <v>24</v>
      </c>
      <c r="R1945">
        <v>4.8</v>
      </c>
      <c r="S1945" t="s">
        <v>43</v>
      </c>
      <c r="T1945" t="str">
        <f t="shared" si="60"/>
        <v>Moderate</v>
      </c>
      <c r="U1945" t="str">
        <f t="shared" si="61"/>
        <v>Experienced</v>
      </c>
    </row>
    <row r="1946" spans="1:21" x14ac:dyDescent="0.35">
      <c r="A1946" t="s">
        <v>2019</v>
      </c>
      <c r="B1946" t="s">
        <v>102</v>
      </c>
      <c r="C1946" t="s">
        <v>31</v>
      </c>
      <c r="D1946" t="s">
        <v>59</v>
      </c>
      <c r="E1946" t="s">
        <v>33</v>
      </c>
      <c r="F1946">
        <v>10</v>
      </c>
      <c r="G1946">
        <v>0.19</v>
      </c>
      <c r="H1946">
        <v>0.46</v>
      </c>
      <c r="I1946" t="s">
        <v>24</v>
      </c>
      <c r="J1946">
        <v>77196</v>
      </c>
      <c r="K1946" t="s">
        <v>42</v>
      </c>
      <c r="L1946">
        <v>19</v>
      </c>
      <c r="M1946">
        <v>41</v>
      </c>
      <c r="N1946" t="s">
        <v>26</v>
      </c>
      <c r="O1946" t="s">
        <v>36</v>
      </c>
      <c r="P1946">
        <v>4.04</v>
      </c>
      <c r="Q1946" t="s">
        <v>34</v>
      </c>
      <c r="R1946">
        <v>2.78</v>
      </c>
      <c r="S1946" t="s">
        <v>43</v>
      </c>
      <c r="T1946" t="str">
        <f t="shared" si="60"/>
        <v>High</v>
      </c>
      <c r="U1946" t="str">
        <f t="shared" si="61"/>
        <v>Experienced</v>
      </c>
    </row>
    <row r="1947" spans="1:21" x14ac:dyDescent="0.35">
      <c r="A1947" t="s">
        <v>2020</v>
      </c>
      <c r="B1947" t="s">
        <v>62</v>
      </c>
      <c r="C1947" t="s">
        <v>46</v>
      </c>
      <c r="D1947" t="s">
        <v>49</v>
      </c>
      <c r="E1947" t="s">
        <v>41</v>
      </c>
      <c r="F1947">
        <v>8</v>
      </c>
      <c r="G1947">
        <v>0.09</v>
      </c>
      <c r="H1947">
        <v>0.73</v>
      </c>
      <c r="I1947" t="s">
        <v>24</v>
      </c>
      <c r="J1947">
        <v>32378</v>
      </c>
      <c r="K1947" t="s">
        <v>42</v>
      </c>
      <c r="L1947">
        <v>20</v>
      </c>
      <c r="M1947">
        <v>32</v>
      </c>
      <c r="N1947" t="s">
        <v>26</v>
      </c>
      <c r="O1947" t="s">
        <v>27</v>
      </c>
      <c r="P1947">
        <v>3.88</v>
      </c>
      <c r="Q1947" t="s">
        <v>24</v>
      </c>
      <c r="R1947">
        <v>4.82</v>
      </c>
      <c r="S1947" t="s">
        <v>43</v>
      </c>
      <c r="T1947" t="str">
        <f t="shared" si="60"/>
        <v>Very High</v>
      </c>
      <c r="U1947" t="str">
        <f t="shared" si="61"/>
        <v>Intermediate</v>
      </c>
    </row>
    <row r="1948" spans="1:21" x14ac:dyDescent="0.35">
      <c r="A1948" t="s">
        <v>2021</v>
      </c>
      <c r="B1948" t="s">
        <v>94</v>
      </c>
      <c r="C1948" t="s">
        <v>46</v>
      </c>
      <c r="D1948" t="s">
        <v>49</v>
      </c>
      <c r="E1948" t="s">
        <v>70</v>
      </c>
      <c r="F1948">
        <v>15</v>
      </c>
      <c r="G1948">
        <v>0.95</v>
      </c>
      <c r="H1948">
        <v>0.51</v>
      </c>
      <c r="I1948" t="s">
        <v>24</v>
      </c>
      <c r="J1948">
        <v>215593</v>
      </c>
      <c r="K1948" t="s">
        <v>27</v>
      </c>
      <c r="L1948">
        <v>-5</v>
      </c>
      <c r="M1948">
        <v>44</v>
      </c>
      <c r="N1948" t="s">
        <v>35</v>
      </c>
      <c r="O1948" t="s">
        <v>25</v>
      </c>
      <c r="P1948">
        <v>2.87</v>
      </c>
      <c r="Q1948" t="s">
        <v>24</v>
      </c>
      <c r="R1948">
        <v>2.4700000000000002</v>
      </c>
      <c r="S1948" t="s">
        <v>43</v>
      </c>
      <c r="T1948" t="str">
        <f t="shared" si="60"/>
        <v>Moderate</v>
      </c>
      <c r="U1948" t="str">
        <f t="shared" si="61"/>
        <v>Experienced</v>
      </c>
    </row>
    <row r="1949" spans="1:21" x14ac:dyDescent="0.35">
      <c r="A1949" t="s">
        <v>2022</v>
      </c>
      <c r="B1949" t="s">
        <v>147</v>
      </c>
      <c r="C1949" t="s">
        <v>82</v>
      </c>
      <c r="D1949" t="s">
        <v>63</v>
      </c>
      <c r="E1949" t="s">
        <v>70</v>
      </c>
      <c r="F1949">
        <v>17</v>
      </c>
      <c r="G1949">
        <v>0.73</v>
      </c>
      <c r="H1949">
        <v>0.51</v>
      </c>
      <c r="I1949" t="s">
        <v>34</v>
      </c>
      <c r="J1949">
        <v>180161</v>
      </c>
      <c r="K1949" t="s">
        <v>27</v>
      </c>
      <c r="L1949">
        <v>37</v>
      </c>
      <c r="M1949">
        <v>58</v>
      </c>
      <c r="N1949" t="s">
        <v>42</v>
      </c>
      <c r="O1949" t="s">
        <v>36</v>
      </c>
      <c r="P1949">
        <v>2.62</v>
      </c>
      <c r="Q1949" t="s">
        <v>24</v>
      </c>
      <c r="R1949">
        <v>2.9</v>
      </c>
      <c r="S1949" t="s">
        <v>28</v>
      </c>
      <c r="T1949" t="str">
        <f t="shared" si="60"/>
        <v>Moderate</v>
      </c>
      <c r="U1949" t="str">
        <f t="shared" si="61"/>
        <v>Expert</v>
      </c>
    </row>
    <row r="1950" spans="1:21" x14ac:dyDescent="0.35">
      <c r="A1950" t="s">
        <v>2023</v>
      </c>
      <c r="B1950" t="s">
        <v>62</v>
      </c>
      <c r="C1950" t="s">
        <v>107</v>
      </c>
      <c r="D1950" t="s">
        <v>69</v>
      </c>
      <c r="E1950" t="s">
        <v>70</v>
      </c>
      <c r="F1950">
        <v>23</v>
      </c>
      <c r="G1950">
        <v>0.52</v>
      </c>
      <c r="H1950">
        <v>0.38</v>
      </c>
      <c r="I1950" t="s">
        <v>34</v>
      </c>
      <c r="J1950">
        <v>186077</v>
      </c>
      <c r="K1950" t="s">
        <v>27</v>
      </c>
      <c r="L1950">
        <v>33</v>
      </c>
      <c r="M1950">
        <v>60</v>
      </c>
      <c r="N1950" t="s">
        <v>35</v>
      </c>
      <c r="O1950" t="s">
        <v>25</v>
      </c>
      <c r="P1950">
        <v>4.04</v>
      </c>
      <c r="Q1950" t="s">
        <v>24</v>
      </c>
      <c r="R1950">
        <v>2.04</v>
      </c>
      <c r="S1950" t="s">
        <v>28</v>
      </c>
      <c r="T1950" t="str">
        <f t="shared" si="60"/>
        <v>Moderate</v>
      </c>
      <c r="U1950" t="str">
        <f t="shared" si="61"/>
        <v>Expert</v>
      </c>
    </row>
    <row r="1951" spans="1:21" x14ac:dyDescent="0.35">
      <c r="A1951" t="s">
        <v>2024</v>
      </c>
      <c r="B1951" t="s">
        <v>30</v>
      </c>
      <c r="C1951" t="s">
        <v>52</v>
      </c>
      <c r="D1951" t="s">
        <v>66</v>
      </c>
      <c r="E1951" t="s">
        <v>70</v>
      </c>
      <c r="F1951">
        <v>7</v>
      </c>
      <c r="G1951">
        <v>0.56999999999999995</v>
      </c>
      <c r="H1951">
        <v>0.34</v>
      </c>
      <c r="I1951" t="s">
        <v>60</v>
      </c>
      <c r="J1951">
        <v>145709</v>
      </c>
      <c r="K1951" t="s">
        <v>25</v>
      </c>
      <c r="L1951">
        <v>27</v>
      </c>
      <c r="M1951">
        <v>40</v>
      </c>
      <c r="N1951" t="s">
        <v>35</v>
      </c>
      <c r="O1951" t="s">
        <v>27</v>
      </c>
      <c r="P1951">
        <v>3.82</v>
      </c>
      <c r="Q1951" t="s">
        <v>34</v>
      </c>
      <c r="R1951">
        <v>2.57</v>
      </c>
      <c r="S1951" t="s">
        <v>43</v>
      </c>
      <c r="T1951" t="str">
        <f t="shared" si="60"/>
        <v>Moderate</v>
      </c>
      <c r="U1951" t="str">
        <f t="shared" si="61"/>
        <v>Intermediate</v>
      </c>
    </row>
    <row r="1952" spans="1:21" x14ac:dyDescent="0.35">
      <c r="A1952" t="s">
        <v>2025</v>
      </c>
      <c r="B1952" t="s">
        <v>73</v>
      </c>
      <c r="C1952" t="s">
        <v>74</v>
      </c>
      <c r="D1952" t="s">
        <v>40</v>
      </c>
      <c r="E1952" t="s">
        <v>23</v>
      </c>
      <c r="F1952">
        <v>8</v>
      </c>
      <c r="G1952">
        <v>0.4</v>
      </c>
      <c r="H1952">
        <v>0.76</v>
      </c>
      <c r="I1952" t="s">
        <v>24</v>
      </c>
      <c r="J1952">
        <v>60964</v>
      </c>
      <c r="K1952" t="s">
        <v>42</v>
      </c>
      <c r="L1952">
        <v>22</v>
      </c>
      <c r="M1952">
        <v>44</v>
      </c>
      <c r="N1952" t="s">
        <v>26</v>
      </c>
      <c r="O1952" t="s">
        <v>27</v>
      </c>
      <c r="P1952">
        <v>4.54</v>
      </c>
      <c r="Q1952" t="s">
        <v>24</v>
      </c>
      <c r="R1952">
        <v>4.4800000000000004</v>
      </c>
      <c r="S1952" t="s">
        <v>28</v>
      </c>
      <c r="T1952" t="str">
        <f t="shared" si="60"/>
        <v>High</v>
      </c>
      <c r="U1952" t="str">
        <f t="shared" si="61"/>
        <v>Intermediate</v>
      </c>
    </row>
    <row r="1953" spans="1:21" x14ac:dyDescent="0.35">
      <c r="A1953" t="s">
        <v>2026</v>
      </c>
      <c r="B1953" t="s">
        <v>89</v>
      </c>
      <c r="C1953" t="s">
        <v>39</v>
      </c>
      <c r="D1953" t="s">
        <v>22</v>
      </c>
      <c r="E1953" t="s">
        <v>23</v>
      </c>
      <c r="F1953">
        <v>11</v>
      </c>
      <c r="G1953">
        <v>0.74</v>
      </c>
      <c r="H1953">
        <v>0.9</v>
      </c>
      <c r="I1953" t="s">
        <v>24</v>
      </c>
      <c r="J1953">
        <v>81225</v>
      </c>
      <c r="K1953" t="s">
        <v>42</v>
      </c>
      <c r="L1953">
        <v>30</v>
      </c>
      <c r="M1953">
        <v>58</v>
      </c>
      <c r="N1953" t="s">
        <v>35</v>
      </c>
      <c r="O1953" t="s">
        <v>27</v>
      </c>
      <c r="P1953">
        <v>2.95</v>
      </c>
      <c r="Q1953" t="s">
        <v>34</v>
      </c>
      <c r="R1953">
        <v>2.76</v>
      </c>
      <c r="S1953" t="s">
        <v>43</v>
      </c>
      <c r="T1953" t="str">
        <f t="shared" si="60"/>
        <v>High</v>
      </c>
      <c r="U1953" t="str">
        <f t="shared" si="61"/>
        <v>Experienced</v>
      </c>
    </row>
    <row r="1954" spans="1:21" x14ac:dyDescent="0.35">
      <c r="A1954" t="s">
        <v>2027</v>
      </c>
      <c r="B1954" t="s">
        <v>89</v>
      </c>
      <c r="C1954" t="s">
        <v>21</v>
      </c>
      <c r="D1954" t="s">
        <v>32</v>
      </c>
      <c r="E1954" t="s">
        <v>23</v>
      </c>
      <c r="F1954">
        <v>19</v>
      </c>
      <c r="G1954">
        <v>0.52</v>
      </c>
      <c r="H1954">
        <v>0.66</v>
      </c>
      <c r="I1954" t="s">
        <v>60</v>
      </c>
      <c r="J1954">
        <v>39681</v>
      </c>
      <c r="K1954" t="s">
        <v>25</v>
      </c>
      <c r="L1954">
        <v>10</v>
      </c>
      <c r="M1954">
        <v>39</v>
      </c>
      <c r="N1954" t="s">
        <v>26</v>
      </c>
      <c r="O1954" t="s">
        <v>27</v>
      </c>
      <c r="P1954">
        <v>2.5499999999999998</v>
      </c>
      <c r="Q1954" t="s">
        <v>34</v>
      </c>
      <c r="R1954">
        <v>1.04</v>
      </c>
      <c r="S1954" t="s">
        <v>28</v>
      </c>
      <c r="T1954" t="str">
        <f t="shared" si="60"/>
        <v>High</v>
      </c>
      <c r="U1954" t="str">
        <f t="shared" si="61"/>
        <v>Expert</v>
      </c>
    </row>
    <row r="1955" spans="1:21" x14ac:dyDescent="0.35">
      <c r="A1955" t="s">
        <v>2028</v>
      </c>
      <c r="B1955" t="s">
        <v>102</v>
      </c>
      <c r="C1955" t="s">
        <v>107</v>
      </c>
      <c r="D1955" t="s">
        <v>66</v>
      </c>
      <c r="E1955" t="s">
        <v>23</v>
      </c>
      <c r="F1955">
        <v>0</v>
      </c>
      <c r="G1955">
        <v>0.93</v>
      </c>
      <c r="H1955">
        <v>0.51</v>
      </c>
      <c r="I1955" t="s">
        <v>24</v>
      </c>
      <c r="J1955">
        <v>179927</v>
      </c>
      <c r="K1955" t="s">
        <v>25</v>
      </c>
      <c r="L1955">
        <v>5</v>
      </c>
      <c r="M1955">
        <v>43</v>
      </c>
      <c r="N1955" t="s">
        <v>26</v>
      </c>
      <c r="O1955" t="s">
        <v>27</v>
      </c>
      <c r="P1955">
        <v>2.86</v>
      </c>
      <c r="Q1955" t="s">
        <v>34</v>
      </c>
      <c r="R1955">
        <v>3</v>
      </c>
      <c r="S1955" t="s">
        <v>47</v>
      </c>
      <c r="T1955" t="str">
        <f t="shared" si="60"/>
        <v>Moderate</v>
      </c>
      <c r="U1955" t="str">
        <f t="shared" si="61"/>
        <v>Beginner</v>
      </c>
    </row>
    <row r="1956" spans="1:21" x14ac:dyDescent="0.35">
      <c r="A1956" t="s">
        <v>2029</v>
      </c>
      <c r="B1956" t="s">
        <v>38</v>
      </c>
      <c r="C1956" t="s">
        <v>74</v>
      </c>
      <c r="D1956" t="s">
        <v>69</v>
      </c>
      <c r="E1956" t="s">
        <v>41</v>
      </c>
      <c r="F1956">
        <v>15</v>
      </c>
      <c r="G1956">
        <v>0.68</v>
      </c>
      <c r="H1956">
        <v>0.71</v>
      </c>
      <c r="I1956" t="s">
        <v>34</v>
      </c>
      <c r="J1956">
        <v>46547</v>
      </c>
      <c r="K1956" t="s">
        <v>27</v>
      </c>
      <c r="L1956">
        <v>13</v>
      </c>
      <c r="M1956">
        <v>40</v>
      </c>
      <c r="N1956" t="s">
        <v>26</v>
      </c>
      <c r="O1956" t="s">
        <v>27</v>
      </c>
      <c r="P1956">
        <v>2.4700000000000002</v>
      </c>
      <c r="Q1956" t="s">
        <v>24</v>
      </c>
      <c r="R1956">
        <v>3.77</v>
      </c>
      <c r="S1956" t="s">
        <v>43</v>
      </c>
      <c r="T1956" t="str">
        <f t="shared" si="60"/>
        <v>High</v>
      </c>
      <c r="U1956" t="str">
        <f t="shared" si="61"/>
        <v>Experienced</v>
      </c>
    </row>
    <row r="1957" spans="1:21" x14ac:dyDescent="0.35">
      <c r="A1957" t="s">
        <v>2030</v>
      </c>
      <c r="B1957" t="s">
        <v>102</v>
      </c>
      <c r="C1957" t="s">
        <v>58</v>
      </c>
      <c r="D1957" t="s">
        <v>32</v>
      </c>
      <c r="E1957" t="s">
        <v>33</v>
      </c>
      <c r="F1957">
        <v>17</v>
      </c>
      <c r="G1957">
        <v>7.0000000000000007E-2</v>
      </c>
      <c r="H1957">
        <v>0.98</v>
      </c>
      <c r="I1957" t="s">
        <v>60</v>
      </c>
      <c r="J1957">
        <v>144603</v>
      </c>
      <c r="K1957" t="s">
        <v>25</v>
      </c>
      <c r="L1957">
        <v>28</v>
      </c>
      <c r="M1957">
        <v>59</v>
      </c>
      <c r="N1957" t="s">
        <v>35</v>
      </c>
      <c r="O1957" t="s">
        <v>25</v>
      </c>
      <c r="P1957">
        <v>3.07</v>
      </c>
      <c r="Q1957" t="s">
        <v>24</v>
      </c>
      <c r="R1957">
        <v>3.17</v>
      </c>
      <c r="S1957" t="s">
        <v>43</v>
      </c>
      <c r="T1957" t="str">
        <f t="shared" si="60"/>
        <v>Very High</v>
      </c>
      <c r="U1957" t="str">
        <f t="shared" si="61"/>
        <v>Expert</v>
      </c>
    </row>
    <row r="1958" spans="1:21" x14ac:dyDescent="0.35">
      <c r="A1958" t="s">
        <v>2031</v>
      </c>
      <c r="B1958" t="s">
        <v>94</v>
      </c>
      <c r="C1958" t="s">
        <v>55</v>
      </c>
      <c r="D1958" t="s">
        <v>66</v>
      </c>
      <c r="E1958" t="s">
        <v>23</v>
      </c>
      <c r="F1958">
        <v>8</v>
      </c>
      <c r="G1958">
        <v>0.63</v>
      </c>
      <c r="H1958">
        <v>0.44</v>
      </c>
      <c r="I1958" t="s">
        <v>34</v>
      </c>
      <c r="J1958">
        <v>71064</v>
      </c>
      <c r="K1958" t="s">
        <v>42</v>
      </c>
      <c r="L1958">
        <v>33</v>
      </c>
      <c r="M1958">
        <v>41</v>
      </c>
      <c r="N1958" t="s">
        <v>42</v>
      </c>
      <c r="O1958" t="s">
        <v>25</v>
      </c>
      <c r="P1958">
        <v>3.36</v>
      </c>
      <c r="Q1958" t="s">
        <v>24</v>
      </c>
      <c r="R1958">
        <v>4.59</v>
      </c>
      <c r="S1958" t="s">
        <v>47</v>
      </c>
      <c r="T1958" t="str">
        <f t="shared" si="60"/>
        <v>Moderate</v>
      </c>
      <c r="U1958" t="str">
        <f t="shared" si="61"/>
        <v>Intermediate</v>
      </c>
    </row>
    <row r="1959" spans="1:21" x14ac:dyDescent="0.35">
      <c r="A1959" t="s">
        <v>2032</v>
      </c>
      <c r="B1959" t="s">
        <v>73</v>
      </c>
      <c r="C1959" t="s">
        <v>55</v>
      </c>
      <c r="D1959" t="s">
        <v>49</v>
      </c>
      <c r="E1959" t="s">
        <v>70</v>
      </c>
      <c r="F1959">
        <v>12</v>
      </c>
      <c r="G1959">
        <v>0.7</v>
      </c>
      <c r="H1959">
        <v>0.24</v>
      </c>
      <c r="I1959" t="s">
        <v>60</v>
      </c>
      <c r="J1959">
        <v>173217</v>
      </c>
      <c r="K1959" t="s">
        <v>42</v>
      </c>
      <c r="L1959">
        <v>42</v>
      </c>
      <c r="M1959">
        <v>59</v>
      </c>
      <c r="N1959" t="s">
        <v>42</v>
      </c>
      <c r="O1959" t="s">
        <v>25</v>
      </c>
      <c r="P1959">
        <v>4.24</v>
      </c>
      <c r="Q1959" t="s">
        <v>34</v>
      </c>
      <c r="R1959">
        <v>3.17</v>
      </c>
      <c r="S1959" t="s">
        <v>28</v>
      </c>
      <c r="T1959" t="str">
        <f t="shared" si="60"/>
        <v>Very Low</v>
      </c>
      <c r="U1959" t="str">
        <f t="shared" si="61"/>
        <v>Experienced</v>
      </c>
    </row>
    <row r="1960" spans="1:21" x14ac:dyDescent="0.35">
      <c r="A1960" t="s">
        <v>2033</v>
      </c>
      <c r="B1960" t="s">
        <v>20</v>
      </c>
      <c r="C1960" t="s">
        <v>52</v>
      </c>
      <c r="D1960" t="s">
        <v>49</v>
      </c>
      <c r="E1960" t="s">
        <v>23</v>
      </c>
      <c r="F1960">
        <v>25</v>
      </c>
      <c r="G1960">
        <v>0.15</v>
      </c>
      <c r="H1960">
        <v>0.64</v>
      </c>
      <c r="I1960" t="s">
        <v>34</v>
      </c>
      <c r="J1960">
        <v>198230</v>
      </c>
      <c r="K1960" t="s">
        <v>42</v>
      </c>
      <c r="L1960">
        <v>21</v>
      </c>
      <c r="M1960">
        <v>43</v>
      </c>
      <c r="N1960" t="s">
        <v>35</v>
      </c>
      <c r="O1960" t="s">
        <v>27</v>
      </c>
      <c r="P1960">
        <v>2.64</v>
      </c>
      <c r="Q1960" t="s">
        <v>34</v>
      </c>
      <c r="R1960">
        <v>2.5099999999999998</v>
      </c>
      <c r="S1960" t="s">
        <v>43</v>
      </c>
      <c r="T1960" t="str">
        <f t="shared" si="60"/>
        <v>High</v>
      </c>
      <c r="U1960" t="str">
        <f t="shared" si="61"/>
        <v>Expert</v>
      </c>
    </row>
    <row r="1961" spans="1:21" x14ac:dyDescent="0.35">
      <c r="A1961" t="s">
        <v>2034</v>
      </c>
      <c r="B1961" t="s">
        <v>54</v>
      </c>
      <c r="C1961" t="s">
        <v>46</v>
      </c>
      <c r="D1961" t="s">
        <v>69</v>
      </c>
      <c r="E1961" t="s">
        <v>33</v>
      </c>
      <c r="F1961">
        <v>6</v>
      </c>
      <c r="G1961">
        <v>0.26</v>
      </c>
      <c r="H1961">
        <v>0.85</v>
      </c>
      <c r="I1961" t="s">
        <v>34</v>
      </c>
      <c r="J1961">
        <v>146047</v>
      </c>
      <c r="K1961" t="s">
        <v>27</v>
      </c>
      <c r="L1961">
        <v>45</v>
      </c>
      <c r="M1961">
        <v>34</v>
      </c>
      <c r="N1961" t="s">
        <v>35</v>
      </c>
      <c r="O1961" t="s">
        <v>27</v>
      </c>
      <c r="P1961">
        <v>3.29</v>
      </c>
      <c r="Q1961" t="s">
        <v>24</v>
      </c>
      <c r="R1961">
        <v>3.01</v>
      </c>
      <c r="S1961" t="s">
        <v>28</v>
      </c>
      <c r="T1961" t="str">
        <f t="shared" si="60"/>
        <v>Very High</v>
      </c>
      <c r="U1961" t="str">
        <f t="shared" si="61"/>
        <v>Intermediate</v>
      </c>
    </row>
    <row r="1962" spans="1:21" x14ac:dyDescent="0.35">
      <c r="A1962" t="s">
        <v>2035</v>
      </c>
      <c r="B1962" t="s">
        <v>89</v>
      </c>
      <c r="C1962" t="s">
        <v>39</v>
      </c>
      <c r="D1962" t="s">
        <v>66</v>
      </c>
      <c r="E1962" t="s">
        <v>70</v>
      </c>
      <c r="F1962">
        <v>1</v>
      </c>
      <c r="G1962">
        <v>0.25</v>
      </c>
      <c r="H1962">
        <v>0.43</v>
      </c>
      <c r="I1962" t="s">
        <v>34</v>
      </c>
      <c r="J1962">
        <v>174025</v>
      </c>
      <c r="K1962" t="s">
        <v>25</v>
      </c>
      <c r="L1962">
        <v>-3</v>
      </c>
      <c r="M1962">
        <v>49</v>
      </c>
      <c r="N1962" t="s">
        <v>42</v>
      </c>
      <c r="O1962" t="s">
        <v>25</v>
      </c>
      <c r="P1962">
        <v>2.96</v>
      </c>
      <c r="Q1962" t="s">
        <v>24</v>
      </c>
      <c r="R1962">
        <v>2.0099999999999998</v>
      </c>
      <c r="S1962" t="s">
        <v>47</v>
      </c>
      <c r="T1962" t="str">
        <f t="shared" si="60"/>
        <v>High</v>
      </c>
      <c r="U1962" t="str">
        <f t="shared" si="61"/>
        <v>Beginner</v>
      </c>
    </row>
    <row r="1963" spans="1:21" x14ac:dyDescent="0.35">
      <c r="A1963" t="s">
        <v>2036</v>
      </c>
      <c r="B1963" t="s">
        <v>91</v>
      </c>
      <c r="C1963" t="s">
        <v>39</v>
      </c>
      <c r="D1963" t="s">
        <v>69</v>
      </c>
      <c r="E1963" t="s">
        <v>23</v>
      </c>
      <c r="F1963">
        <v>0</v>
      </c>
      <c r="G1963">
        <v>0.28999999999999998</v>
      </c>
      <c r="H1963">
        <v>0.95</v>
      </c>
      <c r="I1963" t="s">
        <v>60</v>
      </c>
      <c r="J1963">
        <v>157614</v>
      </c>
      <c r="K1963" t="s">
        <v>27</v>
      </c>
      <c r="L1963">
        <v>38</v>
      </c>
      <c r="M1963">
        <v>53</v>
      </c>
      <c r="N1963" t="s">
        <v>42</v>
      </c>
      <c r="O1963" t="s">
        <v>27</v>
      </c>
      <c r="P1963">
        <v>2.34</v>
      </c>
      <c r="Q1963" t="s">
        <v>24</v>
      </c>
      <c r="R1963">
        <v>2.76</v>
      </c>
      <c r="S1963" t="s">
        <v>43</v>
      </c>
      <c r="T1963" t="str">
        <f t="shared" si="60"/>
        <v>Very High</v>
      </c>
      <c r="U1963" t="str">
        <f t="shared" si="61"/>
        <v>Beginner</v>
      </c>
    </row>
    <row r="1964" spans="1:21" x14ac:dyDescent="0.35">
      <c r="A1964" t="s">
        <v>2037</v>
      </c>
      <c r="B1964" t="s">
        <v>65</v>
      </c>
      <c r="C1964" t="s">
        <v>107</v>
      </c>
      <c r="D1964" t="s">
        <v>66</v>
      </c>
      <c r="E1964" t="s">
        <v>70</v>
      </c>
      <c r="F1964">
        <v>20</v>
      </c>
      <c r="G1964">
        <v>0.45</v>
      </c>
      <c r="H1964">
        <v>0.62</v>
      </c>
      <c r="I1964" t="s">
        <v>34</v>
      </c>
      <c r="J1964">
        <v>121769</v>
      </c>
      <c r="K1964" t="s">
        <v>42</v>
      </c>
      <c r="L1964">
        <v>-3</v>
      </c>
      <c r="M1964">
        <v>37</v>
      </c>
      <c r="N1964" t="s">
        <v>35</v>
      </c>
      <c r="O1964" t="s">
        <v>27</v>
      </c>
      <c r="P1964">
        <v>3.84</v>
      </c>
      <c r="Q1964" t="s">
        <v>34</v>
      </c>
      <c r="R1964">
        <v>4.84</v>
      </c>
      <c r="S1964" t="s">
        <v>43</v>
      </c>
      <c r="T1964" t="str">
        <f t="shared" si="60"/>
        <v>High</v>
      </c>
      <c r="U1964" t="str">
        <f t="shared" si="61"/>
        <v>Expert</v>
      </c>
    </row>
    <row r="1965" spans="1:21" x14ac:dyDescent="0.35">
      <c r="A1965" t="s">
        <v>2038</v>
      </c>
      <c r="B1965" t="s">
        <v>89</v>
      </c>
      <c r="C1965" t="s">
        <v>107</v>
      </c>
      <c r="D1965" t="s">
        <v>66</v>
      </c>
      <c r="E1965" t="s">
        <v>33</v>
      </c>
      <c r="F1965">
        <v>14</v>
      </c>
      <c r="G1965">
        <v>0.21</v>
      </c>
      <c r="H1965">
        <v>0.57999999999999996</v>
      </c>
      <c r="I1965" t="s">
        <v>60</v>
      </c>
      <c r="J1965">
        <v>155166</v>
      </c>
      <c r="K1965" t="s">
        <v>25</v>
      </c>
      <c r="L1965">
        <v>-5</v>
      </c>
      <c r="M1965">
        <v>34</v>
      </c>
      <c r="N1965" t="s">
        <v>35</v>
      </c>
      <c r="O1965" t="s">
        <v>27</v>
      </c>
      <c r="P1965">
        <v>2.82</v>
      </c>
      <c r="Q1965" t="s">
        <v>34</v>
      </c>
      <c r="R1965">
        <v>2.78</v>
      </c>
      <c r="S1965" t="s">
        <v>43</v>
      </c>
      <c r="T1965" t="str">
        <f t="shared" si="60"/>
        <v>High</v>
      </c>
      <c r="U1965" t="str">
        <f t="shared" si="61"/>
        <v>Experienced</v>
      </c>
    </row>
    <row r="1966" spans="1:21" x14ac:dyDescent="0.35">
      <c r="A1966" t="s">
        <v>2039</v>
      </c>
      <c r="B1966" t="s">
        <v>20</v>
      </c>
      <c r="C1966" t="s">
        <v>39</v>
      </c>
      <c r="D1966" t="s">
        <v>32</v>
      </c>
      <c r="E1966" t="s">
        <v>33</v>
      </c>
      <c r="F1966">
        <v>19</v>
      </c>
      <c r="G1966">
        <v>0.35</v>
      </c>
      <c r="H1966">
        <v>0.59</v>
      </c>
      <c r="I1966" t="s">
        <v>24</v>
      </c>
      <c r="J1966">
        <v>205325</v>
      </c>
      <c r="K1966" t="s">
        <v>27</v>
      </c>
      <c r="L1966">
        <v>39</v>
      </c>
      <c r="M1966">
        <v>30</v>
      </c>
      <c r="N1966" t="s">
        <v>35</v>
      </c>
      <c r="O1966" t="s">
        <v>36</v>
      </c>
      <c r="P1966">
        <v>3.77</v>
      </c>
      <c r="Q1966" t="s">
        <v>34</v>
      </c>
      <c r="R1966">
        <v>2.15</v>
      </c>
      <c r="S1966" t="s">
        <v>28</v>
      </c>
      <c r="T1966" t="str">
        <f t="shared" si="60"/>
        <v>High</v>
      </c>
      <c r="U1966" t="str">
        <f t="shared" si="61"/>
        <v>Expert</v>
      </c>
    </row>
    <row r="1967" spans="1:21" x14ac:dyDescent="0.35">
      <c r="A1967" t="s">
        <v>2040</v>
      </c>
      <c r="B1967" t="s">
        <v>30</v>
      </c>
      <c r="C1967" t="s">
        <v>46</v>
      </c>
      <c r="D1967" t="s">
        <v>40</v>
      </c>
      <c r="E1967" t="s">
        <v>33</v>
      </c>
      <c r="F1967">
        <v>8</v>
      </c>
      <c r="G1967">
        <v>0.34</v>
      </c>
      <c r="H1967">
        <v>0.49</v>
      </c>
      <c r="I1967" t="s">
        <v>34</v>
      </c>
      <c r="J1967">
        <v>38497</v>
      </c>
      <c r="K1967" t="s">
        <v>25</v>
      </c>
      <c r="L1967">
        <v>8</v>
      </c>
      <c r="M1967">
        <v>43</v>
      </c>
      <c r="N1967" t="s">
        <v>35</v>
      </c>
      <c r="O1967" t="s">
        <v>27</v>
      </c>
      <c r="P1967">
        <v>4.22</v>
      </c>
      <c r="Q1967" t="s">
        <v>34</v>
      </c>
      <c r="R1967">
        <v>1.41</v>
      </c>
      <c r="S1967" t="s">
        <v>47</v>
      </c>
      <c r="T1967" t="str">
        <f t="shared" si="60"/>
        <v>High</v>
      </c>
      <c r="U1967" t="str">
        <f t="shared" si="61"/>
        <v>Intermediate</v>
      </c>
    </row>
    <row r="1968" spans="1:21" x14ac:dyDescent="0.35">
      <c r="A1968" t="s">
        <v>2041</v>
      </c>
      <c r="B1968" t="s">
        <v>102</v>
      </c>
      <c r="C1968" t="s">
        <v>74</v>
      </c>
      <c r="D1968" t="s">
        <v>59</v>
      </c>
      <c r="E1968" t="s">
        <v>70</v>
      </c>
      <c r="F1968">
        <v>19</v>
      </c>
      <c r="G1968">
        <v>0.93</v>
      </c>
      <c r="H1968">
        <v>0.52</v>
      </c>
      <c r="I1968" t="s">
        <v>34</v>
      </c>
      <c r="J1968">
        <v>92061</v>
      </c>
      <c r="K1968" t="s">
        <v>42</v>
      </c>
      <c r="L1968">
        <v>42</v>
      </c>
      <c r="M1968">
        <v>48</v>
      </c>
      <c r="N1968" t="s">
        <v>26</v>
      </c>
      <c r="O1968" t="s">
        <v>27</v>
      </c>
      <c r="P1968">
        <v>2.06</v>
      </c>
      <c r="Q1968" t="s">
        <v>34</v>
      </c>
      <c r="R1968">
        <v>4.99</v>
      </c>
      <c r="S1968" t="s">
        <v>47</v>
      </c>
      <c r="T1968" t="str">
        <f t="shared" si="60"/>
        <v>Moderate</v>
      </c>
      <c r="U1968" t="str">
        <f t="shared" si="61"/>
        <v>Expert</v>
      </c>
    </row>
    <row r="1969" spans="1:21" x14ac:dyDescent="0.35">
      <c r="A1969" t="s">
        <v>2042</v>
      </c>
      <c r="B1969" t="s">
        <v>30</v>
      </c>
      <c r="C1969" t="s">
        <v>107</v>
      </c>
      <c r="D1969" t="s">
        <v>80</v>
      </c>
      <c r="E1969" t="s">
        <v>33</v>
      </c>
      <c r="F1969">
        <v>24</v>
      </c>
      <c r="G1969">
        <v>0.49</v>
      </c>
      <c r="H1969">
        <v>0.59</v>
      </c>
      <c r="I1969" t="s">
        <v>60</v>
      </c>
      <c r="J1969">
        <v>194942</v>
      </c>
      <c r="K1969" t="s">
        <v>42</v>
      </c>
      <c r="L1969">
        <v>2</v>
      </c>
      <c r="M1969">
        <v>44</v>
      </c>
      <c r="N1969" t="s">
        <v>42</v>
      </c>
      <c r="O1969" t="s">
        <v>25</v>
      </c>
      <c r="P1969">
        <v>2.14</v>
      </c>
      <c r="Q1969" t="s">
        <v>34</v>
      </c>
      <c r="R1969">
        <v>2.82</v>
      </c>
      <c r="S1969" t="s">
        <v>28</v>
      </c>
      <c r="T1969" t="str">
        <f t="shared" si="60"/>
        <v>High</v>
      </c>
      <c r="U1969" t="str">
        <f t="shared" si="61"/>
        <v>Expert</v>
      </c>
    </row>
    <row r="1970" spans="1:21" x14ac:dyDescent="0.35">
      <c r="A1970" t="s">
        <v>2043</v>
      </c>
      <c r="B1970" t="s">
        <v>65</v>
      </c>
      <c r="C1970" t="s">
        <v>74</v>
      </c>
      <c r="D1970" t="s">
        <v>63</v>
      </c>
      <c r="E1970" t="s">
        <v>41</v>
      </c>
      <c r="F1970">
        <v>25</v>
      </c>
      <c r="G1970">
        <v>0.56000000000000005</v>
      </c>
      <c r="H1970">
        <v>0.72</v>
      </c>
      <c r="I1970" t="s">
        <v>24</v>
      </c>
      <c r="J1970">
        <v>160702</v>
      </c>
      <c r="K1970" t="s">
        <v>27</v>
      </c>
      <c r="L1970">
        <v>31</v>
      </c>
      <c r="M1970">
        <v>39</v>
      </c>
      <c r="N1970" t="s">
        <v>42</v>
      </c>
      <c r="O1970" t="s">
        <v>36</v>
      </c>
      <c r="P1970">
        <v>3.99</v>
      </c>
      <c r="Q1970" t="s">
        <v>34</v>
      </c>
      <c r="R1970">
        <v>3.82</v>
      </c>
      <c r="S1970" t="s">
        <v>28</v>
      </c>
      <c r="T1970" t="str">
        <f t="shared" si="60"/>
        <v>High</v>
      </c>
      <c r="U1970" t="str">
        <f t="shared" si="61"/>
        <v>Expert</v>
      </c>
    </row>
    <row r="1971" spans="1:21" x14ac:dyDescent="0.35">
      <c r="A1971" t="s">
        <v>2044</v>
      </c>
      <c r="B1971" t="s">
        <v>96</v>
      </c>
      <c r="C1971" t="s">
        <v>74</v>
      </c>
      <c r="D1971" t="s">
        <v>32</v>
      </c>
      <c r="E1971" t="s">
        <v>23</v>
      </c>
      <c r="F1971">
        <v>16</v>
      </c>
      <c r="G1971">
        <v>0.26</v>
      </c>
      <c r="H1971">
        <v>0.34</v>
      </c>
      <c r="I1971" t="s">
        <v>24</v>
      </c>
      <c r="J1971">
        <v>68683</v>
      </c>
      <c r="K1971" t="s">
        <v>42</v>
      </c>
      <c r="L1971">
        <v>8</v>
      </c>
      <c r="M1971">
        <v>42</v>
      </c>
      <c r="N1971" t="s">
        <v>35</v>
      </c>
      <c r="O1971" t="s">
        <v>25</v>
      </c>
      <c r="P1971">
        <v>3</v>
      </c>
      <c r="Q1971" t="s">
        <v>34</v>
      </c>
      <c r="R1971">
        <v>3.68</v>
      </c>
      <c r="S1971" t="s">
        <v>28</v>
      </c>
      <c r="T1971" t="str">
        <f t="shared" si="60"/>
        <v>High</v>
      </c>
      <c r="U1971" t="str">
        <f t="shared" si="61"/>
        <v>Expert</v>
      </c>
    </row>
    <row r="1972" spans="1:21" x14ac:dyDescent="0.35">
      <c r="A1972" t="s">
        <v>2045</v>
      </c>
      <c r="B1972" t="s">
        <v>91</v>
      </c>
      <c r="C1972" t="s">
        <v>82</v>
      </c>
      <c r="D1972" t="s">
        <v>66</v>
      </c>
      <c r="E1972" t="s">
        <v>70</v>
      </c>
      <c r="F1972">
        <v>17</v>
      </c>
      <c r="G1972">
        <v>0.45</v>
      </c>
      <c r="H1972">
        <v>0.36</v>
      </c>
      <c r="I1972" t="s">
        <v>24</v>
      </c>
      <c r="J1972">
        <v>174479</v>
      </c>
      <c r="K1972" t="s">
        <v>27</v>
      </c>
      <c r="L1972">
        <v>27</v>
      </c>
      <c r="M1972">
        <v>55</v>
      </c>
      <c r="N1972" t="s">
        <v>26</v>
      </c>
      <c r="O1972" t="s">
        <v>36</v>
      </c>
      <c r="P1972">
        <v>4.01</v>
      </c>
      <c r="Q1972" t="s">
        <v>34</v>
      </c>
      <c r="R1972">
        <v>1.03</v>
      </c>
      <c r="S1972" t="s">
        <v>43</v>
      </c>
      <c r="T1972" t="str">
        <f t="shared" si="60"/>
        <v>Moderate</v>
      </c>
      <c r="U1972" t="str">
        <f t="shared" si="61"/>
        <v>Expert</v>
      </c>
    </row>
    <row r="1973" spans="1:21" x14ac:dyDescent="0.35">
      <c r="A1973" t="s">
        <v>2046</v>
      </c>
      <c r="B1973" t="s">
        <v>106</v>
      </c>
      <c r="C1973" t="s">
        <v>52</v>
      </c>
      <c r="D1973" t="s">
        <v>80</v>
      </c>
      <c r="E1973" t="s">
        <v>33</v>
      </c>
      <c r="F1973">
        <v>19</v>
      </c>
      <c r="G1973">
        <v>0.4</v>
      </c>
      <c r="H1973">
        <v>0.69</v>
      </c>
      <c r="I1973" t="s">
        <v>34</v>
      </c>
      <c r="J1973">
        <v>155100</v>
      </c>
      <c r="K1973" t="s">
        <v>25</v>
      </c>
      <c r="L1973">
        <v>39</v>
      </c>
      <c r="M1973">
        <v>44</v>
      </c>
      <c r="N1973" t="s">
        <v>26</v>
      </c>
      <c r="O1973" t="s">
        <v>27</v>
      </c>
      <c r="P1973">
        <v>4.92</v>
      </c>
      <c r="Q1973" t="s">
        <v>34</v>
      </c>
      <c r="R1973">
        <v>1.33</v>
      </c>
      <c r="S1973" t="s">
        <v>47</v>
      </c>
      <c r="T1973" t="str">
        <f t="shared" si="60"/>
        <v>High</v>
      </c>
      <c r="U1973" t="str">
        <f t="shared" si="61"/>
        <v>Expert</v>
      </c>
    </row>
    <row r="1974" spans="1:21" x14ac:dyDescent="0.35">
      <c r="A1974" t="s">
        <v>2047</v>
      </c>
      <c r="B1974" t="s">
        <v>68</v>
      </c>
      <c r="C1974" t="s">
        <v>74</v>
      </c>
      <c r="D1974" t="s">
        <v>69</v>
      </c>
      <c r="E1974" t="s">
        <v>33</v>
      </c>
      <c r="F1974">
        <v>17</v>
      </c>
      <c r="G1974">
        <v>0.21</v>
      </c>
      <c r="H1974">
        <v>0.82</v>
      </c>
      <c r="I1974" t="s">
        <v>34</v>
      </c>
      <c r="J1974">
        <v>170176</v>
      </c>
      <c r="K1974" t="s">
        <v>25</v>
      </c>
      <c r="L1974">
        <v>42</v>
      </c>
      <c r="M1974">
        <v>59</v>
      </c>
      <c r="N1974" t="s">
        <v>35</v>
      </c>
      <c r="O1974" t="s">
        <v>36</v>
      </c>
      <c r="P1974">
        <v>4.5999999999999996</v>
      </c>
      <c r="Q1974" t="s">
        <v>34</v>
      </c>
      <c r="R1974">
        <v>1.9</v>
      </c>
      <c r="S1974" t="s">
        <v>28</v>
      </c>
      <c r="T1974" t="str">
        <f t="shared" si="60"/>
        <v>Very High</v>
      </c>
      <c r="U1974" t="str">
        <f t="shared" si="61"/>
        <v>Expert</v>
      </c>
    </row>
    <row r="1975" spans="1:21" x14ac:dyDescent="0.35">
      <c r="A1975" t="s">
        <v>2048</v>
      </c>
      <c r="B1975" t="s">
        <v>57</v>
      </c>
      <c r="C1975" t="s">
        <v>58</v>
      </c>
      <c r="D1975" t="s">
        <v>69</v>
      </c>
      <c r="E1975" t="s">
        <v>33</v>
      </c>
      <c r="F1975">
        <v>18</v>
      </c>
      <c r="G1975">
        <v>0.13</v>
      </c>
      <c r="H1975">
        <v>0.56999999999999995</v>
      </c>
      <c r="I1975" t="s">
        <v>24</v>
      </c>
      <c r="J1975">
        <v>155683</v>
      </c>
      <c r="K1975" t="s">
        <v>27</v>
      </c>
      <c r="L1975">
        <v>13</v>
      </c>
      <c r="M1975">
        <v>46</v>
      </c>
      <c r="N1975" t="s">
        <v>35</v>
      </c>
      <c r="O1975" t="s">
        <v>25</v>
      </c>
      <c r="P1975">
        <v>3.22</v>
      </c>
      <c r="Q1975" t="s">
        <v>34</v>
      </c>
      <c r="R1975">
        <v>3.73</v>
      </c>
      <c r="S1975" t="s">
        <v>28</v>
      </c>
      <c r="T1975" t="str">
        <f t="shared" si="60"/>
        <v>High</v>
      </c>
      <c r="U1975" t="str">
        <f t="shared" si="61"/>
        <v>Expert</v>
      </c>
    </row>
    <row r="1976" spans="1:21" x14ac:dyDescent="0.35">
      <c r="A1976" t="s">
        <v>2049</v>
      </c>
      <c r="B1976" t="s">
        <v>94</v>
      </c>
      <c r="C1976" t="s">
        <v>74</v>
      </c>
      <c r="D1976" t="s">
        <v>69</v>
      </c>
      <c r="E1976" t="s">
        <v>41</v>
      </c>
      <c r="F1976">
        <v>12</v>
      </c>
      <c r="G1976">
        <v>0.45</v>
      </c>
      <c r="H1976">
        <v>0.36</v>
      </c>
      <c r="I1976" t="s">
        <v>34</v>
      </c>
      <c r="J1976">
        <v>133459</v>
      </c>
      <c r="K1976" t="s">
        <v>42</v>
      </c>
      <c r="L1976">
        <v>13</v>
      </c>
      <c r="M1976">
        <v>59</v>
      </c>
      <c r="N1976" t="s">
        <v>42</v>
      </c>
      <c r="O1976" t="s">
        <v>27</v>
      </c>
      <c r="P1976">
        <v>3.07</v>
      </c>
      <c r="Q1976" t="s">
        <v>24</v>
      </c>
      <c r="R1976">
        <v>3.94</v>
      </c>
      <c r="S1976" t="s">
        <v>43</v>
      </c>
      <c r="T1976" t="str">
        <f t="shared" si="60"/>
        <v>Moderate</v>
      </c>
      <c r="U1976" t="str">
        <f t="shared" si="61"/>
        <v>Experienced</v>
      </c>
    </row>
    <row r="1977" spans="1:21" x14ac:dyDescent="0.35">
      <c r="A1977" t="s">
        <v>2050</v>
      </c>
      <c r="B1977" t="s">
        <v>106</v>
      </c>
      <c r="C1977" t="s">
        <v>74</v>
      </c>
      <c r="D1977" t="s">
        <v>75</v>
      </c>
      <c r="E1977" t="s">
        <v>70</v>
      </c>
      <c r="F1977">
        <v>1</v>
      </c>
      <c r="G1977">
        <v>0.62</v>
      </c>
      <c r="H1977">
        <v>0.9</v>
      </c>
      <c r="I1977" t="s">
        <v>24</v>
      </c>
      <c r="J1977">
        <v>156193</v>
      </c>
      <c r="K1977" t="s">
        <v>42</v>
      </c>
      <c r="L1977">
        <v>34</v>
      </c>
      <c r="M1977">
        <v>56</v>
      </c>
      <c r="N1977" t="s">
        <v>26</v>
      </c>
      <c r="O1977" t="s">
        <v>27</v>
      </c>
      <c r="P1977">
        <v>3.95</v>
      </c>
      <c r="Q1977" t="s">
        <v>24</v>
      </c>
      <c r="R1977">
        <v>1.1000000000000001</v>
      </c>
      <c r="S1977" t="s">
        <v>28</v>
      </c>
      <c r="T1977" t="str">
        <f t="shared" si="60"/>
        <v>High</v>
      </c>
      <c r="U1977" t="str">
        <f t="shared" si="61"/>
        <v>Beginner</v>
      </c>
    </row>
    <row r="1978" spans="1:21" x14ac:dyDescent="0.35">
      <c r="A1978" t="s">
        <v>2051</v>
      </c>
      <c r="B1978" t="s">
        <v>89</v>
      </c>
      <c r="C1978" t="s">
        <v>82</v>
      </c>
      <c r="D1978" t="s">
        <v>75</v>
      </c>
      <c r="E1978" t="s">
        <v>41</v>
      </c>
      <c r="F1978">
        <v>4</v>
      </c>
      <c r="G1978">
        <v>0.36</v>
      </c>
      <c r="H1978">
        <v>0.6</v>
      </c>
      <c r="I1978" t="s">
        <v>34</v>
      </c>
      <c r="J1978">
        <v>124316</v>
      </c>
      <c r="K1978" t="s">
        <v>25</v>
      </c>
      <c r="L1978">
        <v>-9</v>
      </c>
      <c r="M1978">
        <v>55</v>
      </c>
      <c r="N1978" t="s">
        <v>42</v>
      </c>
      <c r="O1978" t="s">
        <v>25</v>
      </c>
      <c r="P1978">
        <v>3.11</v>
      </c>
      <c r="Q1978" t="s">
        <v>34</v>
      </c>
      <c r="R1978">
        <v>3.94</v>
      </c>
      <c r="S1978" t="s">
        <v>43</v>
      </c>
      <c r="T1978" t="str">
        <f t="shared" si="60"/>
        <v>High</v>
      </c>
      <c r="U1978" t="str">
        <f t="shared" si="61"/>
        <v>Intermediate</v>
      </c>
    </row>
    <row r="1979" spans="1:21" x14ac:dyDescent="0.35">
      <c r="A1979" t="s">
        <v>2052</v>
      </c>
      <c r="B1979" t="s">
        <v>68</v>
      </c>
      <c r="C1979" t="s">
        <v>21</v>
      </c>
      <c r="D1979" t="s">
        <v>63</v>
      </c>
      <c r="E1979" t="s">
        <v>70</v>
      </c>
      <c r="F1979">
        <v>20</v>
      </c>
      <c r="G1979">
        <v>0.52</v>
      </c>
      <c r="H1979">
        <v>0.28999999999999998</v>
      </c>
      <c r="I1979" t="s">
        <v>34</v>
      </c>
      <c r="J1979">
        <v>208397</v>
      </c>
      <c r="K1979" t="s">
        <v>42</v>
      </c>
      <c r="L1979">
        <v>-5</v>
      </c>
      <c r="M1979">
        <v>37</v>
      </c>
      <c r="N1979" t="s">
        <v>26</v>
      </c>
      <c r="O1979" t="s">
        <v>36</v>
      </c>
      <c r="P1979">
        <v>2.0499999999999998</v>
      </c>
      <c r="Q1979" t="s">
        <v>34</v>
      </c>
      <c r="R1979">
        <v>2.76</v>
      </c>
      <c r="S1979" t="s">
        <v>28</v>
      </c>
      <c r="T1979" t="str">
        <f t="shared" si="60"/>
        <v>Moderate</v>
      </c>
      <c r="U1979" t="str">
        <f t="shared" si="61"/>
        <v>Expert</v>
      </c>
    </row>
    <row r="1980" spans="1:21" x14ac:dyDescent="0.35">
      <c r="A1980" t="s">
        <v>2053</v>
      </c>
      <c r="B1980" t="s">
        <v>20</v>
      </c>
      <c r="C1980" t="s">
        <v>46</v>
      </c>
      <c r="D1980" t="s">
        <v>32</v>
      </c>
      <c r="E1980" t="s">
        <v>33</v>
      </c>
      <c r="F1980">
        <v>20</v>
      </c>
      <c r="G1980">
        <v>0.33</v>
      </c>
      <c r="H1980">
        <v>0.64</v>
      </c>
      <c r="I1980" t="s">
        <v>34</v>
      </c>
      <c r="J1980">
        <v>38891</v>
      </c>
      <c r="K1980" t="s">
        <v>25</v>
      </c>
      <c r="L1980">
        <v>15</v>
      </c>
      <c r="M1980">
        <v>57</v>
      </c>
      <c r="N1980" t="s">
        <v>26</v>
      </c>
      <c r="O1980" t="s">
        <v>27</v>
      </c>
      <c r="P1980">
        <v>4.05</v>
      </c>
      <c r="Q1980" t="s">
        <v>34</v>
      </c>
      <c r="R1980">
        <v>2.2400000000000002</v>
      </c>
      <c r="S1980" t="s">
        <v>43</v>
      </c>
      <c r="T1980" t="str">
        <f t="shared" si="60"/>
        <v>High</v>
      </c>
      <c r="U1980" t="str">
        <f t="shared" si="61"/>
        <v>Expert</v>
      </c>
    </row>
    <row r="1981" spans="1:21" x14ac:dyDescent="0.35">
      <c r="A1981" t="s">
        <v>2054</v>
      </c>
      <c r="B1981" t="s">
        <v>73</v>
      </c>
      <c r="C1981" t="s">
        <v>39</v>
      </c>
      <c r="D1981" t="s">
        <v>69</v>
      </c>
      <c r="E1981" t="s">
        <v>33</v>
      </c>
      <c r="F1981">
        <v>17</v>
      </c>
      <c r="G1981">
        <v>0.68</v>
      </c>
      <c r="H1981">
        <v>0.91</v>
      </c>
      <c r="I1981" t="s">
        <v>24</v>
      </c>
      <c r="J1981">
        <v>162699</v>
      </c>
      <c r="K1981" t="s">
        <v>42</v>
      </c>
      <c r="L1981">
        <v>8</v>
      </c>
      <c r="M1981">
        <v>45</v>
      </c>
      <c r="N1981" t="s">
        <v>35</v>
      </c>
      <c r="O1981" t="s">
        <v>25</v>
      </c>
      <c r="P1981">
        <v>2.91</v>
      </c>
      <c r="Q1981" t="s">
        <v>34</v>
      </c>
      <c r="R1981">
        <v>4.08</v>
      </c>
      <c r="S1981" t="s">
        <v>28</v>
      </c>
      <c r="T1981" t="str">
        <f t="shared" si="60"/>
        <v>High</v>
      </c>
      <c r="U1981" t="str">
        <f t="shared" si="61"/>
        <v>Expert</v>
      </c>
    </row>
    <row r="1982" spans="1:21" x14ac:dyDescent="0.35">
      <c r="A1982" t="s">
        <v>2055</v>
      </c>
      <c r="B1982" t="s">
        <v>51</v>
      </c>
      <c r="C1982" t="s">
        <v>31</v>
      </c>
      <c r="D1982" t="s">
        <v>66</v>
      </c>
      <c r="E1982" t="s">
        <v>23</v>
      </c>
      <c r="F1982">
        <v>12</v>
      </c>
      <c r="G1982">
        <v>0.26</v>
      </c>
      <c r="H1982">
        <v>0.25</v>
      </c>
      <c r="I1982" t="s">
        <v>60</v>
      </c>
      <c r="J1982">
        <v>107800</v>
      </c>
      <c r="K1982" t="s">
        <v>25</v>
      </c>
      <c r="L1982">
        <v>32</v>
      </c>
      <c r="M1982">
        <v>49</v>
      </c>
      <c r="N1982" t="s">
        <v>35</v>
      </c>
      <c r="O1982" t="s">
        <v>25</v>
      </c>
      <c r="P1982">
        <v>4.1900000000000004</v>
      </c>
      <c r="Q1982" t="s">
        <v>34</v>
      </c>
      <c r="R1982">
        <v>2.4300000000000002</v>
      </c>
      <c r="S1982" t="s">
        <v>28</v>
      </c>
      <c r="T1982" t="str">
        <f t="shared" si="60"/>
        <v>Moderate</v>
      </c>
      <c r="U1982" t="str">
        <f t="shared" si="61"/>
        <v>Experienced</v>
      </c>
    </row>
    <row r="1983" spans="1:21" x14ac:dyDescent="0.35">
      <c r="A1983" t="s">
        <v>2056</v>
      </c>
      <c r="B1983" t="s">
        <v>62</v>
      </c>
      <c r="C1983" t="s">
        <v>58</v>
      </c>
      <c r="D1983" t="s">
        <v>22</v>
      </c>
      <c r="E1983" t="s">
        <v>23</v>
      </c>
      <c r="F1983">
        <v>3</v>
      </c>
      <c r="G1983">
        <v>0.62</v>
      </c>
      <c r="H1983">
        <v>0.87</v>
      </c>
      <c r="I1983" t="s">
        <v>60</v>
      </c>
      <c r="J1983">
        <v>57391</v>
      </c>
      <c r="K1983" t="s">
        <v>42</v>
      </c>
      <c r="L1983">
        <v>-7</v>
      </c>
      <c r="M1983">
        <v>48</v>
      </c>
      <c r="N1983" t="s">
        <v>26</v>
      </c>
      <c r="O1983" t="s">
        <v>27</v>
      </c>
      <c r="P1983">
        <v>4.84</v>
      </c>
      <c r="Q1983" t="s">
        <v>24</v>
      </c>
      <c r="R1983">
        <v>1.29</v>
      </c>
      <c r="S1983" t="s">
        <v>47</v>
      </c>
      <c r="T1983" t="str">
        <f t="shared" si="60"/>
        <v>High</v>
      </c>
      <c r="U1983" t="str">
        <f t="shared" si="61"/>
        <v>Intermediate</v>
      </c>
    </row>
    <row r="1984" spans="1:21" x14ac:dyDescent="0.35">
      <c r="A1984" t="s">
        <v>2057</v>
      </c>
      <c r="B1984" t="s">
        <v>20</v>
      </c>
      <c r="C1984" t="s">
        <v>31</v>
      </c>
      <c r="D1984" t="s">
        <v>69</v>
      </c>
      <c r="E1984" t="s">
        <v>41</v>
      </c>
      <c r="F1984">
        <v>21</v>
      </c>
      <c r="G1984">
        <v>0.25</v>
      </c>
      <c r="H1984">
        <v>0.21</v>
      </c>
      <c r="I1984" t="s">
        <v>24</v>
      </c>
      <c r="J1984">
        <v>194287</v>
      </c>
      <c r="K1984" t="s">
        <v>27</v>
      </c>
      <c r="L1984">
        <v>-4</v>
      </c>
      <c r="M1984">
        <v>41</v>
      </c>
      <c r="N1984" t="s">
        <v>35</v>
      </c>
      <c r="O1984" t="s">
        <v>25</v>
      </c>
      <c r="P1984">
        <v>3.14</v>
      </c>
      <c r="Q1984" t="s">
        <v>34</v>
      </c>
      <c r="R1984">
        <v>2.04</v>
      </c>
      <c r="S1984" t="s">
        <v>43</v>
      </c>
      <c r="T1984" t="str">
        <f t="shared" si="60"/>
        <v>Moderate</v>
      </c>
      <c r="U1984" t="str">
        <f t="shared" si="61"/>
        <v>Expert</v>
      </c>
    </row>
    <row r="1985" spans="1:21" x14ac:dyDescent="0.35">
      <c r="A1985" t="s">
        <v>2058</v>
      </c>
      <c r="B1985" t="s">
        <v>106</v>
      </c>
      <c r="C1985" t="s">
        <v>107</v>
      </c>
      <c r="D1985" t="s">
        <v>69</v>
      </c>
      <c r="E1985" t="s">
        <v>23</v>
      </c>
      <c r="F1985">
        <v>12</v>
      </c>
      <c r="G1985">
        <v>0.83</v>
      </c>
      <c r="H1985">
        <v>0.37</v>
      </c>
      <c r="I1985" t="s">
        <v>24</v>
      </c>
      <c r="J1985">
        <v>58312</v>
      </c>
      <c r="K1985" t="s">
        <v>25</v>
      </c>
      <c r="L1985">
        <v>40</v>
      </c>
      <c r="M1985">
        <v>54</v>
      </c>
      <c r="N1985" t="s">
        <v>26</v>
      </c>
      <c r="O1985" t="s">
        <v>36</v>
      </c>
      <c r="P1985">
        <v>4.78</v>
      </c>
      <c r="Q1985" t="s">
        <v>34</v>
      </c>
      <c r="R1985">
        <v>2.95</v>
      </c>
      <c r="S1985" t="s">
        <v>43</v>
      </c>
      <c r="T1985" t="str">
        <f t="shared" si="60"/>
        <v>Very Low</v>
      </c>
      <c r="U1985" t="str">
        <f t="shared" si="61"/>
        <v>Experienced</v>
      </c>
    </row>
    <row r="1986" spans="1:21" x14ac:dyDescent="0.35">
      <c r="A1986" t="s">
        <v>2059</v>
      </c>
      <c r="B1986" t="s">
        <v>57</v>
      </c>
      <c r="C1986" t="s">
        <v>21</v>
      </c>
      <c r="D1986" t="s">
        <v>63</v>
      </c>
      <c r="E1986" t="s">
        <v>23</v>
      </c>
      <c r="F1986">
        <v>3</v>
      </c>
      <c r="G1986">
        <v>0.16</v>
      </c>
      <c r="H1986">
        <v>0.91</v>
      </c>
      <c r="I1986" t="s">
        <v>34</v>
      </c>
      <c r="J1986">
        <v>200925</v>
      </c>
      <c r="K1986" t="s">
        <v>25</v>
      </c>
      <c r="L1986">
        <v>7</v>
      </c>
      <c r="M1986">
        <v>35</v>
      </c>
      <c r="N1986" t="s">
        <v>42</v>
      </c>
      <c r="O1986" t="s">
        <v>25</v>
      </c>
      <c r="P1986">
        <v>2.8</v>
      </c>
      <c r="Q1986" t="s">
        <v>34</v>
      </c>
      <c r="R1986">
        <v>2.79</v>
      </c>
      <c r="S1986" t="s">
        <v>43</v>
      </c>
      <c r="T1986" t="str">
        <f t="shared" si="60"/>
        <v>Very High</v>
      </c>
      <c r="U1986" t="str">
        <f t="shared" si="61"/>
        <v>Intermediate</v>
      </c>
    </row>
    <row r="1987" spans="1:21" x14ac:dyDescent="0.35">
      <c r="A1987" t="s">
        <v>2060</v>
      </c>
      <c r="B1987" t="s">
        <v>147</v>
      </c>
      <c r="C1987" t="s">
        <v>55</v>
      </c>
      <c r="D1987" t="s">
        <v>32</v>
      </c>
      <c r="E1987" t="s">
        <v>23</v>
      </c>
      <c r="F1987">
        <v>23</v>
      </c>
      <c r="G1987">
        <v>0.38</v>
      </c>
      <c r="H1987">
        <v>0.54</v>
      </c>
      <c r="I1987" t="s">
        <v>60</v>
      </c>
      <c r="J1987">
        <v>104430</v>
      </c>
      <c r="K1987" t="s">
        <v>42</v>
      </c>
      <c r="L1987">
        <v>36</v>
      </c>
      <c r="M1987">
        <v>41</v>
      </c>
      <c r="N1987" t="s">
        <v>42</v>
      </c>
      <c r="O1987" t="s">
        <v>25</v>
      </c>
      <c r="P1987">
        <v>3.98</v>
      </c>
      <c r="Q1987" t="s">
        <v>24</v>
      </c>
      <c r="R1987">
        <v>4.34</v>
      </c>
      <c r="S1987" t="s">
        <v>28</v>
      </c>
      <c r="T1987" t="str">
        <f t="shared" ref="T1987:T2050" si="62">IF(AND(G1987&lt;0.4,H1987&gt;=0.7),"Very High",
IF(AND(G1987&gt;=0.7,H1987&lt;0.5),"Very Low",
IF(G1987&lt;H1987,"High","Moderate")))</f>
        <v>High</v>
      </c>
      <c r="U1987" t="str">
        <f t="shared" ref="U1987:U2050" si="63">_xlfn.IFS(F1987&lt;=2,"Beginner",F1987&lt;=8,"Intermediate",F1987&lt;=15,"Experienced",F1987&lt;=25,"Expert")</f>
        <v>Expert</v>
      </c>
    </row>
    <row r="1988" spans="1:21" x14ac:dyDescent="0.35">
      <c r="A1988" t="s">
        <v>2061</v>
      </c>
      <c r="B1988" t="s">
        <v>102</v>
      </c>
      <c r="C1988" t="s">
        <v>55</v>
      </c>
      <c r="D1988" t="s">
        <v>59</v>
      </c>
      <c r="E1988" t="s">
        <v>23</v>
      </c>
      <c r="F1988">
        <v>7</v>
      </c>
      <c r="G1988">
        <v>0.8</v>
      </c>
      <c r="H1988">
        <v>0.31</v>
      </c>
      <c r="I1988" t="s">
        <v>60</v>
      </c>
      <c r="J1988">
        <v>188057</v>
      </c>
      <c r="K1988" t="s">
        <v>42</v>
      </c>
      <c r="L1988">
        <v>10</v>
      </c>
      <c r="M1988">
        <v>53</v>
      </c>
      <c r="N1988" t="s">
        <v>35</v>
      </c>
      <c r="O1988" t="s">
        <v>36</v>
      </c>
      <c r="P1988">
        <v>4.7</v>
      </c>
      <c r="Q1988" t="s">
        <v>34</v>
      </c>
      <c r="R1988">
        <v>3.68</v>
      </c>
      <c r="S1988" t="s">
        <v>47</v>
      </c>
      <c r="T1988" t="str">
        <f t="shared" si="62"/>
        <v>Very Low</v>
      </c>
      <c r="U1988" t="str">
        <f t="shared" si="63"/>
        <v>Intermediate</v>
      </c>
    </row>
    <row r="1989" spans="1:21" x14ac:dyDescent="0.35">
      <c r="A1989" t="s">
        <v>2062</v>
      </c>
      <c r="B1989" t="s">
        <v>94</v>
      </c>
      <c r="C1989" t="s">
        <v>21</v>
      </c>
      <c r="D1989" t="s">
        <v>59</v>
      </c>
      <c r="E1989" t="s">
        <v>70</v>
      </c>
      <c r="F1989">
        <v>6</v>
      </c>
      <c r="G1989">
        <v>0.85</v>
      </c>
      <c r="H1989">
        <v>0.2</v>
      </c>
      <c r="I1989" t="s">
        <v>34</v>
      </c>
      <c r="J1989">
        <v>74658</v>
      </c>
      <c r="K1989" t="s">
        <v>25</v>
      </c>
      <c r="L1989">
        <v>10</v>
      </c>
      <c r="M1989">
        <v>41</v>
      </c>
      <c r="N1989" t="s">
        <v>42</v>
      </c>
      <c r="O1989" t="s">
        <v>36</v>
      </c>
      <c r="P1989">
        <v>2.2599999999999998</v>
      </c>
      <c r="Q1989" t="s">
        <v>24</v>
      </c>
      <c r="R1989">
        <v>1.57</v>
      </c>
      <c r="S1989" t="s">
        <v>43</v>
      </c>
      <c r="T1989" t="str">
        <f t="shared" si="62"/>
        <v>Very Low</v>
      </c>
      <c r="U1989" t="str">
        <f t="shared" si="63"/>
        <v>Intermediate</v>
      </c>
    </row>
    <row r="1990" spans="1:21" x14ac:dyDescent="0.35">
      <c r="A1990" t="s">
        <v>2063</v>
      </c>
      <c r="B1990" t="s">
        <v>156</v>
      </c>
      <c r="C1990" t="s">
        <v>46</v>
      </c>
      <c r="D1990" t="s">
        <v>63</v>
      </c>
      <c r="E1990" t="s">
        <v>70</v>
      </c>
      <c r="F1990">
        <v>4</v>
      </c>
      <c r="G1990">
        <v>0.83</v>
      </c>
      <c r="H1990">
        <v>0.48</v>
      </c>
      <c r="I1990" t="s">
        <v>60</v>
      </c>
      <c r="J1990">
        <v>48977</v>
      </c>
      <c r="K1990" t="s">
        <v>42</v>
      </c>
      <c r="L1990">
        <v>39</v>
      </c>
      <c r="M1990">
        <v>34</v>
      </c>
      <c r="N1990" t="s">
        <v>42</v>
      </c>
      <c r="O1990" t="s">
        <v>36</v>
      </c>
      <c r="P1990">
        <v>2.02</v>
      </c>
      <c r="Q1990" t="s">
        <v>34</v>
      </c>
      <c r="R1990">
        <v>4.6100000000000003</v>
      </c>
      <c r="S1990" t="s">
        <v>28</v>
      </c>
      <c r="T1990" t="str">
        <f t="shared" si="62"/>
        <v>Very Low</v>
      </c>
      <c r="U1990" t="str">
        <f t="shared" si="63"/>
        <v>Intermediate</v>
      </c>
    </row>
    <row r="1991" spans="1:21" x14ac:dyDescent="0.35">
      <c r="A1991" t="s">
        <v>2064</v>
      </c>
      <c r="B1991" t="s">
        <v>45</v>
      </c>
      <c r="C1991" t="s">
        <v>82</v>
      </c>
      <c r="D1991" t="s">
        <v>69</v>
      </c>
      <c r="E1991" t="s">
        <v>33</v>
      </c>
      <c r="F1991">
        <v>6</v>
      </c>
      <c r="G1991">
        <v>0.68</v>
      </c>
      <c r="H1991">
        <v>0.55000000000000004</v>
      </c>
      <c r="I1991" t="s">
        <v>34</v>
      </c>
      <c r="J1991">
        <v>153420</v>
      </c>
      <c r="K1991" t="s">
        <v>25</v>
      </c>
      <c r="L1991">
        <v>34</v>
      </c>
      <c r="M1991">
        <v>51</v>
      </c>
      <c r="N1991" t="s">
        <v>35</v>
      </c>
      <c r="O1991" t="s">
        <v>27</v>
      </c>
      <c r="P1991">
        <v>3.85</v>
      </c>
      <c r="Q1991" t="s">
        <v>34</v>
      </c>
      <c r="R1991">
        <v>3.12</v>
      </c>
      <c r="S1991" t="s">
        <v>47</v>
      </c>
      <c r="T1991" t="str">
        <f t="shared" si="62"/>
        <v>Moderate</v>
      </c>
      <c r="U1991" t="str">
        <f t="shared" si="63"/>
        <v>Intermediate</v>
      </c>
    </row>
    <row r="1992" spans="1:21" x14ac:dyDescent="0.35">
      <c r="A1992" t="s">
        <v>2065</v>
      </c>
      <c r="B1992" t="s">
        <v>106</v>
      </c>
      <c r="C1992" t="s">
        <v>107</v>
      </c>
      <c r="D1992" t="s">
        <v>49</v>
      </c>
      <c r="E1992" t="s">
        <v>23</v>
      </c>
      <c r="F1992">
        <v>14</v>
      </c>
      <c r="G1992">
        <v>0.46</v>
      </c>
      <c r="H1992">
        <v>0.39</v>
      </c>
      <c r="I1992" t="s">
        <v>34</v>
      </c>
      <c r="J1992">
        <v>137328</v>
      </c>
      <c r="K1992" t="s">
        <v>42</v>
      </c>
      <c r="L1992">
        <v>29</v>
      </c>
      <c r="M1992">
        <v>40</v>
      </c>
      <c r="N1992" t="s">
        <v>26</v>
      </c>
      <c r="O1992" t="s">
        <v>27</v>
      </c>
      <c r="P1992">
        <v>4.58</v>
      </c>
      <c r="Q1992" t="s">
        <v>34</v>
      </c>
      <c r="R1992">
        <v>4.05</v>
      </c>
      <c r="S1992" t="s">
        <v>28</v>
      </c>
      <c r="T1992" t="str">
        <f t="shared" si="62"/>
        <v>Moderate</v>
      </c>
      <c r="U1992" t="str">
        <f t="shared" si="63"/>
        <v>Experienced</v>
      </c>
    </row>
    <row r="1993" spans="1:21" x14ac:dyDescent="0.35">
      <c r="A1993" t="s">
        <v>2066</v>
      </c>
      <c r="B1993" t="s">
        <v>102</v>
      </c>
      <c r="C1993" t="s">
        <v>52</v>
      </c>
      <c r="D1993" t="s">
        <v>49</v>
      </c>
      <c r="E1993" t="s">
        <v>70</v>
      </c>
      <c r="F1993">
        <v>20</v>
      </c>
      <c r="G1993">
        <v>0.6</v>
      </c>
      <c r="H1993">
        <v>0.35</v>
      </c>
      <c r="I1993" t="s">
        <v>34</v>
      </c>
      <c r="J1993">
        <v>49116</v>
      </c>
      <c r="K1993" t="s">
        <v>25</v>
      </c>
      <c r="L1993">
        <v>45</v>
      </c>
      <c r="M1993">
        <v>56</v>
      </c>
      <c r="N1993" t="s">
        <v>26</v>
      </c>
      <c r="O1993" t="s">
        <v>36</v>
      </c>
      <c r="P1993">
        <v>3.23</v>
      </c>
      <c r="Q1993" t="s">
        <v>34</v>
      </c>
      <c r="R1993">
        <v>3.84</v>
      </c>
      <c r="S1993" t="s">
        <v>28</v>
      </c>
      <c r="T1993" t="str">
        <f t="shared" si="62"/>
        <v>Moderate</v>
      </c>
      <c r="U1993" t="str">
        <f t="shared" si="63"/>
        <v>Expert</v>
      </c>
    </row>
    <row r="1994" spans="1:21" x14ac:dyDescent="0.35">
      <c r="A1994" t="s">
        <v>2067</v>
      </c>
      <c r="B1994" t="s">
        <v>65</v>
      </c>
      <c r="C1994" t="s">
        <v>39</v>
      </c>
      <c r="D1994" t="s">
        <v>32</v>
      </c>
      <c r="E1994" t="s">
        <v>41</v>
      </c>
      <c r="F1994">
        <v>6</v>
      </c>
      <c r="G1994">
        <v>0.63</v>
      </c>
      <c r="H1994">
        <v>0.91</v>
      </c>
      <c r="I1994" t="s">
        <v>24</v>
      </c>
      <c r="J1994">
        <v>199388</v>
      </c>
      <c r="K1994" t="s">
        <v>42</v>
      </c>
      <c r="L1994">
        <v>-3</v>
      </c>
      <c r="M1994">
        <v>58</v>
      </c>
      <c r="N1994" t="s">
        <v>26</v>
      </c>
      <c r="O1994" t="s">
        <v>27</v>
      </c>
      <c r="P1994">
        <v>4.33</v>
      </c>
      <c r="Q1994" t="s">
        <v>24</v>
      </c>
      <c r="R1994">
        <v>2.93</v>
      </c>
      <c r="S1994" t="s">
        <v>28</v>
      </c>
      <c r="T1994" t="str">
        <f t="shared" si="62"/>
        <v>High</v>
      </c>
      <c r="U1994" t="str">
        <f t="shared" si="63"/>
        <v>Intermediate</v>
      </c>
    </row>
    <row r="1995" spans="1:21" x14ac:dyDescent="0.35">
      <c r="A1995" t="s">
        <v>2068</v>
      </c>
      <c r="B1995" t="s">
        <v>20</v>
      </c>
      <c r="C1995" t="s">
        <v>39</v>
      </c>
      <c r="D1995" t="s">
        <v>59</v>
      </c>
      <c r="E1995" t="s">
        <v>33</v>
      </c>
      <c r="F1995">
        <v>3</v>
      </c>
      <c r="G1995">
        <v>0.09</v>
      </c>
      <c r="H1995">
        <v>0.36</v>
      </c>
      <c r="I1995" t="s">
        <v>60</v>
      </c>
      <c r="J1995">
        <v>208412</v>
      </c>
      <c r="K1995" t="s">
        <v>42</v>
      </c>
      <c r="L1995">
        <v>40</v>
      </c>
      <c r="M1995">
        <v>51</v>
      </c>
      <c r="N1995" t="s">
        <v>26</v>
      </c>
      <c r="O1995" t="s">
        <v>25</v>
      </c>
      <c r="P1995">
        <v>3.54</v>
      </c>
      <c r="Q1995" t="s">
        <v>24</v>
      </c>
      <c r="R1995">
        <v>2.59</v>
      </c>
      <c r="S1995" t="s">
        <v>43</v>
      </c>
      <c r="T1995" t="str">
        <f t="shared" si="62"/>
        <v>High</v>
      </c>
      <c r="U1995" t="str">
        <f t="shared" si="63"/>
        <v>Intermediate</v>
      </c>
    </row>
    <row r="1996" spans="1:21" x14ac:dyDescent="0.35">
      <c r="A1996" t="s">
        <v>2069</v>
      </c>
      <c r="B1996" t="s">
        <v>77</v>
      </c>
      <c r="C1996" t="s">
        <v>39</v>
      </c>
      <c r="D1996" t="s">
        <v>80</v>
      </c>
      <c r="E1996" t="s">
        <v>70</v>
      </c>
      <c r="F1996">
        <v>6</v>
      </c>
      <c r="G1996">
        <v>0.17</v>
      </c>
      <c r="H1996">
        <v>0.25</v>
      </c>
      <c r="I1996" t="s">
        <v>24</v>
      </c>
      <c r="J1996">
        <v>61256</v>
      </c>
      <c r="K1996" t="s">
        <v>25</v>
      </c>
      <c r="L1996">
        <v>12</v>
      </c>
      <c r="M1996">
        <v>38</v>
      </c>
      <c r="N1996" t="s">
        <v>26</v>
      </c>
      <c r="O1996" t="s">
        <v>25</v>
      </c>
      <c r="P1996">
        <v>3.69</v>
      </c>
      <c r="Q1996" t="s">
        <v>24</v>
      </c>
      <c r="R1996">
        <v>2.44</v>
      </c>
      <c r="S1996" t="s">
        <v>47</v>
      </c>
      <c r="T1996" t="str">
        <f t="shared" si="62"/>
        <v>High</v>
      </c>
      <c r="U1996" t="str">
        <f t="shared" si="63"/>
        <v>Intermediate</v>
      </c>
    </row>
    <row r="1997" spans="1:21" x14ac:dyDescent="0.35">
      <c r="A1997" t="s">
        <v>2070</v>
      </c>
      <c r="B1997" t="s">
        <v>94</v>
      </c>
      <c r="C1997" t="s">
        <v>82</v>
      </c>
      <c r="D1997" t="s">
        <v>59</v>
      </c>
      <c r="E1997" t="s">
        <v>23</v>
      </c>
      <c r="F1997">
        <v>11</v>
      </c>
      <c r="G1997">
        <v>0.39</v>
      </c>
      <c r="H1997">
        <v>0.54</v>
      </c>
      <c r="I1997" t="s">
        <v>24</v>
      </c>
      <c r="J1997">
        <v>161100</v>
      </c>
      <c r="K1997" t="s">
        <v>42</v>
      </c>
      <c r="L1997">
        <v>15</v>
      </c>
      <c r="M1997">
        <v>31</v>
      </c>
      <c r="N1997" t="s">
        <v>35</v>
      </c>
      <c r="O1997" t="s">
        <v>36</v>
      </c>
      <c r="P1997">
        <v>4.74</v>
      </c>
      <c r="Q1997" t="s">
        <v>24</v>
      </c>
      <c r="R1997">
        <v>4.24</v>
      </c>
      <c r="S1997" t="s">
        <v>43</v>
      </c>
      <c r="T1997" t="str">
        <f t="shared" si="62"/>
        <v>High</v>
      </c>
      <c r="U1997" t="str">
        <f t="shared" si="63"/>
        <v>Experienced</v>
      </c>
    </row>
    <row r="1998" spans="1:21" x14ac:dyDescent="0.35">
      <c r="A1998" t="s">
        <v>2071</v>
      </c>
      <c r="B1998" t="s">
        <v>106</v>
      </c>
      <c r="C1998" t="s">
        <v>52</v>
      </c>
      <c r="D1998" t="s">
        <v>40</v>
      </c>
      <c r="E1998" t="s">
        <v>33</v>
      </c>
      <c r="F1998">
        <v>10</v>
      </c>
      <c r="G1998">
        <v>0.62</v>
      </c>
      <c r="H1998">
        <v>0.63</v>
      </c>
      <c r="I1998" t="s">
        <v>24</v>
      </c>
      <c r="J1998">
        <v>212533</v>
      </c>
      <c r="K1998" t="s">
        <v>42</v>
      </c>
      <c r="L1998">
        <v>-2</v>
      </c>
      <c r="M1998">
        <v>32</v>
      </c>
      <c r="N1998" t="s">
        <v>35</v>
      </c>
      <c r="O1998" t="s">
        <v>27</v>
      </c>
      <c r="P1998">
        <v>2.87</v>
      </c>
      <c r="Q1998" t="s">
        <v>24</v>
      </c>
      <c r="R1998">
        <v>2.29</v>
      </c>
      <c r="S1998" t="s">
        <v>43</v>
      </c>
      <c r="T1998" t="str">
        <f t="shared" si="62"/>
        <v>High</v>
      </c>
      <c r="U1998" t="str">
        <f t="shared" si="63"/>
        <v>Experienced</v>
      </c>
    </row>
    <row r="1999" spans="1:21" x14ac:dyDescent="0.35">
      <c r="A1999" t="s">
        <v>2072</v>
      </c>
      <c r="B1999" t="s">
        <v>89</v>
      </c>
      <c r="C1999" t="s">
        <v>74</v>
      </c>
      <c r="D1999" t="s">
        <v>32</v>
      </c>
      <c r="E1999" t="s">
        <v>23</v>
      </c>
      <c r="F1999">
        <v>16</v>
      </c>
      <c r="G1999">
        <v>0.11</v>
      </c>
      <c r="H1999">
        <v>0.65</v>
      </c>
      <c r="I1999" t="s">
        <v>34</v>
      </c>
      <c r="J1999">
        <v>190376</v>
      </c>
      <c r="K1999" t="s">
        <v>42</v>
      </c>
      <c r="L1999">
        <v>13</v>
      </c>
      <c r="M1999">
        <v>31</v>
      </c>
      <c r="N1999" t="s">
        <v>26</v>
      </c>
      <c r="O1999" t="s">
        <v>25</v>
      </c>
      <c r="P1999">
        <v>3.26</v>
      </c>
      <c r="Q1999" t="s">
        <v>24</v>
      </c>
      <c r="R1999">
        <v>4.05</v>
      </c>
      <c r="S1999" t="s">
        <v>28</v>
      </c>
      <c r="T1999" t="str">
        <f t="shared" si="62"/>
        <v>High</v>
      </c>
      <c r="U1999" t="str">
        <f t="shared" si="63"/>
        <v>Expert</v>
      </c>
    </row>
    <row r="2000" spans="1:21" x14ac:dyDescent="0.35">
      <c r="A2000" t="s">
        <v>2073</v>
      </c>
      <c r="B2000" t="s">
        <v>73</v>
      </c>
      <c r="C2000" t="s">
        <v>55</v>
      </c>
      <c r="D2000" t="s">
        <v>49</v>
      </c>
      <c r="E2000" t="s">
        <v>41</v>
      </c>
      <c r="F2000">
        <v>8</v>
      </c>
      <c r="G2000">
        <v>0.91</v>
      </c>
      <c r="H2000">
        <v>0.56999999999999995</v>
      </c>
      <c r="I2000" t="s">
        <v>24</v>
      </c>
      <c r="J2000">
        <v>81370</v>
      </c>
      <c r="K2000" t="s">
        <v>27</v>
      </c>
      <c r="L2000">
        <v>-9</v>
      </c>
      <c r="M2000">
        <v>36</v>
      </c>
      <c r="N2000" t="s">
        <v>26</v>
      </c>
      <c r="O2000" t="s">
        <v>25</v>
      </c>
      <c r="P2000">
        <v>3.81</v>
      </c>
      <c r="Q2000" t="s">
        <v>24</v>
      </c>
      <c r="R2000">
        <v>1.1000000000000001</v>
      </c>
      <c r="S2000" t="s">
        <v>47</v>
      </c>
      <c r="T2000" t="str">
        <f t="shared" si="62"/>
        <v>Moderate</v>
      </c>
      <c r="U2000" t="str">
        <f t="shared" si="63"/>
        <v>Intermediate</v>
      </c>
    </row>
    <row r="2001" spans="1:21" x14ac:dyDescent="0.35">
      <c r="A2001" t="s">
        <v>2074</v>
      </c>
      <c r="B2001" t="s">
        <v>62</v>
      </c>
      <c r="C2001" t="s">
        <v>107</v>
      </c>
      <c r="D2001" t="s">
        <v>66</v>
      </c>
      <c r="E2001" t="s">
        <v>70</v>
      </c>
      <c r="F2001">
        <v>20</v>
      </c>
      <c r="G2001">
        <v>0.48</v>
      </c>
      <c r="H2001">
        <v>0.7</v>
      </c>
      <c r="I2001" t="s">
        <v>34</v>
      </c>
      <c r="J2001">
        <v>200910</v>
      </c>
      <c r="K2001" t="s">
        <v>27</v>
      </c>
      <c r="L2001">
        <v>23</v>
      </c>
      <c r="M2001">
        <v>52</v>
      </c>
      <c r="N2001" t="s">
        <v>26</v>
      </c>
      <c r="O2001" t="s">
        <v>27</v>
      </c>
      <c r="P2001">
        <v>3.85</v>
      </c>
      <c r="Q2001" t="s">
        <v>24</v>
      </c>
      <c r="R2001">
        <v>1.92</v>
      </c>
      <c r="S2001" t="s">
        <v>43</v>
      </c>
      <c r="T2001" t="str">
        <f t="shared" si="62"/>
        <v>High</v>
      </c>
      <c r="U2001" t="str">
        <f t="shared" si="63"/>
        <v>Expert</v>
      </c>
    </row>
    <row r="2002" spans="1:21" x14ac:dyDescent="0.35">
      <c r="A2002" t="s">
        <v>2075</v>
      </c>
      <c r="B2002" t="s">
        <v>51</v>
      </c>
      <c r="C2002" t="s">
        <v>82</v>
      </c>
      <c r="D2002" t="s">
        <v>22</v>
      </c>
      <c r="E2002" t="s">
        <v>23</v>
      </c>
      <c r="F2002">
        <v>21</v>
      </c>
      <c r="G2002">
        <v>0.19</v>
      </c>
      <c r="H2002">
        <v>0.82</v>
      </c>
      <c r="I2002" t="s">
        <v>60</v>
      </c>
      <c r="J2002">
        <v>84319</v>
      </c>
      <c r="K2002" t="s">
        <v>25</v>
      </c>
      <c r="L2002">
        <v>39</v>
      </c>
      <c r="M2002">
        <v>40</v>
      </c>
      <c r="N2002" t="s">
        <v>42</v>
      </c>
      <c r="O2002" t="s">
        <v>25</v>
      </c>
      <c r="P2002">
        <v>2.34</v>
      </c>
      <c r="Q2002" t="s">
        <v>24</v>
      </c>
      <c r="R2002">
        <v>3.2</v>
      </c>
      <c r="S2002" t="s">
        <v>43</v>
      </c>
      <c r="T2002" t="str">
        <f t="shared" si="62"/>
        <v>Very High</v>
      </c>
      <c r="U2002" t="str">
        <f t="shared" si="63"/>
        <v>Expert</v>
      </c>
    </row>
    <row r="2003" spans="1:21" x14ac:dyDescent="0.35">
      <c r="A2003" t="s">
        <v>2076</v>
      </c>
      <c r="B2003" t="s">
        <v>77</v>
      </c>
      <c r="C2003" t="s">
        <v>31</v>
      </c>
      <c r="D2003" t="s">
        <v>49</v>
      </c>
      <c r="E2003" t="s">
        <v>41</v>
      </c>
      <c r="F2003">
        <v>1</v>
      </c>
      <c r="G2003">
        <v>0.53</v>
      </c>
      <c r="H2003">
        <v>0.82</v>
      </c>
      <c r="I2003" t="s">
        <v>34</v>
      </c>
      <c r="J2003">
        <v>124635</v>
      </c>
      <c r="K2003" t="s">
        <v>27</v>
      </c>
      <c r="L2003">
        <v>43</v>
      </c>
      <c r="M2003">
        <v>56</v>
      </c>
      <c r="N2003" t="s">
        <v>26</v>
      </c>
      <c r="O2003" t="s">
        <v>25</v>
      </c>
      <c r="P2003">
        <v>4.21</v>
      </c>
      <c r="Q2003" t="s">
        <v>34</v>
      </c>
      <c r="R2003">
        <v>4.01</v>
      </c>
      <c r="S2003" t="s">
        <v>47</v>
      </c>
      <c r="T2003" t="str">
        <f t="shared" si="62"/>
        <v>High</v>
      </c>
      <c r="U2003" t="str">
        <f t="shared" si="63"/>
        <v>Beginner</v>
      </c>
    </row>
    <row r="2004" spans="1:21" x14ac:dyDescent="0.35">
      <c r="A2004" t="s">
        <v>2077</v>
      </c>
      <c r="B2004" t="s">
        <v>156</v>
      </c>
      <c r="C2004" t="s">
        <v>31</v>
      </c>
      <c r="D2004" t="s">
        <v>63</v>
      </c>
      <c r="E2004" t="s">
        <v>33</v>
      </c>
      <c r="F2004">
        <v>17</v>
      </c>
      <c r="G2004">
        <v>0.37</v>
      </c>
      <c r="H2004">
        <v>0.7</v>
      </c>
      <c r="I2004" t="s">
        <v>34</v>
      </c>
      <c r="J2004">
        <v>125814</v>
      </c>
      <c r="K2004" t="s">
        <v>42</v>
      </c>
      <c r="L2004">
        <v>-8</v>
      </c>
      <c r="M2004">
        <v>30</v>
      </c>
      <c r="N2004" t="s">
        <v>26</v>
      </c>
      <c r="O2004" t="s">
        <v>36</v>
      </c>
      <c r="P2004">
        <v>4.24</v>
      </c>
      <c r="Q2004" t="s">
        <v>24</v>
      </c>
      <c r="R2004">
        <v>3.47</v>
      </c>
      <c r="S2004" t="s">
        <v>47</v>
      </c>
      <c r="T2004" t="str">
        <f t="shared" si="62"/>
        <v>Very High</v>
      </c>
      <c r="U2004" t="str">
        <f t="shared" si="63"/>
        <v>Expert</v>
      </c>
    </row>
    <row r="2005" spans="1:21" x14ac:dyDescent="0.35">
      <c r="A2005" t="s">
        <v>2078</v>
      </c>
      <c r="B2005" t="s">
        <v>147</v>
      </c>
      <c r="C2005" t="s">
        <v>46</v>
      </c>
      <c r="D2005" t="s">
        <v>80</v>
      </c>
      <c r="E2005" t="s">
        <v>41</v>
      </c>
      <c r="F2005">
        <v>9</v>
      </c>
      <c r="G2005">
        <v>0.62</v>
      </c>
      <c r="H2005">
        <v>0.26</v>
      </c>
      <c r="I2005" t="s">
        <v>24</v>
      </c>
      <c r="J2005">
        <v>89512</v>
      </c>
      <c r="K2005" t="s">
        <v>25</v>
      </c>
      <c r="L2005">
        <v>5</v>
      </c>
      <c r="M2005">
        <v>33</v>
      </c>
      <c r="N2005" t="s">
        <v>42</v>
      </c>
      <c r="O2005" t="s">
        <v>27</v>
      </c>
      <c r="P2005">
        <v>3.26</v>
      </c>
      <c r="Q2005" t="s">
        <v>34</v>
      </c>
      <c r="R2005">
        <v>2.06</v>
      </c>
      <c r="S2005" t="s">
        <v>47</v>
      </c>
      <c r="T2005" t="str">
        <f t="shared" si="62"/>
        <v>Moderate</v>
      </c>
      <c r="U2005" t="str">
        <f t="shared" si="63"/>
        <v>Experienced</v>
      </c>
    </row>
    <row r="2006" spans="1:21" x14ac:dyDescent="0.35">
      <c r="A2006" t="s">
        <v>2079</v>
      </c>
      <c r="B2006" t="s">
        <v>102</v>
      </c>
      <c r="C2006" t="s">
        <v>39</v>
      </c>
      <c r="D2006" t="s">
        <v>63</v>
      </c>
      <c r="E2006" t="s">
        <v>33</v>
      </c>
      <c r="F2006">
        <v>0</v>
      </c>
      <c r="G2006">
        <v>0.08</v>
      </c>
      <c r="H2006">
        <v>0.9</v>
      </c>
      <c r="I2006" t="s">
        <v>34</v>
      </c>
      <c r="J2006">
        <v>207518</v>
      </c>
      <c r="K2006" t="s">
        <v>25</v>
      </c>
      <c r="L2006">
        <v>1</v>
      </c>
      <c r="M2006">
        <v>55</v>
      </c>
      <c r="N2006" t="s">
        <v>42</v>
      </c>
      <c r="O2006" t="s">
        <v>25</v>
      </c>
      <c r="P2006">
        <v>4.0599999999999996</v>
      </c>
      <c r="Q2006" t="s">
        <v>24</v>
      </c>
      <c r="R2006">
        <v>1.31</v>
      </c>
      <c r="S2006" t="s">
        <v>43</v>
      </c>
      <c r="T2006" t="str">
        <f t="shared" si="62"/>
        <v>Very High</v>
      </c>
      <c r="U2006" t="str">
        <f t="shared" si="63"/>
        <v>Beginner</v>
      </c>
    </row>
    <row r="2007" spans="1:21" x14ac:dyDescent="0.35">
      <c r="A2007" t="s">
        <v>2080</v>
      </c>
      <c r="B2007" t="s">
        <v>73</v>
      </c>
      <c r="C2007" t="s">
        <v>55</v>
      </c>
      <c r="D2007" t="s">
        <v>32</v>
      </c>
      <c r="E2007" t="s">
        <v>33</v>
      </c>
      <c r="F2007">
        <v>3</v>
      </c>
      <c r="G2007">
        <v>0.26</v>
      </c>
      <c r="H2007">
        <v>0.5</v>
      </c>
      <c r="I2007" t="s">
        <v>24</v>
      </c>
      <c r="J2007">
        <v>106764</v>
      </c>
      <c r="K2007" t="s">
        <v>25</v>
      </c>
      <c r="L2007">
        <v>20</v>
      </c>
      <c r="M2007">
        <v>32</v>
      </c>
      <c r="N2007" t="s">
        <v>26</v>
      </c>
      <c r="O2007" t="s">
        <v>36</v>
      </c>
      <c r="P2007">
        <v>2.36</v>
      </c>
      <c r="Q2007" t="s">
        <v>34</v>
      </c>
      <c r="R2007">
        <v>2.27</v>
      </c>
      <c r="S2007" t="s">
        <v>28</v>
      </c>
      <c r="T2007" t="str">
        <f t="shared" si="62"/>
        <v>High</v>
      </c>
      <c r="U2007" t="str">
        <f t="shared" si="63"/>
        <v>Intermediate</v>
      </c>
    </row>
    <row r="2008" spans="1:21" x14ac:dyDescent="0.35">
      <c r="A2008" t="s">
        <v>2081</v>
      </c>
      <c r="B2008" t="s">
        <v>45</v>
      </c>
      <c r="C2008" t="s">
        <v>46</v>
      </c>
      <c r="D2008" t="s">
        <v>75</v>
      </c>
      <c r="E2008" t="s">
        <v>41</v>
      </c>
      <c r="F2008">
        <v>24</v>
      </c>
      <c r="G2008">
        <v>0.62</v>
      </c>
      <c r="H2008">
        <v>0.49</v>
      </c>
      <c r="I2008" t="s">
        <v>34</v>
      </c>
      <c r="J2008">
        <v>175248</v>
      </c>
      <c r="K2008" t="s">
        <v>42</v>
      </c>
      <c r="L2008">
        <v>39</v>
      </c>
      <c r="M2008">
        <v>44</v>
      </c>
      <c r="N2008" t="s">
        <v>35</v>
      </c>
      <c r="O2008" t="s">
        <v>27</v>
      </c>
      <c r="P2008">
        <v>3.07</v>
      </c>
      <c r="Q2008" t="s">
        <v>34</v>
      </c>
      <c r="R2008">
        <v>4.99</v>
      </c>
      <c r="S2008" t="s">
        <v>43</v>
      </c>
      <c r="T2008" t="str">
        <f t="shared" si="62"/>
        <v>Moderate</v>
      </c>
      <c r="U2008" t="str">
        <f t="shared" si="63"/>
        <v>Expert</v>
      </c>
    </row>
    <row r="2009" spans="1:21" x14ac:dyDescent="0.35">
      <c r="A2009" t="s">
        <v>2082</v>
      </c>
      <c r="B2009" t="s">
        <v>156</v>
      </c>
      <c r="C2009" t="s">
        <v>82</v>
      </c>
      <c r="D2009" t="s">
        <v>32</v>
      </c>
      <c r="E2009" t="s">
        <v>23</v>
      </c>
      <c r="F2009">
        <v>15</v>
      </c>
      <c r="G2009">
        <v>0.21</v>
      </c>
      <c r="H2009">
        <v>0.28999999999999998</v>
      </c>
      <c r="I2009" t="s">
        <v>24</v>
      </c>
      <c r="J2009">
        <v>200959</v>
      </c>
      <c r="K2009" t="s">
        <v>25</v>
      </c>
      <c r="L2009">
        <v>15</v>
      </c>
      <c r="M2009">
        <v>43</v>
      </c>
      <c r="N2009" t="s">
        <v>42</v>
      </c>
      <c r="O2009" t="s">
        <v>27</v>
      </c>
      <c r="P2009">
        <v>3.27</v>
      </c>
      <c r="Q2009" t="s">
        <v>24</v>
      </c>
      <c r="R2009">
        <v>2.1800000000000002</v>
      </c>
      <c r="S2009" t="s">
        <v>47</v>
      </c>
      <c r="T2009" t="str">
        <f t="shared" si="62"/>
        <v>High</v>
      </c>
      <c r="U2009" t="str">
        <f t="shared" si="63"/>
        <v>Experienced</v>
      </c>
    </row>
    <row r="2010" spans="1:21" x14ac:dyDescent="0.35">
      <c r="A2010" t="s">
        <v>2083</v>
      </c>
      <c r="B2010" t="s">
        <v>73</v>
      </c>
      <c r="C2010" t="s">
        <v>74</v>
      </c>
      <c r="D2010" t="s">
        <v>49</v>
      </c>
      <c r="E2010" t="s">
        <v>41</v>
      </c>
      <c r="F2010">
        <v>15</v>
      </c>
      <c r="G2010">
        <v>0.31</v>
      </c>
      <c r="H2010">
        <v>0.72</v>
      </c>
      <c r="I2010" t="s">
        <v>34</v>
      </c>
      <c r="J2010">
        <v>182037</v>
      </c>
      <c r="K2010" t="s">
        <v>25</v>
      </c>
      <c r="L2010">
        <v>-1</v>
      </c>
      <c r="M2010">
        <v>34</v>
      </c>
      <c r="N2010" t="s">
        <v>26</v>
      </c>
      <c r="O2010" t="s">
        <v>36</v>
      </c>
      <c r="P2010">
        <v>4.59</v>
      </c>
      <c r="Q2010" t="s">
        <v>34</v>
      </c>
      <c r="R2010">
        <v>3.78</v>
      </c>
      <c r="S2010" t="s">
        <v>28</v>
      </c>
      <c r="T2010" t="str">
        <f t="shared" si="62"/>
        <v>Very High</v>
      </c>
      <c r="U2010" t="str">
        <f t="shared" si="63"/>
        <v>Experienced</v>
      </c>
    </row>
    <row r="2011" spans="1:21" x14ac:dyDescent="0.35">
      <c r="A2011" t="s">
        <v>2084</v>
      </c>
      <c r="B2011" t="s">
        <v>65</v>
      </c>
      <c r="C2011" t="s">
        <v>46</v>
      </c>
      <c r="D2011" t="s">
        <v>40</v>
      </c>
      <c r="E2011" t="s">
        <v>23</v>
      </c>
      <c r="F2011">
        <v>23</v>
      </c>
      <c r="G2011">
        <v>0.47</v>
      </c>
      <c r="H2011">
        <v>0.92</v>
      </c>
      <c r="I2011" t="s">
        <v>60</v>
      </c>
      <c r="J2011">
        <v>193694</v>
      </c>
      <c r="K2011" t="s">
        <v>25</v>
      </c>
      <c r="L2011">
        <v>-4</v>
      </c>
      <c r="M2011">
        <v>45</v>
      </c>
      <c r="N2011" t="s">
        <v>35</v>
      </c>
      <c r="O2011" t="s">
        <v>36</v>
      </c>
      <c r="P2011">
        <v>4.5999999999999996</v>
      </c>
      <c r="Q2011" t="s">
        <v>24</v>
      </c>
      <c r="R2011">
        <v>1.37</v>
      </c>
      <c r="S2011" t="s">
        <v>43</v>
      </c>
      <c r="T2011" t="str">
        <f t="shared" si="62"/>
        <v>High</v>
      </c>
      <c r="U2011" t="str">
        <f t="shared" si="63"/>
        <v>Expert</v>
      </c>
    </row>
    <row r="2012" spans="1:21" x14ac:dyDescent="0.35">
      <c r="A2012" t="s">
        <v>2085</v>
      </c>
      <c r="B2012" t="s">
        <v>62</v>
      </c>
      <c r="C2012" t="s">
        <v>52</v>
      </c>
      <c r="D2012" t="s">
        <v>49</v>
      </c>
      <c r="E2012" t="s">
        <v>33</v>
      </c>
      <c r="F2012">
        <v>2</v>
      </c>
      <c r="G2012">
        <v>0.68</v>
      </c>
      <c r="H2012">
        <v>0.6</v>
      </c>
      <c r="I2012" t="s">
        <v>60</v>
      </c>
      <c r="J2012">
        <v>125488</v>
      </c>
      <c r="K2012" t="s">
        <v>25</v>
      </c>
      <c r="L2012">
        <v>18</v>
      </c>
      <c r="M2012">
        <v>32</v>
      </c>
      <c r="N2012" t="s">
        <v>26</v>
      </c>
      <c r="O2012" t="s">
        <v>36</v>
      </c>
      <c r="P2012">
        <v>4.6900000000000004</v>
      </c>
      <c r="Q2012" t="s">
        <v>34</v>
      </c>
      <c r="R2012">
        <v>1.37</v>
      </c>
      <c r="S2012" t="s">
        <v>47</v>
      </c>
      <c r="T2012" t="str">
        <f t="shared" si="62"/>
        <v>Moderate</v>
      </c>
      <c r="U2012" t="str">
        <f t="shared" si="63"/>
        <v>Beginner</v>
      </c>
    </row>
    <row r="2013" spans="1:21" x14ac:dyDescent="0.35">
      <c r="A2013" t="s">
        <v>2086</v>
      </c>
      <c r="B2013" t="s">
        <v>102</v>
      </c>
      <c r="C2013" t="s">
        <v>31</v>
      </c>
      <c r="D2013" t="s">
        <v>75</v>
      </c>
      <c r="E2013" t="s">
        <v>41</v>
      </c>
      <c r="F2013">
        <v>20</v>
      </c>
      <c r="G2013">
        <v>0.1</v>
      </c>
      <c r="H2013">
        <v>0.48</v>
      </c>
      <c r="I2013" t="s">
        <v>24</v>
      </c>
      <c r="J2013">
        <v>31288</v>
      </c>
      <c r="K2013" t="s">
        <v>42</v>
      </c>
      <c r="L2013">
        <v>15</v>
      </c>
      <c r="M2013">
        <v>58</v>
      </c>
      <c r="N2013" t="s">
        <v>35</v>
      </c>
      <c r="O2013" t="s">
        <v>36</v>
      </c>
      <c r="P2013">
        <v>2.09</v>
      </c>
      <c r="Q2013" t="s">
        <v>24</v>
      </c>
      <c r="R2013">
        <v>1.83</v>
      </c>
      <c r="S2013" t="s">
        <v>47</v>
      </c>
      <c r="T2013" t="str">
        <f t="shared" si="62"/>
        <v>High</v>
      </c>
      <c r="U2013" t="str">
        <f t="shared" si="63"/>
        <v>Expert</v>
      </c>
    </row>
    <row r="2014" spans="1:21" x14ac:dyDescent="0.35">
      <c r="A2014" t="s">
        <v>2087</v>
      </c>
      <c r="B2014" t="s">
        <v>65</v>
      </c>
      <c r="C2014" t="s">
        <v>21</v>
      </c>
      <c r="D2014" t="s">
        <v>49</v>
      </c>
      <c r="E2014" t="s">
        <v>33</v>
      </c>
      <c r="F2014">
        <v>0</v>
      </c>
      <c r="G2014">
        <v>0.24</v>
      </c>
      <c r="H2014">
        <v>0.38</v>
      </c>
      <c r="I2014" t="s">
        <v>24</v>
      </c>
      <c r="J2014">
        <v>53717</v>
      </c>
      <c r="K2014" t="s">
        <v>42</v>
      </c>
      <c r="L2014">
        <v>20</v>
      </c>
      <c r="M2014">
        <v>48</v>
      </c>
      <c r="N2014" t="s">
        <v>42</v>
      </c>
      <c r="O2014" t="s">
        <v>36</v>
      </c>
      <c r="P2014">
        <v>4.87</v>
      </c>
      <c r="Q2014" t="s">
        <v>34</v>
      </c>
      <c r="R2014">
        <v>2.04</v>
      </c>
      <c r="S2014" t="s">
        <v>47</v>
      </c>
      <c r="T2014" t="str">
        <f t="shared" si="62"/>
        <v>High</v>
      </c>
      <c r="U2014" t="str">
        <f t="shared" si="63"/>
        <v>Beginner</v>
      </c>
    </row>
    <row r="2015" spans="1:21" x14ac:dyDescent="0.35">
      <c r="A2015" t="s">
        <v>2088</v>
      </c>
      <c r="B2015" t="s">
        <v>73</v>
      </c>
      <c r="C2015" t="s">
        <v>107</v>
      </c>
      <c r="D2015" t="s">
        <v>80</v>
      </c>
      <c r="E2015" t="s">
        <v>33</v>
      </c>
      <c r="F2015">
        <v>9</v>
      </c>
      <c r="G2015">
        <v>0.82</v>
      </c>
      <c r="H2015">
        <v>0.82</v>
      </c>
      <c r="I2015" t="s">
        <v>24</v>
      </c>
      <c r="J2015">
        <v>219477</v>
      </c>
      <c r="K2015" t="s">
        <v>25</v>
      </c>
      <c r="L2015">
        <v>16</v>
      </c>
      <c r="M2015">
        <v>57</v>
      </c>
      <c r="N2015" t="s">
        <v>42</v>
      </c>
      <c r="O2015" t="s">
        <v>25</v>
      </c>
      <c r="P2015">
        <v>2.81</v>
      </c>
      <c r="Q2015" t="s">
        <v>24</v>
      </c>
      <c r="R2015">
        <v>2.21</v>
      </c>
      <c r="S2015" t="s">
        <v>28</v>
      </c>
      <c r="T2015" t="str">
        <f t="shared" si="62"/>
        <v>Moderate</v>
      </c>
      <c r="U2015" t="str">
        <f t="shared" si="63"/>
        <v>Experienced</v>
      </c>
    </row>
    <row r="2016" spans="1:21" x14ac:dyDescent="0.35">
      <c r="A2016" t="s">
        <v>2089</v>
      </c>
      <c r="B2016" t="s">
        <v>94</v>
      </c>
      <c r="C2016" t="s">
        <v>82</v>
      </c>
      <c r="D2016" t="s">
        <v>66</v>
      </c>
      <c r="E2016" t="s">
        <v>33</v>
      </c>
      <c r="F2016">
        <v>4</v>
      </c>
      <c r="G2016">
        <v>0.34</v>
      </c>
      <c r="H2016">
        <v>0.43</v>
      </c>
      <c r="I2016" t="s">
        <v>24</v>
      </c>
      <c r="J2016">
        <v>133744</v>
      </c>
      <c r="K2016" t="s">
        <v>25</v>
      </c>
      <c r="L2016">
        <v>31</v>
      </c>
      <c r="M2016">
        <v>43</v>
      </c>
      <c r="N2016" t="s">
        <v>42</v>
      </c>
      <c r="O2016" t="s">
        <v>25</v>
      </c>
      <c r="P2016">
        <v>4.2300000000000004</v>
      </c>
      <c r="Q2016" t="s">
        <v>24</v>
      </c>
      <c r="R2016">
        <v>2.69</v>
      </c>
      <c r="S2016" t="s">
        <v>28</v>
      </c>
      <c r="T2016" t="str">
        <f t="shared" si="62"/>
        <v>High</v>
      </c>
      <c r="U2016" t="str">
        <f t="shared" si="63"/>
        <v>Intermediate</v>
      </c>
    </row>
    <row r="2017" spans="1:21" x14ac:dyDescent="0.35">
      <c r="A2017" t="s">
        <v>2090</v>
      </c>
      <c r="B2017" t="s">
        <v>68</v>
      </c>
      <c r="C2017" t="s">
        <v>74</v>
      </c>
      <c r="D2017" t="s">
        <v>22</v>
      </c>
      <c r="E2017" t="s">
        <v>33</v>
      </c>
      <c r="F2017">
        <v>7</v>
      </c>
      <c r="G2017">
        <v>0.9</v>
      </c>
      <c r="H2017">
        <v>0.67</v>
      </c>
      <c r="I2017" t="s">
        <v>34</v>
      </c>
      <c r="J2017">
        <v>121149</v>
      </c>
      <c r="K2017" t="s">
        <v>27</v>
      </c>
      <c r="L2017">
        <v>17</v>
      </c>
      <c r="M2017">
        <v>42</v>
      </c>
      <c r="N2017" t="s">
        <v>42</v>
      </c>
      <c r="O2017" t="s">
        <v>25</v>
      </c>
      <c r="P2017">
        <v>2.19</v>
      </c>
      <c r="Q2017" t="s">
        <v>34</v>
      </c>
      <c r="R2017">
        <v>2.15</v>
      </c>
      <c r="S2017" t="s">
        <v>43</v>
      </c>
      <c r="T2017" t="str">
        <f t="shared" si="62"/>
        <v>Moderate</v>
      </c>
      <c r="U2017" t="str">
        <f t="shared" si="63"/>
        <v>Intermediate</v>
      </c>
    </row>
    <row r="2018" spans="1:21" x14ac:dyDescent="0.35">
      <c r="A2018" t="s">
        <v>2091</v>
      </c>
      <c r="B2018" t="s">
        <v>156</v>
      </c>
      <c r="C2018" t="s">
        <v>52</v>
      </c>
      <c r="D2018" t="s">
        <v>75</v>
      </c>
      <c r="E2018" t="s">
        <v>70</v>
      </c>
      <c r="F2018">
        <v>20</v>
      </c>
      <c r="G2018">
        <v>0.83</v>
      </c>
      <c r="H2018">
        <v>0.66</v>
      </c>
      <c r="I2018" t="s">
        <v>34</v>
      </c>
      <c r="J2018">
        <v>112437</v>
      </c>
      <c r="K2018" t="s">
        <v>25</v>
      </c>
      <c r="L2018">
        <v>-4</v>
      </c>
      <c r="M2018">
        <v>52</v>
      </c>
      <c r="N2018" t="s">
        <v>35</v>
      </c>
      <c r="O2018" t="s">
        <v>36</v>
      </c>
      <c r="P2018">
        <v>4.9400000000000004</v>
      </c>
      <c r="Q2018" t="s">
        <v>24</v>
      </c>
      <c r="R2018">
        <v>4.7300000000000004</v>
      </c>
      <c r="S2018" t="s">
        <v>28</v>
      </c>
      <c r="T2018" t="str">
        <f t="shared" si="62"/>
        <v>Moderate</v>
      </c>
      <c r="U2018" t="str">
        <f t="shared" si="63"/>
        <v>Expert</v>
      </c>
    </row>
    <row r="2019" spans="1:21" x14ac:dyDescent="0.35">
      <c r="A2019" t="s">
        <v>2092</v>
      </c>
      <c r="B2019" t="s">
        <v>73</v>
      </c>
      <c r="C2019" t="s">
        <v>107</v>
      </c>
      <c r="D2019" t="s">
        <v>80</v>
      </c>
      <c r="E2019" t="s">
        <v>23</v>
      </c>
      <c r="F2019">
        <v>18</v>
      </c>
      <c r="G2019">
        <v>0.06</v>
      </c>
      <c r="H2019">
        <v>0.59</v>
      </c>
      <c r="I2019" t="s">
        <v>60</v>
      </c>
      <c r="J2019">
        <v>186925</v>
      </c>
      <c r="K2019" t="s">
        <v>27</v>
      </c>
      <c r="L2019">
        <v>10</v>
      </c>
      <c r="M2019">
        <v>44</v>
      </c>
      <c r="N2019" t="s">
        <v>26</v>
      </c>
      <c r="O2019" t="s">
        <v>36</v>
      </c>
      <c r="P2019">
        <v>2.16</v>
      </c>
      <c r="Q2019" t="s">
        <v>24</v>
      </c>
      <c r="R2019">
        <v>4.9400000000000004</v>
      </c>
      <c r="S2019" t="s">
        <v>43</v>
      </c>
      <c r="T2019" t="str">
        <f t="shared" si="62"/>
        <v>High</v>
      </c>
      <c r="U2019" t="str">
        <f t="shared" si="63"/>
        <v>Expert</v>
      </c>
    </row>
    <row r="2020" spans="1:21" x14ac:dyDescent="0.35">
      <c r="A2020" t="s">
        <v>2093</v>
      </c>
      <c r="B2020" t="s">
        <v>57</v>
      </c>
      <c r="C2020" t="s">
        <v>31</v>
      </c>
      <c r="D2020" t="s">
        <v>59</v>
      </c>
      <c r="E2020" t="s">
        <v>70</v>
      </c>
      <c r="F2020">
        <v>20</v>
      </c>
      <c r="G2020">
        <v>0.49</v>
      </c>
      <c r="H2020">
        <v>0.86</v>
      </c>
      <c r="I2020" t="s">
        <v>60</v>
      </c>
      <c r="J2020">
        <v>93031</v>
      </c>
      <c r="K2020" t="s">
        <v>27</v>
      </c>
      <c r="L2020">
        <v>20</v>
      </c>
      <c r="M2020">
        <v>37</v>
      </c>
      <c r="N2020" t="s">
        <v>42</v>
      </c>
      <c r="O2020" t="s">
        <v>27</v>
      </c>
      <c r="P2020">
        <v>3.43</v>
      </c>
      <c r="Q2020" t="s">
        <v>24</v>
      </c>
      <c r="R2020">
        <v>3.66</v>
      </c>
      <c r="S2020" t="s">
        <v>28</v>
      </c>
      <c r="T2020" t="str">
        <f t="shared" si="62"/>
        <v>High</v>
      </c>
      <c r="U2020" t="str">
        <f t="shared" si="63"/>
        <v>Expert</v>
      </c>
    </row>
    <row r="2021" spans="1:21" x14ac:dyDescent="0.35">
      <c r="A2021" t="s">
        <v>2094</v>
      </c>
      <c r="B2021" t="s">
        <v>73</v>
      </c>
      <c r="C2021" t="s">
        <v>31</v>
      </c>
      <c r="D2021" t="s">
        <v>75</v>
      </c>
      <c r="E2021" t="s">
        <v>33</v>
      </c>
      <c r="F2021">
        <v>15</v>
      </c>
      <c r="G2021">
        <v>0.78</v>
      </c>
      <c r="H2021">
        <v>0.75</v>
      </c>
      <c r="I2021" t="s">
        <v>24</v>
      </c>
      <c r="J2021">
        <v>113825</v>
      </c>
      <c r="K2021" t="s">
        <v>25</v>
      </c>
      <c r="L2021">
        <v>37</v>
      </c>
      <c r="M2021">
        <v>33</v>
      </c>
      <c r="N2021" t="s">
        <v>26</v>
      </c>
      <c r="O2021" t="s">
        <v>36</v>
      </c>
      <c r="P2021">
        <v>3.86</v>
      </c>
      <c r="Q2021" t="s">
        <v>34</v>
      </c>
      <c r="R2021">
        <v>2.0699999999999998</v>
      </c>
      <c r="S2021" t="s">
        <v>47</v>
      </c>
      <c r="T2021" t="str">
        <f t="shared" si="62"/>
        <v>Moderate</v>
      </c>
      <c r="U2021" t="str">
        <f t="shared" si="63"/>
        <v>Experienced</v>
      </c>
    </row>
    <row r="2022" spans="1:21" x14ac:dyDescent="0.35">
      <c r="A2022" t="s">
        <v>2095</v>
      </c>
      <c r="B2022" t="s">
        <v>147</v>
      </c>
      <c r="C2022" t="s">
        <v>107</v>
      </c>
      <c r="D2022" t="s">
        <v>22</v>
      </c>
      <c r="E2022" t="s">
        <v>33</v>
      </c>
      <c r="F2022">
        <v>16</v>
      </c>
      <c r="G2022">
        <v>0.64</v>
      </c>
      <c r="H2022">
        <v>0.48</v>
      </c>
      <c r="I2022" t="s">
        <v>24</v>
      </c>
      <c r="J2022">
        <v>187014</v>
      </c>
      <c r="K2022" t="s">
        <v>27</v>
      </c>
      <c r="L2022">
        <v>7</v>
      </c>
      <c r="M2022">
        <v>44</v>
      </c>
      <c r="N2022" t="s">
        <v>26</v>
      </c>
      <c r="O2022" t="s">
        <v>25</v>
      </c>
      <c r="P2022">
        <v>3.17</v>
      </c>
      <c r="Q2022" t="s">
        <v>24</v>
      </c>
      <c r="R2022">
        <v>2.59</v>
      </c>
      <c r="S2022" t="s">
        <v>47</v>
      </c>
      <c r="T2022" t="str">
        <f t="shared" si="62"/>
        <v>Moderate</v>
      </c>
      <c r="U2022" t="str">
        <f t="shared" si="63"/>
        <v>Expert</v>
      </c>
    </row>
    <row r="2023" spans="1:21" x14ac:dyDescent="0.35">
      <c r="A2023" t="s">
        <v>2096</v>
      </c>
      <c r="B2023" t="s">
        <v>73</v>
      </c>
      <c r="C2023" t="s">
        <v>52</v>
      </c>
      <c r="D2023" t="s">
        <v>32</v>
      </c>
      <c r="E2023" t="s">
        <v>23</v>
      </c>
      <c r="F2023">
        <v>16</v>
      </c>
      <c r="G2023">
        <v>0.14000000000000001</v>
      </c>
      <c r="H2023">
        <v>0.67</v>
      </c>
      <c r="I2023" t="s">
        <v>60</v>
      </c>
      <c r="J2023">
        <v>100623</v>
      </c>
      <c r="K2023" t="s">
        <v>27</v>
      </c>
      <c r="L2023">
        <v>-9</v>
      </c>
      <c r="M2023">
        <v>46</v>
      </c>
      <c r="N2023" t="s">
        <v>26</v>
      </c>
      <c r="O2023" t="s">
        <v>27</v>
      </c>
      <c r="P2023">
        <v>4.24</v>
      </c>
      <c r="Q2023" t="s">
        <v>24</v>
      </c>
      <c r="R2023">
        <v>2.58</v>
      </c>
      <c r="S2023" t="s">
        <v>47</v>
      </c>
      <c r="T2023" t="str">
        <f t="shared" si="62"/>
        <v>High</v>
      </c>
      <c r="U2023" t="str">
        <f t="shared" si="63"/>
        <v>Expert</v>
      </c>
    </row>
    <row r="2024" spans="1:21" x14ac:dyDescent="0.35">
      <c r="A2024" t="s">
        <v>2097</v>
      </c>
      <c r="B2024" t="s">
        <v>106</v>
      </c>
      <c r="C2024" t="s">
        <v>55</v>
      </c>
      <c r="D2024" t="s">
        <v>32</v>
      </c>
      <c r="E2024" t="s">
        <v>33</v>
      </c>
      <c r="F2024">
        <v>6</v>
      </c>
      <c r="G2024">
        <v>0.46</v>
      </c>
      <c r="H2024">
        <v>0.66</v>
      </c>
      <c r="I2024" t="s">
        <v>24</v>
      </c>
      <c r="J2024">
        <v>187987</v>
      </c>
      <c r="K2024" t="s">
        <v>25</v>
      </c>
      <c r="L2024">
        <v>1</v>
      </c>
      <c r="M2024">
        <v>40</v>
      </c>
      <c r="N2024" t="s">
        <v>42</v>
      </c>
      <c r="O2024" t="s">
        <v>36</v>
      </c>
      <c r="P2024">
        <v>3.5</v>
      </c>
      <c r="Q2024" t="s">
        <v>34</v>
      </c>
      <c r="R2024">
        <v>1.01</v>
      </c>
      <c r="S2024" t="s">
        <v>28</v>
      </c>
      <c r="T2024" t="str">
        <f t="shared" si="62"/>
        <v>High</v>
      </c>
      <c r="U2024" t="str">
        <f t="shared" si="63"/>
        <v>Intermediate</v>
      </c>
    </row>
    <row r="2025" spans="1:21" x14ac:dyDescent="0.35">
      <c r="A2025" t="s">
        <v>2098</v>
      </c>
      <c r="B2025" t="s">
        <v>68</v>
      </c>
      <c r="C2025" t="s">
        <v>31</v>
      </c>
      <c r="D2025" t="s">
        <v>40</v>
      </c>
      <c r="E2025" t="s">
        <v>33</v>
      </c>
      <c r="F2025">
        <v>8</v>
      </c>
      <c r="G2025">
        <v>0.43</v>
      </c>
      <c r="H2025">
        <v>0.74</v>
      </c>
      <c r="I2025" t="s">
        <v>24</v>
      </c>
      <c r="J2025">
        <v>213318</v>
      </c>
      <c r="K2025" t="s">
        <v>42</v>
      </c>
      <c r="L2025">
        <v>31</v>
      </c>
      <c r="M2025">
        <v>52</v>
      </c>
      <c r="N2025" t="s">
        <v>42</v>
      </c>
      <c r="O2025" t="s">
        <v>25</v>
      </c>
      <c r="P2025">
        <v>2.4300000000000002</v>
      </c>
      <c r="Q2025" t="s">
        <v>34</v>
      </c>
      <c r="R2025">
        <v>3.6</v>
      </c>
      <c r="S2025" t="s">
        <v>47</v>
      </c>
      <c r="T2025" t="str">
        <f t="shared" si="62"/>
        <v>High</v>
      </c>
      <c r="U2025" t="str">
        <f t="shared" si="63"/>
        <v>Intermediate</v>
      </c>
    </row>
    <row r="2026" spans="1:21" x14ac:dyDescent="0.35">
      <c r="A2026" t="s">
        <v>2099</v>
      </c>
      <c r="B2026" t="s">
        <v>73</v>
      </c>
      <c r="C2026" t="s">
        <v>107</v>
      </c>
      <c r="D2026" t="s">
        <v>22</v>
      </c>
      <c r="E2026" t="s">
        <v>33</v>
      </c>
      <c r="F2026">
        <v>15</v>
      </c>
      <c r="G2026">
        <v>0.19</v>
      </c>
      <c r="H2026">
        <v>0.68</v>
      </c>
      <c r="I2026" t="s">
        <v>34</v>
      </c>
      <c r="J2026">
        <v>78532</v>
      </c>
      <c r="K2026" t="s">
        <v>25</v>
      </c>
      <c r="L2026">
        <v>13</v>
      </c>
      <c r="M2026">
        <v>50</v>
      </c>
      <c r="N2026" t="s">
        <v>26</v>
      </c>
      <c r="O2026" t="s">
        <v>36</v>
      </c>
      <c r="P2026">
        <v>2.2000000000000002</v>
      </c>
      <c r="Q2026" t="s">
        <v>34</v>
      </c>
      <c r="R2026">
        <v>1.57</v>
      </c>
      <c r="S2026" t="s">
        <v>47</v>
      </c>
      <c r="T2026" t="str">
        <f t="shared" si="62"/>
        <v>High</v>
      </c>
      <c r="U2026" t="str">
        <f t="shared" si="63"/>
        <v>Experienced</v>
      </c>
    </row>
    <row r="2027" spans="1:21" x14ac:dyDescent="0.35">
      <c r="A2027" t="s">
        <v>2100</v>
      </c>
      <c r="B2027" t="s">
        <v>147</v>
      </c>
      <c r="C2027" t="s">
        <v>74</v>
      </c>
      <c r="D2027" t="s">
        <v>80</v>
      </c>
      <c r="E2027" t="s">
        <v>23</v>
      </c>
      <c r="F2027">
        <v>15</v>
      </c>
      <c r="G2027">
        <v>0.78</v>
      </c>
      <c r="H2027">
        <v>0.2</v>
      </c>
      <c r="I2027" t="s">
        <v>60</v>
      </c>
      <c r="J2027">
        <v>180648</v>
      </c>
      <c r="K2027" t="s">
        <v>27</v>
      </c>
      <c r="L2027">
        <v>28</v>
      </c>
      <c r="M2027">
        <v>37</v>
      </c>
      <c r="N2027" t="s">
        <v>42</v>
      </c>
      <c r="O2027" t="s">
        <v>36</v>
      </c>
      <c r="P2027">
        <v>4.01</v>
      </c>
      <c r="Q2027" t="s">
        <v>24</v>
      </c>
      <c r="R2027">
        <v>2.95</v>
      </c>
      <c r="S2027" t="s">
        <v>43</v>
      </c>
      <c r="T2027" t="str">
        <f t="shared" si="62"/>
        <v>Very Low</v>
      </c>
      <c r="U2027" t="str">
        <f t="shared" si="63"/>
        <v>Experienced</v>
      </c>
    </row>
    <row r="2028" spans="1:21" x14ac:dyDescent="0.35">
      <c r="A2028" t="s">
        <v>2101</v>
      </c>
      <c r="B2028" t="s">
        <v>45</v>
      </c>
      <c r="C2028" t="s">
        <v>82</v>
      </c>
      <c r="D2028" t="s">
        <v>22</v>
      </c>
      <c r="E2028" t="s">
        <v>33</v>
      </c>
      <c r="F2028">
        <v>2</v>
      </c>
      <c r="G2028">
        <v>0.61</v>
      </c>
      <c r="H2028">
        <v>0.53</v>
      </c>
      <c r="I2028" t="s">
        <v>24</v>
      </c>
      <c r="J2028">
        <v>208524</v>
      </c>
      <c r="K2028" t="s">
        <v>42</v>
      </c>
      <c r="L2028">
        <v>-4</v>
      </c>
      <c r="M2028">
        <v>33</v>
      </c>
      <c r="N2028" t="s">
        <v>26</v>
      </c>
      <c r="O2028" t="s">
        <v>27</v>
      </c>
      <c r="P2028">
        <v>2.2200000000000002</v>
      </c>
      <c r="Q2028" t="s">
        <v>24</v>
      </c>
      <c r="R2028">
        <v>1.2</v>
      </c>
      <c r="S2028" t="s">
        <v>47</v>
      </c>
      <c r="T2028" t="str">
        <f t="shared" si="62"/>
        <v>Moderate</v>
      </c>
      <c r="U2028" t="str">
        <f t="shared" si="63"/>
        <v>Beginner</v>
      </c>
    </row>
    <row r="2029" spans="1:21" x14ac:dyDescent="0.35">
      <c r="A2029" t="s">
        <v>2102</v>
      </c>
      <c r="B2029" t="s">
        <v>54</v>
      </c>
      <c r="C2029" t="s">
        <v>55</v>
      </c>
      <c r="D2029" t="s">
        <v>66</v>
      </c>
      <c r="E2029" t="s">
        <v>41</v>
      </c>
      <c r="F2029">
        <v>5</v>
      </c>
      <c r="G2029">
        <v>0.21</v>
      </c>
      <c r="H2029">
        <v>0.41</v>
      </c>
      <c r="I2029" t="s">
        <v>24</v>
      </c>
      <c r="J2029">
        <v>181197</v>
      </c>
      <c r="K2029" t="s">
        <v>25</v>
      </c>
      <c r="L2029">
        <v>42</v>
      </c>
      <c r="M2029">
        <v>53</v>
      </c>
      <c r="N2029" t="s">
        <v>35</v>
      </c>
      <c r="O2029" t="s">
        <v>25</v>
      </c>
      <c r="P2029">
        <v>2.68</v>
      </c>
      <c r="Q2029" t="s">
        <v>24</v>
      </c>
      <c r="R2029">
        <v>4.63</v>
      </c>
      <c r="S2029" t="s">
        <v>28</v>
      </c>
      <c r="T2029" t="str">
        <f t="shared" si="62"/>
        <v>High</v>
      </c>
      <c r="U2029" t="str">
        <f t="shared" si="63"/>
        <v>Intermediate</v>
      </c>
    </row>
    <row r="2030" spans="1:21" x14ac:dyDescent="0.35">
      <c r="A2030" t="s">
        <v>2103</v>
      </c>
      <c r="B2030" t="s">
        <v>38</v>
      </c>
      <c r="C2030" t="s">
        <v>31</v>
      </c>
      <c r="D2030" t="s">
        <v>59</v>
      </c>
      <c r="E2030" t="s">
        <v>41</v>
      </c>
      <c r="F2030">
        <v>7</v>
      </c>
      <c r="G2030">
        <v>0.48</v>
      </c>
      <c r="H2030">
        <v>0.94</v>
      </c>
      <c r="I2030" t="s">
        <v>34</v>
      </c>
      <c r="J2030">
        <v>218622</v>
      </c>
      <c r="K2030" t="s">
        <v>25</v>
      </c>
      <c r="L2030">
        <v>23</v>
      </c>
      <c r="M2030">
        <v>41</v>
      </c>
      <c r="N2030" t="s">
        <v>26</v>
      </c>
      <c r="O2030" t="s">
        <v>36</v>
      </c>
      <c r="P2030">
        <v>4.88</v>
      </c>
      <c r="Q2030" t="s">
        <v>24</v>
      </c>
      <c r="R2030">
        <v>2.92</v>
      </c>
      <c r="S2030" t="s">
        <v>47</v>
      </c>
      <c r="T2030" t="str">
        <f t="shared" si="62"/>
        <v>High</v>
      </c>
      <c r="U2030" t="str">
        <f t="shared" si="63"/>
        <v>Intermediate</v>
      </c>
    </row>
    <row r="2031" spans="1:21" x14ac:dyDescent="0.35">
      <c r="A2031" t="s">
        <v>2104</v>
      </c>
      <c r="B2031" t="s">
        <v>106</v>
      </c>
      <c r="C2031" t="s">
        <v>52</v>
      </c>
      <c r="D2031" t="s">
        <v>75</v>
      </c>
      <c r="E2031" t="s">
        <v>41</v>
      </c>
      <c r="F2031">
        <v>19</v>
      </c>
      <c r="G2031">
        <v>0.78</v>
      </c>
      <c r="H2031">
        <v>0.79</v>
      </c>
      <c r="I2031" t="s">
        <v>60</v>
      </c>
      <c r="J2031">
        <v>78707</v>
      </c>
      <c r="K2031" t="s">
        <v>25</v>
      </c>
      <c r="L2031">
        <v>18</v>
      </c>
      <c r="M2031">
        <v>32</v>
      </c>
      <c r="N2031" t="s">
        <v>42</v>
      </c>
      <c r="O2031" t="s">
        <v>25</v>
      </c>
      <c r="P2031">
        <v>3.87</v>
      </c>
      <c r="Q2031" t="s">
        <v>24</v>
      </c>
      <c r="R2031">
        <v>4.7</v>
      </c>
      <c r="S2031" t="s">
        <v>28</v>
      </c>
      <c r="T2031" t="str">
        <f t="shared" si="62"/>
        <v>High</v>
      </c>
      <c r="U2031" t="str">
        <f t="shared" si="63"/>
        <v>Expert</v>
      </c>
    </row>
    <row r="2032" spans="1:21" x14ac:dyDescent="0.35">
      <c r="A2032" t="s">
        <v>2105</v>
      </c>
      <c r="B2032" t="s">
        <v>57</v>
      </c>
      <c r="C2032" t="s">
        <v>55</v>
      </c>
      <c r="D2032" t="s">
        <v>40</v>
      </c>
      <c r="E2032" t="s">
        <v>41</v>
      </c>
      <c r="F2032">
        <v>7</v>
      </c>
      <c r="G2032">
        <v>0.62</v>
      </c>
      <c r="H2032">
        <v>0.98</v>
      </c>
      <c r="I2032" t="s">
        <v>24</v>
      </c>
      <c r="J2032">
        <v>144732</v>
      </c>
      <c r="K2032" t="s">
        <v>42</v>
      </c>
      <c r="L2032">
        <v>-7</v>
      </c>
      <c r="M2032">
        <v>51</v>
      </c>
      <c r="N2032" t="s">
        <v>42</v>
      </c>
      <c r="O2032" t="s">
        <v>27</v>
      </c>
      <c r="P2032">
        <v>2.8</v>
      </c>
      <c r="Q2032" t="s">
        <v>24</v>
      </c>
      <c r="R2032">
        <v>2.2200000000000002</v>
      </c>
      <c r="S2032" t="s">
        <v>43</v>
      </c>
      <c r="T2032" t="str">
        <f t="shared" si="62"/>
        <v>High</v>
      </c>
      <c r="U2032" t="str">
        <f t="shared" si="63"/>
        <v>Intermediate</v>
      </c>
    </row>
    <row r="2033" spans="1:21" x14ac:dyDescent="0.35">
      <c r="A2033" t="s">
        <v>2106</v>
      </c>
      <c r="B2033" t="s">
        <v>57</v>
      </c>
      <c r="C2033" t="s">
        <v>74</v>
      </c>
      <c r="D2033" t="s">
        <v>63</v>
      </c>
      <c r="E2033" t="s">
        <v>33</v>
      </c>
      <c r="F2033">
        <v>6</v>
      </c>
      <c r="G2033">
        <v>0.84</v>
      </c>
      <c r="H2033">
        <v>0.21</v>
      </c>
      <c r="I2033" t="s">
        <v>34</v>
      </c>
      <c r="J2033">
        <v>114114</v>
      </c>
      <c r="K2033" t="s">
        <v>27</v>
      </c>
      <c r="L2033">
        <v>36</v>
      </c>
      <c r="M2033">
        <v>33</v>
      </c>
      <c r="N2033" t="s">
        <v>26</v>
      </c>
      <c r="O2033" t="s">
        <v>25</v>
      </c>
      <c r="P2033">
        <v>4.34</v>
      </c>
      <c r="Q2033" t="s">
        <v>24</v>
      </c>
      <c r="R2033">
        <v>3.67</v>
      </c>
      <c r="S2033" t="s">
        <v>47</v>
      </c>
      <c r="T2033" t="str">
        <f t="shared" si="62"/>
        <v>Very Low</v>
      </c>
      <c r="U2033" t="str">
        <f t="shared" si="63"/>
        <v>Intermediate</v>
      </c>
    </row>
    <row r="2034" spans="1:21" x14ac:dyDescent="0.35">
      <c r="A2034" t="s">
        <v>2107</v>
      </c>
      <c r="B2034" t="s">
        <v>54</v>
      </c>
      <c r="C2034" t="s">
        <v>107</v>
      </c>
      <c r="D2034" t="s">
        <v>49</v>
      </c>
      <c r="E2034" t="s">
        <v>33</v>
      </c>
      <c r="F2034">
        <v>10</v>
      </c>
      <c r="G2034">
        <v>0.89</v>
      </c>
      <c r="H2034">
        <v>0.78</v>
      </c>
      <c r="I2034" t="s">
        <v>60</v>
      </c>
      <c r="J2034">
        <v>170231</v>
      </c>
      <c r="K2034" t="s">
        <v>42</v>
      </c>
      <c r="L2034">
        <v>37</v>
      </c>
      <c r="M2034">
        <v>41</v>
      </c>
      <c r="N2034" t="s">
        <v>35</v>
      </c>
      <c r="O2034" t="s">
        <v>36</v>
      </c>
      <c r="P2034">
        <v>2.21</v>
      </c>
      <c r="Q2034" t="s">
        <v>34</v>
      </c>
      <c r="R2034">
        <v>2.7</v>
      </c>
      <c r="S2034" t="s">
        <v>43</v>
      </c>
      <c r="T2034" t="str">
        <f t="shared" si="62"/>
        <v>Moderate</v>
      </c>
      <c r="U2034" t="str">
        <f t="shared" si="63"/>
        <v>Experienced</v>
      </c>
    </row>
    <row r="2035" spans="1:21" x14ac:dyDescent="0.35">
      <c r="A2035" t="s">
        <v>2108</v>
      </c>
      <c r="B2035" t="s">
        <v>96</v>
      </c>
      <c r="C2035" t="s">
        <v>52</v>
      </c>
      <c r="D2035" t="s">
        <v>69</v>
      </c>
      <c r="E2035" t="s">
        <v>23</v>
      </c>
      <c r="F2035">
        <v>1</v>
      </c>
      <c r="G2035">
        <v>0.72</v>
      </c>
      <c r="H2035">
        <v>0.55000000000000004</v>
      </c>
      <c r="I2035" t="s">
        <v>60</v>
      </c>
      <c r="J2035">
        <v>34230</v>
      </c>
      <c r="K2035" t="s">
        <v>27</v>
      </c>
      <c r="L2035">
        <v>34</v>
      </c>
      <c r="M2035">
        <v>42</v>
      </c>
      <c r="N2035" t="s">
        <v>35</v>
      </c>
      <c r="O2035" t="s">
        <v>25</v>
      </c>
      <c r="P2035">
        <v>2.27</v>
      </c>
      <c r="Q2035" t="s">
        <v>24</v>
      </c>
      <c r="R2035">
        <v>3.87</v>
      </c>
      <c r="S2035" t="s">
        <v>28</v>
      </c>
      <c r="T2035" t="str">
        <f t="shared" si="62"/>
        <v>Moderate</v>
      </c>
      <c r="U2035" t="str">
        <f t="shared" si="63"/>
        <v>Beginner</v>
      </c>
    </row>
    <row r="2036" spans="1:21" x14ac:dyDescent="0.35">
      <c r="A2036" t="s">
        <v>2109</v>
      </c>
      <c r="B2036" t="s">
        <v>89</v>
      </c>
      <c r="C2036" t="s">
        <v>39</v>
      </c>
      <c r="D2036" t="s">
        <v>40</v>
      </c>
      <c r="E2036" t="s">
        <v>33</v>
      </c>
      <c r="F2036">
        <v>8</v>
      </c>
      <c r="G2036">
        <v>0.72</v>
      </c>
      <c r="H2036">
        <v>0.22</v>
      </c>
      <c r="I2036" t="s">
        <v>60</v>
      </c>
      <c r="J2036">
        <v>94199</v>
      </c>
      <c r="K2036" t="s">
        <v>25</v>
      </c>
      <c r="L2036">
        <v>4</v>
      </c>
      <c r="M2036">
        <v>45</v>
      </c>
      <c r="N2036" t="s">
        <v>42</v>
      </c>
      <c r="O2036" t="s">
        <v>27</v>
      </c>
      <c r="P2036">
        <v>2.23</v>
      </c>
      <c r="Q2036" t="s">
        <v>34</v>
      </c>
      <c r="R2036">
        <v>1.03</v>
      </c>
      <c r="S2036" t="s">
        <v>47</v>
      </c>
      <c r="T2036" t="str">
        <f t="shared" si="62"/>
        <v>Very Low</v>
      </c>
      <c r="U2036" t="str">
        <f t="shared" si="63"/>
        <v>Intermediate</v>
      </c>
    </row>
    <row r="2037" spans="1:21" x14ac:dyDescent="0.35">
      <c r="A2037" t="s">
        <v>2110</v>
      </c>
      <c r="B2037" t="s">
        <v>62</v>
      </c>
      <c r="C2037" t="s">
        <v>74</v>
      </c>
      <c r="D2037" t="s">
        <v>80</v>
      </c>
      <c r="E2037" t="s">
        <v>33</v>
      </c>
      <c r="F2037">
        <v>1</v>
      </c>
      <c r="G2037">
        <v>0.56999999999999995</v>
      </c>
      <c r="H2037">
        <v>0.89</v>
      </c>
      <c r="I2037" t="s">
        <v>34</v>
      </c>
      <c r="J2037">
        <v>33818</v>
      </c>
      <c r="K2037" t="s">
        <v>25</v>
      </c>
      <c r="L2037">
        <v>41</v>
      </c>
      <c r="M2037">
        <v>33</v>
      </c>
      <c r="N2037" t="s">
        <v>42</v>
      </c>
      <c r="O2037" t="s">
        <v>25</v>
      </c>
      <c r="P2037">
        <v>4.4800000000000004</v>
      </c>
      <c r="Q2037" t="s">
        <v>34</v>
      </c>
      <c r="R2037">
        <v>4.9000000000000004</v>
      </c>
      <c r="S2037" t="s">
        <v>43</v>
      </c>
      <c r="T2037" t="str">
        <f t="shared" si="62"/>
        <v>High</v>
      </c>
      <c r="U2037" t="str">
        <f t="shared" si="63"/>
        <v>Beginner</v>
      </c>
    </row>
    <row r="2038" spans="1:21" x14ac:dyDescent="0.35">
      <c r="A2038" t="s">
        <v>2111</v>
      </c>
      <c r="B2038" t="s">
        <v>73</v>
      </c>
      <c r="C2038" t="s">
        <v>52</v>
      </c>
      <c r="D2038" t="s">
        <v>63</v>
      </c>
      <c r="E2038" t="s">
        <v>33</v>
      </c>
      <c r="F2038">
        <v>18</v>
      </c>
      <c r="G2038">
        <v>0.48</v>
      </c>
      <c r="H2038">
        <v>0.32</v>
      </c>
      <c r="I2038" t="s">
        <v>60</v>
      </c>
      <c r="J2038">
        <v>114218</v>
      </c>
      <c r="K2038" t="s">
        <v>27</v>
      </c>
      <c r="L2038">
        <v>-9</v>
      </c>
      <c r="M2038">
        <v>40</v>
      </c>
      <c r="N2038" t="s">
        <v>26</v>
      </c>
      <c r="O2038" t="s">
        <v>25</v>
      </c>
      <c r="P2038">
        <v>3.15</v>
      </c>
      <c r="Q2038" t="s">
        <v>34</v>
      </c>
      <c r="R2038">
        <v>3.5</v>
      </c>
      <c r="S2038" t="s">
        <v>47</v>
      </c>
      <c r="T2038" t="str">
        <f t="shared" si="62"/>
        <v>Moderate</v>
      </c>
      <c r="U2038" t="str">
        <f t="shared" si="63"/>
        <v>Expert</v>
      </c>
    </row>
    <row r="2039" spans="1:21" x14ac:dyDescent="0.35">
      <c r="A2039" t="s">
        <v>2112</v>
      </c>
      <c r="B2039" t="s">
        <v>147</v>
      </c>
      <c r="C2039" t="s">
        <v>107</v>
      </c>
      <c r="D2039" t="s">
        <v>80</v>
      </c>
      <c r="E2039" t="s">
        <v>41</v>
      </c>
      <c r="F2039">
        <v>7</v>
      </c>
      <c r="G2039">
        <v>0.86</v>
      </c>
      <c r="H2039">
        <v>0.78</v>
      </c>
      <c r="I2039" t="s">
        <v>34</v>
      </c>
      <c r="J2039">
        <v>192895</v>
      </c>
      <c r="K2039" t="s">
        <v>27</v>
      </c>
      <c r="L2039">
        <v>34</v>
      </c>
      <c r="M2039">
        <v>40</v>
      </c>
      <c r="N2039" t="s">
        <v>35</v>
      </c>
      <c r="O2039" t="s">
        <v>27</v>
      </c>
      <c r="P2039">
        <v>2.2999999999999998</v>
      </c>
      <c r="Q2039" t="s">
        <v>34</v>
      </c>
      <c r="R2039">
        <v>3.16</v>
      </c>
      <c r="S2039" t="s">
        <v>28</v>
      </c>
      <c r="T2039" t="str">
        <f t="shared" si="62"/>
        <v>Moderate</v>
      </c>
      <c r="U2039" t="str">
        <f t="shared" si="63"/>
        <v>Intermediate</v>
      </c>
    </row>
    <row r="2040" spans="1:21" x14ac:dyDescent="0.35">
      <c r="A2040" t="s">
        <v>2113</v>
      </c>
      <c r="B2040" t="s">
        <v>20</v>
      </c>
      <c r="C2040" t="s">
        <v>21</v>
      </c>
      <c r="D2040" t="s">
        <v>49</v>
      </c>
      <c r="E2040" t="s">
        <v>70</v>
      </c>
      <c r="F2040">
        <v>9</v>
      </c>
      <c r="G2040">
        <v>0.45</v>
      </c>
      <c r="H2040">
        <v>0.99</v>
      </c>
      <c r="I2040" t="s">
        <v>24</v>
      </c>
      <c r="J2040">
        <v>212720</v>
      </c>
      <c r="K2040" t="s">
        <v>25</v>
      </c>
      <c r="L2040">
        <v>10</v>
      </c>
      <c r="M2040">
        <v>38</v>
      </c>
      <c r="N2040" t="s">
        <v>35</v>
      </c>
      <c r="O2040" t="s">
        <v>27</v>
      </c>
      <c r="P2040">
        <v>3.08</v>
      </c>
      <c r="Q2040" t="s">
        <v>24</v>
      </c>
      <c r="R2040">
        <v>4.8899999999999997</v>
      </c>
      <c r="S2040" t="s">
        <v>43</v>
      </c>
      <c r="T2040" t="str">
        <f t="shared" si="62"/>
        <v>High</v>
      </c>
      <c r="U2040" t="str">
        <f t="shared" si="63"/>
        <v>Experienced</v>
      </c>
    </row>
    <row r="2041" spans="1:21" x14ac:dyDescent="0.35">
      <c r="A2041" t="s">
        <v>2114</v>
      </c>
      <c r="B2041" t="s">
        <v>89</v>
      </c>
      <c r="C2041" t="s">
        <v>74</v>
      </c>
      <c r="D2041" t="s">
        <v>22</v>
      </c>
      <c r="E2041" t="s">
        <v>33</v>
      </c>
      <c r="F2041">
        <v>1</v>
      </c>
      <c r="G2041">
        <v>0.76</v>
      </c>
      <c r="H2041">
        <v>0.24</v>
      </c>
      <c r="I2041" t="s">
        <v>24</v>
      </c>
      <c r="J2041">
        <v>133168</v>
      </c>
      <c r="K2041" t="s">
        <v>25</v>
      </c>
      <c r="L2041">
        <v>4</v>
      </c>
      <c r="M2041">
        <v>58</v>
      </c>
      <c r="N2041" t="s">
        <v>42</v>
      </c>
      <c r="O2041" t="s">
        <v>27</v>
      </c>
      <c r="P2041">
        <v>2.2400000000000002</v>
      </c>
      <c r="Q2041" t="s">
        <v>24</v>
      </c>
      <c r="R2041">
        <v>2.4</v>
      </c>
      <c r="S2041" t="s">
        <v>28</v>
      </c>
      <c r="T2041" t="str">
        <f t="shared" si="62"/>
        <v>Very Low</v>
      </c>
      <c r="U2041" t="str">
        <f t="shared" si="63"/>
        <v>Beginner</v>
      </c>
    </row>
    <row r="2042" spans="1:21" x14ac:dyDescent="0.35">
      <c r="A2042" t="s">
        <v>2115</v>
      </c>
      <c r="B2042" t="s">
        <v>94</v>
      </c>
      <c r="C2042" t="s">
        <v>74</v>
      </c>
      <c r="D2042" t="s">
        <v>66</v>
      </c>
      <c r="E2042" t="s">
        <v>70</v>
      </c>
      <c r="F2042">
        <v>0</v>
      </c>
      <c r="G2042">
        <v>0.56000000000000005</v>
      </c>
      <c r="H2042">
        <v>0.87</v>
      </c>
      <c r="I2042" t="s">
        <v>24</v>
      </c>
      <c r="J2042">
        <v>101242</v>
      </c>
      <c r="K2042" t="s">
        <v>25</v>
      </c>
      <c r="L2042">
        <v>-8</v>
      </c>
      <c r="M2042">
        <v>58</v>
      </c>
      <c r="N2042" t="s">
        <v>42</v>
      </c>
      <c r="O2042" t="s">
        <v>25</v>
      </c>
      <c r="P2042">
        <v>2.0699999999999998</v>
      </c>
      <c r="Q2042" t="s">
        <v>34</v>
      </c>
      <c r="R2042">
        <v>2.02</v>
      </c>
      <c r="S2042" t="s">
        <v>43</v>
      </c>
      <c r="T2042" t="str">
        <f t="shared" si="62"/>
        <v>High</v>
      </c>
      <c r="U2042" t="str">
        <f t="shared" si="63"/>
        <v>Beginner</v>
      </c>
    </row>
    <row r="2043" spans="1:21" x14ac:dyDescent="0.35">
      <c r="A2043" t="s">
        <v>2116</v>
      </c>
      <c r="B2043" t="s">
        <v>51</v>
      </c>
      <c r="C2043" t="s">
        <v>74</v>
      </c>
      <c r="D2043" t="s">
        <v>69</v>
      </c>
      <c r="E2043" t="s">
        <v>41</v>
      </c>
      <c r="F2043">
        <v>9</v>
      </c>
      <c r="G2043">
        <v>0.92</v>
      </c>
      <c r="H2043">
        <v>0.84</v>
      </c>
      <c r="I2043" t="s">
        <v>60</v>
      </c>
      <c r="J2043">
        <v>122014</v>
      </c>
      <c r="K2043" t="s">
        <v>27</v>
      </c>
      <c r="L2043">
        <v>28</v>
      </c>
      <c r="M2043">
        <v>34</v>
      </c>
      <c r="N2043" t="s">
        <v>42</v>
      </c>
      <c r="O2043" t="s">
        <v>36</v>
      </c>
      <c r="P2043">
        <v>3.27</v>
      </c>
      <c r="Q2043" t="s">
        <v>34</v>
      </c>
      <c r="R2043">
        <v>2.77</v>
      </c>
      <c r="S2043" t="s">
        <v>47</v>
      </c>
      <c r="T2043" t="str">
        <f t="shared" si="62"/>
        <v>Moderate</v>
      </c>
      <c r="U2043" t="str">
        <f t="shared" si="63"/>
        <v>Experienced</v>
      </c>
    </row>
    <row r="2044" spans="1:21" x14ac:dyDescent="0.35">
      <c r="A2044" t="s">
        <v>2117</v>
      </c>
      <c r="B2044" t="s">
        <v>45</v>
      </c>
      <c r="C2044" t="s">
        <v>55</v>
      </c>
      <c r="D2044" t="s">
        <v>40</v>
      </c>
      <c r="E2044" t="s">
        <v>33</v>
      </c>
      <c r="F2044">
        <v>21</v>
      </c>
      <c r="G2044">
        <v>0.68</v>
      </c>
      <c r="H2044">
        <v>0.68</v>
      </c>
      <c r="I2044" t="s">
        <v>24</v>
      </c>
      <c r="J2044">
        <v>50740</v>
      </c>
      <c r="K2044" t="s">
        <v>42</v>
      </c>
      <c r="L2044">
        <v>12</v>
      </c>
      <c r="M2044">
        <v>35</v>
      </c>
      <c r="N2044" t="s">
        <v>26</v>
      </c>
      <c r="O2044" t="s">
        <v>27</v>
      </c>
      <c r="P2044">
        <v>3.12</v>
      </c>
      <c r="Q2044" t="s">
        <v>24</v>
      </c>
      <c r="R2044">
        <v>2.4700000000000002</v>
      </c>
      <c r="S2044" t="s">
        <v>43</v>
      </c>
      <c r="T2044" t="str">
        <f t="shared" si="62"/>
        <v>Moderate</v>
      </c>
      <c r="U2044" t="str">
        <f t="shared" si="63"/>
        <v>Expert</v>
      </c>
    </row>
    <row r="2045" spans="1:21" x14ac:dyDescent="0.35">
      <c r="A2045" t="s">
        <v>2118</v>
      </c>
      <c r="B2045" t="s">
        <v>89</v>
      </c>
      <c r="C2045" t="s">
        <v>31</v>
      </c>
      <c r="D2045" t="s">
        <v>40</v>
      </c>
      <c r="E2045" t="s">
        <v>23</v>
      </c>
      <c r="F2045">
        <v>21</v>
      </c>
      <c r="G2045">
        <v>0.35</v>
      </c>
      <c r="H2045">
        <v>0.22</v>
      </c>
      <c r="I2045" t="s">
        <v>34</v>
      </c>
      <c r="J2045">
        <v>48517</v>
      </c>
      <c r="K2045" t="s">
        <v>42</v>
      </c>
      <c r="L2045">
        <v>41</v>
      </c>
      <c r="M2045">
        <v>45</v>
      </c>
      <c r="N2045" t="s">
        <v>26</v>
      </c>
      <c r="O2045" t="s">
        <v>27</v>
      </c>
      <c r="P2045">
        <v>3.16</v>
      </c>
      <c r="Q2045" t="s">
        <v>24</v>
      </c>
      <c r="R2045">
        <v>4.2699999999999996</v>
      </c>
      <c r="S2045" t="s">
        <v>47</v>
      </c>
      <c r="T2045" t="str">
        <f t="shared" si="62"/>
        <v>Moderate</v>
      </c>
      <c r="U2045" t="str">
        <f t="shared" si="63"/>
        <v>Expert</v>
      </c>
    </row>
    <row r="2046" spans="1:21" x14ac:dyDescent="0.35">
      <c r="A2046" t="s">
        <v>2119</v>
      </c>
      <c r="B2046" t="s">
        <v>73</v>
      </c>
      <c r="C2046" t="s">
        <v>82</v>
      </c>
      <c r="D2046" t="s">
        <v>63</v>
      </c>
      <c r="E2046" t="s">
        <v>70</v>
      </c>
      <c r="F2046">
        <v>12</v>
      </c>
      <c r="G2046">
        <v>0.16</v>
      </c>
      <c r="H2046">
        <v>0.56000000000000005</v>
      </c>
      <c r="I2046" t="s">
        <v>24</v>
      </c>
      <c r="J2046">
        <v>153682</v>
      </c>
      <c r="K2046" t="s">
        <v>42</v>
      </c>
      <c r="L2046">
        <v>22</v>
      </c>
      <c r="M2046">
        <v>38</v>
      </c>
      <c r="N2046" t="s">
        <v>42</v>
      </c>
      <c r="O2046" t="s">
        <v>36</v>
      </c>
      <c r="P2046">
        <v>3.14</v>
      </c>
      <c r="Q2046" t="s">
        <v>34</v>
      </c>
      <c r="R2046">
        <v>2.13</v>
      </c>
      <c r="S2046" t="s">
        <v>28</v>
      </c>
      <c r="T2046" t="str">
        <f t="shared" si="62"/>
        <v>High</v>
      </c>
      <c r="U2046" t="str">
        <f t="shared" si="63"/>
        <v>Experienced</v>
      </c>
    </row>
    <row r="2047" spans="1:21" x14ac:dyDescent="0.35">
      <c r="A2047" t="s">
        <v>2120</v>
      </c>
      <c r="B2047" t="s">
        <v>45</v>
      </c>
      <c r="C2047" t="s">
        <v>39</v>
      </c>
      <c r="D2047" t="s">
        <v>49</v>
      </c>
      <c r="E2047" t="s">
        <v>33</v>
      </c>
      <c r="F2047">
        <v>8</v>
      </c>
      <c r="G2047">
        <v>0.54</v>
      </c>
      <c r="H2047">
        <v>0.35</v>
      </c>
      <c r="I2047" t="s">
        <v>60</v>
      </c>
      <c r="J2047">
        <v>47645</v>
      </c>
      <c r="K2047" t="s">
        <v>27</v>
      </c>
      <c r="L2047">
        <v>33</v>
      </c>
      <c r="M2047">
        <v>38</v>
      </c>
      <c r="N2047" t="s">
        <v>42</v>
      </c>
      <c r="O2047" t="s">
        <v>27</v>
      </c>
      <c r="P2047">
        <v>3.79</v>
      </c>
      <c r="Q2047" t="s">
        <v>24</v>
      </c>
      <c r="R2047">
        <v>4.12</v>
      </c>
      <c r="S2047" t="s">
        <v>43</v>
      </c>
      <c r="T2047" t="str">
        <f t="shared" si="62"/>
        <v>Moderate</v>
      </c>
      <c r="U2047" t="str">
        <f t="shared" si="63"/>
        <v>Intermediate</v>
      </c>
    </row>
    <row r="2048" spans="1:21" x14ac:dyDescent="0.35">
      <c r="A2048" t="s">
        <v>2121</v>
      </c>
      <c r="B2048" t="s">
        <v>38</v>
      </c>
      <c r="C2048" t="s">
        <v>31</v>
      </c>
      <c r="D2048" t="s">
        <v>69</v>
      </c>
      <c r="E2048" t="s">
        <v>70</v>
      </c>
      <c r="F2048">
        <v>24</v>
      </c>
      <c r="G2048">
        <v>0.94</v>
      </c>
      <c r="H2048">
        <v>0.22</v>
      </c>
      <c r="I2048" t="s">
        <v>60</v>
      </c>
      <c r="J2048">
        <v>31301</v>
      </c>
      <c r="K2048" t="s">
        <v>42</v>
      </c>
      <c r="L2048">
        <v>15</v>
      </c>
      <c r="M2048">
        <v>37</v>
      </c>
      <c r="N2048" t="s">
        <v>26</v>
      </c>
      <c r="O2048" t="s">
        <v>25</v>
      </c>
      <c r="P2048">
        <v>3.93</v>
      </c>
      <c r="Q2048" t="s">
        <v>34</v>
      </c>
      <c r="R2048">
        <v>3.24</v>
      </c>
      <c r="S2048" t="s">
        <v>28</v>
      </c>
      <c r="T2048" t="str">
        <f t="shared" si="62"/>
        <v>Very Low</v>
      </c>
      <c r="U2048" t="str">
        <f t="shared" si="63"/>
        <v>Expert</v>
      </c>
    </row>
    <row r="2049" spans="1:21" x14ac:dyDescent="0.35">
      <c r="A2049" t="s">
        <v>2122</v>
      </c>
      <c r="B2049" t="s">
        <v>94</v>
      </c>
      <c r="C2049" t="s">
        <v>31</v>
      </c>
      <c r="D2049" t="s">
        <v>22</v>
      </c>
      <c r="E2049" t="s">
        <v>23</v>
      </c>
      <c r="F2049">
        <v>6</v>
      </c>
      <c r="G2049">
        <v>0.41</v>
      </c>
      <c r="H2049">
        <v>0.7</v>
      </c>
      <c r="I2049" t="s">
        <v>34</v>
      </c>
      <c r="J2049">
        <v>155132</v>
      </c>
      <c r="K2049" t="s">
        <v>27</v>
      </c>
      <c r="L2049">
        <v>-8</v>
      </c>
      <c r="M2049">
        <v>40</v>
      </c>
      <c r="N2049" t="s">
        <v>35</v>
      </c>
      <c r="O2049" t="s">
        <v>36</v>
      </c>
      <c r="P2049">
        <v>4.57</v>
      </c>
      <c r="Q2049" t="s">
        <v>34</v>
      </c>
      <c r="R2049">
        <v>1.45</v>
      </c>
      <c r="S2049" t="s">
        <v>47</v>
      </c>
      <c r="T2049" t="str">
        <f t="shared" si="62"/>
        <v>High</v>
      </c>
      <c r="U2049" t="str">
        <f t="shared" si="63"/>
        <v>Intermediate</v>
      </c>
    </row>
    <row r="2050" spans="1:21" x14ac:dyDescent="0.35">
      <c r="A2050" t="s">
        <v>2123</v>
      </c>
      <c r="B2050" t="s">
        <v>94</v>
      </c>
      <c r="C2050" t="s">
        <v>52</v>
      </c>
      <c r="D2050" t="s">
        <v>69</v>
      </c>
      <c r="E2050" t="s">
        <v>41</v>
      </c>
      <c r="F2050">
        <v>22</v>
      </c>
      <c r="G2050">
        <v>0.45</v>
      </c>
      <c r="H2050">
        <v>0.55000000000000004</v>
      </c>
      <c r="I2050" t="s">
        <v>60</v>
      </c>
      <c r="J2050">
        <v>149991</v>
      </c>
      <c r="K2050" t="s">
        <v>25</v>
      </c>
      <c r="L2050">
        <v>27</v>
      </c>
      <c r="M2050">
        <v>33</v>
      </c>
      <c r="N2050" t="s">
        <v>26</v>
      </c>
      <c r="O2050" t="s">
        <v>25</v>
      </c>
      <c r="P2050">
        <v>4.68</v>
      </c>
      <c r="Q2050" t="s">
        <v>24</v>
      </c>
      <c r="R2050">
        <v>2.52</v>
      </c>
      <c r="S2050" t="s">
        <v>43</v>
      </c>
      <c r="T2050" t="str">
        <f t="shared" si="62"/>
        <v>High</v>
      </c>
      <c r="U2050" t="str">
        <f t="shared" si="63"/>
        <v>Expert</v>
      </c>
    </row>
    <row r="2051" spans="1:21" x14ac:dyDescent="0.35">
      <c r="A2051" t="s">
        <v>2124</v>
      </c>
      <c r="B2051" t="s">
        <v>65</v>
      </c>
      <c r="C2051" t="s">
        <v>74</v>
      </c>
      <c r="D2051" t="s">
        <v>69</v>
      </c>
      <c r="E2051" t="s">
        <v>23</v>
      </c>
      <c r="F2051">
        <v>10</v>
      </c>
      <c r="G2051">
        <v>0.44</v>
      </c>
      <c r="H2051">
        <v>0.66</v>
      </c>
      <c r="I2051" t="s">
        <v>60</v>
      </c>
      <c r="J2051">
        <v>34062</v>
      </c>
      <c r="K2051" t="s">
        <v>25</v>
      </c>
      <c r="L2051">
        <v>-9</v>
      </c>
      <c r="M2051">
        <v>50</v>
      </c>
      <c r="N2051" t="s">
        <v>42</v>
      </c>
      <c r="O2051" t="s">
        <v>27</v>
      </c>
      <c r="P2051">
        <v>3.31</v>
      </c>
      <c r="Q2051" t="s">
        <v>24</v>
      </c>
      <c r="R2051">
        <v>4.1900000000000004</v>
      </c>
      <c r="S2051" t="s">
        <v>28</v>
      </c>
      <c r="T2051" t="str">
        <f t="shared" ref="T2051:T2114" si="64">IF(AND(G2051&lt;0.4,H2051&gt;=0.7),"Very High",
IF(AND(G2051&gt;=0.7,H2051&lt;0.5),"Very Low",
IF(G2051&lt;H2051,"High","Moderate")))</f>
        <v>High</v>
      </c>
      <c r="U2051" t="str">
        <f t="shared" ref="U2051:U2114" si="65">_xlfn.IFS(F2051&lt;=2,"Beginner",F2051&lt;=8,"Intermediate",F2051&lt;=15,"Experienced",F2051&lt;=25,"Expert")</f>
        <v>Experienced</v>
      </c>
    </row>
    <row r="2052" spans="1:21" x14ac:dyDescent="0.35">
      <c r="A2052" t="s">
        <v>2125</v>
      </c>
      <c r="B2052" t="s">
        <v>54</v>
      </c>
      <c r="C2052" t="s">
        <v>58</v>
      </c>
      <c r="D2052" t="s">
        <v>63</v>
      </c>
      <c r="E2052" t="s">
        <v>23</v>
      </c>
      <c r="F2052">
        <v>14</v>
      </c>
      <c r="G2052">
        <v>0.45</v>
      </c>
      <c r="H2052">
        <v>0.96</v>
      </c>
      <c r="I2052" t="s">
        <v>24</v>
      </c>
      <c r="J2052">
        <v>59093</v>
      </c>
      <c r="K2052" t="s">
        <v>25</v>
      </c>
      <c r="L2052">
        <v>13</v>
      </c>
      <c r="M2052">
        <v>60</v>
      </c>
      <c r="N2052" t="s">
        <v>26</v>
      </c>
      <c r="O2052" t="s">
        <v>25</v>
      </c>
      <c r="P2052">
        <v>4.09</v>
      </c>
      <c r="Q2052" t="s">
        <v>34</v>
      </c>
      <c r="R2052">
        <v>2.4700000000000002</v>
      </c>
      <c r="S2052" t="s">
        <v>43</v>
      </c>
      <c r="T2052" t="str">
        <f t="shared" si="64"/>
        <v>High</v>
      </c>
      <c r="U2052" t="str">
        <f t="shared" si="65"/>
        <v>Experienced</v>
      </c>
    </row>
    <row r="2053" spans="1:21" x14ac:dyDescent="0.35">
      <c r="A2053" t="s">
        <v>2126</v>
      </c>
      <c r="B2053" t="s">
        <v>102</v>
      </c>
      <c r="C2053" t="s">
        <v>107</v>
      </c>
      <c r="D2053" t="s">
        <v>66</v>
      </c>
      <c r="E2053" t="s">
        <v>70</v>
      </c>
      <c r="F2053">
        <v>23</v>
      </c>
      <c r="G2053">
        <v>0.34</v>
      </c>
      <c r="H2053">
        <v>0.49</v>
      </c>
      <c r="I2053" t="s">
        <v>60</v>
      </c>
      <c r="J2053">
        <v>195132</v>
      </c>
      <c r="K2053" t="s">
        <v>42</v>
      </c>
      <c r="L2053">
        <v>12</v>
      </c>
      <c r="M2053">
        <v>40</v>
      </c>
      <c r="N2053" t="s">
        <v>26</v>
      </c>
      <c r="O2053" t="s">
        <v>36</v>
      </c>
      <c r="P2053">
        <v>4.13</v>
      </c>
      <c r="Q2053" t="s">
        <v>34</v>
      </c>
      <c r="R2053">
        <v>2.56</v>
      </c>
      <c r="S2053" t="s">
        <v>28</v>
      </c>
      <c r="T2053" t="str">
        <f t="shared" si="64"/>
        <v>High</v>
      </c>
      <c r="U2053" t="str">
        <f t="shared" si="65"/>
        <v>Expert</v>
      </c>
    </row>
    <row r="2054" spans="1:21" x14ac:dyDescent="0.35">
      <c r="A2054" t="s">
        <v>2127</v>
      </c>
      <c r="B2054" t="s">
        <v>156</v>
      </c>
      <c r="C2054" t="s">
        <v>46</v>
      </c>
      <c r="D2054" t="s">
        <v>63</v>
      </c>
      <c r="E2054" t="s">
        <v>33</v>
      </c>
      <c r="F2054">
        <v>24</v>
      </c>
      <c r="G2054">
        <v>0.05</v>
      </c>
      <c r="H2054">
        <v>0.91</v>
      </c>
      <c r="I2054" t="s">
        <v>24</v>
      </c>
      <c r="J2054">
        <v>117546</v>
      </c>
      <c r="K2054" t="s">
        <v>27</v>
      </c>
      <c r="L2054">
        <v>18</v>
      </c>
      <c r="M2054">
        <v>35</v>
      </c>
      <c r="N2054" t="s">
        <v>42</v>
      </c>
      <c r="O2054" t="s">
        <v>27</v>
      </c>
      <c r="P2054">
        <v>3.41</v>
      </c>
      <c r="Q2054" t="s">
        <v>24</v>
      </c>
      <c r="R2054">
        <v>2.9</v>
      </c>
      <c r="S2054" t="s">
        <v>28</v>
      </c>
      <c r="T2054" t="str">
        <f t="shared" si="64"/>
        <v>Very High</v>
      </c>
      <c r="U2054" t="str">
        <f t="shared" si="65"/>
        <v>Expert</v>
      </c>
    </row>
    <row r="2055" spans="1:21" x14ac:dyDescent="0.35">
      <c r="A2055" t="s">
        <v>2128</v>
      </c>
      <c r="B2055" t="s">
        <v>94</v>
      </c>
      <c r="C2055" t="s">
        <v>52</v>
      </c>
      <c r="D2055" t="s">
        <v>75</v>
      </c>
      <c r="E2055" t="s">
        <v>33</v>
      </c>
      <c r="F2055">
        <v>13</v>
      </c>
      <c r="G2055">
        <v>0.56999999999999995</v>
      </c>
      <c r="H2055">
        <v>0.42</v>
      </c>
      <c r="I2055" t="s">
        <v>34</v>
      </c>
      <c r="J2055">
        <v>71311</v>
      </c>
      <c r="K2055" t="s">
        <v>27</v>
      </c>
      <c r="L2055">
        <v>24</v>
      </c>
      <c r="M2055">
        <v>30</v>
      </c>
      <c r="N2055" t="s">
        <v>26</v>
      </c>
      <c r="O2055" t="s">
        <v>25</v>
      </c>
      <c r="P2055">
        <v>4.33</v>
      </c>
      <c r="Q2055" t="s">
        <v>34</v>
      </c>
      <c r="R2055">
        <v>3.73</v>
      </c>
      <c r="S2055" t="s">
        <v>43</v>
      </c>
      <c r="T2055" t="str">
        <f t="shared" si="64"/>
        <v>Moderate</v>
      </c>
      <c r="U2055" t="str">
        <f t="shared" si="65"/>
        <v>Experienced</v>
      </c>
    </row>
    <row r="2056" spans="1:21" x14ac:dyDescent="0.35">
      <c r="A2056" t="s">
        <v>2129</v>
      </c>
      <c r="B2056" t="s">
        <v>77</v>
      </c>
      <c r="C2056" t="s">
        <v>52</v>
      </c>
      <c r="D2056" t="s">
        <v>40</v>
      </c>
      <c r="E2056" t="s">
        <v>23</v>
      </c>
      <c r="F2056">
        <v>11</v>
      </c>
      <c r="G2056">
        <v>0.37</v>
      </c>
      <c r="H2056">
        <v>0.24</v>
      </c>
      <c r="I2056" t="s">
        <v>24</v>
      </c>
      <c r="J2056">
        <v>156339</v>
      </c>
      <c r="K2056" t="s">
        <v>42</v>
      </c>
      <c r="L2056">
        <v>21</v>
      </c>
      <c r="M2056">
        <v>57</v>
      </c>
      <c r="N2056" t="s">
        <v>42</v>
      </c>
      <c r="O2056" t="s">
        <v>27</v>
      </c>
      <c r="P2056">
        <v>3.58</v>
      </c>
      <c r="Q2056" t="s">
        <v>24</v>
      </c>
      <c r="R2056">
        <v>2.11</v>
      </c>
      <c r="S2056" t="s">
        <v>47</v>
      </c>
      <c r="T2056" t="str">
        <f t="shared" si="64"/>
        <v>Moderate</v>
      </c>
      <c r="U2056" t="str">
        <f t="shared" si="65"/>
        <v>Experienced</v>
      </c>
    </row>
    <row r="2057" spans="1:21" x14ac:dyDescent="0.35">
      <c r="A2057" t="s">
        <v>2130</v>
      </c>
      <c r="B2057" t="s">
        <v>89</v>
      </c>
      <c r="C2057" t="s">
        <v>82</v>
      </c>
      <c r="D2057" t="s">
        <v>63</v>
      </c>
      <c r="E2057" t="s">
        <v>33</v>
      </c>
      <c r="F2057">
        <v>11</v>
      </c>
      <c r="G2057">
        <v>0.44</v>
      </c>
      <c r="H2057">
        <v>0.46</v>
      </c>
      <c r="I2057" t="s">
        <v>24</v>
      </c>
      <c r="J2057">
        <v>209986</v>
      </c>
      <c r="K2057" t="s">
        <v>25</v>
      </c>
      <c r="L2057">
        <v>14</v>
      </c>
      <c r="M2057">
        <v>49</v>
      </c>
      <c r="N2057" t="s">
        <v>35</v>
      </c>
      <c r="O2057" t="s">
        <v>36</v>
      </c>
      <c r="P2057">
        <v>3.28</v>
      </c>
      <c r="Q2057" t="s">
        <v>34</v>
      </c>
      <c r="R2057">
        <v>3.12</v>
      </c>
      <c r="S2057" t="s">
        <v>43</v>
      </c>
      <c r="T2057" t="str">
        <f t="shared" si="64"/>
        <v>High</v>
      </c>
      <c r="U2057" t="str">
        <f t="shared" si="65"/>
        <v>Experienced</v>
      </c>
    </row>
    <row r="2058" spans="1:21" x14ac:dyDescent="0.35">
      <c r="A2058" t="s">
        <v>2131</v>
      </c>
      <c r="B2058" t="s">
        <v>102</v>
      </c>
      <c r="C2058" t="s">
        <v>31</v>
      </c>
      <c r="D2058" t="s">
        <v>22</v>
      </c>
      <c r="E2058" t="s">
        <v>41</v>
      </c>
      <c r="F2058">
        <v>4</v>
      </c>
      <c r="G2058">
        <v>0.09</v>
      </c>
      <c r="H2058">
        <v>0.61</v>
      </c>
      <c r="I2058" t="s">
        <v>24</v>
      </c>
      <c r="J2058">
        <v>81557</v>
      </c>
      <c r="K2058" t="s">
        <v>42</v>
      </c>
      <c r="L2058">
        <v>9</v>
      </c>
      <c r="M2058">
        <v>37</v>
      </c>
      <c r="N2058" t="s">
        <v>35</v>
      </c>
      <c r="O2058" t="s">
        <v>36</v>
      </c>
      <c r="P2058">
        <v>3.72</v>
      </c>
      <c r="Q2058" t="s">
        <v>24</v>
      </c>
      <c r="R2058">
        <v>4.03</v>
      </c>
      <c r="S2058" t="s">
        <v>43</v>
      </c>
      <c r="T2058" t="str">
        <f t="shared" si="64"/>
        <v>High</v>
      </c>
      <c r="U2058" t="str">
        <f t="shared" si="65"/>
        <v>Intermediate</v>
      </c>
    </row>
    <row r="2059" spans="1:21" x14ac:dyDescent="0.35">
      <c r="A2059" t="s">
        <v>2132</v>
      </c>
      <c r="B2059" t="s">
        <v>77</v>
      </c>
      <c r="C2059" t="s">
        <v>21</v>
      </c>
      <c r="D2059" t="s">
        <v>40</v>
      </c>
      <c r="E2059" t="s">
        <v>33</v>
      </c>
      <c r="F2059">
        <v>18</v>
      </c>
      <c r="G2059">
        <v>0.66</v>
      </c>
      <c r="H2059">
        <v>0.7</v>
      </c>
      <c r="I2059" t="s">
        <v>34</v>
      </c>
      <c r="J2059">
        <v>190117</v>
      </c>
      <c r="K2059" t="s">
        <v>42</v>
      </c>
      <c r="L2059">
        <v>6</v>
      </c>
      <c r="M2059">
        <v>31</v>
      </c>
      <c r="N2059" t="s">
        <v>35</v>
      </c>
      <c r="O2059" t="s">
        <v>25</v>
      </c>
      <c r="P2059">
        <v>4.97</v>
      </c>
      <c r="Q2059" t="s">
        <v>24</v>
      </c>
      <c r="R2059">
        <v>3.21</v>
      </c>
      <c r="S2059" t="s">
        <v>28</v>
      </c>
      <c r="T2059" t="str">
        <f t="shared" si="64"/>
        <v>High</v>
      </c>
      <c r="U2059" t="str">
        <f t="shared" si="65"/>
        <v>Expert</v>
      </c>
    </row>
    <row r="2060" spans="1:21" x14ac:dyDescent="0.35">
      <c r="A2060" t="s">
        <v>2133</v>
      </c>
      <c r="B2060" t="s">
        <v>106</v>
      </c>
      <c r="C2060" t="s">
        <v>58</v>
      </c>
      <c r="D2060" t="s">
        <v>59</v>
      </c>
      <c r="E2060" t="s">
        <v>33</v>
      </c>
      <c r="F2060">
        <v>18</v>
      </c>
      <c r="G2060">
        <v>0.57999999999999996</v>
      </c>
      <c r="H2060">
        <v>0.28000000000000003</v>
      </c>
      <c r="I2060" t="s">
        <v>60</v>
      </c>
      <c r="J2060">
        <v>51524</v>
      </c>
      <c r="K2060" t="s">
        <v>25</v>
      </c>
      <c r="L2060">
        <v>13</v>
      </c>
      <c r="M2060">
        <v>49</v>
      </c>
      <c r="N2060" t="s">
        <v>42</v>
      </c>
      <c r="O2060" t="s">
        <v>36</v>
      </c>
      <c r="P2060">
        <v>4.04</v>
      </c>
      <c r="Q2060" t="s">
        <v>34</v>
      </c>
      <c r="R2060">
        <v>1.62</v>
      </c>
      <c r="S2060" t="s">
        <v>28</v>
      </c>
      <c r="T2060" t="str">
        <f t="shared" si="64"/>
        <v>Moderate</v>
      </c>
      <c r="U2060" t="str">
        <f t="shared" si="65"/>
        <v>Expert</v>
      </c>
    </row>
    <row r="2061" spans="1:21" x14ac:dyDescent="0.35">
      <c r="A2061" t="s">
        <v>2134</v>
      </c>
      <c r="B2061" t="s">
        <v>51</v>
      </c>
      <c r="C2061" t="s">
        <v>55</v>
      </c>
      <c r="D2061" t="s">
        <v>80</v>
      </c>
      <c r="E2061" t="s">
        <v>70</v>
      </c>
      <c r="F2061">
        <v>12</v>
      </c>
      <c r="G2061">
        <v>0.66</v>
      </c>
      <c r="H2061">
        <v>0.9</v>
      </c>
      <c r="I2061" t="s">
        <v>24</v>
      </c>
      <c r="J2061">
        <v>105233</v>
      </c>
      <c r="K2061" t="s">
        <v>42</v>
      </c>
      <c r="L2061">
        <v>36</v>
      </c>
      <c r="M2061">
        <v>45</v>
      </c>
      <c r="N2061" t="s">
        <v>35</v>
      </c>
      <c r="O2061" t="s">
        <v>36</v>
      </c>
      <c r="P2061">
        <v>3.88</v>
      </c>
      <c r="Q2061" t="s">
        <v>34</v>
      </c>
      <c r="R2061">
        <v>1.21</v>
      </c>
      <c r="S2061" t="s">
        <v>47</v>
      </c>
      <c r="T2061" t="str">
        <f t="shared" si="64"/>
        <v>High</v>
      </c>
      <c r="U2061" t="str">
        <f t="shared" si="65"/>
        <v>Experienced</v>
      </c>
    </row>
    <row r="2062" spans="1:21" x14ac:dyDescent="0.35">
      <c r="A2062" t="s">
        <v>2135</v>
      </c>
      <c r="B2062" t="s">
        <v>91</v>
      </c>
      <c r="C2062" t="s">
        <v>46</v>
      </c>
      <c r="D2062" t="s">
        <v>59</v>
      </c>
      <c r="E2062" t="s">
        <v>41</v>
      </c>
      <c r="F2062">
        <v>12</v>
      </c>
      <c r="G2062">
        <v>0.76</v>
      </c>
      <c r="H2062">
        <v>0.74</v>
      </c>
      <c r="I2062" t="s">
        <v>24</v>
      </c>
      <c r="J2062">
        <v>50793</v>
      </c>
      <c r="K2062" t="s">
        <v>42</v>
      </c>
      <c r="L2062">
        <v>-8</v>
      </c>
      <c r="M2062">
        <v>60</v>
      </c>
      <c r="N2062" t="s">
        <v>42</v>
      </c>
      <c r="O2062" t="s">
        <v>36</v>
      </c>
      <c r="P2062">
        <v>2.59</v>
      </c>
      <c r="Q2062" t="s">
        <v>34</v>
      </c>
      <c r="R2062">
        <v>2.77</v>
      </c>
      <c r="S2062" t="s">
        <v>28</v>
      </c>
      <c r="T2062" t="str">
        <f t="shared" si="64"/>
        <v>Moderate</v>
      </c>
      <c r="U2062" t="str">
        <f t="shared" si="65"/>
        <v>Experienced</v>
      </c>
    </row>
    <row r="2063" spans="1:21" x14ac:dyDescent="0.35">
      <c r="A2063" t="s">
        <v>2136</v>
      </c>
      <c r="B2063" t="s">
        <v>91</v>
      </c>
      <c r="C2063" t="s">
        <v>107</v>
      </c>
      <c r="D2063" t="s">
        <v>22</v>
      </c>
      <c r="E2063" t="s">
        <v>33</v>
      </c>
      <c r="F2063">
        <v>23</v>
      </c>
      <c r="G2063">
        <v>0.47</v>
      </c>
      <c r="H2063">
        <v>0.51</v>
      </c>
      <c r="I2063" t="s">
        <v>60</v>
      </c>
      <c r="J2063">
        <v>176368</v>
      </c>
      <c r="K2063" t="s">
        <v>27</v>
      </c>
      <c r="L2063">
        <v>23</v>
      </c>
      <c r="M2063">
        <v>48</v>
      </c>
      <c r="N2063" t="s">
        <v>42</v>
      </c>
      <c r="O2063" t="s">
        <v>27</v>
      </c>
      <c r="P2063">
        <v>2.2400000000000002</v>
      </c>
      <c r="Q2063" t="s">
        <v>24</v>
      </c>
      <c r="R2063">
        <v>4.42</v>
      </c>
      <c r="S2063" t="s">
        <v>43</v>
      </c>
      <c r="T2063" t="str">
        <f t="shared" si="64"/>
        <v>High</v>
      </c>
      <c r="U2063" t="str">
        <f t="shared" si="65"/>
        <v>Expert</v>
      </c>
    </row>
    <row r="2064" spans="1:21" x14ac:dyDescent="0.35">
      <c r="A2064" t="s">
        <v>2137</v>
      </c>
      <c r="B2064" t="s">
        <v>45</v>
      </c>
      <c r="C2064" t="s">
        <v>58</v>
      </c>
      <c r="D2064" t="s">
        <v>66</v>
      </c>
      <c r="E2064" t="s">
        <v>41</v>
      </c>
      <c r="F2064">
        <v>14</v>
      </c>
      <c r="G2064">
        <v>0.76</v>
      </c>
      <c r="H2064">
        <v>0.5</v>
      </c>
      <c r="I2064" t="s">
        <v>34</v>
      </c>
      <c r="J2064">
        <v>191631</v>
      </c>
      <c r="K2064" t="s">
        <v>27</v>
      </c>
      <c r="L2064">
        <v>45</v>
      </c>
      <c r="M2064">
        <v>57</v>
      </c>
      <c r="N2064" t="s">
        <v>35</v>
      </c>
      <c r="O2064" t="s">
        <v>27</v>
      </c>
      <c r="P2064">
        <v>3.13</v>
      </c>
      <c r="Q2064" t="s">
        <v>34</v>
      </c>
      <c r="R2064">
        <v>2.25</v>
      </c>
      <c r="S2064" t="s">
        <v>28</v>
      </c>
      <c r="T2064" t="str">
        <f t="shared" si="64"/>
        <v>Moderate</v>
      </c>
      <c r="U2064" t="str">
        <f t="shared" si="65"/>
        <v>Experienced</v>
      </c>
    </row>
    <row r="2065" spans="1:21" x14ac:dyDescent="0.35">
      <c r="A2065" t="s">
        <v>2138</v>
      </c>
      <c r="B2065" t="s">
        <v>62</v>
      </c>
      <c r="C2065" t="s">
        <v>58</v>
      </c>
      <c r="D2065" t="s">
        <v>66</v>
      </c>
      <c r="E2065" t="s">
        <v>41</v>
      </c>
      <c r="F2065">
        <v>22</v>
      </c>
      <c r="G2065">
        <v>0.65</v>
      </c>
      <c r="H2065">
        <v>0.24</v>
      </c>
      <c r="I2065" t="s">
        <v>24</v>
      </c>
      <c r="J2065">
        <v>34784</v>
      </c>
      <c r="K2065" t="s">
        <v>42</v>
      </c>
      <c r="L2065">
        <v>41</v>
      </c>
      <c r="M2065">
        <v>33</v>
      </c>
      <c r="N2065" t="s">
        <v>26</v>
      </c>
      <c r="O2065" t="s">
        <v>25</v>
      </c>
      <c r="P2065">
        <v>2.4</v>
      </c>
      <c r="Q2065" t="s">
        <v>34</v>
      </c>
      <c r="R2065">
        <v>2</v>
      </c>
      <c r="S2065" t="s">
        <v>28</v>
      </c>
      <c r="T2065" t="str">
        <f t="shared" si="64"/>
        <v>Moderate</v>
      </c>
      <c r="U2065" t="str">
        <f t="shared" si="65"/>
        <v>Expert</v>
      </c>
    </row>
    <row r="2066" spans="1:21" x14ac:dyDescent="0.35">
      <c r="A2066" t="s">
        <v>2139</v>
      </c>
      <c r="B2066" t="s">
        <v>62</v>
      </c>
      <c r="C2066" t="s">
        <v>46</v>
      </c>
      <c r="D2066" t="s">
        <v>69</v>
      </c>
      <c r="E2066" t="s">
        <v>33</v>
      </c>
      <c r="F2066">
        <v>25</v>
      </c>
      <c r="G2066">
        <v>0.38</v>
      </c>
      <c r="H2066">
        <v>0.62</v>
      </c>
      <c r="I2066" t="s">
        <v>34</v>
      </c>
      <c r="J2066">
        <v>56133</v>
      </c>
      <c r="K2066" t="s">
        <v>42</v>
      </c>
      <c r="L2066">
        <v>-9</v>
      </c>
      <c r="M2066">
        <v>32</v>
      </c>
      <c r="N2066" t="s">
        <v>26</v>
      </c>
      <c r="O2066" t="s">
        <v>25</v>
      </c>
      <c r="P2066">
        <v>3.11</v>
      </c>
      <c r="Q2066" t="s">
        <v>24</v>
      </c>
      <c r="R2066">
        <v>3.65</v>
      </c>
      <c r="S2066" t="s">
        <v>47</v>
      </c>
      <c r="T2066" t="str">
        <f t="shared" si="64"/>
        <v>High</v>
      </c>
      <c r="U2066" t="str">
        <f t="shared" si="65"/>
        <v>Expert</v>
      </c>
    </row>
    <row r="2067" spans="1:21" x14ac:dyDescent="0.35">
      <c r="A2067" t="s">
        <v>2140</v>
      </c>
      <c r="B2067" t="s">
        <v>45</v>
      </c>
      <c r="C2067" t="s">
        <v>39</v>
      </c>
      <c r="D2067" t="s">
        <v>49</v>
      </c>
      <c r="E2067" t="s">
        <v>41</v>
      </c>
      <c r="F2067">
        <v>22</v>
      </c>
      <c r="G2067">
        <v>0.38</v>
      </c>
      <c r="H2067">
        <v>0.55000000000000004</v>
      </c>
      <c r="I2067" t="s">
        <v>24</v>
      </c>
      <c r="J2067">
        <v>89047</v>
      </c>
      <c r="K2067" t="s">
        <v>27</v>
      </c>
      <c r="L2067">
        <v>34</v>
      </c>
      <c r="M2067">
        <v>52</v>
      </c>
      <c r="N2067" t="s">
        <v>35</v>
      </c>
      <c r="O2067" t="s">
        <v>27</v>
      </c>
      <c r="P2067">
        <v>4.08</v>
      </c>
      <c r="Q2067" t="s">
        <v>34</v>
      </c>
      <c r="R2067">
        <v>3.27</v>
      </c>
      <c r="S2067" t="s">
        <v>47</v>
      </c>
      <c r="T2067" t="str">
        <f t="shared" si="64"/>
        <v>High</v>
      </c>
      <c r="U2067" t="str">
        <f t="shared" si="65"/>
        <v>Expert</v>
      </c>
    </row>
    <row r="2068" spans="1:21" x14ac:dyDescent="0.35">
      <c r="A2068" t="s">
        <v>2141</v>
      </c>
      <c r="B2068" t="s">
        <v>91</v>
      </c>
      <c r="C2068" t="s">
        <v>39</v>
      </c>
      <c r="D2068" t="s">
        <v>49</v>
      </c>
      <c r="E2068" t="s">
        <v>33</v>
      </c>
      <c r="F2068">
        <v>7</v>
      </c>
      <c r="G2068">
        <v>0.06</v>
      </c>
      <c r="H2068">
        <v>0.95</v>
      </c>
      <c r="I2068" t="s">
        <v>60</v>
      </c>
      <c r="J2068">
        <v>214980</v>
      </c>
      <c r="K2068" t="s">
        <v>42</v>
      </c>
      <c r="L2068">
        <v>41</v>
      </c>
      <c r="M2068">
        <v>50</v>
      </c>
      <c r="N2068" t="s">
        <v>26</v>
      </c>
      <c r="O2068" t="s">
        <v>25</v>
      </c>
      <c r="P2068">
        <v>2.25</v>
      </c>
      <c r="Q2068" t="s">
        <v>24</v>
      </c>
      <c r="R2068">
        <v>1.39</v>
      </c>
      <c r="S2068" t="s">
        <v>43</v>
      </c>
      <c r="T2068" t="str">
        <f t="shared" si="64"/>
        <v>Very High</v>
      </c>
      <c r="U2068" t="str">
        <f t="shared" si="65"/>
        <v>Intermediate</v>
      </c>
    </row>
    <row r="2069" spans="1:21" x14ac:dyDescent="0.35">
      <c r="A2069" t="s">
        <v>2142</v>
      </c>
      <c r="B2069" t="s">
        <v>51</v>
      </c>
      <c r="C2069" t="s">
        <v>31</v>
      </c>
      <c r="D2069" t="s">
        <v>75</v>
      </c>
      <c r="E2069" t="s">
        <v>41</v>
      </c>
      <c r="F2069">
        <v>13</v>
      </c>
      <c r="G2069">
        <v>0.77</v>
      </c>
      <c r="H2069">
        <v>0.64</v>
      </c>
      <c r="I2069" t="s">
        <v>24</v>
      </c>
      <c r="J2069">
        <v>71435</v>
      </c>
      <c r="K2069" t="s">
        <v>25</v>
      </c>
      <c r="L2069">
        <v>23</v>
      </c>
      <c r="M2069">
        <v>42</v>
      </c>
      <c r="N2069" t="s">
        <v>42</v>
      </c>
      <c r="O2069" t="s">
        <v>36</v>
      </c>
      <c r="P2069">
        <v>4.54</v>
      </c>
      <c r="Q2069" t="s">
        <v>34</v>
      </c>
      <c r="R2069">
        <v>4.71</v>
      </c>
      <c r="S2069" t="s">
        <v>47</v>
      </c>
      <c r="T2069" t="str">
        <f t="shared" si="64"/>
        <v>Moderate</v>
      </c>
      <c r="U2069" t="str">
        <f t="shared" si="65"/>
        <v>Experienced</v>
      </c>
    </row>
    <row r="2070" spans="1:21" x14ac:dyDescent="0.35">
      <c r="A2070" t="s">
        <v>2143</v>
      </c>
      <c r="B2070" t="s">
        <v>89</v>
      </c>
      <c r="C2070" t="s">
        <v>21</v>
      </c>
      <c r="D2070" t="s">
        <v>40</v>
      </c>
      <c r="E2070" t="s">
        <v>41</v>
      </c>
      <c r="F2070">
        <v>25</v>
      </c>
      <c r="G2070">
        <v>0.36</v>
      </c>
      <c r="H2070">
        <v>0.77</v>
      </c>
      <c r="I2070" t="s">
        <v>24</v>
      </c>
      <c r="J2070">
        <v>102547</v>
      </c>
      <c r="K2070" t="s">
        <v>42</v>
      </c>
      <c r="L2070">
        <v>11</v>
      </c>
      <c r="M2070">
        <v>31</v>
      </c>
      <c r="N2070" t="s">
        <v>35</v>
      </c>
      <c r="O2070" t="s">
        <v>36</v>
      </c>
      <c r="P2070">
        <v>4.24</v>
      </c>
      <c r="Q2070" t="s">
        <v>24</v>
      </c>
      <c r="R2070">
        <v>3.83</v>
      </c>
      <c r="S2070" t="s">
        <v>28</v>
      </c>
      <c r="T2070" t="str">
        <f t="shared" si="64"/>
        <v>Very High</v>
      </c>
      <c r="U2070" t="str">
        <f t="shared" si="65"/>
        <v>Expert</v>
      </c>
    </row>
    <row r="2071" spans="1:21" x14ac:dyDescent="0.35">
      <c r="A2071" t="s">
        <v>2144</v>
      </c>
      <c r="B2071" t="s">
        <v>54</v>
      </c>
      <c r="C2071" t="s">
        <v>107</v>
      </c>
      <c r="D2071" t="s">
        <v>49</v>
      </c>
      <c r="E2071" t="s">
        <v>23</v>
      </c>
      <c r="F2071">
        <v>13</v>
      </c>
      <c r="G2071">
        <v>0.59</v>
      </c>
      <c r="H2071">
        <v>0.35</v>
      </c>
      <c r="I2071" t="s">
        <v>24</v>
      </c>
      <c r="J2071">
        <v>214230</v>
      </c>
      <c r="K2071" t="s">
        <v>42</v>
      </c>
      <c r="L2071">
        <v>6</v>
      </c>
      <c r="M2071">
        <v>59</v>
      </c>
      <c r="N2071" t="s">
        <v>26</v>
      </c>
      <c r="O2071" t="s">
        <v>36</v>
      </c>
      <c r="P2071">
        <v>3.13</v>
      </c>
      <c r="Q2071" t="s">
        <v>34</v>
      </c>
      <c r="R2071">
        <v>2.89</v>
      </c>
      <c r="S2071" t="s">
        <v>47</v>
      </c>
      <c r="T2071" t="str">
        <f t="shared" si="64"/>
        <v>Moderate</v>
      </c>
      <c r="U2071" t="str">
        <f t="shared" si="65"/>
        <v>Experienced</v>
      </c>
    </row>
    <row r="2072" spans="1:21" x14ac:dyDescent="0.35">
      <c r="A2072" t="s">
        <v>2145</v>
      </c>
      <c r="B2072" t="s">
        <v>54</v>
      </c>
      <c r="C2072" t="s">
        <v>55</v>
      </c>
      <c r="D2072" t="s">
        <v>69</v>
      </c>
      <c r="E2072" t="s">
        <v>41</v>
      </c>
      <c r="F2072">
        <v>24</v>
      </c>
      <c r="G2072">
        <v>0.28000000000000003</v>
      </c>
      <c r="H2072">
        <v>0.24</v>
      </c>
      <c r="I2072" t="s">
        <v>60</v>
      </c>
      <c r="J2072">
        <v>184838</v>
      </c>
      <c r="K2072" t="s">
        <v>42</v>
      </c>
      <c r="L2072">
        <v>11</v>
      </c>
      <c r="M2072">
        <v>57</v>
      </c>
      <c r="N2072" t="s">
        <v>42</v>
      </c>
      <c r="O2072" t="s">
        <v>25</v>
      </c>
      <c r="P2072">
        <v>4.22</v>
      </c>
      <c r="Q2072" t="s">
        <v>24</v>
      </c>
      <c r="R2072">
        <v>2.99</v>
      </c>
      <c r="S2072" t="s">
        <v>43</v>
      </c>
      <c r="T2072" t="str">
        <f t="shared" si="64"/>
        <v>Moderate</v>
      </c>
      <c r="U2072" t="str">
        <f t="shared" si="65"/>
        <v>Expert</v>
      </c>
    </row>
    <row r="2073" spans="1:21" x14ac:dyDescent="0.35">
      <c r="A2073" t="s">
        <v>2146</v>
      </c>
      <c r="B2073" t="s">
        <v>156</v>
      </c>
      <c r="C2073" t="s">
        <v>21</v>
      </c>
      <c r="D2073" t="s">
        <v>22</v>
      </c>
      <c r="E2073" t="s">
        <v>23</v>
      </c>
      <c r="F2073">
        <v>21</v>
      </c>
      <c r="G2073">
        <v>0.39</v>
      </c>
      <c r="H2073">
        <v>0.49</v>
      </c>
      <c r="I2073" t="s">
        <v>34</v>
      </c>
      <c r="J2073">
        <v>175840</v>
      </c>
      <c r="K2073" t="s">
        <v>42</v>
      </c>
      <c r="L2073">
        <v>21</v>
      </c>
      <c r="M2073">
        <v>31</v>
      </c>
      <c r="N2073" t="s">
        <v>26</v>
      </c>
      <c r="O2073" t="s">
        <v>25</v>
      </c>
      <c r="P2073">
        <v>3.2</v>
      </c>
      <c r="Q2073" t="s">
        <v>34</v>
      </c>
      <c r="R2073">
        <v>4.4000000000000004</v>
      </c>
      <c r="S2073" t="s">
        <v>43</v>
      </c>
      <c r="T2073" t="str">
        <f t="shared" si="64"/>
        <v>High</v>
      </c>
      <c r="U2073" t="str">
        <f t="shared" si="65"/>
        <v>Expert</v>
      </c>
    </row>
    <row r="2074" spans="1:21" x14ac:dyDescent="0.35">
      <c r="A2074" t="s">
        <v>2147</v>
      </c>
      <c r="B2074" t="s">
        <v>106</v>
      </c>
      <c r="C2074" t="s">
        <v>46</v>
      </c>
      <c r="D2074" t="s">
        <v>66</v>
      </c>
      <c r="E2074" t="s">
        <v>33</v>
      </c>
      <c r="F2074">
        <v>23</v>
      </c>
      <c r="G2074">
        <v>0.13</v>
      </c>
      <c r="H2074">
        <v>0.44</v>
      </c>
      <c r="I2074" t="s">
        <v>34</v>
      </c>
      <c r="J2074">
        <v>103136</v>
      </c>
      <c r="K2074" t="s">
        <v>42</v>
      </c>
      <c r="L2074">
        <v>40</v>
      </c>
      <c r="M2074">
        <v>50</v>
      </c>
      <c r="N2074" t="s">
        <v>35</v>
      </c>
      <c r="O2074" t="s">
        <v>27</v>
      </c>
      <c r="P2074">
        <v>3.62</v>
      </c>
      <c r="Q2074" t="s">
        <v>34</v>
      </c>
      <c r="R2074">
        <v>4.3899999999999997</v>
      </c>
      <c r="S2074" t="s">
        <v>47</v>
      </c>
      <c r="T2074" t="str">
        <f t="shared" si="64"/>
        <v>High</v>
      </c>
      <c r="U2074" t="str">
        <f t="shared" si="65"/>
        <v>Expert</v>
      </c>
    </row>
    <row r="2075" spans="1:21" x14ac:dyDescent="0.35">
      <c r="A2075" t="s">
        <v>2148</v>
      </c>
      <c r="B2075" t="s">
        <v>94</v>
      </c>
      <c r="C2075" t="s">
        <v>55</v>
      </c>
      <c r="D2075" t="s">
        <v>66</v>
      </c>
      <c r="E2075" t="s">
        <v>23</v>
      </c>
      <c r="F2075">
        <v>1</v>
      </c>
      <c r="G2075">
        <v>0.64</v>
      </c>
      <c r="H2075">
        <v>0.97</v>
      </c>
      <c r="I2075" t="s">
        <v>34</v>
      </c>
      <c r="J2075">
        <v>76341</v>
      </c>
      <c r="K2075" t="s">
        <v>25</v>
      </c>
      <c r="L2075">
        <v>6</v>
      </c>
      <c r="M2075">
        <v>32</v>
      </c>
      <c r="N2075" t="s">
        <v>42</v>
      </c>
      <c r="O2075" t="s">
        <v>27</v>
      </c>
      <c r="P2075">
        <v>3.69</v>
      </c>
      <c r="Q2075" t="s">
        <v>24</v>
      </c>
      <c r="R2075">
        <v>2.1800000000000002</v>
      </c>
      <c r="S2075" t="s">
        <v>47</v>
      </c>
      <c r="T2075" t="str">
        <f t="shared" si="64"/>
        <v>High</v>
      </c>
      <c r="U2075" t="str">
        <f t="shared" si="65"/>
        <v>Beginner</v>
      </c>
    </row>
    <row r="2076" spans="1:21" x14ac:dyDescent="0.35">
      <c r="A2076" t="s">
        <v>2149</v>
      </c>
      <c r="B2076" t="s">
        <v>57</v>
      </c>
      <c r="C2076" t="s">
        <v>52</v>
      </c>
      <c r="D2076" t="s">
        <v>63</v>
      </c>
      <c r="E2076" t="s">
        <v>23</v>
      </c>
      <c r="F2076">
        <v>4</v>
      </c>
      <c r="G2076">
        <v>0.44</v>
      </c>
      <c r="H2076">
        <v>0.26</v>
      </c>
      <c r="I2076" t="s">
        <v>60</v>
      </c>
      <c r="J2076">
        <v>99383</v>
      </c>
      <c r="K2076" t="s">
        <v>25</v>
      </c>
      <c r="L2076">
        <v>28</v>
      </c>
      <c r="M2076">
        <v>53</v>
      </c>
      <c r="N2076" t="s">
        <v>26</v>
      </c>
      <c r="O2076" t="s">
        <v>36</v>
      </c>
      <c r="P2076">
        <v>3.17</v>
      </c>
      <c r="Q2076" t="s">
        <v>24</v>
      </c>
      <c r="R2076">
        <v>3.73</v>
      </c>
      <c r="S2076" t="s">
        <v>43</v>
      </c>
      <c r="T2076" t="str">
        <f t="shared" si="64"/>
        <v>Moderate</v>
      </c>
      <c r="U2076" t="str">
        <f t="shared" si="65"/>
        <v>Intermediate</v>
      </c>
    </row>
    <row r="2077" spans="1:21" x14ac:dyDescent="0.35">
      <c r="A2077" t="s">
        <v>2150</v>
      </c>
      <c r="B2077" t="s">
        <v>45</v>
      </c>
      <c r="C2077" t="s">
        <v>107</v>
      </c>
      <c r="D2077" t="s">
        <v>63</v>
      </c>
      <c r="E2077" t="s">
        <v>41</v>
      </c>
      <c r="F2077">
        <v>22</v>
      </c>
      <c r="G2077">
        <v>0.08</v>
      </c>
      <c r="H2077">
        <v>0.59</v>
      </c>
      <c r="I2077" t="s">
        <v>60</v>
      </c>
      <c r="J2077">
        <v>33644</v>
      </c>
      <c r="K2077" t="s">
        <v>27</v>
      </c>
      <c r="L2077">
        <v>-10</v>
      </c>
      <c r="M2077">
        <v>30</v>
      </c>
      <c r="N2077" t="s">
        <v>42</v>
      </c>
      <c r="O2077" t="s">
        <v>36</v>
      </c>
      <c r="P2077">
        <v>3.66</v>
      </c>
      <c r="Q2077" t="s">
        <v>24</v>
      </c>
      <c r="R2077">
        <v>3.03</v>
      </c>
      <c r="S2077" t="s">
        <v>43</v>
      </c>
      <c r="T2077" t="str">
        <f t="shared" si="64"/>
        <v>High</v>
      </c>
      <c r="U2077" t="str">
        <f t="shared" si="65"/>
        <v>Expert</v>
      </c>
    </row>
    <row r="2078" spans="1:21" x14ac:dyDescent="0.35">
      <c r="A2078" t="s">
        <v>2151</v>
      </c>
      <c r="B2078" t="s">
        <v>94</v>
      </c>
      <c r="C2078" t="s">
        <v>52</v>
      </c>
      <c r="D2078" t="s">
        <v>49</v>
      </c>
      <c r="E2078" t="s">
        <v>33</v>
      </c>
      <c r="F2078">
        <v>22</v>
      </c>
      <c r="G2078">
        <v>0.44</v>
      </c>
      <c r="H2078">
        <v>0.57999999999999996</v>
      </c>
      <c r="I2078" t="s">
        <v>24</v>
      </c>
      <c r="J2078">
        <v>41990</v>
      </c>
      <c r="K2078" t="s">
        <v>27</v>
      </c>
      <c r="L2078">
        <v>36</v>
      </c>
      <c r="M2078">
        <v>35</v>
      </c>
      <c r="N2078" t="s">
        <v>35</v>
      </c>
      <c r="O2078" t="s">
        <v>27</v>
      </c>
      <c r="P2078">
        <v>4.28</v>
      </c>
      <c r="Q2078" t="s">
        <v>34</v>
      </c>
      <c r="R2078">
        <v>3.34</v>
      </c>
      <c r="S2078" t="s">
        <v>47</v>
      </c>
      <c r="T2078" t="str">
        <f t="shared" si="64"/>
        <v>High</v>
      </c>
      <c r="U2078" t="str">
        <f t="shared" si="65"/>
        <v>Expert</v>
      </c>
    </row>
    <row r="2079" spans="1:21" x14ac:dyDescent="0.35">
      <c r="A2079" t="s">
        <v>2152</v>
      </c>
      <c r="B2079" t="s">
        <v>77</v>
      </c>
      <c r="C2079" t="s">
        <v>107</v>
      </c>
      <c r="D2079" t="s">
        <v>80</v>
      </c>
      <c r="E2079" t="s">
        <v>33</v>
      </c>
      <c r="F2079">
        <v>6</v>
      </c>
      <c r="G2079">
        <v>0.19</v>
      </c>
      <c r="H2079">
        <v>0.95</v>
      </c>
      <c r="I2079" t="s">
        <v>34</v>
      </c>
      <c r="J2079">
        <v>125300</v>
      </c>
      <c r="K2079" t="s">
        <v>42</v>
      </c>
      <c r="L2079">
        <v>7</v>
      </c>
      <c r="M2079">
        <v>55</v>
      </c>
      <c r="N2079" t="s">
        <v>26</v>
      </c>
      <c r="O2079" t="s">
        <v>25</v>
      </c>
      <c r="P2079">
        <v>4.6900000000000004</v>
      </c>
      <c r="Q2079" t="s">
        <v>24</v>
      </c>
      <c r="R2079">
        <v>1.68</v>
      </c>
      <c r="S2079" t="s">
        <v>47</v>
      </c>
      <c r="T2079" t="str">
        <f t="shared" si="64"/>
        <v>Very High</v>
      </c>
      <c r="U2079" t="str">
        <f t="shared" si="65"/>
        <v>Intermediate</v>
      </c>
    </row>
    <row r="2080" spans="1:21" x14ac:dyDescent="0.35">
      <c r="A2080" t="s">
        <v>2153</v>
      </c>
      <c r="B2080" t="s">
        <v>20</v>
      </c>
      <c r="C2080" t="s">
        <v>58</v>
      </c>
      <c r="D2080" t="s">
        <v>40</v>
      </c>
      <c r="E2080" t="s">
        <v>33</v>
      </c>
      <c r="F2080">
        <v>21</v>
      </c>
      <c r="G2080">
        <v>0.4</v>
      </c>
      <c r="H2080">
        <v>0.78</v>
      </c>
      <c r="I2080" t="s">
        <v>24</v>
      </c>
      <c r="J2080">
        <v>169828</v>
      </c>
      <c r="K2080" t="s">
        <v>42</v>
      </c>
      <c r="L2080">
        <v>38</v>
      </c>
      <c r="M2080">
        <v>42</v>
      </c>
      <c r="N2080" t="s">
        <v>35</v>
      </c>
      <c r="O2080" t="s">
        <v>25</v>
      </c>
      <c r="P2080">
        <v>3.6</v>
      </c>
      <c r="Q2080" t="s">
        <v>34</v>
      </c>
      <c r="R2080">
        <v>1.38</v>
      </c>
      <c r="S2080" t="s">
        <v>47</v>
      </c>
      <c r="T2080" t="str">
        <f t="shared" si="64"/>
        <v>High</v>
      </c>
      <c r="U2080" t="str">
        <f t="shared" si="65"/>
        <v>Expert</v>
      </c>
    </row>
    <row r="2081" spans="1:21" x14ac:dyDescent="0.35">
      <c r="A2081" t="s">
        <v>2154</v>
      </c>
      <c r="B2081" t="s">
        <v>96</v>
      </c>
      <c r="C2081" t="s">
        <v>82</v>
      </c>
      <c r="D2081" t="s">
        <v>75</v>
      </c>
      <c r="E2081" t="s">
        <v>23</v>
      </c>
      <c r="F2081">
        <v>22</v>
      </c>
      <c r="G2081">
        <v>0.79</v>
      </c>
      <c r="H2081">
        <v>0.23</v>
      </c>
      <c r="I2081" t="s">
        <v>24</v>
      </c>
      <c r="J2081">
        <v>48314</v>
      </c>
      <c r="K2081" t="s">
        <v>42</v>
      </c>
      <c r="L2081">
        <v>-7</v>
      </c>
      <c r="M2081">
        <v>37</v>
      </c>
      <c r="N2081" t="s">
        <v>42</v>
      </c>
      <c r="O2081" t="s">
        <v>36</v>
      </c>
      <c r="P2081">
        <v>3.86</v>
      </c>
      <c r="Q2081" t="s">
        <v>24</v>
      </c>
      <c r="R2081">
        <v>2.27</v>
      </c>
      <c r="S2081" t="s">
        <v>43</v>
      </c>
      <c r="T2081" t="str">
        <f t="shared" si="64"/>
        <v>Very Low</v>
      </c>
      <c r="U2081" t="str">
        <f t="shared" si="65"/>
        <v>Expert</v>
      </c>
    </row>
    <row r="2082" spans="1:21" x14ac:dyDescent="0.35">
      <c r="A2082" t="s">
        <v>2155</v>
      </c>
      <c r="B2082" t="s">
        <v>20</v>
      </c>
      <c r="C2082" t="s">
        <v>52</v>
      </c>
      <c r="D2082" t="s">
        <v>59</v>
      </c>
      <c r="E2082" t="s">
        <v>23</v>
      </c>
      <c r="F2082">
        <v>1</v>
      </c>
      <c r="G2082">
        <v>0.93</v>
      </c>
      <c r="H2082">
        <v>0.52</v>
      </c>
      <c r="I2082" t="s">
        <v>24</v>
      </c>
      <c r="J2082">
        <v>121021</v>
      </c>
      <c r="K2082" t="s">
        <v>42</v>
      </c>
      <c r="L2082">
        <v>5</v>
      </c>
      <c r="M2082">
        <v>57</v>
      </c>
      <c r="N2082" t="s">
        <v>42</v>
      </c>
      <c r="O2082" t="s">
        <v>27</v>
      </c>
      <c r="P2082">
        <v>3.46</v>
      </c>
      <c r="Q2082" t="s">
        <v>24</v>
      </c>
      <c r="R2082">
        <v>4.24</v>
      </c>
      <c r="S2082" t="s">
        <v>28</v>
      </c>
      <c r="T2082" t="str">
        <f t="shared" si="64"/>
        <v>Moderate</v>
      </c>
      <c r="U2082" t="str">
        <f t="shared" si="65"/>
        <v>Beginner</v>
      </c>
    </row>
    <row r="2083" spans="1:21" x14ac:dyDescent="0.35">
      <c r="A2083" t="s">
        <v>2156</v>
      </c>
      <c r="B2083" t="s">
        <v>96</v>
      </c>
      <c r="C2083" t="s">
        <v>46</v>
      </c>
      <c r="D2083" t="s">
        <v>66</v>
      </c>
      <c r="E2083" t="s">
        <v>41</v>
      </c>
      <c r="F2083">
        <v>19</v>
      </c>
      <c r="G2083">
        <v>0.09</v>
      </c>
      <c r="H2083">
        <v>0.63</v>
      </c>
      <c r="I2083" t="s">
        <v>34</v>
      </c>
      <c r="J2083">
        <v>35143</v>
      </c>
      <c r="K2083" t="s">
        <v>27</v>
      </c>
      <c r="L2083">
        <v>41</v>
      </c>
      <c r="M2083">
        <v>59</v>
      </c>
      <c r="N2083" t="s">
        <v>42</v>
      </c>
      <c r="O2083" t="s">
        <v>25</v>
      </c>
      <c r="P2083">
        <v>4.47</v>
      </c>
      <c r="Q2083" t="s">
        <v>34</v>
      </c>
      <c r="R2083">
        <v>4.6500000000000004</v>
      </c>
      <c r="S2083" t="s">
        <v>28</v>
      </c>
      <c r="T2083" t="str">
        <f t="shared" si="64"/>
        <v>High</v>
      </c>
      <c r="U2083" t="str">
        <f t="shared" si="65"/>
        <v>Expert</v>
      </c>
    </row>
    <row r="2084" spans="1:21" x14ac:dyDescent="0.35">
      <c r="A2084" t="s">
        <v>2157</v>
      </c>
      <c r="B2084" t="s">
        <v>20</v>
      </c>
      <c r="C2084" t="s">
        <v>31</v>
      </c>
      <c r="D2084" t="s">
        <v>80</v>
      </c>
      <c r="E2084" t="s">
        <v>70</v>
      </c>
      <c r="F2084">
        <v>7</v>
      </c>
      <c r="G2084">
        <v>0.63</v>
      </c>
      <c r="H2084">
        <v>0.55000000000000004</v>
      </c>
      <c r="I2084" t="s">
        <v>60</v>
      </c>
      <c r="J2084">
        <v>114571</v>
      </c>
      <c r="K2084" t="s">
        <v>27</v>
      </c>
      <c r="L2084">
        <v>4</v>
      </c>
      <c r="M2084">
        <v>60</v>
      </c>
      <c r="N2084" t="s">
        <v>35</v>
      </c>
      <c r="O2084" t="s">
        <v>25</v>
      </c>
      <c r="P2084">
        <v>2.83</v>
      </c>
      <c r="Q2084" t="s">
        <v>24</v>
      </c>
      <c r="R2084">
        <v>1.9</v>
      </c>
      <c r="S2084" t="s">
        <v>43</v>
      </c>
      <c r="T2084" t="str">
        <f t="shared" si="64"/>
        <v>Moderate</v>
      </c>
      <c r="U2084" t="str">
        <f t="shared" si="65"/>
        <v>Intermediate</v>
      </c>
    </row>
    <row r="2085" spans="1:21" x14ac:dyDescent="0.35">
      <c r="A2085" t="s">
        <v>2158</v>
      </c>
      <c r="B2085" t="s">
        <v>147</v>
      </c>
      <c r="C2085" t="s">
        <v>46</v>
      </c>
      <c r="D2085" t="s">
        <v>75</v>
      </c>
      <c r="E2085" t="s">
        <v>70</v>
      </c>
      <c r="F2085">
        <v>9</v>
      </c>
      <c r="G2085">
        <v>0.83</v>
      </c>
      <c r="H2085">
        <v>0.74</v>
      </c>
      <c r="I2085" t="s">
        <v>34</v>
      </c>
      <c r="J2085">
        <v>153289</v>
      </c>
      <c r="K2085" t="s">
        <v>27</v>
      </c>
      <c r="L2085">
        <v>-7</v>
      </c>
      <c r="M2085">
        <v>50</v>
      </c>
      <c r="N2085" t="s">
        <v>42</v>
      </c>
      <c r="O2085" t="s">
        <v>27</v>
      </c>
      <c r="P2085">
        <v>3.66</v>
      </c>
      <c r="Q2085" t="s">
        <v>24</v>
      </c>
      <c r="R2085">
        <v>1.23</v>
      </c>
      <c r="S2085" t="s">
        <v>43</v>
      </c>
      <c r="T2085" t="str">
        <f t="shared" si="64"/>
        <v>Moderate</v>
      </c>
      <c r="U2085" t="str">
        <f t="shared" si="65"/>
        <v>Experienced</v>
      </c>
    </row>
    <row r="2086" spans="1:21" x14ac:dyDescent="0.35">
      <c r="A2086" t="s">
        <v>2159</v>
      </c>
      <c r="B2086" t="s">
        <v>147</v>
      </c>
      <c r="C2086" t="s">
        <v>21</v>
      </c>
      <c r="D2086" t="s">
        <v>59</v>
      </c>
      <c r="E2086" t="s">
        <v>41</v>
      </c>
      <c r="F2086">
        <v>21</v>
      </c>
      <c r="G2086">
        <v>0.19</v>
      </c>
      <c r="H2086">
        <v>0.56000000000000005</v>
      </c>
      <c r="I2086" t="s">
        <v>24</v>
      </c>
      <c r="J2086">
        <v>98913</v>
      </c>
      <c r="K2086" t="s">
        <v>42</v>
      </c>
      <c r="L2086">
        <v>30</v>
      </c>
      <c r="M2086">
        <v>55</v>
      </c>
      <c r="N2086" t="s">
        <v>35</v>
      </c>
      <c r="O2086" t="s">
        <v>25</v>
      </c>
      <c r="P2086">
        <v>4.6900000000000004</v>
      </c>
      <c r="Q2086" t="s">
        <v>34</v>
      </c>
      <c r="R2086">
        <v>4.66</v>
      </c>
      <c r="S2086" t="s">
        <v>43</v>
      </c>
      <c r="T2086" t="str">
        <f t="shared" si="64"/>
        <v>High</v>
      </c>
      <c r="U2086" t="str">
        <f t="shared" si="65"/>
        <v>Expert</v>
      </c>
    </row>
    <row r="2087" spans="1:21" x14ac:dyDescent="0.35">
      <c r="A2087" t="s">
        <v>2160</v>
      </c>
      <c r="B2087" t="s">
        <v>51</v>
      </c>
      <c r="C2087" t="s">
        <v>55</v>
      </c>
      <c r="D2087" t="s">
        <v>32</v>
      </c>
      <c r="E2087" t="s">
        <v>70</v>
      </c>
      <c r="F2087">
        <v>25</v>
      </c>
      <c r="G2087">
        <v>0.21</v>
      </c>
      <c r="H2087">
        <v>0.44</v>
      </c>
      <c r="I2087" t="s">
        <v>24</v>
      </c>
      <c r="J2087">
        <v>130351</v>
      </c>
      <c r="K2087" t="s">
        <v>42</v>
      </c>
      <c r="L2087">
        <v>0</v>
      </c>
      <c r="M2087">
        <v>41</v>
      </c>
      <c r="N2087" t="s">
        <v>42</v>
      </c>
      <c r="O2087" t="s">
        <v>25</v>
      </c>
      <c r="P2087">
        <v>2.5499999999999998</v>
      </c>
      <c r="Q2087" t="s">
        <v>34</v>
      </c>
      <c r="R2087">
        <v>3.77</v>
      </c>
      <c r="S2087" t="s">
        <v>28</v>
      </c>
      <c r="T2087" t="str">
        <f t="shared" si="64"/>
        <v>High</v>
      </c>
      <c r="U2087" t="str">
        <f t="shared" si="65"/>
        <v>Expert</v>
      </c>
    </row>
    <row r="2088" spans="1:21" x14ac:dyDescent="0.35">
      <c r="A2088" t="s">
        <v>2161</v>
      </c>
      <c r="B2088" t="s">
        <v>91</v>
      </c>
      <c r="C2088" t="s">
        <v>21</v>
      </c>
      <c r="D2088" t="s">
        <v>40</v>
      </c>
      <c r="E2088" t="s">
        <v>23</v>
      </c>
      <c r="F2088">
        <v>17</v>
      </c>
      <c r="G2088">
        <v>0.16</v>
      </c>
      <c r="H2088">
        <v>0.46</v>
      </c>
      <c r="I2088" t="s">
        <v>60</v>
      </c>
      <c r="J2088">
        <v>96294</v>
      </c>
      <c r="K2088" t="s">
        <v>42</v>
      </c>
      <c r="L2088">
        <v>33</v>
      </c>
      <c r="M2088">
        <v>54</v>
      </c>
      <c r="N2088" t="s">
        <v>42</v>
      </c>
      <c r="O2088" t="s">
        <v>25</v>
      </c>
      <c r="P2088">
        <v>4.16</v>
      </c>
      <c r="Q2088" t="s">
        <v>24</v>
      </c>
      <c r="R2088">
        <v>1.83</v>
      </c>
      <c r="S2088" t="s">
        <v>28</v>
      </c>
      <c r="T2088" t="str">
        <f t="shared" si="64"/>
        <v>High</v>
      </c>
      <c r="U2088" t="str">
        <f t="shared" si="65"/>
        <v>Expert</v>
      </c>
    </row>
    <row r="2089" spans="1:21" x14ac:dyDescent="0.35">
      <c r="A2089" t="s">
        <v>2162</v>
      </c>
      <c r="B2089" t="s">
        <v>62</v>
      </c>
      <c r="C2089" t="s">
        <v>21</v>
      </c>
      <c r="D2089" t="s">
        <v>32</v>
      </c>
      <c r="E2089" t="s">
        <v>41</v>
      </c>
      <c r="F2089">
        <v>22</v>
      </c>
      <c r="G2089">
        <v>0.51</v>
      </c>
      <c r="H2089">
        <v>0.48</v>
      </c>
      <c r="I2089" t="s">
        <v>24</v>
      </c>
      <c r="J2089">
        <v>54271</v>
      </c>
      <c r="K2089" t="s">
        <v>42</v>
      </c>
      <c r="L2089">
        <v>6</v>
      </c>
      <c r="M2089">
        <v>50</v>
      </c>
      <c r="N2089" t="s">
        <v>35</v>
      </c>
      <c r="O2089" t="s">
        <v>36</v>
      </c>
      <c r="P2089">
        <v>4.2</v>
      </c>
      <c r="Q2089" t="s">
        <v>34</v>
      </c>
      <c r="R2089">
        <v>1.27</v>
      </c>
      <c r="S2089" t="s">
        <v>43</v>
      </c>
      <c r="T2089" t="str">
        <f t="shared" si="64"/>
        <v>Moderate</v>
      </c>
      <c r="U2089" t="str">
        <f t="shared" si="65"/>
        <v>Expert</v>
      </c>
    </row>
    <row r="2090" spans="1:21" x14ac:dyDescent="0.35">
      <c r="A2090" t="s">
        <v>2163</v>
      </c>
      <c r="B2090" t="s">
        <v>20</v>
      </c>
      <c r="C2090" t="s">
        <v>46</v>
      </c>
      <c r="D2090" t="s">
        <v>22</v>
      </c>
      <c r="E2090" t="s">
        <v>70</v>
      </c>
      <c r="F2090">
        <v>14</v>
      </c>
      <c r="G2090">
        <v>0.68</v>
      </c>
      <c r="H2090">
        <v>0.31</v>
      </c>
      <c r="I2090" t="s">
        <v>24</v>
      </c>
      <c r="J2090">
        <v>130315</v>
      </c>
      <c r="K2090" t="s">
        <v>27</v>
      </c>
      <c r="L2090">
        <v>19</v>
      </c>
      <c r="M2090">
        <v>56</v>
      </c>
      <c r="N2090" t="s">
        <v>26</v>
      </c>
      <c r="O2090" t="s">
        <v>25</v>
      </c>
      <c r="P2090">
        <v>2.13</v>
      </c>
      <c r="Q2090" t="s">
        <v>24</v>
      </c>
      <c r="R2090">
        <v>3.7</v>
      </c>
      <c r="S2090" t="s">
        <v>47</v>
      </c>
      <c r="T2090" t="str">
        <f t="shared" si="64"/>
        <v>Moderate</v>
      </c>
      <c r="U2090" t="str">
        <f t="shared" si="65"/>
        <v>Experienced</v>
      </c>
    </row>
    <row r="2091" spans="1:21" x14ac:dyDescent="0.35">
      <c r="A2091" t="s">
        <v>2164</v>
      </c>
      <c r="B2091" t="s">
        <v>91</v>
      </c>
      <c r="C2091" t="s">
        <v>21</v>
      </c>
      <c r="D2091" t="s">
        <v>32</v>
      </c>
      <c r="E2091" t="s">
        <v>70</v>
      </c>
      <c r="F2091">
        <v>3</v>
      </c>
      <c r="G2091">
        <v>0.42</v>
      </c>
      <c r="H2091">
        <v>0.53</v>
      </c>
      <c r="I2091" t="s">
        <v>24</v>
      </c>
      <c r="J2091">
        <v>41892</v>
      </c>
      <c r="K2091" t="s">
        <v>42</v>
      </c>
      <c r="L2091">
        <v>3</v>
      </c>
      <c r="M2091">
        <v>49</v>
      </c>
      <c r="N2091" t="s">
        <v>42</v>
      </c>
      <c r="O2091" t="s">
        <v>27</v>
      </c>
      <c r="P2091">
        <v>2.2599999999999998</v>
      </c>
      <c r="Q2091" t="s">
        <v>34</v>
      </c>
      <c r="R2091">
        <v>3.14</v>
      </c>
      <c r="S2091" t="s">
        <v>47</v>
      </c>
      <c r="T2091" t="str">
        <f t="shared" si="64"/>
        <v>High</v>
      </c>
      <c r="U2091" t="str">
        <f t="shared" si="65"/>
        <v>Intermediate</v>
      </c>
    </row>
    <row r="2092" spans="1:21" x14ac:dyDescent="0.35">
      <c r="A2092" t="s">
        <v>2165</v>
      </c>
      <c r="B2092" t="s">
        <v>147</v>
      </c>
      <c r="C2092" t="s">
        <v>39</v>
      </c>
      <c r="D2092" t="s">
        <v>40</v>
      </c>
      <c r="E2092" t="s">
        <v>70</v>
      </c>
      <c r="F2092">
        <v>23</v>
      </c>
      <c r="G2092">
        <v>0.22</v>
      </c>
      <c r="H2092">
        <v>0.44</v>
      </c>
      <c r="I2092" t="s">
        <v>34</v>
      </c>
      <c r="J2092">
        <v>142072</v>
      </c>
      <c r="K2092" t="s">
        <v>27</v>
      </c>
      <c r="L2092">
        <v>28</v>
      </c>
      <c r="M2092">
        <v>55</v>
      </c>
      <c r="N2092" t="s">
        <v>42</v>
      </c>
      <c r="O2092" t="s">
        <v>36</v>
      </c>
      <c r="P2092">
        <v>4.8600000000000003</v>
      </c>
      <c r="Q2092" t="s">
        <v>24</v>
      </c>
      <c r="R2092">
        <v>2.4700000000000002</v>
      </c>
      <c r="S2092" t="s">
        <v>28</v>
      </c>
      <c r="T2092" t="str">
        <f t="shared" si="64"/>
        <v>High</v>
      </c>
      <c r="U2092" t="str">
        <f t="shared" si="65"/>
        <v>Expert</v>
      </c>
    </row>
    <row r="2093" spans="1:21" x14ac:dyDescent="0.35">
      <c r="A2093" t="s">
        <v>2166</v>
      </c>
      <c r="B2093" t="s">
        <v>20</v>
      </c>
      <c r="C2093" t="s">
        <v>107</v>
      </c>
      <c r="D2093" t="s">
        <v>22</v>
      </c>
      <c r="E2093" t="s">
        <v>23</v>
      </c>
      <c r="F2093">
        <v>13</v>
      </c>
      <c r="G2093">
        <v>0.76</v>
      </c>
      <c r="H2093">
        <v>0.93</v>
      </c>
      <c r="I2093" t="s">
        <v>24</v>
      </c>
      <c r="J2093">
        <v>58256</v>
      </c>
      <c r="K2093" t="s">
        <v>25</v>
      </c>
      <c r="L2093">
        <v>33</v>
      </c>
      <c r="M2093">
        <v>54</v>
      </c>
      <c r="N2093" t="s">
        <v>35</v>
      </c>
      <c r="O2093" t="s">
        <v>25</v>
      </c>
      <c r="P2093">
        <v>2.6</v>
      </c>
      <c r="Q2093" t="s">
        <v>34</v>
      </c>
      <c r="R2093">
        <v>1.62</v>
      </c>
      <c r="S2093" t="s">
        <v>47</v>
      </c>
      <c r="T2093" t="str">
        <f t="shared" si="64"/>
        <v>High</v>
      </c>
      <c r="U2093" t="str">
        <f t="shared" si="65"/>
        <v>Experienced</v>
      </c>
    </row>
    <row r="2094" spans="1:21" x14ac:dyDescent="0.35">
      <c r="A2094" t="s">
        <v>2167</v>
      </c>
      <c r="B2094" t="s">
        <v>30</v>
      </c>
      <c r="C2094" t="s">
        <v>58</v>
      </c>
      <c r="D2094" t="s">
        <v>22</v>
      </c>
      <c r="E2094" t="s">
        <v>33</v>
      </c>
      <c r="F2094">
        <v>15</v>
      </c>
      <c r="G2094">
        <v>0.65</v>
      </c>
      <c r="H2094">
        <v>0.51</v>
      </c>
      <c r="I2094" t="s">
        <v>24</v>
      </c>
      <c r="J2094">
        <v>68056</v>
      </c>
      <c r="K2094" t="s">
        <v>42</v>
      </c>
      <c r="L2094">
        <v>-10</v>
      </c>
      <c r="M2094">
        <v>30</v>
      </c>
      <c r="N2094" t="s">
        <v>42</v>
      </c>
      <c r="O2094" t="s">
        <v>25</v>
      </c>
      <c r="P2094">
        <v>4.32</v>
      </c>
      <c r="Q2094" t="s">
        <v>34</v>
      </c>
      <c r="R2094">
        <v>4.72</v>
      </c>
      <c r="S2094" t="s">
        <v>43</v>
      </c>
      <c r="T2094" t="str">
        <f t="shared" si="64"/>
        <v>Moderate</v>
      </c>
      <c r="U2094" t="str">
        <f t="shared" si="65"/>
        <v>Experienced</v>
      </c>
    </row>
    <row r="2095" spans="1:21" x14ac:dyDescent="0.35">
      <c r="A2095" t="s">
        <v>2168</v>
      </c>
      <c r="B2095" t="s">
        <v>30</v>
      </c>
      <c r="C2095" t="s">
        <v>107</v>
      </c>
      <c r="D2095" t="s">
        <v>80</v>
      </c>
      <c r="E2095" t="s">
        <v>23</v>
      </c>
      <c r="F2095">
        <v>13</v>
      </c>
      <c r="G2095">
        <v>0.4</v>
      </c>
      <c r="H2095">
        <v>0.78</v>
      </c>
      <c r="I2095" t="s">
        <v>24</v>
      </c>
      <c r="J2095">
        <v>151663</v>
      </c>
      <c r="K2095" t="s">
        <v>42</v>
      </c>
      <c r="L2095">
        <v>22</v>
      </c>
      <c r="M2095">
        <v>30</v>
      </c>
      <c r="N2095" t="s">
        <v>42</v>
      </c>
      <c r="O2095" t="s">
        <v>25</v>
      </c>
      <c r="P2095">
        <v>4.91</v>
      </c>
      <c r="Q2095" t="s">
        <v>34</v>
      </c>
      <c r="R2095">
        <v>1.77</v>
      </c>
      <c r="S2095" t="s">
        <v>47</v>
      </c>
      <c r="T2095" t="str">
        <f t="shared" si="64"/>
        <v>High</v>
      </c>
      <c r="U2095" t="str">
        <f t="shared" si="65"/>
        <v>Experienced</v>
      </c>
    </row>
    <row r="2096" spans="1:21" x14ac:dyDescent="0.35">
      <c r="A2096" t="s">
        <v>2169</v>
      </c>
      <c r="B2096" t="s">
        <v>20</v>
      </c>
      <c r="C2096" t="s">
        <v>82</v>
      </c>
      <c r="D2096" t="s">
        <v>66</v>
      </c>
      <c r="E2096" t="s">
        <v>23</v>
      </c>
      <c r="F2096">
        <v>15</v>
      </c>
      <c r="G2096">
        <v>0.46</v>
      </c>
      <c r="H2096">
        <v>0.27</v>
      </c>
      <c r="I2096" t="s">
        <v>24</v>
      </c>
      <c r="J2096">
        <v>182250</v>
      </c>
      <c r="K2096" t="s">
        <v>27</v>
      </c>
      <c r="L2096">
        <v>33</v>
      </c>
      <c r="M2096">
        <v>44</v>
      </c>
      <c r="N2096" t="s">
        <v>42</v>
      </c>
      <c r="O2096" t="s">
        <v>25</v>
      </c>
      <c r="P2096">
        <v>3.57</v>
      </c>
      <c r="Q2096" t="s">
        <v>34</v>
      </c>
      <c r="R2096">
        <v>1.55</v>
      </c>
      <c r="S2096" t="s">
        <v>47</v>
      </c>
      <c r="T2096" t="str">
        <f t="shared" si="64"/>
        <v>Moderate</v>
      </c>
      <c r="U2096" t="str">
        <f t="shared" si="65"/>
        <v>Experienced</v>
      </c>
    </row>
    <row r="2097" spans="1:21" x14ac:dyDescent="0.35">
      <c r="A2097" t="s">
        <v>2170</v>
      </c>
      <c r="B2097" t="s">
        <v>20</v>
      </c>
      <c r="C2097" t="s">
        <v>46</v>
      </c>
      <c r="D2097" t="s">
        <v>69</v>
      </c>
      <c r="E2097" t="s">
        <v>41</v>
      </c>
      <c r="F2097">
        <v>0</v>
      </c>
      <c r="G2097">
        <v>0.5</v>
      </c>
      <c r="H2097">
        <v>0.71</v>
      </c>
      <c r="I2097" t="s">
        <v>34</v>
      </c>
      <c r="J2097">
        <v>141048</v>
      </c>
      <c r="K2097" t="s">
        <v>42</v>
      </c>
      <c r="L2097">
        <v>44</v>
      </c>
      <c r="M2097">
        <v>55</v>
      </c>
      <c r="N2097" t="s">
        <v>26</v>
      </c>
      <c r="O2097" t="s">
        <v>27</v>
      </c>
      <c r="P2097">
        <v>4.72</v>
      </c>
      <c r="Q2097" t="s">
        <v>24</v>
      </c>
      <c r="R2097">
        <v>4.5</v>
      </c>
      <c r="S2097" t="s">
        <v>47</v>
      </c>
      <c r="T2097" t="str">
        <f t="shared" si="64"/>
        <v>High</v>
      </c>
      <c r="U2097" t="str">
        <f t="shared" si="65"/>
        <v>Beginner</v>
      </c>
    </row>
    <row r="2098" spans="1:21" x14ac:dyDescent="0.35">
      <c r="A2098" t="s">
        <v>2171</v>
      </c>
      <c r="B2098" t="s">
        <v>156</v>
      </c>
      <c r="C2098" t="s">
        <v>52</v>
      </c>
      <c r="D2098" t="s">
        <v>80</v>
      </c>
      <c r="E2098" t="s">
        <v>41</v>
      </c>
      <c r="F2098">
        <v>21</v>
      </c>
      <c r="G2098">
        <v>0.65</v>
      </c>
      <c r="H2098">
        <v>0.5</v>
      </c>
      <c r="I2098" t="s">
        <v>34</v>
      </c>
      <c r="J2098">
        <v>162010</v>
      </c>
      <c r="K2098" t="s">
        <v>27</v>
      </c>
      <c r="L2098">
        <v>-2</v>
      </c>
      <c r="M2098">
        <v>35</v>
      </c>
      <c r="N2098" t="s">
        <v>26</v>
      </c>
      <c r="O2098" t="s">
        <v>36</v>
      </c>
      <c r="P2098">
        <v>2.2999999999999998</v>
      </c>
      <c r="Q2098" t="s">
        <v>34</v>
      </c>
      <c r="R2098">
        <v>4.97</v>
      </c>
      <c r="S2098" t="s">
        <v>43</v>
      </c>
      <c r="T2098" t="str">
        <f t="shared" si="64"/>
        <v>Moderate</v>
      </c>
      <c r="U2098" t="str">
        <f t="shared" si="65"/>
        <v>Expert</v>
      </c>
    </row>
    <row r="2099" spans="1:21" x14ac:dyDescent="0.35">
      <c r="A2099" t="s">
        <v>2172</v>
      </c>
      <c r="B2099" t="s">
        <v>20</v>
      </c>
      <c r="C2099" t="s">
        <v>58</v>
      </c>
      <c r="D2099" t="s">
        <v>22</v>
      </c>
      <c r="E2099" t="s">
        <v>70</v>
      </c>
      <c r="F2099">
        <v>23</v>
      </c>
      <c r="G2099">
        <v>0.55000000000000004</v>
      </c>
      <c r="H2099">
        <v>0.62</v>
      </c>
      <c r="I2099" t="s">
        <v>34</v>
      </c>
      <c r="J2099">
        <v>99311</v>
      </c>
      <c r="K2099" t="s">
        <v>42</v>
      </c>
      <c r="L2099">
        <v>23</v>
      </c>
      <c r="M2099">
        <v>44</v>
      </c>
      <c r="N2099" t="s">
        <v>26</v>
      </c>
      <c r="O2099" t="s">
        <v>27</v>
      </c>
      <c r="P2099">
        <v>2.13</v>
      </c>
      <c r="Q2099" t="s">
        <v>34</v>
      </c>
      <c r="R2099">
        <v>4.59</v>
      </c>
      <c r="S2099" t="s">
        <v>28</v>
      </c>
      <c r="T2099" t="str">
        <f t="shared" si="64"/>
        <v>High</v>
      </c>
      <c r="U2099" t="str">
        <f t="shared" si="65"/>
        <v>Expert</v>
      </c>
    </row>
    <row r="2100" spans="1:21" x14ac:dyDescent="0.35">
      <c r="A2100" t="s">
        <v>2173</v>
      </c>
      <c r="B2100" t="s">
        <v>91</v>
      </c>
      <c r="C2100" t="s">
        <v>82</v>
      </c>
      <c r="D2100" t="s">
        <v>69</v>
      </c>
      <c r="E2100" t="s">
        <v>41</v>
      </c>
      <c r="F2100">
        <v>5</v>
      </c>
      <c r="G2100">
        <v>0.77</v>
      </c>
      <c r="H2100">
        <v>0.63</v>
      </c>
      <c r="I2100" t="s">
        <v>24</v>
      </c>
      <c r="J2100">
        <v>211416</v>
      </c>
      <c r="K2100" t="s">
        <v>25</v>
      </c>
      <c r="L2100">
        <v>-6</v>
      </c>
      <c r="M2100">
        <v>51</v>
      </c>
      <c r="N2100" t="s">
        <v>26</v>
      </c>
      <c r="O2100" t="s">
        <v>27</v>
      </c>
      <c r="P2100">
        <v>2.09</v>
      </c>
      <c r="Q2100" t="s">
        <v>34</v>
      </c>
      <c r="R2100">
        <v>3.99</v>
      </c>
      <c r="S2100" t="s">
        <v>43</v>
      </c>
      <c r="T2100" t="str">
        <f t="shared" si="64"/>
        <v>Moderate</v>
      </c>
      <c r="U2100" t="str">
        <f t="shared" si="65"/>
        <v>Intermediate</v>
      </c>
    </row>
    <row r="2101" spans="1:21" x14ac:dyDescent="0.35">
      <c r="A2101" t="s">
        <v>2174</v>
      </c>
      <c r="B2101" t="s">
        <v>89</v>
      </c>
      <c r="C2101" t="s">
        <v>55</v>
      </c>
      <c r="D2101" t="s">
        <v>75</v>
      </c>
      <c r="E2101" t="s">
        <v>33</v>
      </c>
      <c r="F2101">
        <v>14</v>
      </c>
      <c r="G2101">
        <v>0.32</v>
      </c>
      <c r="H2101">
        <v>0.71</v>
      </c>
      <c r="I2101" t="s">
        <v>60</v>
      </c>
      <c r="J2101">
        <v>169252</v>
      </c>
      <c r="K2101" t="s">
        <v>25</v>
      </c>
      <c r="L2101">
        <v>31</v>
      </c>
      <c r="M2101">
        <v>54</v>
      </c>
      <c r="N2101" t="s">
        <v>42</v>
      </c>
      <c r="O2101" t="s">
        <v>27</v>
      </c>
      <c r="P2101">
        <v>4.7699999999999996</v>
      </c>
      <c r="Q2101" t="s">
        <v>24</v>
      </c>
      <c r="R2101">
        <v>2.76</v>
      </c>
      <c r="S2101" t="s">
        <v>47</v>
      </c>
      <c r="T2101" t="str">
        <f t="shared" si="64"/>
        <v>Very High</v>
      </c>
      <c r="U2101" t="str">
        <f t="shared" si="65"/>
        <v>Experienced</v>
      </c>
    </row>
    <row r="2102" spans="1:21" x14ac:dyDescent="0.35">
      <c r="A2102" t="s">
        <v>2175</v>
      </c>
      <c r="B2102" t="s">
        <v>20</v>
      </c>
      <c r="C2102" t="s">
        <v>21</v>
      </c>
      <c r="D2102" t="s">
        <v>59</v>
      </c>
      <c r="E2102" t="s">
        <v>23</v>
      </c>
      <c r="F2102">
        <v>6</v>
      </c>
      <c r="G2102">
        <v>0.35</v>
      </c>
      <c r="H2102">
        <v>0.95</v>
      </c>
      <c r="I2102" t="s">
        <v>60</v>
      </c>
      <c r="J2102">
        <v>157562</v>
      </c>
      <c r="K2102" t="s">
        <v>25</v>
      </c>
      <c r="L2102">
        <v>8</v>
      </c>
      <c r="M2102">
        <v>56</v>
      </c>
      <c r="N2102" t="s">
        <v>35</v>
      </c>
      <c r="O2102" t="s">
        <v>25</v>
      </c>
      <c r="P2102">
        <v>4.5199999999999996</v>
      </c>
      <c r="Q2102" t="s">
        <v>34</v>
      </c>
      <c r="R2102">
        <v>2.5499999999999998</v>
      </c>
      <c r="S2102" t="s">
        <v>47</v>
      </c>
      <c r="T2102" t="str">
        <f t="shared" si="64"/>
        <v>Very High</v>
      </c>
      <c r="U2102" t="str">
        <f t="shared" si="65"/>
        <v>Intermediate</v>
      </c>
    </row>
    <row r="2103" spans="1:21" x14ac:dyDescent="0.35">
      <c r="A2103" t="s">
        <v>2176</v>
      </c>
      <c r="B2103" t="s">
        <v>51</v>
      </c>
      <c r="C2103" t="s">
        <v>107</v>
      </c>
      <c r="D2103" t="s">
        <v>59</v>
      </c>
      <c r="E2103" t="s">
        <v>41</v>
      </c>
      <c r="F2103">
        <v>11</v>
      </c>
      <c r="G2103">
        <v>0.8</v>
      </c>
      <c r="H2103">
        <v>0.59</v>
      </c>
      <c r="I2103" t="s">
        <v>60</v>
      </c>
      <c r="J2103">
        <v>172768</v>
      </c>
      <c r="K2103" t="s">
        <v>27</v>
      </c>
      <c r="L2103">
        <v>20</v>
      </c>
      <c r="M2103">
        <v>43</v>
      </c>
      <c r="N2103" t="s">
        <v>42</v>
      </c>
      <c r="O2103" t="s">
        <v>25</v>
      </c>
      <c r="P2103">
        <v>2.1</v>
      </c>
      <c r="Q2103" t="s">
        <v>34</v>
      </c>
      <c r="R2103">
        <v>4.3</v>
      </c>
      <c r="S2103" t="s">
        <v>43</v>
      </c>
      <c r="T2103" t="str">
        <f t="shared" si="64"/>
        <v>Moderate</v>
      </c>
      <c r="U2103" t="str">
        <f t="shared" si="65"/>
        <v>Experienced</v>
      </c>
    </row>
    <row r="2104" spans="1:21" x14ac:dyDescent="0.35">
      <c r="A2104" t="s">
        <v>2177</v>
      </c>
      <c r="B2104" t="s">
        <v>96</v>
      </c>
      <c r="C2104" t="s">
        <v>82</v>
      </c>
      <c r="D2104" t="s">
        <v>40</v>
      </c>
      <c r="E2104" t="s">
        <v>23</v>
      </c>
      <c r="F2104">
        <v>16</v>
      </c>
      <c r="G2104">
        <v>0.35</v>
      </c>
      <c r="H2104">
        <v>0.55000000000000004</v>
      </c>
      <c r="I2104" t="s">
        <v>60</v>
      </c>
      <c r="J2104">
        <v>136504</v>
      </c>
      <c r="K2104" t="s">
        <v>42</v>
      </c>
      <c r="L2104">
        <v>43</v>
      </c>
      <c r="M2104">
        <v>43</v>
      </c>
      <c r="N2104" t="s">
        <v>42</v>
      </c>
      <c r="O2104" t="s">
        <v>27</v>
      </c>
      <c r="P2104">
        <v>2.38</v>
      </c>
      <c r="Q2104" t="s">
        <v>34</v>
      </c>
      <c r="R2104">
        <v>3.66</v>
      </c>
      <c r="S2104" t="s">
        <v>43</v>
      </c>
      <c r="T2104" t="str">
        <f t="shared" si="64"/>
        <v>High</v>
      </c>
      <c r="U2104" t="str">
        <f t="shared" si="65"/>
        <v>Expert</v>
      </c>
    </row>
    <row r="2105" spans="1:21" x14ac:dyDescent="0.35">
      <c r="A2105" t="s">
        <v>2178</v>
      </c>
      <c r="B2105" t="s">
        <v>77</v>
      </c>
      <c r="C2105" t="s">
        <v>58</v>
      </c>
      <c r="D2105" t="s">
        <v>49</v>
      </c>
      <c r="E2105" t="s">
        <v>33</v>
      </c>
      <c r="F2105">
        <v>4</v>
      </c>
      <c r="G2105">
        <v>0.46</v>
      </c>
      <c r="H2105">
        <v>0.68</v>
      </c>
      <c r="I2105" t="s">
        <v>60</v>
      </c>
      <c r="J2105">
        <v>180091</v>
      </c>
      <c r="K2105" t="s">
        <v>42</v>
      </c>
      <c r="L2105">
        <v>20</v>
      </c>
      <c r="M2105">
        <v>49</v>
      </c>
      <c r="N2105" t="s">
        <v>42</v>
      </c>
      <c r="O2105" t="s">
        <v>25</v>
      </c>
      <c r="P2105">
        <v>3.3</v>
      </c>
      <c r="Q2105" t="s">
        <v>24</v>
      </c>
      <c r="R2105">
        <v>1.4</v>
      </c>
      <c r="S2105" t="s">
        <v>43</v>
      </c>
      <c r="T2105" t="str">
        <f t="shared" si="64"/>
        <v>High</v>
      </c>
      <c r="U2105" t="str">
        <f t="shared" si="65"/>
        <v>Intermediate</v>
      </c>
    </row>
    <row r="2106" spans="1:21" x14ac:dyDescent="0.35">
      <c r="A2106" t="s">
        <v>2179</v>
      </c>
      <c r="B2106" t="s">
        <v>20</v>
      </c>
      <c r="C2106" t="s">
        <v>52</v>
      </c>
      <c r="D2106" t="s">
        <v>80</v>
      </c>
      <c r="E2106" t="s">
        <v>33</v>
      </c>
      <c r="F2106">
        <v>7</v>
      </c>
      <c r="G2106">
        <v>0.44</v>
      </c>
      <c r="H2106">
        <v>0.93</v>
      </c>
      <c r="I2106" t="s">
        <v>60</v>
      </c>
      <c r="J2106">
        <v>91180</v>
      </c>
      <c r="K2106" t="s">
        <v>25</v>
      </c>
      <c r="L2106">
        <v>41</v>
      </c>
      <c r="M2106">
        <v>36</v>
      </c>
      <c r="N2106" t="s">
        <v>26</v>
      </c>
      <c r="O2106" t="s">
        <v>27</v>
      </c>
      <c r="P2106">
        <v>4.25</v>
      </c>
      <c r="Q2106" t="s">
        <v>34</v>
      </c>
      <c r="R2106">
        <v>1.55</v>
      </c>
      <c r="S2106" t="s">
        <v>43</v>
      </c>
      <c r="T2106" t="str">
        <f t="shared" si="64"/>
        <v>High</v>
      </c>
      <c r="U2106" t="str">
        <f t="shared" si="65"/>
        <v>Intermediate</v>
      </c>
    </row>
    <row r="2107" spans="1:21" x14ac:dyDescent="0.35">
      <c r="A2107" t="s">
        <v>2180</v>
      </c>
      <c r="B2107" t="s">
        <v>73</v>
      </c>
      <c r="C2107" t="s">
        <v>39</v>
      </c>
      <c r="D2107" t="s">
        <v>63</v>
      </c>
      <c r="E2107" t="s">
        <v>23</v>
      </c>
      <c r="F2107">
        <v>11</v>
      </c>
      <c r="G2107">
        <v>0.42</v>
      </c>
      <c r="H2107">
        <v>0.54</v>
      </c>
      <c r="I2107" t="s">
        <v>34</v>
      </c>
      <c r="J2107">
        <v>52774</v>
      </c>
      <c r="K2107" t="s">
        <v>42</v>
      </c>
      <c r="L2107">
        <v>31</v>
      </c>
      <c r="M2107">
        <v>47</v>
      </c>
      <c r="N2107" t="s">
        <v>35</v>
      </c>
      <c r="O2107" t="s">
        <v>27</v>
      </c>
      <c r="P2107">
        <v>4.74</v>
      </c>
      <c r="Q2107" t="s">
        <v>24</v>
      </c>
      <c r="R2107">
        <v>2.96</v>
      </c>
      <c r="S2107" t="s">
        <v>47</v>
      </c>
      <c r="T2107" t="str">
        <f t="shared" si="64"/>
        <v>High</v>
      </c>
      <c r="U2107" t="str">
        <f t="shared" si="65"/>
        <v>Experienced</v>
      </c>
    </row>
    <row r="2108" spans="1:21" x14ac:dyDescent="0.35">
      <c r="A2108" t="s">
        <v>2181</v>
      </c>
      <c r="B2108" t="s">
        <v>73</v>
      </c>
      <c r="C2108" t="s">
        <v>58</v>
      </c>
      <c r="D2108" t="s">
        <v>40</v>
      </c>
      <c r="E2108" t="s">
        <v>33</v>
      </c>
      <c r="F2108">
        <v>13</v>
      </c>
      <c r="G2108">
        <v>0.61</v>
      </c>
      <c r="H2108">
        <v>0.2</v>
      </c>
      <c r="I2108" t="s">
        <v>34</v>
      </c>
      <c r="J2108">
        <v>134540</v>
      </c>
      <c r="K2108" t="s">
        <v>42</v>
      </c>
      <c r="L2108">
        <v>44</v>
      </c>
      <c r="M2108">
        <v>42</v>
      </c>
      <c r="N2108" t="s">
        <v>26</v>
      </c>
      <c r="O2108" t="s">
        <v>25</v>
      </c>
      <c r="P2108">
        <v>3.76</v>
      </c>
      <c r="Q2108" t="s">
        <v>34</v>
      </c>
      <c r="R2108">
        <v>1.3</v>
      </c>
      <c r="S2108" t="s">
        <v>28</v>
      </c>
      <c r="T2108" t="str">
        <f t="shared" si="64"/>
        <v>Moderate</v>
      </c>
      <c r="U2108" t="str">
        <f t="shared" si="65"/>
        <v>Experienced</v>
      </c>
    </row>
    <row r="2109" spans="1:21" x14ac:dyDescent="0.35">
      <c r="A2109" t="s">
        <v>2182</v>
      </c>
      <c r="B2109" t="s">
        <v>38</v>
      </c>
      <c r="C2109" t="s">
        <v>74</v>
      </c>
      <c r="D2109" t="s">
        <v>66</v>
      </c>
      <c r="E2109" t="s">
        <v>70</v>
      </c>
      <c r="F2109">
        <v>9</v>
      </c>
      <c r="G2109">
        <v>0.59</v>
      </c>
      <c r="H2109">
        <v>0.54</v>
      </c>
      <c r="I2109" t="s">
        <v>60</v>
      </c>
      <c r="J2109">
        <v>123223</v>
      </c>
      <c r="K2109" t="s">
        <v>25</v>
      </c>
      <c r="L2109">
        <v>-8</v>
      </c>
      <c r="M2109">
        <v>31</v>
      </c>
      <c r="N2109" t="s">
        <v>35</v>
      </c>
      <c r="O2109" t="s">
        <v>36</v>
      </c>
      <c r="P2109">
        <v>4.66</v>
      </c>
      <c r="Q2109" t="s">
        <v>34</v>
      </c>
      <c r="R2109">
        <v>4.42</v>
      </c>
      <c r="S2109" t="s">
        <v>47</v>
      </c>
      <c r="T2109" t="str">
        <f t="shared" si="64"/>
        <v>Moderate</v>
      </c>
      <c r="U2109" t="str">
        <f t="shared" si="65"/>
        <v>Experienced</v>
      </c>
    </row>
    <row r="2110" spans="1:21" x14ac:dyDescent="0.35">
      <c r="A2110" t="s">
        <v>2183</v>
      </c>
      <c r="B2110" t="s">
        <v>20</v>
      </c>
      <c r="C2110" t="s">
        <v>46</v>
      </c>
      <c r="D2110" t="s">
        <v>80</v>
      </c>
      <c r="E2110" t="s">
        <v>23</v>
      </c>
      <c r="F2110">
        <v>21</v>
      </c>
      <c r="G2110">
        <v>0.21</v>
      </c>
      <c r="H2110">
        <v>0.76</v>
      </c>
      <c r="I2110" t="s">
        <v>24</v>
      </c>
      <c r="J2110">
        <v>119096</v>
      </c>
      <c r="K2110" t="s">
        <v>25</v>
      </c>
      <c r="L2110">
        <v>21</v>
      </c>
      <c r="M2110">
        <v>54</v>
      </c>
      <c r="N2110" t="s">
        <v>35</v>
      </c>
      <c r="O2110" t="s">
        <v>25</v>
      </c>
      <c r="P2110">
        <v>2.33</v>
      </c>
      <c r="Q2110" t="s">
        <v>34</v>
      </c>
      <c r="R2110">
        <v>2.4900000000000002</v>
      </c>
      <c r="S2110" t="s">
        <v>43</v>
      </c>
      <c r="T2110" t="str">
        <f t="shared" si="64"/>
        <v>Very High</v>
      </c>
      <c r="U2110" t="str">
        <f t="shared" si="65"/>
        <v>Expert</v>
      </c>
    </row>
    <row r="2111" spans="1:21" x14ac:dyDescent="0.35">
      <c r="A2111" t="s">
        <v>2184</v>
      </c>
      <c r="B2111" t="s">
        <v>45</v>
      </c>
      <c r="C2111" t="s">
        <v>21</v>
      </c>
      <c r="D2111" t="s">
        <v>49</v>
      </c>
      <c r="E2111" t="s">
        <v>41</v>
      </c>
      <c r="F2111">
        <v>6</v>
      </c>
      <c r="G2111">
        <v>0.61</v>
      </c>
      <c r="H2111">
        <v>0.74</v>
      </c>
      <c r="I2111" t="s">
        <v>60</v>
      </c>
      <c r="J2111">
        <v>135910</v>
      </c>
      <c r="K2111" t="s">
        <v>42</v>
      </c>
      <c r="L2111">
        <v>-10</v>
      </c>
      <c r="M2111">
        <v>50</v>
      </c>
      <c r="N2111" t="s">
        <v>35</v>
      </c>
      <c r="O2111" t="s">
        <v>36</v>
      </c>
      <c r="P2111">
        <v>2.1</v>
      </c>
      <c r="Q2111" t="s">
        <v>24</v>
      </c>
      <c r="R2111">
        <v>2.63</v>
      </c>
      <c r="S2111" t="s">
        <v>47</v>
      </c>
      <c r="T2111" t="str">
        <f t="shared" si="64"/>
        <v>High</v>
      </c>
      <c r="U2111" t="str">
        <f t="shared" si="65"/>
        <v>Intermediate</v>
      </c>
    </row>
    <row r="2112" spans="1:21" x14ac:dyDescent="0.35">
      <c r="A2112" t="s">
        <v>2185</v>
      </c>
      <c r="B2112" t="s">
        <v>94</v>
      </c>
      <c r="C2112" t="s">
        <v>74</v>
      </c>
      <c r="D2112" t="s">
        <v>32</v>
      </c>
      <c r="E2112" t="s">
        <v>23</v>
      </c>
      <c r="F2112">
        <v>21</v>
      </c>
      <c r="G2112">
        <v>0.33</v>
      </c>
      <c r="H2112">
        <v>0.65</v>
      </c>
      <c r="I2112" t="s">
        <v>60</v>
      </c>
      <c r="J2112">
        <v>110374</v>
      </c>
      <c r="K2112" t="s">
        <v>42</v>
      </c>
      <c r="L2112">
        <v>-7</v>
      </c>
      <c r="M2112">
        <v>57</v>
      </c>
      <c r="N2112" t="s">
        <v>42</v>
      </c>
      <c r="O2112" t="s">
        <v>25</v>
      </c>
      <c r="P2112">
        <v>2.85</v>
      </c>
      <c r="Q2112" t="s">
        <v>34</v>
      </c>
      <c r="R2112">
        <v>3.69</v>
      </c>
      <c r="S2112" t="s">
        <v>43</v>
      </c>
      <c r="T2112" t="str">
        <f t="shared" si="64"/>
        <v>High</v>
      </c>
      <c r="U2112" t="str">
        <f t="shared" si="65"/>
        <v>Expert</v>
      </c>
    </row>
    <row r="2113" spans="1:21" x14ac:dyDescent="0.35">
      <c r="A2113" t="s">
        <v>2186</v>
      </c>
      <c r="B2113" t="s">
        <v>147</v>
      </c>
      <c r="C2113" t="s">
        <v>39</v>
      </c>
      <c r="D2113" t="s">
        <v>80</v>
      </c>
      <c r="E2113" t="s">
        <v>23</v>
      </c>
      <c r="F2113">
        <v>10</v>
      </c>
      <c r="G2113">
        <v>0.19</v>
      </c>
      <c r="H2113">
        <v>0.5</v>
      </c>
      <c r="I2113" t="s">
        <v>34</v>
      </c>
      <c r="J2113">
        <v>180212</v>
      </c>
      <c r="K2113" t="s">
        <v>27</v>
      </c>
      <c r="L2113">
        <v>30</v>
      </c>
      <c r="M2113">
        <v>58</v>
      </c>
      <c r="N2113" t="s">
        <v>26</v>
      </c>
      <c r="O2113" t="s">
        <v>36</v>
      </c>
      <c r="P2113">
        <v>4.7699999999999996</v>
      </c>
      <c r="Q2113" t="s">
        <v>24</v>
      </c>
      <c r="R2113">
        <v>1.24</v>
      </c>
      <c r="S2113" t="s">
        <v>28</v>
      </c>
      <c r="T2113" t="str">
        <f t="shared" si="64"/>
        <v>High</v>
      </c>
      <c r="U2113" t="str">
        <f t="shared" si="65"/>
        <v>Experienced</v>
      </c>
    </row>
    <row r="2114" spans="1:21" x14ac:dyDescent="0.35">
      <c r="A2114" t="s">
        <v>2187</v>
      </c>
      <c r="B2114" t="s">
        <v>57</v>
      </c>
      <c r="C2114" t="s">
        <v>58</v>
      </c>
      <c r="D2114" t="s">
        <v>40</v>
      </c>
      <c r="E2114" t="s">
        <v>23</v>
      </c>
      <c r="F2114">
        <v>8</v>
      </c>
      <c r="G2114">
        <v>0.92</v>
      </c>
      <c r="H2114">
        <v>0.96</v>
      </c>
      <c r="I2114" t="s">
        <v>60</v>
      </c>
      <c r="J2114">
        <v>73172</v>
      </c>
      <c r="K2114" t="s">
        <v>25</v>
      </c>
      <c r="L2114">
        <v>-9</v>
      </c>
      <c r="M2114">
        <v>59</v>
      </c>
      <c r="N2114" t="s">
        <v>26</v>
      </c>
      <c r="O2114" t="s">
        <v>25</v>
      </c>
      <c r="P2114">
        <v>3.88</v>
      </c>
      <c r="Q2114" t="s">
        <v>24</v>
      </c>
      <c r="R2114">
        <v>3.41</v>
      </c>
      <c r="S2114" t="s">
        <v>43</v>
      </c>
      <c r="T2114" t="str">
        <f t="shared" si="64"/>
        <v>High</v>
      </c>
      <c r="U2114" t="str">
        <f t="shared" si="65"/>
        <v>Intermediate</v>
      </c>
    </row>
    <row r="2115" spans="1:21" x14ac:dyDescent="0.35">
      <c r="A2115" t="s">
        <v>2188</v>
      </c>
      <c r="B2115" t="s">
        <v>62</v>
      </c>
      <c r="C2115" t="s">
        <v>74</v>
      </c>
      <c r="D2115" t="s">
        <v>49</v>
      </c>
      <c r="E2115" t="s">
        <v>23</v>
      </c>
      <c r="F2115">
        <v>15</v>
      </c>
      <c r="G2115">
        <v>0.7</v>
      </c>
      <c r="H2115">
        <v>0.31</v>
      </c>
      <c r="I2115" t="s">
        <v>60</v>
      </c>
      <c r="J2115">
        <v>214083</v>
      </c>
      <c r="K2115" t="s">
        <v>27</v>
      </c>
      <c r="L2115">
        <v>36</v>
      </c>
      <c r="M2115">
        <v>39</v>
      </c>
      <c r="N2115" t="s">
        <v>26</v>
      </c>
      <c r="O2115" t="s">
        <v>25</v>
      </c>
      <c r="P2115">
        <v>2.88</v>
      </c>
      <c r="Q2115" t="s">
        <v>34</v>
      </c>
      <c r="R2115">
        <v>4.7699999999999996</v>
      </c>
      <c r="S2115" t="s">
        <v>47</v>
      </c>
      <c r="T2115" t="str">
        <f t="shared" ref="T2115:T2178" si="66">IF(AND(G2115&lt;0.4,H2115&gt;=0.7),"Very High",
IF(AND(G2115&gt;=0.7,H2115&lt;0.5),"Very Low",
IF(G2115&lt;H2115,"High","Moderate")))</f>
        <v>Very Low</v>
      </c>
      <c r="U2115" t="str">
        <f t="shared" ref="U2115:U2178" si="67">_xlfn.IFS(F2115&lt;=2,"Beginner",F2115&lt;=8,"Intermediate",F2115&lt;=15,"Experienced",F2115&lt;=25,"Expert")</f>
        <v>Experienced</v>
      </c>
    </row>
    <row r="2116" spans="1:21" x14ac:dyDescent="0.35">
      <c r="A2116" t="s">
        <v>2189</v>
      </c>
      <c r="B2116" t="s">
        <v>102</v>
      </c>
      <c r="C2116" t="s">
        <v>31</v>
      </c>
      <c r="D2116" t="s">
        <v>40</v>
      </c>
      <c r="E2116" t="s">
        <v>41</v>
      </c>
      <c r="F2116">
        <v>13</v>
      </c>
      <c r="G2116">
        <v>0.83</v>
      </c>
      <c r="H2116">
        <v>0.78</v>
      </c>
      <c r="I2116" t="s">
        <v>34</v>
      </c>
      <c r="J2116">
        <v>163676</v>
      </c>
      <c r="K2116" t="s">
        <v>27</v>
      </c>
      <c r="L2116">
        <v>40</v>
      </c>
      <c r="M2116">
        <v>51</v>
      </c>
      <c r="N2116" t="s">
        <v>35</v>
      </c>
      <c r="O2116" t="s">
        <v>25</v>
      </c>
      <c r="P2116">
        <v>2.1</v>
      </c>
      <c r="Q2116" t="s">
        <v>34</v>
      </c>
      <c r="R2116">
        <v>3.24</v>
      </c>
      <c r="S2116" t="s">
        <v>43</v>
      </c>
      <c r="T2116" t="str">
        <f t="shared" si="66"/>
        <v>Moderate</v>
      </c>
      <c r="U2116" t="str">
        <f t="shared" si="67"/>
        <v>Experienced</v>
      </c>
    </row>
    <row r="2117" spans="1:21" x14ac:dyDescent="0.35">
      <c r="A2117" t="s">
        <v>2190</v>
      </c>
      <c r="B2117" t="s">
        <v>106</v>
      </c>
      <c r="C2117" t="s">
        <v>55</v>
      </c>
      <c r="D2117" t="s">
        <v>32</v>
      </c>
      <c r="E2117" t="s">
        <v>23</v>
      </c>
      <c r="F2117">
        <v>11</v>
      </c>
      <c r="G2117">
        <v>0.39</v>
      </c>
      <c r="H2117">
        <v>0.41</v>
      </c>
      <c r="I2117" t="s">
        <v>60</v>
      </c>
      <c r="J2117">
        <v>61746</v>
      </c>
      <c r="K2117" t="s">
        <v>42</v>
      </c>
      <c r="L2117">
        <v>28</v>
      </c>
      <c r="M2117">
        <v>45</v>
      </c>
      <c r="N2117" t="s">
        <v>35</v>
      </c>
      <c r="O2117" t="s">
        <v>25</v>
      </c>
      <c r="P2117">
        <v>2.85</v>
      </c>
      <c r="Q2117" t="s">
        <v>24</v>
      </c>
      <c r="R2117">
        <v>1.01</v>
      </c>
      <c r="S2117" t="s">
        <v>28</v>
      </c>
      <c r="T2117" t="str">
        <f t="shared" si="66"/>
        <v>High</v>
      </c>
      <c r="U2117" t="str">
        <f t="shared" si="67"/>
        <v>Experienced</v>
      </c>
    </row>
    <row r="2118" spans="1:21" x14ac:dyDescent="0.35">
      <c r="A2118" t="s">
        <v>2191</v>
      </c>
      <c r="B2118" t="s">
        <v>54</v>
      </c>
      <c r="C2118" t="s">
        <v>74</v>
      </c>
      <c r="D2118" t="s">
        <v>69</v>
      </c>
      <c r="E2118" t="s">
        <v>70</v>
      </c>
      <c r="F2118">
        <v>3</v>
      </c>
      <c r="G2118">
        <v>0.8</v>
      </c>
      <c r="H2118">
        <v>0.79</v>
      </c>
      <c r="I2118" t="s">
        <v>60</v>
      </c>
      <c r="J2118">
        <v>89924</v>
      </c>
      <c r="K2118" t="s">
        <v>25</v>
      </c>
      <c r="L2118">
        <v>39</v>
      </c>
      <c r="M2118">
        <v>37</v>
      </c>
      <c r="N2118" t="s">
        <v>42</v>
      </c>
      <c r="O2118" t="s">
        <v>25</v>
      </c>
      <c r="P2118">
        <v>4.76</v>
      </c>
      <c r="Q2118" t="s">
        <v>34</v>
      </c>
      <c r="R2118">
        <v>1.22</v>
      </c>
      <c r="S2118" t="s">
        <v>43</v>
      </c>
      <c r="T2118" t="str">
        <f t="shared" si="66"/>
        <v>Moderate</v>
      </c>
      <c r="U2118" t="str">
        <f t="shared" si="67"/>
        <v>Intermediate</v>
      </c>
    </row>
    <row r="2119" spans="1:21" x14ac:dyDescent="0.35">
      <c r="A2119" t="s">
        <v>2192</v>
      </c>
      <c r="B2119" t="s">
        <v>38</v>
      </c>
      <c r="C2119" t="s">
        <v>74</v>
      </c>
      <c r="D2119" t="s">
        <v>22</v>
      </c>
      <c r="E2119" t="s">
        <v>70</v>
      </c>
      <c r="F2119">
        <v>7</v>
      </c>
      <c r="G2119">
        <v>0.82</v>
      </c>
      <c r="H2119">
        <v>0.37</v>
      </c>
      <c r="I2119" t="s">
        <v>34</v>
      </c>
      <c r="J2119">
        <v>92741</v>
      </c>
      <c r="K2119" t="s">
        <v>42</v>
      </c>
      <c r="L2119">
        <v>24</v>
      </c>
      <c r="M2119">
        <v>53</v>
      </c>
      <c r="N2119" t="s">
        <v>26</v>
      </c>
      <c r="O2119" t="s">
        <v>36</v>
      </c>
      <c r="P2119">
        <v>4.57</v>
      </c>
      <c r="Q2119" t="s">
        <v>24</v>
      </c>
      <c r="R2119">
        <v>3.97</v>
      </c>
      <c r="S2119" t="s">
        <v>47</v>
      </c>
      <c r="T2119" t="str">
        <f t="shared" si="66"/>
        <v>Very Low</v>
      </c>
      <c r="U2119" t="str">
        <f t="shared" si="67"/>
        <v>Intermediate</v>
      </c>
    </row>
    <row r="2120" spans="1:21" x14ac:dyDescent="0.35">
      <c r="A2120" t="s">
        <v>2193</v>
      </c>
      <c r="B2120" t="s">
        <v>51</v>
      </c>
      <c r="C2120" t="s">
        <v>52</v>
      </c>
      <c r="D2120" t="s">
        <v>66</v>
      </c>
      <c r="E2120" t="s">
        <v>33</v>
      </c>
      <c r="F2120">
        <v>3</v>
      </c>
      <c r="G2120">
        <v>0.12</v>
      </c>
      <c r="H2120">
        <v>0.28000000000000003</v>
      </c>
      <c r="I2120" t="s">
        <v>60</v>
      </c>
      <c r="J2120">
        <v>48709</v>
      </c>
      <c r="K2120" t="s">
        <v>27</v>
      </c>
      <c r="L2120">
        <v>-5</v>
      </c>
      <c r="M2120">
        <v>40</v>
      </c>
      <c r="N2120" t="s">
        <v>42</v>
      </c>
      <c r="O2120" t="s">
        <v>36</v>
      </c>
      <c r="P2120">
        <v>4.3</v>
      </c>
      <c r="Q2120" t="s">
        <v>24</v>
      </c>
      <c r="R2120">
        <v>4.07</v>
      </c>
      <c r="S2120" t="s">
        <v>28</v>
      </c>
      <c r="T2120" t="str">
        <f t="shared" si="66"/>
        <v>High</v>
      </c>
      <c r="U2120" t="str">
        <f t="shared" si="67"/>
        <v>Intermediate</v>
      </c>
    </row>
    <row r="2121" spans="1:21" x14ac:dyDescent="0.35">
      <c r="A2121" t="s">
        <v>2194</v>
      </c>
      <c r="B2121" t="s">
        <v>156</v>
      </c>
      <c r="C2121" t="s">
        <v>52</v>
      </c>
      <c r="D2121" t="s">
        <v>32</v>
      </c>
      <c r="E2121" t="s">
        <v>23</v>
      </c>
      <c r="F2121">
        <v>21</v>
      </c>
      <c r="G2121">
        <v>0.45</v>
      </c>
      <c r="H2121">
        <v>0.69</v>
      </c>
      <c r="I2121" t="s">
        <v>24</v>
      </c>
      <c r="J2121">
        <v>199165</v>
      </c>
      <c r="K2121" t="s">
        <v>25</v>
      </c>
      <c r="L2121">
        <v>18</v>
      </c>
      <c r="M2121">
        <v>42</v>
      </c>
      <c r="N2121" t="s">
        <v>35</v>
      </c>
      <c r="O2121" t="s">
        <v>36</v>
      </c>
      <c r="P2121">
        <v>4.1399999999999997</v>
      </c>
      <c r="Q2121" t="s">
        <v>24</v>
      </c>
      <c r="R2121">
        <v>1.52</v>
      </c>
      <c r="S2121" t="s">
        <v>43</v>
      </c>
      <c r="T2121" t="str">
        <f t="shared" si="66"/>
        <v>High</v>
      </c>
      <c r="U2121" t="str">
        <f t="shared" si="67"/>
        <v>Expert</v>
      </c>
    </row>
    <row r="2122" spans="1:21" x14ac:dyDescent="0.35">
      <c r="A2122" t="s">
        <v>2195</v>
      </c>
      <c r="B2122" t="s">
        <v>65</v>
      </c>
      <c r="C2122" t="s">
        <v>46</v>
      </c>
      <c r="D2122" t="s">
        <v>59</v>
      </c>
      <c r="E2122" t="s">
        <v>23</v>
      </c>
      <c r="F2122">
        <v>19</v>
      </c>
      <c r="G2122">
        <v>0.28000000000000003</v>
      </c>
      <c r="H2122">
        <v>0.59</v>
      </c>
      <c r="I2122" t="s">
        <v>60</v>
      </c>
      <c r="J2122">
        <v>156160</v>
      </c>
      <c r="K2122" t="s">
        <v>42</v>
      </c>
      <c r="L2122">
        <v>21</v>
      </c>
      <c r="M2122">
        <v>51</v>
      </c>
      <c r="N2122" t="s">
        <v>42</v>
      </c>
      <c r="O2122" t="s">
        <v>25</v>
      </c>
      <c r="P2122">
        <v>4.0999999999999996</v>
      </c>
      <c r="Q2122" t="s">
        <v>24</v>
      </c>
      <c r="R2122">
        <v>3.48</v>
      </c>
      <c r="S2122" t="s">
        <v>28</v>
      </c>
      <c r="T2122" t="str">
        <f t="shared" si="66"/>
        <v>High</v>
      </c>
      <c r="U2122" t="str">
        <f t="shared" si="67"/>
        <v>Expert</v>
      </c>
    </row>
    <row r="2123" spans="1:21" x14ac:dyDescent="0.35">
      <c r="A2123" t="s">
        <v>2196</v>
      </c>
      <c r="B2123" t="s">
        <v>38</v>
      </c>
      <c r="C2123" t="s">
        <v>55</v>
      </c>
      <c r="D2123" t="s">
        <v>59</v>
      </c>
      <c r="E2123" t="s">
        <v>70</v>
      </c>
      <c r="F2123">
        <v>14</v>
      </c>
      <c r="G2123">
        <v>0.38</v>
      </c>
      <c r="H2123">
        <v>0.41</v>
      </c>
      <c r="I2123" t="s">
        <v>60</v>
      </c>
      <c r="J2123">
        <v>207959</v>
      </c>
      <c r="K2123" t="s">
        <v>27</v>
      </c>
      <c r="L2123">
        <v>-1</v>
      </c>
      <c r="M2123">
        <v>46</v>
      </c>
      <c r="N2123" t="s">
        <v>35</v>
      </c>
      <c r="O2123" t="s">
        <v>36</v>
      </c>
      <c r="P2123">
        <v>4.43</v>
      </c>
      <c r="Q2123" t="s">
        <v>24</v>
      </c>
      <c r="R2123">
        <v>1.4</v>
      </c>
      <c r="S2123" t="s">
        <v>43</v>
      </c>
      <c r="T2123" t="str">
        <f t="shared" si="66"/>
        <v>High</v>
      </c>
      <c r="U2123" t="str">
        <f t="shared" si="67"/>
        <v>Experienced</v>
      </c>
    </row>
    <row r="2124" spans="1:21" x14ac:dyDescent="0.35">
      <c r="A2124" t="s">
        <v>2197</v>
      </c>
      <c r="B2124" t="s">
        <v>89</v>
      </c>
      <c r="C2124" t="s">
        <v>21</v>
      </c>
      <c r="D2124" t="s">
        <v>63</v>
      </c>
      <c r="E2124" t="s">
        <v>70</v>
      </c>
      <c r="F2124">
        <v>23</v>
      </c>
      <c r="G2124">
        <v>0.48</v>
      </c>
      <c r="H2124">
        <v>0.42</v>
      </c>
      <c r="I2124" t="s">
        <v>24</v>
      </c>
      <c r="J2124">
        <v>172447</v>
      </c>
      <c r="K2124" t="s">
        <v>25</v>
      </c>
      <c r="L2124">
        <v>3</v>
      </c>
      <c r="M2124">
        <v>32</v>
      </c>
      <c r="N2124" t="s">
        <v>26</v>
      </c>
      <c r="O2124" t="s">
        <v>36</v>
      </c>
      <c r="P2124">
        <v>3.72</v>
      </c>
      <c r="Q2124" t="s">
        <v>24</v>
      </c>
      <c r="R2124">
        <v>1.28</v>
      </c>
      <c r="S2124" t="s">
        <v>28</v>
      </c>
      <c r="T2124" t="str">
        <f t="shared" si="66"/>
        <v>Moderate</v>
      </c>
      <c r="U2124" t="str">
        <f t="shared" si="67"/>
        <v>Expert</v>
      </c>
    </row>
    <row r="2125" spans="1:21" x14ac:dyDescent="0.35">
      <c r="A2125" t="s">
        <v>2198</v>
      </c>
      <c r="B2125" t="s">
        <v>68</v>
      </c>
      <c r="C2125" t="s">
        <v>107</v>
      </c>
      <c r="D2125" t="s">
        <v>69</v>
      </c>
      <c r="E2125" t="s">
        <v>70</v>
      </c>
      <c r="F2125">
        <v>20</v>
      </c>
      <c r="G2125">
        <v>0.39</v>
      </c>
      <c r="H2125">
        <v>0.25</v>
      </c>
      <c r="I2125" t="s">
        <v>24</v>
      </c>
      <c r="J2125">
        <v>140892</v>
      </c>
      <c r="K2125" t="s">
        <v>25</v>
      </c>
      <c r="L2125">
        <v>-3</v>
      </c>
      <c r="M2125">
        <v>55</v>
      </c>
      <c r="N2125" t="s">
        <v>35</v>
      </c>
      <c r="O2125" t="s">
        <v>25</v>
      </c>
      <c r="P2125">
        <v>4.3600000000000003</v>
      </c>
      <c r="Q2125" t="s">
        <v>24</v>
      </c>
      <c r="R2125">
        <v>2.99</v>
      </c>
      <c r="S2125" t="s">
        <v>43</v>
      </c>
      <c r="T2125" t="str">
        <f t="shared" si="66"/>
        <v>Moderate</v>
      </c>
      <c r="U2125" t="str">
        <f t="shared" si="67"/>
        <v>Expert</v>
      </c>
    </row>
    <row r="2126" spans="1:21" x14ac:dyDescent="0.35">
      <c r="A2126" t="s">
        <v>2199</v>
      </c>
      <c r="B2126" t="s">
        <v>30</v>
      </c>
      <c r="C2126" t="s">
        <v>39</v>
      </c>
      <c r="D2126" t="s">
        <v>80</v>
      </c>
      <c r="E2126" t="s">
        <v>41</v>
      </c>
      <c r="F2126">
        <v>20</v>
      </c>
      <c r="G2126">
        <v>0.05</v>
      </c>
      <c r="H2126">
        <v>0.3</v>
      </c>
      <c r="I2126" t="s">
        <v>34</v>
      </c>
      <c r="J2126">
        <v>62829</v>
      </c>
      <c r="K2126" t="s">
        <v>25</v>
      </c>
      <c r="L2126">
        <v>-4</v>
      </c>
      <c r="M2126">
        <v>49</v>
      </c>
      <c r="N2126" t="s">
        <v>26</v>
      </c>
      <c r="O2126" t="s">
        <v>25</v>
      </c>
      <c r="P2126">
        <v>2.99</v>
      </c>
      <c r="Q2126" t="s">
        <v>24</v>
      </c>
      <c r="R2126">
        <v>4.55</v>
      </c>
      <c r="S2126" t="s">
        <v>43</v>
      </c>
      <c r="T2126" t="str">
        <f t="shared" si="66"/>
        <v>High</v>
      </c>
      <c r="U2126" t="str">
        <f t="shared" si="67"/>
        <v>Expert</v>
      </c>
    </row>
    <row r="2127" spans="1:21" x14ac:dyDescent="0.35">
      <c r="A2127" t="s">
        <v>2200</v>
      </c>
      <c r="B2127" t="s">
        <v>96</v>
      </c>
      <c r="C2127" t="s">
        <v>82</v>
      </c>
      <c r="D2127" t="s">
        <v>32</v>
      </c>
      <c r="E2127" t="s">
        <v>23</v>
      </c>
      <c r="F2127">
        <v>16</v>
      </c>
      <c r="G2127">
        <v>0.83</v>
      </c>
      <c r="H2127">
        <v>0.95</v>
      </c>
      <c r="I2127" t="s">
        <v>60</v>
      </c>
      <c r="J2127">
        <v>105231</v>
      </c>
      <c r="K2127" t="s">
        <v>27</v>
      </c>
      <c r="L2127">
        <v>20</v>
      </c>
      <c r="M2127">
        <v>40</v>
      </c>
      <c r="N2127" t="s">
        <v>35</v>
      </c>
      <c r="O2127" t="s">
        <v>25</v>
      </c>
      <c r="P2127">
        <v>2.23</v>
      </c>
      <c r="Q2127" t="s">
        <v>34</v>
      </c>
      <c r="R2127">
        <v>1.65</v>
      </c>
      <c r="S2127" t="s">
        <v>43</v>
      </c>
      <c r="T2127" t="str">
        <f t="shared" si="66"/>
        <v>High</v>
      </c>
      <c r="U2127" t="str">
        <f t="shared" si="67"/>
        <v>Expert</v>
      </c>
    </row>
    <row r="2128" spans="1:21" x14ac:dyDescent="0.35">
      <c r="A2128" t="s">
        <v>2201</v>
      </c>
      <c r="B2128" t="s">
        <v>77</v>
      </c>
      <c r="C2128" t="s">
        <v>39</v>
      </c>
      <c r="D2128" t="s">
        <v>40</v>
      </c>
      <c r="E2128" t="s">
        <v>70</v>
      </c>
      <c r="F2128">
        <v>20</v>
      </c>
      <c r="G2128">
        <v>0.64</v>
      </c>
      <c r="H2128">
        <v>0.55000000000000004</v>
      </c>
      <c r="I2128" t="s">
        <v>34</v>
      </c>
      <c r="J2128">
        <v>146933</v>
      </c>
      <c r="K2128" t="s">
        <v>42</v>
      </c>
      <c r="L2128">
        <v>31</v>
      </c>
      <c r="M2128">
        <v>49</v>
      </c>
      <c r="N2128" t="s">
        <v>42</v>
      </c>
      <c r="O2128" t="s">
        <v>25</v>
      </c>
      <c r="P2128">
        <v>3.78</v>
      </c>
      <c r="Q2128" t="s">
        <v>34</v>
      </c>
      <c r="R2128">
        <v>3.64</v>
      </c>
      <c r="S2128" t="s">
        <v>43</v>
      </c>
      <c r="T2128" t="str">
        <f t="shared" si="66"/>
        <v>Moderate</v>
      </c>
      <c r="U2128" t="str">
        <f t="shared" si="67"/>
        <v>Expert</v>
      </c>
    </row>
    <row r="2129" spans="1:21" x14ac:dyDescent="0.35">
      <c r="A2129" t="s">
        <v>2202</v>
      </c>
      <c r="B2129" t="s">
        <v>106</v>
      </c>
      <c r="C2129" t="s">
        <v>107</v>
      </c>
      <c r="D2129" t="s">
        <v>49</v>
      </c>
      <c r="E2129" t="s">
        <v>41</v>
      </c>
      <c r="F2129">
        <v>11</v>
      </c>
      <c r="G2129">
        <v>0.92</v>
      </c>
      <c r="H2129">
        <v>0.95</v>
      </c>
      <c r="I2129" t="s">
        <v>34</v>
      </c>
      <c r="J2129">
        <v>217845</v>
      </c>
      <c r="K2129" t="s">
        <v>25</v>
      </c>
      <c r="L2129">
        <v>32</v>
      </c>
      <c r="M2129">
        <v>50</v>
      </c>
      <c r="N2129" t="s">
        <v>42</v>
      </c>
      <c r="O2129" t="s">
        <v>27</v>
      </c>
      <c r="P2129">
        <v>2.99</v>
      </c>
      <c r="Q2129" t="s">
        <v>34</v>
      </c>
      <c r="R2129">
        <v>1.24</v>
      </c>
      <c r="S2129" t="s">
        <v>28</v>
      </c>
      <c r="T2129" t="str">
        <f t="shared" si="66"/>
        <v>High</v>
      </c>
      <c r="U2129" t="str">
        <f t="shared" si="67"/>
        <v>Experienced</v>
      </c>
    </row>
    <row r="2130" spans="1:21" x14ac:dyDescent="0.35">
      <c r="A2130" t="s">
        <v>2203</v>
      </c>
      <c r="B2130" t="s">
        <v>102</v>
      </c>
      <c r="C2130" t="s">
        <v>21</v>
      </c>
      <c r="D2130" t="s">
        <v>80</v>
      </c>
      <c r="E2130" t="s">
        <v>23</v>
      </c>
      <c r="F2130">
        <v>14</v>
      </c>
      <c r="G2130">
        <v>0.13</v>
      </c>
      <c r="H2130">
        <v>0.92</v>
      </c>
      <c r="I2130" t="s">
        <v>24</v>
      </c>
      <c r="J2130">
        <v>38000</v>
      </c>
      <c r="K2130" t="s">
        <v>25</v>
      </c>
      <c r="L2130">
        <v>20</v>
      </c>
      <c r="M2130">
        <v>41</v>
      </c>
      <c r="N2130" t="s">
        <v>26</v>
      </c>
      <c r="O2130" t="s">
        <v>25</v>
      </c>
      <c r="P2130">
        <v>2.82</v>
      </c>
      <c r="Q2130" t="s">
        <v>34</v>
      </c>
      <c r="R2130">
        <v>2.66</v>
      </c>
      <c r="S2130" t="s">
        <v>47</v>
      </c>
      <c r="T2130" t="str">
        <f t="shared" si="66"/>
        <v>Very High</v>
      </c>
      <c r="U2130" t="str">
        <f t="shared" si="67"/>
        <v>Experienced</v>
      </c>
    </row>
    <row r="2131" spans="1:21" x14ac:dyDescent="0.35">
      <c r="A2131" t="s">
        <v>2204</v>
      </c>
      <c r="B2131" t="s">
        <v>57</v>
      </c>
      <c r="C2131" t="s">
        <v>31</v>
      </c>
      <c r="D2131" t="s">
        <v>75</v>
      </c>
      <c r="E2131" t="s">
        <v>41</v>
      </c>
      <c r="F2131">
        <v>0</v>
      </c>
      <c r="G2131">
        <v>0.7</v>
      </c>
      <c r="H2131">
        <v>0.24</v>
      </c>
      <c r="I2131" t="s">
        <v>24</v>
      </c>
      <c r="J2131">
        <v>100862</v>
      </c>
      <c r="K2131" t="s">
        <v>42</v>
      </c>
      <c r="L2131">
        <v>31</v>
      </c>
      <c r="M2131">
        <v>41</v>
      </c>
      <c r="N2131" t="s">
        <v>42</v>
      </c>
      <c r="O2131" t="s">
        <v>36</v>
      </c>
      <c r="P2131">
        <v>3.14</v>
      </c>
      <c r="Q2131" t="s">
        <v>34</v>
      </c>
      <c r="R2131">
        <v>2.85</v>
      </c>
      <c r="S2131" t="s">
        <v>43</v>
      </c>
      <c r="T2131" t="str">
        <f t="shared" si="66"/>
        <v>Very Low</v>
      </c>
      <c r="U2131" t="str">
        <f t="shared" si="67"/>
        <v>Beginner</v>
      </c>
    </row>
    <row r="2132" spans="1:21" x14ac:dyDescent="0.35">
      <c r="A2132" t="s">
        <v>2205</v>
      </c>
      <c r="B2132" t="s">
        <v>45</v>
      </c>
      <c r="C2132" t="s">
        <v>58</v>
      </c>
      <c r="D2132" t="s">
        <v>63</v>
      </c>
      <c r="E2132" t="s">
        <v>41</v>
      </c>
      <c r="F2132">
        <v>13</v>
      </c>
      <c r="G2132">
        <v>0.63</v>
      </c>
      <c r="H2132">
        <v>0.57999999999999996</v>
      </c>
      <c r="I2132" t="s">
        <v>60</v>
      </c>
      <c r="J2132">
        <v>108868</v>
      </c>
      <c r="K2132" t="s">
        <v>42</v>
      </c>
      <c r="L2132">
        <v>29</v>
      </c>
      <c r="M2132">
        <v>30</v>
      </c>
      <c r="N2132" t="s">
        <v>26</v>
      </c>
      <c r="O2132" t="s">
        <v>25</v>
      </c>
      <c r="P2132">
        <v>2.72</v>
      </c>
      <c r="Q2132" t="s">
        <v>24</v>
      </c>
      <c r="R2132">
        <v>3.45</v>
      </c>
      <c r="S2132" t="s">
        <v>43</v>
      </c>
      <c r="T2132" t="str">
        <f t="shared" si="66"/>
        <v>Moderate</v>
      </c>
      <c r="U2132" t="str">
        <f t="shared" si="67"/>
        <v>Experienced</v>
      </c>
    </row>
    <row r="2133" spans="1:21" x14ac:dyDescent="0.35">
      <c r="A2133" t="s">
        <v>2206</v>
      </c>
      <c r="B2133" t="s">
        <v>96</v>
      </c>
      <c r="C2133" t="s">
        <v>74</v>
      </c>
      <c r="D2133" t="s">
        <v>59</v>
      </c>
      <c r="E2133" t="s">
        <v>23</v>
      </c>
      <c r="F2133">
        <v>7</v>
      </c>
      <c r="G2133">
        <v>7.0000000000000007E-2</v>
      </c>
      <c r="H2133">
        <v>0.53</v>
      </c>
      <c r="I2133" t="s">
        <v>24</v>
      </c>
      <c r="J2133">
        <v>55605</v>
      </c>
      <c r="K2133" t="s">
        <v>42</v>
      </c>
      <c r="L2133">
        <v>3</v>
      </c>
      <c r="M2133">
        <v>54</v>
      </c>
      <c r="N2133" t="s">
        <v>42</v>
      </c>
      <c r="O2133" t="s">
        <v>25</v>
      </c>
      <c r="P2133">
        <v>3.63</v>
      </c>
      <c r="Q2133" t="s">
        <v>24</v>
      </c>
      <c r="R2133">
        <v>4.8</v>
      </c>
      <c r="S2133" t="s">
        <v>28</v>
      </c>
      <c r="T2133" t="str">
        <f t="shared" si="66"/>
        <v>High</v>
      </c>
      <c r="U2133" t="str">
        <f t="shared" si="67"/>
        <v>Intermediate</v>
      </c>
    </row>
    <row r="2134" spans="1:21" x14ac:dyDescent="0.35">
      <c r="A2134" t="s">
        <v>2207</v>
      </c>
      <c r="B2134" t="s">
        <v>96</v>
      </c>
      <c r="C2134" t="s">
        <v>21</v>
      </c>
      <c r="D2134" t="s">
        <v>63</v>
      </c>
      <c r="E2134" t="s">
        <v>41</v>
      </c>
      <c r="F2134">
        <v>15</v>
      </c>
      <c r="G2134">
        <v>0.11</v>
      </c>
      <c r="H2134">
        <v>0.65</v>
      </c>
      <c r="I2134" t="s">
        <v>24</v>
      </c>
      <c r="J2134">
        <v>200221</v>
      </c>
      <c r="K2134" t="s">
        <v>25</v>
      </c>
      <c r="L2134">
        <v>17</v>
      </c>
      <c r="M2134">
        <v>42</v>
      </c>
      <c r="N2134" t="s">
        <v>35</v>
      </c>
      <c r="O2134" t="s">
        <v>36</v>
      </c>
      <c r="P2134">
        <v>3.81</v>
      </c>
      <c r="Q2134" t="s">
        <v>24</v>
      </c>
      <c r="R2134">
        <v>2.73</v>
      </c>
      <c r="S2134" t="s">
        <v>43</v>
      </c>
      <c r="T2134" t="str">
        <f t="shared" si="66"/>
        <v>High</v>
      </c>
      <c r="U2134" t="str">
        <f t="shared" si="67"/>
        <v>Experienced</v>
      </c>
    </row>
    <row r="2135" spans="1:21" x14ac:dyDescent="0.35">
      <c r="A2135" t="s">
        <v>2208</v>
      </c>
      <c r="B2135" t="s">
        <v>89</v>
      </c>
      <c r="C2135" t="s">
        <v>107</v>
      </c>
      <c r="D2135" t="s">
        <v>22</v>
      </c>
      <c r="E2135" t="s">
        <v>23</v>
      </c>
      <c r="F2135">
        <v>21</v>
      </c>
      <c r="G2135">
        <v>0.16</v>
      </c>
      <c r="H2135">
        <v>0.56000000000000005</v>
      </c>
      <c r="I2135" t="s">
        <v>24</v>
      </c>
      <c r="J2135">
        <v>180502</v>
      </c>
      <c r="K2135" t="s">
        <v>25</v>
      </c>
      <c r="L2135">
        <v>28</v>
      </c>
      <c r="M2135">
        <v>48</v>
      </c>
      <c r="N2135" t="s">
        <v>42</v>
      </c>
      <c r="O2135" t="s">
        <v>36</v>
      </c>
      <c r="P2135">
        <v>3.33</v>
      </c>
      <c r="Q2135" t="s">
        <v>34</v>
      </c>
      <c r="R2135">
        <v>3.69</v>
      </c>
      <c r="S2135" t="s">
        <v>28</v>
      </c>
      <c r="T2135" t="str">
        <f t="shared" si="66"/>
        <v>High</v>
      </c>
      <c r="U2135" t="str">
        <f t="shared" si="67"/>
        <v>Expert</v>
      </c>
    </row>
    <row r="2136" spans="1:21" x14ac:dyDescent="0.35">
      <c r="A2136" t="s">
        <v>2209</v>
      </c>
      <c r="B2136" t="s">
        <v>156</v>
      </c>
      <c r="C2136" t="s">
        <v>55</v>
      </c>
      <c r="D2136" t="s">
        <v>49</v>
      </c>
      <c r="E2136" t="s">
        <v>70</v>
      </c>
      <c r="F2136">
        <v>22</v>
      </c>
      <c r="G2136">
        <v>0.59</v>
      </c>
      <c r="H2136">
        <v>0.93</v>
      </c>
      <c r="I2136" t="s">
        <v>34</v>
      </c>
      <c r="J2136">
        <v>87406</v>
      </c>
      <c r="K2136" t="s">
        <v>42</v>
      </c>
      <c r="L2136">
        <v>44</v>
      </c>
      <c r="M2136">
        <v>48</v>
      </c>
      <c r="N2136" t="s">
        <v>26</v>
      </c>
      <c r="O2136" t="s">
        <v>27</v>
      </c>
      <c r="P2136">
        <v>4.72</v>
      </c>
      <c r="Q2136" t="s">
        <v>24</v>
      </c>
      <c r="R2136">
        <v>2.02</v>
      </c>
      <c r="S2136" t="s">
        <v>47</v>
      </c>
      <c r="T2136" t="str">
        <f t="shared" si="66"/>
        <v>High</v>
      </c>
      <c r="U2136" t="str">
        <f t="shared" si="67"/>
        <v>Expert</v>
      </c>
    </row>
    <row r="2137" spans="1:21" x14ac:dyDescent="0.35">
      <c r="A2137" t="s">
        <v>2210</v>
      </c>
      <c r="B2137" t="s">
        <v>65</v>
      </c>
      <c r="C2137" t="s">
        <v>82</v>
      </c>
      <c r="D2137" t="s">
        <v>59</v>
      </c>
      <c r="E2137" t="s">
        <v>41</v>
      </c>
      <c r="F2137">
        <v>24</v>
      </c>
      <c r="G2137">
        <v>0.95</v>
      </c>
      <c r="H2137">
        <v>0.55000000000000004</v>
      </c>
      <c r="I2137" t="s">
        <v>24</v>
      </c>
      <c r="J2137">
        <v>96489</v>
      </c>
      <c r="K2137" t="s">
        <v>27</v>
      </c>
      <c r="L2137">
        <v>35</v>
      </c>
      <c r="M2137">
        <v>44</v>
      </c>
      <c r="N2137" t="s">
        <v>35</v>
      </c>
      <c r="O2137" t="s">
        <v>36</v>
      </c>
      <c r="P2137">
        <v>2.77</v>
      </c>
      <c r="Q2137" t="s">
        <v>34</v>
      </c>
      <c r="R2137">
        <v>3.36</v>
      </c>
      <c r="S2137" t="s">
        <v>43</v>
      </c>
      <c r="T2137" t="str">
        <f t="shared" si="66"/>
        <v>Moderate</v>
      </c>
      <c r="U2137" t="str">
        <f t="shared" si="67"/>
        <v>Expert</v>
      </c>
    </row>
    <row r="2138" spans="1:21" x14ac:dyDescent="0.35">
      <c r="A2138" t="s">
        <v>2211</v>
      </c>
      <c r="B2138" t="s">
        <v>45</v>
      </c>
      <c r="C2138" t="s">
        <v>21</v>
      </c>
      <c r="D2138" t="s">
        <v>63</v>
      </c>
      <c r="E2138" t="s">
        <v>23</v>
      </c>
      <c r="F2138">
        <v>14</v>
      </c>
      <c r="G2138">
        <v>0.4</v>
      </c>
      <c r="H2138">
        <v>0.88</v>
      </c>
      <c r="I2138" t="s">
        <v>60</v>
      </c>
      <c r="J2138">
        <v>202456</v>
      </c>
      <c r="K2138" t="s">
        <v>27</v>
      </c>
      <c r="L2138">
        <v>-6</v>
      </c>
      <c r="M2138">
        <v>38</v>
      </c>
      <c r="N2138" t="s">
        <v>35</v>
      </c>
      <c r="O2138" t="s">
        <v>27</v>
      </c>
      <c r="P2138">
        <v>2.48</v>
      </c>
      <c r="Q2138" t="s">
        <v>24</v>
      </c>
      <c r="R2138">
        <v>4.79</v>
      </c>
      <c r="S2138" t="s">
        <v>43</v>
      </c>
      <c r="T2138" t="str">
        <f t="shared" si="66"/>
        <v>High</v>
      </c>
      <c r="U2138" t="str">
        <f t="shared" si="67"/>
        <v>Experienced</v>
      </c>
    </row>
    <row r="2139" spans="1:21" x14ac:dyDescent="0.35">
      <c r="A2139" t="s">
        <v>2212</v>
      </c>
      <c r="B2139" t="s">
        <v>51</v>
      </c>
      <c r="C2139" t="s">
        <v>39</v>
      </c>
      <c r="D2139" t="s">
        <v>40</v>
      </c>
      <c r="E2139" t="s">
        <v>70</v>
      </c>
      <c r="F2139">
        <v>18</v>
      </c>
      <c r="G2139">
        <v>0.76</v>
      </c>
      <c r="H2139">
        <v>0.24</v>
      </c>
      <c r="I2139" t="s">
        <v>34</v>
      </c>
      <c r="J2139">
        <v>103021</v>
      </c>
      <c r="K2139" t="s">
        <v>27</v>
      </c>
      <c r="L2139">
        <v>5</v>
      </c>
      <c r="M2139">
        <v>45</v>
      </c>
      <c r="N2139" t="s">
        <v>26</v>
      </c>
      <c r="O2139" t="s">
        <v>25</v>
      </c>
      <c r="P2139">
        <v>4.3899999999999997</v>
      </c>
      <c r="Q2139" t="s">
        <v>24</v>
      </c>
      <c r="R2139">
        <v>4.53</v>
      </c>
      <c r="S2139" t="s">
        <v>28</v>
      </c>
      <c r="T2139" t="str">
        <f t="shared" si="66"/>
        <v>Very Low</v>
      </c>
      <c r="U2139" t="str">
        <f t="shared" si="67"/>
        <v>Expert</v>
      </c>
    </row>
    <row r="2140" spans="1:21" x14ac:dyDescent="0.35">
      <c r="A2140" t="s">
        <v>2213</v>
      </c>
      <c r="B2140" t="s">
        <v>156</v>
      </c>
      <c r="C2140" t="s">
        <v>58</v>
      </c>
      <c r="D2140" t="s">
        <v>66</v>
      </c>
      <c r="E2140" t="s">
        <v>23</v>
      </c>
      <c r="F2140">
        <v>19</v>
      </c>
      <c r="G2140">
        <v>0.69</v>
      </c>
      <c r="H2140">
        <v>0.5</v>
      </c>
      <c r="I2140" t="s">
        <v>24</v>
      </c>
      <c r="J2140">
        <v>182099</v>
      </c>
      <c r="K2140" t="s">
        <v>42</v>
      </c>
      <c r="L2140">
        <v>17</v>
      </c>
      <c r="M2140">
        <v>53</v>
      </c>
      <c r="N2140" t="s">
        <v>42</v>
      </c>
      <c r="O2140" t="s">
        <v>36</v>
      </c>
      <c r="P2140">
        <v>3.8</v>
      </c>
      <c r="Q2140" t="s">
        <v>24</v>
      </c>
      <c r="R2140">
        <v>4.08</v>
      </c>
      <c r="S2140" t="s">
        <v>28</v>
      </c>
      <c r="T2140" t="str">
        <f t="shared" si="66"/>
        <v>Moderate</v>
      </c>
      <c r="U2140" t="str">
        <f t="shared" si="67"/>
        <v>Expert</v>
      </c>
    </row>
    <row r="2141" spans="1:21" x14ac:dyDescent="0.35">
      <c r="A2141" t="s">
        <v>2214</v>
      </c>
      <c r="B2141" t="s">
        <v>20</v>
      </c>
      <c r="C2141" t="s">
        <v>46</v>
      </c>
      <c r="D2141" t="s">
        <v>40</v>
      </c>
      <c r="E2141" t="s">
        <v>41</v>
      </c>
      <c r="F2141">
        <v>19</v>
      </c>
      <c r="G2141">
        <v>0.6</v>
      </c>
      <c r="H2141">
        <v>0.92</v>
      </c>
      <c r="I2141" t="s">
        <v>60</v>
      </c>
      <c r="J2141">
        <v>159633</v>
      </c>
      <c r="K2141" t="s">
        <v>25</v>
      </c>
      <c r="L2141">
        <v>17</v>
      </c>
      <c r="M2141">
        <v>55</v>
      </c>
      <c r="N2141" t="s">
        <v>26</v>
      </c>
      <c r="O2141" t="s">
        <v>27</v>
      </c>
      <c r="P2141">
        <v>2.16</v>
      </c>
      <c r="Q2141" t="s">
        <v>34</v>
      </c>
      <c r="R2141">
        <v>4.83</v>
      </c>
      <c r="S2141" t="s">
        <v>47</v>
      </c>
      <c r="T2141" t="str">
        <f t="shared" si="66"/>
        <v>High</v>
      </c>
      <c r="U2141" t="str">
        <f t="shared" si="67"/>
        <v>Expert</v>
      </c>
    </row>
    <row r="2142" spans="1:21" x14ac:dyDescent="0.35">
      <c r="A2142" t="s">
        <v>2215</v>
      </c>
      <c r="B2142" t="s">
        <v>96</v>
      </c>
      <c r="C2142" t="s">
        <v>21</v>
      </c>
      <c r="D2142" t="s">
        <v>40</v>
      </c>
      <c r="E2142" t="s">
        <v>23</v>
      </c>
      <c r="F2142">
        <v>24</v>
      </c>
      <c r="G2142">
        <v>0.44</v>
      </c>
      <c r="H2142">
        <v>0.7</v>
      </c>
      <c r="I2142" t="s">
        <v>34</v>
      </c>
      <c r="J2142">
        <v>219402</v>
      </c>
      <c r="K2142" t="s">
        <v>27</v>
      </c>
      <c r="L2142">
        <v>-1</v>
      </c>
      <c r="M2142">
        <v>56</v>
      </c>
      <c r="N2142" t="s">
        <v>26</v>
      </c>
      <c r="O2142" t="s">
        <v>36</v>
      </c>
      <c r="P2142">
        <v>2.4900000000000002</v>
      </c>
      <c r="Q2142" t="s">
        <v>24</v>
      </c>
      <c r="R2142">
        <v>2.64</v>
      </c>
      <c r="S2142" t="s">
        <v>43</v>
      </c>
      <c r="T2142" t="str">
        <f t="shared" si="66"/>
        <v>High</v>
      </c>
      <c r="U2142" t="str">
        <f t="shared" si="67"/>
        <v>Expert</v>
      </c>
    </row>
    <row r="2143" spans="1:21" x14ac:dyDescent="0.35">
      <c r="A2143" t="s">
        <v>2216</v>
      </c>
      <c r="B2143" t="s">
        <v>20</v>
      </c>
      <c r="C2143" t="s">
        <v>82</v>
      </c>
      <c r="D2143" t="s">
        <v>66</v>
      </c>
      <c r="E2143" t="s">
        <v>41</v>
      </c>
      <c r="F2143">
        <v>8</v>
      </c>
      <c r="G2143">
        <v>0.72</v>
      </c>
      <c r="H2143">
        <v>0.79</v>
      </c>
      <c r="I2143" t="s">
        <v>60</v>
      </c>
      <c r="J2143">
        <v>120345</v>
      </c>
      <c r="K2143" t="s">
        <v>27</v>
      </c>
      <c r="L2143">
        <v>20</v>
      </c>
      <c r="M2143">
        <v>45</v>
      </c>
      <c r="N2143" t="s">
        <v>26</v>
      </c>
      <c r="O2143" t="s">
        <v>27</v>
      </c>
      <c r="P2143">
        <v>3.77</v>
      </c>
      <c r="Q2143" t="s">
        <v>34</v>
      </c>
      <c r="R2143">
        <v>3.81</v>
      </c>
      <c r="S2143" t="s">
        <v>47</v>
      </c>
      <c r="T2143" t="str">
        <f t="shared" si="66"/>
        <v>High</v>
      </c>
      <c r="U2143" t="str">
        <f t="shared" si="67"/>
        <v>Intermediate</v>
      </c>
    </row>
    <row r="2144" spans="1:21" x14ac:dyDescent="0.35">
      <c r="A2144" t="s">
        <v>2217</v>
      </c>
      <c r="B2144" t="s">
        <v>94</v>
      </c>
      <c r="C2144" t="s">
        <v>21</v>
      </c>
      <c r="D2144" t="s">
        <v>49</v>
      </c>
      <c r="E2144" t="s">
        <v>70</v>
      </c>
      <c r="F2144">
        <v>18</v>
      </c>
      <c r="G2144">
        <v>0.13</v>
      </c>
      <c r="H2144">
        <v>0.25</v>
      </c>
      <c r="I2144" t="s">
        <v>60</v>
      </c>
      <c r="J2144">
        <v>166295</v>
      </c>
      <c r="K2144" t="s">
        <v>27</v>
      </c>
      <c r="L2144">
        <v>17</v>
      </c>
      <c r="M2144">
        <v>35</v>
      </c>
      <c r="N2144" t="s">
        <v>35</v>
      </c>
      <c r="O2144" t="s">
        <v>27</v>
      </c>
      <c r="P2144">
        <v>2.93</v>
      </c>
      <c r="Q2144" t="s">
        <v>34</v>
      </c>
      <c r="R2144">
        <v>3.53</v>
      </c>
      <c r="S2144" t="s">
        <v>43</v>
      </c>
      <c r="T2144" t="str">
        <f t="shared" si="66"/>
        <v>High</v>
      </c>
      <c r="U2144" t="str">
        <f t="shared" si="67"/>
        <v>Expert</v>
      </c>
    </row>
    <row r="2145" spans="1:21" x14ac:dyDescent="0.35">
      <c r="A2145" t="s">
        <v>2218</v>
      </c>
      <c r="B2145" t="s">
        <v>147</v>
      </c>
      <c r="C2145" t="s">
        <v>21</v>
      </c>
      <c r="D2145" t="s">
        <v>22</v>
      </c>
      <c r="E2145" t="s">
        <v>41</v>
      </c>
      <c r="F2145">
        <v>2</v>
      </c>
      <c r="G2145">
        <v>0.83</v>
      </c>
      <c r="H2145">
        <v>0.94</v>
      </c>
      <c r="I2145" t="s">
        <v>24</v>
      </c>
      <c r="J2145">
        <v>77487</v>
      </c>
      <c r="K2145" t="s">
        <v>25</v>
      </c>
      <c r="L2145">
        <v>45</v>
      </c>
      <c r="M2145">
        <v>57</v>
      </c>
      <c r="N2145" t="s">
        <v>42</v>
      </c>
      <c r="O2145" t="s">
        <v>25</v>
      </c>
      <c r="P2145">
        <v>2.64</v>
      </c>
      <c r="Q2145" t="s">
        <v>24</v>
      </c>
      <c r="R2145">
        <v>4.93</v>
      </c>
      <c r="S2145" t="s">
        <v>43</v>
      </c>
      <c r="T2145" t="str">
        <f t="shared" si="66"/>
        <v>High</v>
      </c>
      <c r="U2145" t="str">
        <f t="shared" si="67"/>
        <v>Beginner</v>
      </c>
    </row>
    <row r="2146" spans="1:21" x14ac:dyDescent="0.35">
      <c r="A2146" t="s">
        <v>2219</v>
      </c>
      <c r="B2146" t="s">
        <v>77</v>
      </c>
      <c r="C2146" t="s">
        <v>74</v>
      </c>
      <c r="D2146" t="s">
        <v>63</v>
      </c>
      <c r="E2146" t="s">
        <v>70</v>
      </c>
      <c r="F2146">
        <v>6</v>
      </c>
      <c r="G2146">
        <v>0.2</v>
      </c>
      <c r="H2146">
        <v>0.6</v>
      </c>
      <c r="I2146" t="s">
        <v>60</v>
      </c>
      <c r="J2146">
        <v>91548</v>
      </c>
      <c r="K2146" t="s">
        <v>42</v>
      </c>
      <c r="L2146">
        <v>6</v>
      </c>
      <c r="M2146">
        <v>47</v>
      </c>
      <c r="N2146" t="s">
        <v>35</v>
      </c>
      <c r="O2146" t="s">
        <v>25</v>
      </c>
      <c r="P2146">
        <v>2.72</v>
      </c>
      <c r="Q2146" t="s">
        <v>24</v>
      </c>
      <c r="R2146">
        <v>1.47</v>
      </c>
      <c r="S2146" t="s">
        <v>43</v>
      </c>
      <c r="T2146" t="str">
        <f t="shared" si="66"/>
        <v>High</v>
      </c>
      <c r="U2146" t="str">
        <f t="shared" si="67"/>
        <v>Intermediate</v>
      </c>
    </row>
    <row r="2147" spans="1:21" x14ac:dyDescent="0.35">
      <c r="A2147" t="s">
        <v>2220</v>
      </c>
      <c r="B2147" t="s">
        <v>102</v>
      </c>
      <c r="C2147" t="s">
        <v>46</v>
      </c>
      <c r="D2147" t="s">
        <v>80</v>
      </c>
      <c r="E2147" t="s">
        <v>70</v>
      </c>
      <c r="F2147">
        <v>11</v>
      </c>
      <c r="G2147">
        <v>0.65</v>
      </c>
      <c r="H2147">
        <v>0.49</v>
      </c>
      <c r="I2147" t="s">
        <v>24</v>
      </c>
      <c r="J2147">
        <v>56911</v>
      </c>
      <c r="K2147" t="s">
        <v>25</v>
      </c>
      <c r="L2147">
        <v>3</v>
      </c>
      <c r="M2147">
        <v>45</v>
      </c>
      <c r="N2147" t="s">
        <v>42</v>
      </c>
      <c r="O2147" t="s">
        <v>25</v>
      </c>
      <c r="P2147">
        <v>3.51</v>
      </c>
      <c r="Q2147" t="s">
        <v>24</v>
      </c>
      <c r="R2147">
        <v>3.44</v>
      </c>
      <c r="S2147" t="s">
        <v>47</v>
      </c>
      <c r="T2147" t="str">
        <f t="shared" si="66"/>
        <v>Moderate</v>
      </c>
      <c r="U2147" t="str">
        <f t="shared" si="67"/>
        <v>Experienced</v>
      </c>
    </row>
    <row r="2148" spans="1:21" x14ac:dyDescent="0.35">
      <c r="A2148" t="s">
        <v>2221</v>
      </c>
      <c r="B2148" t="s">
        <v>57</v>
      </c>
      <c r="C2148" t="s">
        <v>82</v>
      </c>
      <c r="D2148" t="s">
        <v>66</v>
      </c>
      <c r="E2148" t="s">
        <v>33</v>
      </c>
      <c r="F2148">
        <v>8</v>
      </c>
      <c r="G2148">
        <v>0.78</v>
      </c>
      <c r="H2148">
        <v>0.32</v>
      </c>
      <c r="I2148" t="s">
        <v>60</v>
      </c>
      <c r="J2148">
        <v>218053</v>
      </c>
      <c r="K2148" t="s">
        <v>25</v>
      </c>
      <c r="L2148">
        <v>-4</v>
      </c>
      <c r="M2148">
        <v>53</v>
      </c>
      <c r="N2148" t="s">
        <v>35</v>
      </c>
      <c r="O2148" t="s">
        <v>27</v>
      </c>
      <c r="P2148">
        <v>3.05</v>
      </c>
      <c r="Q2148" t="s">
        <v>34</v>
      </c>
      <c r="R2148">
        <v>4.17</v>
      </c>
      <c r="S2148" t="s">
        <v>43</v>
      </c>
      <c r="T2148" t="str">
        <f t="shared" si="66"/>
        <v>Very Low</v>
      </c>
      <c r="U2148" t="str">
        <f t="shared" si="67"/>
        <v>Intermediate</v>
      </c>
    </row>
    <row r="2149" spans="1:21" x14ac:dyDescent="0.35">
      <c r="A2149" t="s">
        <v>2222</v>
      </c>
      <c r="B2149" t="s">
        <v>94</v>
      </c>
      <c r="C2149" t="s">
        <v>31</v>
      </c>
      <c r="D2149" t="s">
        <v>63</v>
      </c>
      <c r="E2149" t="s">
        <v>70</v>
      </c>
      <c r="F2149">
        <v>23</v>
      </c>
      <c r="G2149">
        <v>0.85</v>
      </c>
      <c r="H2149">
        <v>0.5</v>
      </c>
      <c r="I2149" t="s">
        <v>60</v>
      </c>
      <c r="J2149">
        <v>33228</v>
      </c>
      <c r="K2149" t="s">
        <v>25</v>
      </c>
      <c r="L2149">
        <v>9</v>
      </c>
      <c r="M2149">
        <v>55</v>
      </c>
      <c r="N2149" t="s">
        <v>26</v>
      </c>
      <c r="O2149" t="s">
        <v>25</v>
      </c>
      <c r="P2149">
        <v>3.84</v>
      </c>
      <c r="Q2149" t="s">
        <v>34</v>
      </c>
      <c r="R2149">
        <v>1.17</v>
      </c>
      <c r="S2149" t="s">
        <v>28</v>
      </c>
      <c r="T2149" t="str">
        <f t="shared" si="66"/>
        <v>Moderate</v>
      </c>
      <c r="U2149" t="str">
        <f t="shared" si="67"/>
        <v>Expert</v>
      </c>
    </row>
    <row r="2150" spans="1:21" x14ac:dyDescent="0.35">
      <c r="A2150" t="s">
        <v>2223</v>
      </c>
      <c r="B2150" t="s">
        <v>38</v>
      </c>
      <c r="C2150" t="s">
        <v>39</v>
      </c>
      <c r="D2150" t="s">
        <v>49</v>
      </c>
      <c r="E2150" t="s">
        <v>41</v>
      </c>
      <c r="F2150">
        <v>24</v>
      </c>
      <c r="G2150">
        <v>0.71</v>
      </c>
      <c r="H2150">
        <v>0.61</v>
      </c>
      <c r="I2150" t="s">
        <v>34</v>
      </c>
      <c r="J2150">
        <v>77107</v>
      </c>
      <c r="K2150" t="s">
        <v>25</v>
      </c>
      <c r="L2150">
        <v>30</v>
      </c>
      <c r="M2150">
        <v>50</v>
      </c>
      <c r="N2150" t="s">
        <v>42</v>
      </c>
      <c r="O2150" t="s">
        <v>27</v>
      </c>
      <c r="P2150">
        <v>4.8600000000000003</v>
      </c>
      <c r="Q2150" t="s">
        <v>24</v>
      </c>
      <c r="R2150">
        <v>2.52</v>
      </c>
      <c r="S2150" t="s">
        <v>28</v>
      </c>
      <c r="T2150" t="str">
        <f t="shared" si="66"/>
        <v>Moderate</v>
      </c>
      <c r="U2150" t="str">
        <f t="shared" si="67"/>
        <v>Expert</v>
      </c>
    </row>
    <row r="2151" spans="1:21" x14ac:dyDescent="0.35">
      <c r="A2151" t="s">
        <v>2224</v>
      </c>
      <c r="B2151" t="s">
        <v>102</v>
      </c>
      <c r="C2151" t="s">
        <v>21</v>
      </c>
      <c r="D2151" t="s">
        <v>69</v>
      </c>
      <c r="E2151" t="s">
        <v>23</v>
      </c>
      <c r="F2151">
        <v>11</v>
      </c>
      <c r="G2151">
        <v>0.79</v>
      </c>
      <c r="H2151">
        <v>0.31</v>
      </c>
      <c r="I2151" t="s">
        <v>24</v>
      </c>
      <c r="J2151">
        <v>67645</v>
      </c>
      <c r="K2151" t="s">
        <v>25</v>
      </c>
      <c r="L2151">
        <v>-5</v>
      </c>
      <c r="M2151">
        <v>41</v>
      </c>
      <c r="N2151" t="s">
        <v>35</v>
      </c>
      <c r="O2151" t="s">
        <v>25</v>
      </c>
      <c r="P2151">
        <v>3.91</v>
      </c>
      <c r="Q2151" t="s">
        <v>34</v>
      </c>
      <c r="R2151">
        <v>3.99</v>
      </c>
      <c r="S2151" t="s">
        <v>47</v>
      </c>
      <c r="T2151" t="str">
        <f t="shared" si="66"/>
        <v>Very Low</v>
      </c>
      <c r="U2151" t="str">
        <f t="shared" si="67"/>
        <v>Experienced</v>
      </c>
    </row>
    <row r="2152" spans="1:21" x14ac:dyDescent="0.35">
      <c r="A2152" t="s">
        <v>2225</v>
      </c>
      <c r="B2152" t="s">
        <v>65</v>
      </c>
      <c r="C2152" t="s">
        <v>52</v>
      </c>
      <c r="D2152" t="s">
        <v>59</v>
      </c>
      <c r="E2152" t="s">
        <v>23</v>
      </c>
      <c r="F2152">
        <v>2</v>
      </c>
      <c r="G2152">
        <v>0.73</v>
      </c>
      <c r="H2152">
        <v>0.87</v>
      </c>
      <c r="I2152" t="s">
        <v>24</v>
      </c>
      <c r="J2152">
        <v>172821</v>
      </c>
      <c r="K2152" t="s">
        <v>42</v>
      </c>
      <c r="L2152">
        <v>27</v>
      </c>
      <c r="M2152">
        <v>48</v>
      </c>
      <c r="N2152" t="s">
        <v>26</v>
      </c>
      <c r="O2152" t="s">
        <v>36</v>
      </c>
      <c r="P2152">
        <v>2.02</v>
      </c>
      <c r="Q2152" t="s">
        <v>24</v>
      </c>
      <c r="R2152">
        <v>4.45</v>
      </c>
      <c r="S2152" t="s">
        <v>28</v>
      </c>
      <c r="T2152" t="str">
        <f t="shared" si="66"/>
        <v>High</v>
      </c>
      <c r="U2152" t="str">
        <f t="shared" si="67"/>
        <v>Beginner</v>
      </c>
    </row>
    <row r="2153" spans="1:21" x14ac:dyDescent="0.35">
      <c r="A2153" t="s">
        <v>2226</v>
      </c>
      <c r="B2153" t="s">
        <v>106</v>
      </c>
      <c r="C2153" t="s">
        <v>39</v>
      </c>
      <c r="D2153" t="s">
        <v>22</v>
      </c>
      <c r="E2153" t="s">
        <v>23</v>
      </c>
      <c r="F2153">
        <v>25</v>
      </c>
      <c r="G2153">
        <v>0.55000000000000004</v>
      </c>
      <c r="H2153">
        <v>0.99</v>
      </c>
      <c r="I2153" t="s">
        <v>34</v>
      </c>
      <c r="J2153">
        <v>76094</v>
      </c>
      <c r="K2153" t="s">
        <v>42</v>
      </c>
      <c r="L2153">
        <v>34</v>
      </c>
      <c r="M2153">
        <v>53</v>
      </c>
      <c r="N2153" t="s">
        <v>42</v>
      </c>
      <c r="O2153" t="s">
        <v>25</v>
      </c>
      <c r="P2153">
        <v>4.28</v>
      </c>
      <c r="Q2153" t="s">
        <v>34</v>
      </c>
      <c r="R2153">
        <v>4.17</v>
      </c>
      <c r="S2153" t="s">
        <v>43</v>
      </c>
      <c r="T2153" t="str">
        <f t="shared" si="66"/>
        <v>High</v>
      </c>
      <c r="U2153" t="str">
        <f t="shared" si="67"/>
        <v>Expert</v>
      </c>
    </row>
    <row r="2154" spans="1:21" x14ac:dyDescent="0.35">
      <c r="A2154" t="s">
        <v>2227</v>
      </c>
      <c r="B2154" t="s">
        <v>106</v>
      </c>
      <c r="C2154" t="s">
        <v>58</v>
      </c>
      <c r="D2154" t="s">
        <v>80</v>
      </c>
      <c r="E2154" t="s">
        <v>33</v>
      </c>
      <c r="F2154">
        <v>25</v>
      </c>
      <c r="G2154">
        <v>0.34</v>
      </c>
      <c r="H2154">
        <v>0.5</v>
      </c>
      <c r="I2154" t="s">
        <v>34</v>
      </c>
      <c r="J2154">
        <v>74310</v>
      </c>
      <c r="K2154" t="s">
        <v>42</v>
      </c>
      <c r="L2154">
        <v>43</v>
      </c>
      <c r="M2154">
        <v>38</v>
      </c>
      <c r="N2154" t="s">
        <v>26</v>
      </c>
      <c r="O2154" t="s">
        <v>36</v>
      </c>
      <c r="P2154">
        <v>4.4000000000000004</v>
      </c>
      <c r="Q2154" t="s">
        <v>24</v>
      </c>
      <c r="R2154">
        <v>3.35</v>
      </c>
      <c r="S2154" t="s">
        <v>28</v>
      </c>
      <c r="T2154" t="str">
        <f t="shared" si="66"/>
        <v>High</v>
      </c>
      <c r="U2154" t="str">
        <f t="shared" si="67"/>
        <v>Expert</v>
      </c>
    </row>
    <row r="2155" spans="1:21" x14ac:dyDescent="0.35">
      <c r="A2155" t="s">
        <v>2228</v>
      </c>
      <c r="B2155" t="s">
        <v>94</v>
      </c>
      <c r="C2155" t="s">
        <v>46</v>
      </c>
      <c r="D2155" t="s">
        <v>22</v>
      </c>
      <c r="E2155" t="s">
        <v>33</v>
      </c>
      <c r="F2155">
        <v>19</v>
      </c>
      <c r="G2155">
        <v>0.66</v>
      </c>
      <c r="H2155">
        <v>0.94</v>
      </c>
      <c r="I2155" t="s">
        <v>60</v>
      </c>
      <c r="J2155">
        <v>41629</v>
      </c>
      <c r="K2155" t="s">
        <v>42</v>
      </c>
      <c r="L2155">
        <v>11</v>
      </c>
      <c r="M2155">
        <v>32</v>
      </c>
      <c r="N2155" t="s">
        <v>35</v>
      </c>
      <c r="O2155" t="s">
        <v>36</v>
      </c>
      <c r="P2155">
        <v>3.97</v>
      </c>
      <c r="Q2155" t="s">
        <v>24</v>
      </c>
      <c r="R2155">
        <v>3.07</v>
      </c>
      <c r="S2155" t="s">
        <v>47</v>
      </c>
      <c r="T2155" t="str">
        <f t="shared" si="66"/>
        <v>High</v>
      </c>
      <c r="U2155" t="str">
        <f t="shared" si="67"/>
        <v>Expert</v>
      </c>
    </row>
    <row r="2156" spans="1:21" x14ac:dyDescent="0.35">
      <c r="A2156" t="s">
        <v>2229</v>
      </c>
      <c r="B2156" t="s">
        <v>62</v>
      </c>
      <c r="C2156" t="s">
        <v>82</v>
      </c>
      <c r="D2156" t="s">
        <v>49</v>
      </c>
      <c r="E2156" t="s">
        <v>70</v>
      </c>
      <c r="F2156">
        <v>22</v>
      </c>
      <c r="G2156">
        <v>0.51</v>
      </c>
      <c r="H2156">
        <v>0.78</v>
      </c>
      <c r="I2156" t="s">
        <v>34</v>
      </c>
      <c r="J2156">
        <v>33856</v>
      </c>
      <c r="K2156" t="s">
        <v>25</v>
      </c>
      <c r="L2156">
        <v>38</v>
      </c>
      <c r="M2156">
        <v>31</v>
      </c>
      <c r="N2156" t="s">
        <v>35</v>
      </c>
      <c r="O2156" t="s">
        <v>36</v>
      </c>
      <c r="P2156">
        <v>3.95</v>
      </c>
      <c r="Q2156" t="s">
        <v>24</v>
      </c>
      <c r="R2156">
        <v>2.44</v>
      </c>
      <c r="S2156" t="s">
        <v>28</v>
      </c>
      <c r="T2156" t="str">
        <f t="shared" si="66"/>
        <v>High</v>
      </c>
      <c r="U2156" t="str">
        <f t="shared" si="67"/>
        <v>Expert</v>
      </c>
    </row>
    <row r="2157" spans="1:21" x14ac:dyDescent="0.35">
      <c r="A2157" t="s">
        <v>2230</v>
      </c>
      <c r="B2157" t="s">
        <v>45</v>
      </c>
      <c r="C2157" t="s">
        <v>82</v>
      </c>
      <c r="D2157" t="s">
        <v>59</v>
      </c>
      <c r="E2157" t="s">
        <v>70</v>
      </c>
      <c r="F2157">
        <v>5</v>
      </c>
      <c r="G2157">
        <v>0.67</v>
      </c>
      <c r="H2157">
        <v>0.5</v>
      </c>
      <c r="I2157" t="s">
        <v>60</v>
      </c>
      <c r="J2157">
        <v>108664</v>
      </c>
      <c r="K2157" t="s">
        <v>27</v>
      </c>
      <c r="L2157">
        <v>24</v>
      </c>
      <c r="M2157">
        <v>49</v>
      </c>
      <c r="N2157" t="s">
        <v>26</v>
      </c>
      <c r="O2157" t="s">
        <v>27</v>
      </c>
      <c r="P2157">
        <v>4.38</v>
      </c>
      <c r="Q2157" t="s">
        <v>24</v>
      </c>
      <c r="R2157">
        <v>3.71</v>
      </c>
      <c r="S2157" t="s">
        <v>28</v>
      </c>
      <c r="T2157" t="str">
        <f t="shared" si="66"/>
        <v>Moderate</v>
      </c>
      <c r="U2157" t="str">
        <f t="shared" si="67"/>
        <v>Intermediate</v>
      </c>
    </row>
    <row r="2158" spans="1:21" x14ac:dyDescent="0.35">
      <c r="A2158" t="s">
        <v>2231</v>
      </c>
      <c r="B2158" t="s">
        <v>102</v>
      </c>
      <c r="C2158" t="s">
        <v>52</v>
      </c>
      <c r="D2158" t="s">
        <v>75</v>
      </c>
      <c r="E2158" t="s">
        <v>33</v>
      </c>
      <c r="F2158">
        <v>24</v>
      </c>
      <c r="G2158">
        <v>0.14000000000000001</v>
      </c>
      <c r="H2158">
        <v>0.67</v>
      </c>
      <c r="I2158" t="s">
        <v>34</v>
      </c>
      <c r="J2158">
        <v>75723</v>
      </c>
      <c r="K2158" t="s">
        <v>27</v>
      </c>
      <c r="L2158">
        <v>-9</v>
      </c>
      <c r="M2158">
        <v>46</v>
      </c>
      <c r="N2158" t="s">
        <v>26</v>
      </c>
      <c r="O2158" t="s">
        <v>36</v>
      </c>
      <c r="P2158">
        <v>4.9400000000000004</v>
      </c>
      <c r="Q2158" t="s">
        <v>34</v>
      </c>
      <c r="R2158">
        <v>2.04</v>
      </c>
      <c r="S2158" t="s">
        <v>43</v>
      </c>
      <c r="T2158" t="str">
        <f t="shared" si="66"/>
        <v>High</v>
      </c>
      <c r="U2158" t="str">
        <f t="shared" si="67"/>
        <v>Expert</v>
      </c>
    </row>
    <row r="2159" spans="1:21" x14ac:dyDescent="0.35">
      <c r="A2159" t="s">
        <v>2232</v>
      </c>
      <c r="B2159" t="s">
        <v>89</v>
      </c>
      <c r="C2159" t="s">
        <v>107</v>
      </c>
      <c r="D2159" t="s">
        <v>69</v>
      </c>
      <c r="E2159" t="s">
        <v>33</v>
      </c>
      <c r="F2159">
        <v>17</v>
      </c>
      <c r="G2159">
        <v>0.23</v>
      </c>
      <c r="H2159">
        <v>0.54</v>
      </c>
      <c r="I2159" t="s">
        <v>24</v>
      </c>
      <c r="J2159">
        <v>217159</v>
      </c>
      <c r="K2159" t="s">
        <v>25</v>
      </c>
      <c r="L2159">
        <v>35</v>
      </c>
      <c r="M2159">
        <v>48</v>
      </c>
      <c r="N2159" t="s">
        <v>35</v>
      </c>
      <c r="O2159" t="s">
        <v>27</v>
      </c>
      <c r="P2159">
        <v>4.7699999999999996</v>
      </c>
      <c r="Q2159" t="s">
        <v>24</v>
      </c>
      <c r="R2159">
        <v>4.2</v>
      </c>
      <c r="S2159" t="s">
        <v>47</v>
      </c>
      <c r="T2159" t="str">
        <f t="shared" si="66"/>
        <v>High</v>
      </c>
      <c r="U2159" t="str">
        <f t="shared" si="67"/>
        <v>Expert</v>
      </c>
    </row>
    <row r="2160" spans="1:21" x14ac:dyDescent="0.35">
      <c r="A2160" t="s">
        <v>2233</v>
      </c>
      <c r="B2160" t="s">
        <v>54</v>
      </c>
      <c r="C2160" t="s">
        <v>82</v>
      </c>
      <c r="D2160" t="s">
        <v>40</v>
      </c>
      <c r="E2160" t="s">
        <v>41</v>
      </c>
      <c r="F2160">
        <v>17</v>
      </c>
      <c r="G2160">
        <v>0.35</v>
      </c>
      <c r="H2160">
        <v>0.81</v>
      </c>
      <c r="I2160" t="s">
        <v>24</v>
      </c>
      <c r="J2160">
        <v>164378</v>
      </c>
      <c r="K2160" t="s">
        <v>25</v>
      </c>
      <c r="L2160">
        <v>41</v>
      </c>
      <c r="M2160">
        <v>46</v>
      </c>
      <c r="N2160" t="s">
        <v>26</v>
      </c>
      <c r="O2160" t="s">
        <v>36</v>
      </c>
      <c r="P2160">
        <v>2.84</v>
      </c>
      <c r="Q2160" t="s">
        <v>24</v>
      </c>
      <c r="R2160">
        <v>3.39</v>
      </c>
      <c r="S2160" t="s">
        <v>28</v>
      </c>
      <c r="T2160" t="str">
        <f t="shared" si="66"/>
        <v>Very High</v>
      </c>
      <c r="U2160" t="str">
        <f t="shared" si="67"/>
        <v>Expert</v>
      </c>
    </row>
    <row r="2161" spans="1:21" x14ac:dyDescent="0.35">
      <c r="A2161" t="s">
        <v>2234</v>
      </c>
      <c r="B2161" t="s">
        <v>96</v>
      </c>
      <c r="C2161" t="s">
        <v>58</v>
      </c>
      <c r="D2161" t="s">
        <v>59</v>
      </c>
      <c r="E2161" t="s">
        <v>41</v>
      </c>
      <c r="F2161">
        <v>4</v>
      </c>
      <c r="G2161">
        <v>0.37</v>
      </c>
      <c r="H2161">
        <v>0.75</v>
      </c>
      <c r="I2161" t="s">
        <v>60</v>
      </c>
      <c r="J2161">
        <v>111046</v>
      </c>
      <c r="K2161" t="s">
        <v>25</v>
      </c>
      <c r="L2161">
        <v>-4</v>
      </c>
      <c r="M2161">
        <v>34</v>
      </c>
      <c r="N2161" t="s">
        <v>35</v>
      </c>
      <c r="O2161" t="s">
        <v>36</v>
      </c>
      <c r="P2161">
        <v>3.58</v>
      </c>
      <c r="Q2161" t="s">
        <v>34</v>
      </c>
      <c r="R2161">
        <v>4.1500000000000004</v>
      </c>
      <c r="S2161" t="s">
        <v>47</v>
      </c>
      <c r="T2161" t="str">
        <f t="shared" si="66"/>
        <v>Very High</v>
      </c>
      <c r="U2161" t="str">
        <f t="shared" si="67"/>
        <v>Intermediate</v>
      </c>
    </row>
    <row r="2162" spans="1:21" x14ac:dyDescent="0.35">
      <c r="A2162" t="s">
        <v>2235</v>
      </c>
      <c r="B2162" t="s">
        <v>45</v>
      </c>
      <c r="C2162" t="s">
        <v>55</v>
      </c>
      <c r="D2162" t="s">
        <v>63</v>
      </c>
      <c r="E2162" t="s">
        <v>33</v>
      </c>
      <c r="F2162">
        <v>0</v>
      </c>
      <c r="G2162">
        <v>0.33</v>
      </c>
      <c r="H2162">
        <v>0.63</v>
      </c>
      <c r="I2162" t="s">
        <v>34</v>
      </c>
      <c r="J2162">
        <v>54089</v>
      </c>
      <c r="K2162" t="s">
        <v>25</v>
      </c>
      <c r="L2162">
        <v>-9</v>
      </c>
      <c r="M2162">
        <v>57</v>
      </c>
      <c r="N2162" t="s">
        <v>42</v>
      </c>
      <c r="O2162" t="s">
        <v>25</v>
      </c>
      <c r="P2162">
        <v>3.14</v>
      </c>
      <c r="Q2162" t="s">
        <v>24</v>
      </c>
      <c r="R2162">
        <v>4.46</v>
      </c>
      <c r="S2162" t="s">
        <v>47</v>
      </c>
      <c r="T2162" t="str">
        <f t="shared" si="66"/>
        <v>High</v>
      </c>
      <c r="U2162" t="str">
        <f t="shared" si="67"/>
        <v>Beginner</v>
      </c>
    </row>
    <row r="2163" spans="1:21" x14ac:dyDescent="0.35">
      <c r="A2163" t="s">
        <v>2236</v>
      </c>
      <c r="B2163" t="s">
        <v>91</v>
      </c>
      <c r="C2163" t="s">
        <v>46</v>
      </c>
      <c r="D2163" t="s">
        <v>32</v>
      </c>
      <c r="E2163" t="s">
        <v>70</v>
      </c>
      <c r="F2163">
        <v>2</v>
      </c>
      <c r="G2163">
        <v>0.14000000000000001</v>
      </c>
      <c r="H2163">
        <v>0.23</v>
      </c>
      <c r="I2163" t="s">
        <v>24</v>
      </c>
      <c r="J2163">
        <v>48204</v>
      </c>
      <c r="K2163" t="s">
        <v>42</v>
      </c>
      <c r="L2163">
        <v>45</v>
      </c>
      <c r="M2163">
        <v>50</v>
      </c>
      <c r="N2163" t="s">
        <v>35</v>
      </c>
      <c r="O2163" t="s">
        <v>25</v>
      </c>
      <c r="P2163">
        <v>2.58</v>
      </c>
      <c r="Q2163" t="s">
        <v>24</v>
      </c>
      <c r="R2163">
        <v>1.3</v>
      </c>
      <c r="S2163" t="s">
        <v>28</v>
      </c>
      <c r="T2163" t="str">
        <f t="shared" si="66"/>
        <v>High</v>
      </c>
      <c r="U2163" t="str">
        <f t="shared" si="67"/>
        <v>Beginner</v>
      </c>
    </row>
    <row r="2164" spans="1:21" x14ac:dyDescent="0.35">
      <c r="A2164" t="s">
        <v>2237</v>
      </c>
      <c r="B2164" t="s">
        <v>77</v>
      </c>
      <c r="C2164" t="s">
        <v>31</v>
      </c>
      <c r="D2164" t="s">
        <v>75</v>
      </c>
      <c r="E2164" t="s">
        <v>41</v>
      </c>
      <c r="F2164">
        <v>24</v>
      </c>
      <c r="G2164">
        <v>0.85</v>
      </c>
      <c r="H2164">
        <v>0.9</v>
      </c>
      <c r="I2164" t="s">
        <v>34</v>
      </c>
      <c r="J2164">
        <v>53847</v>
      </c>
      <c r="K2164" t="s">
        <v>42</v>
      </c>
      <c r="L2164">
        <v>29</v>
      </c>
      <c r="M2164">
        <v>42</v>
      </c>
      <c r="N2164" t="s">
        <v>35</v>
      </c>
      <c r="O2164" t="s">
        <v>27</v>
      </c>
      <c r="P2164">
        <v>2.71</v>
      </c>
      <c r="Q2164" t="s">
        <v>34</v>
      </c>
      <c r="R2164">
        <v>1.1399999999999999</v>
      </c>
      <c r="S2164" t="s">
        <v>43</v>
      </c>
      <c r="T2164" t="str">
        <f t="shared" si="66"/>
        <v>High</v>
      </c>
      <c r="U2164" t="str">
        <f t="shared" si="67"/>
        <v>Expert</v>
      </c>
    </row>
    <row r="2165" spans="1:21" x14ac:dyDescent="0.35">
      <c r="A2165" t="s">
        <v>2238</v>
      </c>
      <c r="B2165" t="s">
        <v>38</v>
      </c>
      <c r="C2165" t="s">
        <v>55</v>
      </c>
      <c r="D2165" t="s">
        <v>75</v>
      </c>
      <c r="E2165" t="s">
        <v>23</v>
      </c>
      <c r="F2165">
        <v>23</v>
      </c>
      <c r="G2165">
        <v>0.3</v>
      </c>
      <c r="H2165">
        <v>0.24</v>
      </c>
      <c r="I2165" t="s">
        <v>24</v>
      </c>
      <c r="J2165">
        <v>216909</v>
      </c>
      <c r="K2165" t="s">
        <v>27</v>
      </c>
      <c r="L2165">
        <v>33</v>
      </c>
      <c r="M2165">
        <v>58</v>
      </c>
      <c r="N2165" t="s">
        <v>42</v>
      </c>
      <c r="O2165" t="s">
        <v>25</v>
      </c>
      <c r="P2165">
        <v>2.72</v>
      </c>
      <c r="Q2165" t="s">
        <v>24</v>
      </c>
      <c r="R2165">
        <v>2.4500000000000002</v>
      </c>
      <c r="S2165" t="s">
        <v>47</v>
      </c>
      <c r="T2165" t="str">
        <f t="shared" si="66"/>
        <v>Moderate</v>
      </c>
      <c r="U2165" t="str">
        <f t="shared" si="67"/>
        <v>Expert</v>
      </c>
    </row>
    <row r="2166" spans="1:21" x14ac:dyDescent="0.35">
      <c r="A2166" t="s">
        <v>2239</v>
      </c>
      <c r="B2166" t="s">
        <v>96</v>
      </c>
      <c r="C2166" t="s">
        <v>21</v>
      </c>
      <c r="D2166" t="s">
        <v>49</v>
      </c>
      <c r="E2166" t="s">
        <v>33</v>
      </c>
      <c r="F2166">
        <v>1</v>
      </c>
      <c r="G2166">
        <v>0.33</v>
      </c>
      <c r="H2166">
        <v>0.86</v>
      </c>
      <c r="I2166" t="s">
        <v>34</v>
      </c>
      <c r="J2166">
        <v>101330</v>
      </c>
      <c r="K2166" t="s">
        <v>27</v>
      </c>
      <c r="L2166">
        <v>-6</v>
      </c>
      <c r="M2166">
        <v>55</v>
      </c>
      <c r="N2166" t="s">
        <v>26</v>
      </c>
      <c r="O2166" t="s">
        <v>36</v>
      </c>
      <c r="P2166">
        <v>2.2999999999999998</v>
      </c>
      <c r="Q2166" t="s">
        <v>24</v>
      </c>
      <c r="R2166">
        <v>3.63</v>
      </c>
      <c r="S2166" t="s">
        <v>47</v>
      </c>
      <c r="T2166" t="str">
        <f t="shared" si="66"/>
        <v>Very High</v>
      </c>
      <c r="U2166" t="str">
        <f t="shared" si="67"/>
        <v>Beginner</v>
      </c>
    </row>
    <row r="2167" spans="1:21" x14ac:dyDescent="0.35">
      <c r="A2167" t="s">
        <v>2240</v>
      </c>
      <c r="B2167" t="s">
        <v>62</v>
      </c>
      <c r="C2167" t="s">
        <v>58</v>
      </c>
      <c r="D2167" t="s">
        <v>49</v>
      </c>
      <c r="E2167" t="s">
        <v>70</v>
      </c>
      <c r="F2167">
        <v>2</v>
      </c>
      <c r="G2167">
        <v>0.8</v>
      </c>
      <c r="H2167">
        <v>0.85</v>
      </c>
      <c r="I2167" t="s">
        <v>60</v>
      </c>
      <c r="J2167">
        <v>69276</v>
      </c>
      <c r="K2167" t="s">
        <v>25</v>
      </c>
      <c r="L2167">
        <v>11</v>
      </c>
      <c r="M2167">
        <v>48</v>
      </c>
      <c r="N2167" t="s">
        <v>26</v>
      </c>
      <c r="O2167" t="s">
        <v>27</v>
      </c>
      <c r="P2167">
        <v>3.26</v>
      </c>
      <c r="Q2167" t="s">
        <v>34</v>
      </c>
      <c r="R2167">
        <v>1.96</v>
      </c>
      <c r="S2167" t="s">
        <v>28</v>
      </c>
      <c r="T2167" t="str">
        <f t="shared" si="66"/>
        <v>High</v>
      </c>
      <c r="U2167" t="str">
        <f t="shared" si="67"/>
        <v>Beginner</v>
      </c>
    </row>
    <row r="2168" spans="1:21" x14ac:dyDescent="0.35">
      <c r="A2168" t="s">
        <v>2241</v>
      </c>
      <c r="B2168" t="s">
        <v>89</v>
      </c>
      <c r="C2168" t="s">
        <v>31</v>
      </c>
      <c r="D2168" t="s">
        <v>59</v>
      </c>
      <c r="E2168" t="s">
        <v>33</v>
      </c>
      <c r="F2168">
        <v>19</v>
      </c>
      <c r="G2168">
        <v>0.64</v>
      </c>
      <c r="H2168">
        <v>0.61</v>
      </c>
      <c r="I2168" t="s">
        <v>24</v>
      </c>
      <c r="J2168">
        <v>124870</v>
      </c>
      <c r="K2168" t="s">
        <v>27</v>
      </c>
      <c r="L2168">
        <v>10</v>
      </c>
      <c r="M2168">
        <v>57</v>
      </c>
      <c r="N2168" t="s">
        <v>26</v>
      </c>
      <c r="O2168" t="s">
        <v>25</v>
      </c>
      <c r="P2168">
        <v>4.1100000000000003</v>
      </c>
      <c r="Q2168" t="s">
        <v>24</v>
      </c>
      <c r="R2168">
        <v>4.18</v>
      </c>
      <c r="S2168" t="s">
        <v>43</v>
      </c>
      <c r="T2168" t="str">
        <f t="shared" si="66"/>
        <v>Moderate</v>
      </c>
      <c r="U2168" t="str">
        <f t="shared" si="67"/>
        <v>Expert</v>
      </c>
    </row>
    <row r="2169" spans="1:21" x14ac:dyDescent="0.35">
      <c r="A2169" t="s">
        <v>2242</v>
      </c>
      <c r="B2169" t="s">
        <v>62</v>
      </c>
      <c r="C2169" t="s">
        <v>52</v>
      </c>
      <c r="D2169" t="s">
        <v>80</v>
      </c>
      <c r="E2169" t="s">
        <v>33</v>
      </c>
      <c r="F2169">
        <v>20</v>
      </c>
      <c r="G2169">
        <v>0.49</v>
      </c>
      <c r="H2169">
        <v>0.23</v>
      </c>
      <c r="I2169" t="s">
        <v>24</v>
      </c>
      <c r="J2169">
        <v>217005</v>
      </c>
      <c r="K2169" t="s">
        <v>42</v>
      </c>
      <c r="L2169">
        <v>15</v>
      </c>
      <c r="M2169">
        <v>41</v>
      </c>
      <c r="N2169" t="s">
        <v>35</v>
      </c>
      <c r="O2169" t="s">
        <v>25</v>
      </c>
      <c r="P2169">
        <v>2.68</v>
      </c>
      <c r="Q2169" t="s">
        <v>34</v>
      </c>
      <c r="R2169">
        <v>4.07</v>
      </c>
      <c r="S2169" t="s">
        <v>43</v>
      </c>
      <c r="T2169" t="str">
        <f t="shared" si="66"/>
        <v>Moderate</v>
      </c>
      <c r="U2169" t="str">
        <f t="shared" si="67"/>
        <v>Expert</v>
      </c>
    </row>
    <row r="2170" spans="1:21" x14ac:dyDescent="0.35">
      <c r="A2170" t="s">
        <v>2243</v>
      </c>
      <c r="B2170" t="s">
        <v>65</v>
      </c>
      <c r="C2170" t="s">
        <v>21</v>
      </c>
      <c r="D2170" t="s">
        <v>22</v>
      </c>
      <c r="E2170" t="s">
        <v>41</v>
      </c>
      <c r="F2170">
        <v>4</v>
      </c>
      <c r="G2170">
        <v>0.31</v>
      </c>
      <c r="H2170">
        <v>0.33</v>
      </c>
      <c r="I2170" t="s">
        <v>24</v>
      </c>
      <c r="J2170">
        <v>55606</v>
      </c>
      <c r="K2170" t="s">
        <v>25</v>
      </c>
      <c r="L2170">
        <v>-10</v>
      </c>
      <c r="M2170">
        <v>33</v>
      </c>
      <c r="N2170" t="s">
        <v>42</v>
      </c>
      <c r="O2170" t="s">
        <v>36</v>
      </c>
      <c r="P2170">
        <v>2.3199999999999998</v>
      </c>
      <c r="Q2170" t="s">
        <v>24</v>
      </c>
      <c r="R2170">
        <v>2.62</v>
      </c>
      <c r="S2170" t="s">
        <v>47</v>
      </c>
      <c r="T2170" t="str">
        <f t="shared" si="66"/>
        <v>High</v>
      </c>
      <c r="U2170" t="str">
        <f t="shared" si="67"/>
        <v>Intermediate</v>
      </c>
    </row>
    <row r="2171" spans="1:21" x14ac:dyDescent="0.35">
      <c r="A2171" t="s">
        <v>2244</v>
      </c>
      <c r="B2171" t="s">
        <v>51</v>
      </c>
      <c r="C2171" t="s">
        <v>52</v>
      </c>
      <c r="D2171" t="s">
        <v>49</v>
      </c>
      <c r="E2171" t="s">
        <v>23</v>
      </c>
      <c r="F2171">
        <v>20</v>
      </c>
      <c r="G2171">
        <v>0.46</v>
      </c>
      <c r="H2171">
        <v>0.47</v>
      </c>
      <c r="I2171" t="s">
        <v>34</v>
      </c>
      <c r="J2171">
        <v>181616</v>
      </c>
      <c r="K2171" t="s">
        <v>25</v>
      </c>
      <c r="L2171">
        <v>7</v>
      </c>
      <c r="M2171">
        <v>42</v>
      </c>
      <c r="N2171" t="s">
        <v>35</v>
      </c>
      <c r="O2171" t="s">
        <v>36</v>
      </c>
      <c r="P2171">
        <v>3.94</v>
      </c>
      <c r="Q2171" t="s">
        <v>24</v>
      </c>
      <c r="R2171">
        <v>3.69</v>
      </c>
      <c r="S2171" t="s">
        <v>28</v>
      </c>
      <c r="T2171" t="str">
        <f t="shared" si="66"/>
        <v>High</v>
      </c>
      <c r="U2171" t="str">
        <f t="shared" si="67"/>
        <v>Expert</v>
      </c>
    </row>
    <row r="2172" spans="1:21" x14ac:dyDescent="0.35">
      <c r="A2172" t="s">
        <v>2245</v>
      </c>
      <c r="B2172" t="s">
        <v>89</v>
      </c>
      <c r="C2172" t="s">
        <v>82</v>
      </c>
      <c r="D2172" t="s">
        <v>75</v>
      </c>
      <c r="E2172" t="s">
        <v>33</v>
      </c>
      <c r="F2172">
        <v>0</v>
      </c>
      <c r="G2172">
        <v>0.84</v>
      </c>
      <c r="H2172">
        <v>0.89</v>
      </c>
      <c r="I2172" t="s">
        <v>34</v>
      </c>
      <c r="J2172">
        <v>176302</v>
      </c>
      <c r="K2172" t="s">
        <v>27</v>
      </c>
      <c r="L2172">
        <v>21</v>
      </c>
      <c r="M2172">
        <v>32</v>
      </c>
      <c r="N2172" t="s">
        <v>35</v>
      </c>
      <c r="O2172" t="s">
        <v>25</v>
      </c>
      <c r="P2172">
        <v>3.15</v>
      </c>
      <c r="Q2172" t="s">
        <v>34</v>
      </c>
      <c r="R2172">
        <v>1.91</v>
      </c>
      <c r="S2172" t="s">
        <v>43</v>
      </c>
      <c r="T2172" t="str">
        <f t="shared" si="66"/>
        <v>High</v>
      </c>
      <c r="U2172" t="str">
        <f t="shared" si="67"/>
        <v>Beginner</v>
      </c>
    </row>
    <row r="2173" spans="1:21" x14ac:dyDescent="0.35">
      <c r="A2173" t="s">
        <v>2246</v>
      </c>
      <c r="B2173" t="s">
        <v>68</v>
      </c>
      <c r="C2173" t="s">
        <v>46</v>
      </c>
      <c r="D2173" t="s">
        <v>49</v>
      </c>
      <c r="E2173" t="s">
        <v>70</v>
      </c>
      <c r="F2173">
        <v>10</v>
      </c>
      <c r="G2173">
        <v>0.7</v>
      </c>
      <c r="H2173">
        <v>0.76</v>
      </c>
      <c r="I2173" t="s">
        <v>24</v>
      </c>
      <c r="J2173">
        <v>152949</v>
      </c>
      <c r="K2173" t="s">
        <v>25</v>
      </c>
      <c r="L2173">
        <v>45</v>
      </c>
      <c r="M2173">
        <v>39</v>
      </c>
      <c r="N2173" t="s">
        <v>42</v>
      </c>
      <c r="O2173" t="s">
        <v>27</v>
      </c>
      <c r="P2173">
        <v>3.1</v>
      </c>
      <c r="Q2173" t="s">
        <v>24</v>
      </c>
      <c r="R2173">
        <v>4.83</v>
      </c>
      <c r="S2173" t="s">
        <v>47</v>
      </c>
      <c r="T2173" t="str">
        <f t="shared" si="66"/>
        <v>High</v>
      </c>
      <c r="U2173" t="str">
        <f t="shared" si="67"/>
        <v>Experienced</v>
      </c>
    </row>
    <row r="2174" spans="1:21" x14ac:dyDescent="0.35">
      <c r="A2174" t="s">
        <v>2247</v>
      </c>
      <c r="B2174" t="s">
        <v>102</v>
      </c>
      <c r="C2174" t="s">
        <v>74</v>
      </c>
      <c r="D2174" t="s">
        <v>69</v>
      </c>
      <c r="E2174" t="s">
        <v>70</v>
      </c>
      <c r="F2174">
        <v>4</v>
      </c>
      <c r="G2174">
        <v>0.7</v>
      </c>
      <c r="H2174">
        <v>0.48</v>
      </c>
      <c r="I2174" t="s">
        <v>34</v>
      </c>
      <c r="J2174">
        <v>153331</v>
      </c>
      <c r="K2174" t="s">
        <v>27</v>
      </c>
      <c r="L2174">
        <v>-2</v>
      </c>
      <c r="M2174">
        <v>48</v>
      </c>
      <c r="N2174" t="s">
        <v>42</v>
      </c>
      <c r="O2174" t="s">
        <v>25</v>
      </c>
      <c r="P2174">
        <v>3.24</v>
      </c>
      <c r="Q2174" t="s">
        <v>24</v>
      </c>
      <c r="R2174">
        <v>1.1499999999999999</v>
      </c>
      <c r="S2174" t="s">
        <v>28</v>
      </c>
      <c r="T2174" t="str">
        <f t="shared" si="66"/>
        <v>Very Low</v>
      </c>
      <c r="U2174" t="str">
        <f t="shared" si="67"/>
        <v>Intermediate</v>
      </c>
    </row>
    <row r="2175" spans="1:21" x14ac:dyDescent="0.35">
      <c r="A2175" t="s">
        <v>2248</v>
      </c>
      <c r="B2175" t="s">
        <v>54</v>
      </c>
      <c r="C2175" t="s">
        <v>52</v>
      </c>
      <c r="D2175" t="s">
        <v>66</v>
      </c>
      <c r="E2175" t="s">
        <v>23</v>
      </c>
      <c r="F2175">
        <v>1</v>
      </c>
      <c r="G2175">
        <v>0.34</v>
      </c>
      <c r="H2175">
        <v>0.71</v>
      </c>
      <c r="I2175" t="s">
        <v>24</v>
      </c>
      <c r="J2175">
        <v>60520</v>
      </c>
      <c r="K2175" t="s">
        <v>25</v>
      </c>
      <c r="L2175">
        <v>16</v>
      </c>
      <c r="M2175">
        <v>30</v>
      </c>
      <c r="N2175" t="s">
        <v>42</v>
      </c>
      <c r="O2175" t="s">
        <v>36</v>
      </c>
      <c r="P2175">
        <v>2.34</v>
      </c>
      <c r="Q2175" t="s">
        <v>24</v>
      </c>
      <c r="R2175">
        <v>4.1399999999999997</v>
      </c>
      <c r="S2175" t="s">
        <v>47</v>
      </c>
      <c r="T2175" t="str">
        <f t="shared" si="66"/>
        <v>Very High</v>
      </c>
      <c r="U2175" t="str">
        <f t="shared" si="67"/>
        <v>Beginner</v>
      </c>
    </row>
    <row r="2176" spans="1:21" x14ac:dyDescent="0.35">
      <c r="A2176" t="s">
        <v>2249</v>
      </c>
      <c r="B2176" t="s">
        <v>45</v>
      </c>
      <c r="C2176" t="s">
        <v>39</v>
      </c>
      <c r="D2176" t="s">
        <v>66</v>
      </c>
      <c r="E2176" t="s">
        <v>41</v>
      </c>
      <c r="F2176">
        <v>14</v>
      </c>
      <c r="G2176">
        <v>0.34</v>
      </c>
      <c r="H2176">
        <v>0.92</v>
      </c>
      <c r="I2176" t="s">
        <v>34</v>
      </c>
      <c r="J2176">
        <v>203209</v>
      </c>
      <c r="K2176" t="s">
        <v>25</v>
      </c>
      <c r="L2176">
        <v>1</v>
      </c>
      <c r="M2176">
        <v>47</v>
      </c>
      <c r="N2176" t="s">
        <v>35</v>
      </c>
      <c r="O2176" t="s">
        <v>27</v>
      </c>
      <c r="P2176">
        <v>3.04</v>
      </c>
      <c r="Q2176" t="s">
        <v>24</v>
      </c>
      <c r="R2176">
        <v>2.97</v>
      </c>
      <c r="S2176" t="s">
        <v>43</v>
      </c>
      <c r="T2176" t="str">
        <f t="shared" si="66"/>
        <v>Very High</v>
      </c>
      <c r="U2176" t="str">
        <f t="shared" si="67"/>
        <v>Experienced</v>
      </c>
    </row>
    <row r="2177" spans="1:21" x14ac:dyDescent="0.35">
      <c r="A2177" t="s">
        <v>2250</v>
      </c>
      <c r="B2177" t="s">
        <v>147</v>
      </c>
      <c r="C2177" t="s">
        <v>55</v>
      </c>
      <c r="D2177" t="s">
        <v>66</v>
      </c>
      <c r="E2177" t="s">
        <v>33</v>
      </c>
      <c r="F2177">
        <v>17</v>
      </c>
      <c r="G2177">
        <v>0.93</v>
      </c>
      <c r="H2177">
        <v>0.55000000000000004</v>
      </c>
      <c r="I2177" t="s">
        <v>24</v>
      </c>
      <c r="J2177">
        <v>39482</v>
      </c>
      <c r="K2177" t="s">
        <v>42</v>
      </c>
      <c r="L2177">
        <v>2</v>
      </c>
      <c r="M2177">
        <v>49</v>
      </c>
      <c r="N2177" t="s">
        <v>35</v>
      </c>
      <c r="O2177" t="s">
        <v>25</v>
      </c>
      <c r="P2177">
        <v>4.2699999999999996</v>
      </c>
      <c r="Q2177" t="s">
        <v>34</v>
      </c>
      <c r="R2177">
        <v>3.47</v>
      </c>
      <c r="S2177" t="s">
        <v>47</v>
      </c>
      <c r="T2177" t="str">
        <f t="shared" si="66"/>
        <v>Moderate</v>
      </c>
      <c r="U2177" t="str">
        <f t="shared" si="67"/>
        <v>Expert</v>
      </c>
    </row>
    <row r="2178" spans="1:21" x14ac:dyDescent="0.35">
      <c r="A2178" t="s">
        <v>2251</v>
      </c>
      <c r="B2178" t="s">
        <v>68</v>
      </c>
      <c r="C2178" t="s">
        <v>82</v>
      </c>
      <c r="D2178" t="s">
        <v>75</v>
      </c>
      <c r="E2178" t="s">
        <v>23</v>
      </c>
      <c r="F2178">
        <v>9</v>
      </c>
      <c r="G2178">
        <v>0.64</v>
      </c>
      <c r="H2178">
        <v>0.97</v>
      </c>
      <c r="I2178" t="s">
        <v>34</v>
      </c>
      <c r="J2178">
        <v>143788</v>
      </c>
      <c r="K2178" t="s">
        <v>42</v>
      </c>
      <c r="L2178">
        <v>36</v>
      </c>
      <c r="M2178">
        <v>43</v>
      </c>
      <c r="N2178" t="s">
        <v>42</v>
      </c>
      <c r="O2178" t="s">
        <v>36</v>
      </c>
      <c r="P2178">
        <v>2.78</v>
      </c>
      <c r="Q2178" t="s">
        <v>34</v>
      </c>
      <c r="R2178">
        <v>2.5299999999999998</v>
      </c>
      <c r="S2178" t="s">
        <v>43</v>
      </c>
      <c r="T2178" t="str">
        <f t="shared" si="66"/>
        <v>High</v>
      </c>
      <c r="U2178" t="str">
        <f t="shared" si="67"/>
        <v>Experienced</v>
      </c>
    </row>
    <row r="2179" spans="1:21" x14ac:dyDescent="0.35">
      <c r="A2179" t="s">
        <v>2252</v>
      </c>
      <c r="B2179" t="s">
        <v>62</v>
      </c>
      <c r="C2179" t="s">
        <v>39</v>
      </c>
      <c r="D2179" t="s">
        <v>22</v>
      </c>
      <c r="E2179" t="s">
        <v>33</v>
      </c>
      <c r="F2179">
        <v>11</v>
      </c>
      <c r="G2179">
        <v>0.1</v>
      </c>
      <c r="H2179">
        <v>0.74</v>
      </c>
      <c r="I2179" t="s">
        <v>34</v>
      </c>
      <c r="J2179">
        <v>200071</v>
      </c>
      <c r="K2179" t="s">
        <v>25</v>
      </c>
      <c r="L2179">
        <v>27</v>
      </c>
      <c r="M2179">
        <v>48</v>
      </c>
      <c r="N2179" t="s">
        <v>35</v>
      </c>
      <c r="O2179" t="s">
        <v>27</v>
      </c>
      <c r="P2179">
        <v>3.3</v>
      </c>
      <c r="Q2179" t="s">
        <v>24</v>
      </c>
      <c r="R2179">
        <v>1.58</v>
      </c>
      <c r="S2179" t="s">
        <v>43</v>
      </c>
      <c r="T2179" t="str">
        <f t="shared" ref="T2179:T2242" si="68">IF(AND(G2179&lt;0.4,H2179&gt;=0.7),"Very High",
IF(AND(G2179&gt;=0.7,H2179&lt;0.5),"Very Low",
IF(G2179&lt;H2179,"High","Moderate")))</f>
        <v>Very High</v>
      </c>
      <c r="U2179" t="str">
        <f t="shared" ref="U2179:U2242" si="69">_xlfn.IFS(F2179&lt;=2,"Beginner",F2179&lt;=8,"Intermediate",F2179&lt;=15,"Experienced",F2179&lt;=25,"Expert")</f>
        <v>Experienced</v>
      </c>
    </row>
    <row r="2180" spans="1:21" x14ac:dyDescent="0.35">
      <c r="A2180" t="s">
        <v>2253</v>
      </c>
      <c r="B2180" t="s">
        <v>106</v>
      </c>
      <c r="C2180" t="s">
        <v>58</v>
      </c>
      <c r="D2180" t="s">
        <v>59</v>
      </c>
      <c r="E2180" t="s">
        <v>33</v>
      </c>
      <c r="F2180">
        <v>21</v>
      </c>
      <c r="G2180">
        <v>0.82</v>
      </c>
      <c r="H2180">
        <v>0.45</v>
      </c>
      <c r="I2180" t="s">
        <v>60</v>
      </c>
      <c r="J2180">
        <v>117441</v>
      </c>
      <c r="K2180" t="s">
        <v>27</v>
      </c>
      <c r="L2180">
        <v>38</v>
      </c>
      <c r="M2180">
        <v>43</v>
      </c>
      <c r="N2180" t="s">
        <v>42</v>
      </c>
      <c r="O2180" t="s">
        <v>27</v>
      </c>
      <c r="P2180">
        <v>2.35</v>
      </c>
      <c r="Q2180" t="s">
        <v>24</v>
      </c>
      <c r="R2180">
        <v>4.4400000000000004</v>
      </c>
      <c r="S2180" t="s">
        <v>28</v>
      </c>
      <c r="T2180" t="str">
        <f t="shared" si="68"/>
        <v>Very Low</v>
      </c>
      <c r="U2180" t="str">
        <f t="shared" si="69"/>
        <v>Expert</v>
      </c>
    </row>
    <row r="2181" spans="1:21" x14ac:dyDescent="0.35">
      <c r="A2181" t="s">
        <v>2254</v>
      </c>
      <c r="B2181" t="s">
        <v>30</v>
      </c>
      <c r="C2181" t="s">
        <v>39</v>
      </c>
      <c r="D2181" t="s">
        <v>75</v>
      </c>
      <c r="E2181" t="s">
        <v>23</v>
      </c>
      <c r="F2181">
        <v>15</v>
      </c>
      <c r="G2181">
        <v>0.78</v>
      </c>
      <c r="H2181">
        <v>0.81</v>
      </c>
      <c r="I2181" t="s">
        <v>24</v>
      </c>
      <c r="J2181">
        <v>41195</v>
      </c>
      <c r="K2181" t="s">
        <v>25</v>
      </c>
      <c r="L2181">
        <v>36</v>
      </c>
      <c r="M2181">
        <v>51</v>
      </c>
      <c r="N2181" t="s">
        <v>26</v>
      </c>
      <c r="O2181" t="s">
        <v>25</v>
      </c>
      <c r="P2181">
        <v>4.4400000000000004</v>
      </c>
      <c r="Q2181" t="s">
        <v>24</v>
      </c>
      <c r="R2181">
        <v>3.25</v>
      </c>
      <c r="S2181" t="s">
        <v>28</v>
      </c>
      <c r="T2181" t="str">
        <f t="shared" si="68"/>
        <v>High</v>
      </c>
      <c r="U2181" t="str">
        <f t="shared" si="69"/>
        <v>Experienced</v>
      </c>
    </row>
    <row r="2182" spans="1:21" x14ac:dyDescent="0.35">
      <c r="A2182" t="s">
        <v>2255</v>
      </c>
      <c r="B2182" t="s">
        <v>45</v>
      </c>
      <c r="C2182" t="s">
        <v>46</v>
      </c>
      <c r="D2182" t="s">
        <v>40</v>
      </c>
      <c r="E2182" t="s">
        <v>41</v>
      </c>
      <c r="F2182">
        <v>10</v>
      </c>
      <c r="G2182">
        <v>0.47</v>
      </c>
      <c r="H2182">
        <v>0.52</v>
      </c>
      <c r="I2182" t="s">
        <v>24</v>
      </c>
      <c r="J2182">
        <v>67308</v>
      </c>
      <c r="K2182" t="s">
        <v>42</v>
      </c>
      <c r="L2182">
        <v>-4</v>
      </c>
      <c r="M2182">
        <v>48</v>
      </c>
      <c r="N2182" t="s">
        <v>42</v>
      </c>
      <c r="O2182" t="s">
        <v>25</v>
      </c>
      <c r="P2182">
        <v>3.81</v>
      </c>
      <c r="Q2182" t="s">
        <v>34</v>
      </c>
      <c r="R2182">
        <v>2.17</v>
      </c>
      <c r="S2182" t="s">
        <v>43</v>
      </c>
      <c r="T2182" t="str">
        <f t="shared" si="68"/>
        <v>High</v>
      </c>
      <c r="U2182" t="str">
        <f t="shared" si="69"/>
        <v>Experienced</v>
      </c>
    </row>
    <row r="2183" spans="1:21" x14ac:dyDescent="0.35">
      <c r="A2183" t="s">
        <v>2256</v>
      </c>
      <c r="B2183" t="s">
        <v>94</v>
      </c>
      <c r="C2183" t="s">
        <v>107</v>
      </c>
      <c r="D2183" t="s">
        <v>59</v>
      </c>
      <c r="E2183" t="s">
        <v>70</v>
      </c>
      <c r="F2183">
        <v>7</v>
      </c>
      <c r="G2183">
        <v>0.85</v>
      </c>
      <c r="H2183">
        <v>0.4</v>
      </c>
      <c r="I2183" t="s">
        <v>24</v>
      </c>
      <c r="J2183">
        <v>149170</v>
      </c>
      <c r="K2183" t="s">
        <v>27</v>
      </c>
      <c r="L2183">
        <v>30</v>
      </c>
      <c r="M2183">
        <v>40</v>
      </c>
      <c r="N2183" t="s">
        <v>26</v>
      </c>
      <c r="O2183" t="s">
        <v>36</v>
      </c>
      <c r="P2183">
        <v>3.24</v>
      </c>
      <c r="Q2183" t="s">
        <v>34</v>
      </c>
      <c r="R2183">
        <v>3.43</v>
      </c>
      <c r="S2183" t="s">
        <v>28</v>
      </c>
      <c r="T2183" t="str">
        <f t="shared" si="68"/>
        <v>Very Low</v>
      </c>
      <c r="U2183" t="str">
        <f t="shared" si="69"/>
        <v>Intermediate</v>
      </c>
    </row>
    <row r="2184" spans="1:21" x14ac:dyDescent="0.35">
      <c r="A2184" t="s">
        <v>2257</v>
      </c>
      <c r="B2184" t="s">
        <v>54</v>
      </c>
      <c r="C2184" t="s">
        <v>39</v>
      </c>
      <c r="D2184" t="s">
        <v>49</v>
      </c>
      <c r="E2184" t="s">
        <v>41</v>
      </c>
      <c r="F2184">
        <v>6</v>
      </c>
      <c r="G2184">
        <v>0.2</v>
      </c>
      <c r="H2184">
        <v>0.57999999999999996</v>
      </c>
      <c r="I2184" t="s">
        <v>60</v>
      </c>
      <c r="J2184">
        <v>73882</v>
      </c>
      <c r="K2184" t="s">
        <v>27</v>
      </c>
      <c r="L2184">
        <v>29</v>
      </c>
      <c r="M2184">
        <v>32</v>
      </c>
      <c r="N2184" t="s">
        <v>26</v>
      </c>
      <c r="O2184" t="s">
        <v>27</v>
      </c>
      <c r="P2184">
        <v>4.96</v>
      </c>
      <c r="Q2184" t="s">
        <v>34</v>
      </c>
      <c r="R2184">
        <v>2.64</v>
      </c>
      <c r="S2184" t="s">
        <v>43</v>
      </c>
      <c r="T2184" t="str">
        <f t="shared" si="68"/>
        <v>High</v>
      </c>
      <c r="U2184" t="str">
        <f t="shared" si="69"/>
        <v>Intermediate</v>
      </c>
    </row>
    <row r="2185" spans="1:21" x14ac:dyDescent="0.35">
      <c r="A2185" t="s">
        <v>2258</v>
      </c>
      <c r="B2185" t="s">
        <v>96</v>
      </c>
      <c r="C2185" t="s">
        <v>55</v>
      </c>
      <c r="D2185" t="s">
        <v>59</v>
      </c>
      <c r="E2185" t="s">
        <v>33</v>
      </c>
      <c r="F2185">
        <v>18</v>
      </c>
      <c r="G2185">
        <v>0.33</v>
      </c>
      <c r="H2185">
        <v>0.22</v>
      </c>
      <c r="I2185" t="s">
        <v>60</v>
      </c>
      <c r="J2185">
        <v>147527</v>
      </c>
      <c r="K2185" t="s">
        <v>42</v>
      </c>
      <c r="L2185">
        <v>14</v>
      </c>
      <c r="M2185">
        <v>55</v>
      </c>
      <c r="N2185" t="s">
        <v>26</v>
      </c>
      <c r="O2185" t="s">
        <v>27</v>
      </c>
      <c r="P2185">
        <v>2.2599999999999998</v>
      </c>
      <c r="Q2185" t="s">
        <v>34</v>
      </c>
      <c r="R2185">
        <v>1.1299999999999999</v>
      </c>
      <c r="S2185" t="s">
        <v>43</v>
      </c>
      <c r="T2185" t="str">
        <f t="shared" si="68"/>
        <v>Moderate</v>
      </c>
      <c r="U2185" t="str">
        <f t="shared" si="69"/>
        <v>Expert</v>
      </c>
    </row>
    <row r="2186" spans="1:21" x14ac:dyDescent="0.35">
      <c r="A2186" t="s">
        <v>2259</v>
      </c>
      <c r="B2186" t="s">
        <v>94</v>
      </c>
      <c r="C2186" t="s">
        <v>39</v>
      </c>
      <c r="D2186" t="s">
        <v>49</v>
      </c>
      <c r="E2186" t="s">
        <v>70</v>
      </c>
      <c r="F2186">
        <v>23</v>
      </c>
      <c r="G2186">
        <v>0.19</v>
      </c>
      <c r="H2186">
        <v>0.41</v>
      </c>
      <c r="I2186" t="s">
        <v>60</v>
      </c>
      <c r="J2186">
        <v>92322</v>
      </c>
      <c r="K2186" t="s">
        <v>25</v>
      </c>
      <c r="L2186">
        <v>19</v>
      </c>
      <c r="M2186">
        <v>37</v>
      </c>
      <c r="N2186" t="s">
        <v>26</v>
      </c>
      <c r="O2186" t="s">
        <v>25</v>
      </c>
      <c r="P2186">
        <v>2.2000000000000002</v>
      </c>
      <c r="Q2186" t="s">
        <v>24</v>
      </c>
      <c r="R2186">
        <v>3.1</v>
      </c>
      <c r="S2186" t="s">
        <v>43</v>
      </c>
      <c r="T2186" t="str">
        <f t="shared" si="68"/>
        <v>High</v>
      </c>
      <c r="U2186" t="str">
        <f t="shared" si="69"/>
        <v>Expert</v>
      </c>
    </row>
    <row r="2187" spans="1:21" x14ac:dyDescent="0.35">
      <c r="A2187" t="s">
        <v>2260</v>
      </c>
      <c r="B2187" t="s">
        <v>94</v>
      </c>
      <c r="C2187" t="s">
        <v>55</v>
      </c>
      <c r="D2187" t="s">
        <v>32</v>
      </c>
      <c r="E2187" t="s">
        <v>23</v>
      </c>
      <c r="F2187">
        <v>3</v>
      </c>
      <c r="G2187">
        <v>0.82</v>
      </c>
      <c r="H2187">
        <v>0.57999999999999996</v>
      </c>
      <c r="I2187" t="s">
        <v>24</v>
      </c>
      <c r="J2187">
        <v>61278</v>
      </c>
      <c r="K2187" t="s">
        <v>25</v>
      </c>
      <c r="L2187">
        <v>37</v>
      </c>
      <c r="M2187">
        <v>39</v>
      </c>
      <c r="N2187" t="s">
        <v>42</v>
      </c>
      <c r="O2187" t="s">
        <v>36</v>
      </c>
      <c r="P2187">
        <v>4.78</v>
      </c>
      <c r="Q2187" t="s">
        <v>24</v>
      </c>
      <c r="R2187">
        <v>1.1000000000000001</v>
      </c>
      <c r="S2187" t="s">
        <v>47</v>
      </c>
      <c r="T2187" t="str">
        <f t="shared" si="68"/>
        <v>Moderate</v>
      </c>
      <c r="U2187" t="str">
        <f t="shared" si="69"/>
        <v>Intermediate</v>
      </c>
    </row>
    <row r="2188" spans="1:21" x14ac:dyDescent="0.35">
      <c r="A2188" t="s">
        <v>2261</v>
      </c>
      <c r="B2188" t="s">
        <v>147</v>
      </c>
      <c r="C2188" t="s">
        <v>52</v>
      </c>
      <c r="D2188" t="s">
        <v>66</v>
      </c>
      <c r="E2188" t="s">
        <v>23</v>
      </c>
      <c r="F2188">
        <v>6</v>
      </c>
      <c r="G2188">
        <v>0.33</v>
      </c>
      <c r="H2188">
        <v>0.42</v>
      </c>
      <c r="I2188" t="s">
        <v>24</v>
      </c>
      <c r="J2188">
        <v>114835</v>
      </c>
      <c r="K2188" t="s">
        <v>27</v>
      </c>
      <c r="L2188">
        <v>-4</v>
      </c>
      <c r="M2188">
        <v>54</v>
      </c>
      <c r="N2188" t="s">
        <v>42</v>
      </c>
      <c r="O2188" t="s">
        <v>27</v>
      </c>
      <c r="P2188">
        <v>3.6</v>
      </c>
      <c r="Q2188" t="s">
        <v>24</v>
      </c>
      <c r="R2188">
        <v>2.62</v>
      </c>
      <c r="S2188" t="s">
        <v>47</v>
      </c>
      <c r="T2188" t="str">
        <f t="shared" si="68"/>
        <v>High</v>
      </c>
      <c r="U2188" t="str">
        <f t="shared" si="69"/>
        <v>Intermediate</v>
      </c>
    </row>
    <row r="2189" spans="1:21" x14ac:dyDescent="0.35">
      <c r="A2189" t="s">
        <v>2262</v>
      </c>
      <c r="B2189" t="s">
        <v>147</v>
      </c>
      <c r="C2189" t="s">
        <v>107</v>
      </c>
      <c r="D2189" t="s">
        <v>80</v>
      </c>
      <c r="E2189" t="s">
        <v>41</v>
      </c>
      <c r="F2189">
        <v>12</v>
      </c>
      <c r="G2189">
        <v>0.09</v>
      </c>
      <c r="H2189">
        <v>0.44</v>
      </c>
      <c r="I2189" t="s">
        <v>34</v>
      </c>
      <c r="J2189">
        <v>205084</v>
      </c>
      <c r="K2189" t="s">
        <v>42</v>
      </c>
      <c r="L2189">
        <v>-10</v>
      </c>
      <c r="M2189">
        <v>46</v>
      </c>
      <c r="N2189" t="s">
        <v>26</v>
      </c>
      <c r="O2189" t="s">
        <v>25</v>
      </c>
      <c r="P2189">
        <v>4.67</v>
      </c>
      <c r="Q2189" t="s">
        <v>34</v>
      </c>
      <c r="R2189">
        <v>4.59</v>
      </c>
      <c r="S2189" t="s">
        <v>28</v>
      </c>
      <c r="T2189" t="str">
        <f t="shared" si="68"/>
        <v>High</v>
      </c>
      <c r="U2189" t="str">
        <f t="shared" si="69"/>
        <v>Experienced</v>
      </c>
    </row>
    <row r="2190" spans="1:21" x14ac:dyDescent="0.35">
      <c r="A2190" t="s">
        <v>2263</v>
      </c>
      <c r="B2190" t="s">
        <v>20</v>
      </c>
      <c r="C2190" t="s">
        <v>55</v>
      </c>
      <c r="D2190" t="s">
        <v>32</v>
      </c>
      <c r="E2190" t="s">
        <v>23</v>
      </c>
      <c r="F2190">
        <v>2</v>
      </c>
      <c r="G2190">
        <v>0.9</v>
      </c>
      <c r="H2190">
        <v>0.84</v>
      </c>
      <c r="I2190" t="s">
        <v>34</v>
      </c>
      <c r="J2190">
        <v>78387</v>
      </c>
      <c r="K2190" t="s">
        <v>25</v>
      </c>
      <c r="L2190">
        <v>6</v>
      </c>
      <c r="M2190">
        <v>52</v>
      </c>
      <c r="N2190" t="s">
        <v>42</v>
      </c>
      <c r="O2190" t="s">
        <v>25</v>
      </c>
      <c r="P2190">
        <v>4.78</v>
      </c>
      <c r="Q2190" t="s">
        <v>34</v>
      </c>
      <c r="R2190">
        <v>1.87</v>
      </c>
      <c r="S2190" t="s">
        <v>43</v>
      </c>
      <c r="T2190" t="str">
        <f t="shared" si="68"/>
        <v>Moderate</v>
      </c>
      <c r="U2190" t="str">
        <f t="shared" si="69"/>
        <v>Beginner</v>
      </c>
    </row>
    <row r="2191" spans="1:21" x14ac:dyDescent="0.35">
      <c r="A2191" t="s">
        <v>2264</v>
      </c>
      <c r="B2191" t="s">
        <v>106</v>
      </c>
      <c r="C2191" t="s">
        <v>82</v>
      </c>
      <c r="D2191" t="s">
        <v>22</v>
      </c>
      <c r="E2191" t="s">
        <v>33</v>
      </c>
      <c r="F2191">
        <v>16</v>
      </c>
      <c r="G2191">
        <v>0.13</v>
      </c>
      <c r="H2191">
        <v>0.27</v>
      </c>
      <c r="I2191" t="s">
        <v>60</v>
      </c>
      <c r="J2191">
        <v>148337</v>
      </c>
      <c r="K2191" t="s">
        <v>25</v>
      </c>
      <c r="L2191">
        <v>9</v>
      </c>
      <c r="M2191">
        <v>40</v>
      </c>
      <c r="N2191" t="s">
        <v>35</v>
      </c>
      <c r="O2191" t="s">
        <v>27</v>
      </c>
      <c r="P2191">
        <v>2.69</v>
      </c>
      <c r="Q2191" t="s">
        <v>24</v>
      </c>
      <c r="R2191">
        <v>2.11</v>
      </c>
      <c r="S2191" t="s">
        <v>47</v>
      </c>
      <c r="T2191" t="str">
        <f t="shared" si="68"/>
        <v>High</v>
      </c>
      <c r="U2191" t="str">
        <f t="shared" si="69"/>
        <v>Expert</v>
      </c>
    </row>
    <row r="2192" spans="1:21" x14ac:dyDescent="0.35">
      <c r="A2192" t="s">
        <v>2265</v>
      </c>
      <c r="B2192" t="s">
        <v>102</v>
      </c>
      <c r="C2192" t="s">
        <v>55</v>
      </c>
      <c r="D2192" t="s">
        <v>69</v>
      </c>
      <c r="E2192" t="s">
        <v>41</v>
      </c>
      <c r="F2192">
        <v>6</v>
      </c>
      <c r="G2192">
        <v>0.42</v>
      </c>
      <c r="H2192">
        <v>0.66</v>
      </c>
      <c r="I2192" t="s">
        <v>24</v>
      </c>
      <c r="J2192">
        <v>155115</v>
      </c>
      <c r="K2192" t="s">
        <v>27</v>
      </c>
      <c r="L2192">
        <v>20</v>
      </c>
      <c r="M2192">
        <v>50</v>
      </c>
      <c r="N2192" t="s">
        <v>35</v>
      </c>
      <c r="O2192" t="s">
        <v>27</v>
      </c>
      <c r="P2192">
        <v>2.48</v>
      </c>
      <c r="Q2192" t="s">
        <v>34</v>
      </c>
      <c r="R2192">
        <v>4.24</v>
      </c>
      <c r="S2192" t="s">
        <v>28</v>
      </c>
      <c r="T2192" t="str">
        <f t="shared" si="68"/>
        <v>High</v>
      </c>
      <c r="U2192" t="str">
        <f t="shared" si="69"/>
        <v>Intermediate</v>
      </c>
    </row>
    <row r="2193" spans="1:21" x14ac:dyDescent="0.35">
      <c r="A2193" t="s">
        <v>2266</v>
      </c>
      <c r="B2193" t="s">
        <v>51</v>
      </c>
      <c r="C2193" t="s">
        <v>74</v>
      </c>
      <c r="D2193" t="s">
        <v>80</v>
      </c>
      <c r="E2193" t="s">
        <v>33</v>
      </c>
      <c r="F2193">
        <v>1</v>
      </c>
      <c r="G2193">
        <v>0.36</v>
      </c>
      <c r="H2193">
        <v>0.36</v>
      </c>
      <c r="I2193" t="s">
        <v>24</v>
      </c>
      <c r="J2193">
        <v>181949</v>
      </c>
      <c r="K2193" t="s">
        <v>25</v>
      </c>
      <c r="L2193">
        <v>2</v>
      </c>
      <c r="M2193">
        <v>42</v>
      </c>
      <c r="N2193" t="s">
        <v>42</v>
      </c>
      <c r="O2193" t="s">
        <v>25</v>
      </c>
      <c r="P2193">
        <v>3.22</v>
      </c>
      <c r="Q2193" t="s">
        <v>24</v>
      </c>
      <c r="R2193">
        <v>1.98</v>
      </c>
      <c r="S2193" t="s">
        <v>43</v>
      </c>
      <c r="T2193" t="str">
        <f t="shared" si="68"/>
        <v>Moderate</v>
      </c>
      <c r="U2193" t="str">
        <f t="shared" si="69"/>
        <v>Beginner</v>
      </c>
    </row>
    <row r="2194" spans="1:21" x14ac:dyDescent="0.35">
      <c r="A2194" t="s">
        <v>2267</v>
      </c>
      <c r="B2194" t="s">
        <v>62</v>
      </c>
      <c r="C2194" t="s">
        <v>46</v>
      </c>
      <c r="D2194" t="s">
        <v>75</v>
      </c>
      <c r="E2194" t="s">
        <v>23</v>
      </c>
      <c r="F2194">
        <v>5</v>
      </c>
      <c r="G2194">
        <v>0.41</v>
      </c>
      <c r="H2194">
        <v>0.32</v>
      </c>
      <c r="I2194" t="s">
        <v>34</v>
      </c>
      <c r="J2194">
        <v>159267</v>
      </c>
      <c r="K2194" t="s">
        <v>27</v>
      </c>
      <c r="L2194">
        <v>33</v>
      </c>
      <c r="M2194">
        <v>38</v>
      </c>
      <c r="N2194" t="s">
        <v>26</v>
      </c>
      <c r="O2194" t="s">
        <v>27</v>
      </c>
      <c r="P2194">
        <v>2.21</v>
      </c>
      <c r="Q2194" t="s">
        <v>34</v>
      </c>
      <c r="R2194">
        <v>3.78</v>
      </c>
      <c r="S2194" t="s">
        <v>47</v>
      </c>
      <c r="T2194" t="str">
        <f t="shared" si="68"/>
        <v>Moderate</v>
      </c>
      <c r="U2194" t="str">
        <f t="shared" si="69"/>
        <v>Intermediate</v>
      </c>
    </row>
    <row r="2195" spans="1:21" x14ac:dyDescent="0.35">
      <c r="A2195" t="s">
        <v>2268</v>
      </c>
      <c r="B2195" t="s">
        <v>91</v>
      </c>
      <c r="C2195" t="s">
        <v>46</v>
      </c>
      <c r="D2195" t="s">
        <v>59</v>
      </c>
      <c r="E2195" t="s">
        <v>70</v>
      </c>
      <c r="F2195">
        <v>20</v>
      </c>
      <c r="G2195">
        <v>0.21</v>
      </c>
      <c r="H2195">
        <v>0.6</v>
      </c>
      <c r="I2195" t="s">
        <v>60</v>
      </c>
      <c r="J2195">
        <v>93791</v>
      </c>
      <c r="K2195" t="s">
        <v>25</v>
      </c>
      <c r="L2195">
        <v>38</v>
      </c>
      <c r="M2195">
        <v>31</v>
      </c>
      <c r="N2195" t="s">
        <v>26</v>
      </c>
      <c r="O2195" t="s">
        <v>25</v>
      </c>
      <c r="P2195">
        <v>4.9000000000000004</v>
      </c>
      <c r="Q2195" t="s">
        <v>24</v>
      </c>
      <c r="R2195">
        <v>4.1500000000000004</v>
      </c>
      <c r="S2195" t="s">
        <v>28</v>
      </c>
      <c r="T2195" t="str">
        <f t="shared" si="68"/>
        <v>High</v>
      </c>
      <c r="U2195" t="str">
        <f t="shared" si="69"/>
        <v>Expert</v>
      </c>
    </row>
    <row r="2196" spans="1:21" x14ac:dyDescent="0.35">
      <c r="A2196" t="s">
        <v>2269</v>
      </c>
      <c r="B2196" t="s">
        <v>38</v>
      </c>
      <c r="C2196" t="s">
        <v>55</v>
      </c>
      <c r="D2196" t="s">
        <v>32</v>
      </c>
      <c r="E2196" t="s">
        <v>33</v>
      </c>
      <c r="F2196">
        <v>24</v>
      </c>
      <c r="G2196">
        <v>0.27</v>
      </c>
      <c r="H2196">
        <v>0.45</v>
      </c>
      <c r="I2196" t="s">
        <v>24</v>
      </c>
      <c r="J2196">
        <v>140557</v>
      </c>
      <c r="K2196" t="s">
        <v>25</v>
      </c>
      <c r="L2196">
        <v>18</v>
      </c>
      <c r="M2196">
        <v>35</v>
      </c>
      <c r="N2196" t="s">
        <v>26</v>
      </c>
      <c r="O2196" t="s">
        <v>36</v>
      </c>
      <c r="P2196">
        <v>4.4400000000000004</v>
      </c>
      <c r="Q2196" t="s">
        <v>34</v>
      </c>
      <c r="R2196">
        <v>1.4</v>
      </c>
      <c r="S2196" t="s">
        <v>28</v>
      </c>
      <c r="T2196" t="str">
        <f t="shared" si="68"/>
        <v>High</v>
      </c>
      <c r="U2196" t="str">
        <f t="shared" si="69"/>
        <v>Expert</v>
      </c>
    </row>
    <row r="2197" spans="1:21" x14ac:dyDescent="0.35">
      <c r="A2197" t="s">
        <v>2270</v>
      </c>
      <c r="B2197" t="s">
        <v>96</v>
      </c>
      <c r="C2197" t="s">
        <v>107</v>
      </c>
      <c r="D2197" t="s">
        <v>80</v>
      </c>
      <c r="E2197" t="s">
        <v>41</v>
      </c>
      <c r="F2197">
        <v>2</v>
      </c>
      <c r="G2197">
        <v>0.26</v>
      </c>
      <c r="H2197">
        <v>0.24</v>
      </c>
      <c r="I2197" t="s">
        <v>60</v>
      </c>
      <c r="J2197">
        <v>212195</v>
      </c>
      <c r="K2197" t="s">
        <v>27</v>
      </c>
      <c r="L2197">
        <v>7</v>
      </c>
      <c r="M2197">
        <v>42</v>
      </c>
      <c r="N2197" t="s">
        <v>42</v>
      </c>
      <c r="O2197" t="s">
        <v>25</v>
      </c>
      <c r="P2197">
        <v>4.9800000000000004</v>
      </c>
      <c r="Q2197" t="s">
        <v>34</v>
      </c>
      <c r="R2197">
        <v>3.82</v>
      </c>
      <c r="S2197" t="s">
        <v>47</v>
      </c>
      <c r="T2197" t="str">
        <f t="shared" si="68"/>
        <v>Moderate</v>
      </c>
      <c r="U2197" t="str">
        <f t="shared" si="69"/>
        <v>Beginner</v>
      </c>
    </row>
    <row r="2198" spans="1:21" x14ac:dyDescent="0.35">
      <c r="A2198" t="s">
        <v>2271</v>
      </c>
      <c r="B2198" t="s">
        <v>73</v>
      </c>
      <c r="C2198" t="s">
        <v>55</v>
      </c>
      <c r="D2198" t="s">
        <v>59</v>
      </c>
      <c r="E2198" t="s">
        <v>23</v>
      </c>
      <c r="F2198">
        <v>4</v>
      </c>
      <c r="G2198">
        <v>0.44</v>
      </c>
      <c r="H2198">
        <v>0.98</v>
      </c>
      <c r="I2198" t="s">
        <v>34</v>
      </c>
      <c r="J2198">
        <v>71539</v>
      </c>
      <c r="K2198" t="s">
        <v>27</v>
      </c>
      <c r="L2198">
        <v>18</v>
      </c>
      <c r="M2198">
        <v>39</v>
      </c>
      <c r="N2198" t="s">
        <v>26</v>
      </c>
      <c r="O2198" t="s">
        <v>36</v>
      </c>
      <c r="P2198">
        <v>3.21</v>
      </c>
      <c r="Q2198" t="s">
        <v>24</v>
      </c>
      <c r="R2198">
        <v>4.2699999999999996</v>
      </c>
      <c r="S2198" t="s">
        <v>28</v>
      </c>
      <c r="T2198" t="str">
        <f t="shared" si="68"/>
        <v>High</v>
      </c>
      <c r="U2198" t="str">
        <f t="shared" si="69"/>
        <v>Intermediate</v>
      </c>
    </row>
    <row r="2199" spans="1:21" x14ac:dyDescent="0.35">
      <c r="A2199" t="s">
        <v>2272</v>
      </c>
      <c r="B2199" t="s">
        <v>156</v>
      </c>
      <c r="C2199" t="s">
        <v>52</v>
      </c>
      <c r="D2199" t="s">
        <v>59</v>
      </c>
      <c r="E2199" t="s">
        <v>70</v>
      </c>
      <c r="F2199">
        <v>20</v>
      </c>
      <c r="G2199">
        <v>0.77</v>
      </c>
      <c r="H2199">
        <v>0.56000000000000005</v>
      </c>
      <c r="I2199" t="s">
        <v>24</v>
      </c>
      <c r="J2199">
        <v>136752</v>
      </c>
      <c r="K2199" t="s">
        <v>27</v>
      </c>
      <c r="L2199">
        <v>5</v>
      </c>
      <c r="M2199">
        <v>43</v>
      </c>
      <c r="N2199" t="s">
        <v>26</v>
      </c>
      <c r="O2199" t="s">
        <v>27</v>
      </c>
      <c r="P2199">
        <v>4.58</v>
      </c>
      <c r="Q2199" t="s">
        <v>24</v>
      </c>
      <c r="R2199">
        <v>2.71</v>
      </c>
      <c r="S2199" t="s">
        <v>43</v>
      </c>
      <c r="T2199" t="str">
        <f t="shared" si="68"/>
        <v>Moderate</v>
      </c>
      <c r="U2199" t="str">
        <f t="shared" si="69"/>
        <v>Expert</v>
      </c>
    </row>
    <row r="2200" spans="1:21" x14ac:dyDescent="0.35">
      <c r="A2200" t="s">
        <v>2273</v>
      </c>
      <c r="B2200" t="s">
        <v>57</v>
      </c>
      <c r="C2200" t="s">
        <v>39</v>
      </c>
      <c r="D2200" t="s">
        <v>49</v>
      </c>
      <c r="E2200" t="s">
        <v>70</v>
      </c>
      <c r="F2200">
        <v>13</v>
      </c>
      <c r="G2200">
        <v>0.91</v>
      </c>
      <c r="H2200">
        <v>0.53</v>
      </c>
      <c r="I2200" t="s">
        <v>24</v>
      </c>
      <c r="J2200">
        <v>215693</v>
      </c>
      <c r="K2200" t="s">
        <v>27</v>
      </c>
      <c r="L2200">
        <v>7</v>
      </c>
      <c r="M2200">
        <v>41</v>
      </c>
      <c r="N2200" t="s">
        <v>35</v>
      </c>
      <c r="O2200" t="s">
        <v>36</v>
      </c>
      <c r="P2200">
        <v>3.45</v>
      </c>
      <c r="Q2200" t="s">
        <v>34</v>
      </c>
      <c r="R2200">
        <v>3.86</v>
      </c>
      <c r="S2200" t="s">
        <v>28</v>
      </c>
      <c r="T2200" t="str">
        <f t="shared" si="68"/>
        <v>Moderate</v>
      </c>
      <c r="U2200" t="str">
        <f t="shared" si="69"/>
        <v>Experienced</v>
      </c>
    </row>
    <row r="2201" spans="1:21" x14ac:dyDescent="0.35">
      <c r="A2201" t="s">
        <v>2274</v>
      </c>
      <c r="B2201" t="s">
        <v>65</v>
      </c>
      <c r="C2201" t="s">
        <v>39</v>
      </c>
      <c r="D2201" t="s">
        <v>49</v>
      </c>
      <c r="E2201" t="s">
        <v>70</v>
      </c>
      <c r="F2201">
        <v>9</v>
      </c>
      <c r="G2201">
        <v>0.42</v>
      </c>
      <c r="H2201">
        <v>0.62</v>
      </c>
      <c r="I2201" t="s">
        <v>60</v>
      </c>
      <c r="J2201">
        <v>208556</v>
      </c>
      <c r="K2201" t="s">
        <v>27</v>
      </c>
      <c r="L2201">
        <v>0</v>
      </c>
      <c r="M2201">
        <v>36</v>
      </c>
      <c r="N2201" t="s">
        <v>26</v>
      </c>
      <c r="O2201" t="s">
        <v>36</v>
      </c>
      <c r="P2201">
        <v>2.11</v>
      </c>
      <c r="Q2201" t="s">
        <v>24</v>
      </c>
      <c r="R2201">
        <v>2.0699999999999998</v>
      </c>
      <c r="S2201" t="s">
        <v>43</v>
      </c>
      <c r="T2201" t="str">
        <f t="shared" si="68"/>
        <v>High</v>
      </c>
      <c r="U2201" t="str">
        <f t="shared" si="69"/>
        <v>Experienced</v>
      </c>
    </row>
    <row r="2202" spans="1:21" x14ac:dyDescent="0.35">
      <c r="A2202" t="s">
        <v>2275</v>
      </c>
      <c r="B2202" t="s">
        <v>89</v>
      </c>
      <c r="C2202" t="s">
        <v>55</v>
      </c>
      <c r="D2202" t="s">
        <v>32</v>
      </c>
      <c r="E2202" t="s">
        <v>70</v>
      </c>
      <c r="F2202">
        <v>25</v>
      </c>
      <c r="G2202">
        <v>0.5</v>
      </c>
      <c r="H2202">
        <v>0.25</v>
      </c>
      <c r="I2202" t="s">
        <v>60</v>
      </c>
      <c r="J2202">
        <v>61599</v>
      </c>
      <c r="K2202" t="s">
        <v>27</v>
      </c>
      <c r="L2202">
        <v>24</v>
      </c>
      <c r="M2202">
        <v>59</v>
      </c>
      <c r="N2202" t="s">
        <v>35</v>
      </c>
      <c r="O2202" t="s">
        <v>36</v>
      </c>
      <c r="P2202">
        <v>4.28</v>
      </c>
      <c r="Q2202" t="s">
        <v>24</v>
      </c>
      <c r="R2202">
        <v>4.8499999999999996</v>
      </c>
      <c r="S2202" t="s">
        <v>43</v>
      </c>
      <c r="T2202" t="str">
        <f t="shared" si="68"/>
        <v>Moderate</v>
      </c>
      <c r="U2202" t="str">
        <f t="shared" si="69"/>
        <v>Expert</v>
      </c>
    </row>
    <row r="2203" spans="1:21" x14ac:dyDescent="0.35">
      <c r="A2203" t="s">
        <v>2276</v>
      </c>
      <c r="B2203" t="s">
        <v>62</v>
      </c>
      <c r="C2203" t="s">
        <v>39</v>
      </c>
      <c r="D2203" t="s">
        <v>49</v>
      </c>
      <c r="E2203" t="s">
        <v>70</v>
      </c>
      <c r="F2203">
        <v>2</v>
      </c>
      <c r="G2203">
        <v>0.51</v>
      </c>
      <c r="H2203">
        <v>0.85</v>
      </c>
      <c r="I2203" t="s">
        <v>60</v>
      </c>
      <c r="J2203">
        <v>38113</v>
      </c>
      <c r="K2203" t="s">
        <v>25</v>
      </c>
      <c r="L2203">
        <v>17</v>
      </c>
      <c r="M2203">
        <v>49</v>
      </c>
      <c r="N2203" t="s">
        <v>26</v>
      </c>
      <c r="O2203" t="s">
        <v>25</v>
      </c>
      <c r="P2203">
        <v>3.54</v>
      </c>
      <c r="Q2203" t="s">
        <v>34</v>
      </c>
      <c r="R2203">
        <v>2.2799999999999998</v>
      </c>
      <c r="S2203" t="s">
        <v>47</v>
      </c>
      <c r="T2203" t="str">
        <f t="shared" si="68"/>
        <v>High</v>
      </c>
      <c r="U2203" t="str">
        <f t="shared" si="69"/>
        <v>Beginner</v>
      </c>
    </row>
    <row r="2204" spans="1:21" x14ac:dyDescent="0.35">
      <c r="A2204" t="s">
        <v>2277</v>
      </c>
      <c r="B2204" t="s">
        <v>89</v>
      </c>
      <c r="C2204" t="s">
        <v>55</v>
      </c>
      <c r="D2204" t="s">
        <v>59</v>
      </c>
      <c r="E2204" t="s">
        <v>33</v>
      </c>
      <c r="F2204">
        <v>21</v>
      </c>
      <c r="G2204">
        <v>0.6</v>
      </c>
      <c r="H2204">
        <v>0.67</v>
      </c>
      <c r="I2204" t="s">
        <v>24</v>
      </c>
      <c r="J2204">
        <v>30807</v>
      </c>
      <c r="K2204" t="s">
        <v>25</v>
      </c>
      <c r="L2204">
        <v>-2</v>
      </c>
      <c r="M2204">
        <v>49</v>
      </c>
      <c r="N2204" t="s">
        <v>42</v>
      </c>
      <c r="O2204" t="s">
        <v>25</v>
      </c>
      <c r="P2204">
        <v>2.5</v>
      </c>
      <c r="Q2204" t="s">
        <v>34</v>
      </c>
      <c r="R2204">
        <v>4.18</v>
      </c>
      <c r="S2204" t="s">
        <v>28</v>
      </c>
      <c r="T2204" t="str">
        <f t="shared" si="68"/>
        <v>High</v>
      </c>
      <c r="U2204" t="str">
        <f t="shared" si="69"/>
        <v>Expert</v>
      </c>
    </row>
    <row r="2205" spans="1:21" x14ac:dyDescent="0.35">
      <c r="A2205" t="s">
        <v>2278</v>
      </c>
      <c r="B2205" t="s">
        <v>89</v>
      </c>
      <c r="C2205" t="s">
        <v>31</v>
      </c>
      <c r="D2205" t="s">
        <v>80</v>
      </c>
      <c r="E2205" t="s">
        <v>23</v>
      </c>
      <c r="F2205">
        <v>6</v>
      </c>
      <c r="G2205">
        <v>0.39</v>
      </c>
      <c r="H2205">
        <v>0.49</v>
      </c>
      <c r="I2205" t="s">
        <v>60</v>
      </c>
      <c r="J2205">
        <v>113713</v>
      </c>
      <c r="K2205" t="s">
        <v>25</v>
      </c>
      <c r="L2205">
        <v>25</v>
      </c>
      <c r="M2205">
        <v>32</v>
      </c>
      <c r="N2205" t="s">
        <v>35</v>
      </c>
      <c r="O2205" t="s">
        <v>27</v>
      </c>
      <c r="P2205">
        <v>4.72</v>
      </c>
      <c r="Q2205" t="s">
        <v>34</v>
      </c>
      <c r="R2205">
        <v>3.68</v>
      </c>
      <c r="S2205" t="s">
        <v>47</v>
      </c>
      <c r="T2205" t="str">
        <f t="shared" si="68"/>
        <v>High</v>
      </c>
      <c r="U2205" t="str">
        <f t="shared" si="69"/>
        <v>Intermediate</v>
      </c>
    </row>
    <row r="2206" spans="1:21" x14ac:dyDescent="0.35">
      <c r="A2206" t="s">
        <v>2279</v>
      </c>
      <c r="B2206" t="s">
        <v>68</v>
      </c>
      <c r="C2206" t="s">
        <v>58</v>
      </c>
      <c r="D2206" t="s">
        <v>22</v>
      </c>
      <c r="E2206" t="s">
        <v>23</v>
      </c>
      <c r="F2206">
        <v>0</v>
      </c>
      <c r="G2206">
        <v>0.24</v>
      </c>
      <c r="H2206">
        <v>0.77</v>
      </c>
      <c r="I2206" t="s">
        <v>24</v>
      </c>
      <c r="J2206">
        <v>104409</v>
      </c>
      <c r="K2206" t="s">
        <v>27</v>
      </c>
      <c r="L2206">
        <v>17</v>
      </c>
      <c r="M2206">
        <v>59</v>
      </c>
      <c r="N2206" t="s">
        <v>42</v>
      </c>
      <c r="O2206" t="s">
        <v>25</v>
      </c>
      <c r="P2206">
        <v>3.22</v>
      </c>
      <c r="Q2206" t="s">
        <v>24</v>
      </c>
      <c r="R2206">
        <v>3.64</v>
      </c>
      <c r="S2206" t="s">
        <v>47</v>
      </c>
      <c r="T2206" t="str">
        <f t="shared" si="68"/>
        <v>Very High</v>
      </c>
      <c r="U2206" t="str">
        <f t="shared" si="69"/>
        <v>Beginner</v>
      </c>
    </row>
    <row r="2207" spans="1:21" x14ac:dyDescent="0.35">
      <c r="A2207" t="s">
        <v>2280</v>
      </c>
      <c r="B2207" t="s">
        <v>62</v>
      </c>
      <c r="C2207" t="s">
        <v>74</v>
      </c>
      <c r="D2207" t="s">
        <v>69</v>
      </c>
      <c r="E2207" t="s">
        <v>23</v>
      </c>
      <c r="F2207">
        <v>22</v>
      </c>
      <c r="G2207">
        <v>7.0000000000000007E-2</v>
      </c>
      <c r="H2207">
        <v>0.75</v>
      </c>
      <c r="I2207" t="s">
        <v>60</v>
      </c>
      <c r="J2207">
        <v>106882</v>
      </c>
      <c r="K2207" t="s">
        <v>25</v>
      </c>
      <c r="L2207">
        <v>22</v>
      </c>
      <c r="M2207">
        <v>32</v>
      </c>
      <c r="N2207" t="s">
        <v>42</v>
      </c>
      <c r="O2207" t="s">
        <v>25</v>
      </c>
      <c r="P2207">
        <v>2.69</v>
      </c>
      <c r="Q2207" t="s">
        <v>34</v>
      </c>
      <c r="R2207">
        <v>4.47</v>
      </c>
      <c r="S2207" t="s">
        <v>43</v>
      </c>
      <c r="T2207" t="str">
        <f t="shared" si="68"/>
        <v>Very High</v>
      </c>
      <c r="U2207" t="str">
        <f t="shared" si="69"/>
        <v>Expert</v>
      </c>
    </row>
    <row r="2208" spans="1:21" x14ac:dyDescent="0.35">
      <c r="A2208" t="s">
        <v>2281</v>
      </c>
      <c r="B2208" t="s">
        <v>54</v>
      </c>
      <c r="C2208" t="s">
        <v>82</v>
      </c>
      <c r="D2208" t="s">
        <v>69</v>
      </c>
      <c r="E2208" t="s">
        <v>41</v>
      </c>
      <c r="F2208">
        <v>11</v>
      </c>
      <c r="G2208">
        <v>0.76</v>
      </c>
      <c r="H2208">
        <v>0.5</v>
      </c>
      <c r="I2208" t="s">
        <v>24</v>
      </c>
      <c r="J2208">
        <v>79948</v>
      </c>
      <c r="K2208" t="s">
        <v>25</v>
      </c>
      <c r="L2208">
        <v>45</v>
      </c>
      <c r="M2208">
        <v>46</v>
      </c>
      <c r="N2208" t="s">
        <v>26</v>
      </c>
      <c r="O2208" t="s">
        <v>25</v>
      </c>
      <c r="P2208">
        <v>4.4400000000000004</v>
      </c>
      <c r="Q2208" t="s">
        <v>34</v>
      </c>
      <c r="R2208">
        <v>3.43</v>
      </c>
      <c r="S2208" t="s">
        <v>28</v>
      </c>
      <c r="T2208" t="str">
        <f t="shared" si="68"/>
        <v>Moderate</v>
      </c>
      <c r="U2208" t="str">
        <f t="shared" si="69"/>
        <v>Experienced</v>
      </c>
    </row>
    <row r="2209" spans="1:21" x14ac:dyDescent="0.35">
      <c r="A2209" t="s">
        <v>2282</v>
      </c>
      <c r="B2209" t="s">
        <v>68</v>
      </c>
      <c r="C2209" t="s">
        <v>55</v>
      </c>
      <c r="D2209" t="s">
        <v>49</v>
      </c>
      <c r="E2209" t="s">
        <v>70</v>
      </c>
      <c r="F2209">
        <v>16</v>
      </c>
      <c r="G2209">
        <v>0.82</v>
      </c>
      <c r="H2209">
        <v>0.77</v>
      </c>
      <c r="I2209" t="s">
        <v>60</v>
      </c>
      <c r="J2209">
        <v>209701</v>
      </c>
      <c r="K2209" t="s">
        <v>25</v>
      </c>
      <c r="L2209">
        <v>8</v>
      </c>
      <c r="M2209">
        <v>33</v>
      </c>
      <c r="N2209" t="s">
        <v>42</v>
      </c>
      <c r="O2209" t="s">
        <v>27</v>
      </c>
      <c r="P2209">
        <v>2.06</v>
      </c>
      <c r="Q2209" t="s">
        <v>34</v>
      </c>
      <c r="R2209">
        <v>4.92</v>
      </c>
      <c r="S2209" t="s">
        <v>43</v>
      </c>
      <c r="T2209" t="str">
        <f t="shared" si="68"/>
        <v>Moderate</v>
      </c>
      <c r="U2209" t="str">
        <f t="shared" si="69"/>
        <v>Expert</v>
      </c>
    </row>
    <row r="2210" spans="1:21" x14ac:dyDescent="0.35">
      <c r="A2210" t="s">
        <v>2283</v>
      </c>
      <c r="B2210" t="s">
        <v>91</v>
      </c>
      <c r="C2210" t="s">
        <v>46</v>
      </c>
      <c r="D2210" t="s">
        <v>75</v>
      </c>
      <c r="E2210" t="s">
        <v>33</v>
      </c>
      <c r="F2210">
        <v>5</v>
      </c>
      <c r="G2210">
        <v>0.4</v>
      </c>
      <c r="H2210">
        <v>0.92</v>
      </c>
      <c r="I2210" t="s">
        <v>60</v>
      </c>
      <c r="J2210">
        <v>93211</v>
      </c>
      <c r="K2210" t="s">
        <v>27</v>
      </c>
      <c r="L2210">
        <v>28</v>
      </c>
      <c r="M2210">
        <v>36</v>
      </c>
      <c r="N2210" t="s">
        <v>35</v>
      </c>
      <c r="O2210" t="s">
        <v>27</v>
      </c>
      <c r="P2210">
        <v>3.94</v>
      </c>
      <c r="Q2210" t="s">
        <v>34</v>
      </c>
      <c r="R2210">
        <v>2.1800000000000002</v>
      </c>
      <c r="S2210" t="s">
        <v>47</v>
      </c>
      <c r="T2210" t="str">
        <f t="shared" si="68"/>
        <v>High</v>
      </c>
      <c r="U2210" t="str">
        <f t="shared" si="69"/>
        <v>Intermediate</v>
      </c>
    </row>
    <row r="2211" spans="1:21" x14ac:dyDescent="0.35">
      <c r="A2211" t="s">
        <v>2284</v>
      </c>
      <c r="B2211" t="s">
        <v>77</v>
      </c>
      <c r="C2211" t="s">
        <v>46</v>
      </c>
      <c r="D2211" t="s">
        <v>22</v>
      </c>
      <c r="E2211" t="s">
        <v>41</v>
      </c>
      <c r="F2211">
        <v>1</v>
      </c>
      <c r="G2211">
        <v>0.69</v>
      </c>
      <c r="H2211">
        <v>0.46</v>
      </c>
      <c r="I2211" t="s">
        <v>34</v>
      </c>
      <c r="J2211">
        <v>145219</v>
      </c>
      <c r="K2211" t="s">
        <v>25</v>
      </c>
      <c r="L2211">
        <v>11</v>
      </c>
      <c r="M2211">
        <v>42</v>
      </c>
      <c r="N2211" t="s">
        <v>42</v>
      </c>
      <c r="O2211" t="s">
        <v>27</v>
      </c>
      <c r="P2211">
        <v>3.46</v>
      </c>
      <c r="Q2211" t="s">
        <v>24</v>
      </c>
      <c r="R2211">
        <v>1.23</v>
      </c>
      <c r="S2211" t="s">
        <v>28</v>
      </c>
      <c r="T2211" t="str">
        <f t="shared" si="68"/>
        <v>Moderate</v>
      </c>
      <c r="U2211" t="str">
        <f t="shared" si="69"/>
        <v>Beginner</v>
      </c>
    </row>
    <row r="2212" spans="1:21" x14ac:dyDescent="0.35">
      <c r="A2212" t="s">
        <v>2285</v>
      </c>
      <c r="B2212" t="s">
        <v>45</v>
      </c>
      <c r="C2212" t="s">
        <v>74</v>
      </c>
      <c r="D2212" t="s">
        <v>40</v>
      </c>
      <c r="E2212" t="s">
        <v>41</v>
      </c>
      <c r="F2212">
        <v>9</v>
      </c>
      <c r="G2212">
        <v>0.52</v>
      </c>
      <c r="H2212">
        <v>0.36</v>
      </c>
      <c r="I2212" t="s">
        <v>24</v>
      </c>
      <c r="J2212">
        <v>212921</v>
      </c>
      <c r="K2212" t="s">
        <v>25</v>
      </c>
      <c r="L2212">
        <v>15</v>
      </c>
      <c r="M2212">
        <v>45</v>
      </c>
      <c r="N2212" t="s">
        <v>42</v>
      </c>
      <c r="O2212" t="s">
        <v>36</v>
      </c>
      <c r="P2212">
        <v>4.8600000000000003</v>
      </c>
      <c r="Q2212" t="s">
        <v>34</v>
      </c>
      <c r="R2212">
        <v>3.42</v>
      </c>
      <c r="S2212" t="s">
        <v>28</v>
      </c>
      <c r="T2212" t="str">
        <f t="shared" si="68"/>
        <v>Moderate</v>
      </c>
      <c r="U2212" t="str">
        <f t="shared" si="69"/>
        <v>Experienced</v>
      </c>
    </row>
    <row r="2213" spans="1:21" x14ac:dyDescent="0.35">
      <c r="A2213" t="s">
        <v>2286</v>
      </c>
      <c r="B2213" t="s">
        <v>45</v>
      </c>
      <c r="C2213" t="s">
        <v>46</v>
      </c>
      <c r="D2213" t="s">
        <v>69</v>
      </c>
      <c r="E2213" t="s">
        <v>23</v>
      </c>
      <c r="F2213">
        <v>10</v>
      </c>
      <c r="G2213">
        <v>0.59</v>
      </c>
      <c r="H2213">
        <v>0.57999999999999996</v>
      </c>
      <c r="I2213" t="s">
        <v>34</v>
      </c>
      <c r="J2213">
        <v>152660</v>
      </c>
      <c r="K2213" t="s">
        <v>42</v>
      </c>
      <c r="L2213">
        <v>27</v>
      </c>
      <c r="M2213">
        <v>33</v>
      </c>
      <c r="N2213" t="s">
        <v>35</v>
      </c>
      <c r="O2213" t="s">
        <v>25</v>
      </c>
      <c r="P2213">
        <v>4.51</v>
      </c>
      <c r="Q2213" t="s">
        <v>34</v>
      </c>
      <c r="R2213">
        <v>2.34</v>
      </c>
      <c r="S2213" t="s">
        <v>28</v>
      </c>
      <c r="T2213" t="str">
        <f t="shared" si="68"/>
        <v>Moderate</v>
      </c>
      <c r="U2213" t="str">
        <f t="shared" si="69"/>
        <v>Experienced</v>
      </c>
    </row>
    <row r="2214" spans="1:21" x14ac:dyDescent="0.35">
      <c r="A2214" t="s">
        <v>2287</v>
      </c>
      <c r="B2214" t="s">
        <v>106</v>
      </c>
      <c r="C2214" t="s">
        <v>52</v>
      </c>
      <c r="D2214" t="s">
        <v>22</v>
      </c>
      <c r="E2214" t="s">
        <v>23</v>
      </c>
      <c r="F2214">
        <v>12</v>
      </c>
      <c r="G2214">
        <v>0.23</v>
      </c>
      <c r="H2214">
        <v>0.93</v>
      </c>
      <c r="I2214" t="s">
        <v>60</v>
      </c>
      <c r="J2214">
        <v>168496</v>
      </c>
      <c r="K2214" t="s">
        <v>42</v>
      </c>
      <c r="L2214">
        <v>-3</v>
      </c>
      <c r="M2214">
        <v>37</v>
      </c>
      <c r="N2214" t="s">
        <v>26</v>
      </c>
      <c r="O2214" t="s">
        <v>36</v>
      </c>
      <c r="P2214">
        <v>3.16</v>
      </c>
      <c r="Q2214" t="s">
        <v>34</v>
      </c>
      <c r="R2214">
        <v>4.07</v>
      </c>
      <c r="S2214" t="s">
        <v>28</v>
      </c>
      <c r="T2214" t="str">
        <f t="shared" si="68"/>
        <v>Very High</v>
      </c>
      <c r="U2214" t="str">
        <f t="shared" si="69"/>
        <v>Experienced</v>
      </c>
    </row>
    <row r="2215" spans="1:21" x14ac:dyDescent="0.35">
      <c r="A2215" t="s">
        <v>2288</v>
      </c>
      <c r="B2215" t="s">
        <v>62</v>
      </c>
      <c r="C2215" t="s">
        <v>21</v>
      </c>
      <c r="D2215" t="s">
        <v>80</v>
      </c>
      <c r="E2215" t="s">
        <v>33</v>
      </c>
      <c r="F2215">
        <v>10</v>
      </c>
      <c r="G2215">
        <v>0.52</v>
      </c>
      <c r="H2215">
        <v>0.38</v>
      </c>
      <c r="I2215" t="s">
        <v>60</v>
      </c>
      <c r="J2215">
        <v>50635</v>
      </c>
      <c r="K2215" t="s">
        <v>25</v>
      </c>
      <c r="L2215">
        <v>37</v>
      </c>
      <c r="M2215">
        <v>53</v>
      </c>
      <c r="N2215" t="s">
        <v>26</v>
      </c>
      <c r="O2215" t="s">
        <v>36</v>
      </c>
      <c r="P2215">
        <v>3.83</v>
      </c>
      <c r="Q2215" t="s">
        <v>34</v>
      </c>
      <c r="R2215">
        <v>4.16</v>
      </c>
      <c r="S2215" t="s">
        <v>43</v>
      </c>
      <c r="T2215" t="str">
        <f t="shared" si="68"/>
        <v>Moderate</v>
      </c>
      <c r="U2215" t="str">
        <f t="shared" si="69"/>
        <v>Experienced</v>
      </c>
    </row>
    <row r="2216" spans="1:21" x14ac:dyDescent="0.35">
      <c r="A2216" t="s">
        <v>2289</v>
      </c>
      <c r="B2216" t="s">
        <v>89</v>
      </c>
      <c r="C2216" t="s">
        <v>55</v>
      </c>
      <c r="D2216" t="s">
        <v>69</v>
      </c>
      <c r="E2216" t="s">
        <v>41</v>
      </c>
      <c r="F2216">
        <v>1</v>
      </c>
      <c r="G2216">
        <v>0.38</v>
      </c>
      <c r="H2216">
        <v>0.42</v>
      </c>
      <c r="I2216" t="s">
        <v>60</v>
      </c>
      <c r="J2216">
        <v>69468</v>
      </c>
      <c r="K2216" t="s">
        <v>42</v>
      </c>
      <c r="L2216">
        <v>6</v>
      </c>
      <c r="M2216">
        <v>44</v>
      </c>
      <c r="N2216" t="s">
        <v>26</v>
      </c>
      <c r="O2216" t="s">
        <v>25</v>
      </c>
      <c r="P2216">
        <v>3.65</v>
      </c>
      <c r="Q2216" t="s">
        <v>34</v>
      </c>
      <c r="R2216">
        <v>4.62</v>
      </c>
      <c r="S2216" t="s">
        <v>43</v>
      </c>
      <c r="T2216" t="str">
        <f t="shared" si="68"/>
        <v>High</v>
      </c>
      <c r="U2216" t="str">
        <f t="shared" si="69"/>
        <v>Beginner</v>
      </c>
    </row>
    <row r="2217" spans="1:21" x14ac:dyDescent="0.35">
      <c r="A2217" t="s">
        <v>2290</v>
      </c>
      <c r="B2217" t="s">
        <v>20</v>
      </c>
      <c r="C2217" t="s">
        <v>82</v>
      </c>
      <c r="D2217" t="s">
        <v>80</v>
      </c>
      <c r="E2217" t="s">
        <v>41</v>
      </c>
      <c r="F2217">
        <v>7</v>
      </c>
      <c r="G2217">
        <v>0.39</v>
      </c>
      <c r="H2217">
        <v>0.21</v>
      </c>
      <c r="I2217" t="s">
        <v>34</v>
      </c>
      <c r="J2217">
        <v>147659</v>
      </c>
      <c r="K2217" t="s">
        <v>42</v>
      </c>
      <c r="L2217">
        <v>23</v>
      </c>
      <c r="M2217">
        <v>60</v>
      </c>
      <c r="N2217" t="s">
        <v>26</v>
      </c>
      <c r="O2217" t="s">
        <v>27</v>
      </c>
      <c r="P2217">
        <v>4.07</v>
      </c>
      <c r="Q2217" t="s">
        <v>24</v>
      </c>
      <c r="R2217">
        <v>3.24</v>
      </c>
      <c r="S2217" t="s">
        <v>28</v>
      </c>
      <c r="T2217" t="str">
        <f t="shared" si="68"/>
        <v>Moderate</v>
      </c>
      <c r="U2217" t="str">
        <f t="shared" si="69"/>
        <v>Intermediate</v>
      </c>
    </row>
    <row r="2218" spans="1:21" x14ac:dyDescent="0.35">
      <c r="A2218" t="s">
        <v>2291</v>
      </c>
      <c r="B2218" t="s">
        <v>68</v>
      </c>
      <c r="C2218" t="s">
        <v>39</v>
      </c>
      <c r="D2218" t="s">
        <v>22</v>
      </c>
      <c r="E2218" t="s">
        <v>33</v>
      </c>
      <c r="F2218">
        <v>25</v>
      </c>
      <c r="G2218">
        <v>0.85</v>
      </c>
      <c r="H2218">
        <v>0.56999999999999995</v>
      </c>
      <c r="I2218" t="s">
        <v>60</v>
      </c>
      <c r="J2218">
        <v>37707</v>
      </c>
      <c r="K2218" t="s">
        <v>27</v>
      </c>
      <c r="L2218">
        <v>1</v>
      </c>
      <c r="M2218">
        <v>40</v>
      </c>
      <c r="N2218" t="s">
        <v>42</v>
      </c>
      <c r="O2218" t="s">
        <v>36</v>
      </c>
      <c r="P2218">
        <v>4.51</v>
      </c>
      <c r="Q2218" t="s">
        <v>34</v>
      </c>
      <c r="R2218">
        <v>3.77</v>
      </c>
      <c r="S2218" t="s">
        <v>43</v>
      </c>
      <c r="T2218" t="str">
        <f t="shared" si="68"/>
        <v>Moderate</v>
      </c>
      <c r="U2218" t="str">
        <f t="shared" si="69"/>
        <v>Expert</v>
      </c>
    </row>
    <row r="2219" spans="1:21" x14ac:dyDescent="0.35">
      <c r="A2219" t="s">
        <v>2292</v>
      </c>
      <c r="B2219" t="s">
        <v>91</v>
      </c>
      <c r="C2219" t="s">
        <v>55</v>
      </c>
      <c r="D2219" t="s">
        <v>69</v>
      </c>
      <c r="E2219" t="s">
        <v>41</v>
      </c>
      <c r="F2219">
        <v>12</v>
      </c>
      <c r="G2219">
        <v>0.52</v>
      </c>
      <c r="H2219">
        <v>0.34</v>
      </c>
      <c r="I2219" t="s">
        <v>24</v>
      </c>
      <c r="J2219">
        <v>136531</v>
      </c>
      <c r="K2219" t="s">
        <v>25</v>
      </c>
      <c r="L2219">
        <v>38</v>
      </c>
      <c r="M2219">
        <v>47</v>
      </c>
      <c r="N2219" t="s">
        <v>42</v>
      </c>
      <c r="O2219" t="s">
        <v>25</v>
      </c>
      <c r="P2219">
        <v>4.37</v>
      </c>
      <c r="Q2219" t="s">
        <v>24</v>
      </c>
      <c r="R2219">
        <v>1.97</v>
      </c>
      <c r="S2219" t="s">
        <v>47</v>
      </c>
      <c r="T2219" t="str">
        <f t="shared" si="68"/>
        <v>Moderate</v>
      </c>
      <c r="U2219" t="str">
        <f t="shared" si="69"/>
        <v>Experienced</v>
      </c>
    </row>
    <row r="2220" spans="1:21" x14ac:dyDescent="0.35">
      <c r="A2220" t="s">
        <v>2293</v>
      </c>
      <c r="B2220" t="s">
        <v>156</v>
      </c>
      <c r="C2220" t="s">
        <v>46</v>
      </c>
      <c r="D2220" t="s">
        <v>66</v>
      </c>
      <c r="E2220" t="s">
        <v>23</v>
      </c>
      <c r="F2220">
        <v>12</v>
      </c>
      <c r="G2220">
        <v>0.79</v>
      </c>
      <c r="H2220">
        <v>0.61</v>
      </c>
      <c r="I2220" t="s">
        <v>34</v>
      </c>
      <c r="J2220">
        <v>109471</v>
      </c>
      <c r="K2220" t="s">
        <v>42</v>
      </c>
      <c r="L2220">
        <v>26</v>
      </c>
      <c r="M2220">
        <v>45</v>
      </c>
      <c r="N2220" t="s">
        <v>42</v>
      </c>
      <c r="O2220" t="s">
        <v>25</v>
      </c>
      <c r="P2220">
        <v>4.33</v>
      </c>
      <c r="Q2220" t="s">
        <v>24</v>
      </c>
      <c r="R2220">
        <v>2.58</v>
      </c>
      <c r="S2220" t="s">
        <v>43</v>
      </c>
      <c r="T2220" t="str">
        <f t="shared" si="68"/>
        <v>Moderate</v>
      </c>
      <c r="U2220" t="str">
        <f t="shared" si="69"/>
        <v>Experienced</v>
      </c>
    </row>
    <row r="2221" spans="1:21" x14ac:dyDescent="0.35">
      <c r="A2221" t="s">
        <v>2294</v>
      </c>
      <c r="B2221" t="s">
        <v>51</v>
      </c>
      <c r="C2221" t="s">
        <v>58</v>
      </c>
      <c r="D2221" t="s">
        <v>80</v>
      </c>
      <c r="E2221" t="s">
        <v>41</v>
      </c>
      <c r="F2221">
        <v>2</v>
      </c>
      <c r="G2221">
        <v>0.17</v>
      </c>
      <c r="H2221">
        <v>0.72</v>
      </c>
      <c r="I2221" t="s">
        <v>60</v>
      </c>
      <c r="J2221">
        <v>129690</v>
      </c>
      <c r="K2221" t="s">
        <v>25</v>
      </c>
      <c r="L2221">
        <v>45</v>
      </c>
      <c r="M2221">
        <v>46</v>
      </c>
      <c r="N2221" t="s">
        <v>26</v>
      </c>
      <c r="O2221" t="s">
        <v>25</v>
      </c>
      <c r="P2221">
        <v>4.6900000000000004</v>
      </c>
      <c r="Q2221" t="s">
        <v>24</v>
      </c>
      <c r="R2221">
        <v>3.13</v>
      </c>
      <c r="S2221" t="s">
        <v>47</v>
      </c>
      <c r="T2221" t="str">
        <f t="shared" si="68"/>
        <v>Very High</v>
      </c>
      <c r="U2221" t="str">
        <f t="shared" si="69"/>
        <v>Beginner</v>
      </c>
    </row>
    <row r="2222" spans="1:21" x14ac:dyDescent="0.35">
      <c r="A2222" t="s">
        <v>2295</v>
      </c>
      <c r="B2222" t="s">
        <v>147</v>
      </c>
      <c r="C2222" t="s">
        <v>52</v>
      </c>
      <c r="D2222" t="s">
        <v>80</v>
      </c>
      <c r="E2222" t="s">
        <v>23</v>
      </c>
      <c r="F2222">
        <v>19</v>
      </c>
      <c r="G2222">
        <v>0.4</v>
      </c>
      <c r="H2222">
        <v>0.22</v>
      </c>
      <c r="I2222" t="s">
        <v>34</v>
      </c>
      <c r="J2222">
        <v>195933</v>
      </c>
      <c r="K2222" t="s">
        <v>27</v>
      </c>
      <c r="L2222">
        <v>-8</v>
      </c>
      <c r="M2222">
        <v>31</v>
      </c>
      <c r="N2222" t="s">
        <v>35</v>
      </c>
      <c r="O2222" t="s">
        <v>27</v>
      </c>
      <c r="P2222">
        <v>2.5099999999999998</v>
      </c>
      <c r="Q2222" t="s">
        <v>24</v>
      </c>
      <c r="R2222">
        <v>1.75</v>
      </c>
      <c r="S2222" t="s">
        <v>43</v>
      </c>
      <c r="T2222" t="str">
        <f t="shared" si="68"/>
        <v>Moderate</v>
      </c>
      <c r="U2222" t="str">
        <f t="shared" si="69"/>
        <v>Expert</v>
      </c>
    </row>
    <row r="2223" spans="1:21" x14ac:dyDescent="0.35">
      <c r="A2223" t="s">
        <v>2296</v>
      </c>
      <c r="B2223" t="s">
        <v>91</v>
      </c>
      <c r="C2223" t="s">
        <v>74</v>
      </c>
      <c r="D2223" t="s">
        <v>80</v>
      </c>
      <c r="E2223" t="s">
        <v>70</v>
      </c>
      <c r="F2223">
        <v>22</v>
      </c>
      <c r="G2223">
        <v>0.91</v>
      </c>
      <c r="H2223">
        <v>0.93</v>
      </c>
      <c r="I2223" t="s">
        <v>24</v>
      </c>
      <c r="J2223">
        <v>197055</v>
      </c>
      <c r="K2223" t="s">
        <v>42</v>
      </c>
      <c r="L2223">
        <v>17</v>
      </c>
      <c r="M2223">
        <v>46</v>
      </c>
      <c r="N2223" t="s">
        <v>42</v>
      </c>
      <c r="O2223" t="s">
        <v>25</v>
      </c>
      <c r="P2223">
        <v>3.95</v>
      </c>
      <c r="Q2223" t="s">
        <v>24</v>
      </c>
      <c r="R2223">
        <v>2.92</v>
      </c>
      <c r="S2223" t="s">
        <v>28</v>
      </c>
      <c r="T2223" t="str">
        <f t="shared" si="68"/>
        <v>High</v>
      </c>
      <c r="U2223" t="str">
        <f t="shared" si="69"/>
        <v>Expert</v>
      </c>
    </row>
    <row r="2224" spans="1:21" x14ac:dyDescent="0.35">
      <c r="A2224" t="s">
        <v>2297</v>
      </c>
      <c r="B2224" t="s">
        <v>62</v>
      </c>
      <c r="C2224" t="s">
        <v>82</v>
      </c>
      <c r="D2224" t="s">
        <v>75</v>
      </c>
      <c r="E2224" t="s">
        <v>41</v>
      </c>
      <c r="F2224">
        <v>17</v>
      </c>
      <c r="G2224">
        <v>0.35</v>
      </c>
      <c r="H2224">
        <v>0.94</v>
      </c>
      <c r="I2224" t="s">
        <v>34</v>
      </c>
      <c r="J2224">
        <v>191363</v>
      </c>
      <c r="K2224" t="s">
        <v>42</v>
      </c>
      <c r="L2224">
        <v>40</v>
      </c>
      <c r="M2224">
        <v>40</v>
      </c>
      <c r="N2224" t="s">
        <v>42</v>
      </c>
      <c r="O2224" t="s">
        <v>36</v>
      </c>
      <c r="P2224">
        <v>4.8899999999999997</v>
      </c>
      <c r="Q2224" t="s">
        <v>24</v>
      </c>
      <c r="R2224">
        <v>2.66</v>
      </c>
      <c r="S2224" t="s">
        <v>28</v>
      </c>
      <c r="T2224" t="str">
        <f t="shared" si="68"/>
        <v>Very High</v>
      </c>
      <c r="U2224" t="str">
        <f t="shared" si="69"/>
        <v>Expert</v>
      </c>
    </row>
    <row r="2225" spans="1:21" x14ac:dyDescent="0.35">
      <c r="A2225" t="s">
        <v>2298</v>
      </c>
      <c r="B2225" t="s">
        <v>62</v>
      </c>
      <c r="C2225" t="s">
        <v>21</v>
      </c>
      <c r="D2225" t="s">
        <v>49</v>
      </c>
      <c r="E2225" t="s">
        <v>33</v>
      </c>
      <c r="F2225">
        <v>21</v>
      </c>
      <c r="G2225">
        <v>0.11</v>
      </c>
      <c r="H2225">
        <v>0.37</v>
      </c>
      <c r="I2225" t="s">
        <v>24</v>
      </c>
      <c r="J2225">
        <v>170151</v>
      </c>
      <c r="K2225" t="s">
        <v>27</v>
      </c>
      <c r="L2225">
        <v>16</v>
      </c>
      <c r="M2225">
        <v>41</v>
      </c>
      <c r="N2225" t="s">
        <v>35</v>
      </c>
      <c r="O2225" t="s">
        <v>25</v>
      </c>
      <c r="P2225">
        <v>2.77</v>
      </c>
      <c r="Q2225" t="s">
        <v>34</v>
      </c>
      <c r="R2225">
        <v>2.48</v>
      </c>
      <c r="S2225" t="s">
        <v>43</v>
      </c>
      <c r="T2225" t="str">
        <f t="shared" si="68"/>
        <v>High</v>
      </c>
      <c r="U2225" t="str">
        <f t="shared" si="69"/>
        <v>Expert</v>
      </c>
    </row>
    <row r="2226" spans="1:21" x14ac:dyDescent="0.35">
      <c r="A2226" t="s">
        <v>2299</v>
      </c>
      <c r="B2226" t="s">
        <v>54</v>
      </c>
      <c r="C2226" t="s">
        <v>52</v>
      </c>
      <c r="D2226" t="s">
        <v>49</v>
      </c>
      <c r="E2226" t="s">
        <v>33</v>
      </c>
      <c r="F2226">
        <v>13</v>
      </c>
      <c r="G2226">
        <v>0.77</v>
      </c>
      <c r="H2226">
        <v>0.37</v>
      </c>
      <c r="I2226" t="s">
        <v>34</v>
      </c>
      <c r="J2226">
        <v>171988</v>
      </c>
      <c r="K2226" t="s">
        <v>42</v>
      </c>
      <c r="L2226">
        <v>33</v>
      </c>
      <c r="M2226">
        <v>31</v>
      </c>
      <c r="N2226" t="s">
        <v>35</v>
      </c>
      <c r="O2226" t="s">
        <v>27</v>
      </c>
      <c r="P2226">
        <v>4.83</v>
      </c>
      <c r="Q2226" t="s">
        <v>24</v>
      </c>
      <c r="R2226">
        <v>3.82</v>
      </c>
      <c r="S2226" t="s">
        <v>28</v>
      </c>
      <c r="T2226" t="str">
        <f t="shared" si="68"/>
        <v>Very Low</v>
      </c>
      <c r="U2226" t="str">
        <f t="shared" si="69"/>
        <v>Experienced</v>
      </c>
    </row>
    <row r="2227" spans="1:21" x14ac:dyDescent="0.35">
      <c r="A2227" t="s">
        <v>2300</v>
      </c>
      <c r="B2227" t="s">
        <v>54</v>
      </c>
      <c r="C2227" t="s">
        <v>82</v>
      </c>
      <c r="D2227" t="s">
        <v>63</v>
      </c>
      <c r="E2227" t="s">
        <v>23</v>
      </c>
      <c r="F2227">
        <v>4</v>
      </c>
      <c r="G2227">
        <v>0.93</v>
      </c>
      <c r="H2227">
        <v>0.47</v>
      </c>
      <c r="I2227" t="s">
        <v>60</v>
      </c>
      <c r="J2227">
        <v>197935</v>
      </c>
      <c r="K2227" t="s">
        <v>27</v>
      </c>
      <c r="L2227">
        <v>45</v>
      </c>
      <c r="M2227">
        <v>43</v>
      </c>
      <c r="N2227" t="s">
        <v>26</v>
      </c>
      <c r="O2227" t="s">
        <v>27</v>
      </c>
      <c r="P2227">
        <v>2.0099999999999998</v>
      </c>
      <c r="Q2227" t="s">
        <v>24</v>
      </c>
      <c r="R2227">
        <v>4.34</v>
      </c>
      <c r="S2227" t="s">
        <v>47</v>
      </c>
      <c r="T2227" t="str">
        <f t="shared" si="68"/>
        <v>Very Low</v>
      </c>
      <c r="U2227" t="str">
        <f t="shared" si="69"/>
        <v>Intermediate</v>
      </c>
    </row>
    <row r="2228" spans="1:21" x14ac:dyDescent="0.35">
      <c r="A2228" t="s">
        <v>2301</v>
      </c>
      <c r="B2228" t="s">
        <v>54</v>
      </c>
      <c r="C2228" t="s">
        <v>46</v>
      </c>
      <c r="D2228" t="s">
        <v>40</v>
      </c>
      <c r="E2228" t="s">
        <v>70</v>
      </c>
      <c r="F2228">
        <v>0</v>
      </c>
      <c r="G2228">
        <v>0.74</v>
      </c>
      <c r="H2228">
        <v>0.81</v>
      </c>
      <c r="I2228" t="s">
        <v>34</v>
      </c>
      <c r="J2228">
        <v>151424</v>
      </c>
      <c r="K2228" t="s">
        <v>27</v>
      </c>
      <c r="L2228">
        <v>24</v>
      </c>
      <c r="M2228">
        <v>58</v>
      </c>
      <c r="N2228" t="s">
        <v>35</v>
      </c>
      <c r="O2228" t="s">
        <v>27</v>
      </c>
      <c r="P2228">
        <v>2.78</v>
      </c>
      <c r="Q2228" t="s">
        <v>34</v>
      </c>
      <c r="R2228">
        <v>3.69</v>
      </c>
      <c r="S2228" t="s">
        <v>43</v>
      </c>
      <c r="T2228" t="str">
        <f t="shared" si="68"/>
        <v>High</v>
      </c>
      <c r="U2228" t="str">
        <f t="shared" si="69"/>
        <v>Beginner</v>
      </c>
    </row>
    <row r="2229" spans="1:21" x14ac:dyDescent="0.35">
      <c r="A2229" t="s">
        <v>2302</v>
      </c>
      <c r="B2229" t="s">
        <v>94</v>
      </c>
      <c r="C2229" t="s">
        <v>21</v>
      </c>
      <c r="D2229" t="s">
        <v>40</v>
      </c>
      <c r="E2229" t="s">
        <v>70</v>
      </c>
      <c r="F2229">
        <v>24</v>
      </c>
      <c r="G2229">
        <v>0.41</v>
      </c>
      <c r="H2229">
        <v>0.22</v>
      </c>
      <c r="I2229" t="s">
        <v>60</v>
      </c>
      <c r="J2229">
        <v>194451</v>
      </c>
      <c r="K2229" t="s">
        <v>42</v>
      </c>
      <c r="L2229">
        <v>3</v>
      </c>
      <c r="M2229">
        <v>50</v>
      </c>
      <c r="N2229" t="s">
        <v>42</v>
      </c>
      <c r="O2229" t="s">
        <v>25</v>
      </c>
      <c r="P2229">
        <v>2.98</v>
      </c>
      <c r="Q2229" t="s">
        <v>24</v>
      </c>
      <c r="R2229">
        <v>1.93</v>
      </c>
      <c r="S2229" t="s">
        <v>43</v>
      </c>
      <c r="T2229" t="str">
        <f t="shared" si="68"/>
        <v>Moderate</v>
      </c>
      <c r="U2229" t="str">
        <f t="shared" si="69"/>
        <v>Expert</v>
      </c>
    </row>
    <row r="2230" spans="1:21" x14ac:dyDescent="0.35">
      <c r="A2230" t="s">
        <v>2303</v>
      </c>
      <c r="B2230" t="s">
        <v>20</v>
      </c>
      <c r="C2230" t="s">
        <v>58</v>
      </c>
      <c r="D2230" t="s">
        <v>63</v>
      </c>
      <c r="E2230" t="s">
        <v>70</v>
      </c>
      <c r="F2230">
        <v>21</v>
      </c>
      <c r="G2230">
        <v>0.75</v>
      </c>
      <c r="H2230">
        <v>0.41</v>
      </c>
      <c r="I2230" t="s">
        <v>24</v>
      </c>
      <c r="J2230">
        <v>63479</v>
      </c>
      <c r="K2230" t="s">
        <v>25</v>
      </c>
      <c r="L2230">
        <v>27</v>
      </c>
      <c r="M2230">
        <v>35</v>
      </c>
      <c r="N2230" t="s">
        <v>26</v>
      </c>
      <c r="O2230" t="s">
        <v>25</v>
      </c>
      <c r="P2230">
        <v>2.3199999999999998</v>
      </c>
      <c r="Q2230" t="s">
        <v>34</v>
      </c>
      <c r="R2230">
        <v>4.74</v>
      </c>
      <c r="S2230" t="s">
        <v>47</v>
      </c>
      <c r="T2230" t="str">
        <f t="shared" si="68"/>
        <v>Very Low</v>
      </c>
      <c r="U2230" t="str">
        <f t="shared" si="69"/>
        <v>Expert</v>
      </c>
    </row>
    <row r="2231" spans="1:21" x14ac:dyDescent="0.35">
      <c r="A2231" t="s">
        <v>2304</v>
      </c>
      <c r="B2231" t="s">
        <v>57</v>
      </c>
      <c r="C2231" t="s">
        <v>31</v>
      </c>
      <c r="D2231" t="s">
        <v>59</v>
      </c>
      <c r="E2231" t="s">
        <v>33</v>
      </c>
      <c r="F2231">
        <v>23</v>
      </c>
      <c r="G2231">
        <v>0.67</v>
      </c>
      <c r="H2231">
        <v>0.66</v>
      </c>
      <c r="I2231" t="s">
        <v>60</v>
      </c>
      <c r="J2231">
        <v>39947</v>
      </c>
      <c r="K2231" t="s">
        <v>25</v>
      </c>
      <c r="L2231">
        <v>14</v>
      </c>
      <c r="M2231">
        <v>34</v>
      </c>
      <c r="N2231" t="s">
        <v>35</v>
      </c>
      <c r="O2231" t="s">
        <v>36</v>
      </c>
      <c r="P2231">
        <v>4.04</v>
      </c>
      <c r="Q2231" t="s">
        <v>34</v>
      </c>
      <c r="R2231">
        <v>3.83</v>
      </c>
      <c r="S2231" t="s">
        <v>28</v>
      </c>
      <c r="T2231" t="str">
        <f t="shared" si="68"/>
        <v>Moderate</v>
      </c>
      <c r="U2231" t="str">
        <f t="shared" si="69"/>
        <v>Expert</v>
      </c>
    </row>
    <row r="2232" spans="1:21" x14ac:dyDescent="0.35">
      <c r="A2232" t="s">
        <v>2305</v>
      </c>
      <c r="B2232" t="s">
        <v>20</v>
      </c>
      <c r="C2232" t="s">
        <v>39</v>
      </c>
      <c r="D2232" t="s">
        <v>59</v>
      </c>
      <c r="E2232" t="s">
        <v>33</v>
      </c>
      <c r="F2232">
        <v>19</v>
      </c>
      <c r="G2232">
        <v>0.4</v>
      </c>
      <c r="H2232">
        <v>0.47</v>
      </c>
      <c r="I2232" t="s">
        <v>60</v>
      </c>
      <c r="J2232">
        <v>146017</v>
      </c>
      <c r="K2232" t="s">
        <v>42</v>
      </c>
      <c r="L2232">
        <v>3</v>
      </c>
      <c r="M2232">
        <v>32</v>
      </c>
      <c r="N2232" t="s">
        <v>35</v>
      </c>
      <c r="O2232" t="s">
        <v>27</v>
      </c>
      <c r="P2232">
        <v>4.05</v>
      </c>
      <c r="Q2232" t="s">
        <v>24</v>
      </c>
      <c r="R2232">
        <v>4.88</v>
      </c>
      <c r="S2232" t="s">
        <v>28</v>
      </c>
      <c r="T2232" t="str">
        <f t="shared" si="68"/>
        <v>High</v>
      </c>
      <c r="U2232" t="str">
        <f t="shared" si="69"/>
        <v>Expert</v>
      </c>
    </row>
    <row r="2233" spans="1:21" x14ac:dyDescent="0.35">
      <c r="A2233" t="s">
        <v>2306</v>
      </c>
      <c r="B2233" t="s">
        <v>30</v>
      </c>
      <c r="C2233" t="s">
        <v>107</v>
      </c>
      <c r="D2233" t="s">
        <v>32</v>
      </c>
      <c r="E2233" t="s">
        <v>33</v>
      </c>
      <c r="F2233">
        <v>19</v>
      </c>
      <c r="G2233">
        <v>0.9</v>
      </c>
      <c r="H2233">
        <v>0.21</v>
      </c>
      <c r="I2233" t="s">
        <v>34</v>
      </c>
      <c r="J2233">
        <v>178338</v>
      </c>
      <c r="K2233" t="s">
        <v>27</v>
      </c>
      <c r="L2233">
        <v>2</v>
      </c>
      <c r="M2233">
        <v>30</v>
      </c>
      <c r="N2233" t="s">
        <v>26</v>
      </c>
      <c r="O2233" t="s">
        <v>25</v>
      </c>
      <c r="P2233">
        <v>3.68</v>
      </c>
      <c r="Q2233" t="s">
        <v>34</v>
      </c>
      <c r="R2233">
        <v>4.25</v>
      </c>
      <c r="S2233" t="s">
        <v>28</v>
      </c>
      <c r="T2233" t="str">
        <f t="shared" si="68"/>
        <v>Very Low</v>
      </c>
      <c r="U2233" t="str">
        <f t="shared" si="69"/>
        <v>Expert</v>
      </c>
    </row>
    <row r="2234" spans="1:21" x14ac:dyDescent="0.35">
      <c r="A2234" t="s">
        <v>2307</v>
      </c>
      <c r="B2234" t="s">
        <v>30</v>
      </c>
      <c r="C2234" t="s">
        <v>52</v>
      </c>
      <c r="D2234" t="s">
        <v>49</v>
      </c>
      <c r="E2234" t="s">
        <v>41</v>
      </c>
      <c r="F2234">
        <v>6</v>
      </c>
      <c r="G2234">
        <v>0.36</v>
      </c>
      <c r="H2234">
        <v>0.53</v>
      </c>
      <c r="I2234" t="s">
        <v>24</v>
      </c>
      <c r="J2234">
        <v>205456</v>
      </c>
      <c r="K2234" t="s">
        <v>42</v>
      </c>
      <c r="L2234">
        <v>-4</v>
      </c>
      <c r="M2234">
        <v>60</v>
      </c>
      <c r="N2234" t="s">
        <v>26</v>
      </c>
      <c r="O2234" t="s">
        <v>27</v>
      </c>
      <c r="P2234">
        <v>3.52</v>
      </c>
      <c r="Q2234" t="s">
        <v>34</v>
      </c>
      <c r="R2234">
        <v>3.08</v>
      </c>
      <c r="S2234" t="s">
        <v>43</v>
      </c>
      <c r="T2234" t="str">
        <f t="shared" si="68"/>
        <v>High</v>
      </c>
      <c r="U2234" t="str">
        <f t="shared" si="69"/>
        <v>Intermediate</v>
      </c>
    </row>
    <row r="2235" spans="1:21" x14ac:dyDescent="0.35">
      <c r="A2235" t="s">
        <v>2308</v>
      </c>
      <c r="B2235" t="s">
        <v>106</v>
      </c>
      <c r="C2235" t="s">
        <v>58</v>
      </c>
      <c r="D2235" t="s">
        <v>66</v>
      </c>
      <c r="E2235" t="s">
        <v>23</v>
      </c>
      <c r="F2235">
        <v>25</v>
      </c>
      <c r="G2235">
        <v>0.08</v>
      </c>
      <c r="H2235">
        <v>0.47</v>
      </c>
      <c r="I2235" t="s">
        <v>60</v>
      </c>
      <c r="J2235">
        <v>203804</v>
      </c>
      <c r="K2235" t="s">
        <v>25</v>
      </c>
      <c r="L2235">
        <v>19</v>
      </c>
      <c r="M2235">
        <v>39</v>
      </c>
      <c r="N2235" t="s">
        <v>35</v>
      </c>
      <c r="O2235" t="s">
        <v>27</v>
      </c>
      <c r="P2235">
        <v>2.06</v>
      </c>
      <c r="Q2235" t="s">
        <v>34</v>
      </c>
      <c r="R2235">
        <v>4.3</v>
      </c>
      <c r="S2235" t="s">
        <v>28</v>
      </c>
      <c r="T2235" t="str">
        <f t="shared" si="68"/>
        <v>High</v>
      </c>
      <c r="U2235" t="str">
        <f t="shared" si="69"/>
        <v>Expert</v>
      </c>
    </row>
    <row r="2236" spans="1:21" x14ac:dyDescent="0.35">
      <c r="A2236" t="s">
        <v>2309</v>
      </c>
      <c r="B2236" t="s">
        <v>54</v>
      </c>
      <c r="C2236" t="s">
        <v>58</v>
      </c>
      <c r="D2236" t="s">
        <v>49</v>
      </c>
      <c r="E2236" t="s">
        <v>33</v>
      </c>
      <c r="F2236">
        <v>20</v>
      </c>
      <c r="G2236">
        <v>0.09</v>
      </c>
      <c r="H2236">
        <v>0.44</v>
      </c>
      <c r="I2236" t="s">
        <v>24</v>
      </c>
      <c r="J2236">
        <v>96951</v>
      </c>
      <c r="K2236" t="s">
        <v>27</v>
      </c>
      <c r="L2236">
        <v>20</v>
      </c>
      <c r="M2236">
        <v>32</v>
      </c>
      <c r="N2236" t="s">
        <v>26</v>
      </c>
      <c r="O2236" t="s">
        <v>27</v>
      </c>
      <c r="P2236">
        <v>3.87</v>
      </c>
      <c r="Q2236" t="s">
        <v>24</v>
      </c>
      <c r="R2236">
        <v>1.48</v>
      </c>
      <c r="S2236" t="s">
        <v>47</v>
      </c>
      <c r="T2236" t="str">
        <f t="shared" si="68"/>
        <v>High</v>
      </c>
      <c r="U2236" t="str">
        <f t="shared" si="69"/>
        <v>Expert</v>
      </c>
    </row>
    <row r="2237" spans="1:21" x14ac:dyDescent="0.35">
      <c r="A2237" t="s">
        <v>2310</v>
      </c>
      <c r="B2237" t="s">
        <v>45</v>
      </c>
      <c r="C2237" t="s">
        <v>52</v>
      </c>
      <c r="D2237" t="s">
        <v>22</v>
      </c>
      <c r="E2237" t="s">
        <v>70</v>
      </c>
      <c r="F2237">
        <v>4</v>
      </c>
      <c r="G2237">
        <v>0.87</v>
      </c>
      <c r="H2237">
        <v>0.68</v>
      </c>
      <c r="I2237" t="s">
        <v>34</v>
      </c>
      <c r="J2237">
        <v>200120</v>
      </c>
      <c r="K2237" t="s">
        <v>25</v>
      </c>
      <c r="L2237">
        <v>30</v>
      </c>
      <c r="M2237">
        <v>54</v>
      </c>
      <c r="N2237" t="s">
        <v>42</v>
      </c>
      <c r="O2237" t="s">
        <v>36</v>
      </c>
      <c r="P2237">
        <v>3.99</v>
      </c>
      <c r="Q2237" t="s">
        <v>34</v>
      </c>
      <c r="R2237">
        <v>2.93</v>
      </c>
      <c r="S2237" t="s">
        <v>47</v>
      </c>
      <c r="T2237" t="str">
        <f t="shared" si="68"/>
        <v>Moderate</v>
      </c>
      <c r="U2237" t="str">
        <f t="shared" si="69"/>
        <v>Intermediate</v>
      </c>
    </row>
    <row r="2238" spans="1:21" x14ac:dyDescent="0.35">
      <c r="A2238" t="s">
        <v>2311</v>
      </c>
      <c r="B2238" t="s">
        <v>156</v>
      </c>
      <c r="C2238" t="s">
        <v>55</v>
      </c>
      <c r="D2238" t="s">
        <v>59</v>
      </c>
      <c r="E2238" t="s">
        <v>41</v>
      </c>
      <c r="F2238">
        <v>21</v>
      </c>
      <c r="G2238">
        <v>0.38</v>
      </c>
      <c r="H2238">
        <v>0.98</v>
      </c>
      <c r="I2238" t="s">
        <v>24</v>
      </c>
      <c r="J2238">
        <v>215400</v>
      </c>
      <c r="K2238" t="s">
        <v>25</v>
      </c>
      <c r="L2238">
        <v>31</v>
      </c>
      <c r="M2238">
        <v>30</v>
      </c>
      <c r="N2238" t="s">
        <v>35</v>
      </c>
      <c r="O2238" t="s">
        <v>27</v>
      </c>
      <c r="P2238">
        <v>3.16</v>
      </c>
      <c r="Q2238" t="s">
        <v>24</v>
      </c>
      <c r="R2238">
        <v>1.71</v>
      </c>
      <c r="S2238" t="s">
        <v>43</v>
      </c>
      <c r="T2238" t="str">
        <f t="shared" si="68"/>
        <v>Very High</v>
      </c>
      <c r="U2238" t="str">
        <f t="shared" si="69"/>
        <v>Expert</v>
      </c>
    </row>
    <row r="2239" spans="1:21" x14ac:dyDescent="0.35">
      <c r="A2239" t="s">
        <v>2312</v>
      </c>
      <c r="B2239" t="s">
        <v>54</v>
      </c>
      <c r="C2239" t="s">
        <v>39</v>
      </c>
      <c r="D2239" t="s">
        <v>75</v>
      </c>
      <c r="E2239" t="s">
        <v>23</v>
      </c>
      <c r="F2239">
        <v>0</v>
      </c>
      <c r="G2239">
        <v>0.11</v>
      </c>
      <c r="H2239">
        <v>0.78</v>
      </c>
      <c r="I2239" t="s">
        <v>34</v>
      </c>
      <c r="J2239">
        <v>128972</v>
      </c>
      <c r="K2239" t="s">
        <v>25</v>
      </c>
      <c r="L2239">
        <v>25</v>
      </c>
      <c r="M2239">
        <v>57</v>
      </c>
      <c r="N2239" t="s">
        <v>26</v>
      </c>
      <c r="O2239" t="s">
        <v>25</v>
      </c>
      <c r="P2239">
        <v>2.29</v>
      </c>
      <c r="Q2239" t="s">
        <v>34</v>
      </c>
      <c r="R2239">
        <v>1.56</v>
      </c>
      <c r="S2239" t="s">
        <v>47</v>
      </c>
      <c r="T2239" t="str">
        <f t="shared" si="68"/>
        <v>Very High</v>
      </c>
      <c r="U2239" t="str">
        <f t="shared" si="69"/>
        <v>Beginner</v>
      </c>
    </row>
    <row r="2240" spans="1:21" x14ac:dyDescent="0.35">
      <c r="A2240" t="s">
        <v>2313</v>
      </c>
      <c r="B2240" t="s">
        <v>73</v>
      </c>
      <c r="C2240" t="s">
        <v>52</v>
      </c>
      <c r="D2240" t="s">
        <v>49</v>
      </c>
      <c r="E2240" t="s">
        <v>33</v>
      </c>
      <c r="F2240">
        <v>15</v>
      </c>
      <c r="G2240">
        <v>0.08</v>
      </c>
      <c r="H2240">
        <v>0.24</v>
      </c>
      <c r="I2240" t="s">
        <v>34</v>
      </c>
      <c r="J2240">
        <v>133141</v>
      </c>
      <c r="K2240" t="s">
        <v>27</v>
      </c>
      <c r="L2240">
        <v>24</v>
      </c>
      <c r="M2240">
        <v>58</v>
      </c>
      <c r="N2240" t="s">
        <v>26</v>
      </c>
      <c r="O2240" t="s">
        <v>25</v>
      </c>
      <c r="P2240">
        <v>2.2200000000000002</v>
      </c>
      <c r="Q2240" t="s">
        <v>24</v>
      </c>
      <c r="R2240">
        <v>3.17</v>
      </c>
      <c r="S2240" t="s">
        <v>47</v>
      </c>
      <c r="T2240" t="str">
        <f t="shared" si="68"/>
        <v>High</v>
      </c>
      <c r="U2240" t="str">
        <f t="shared" si="69"/>
        <v>Experienced</v>
      </c>
    </row>
    <row r="2241" spans="1:21" x14ac:dyDescent="0.35">
      <c r="A2241" t="s">
        <v>2314</v>
      </c>
      <c r="B2241" t="s">
        <v>20</v>
      </c>
      <c r="C2241" t="s">
        <v>58</v>
      </c>
      <c r="D2241" t="s">
        <v>40</v>
      </c>
      <c r="E2241" t="s">
        <v>41</v>
      </c>
      <c r="F2241">
        <v>14</v>
      </c>
      <c r="G2241">
        <v>0.5</v>
      </c>
      <c r="H2241">
        <v>0.4</v>
      </c>
      <c r="I2241" t="s">
        <v>24</v>
      </c>
      <c r="J2241">
        <v>192700</v>
      </c>
      <c r="K2241" t="s">
        <v>27</v>
      </c>
      <c r="L2241">
        <v>12</v>
      </c>
      <c r="M2241">
        <v>54</v>
      </c>
      <c r="N2241" t="s">
        <v>42</v>
      </c>
      <c r="O2241" t="s">
        <v>36</v>
      </c>
      <c r="P2241">
        <v>3.39</v>
      </c>
      <c r="Q2241" t="s">
        <v>34</v>
      </c>
      <c r="R2241">
        <v>3.96</v>
      </c>
      <c r="S2241" t="s">
        <v>28</v>
      </c>
      <c r="T2241" t="str">
        <f t="shared" si="68"/>
        <v>Moderate</v>
      </c>
      <c r="U2241" t="str">
        <f t="shared" si="69"/>
        <v>Experienced</v>
      </c>
    </row>
    <row r="2242" spans="1:21" x14ac:dyDescent="0.35">
      <c r="A2242" t="s">
        <v>2315</v>
      </c>
      <c r="B2242" t="s">
        <v>96</v>
      </c>
      <c r="C2242" t="s">
        <v>107</v>
      </c>
      <c r="D2242" t="s">
        <v>63</v>
      </c>
      <c r="E2242" t="s">
        <v>70</v>
      </c>
      <c r="F2242">
        <v>24</v>
      </c>
      <c r="G2242">
        <v>0.85</v>
      </c>
      <c r="H2242">
        <v>0.84</v>
      </c>
      <c r="I2242" t="s">
        <v>34</v>
      </c>
      <c r="J2242">
        <v>88961</v>
      </c>
      <c r="K2242" t="s">
        <v>27</v>
      </c>
      <c r="L2242">
        <v>-5</v>
      </c>
      <c r="M2242">
        <v>56</v>
      </c>
      <c r="N2242" t="s">
        <v>35</v>
      </c>
      <c r="O2242" t="s">
        <v>27</v>
      </c>
      <c r="P2242">
        <v>4.28</v>
      </c>
      <c r="Q2242" t="s">
        <v>24</v>
      </c>
      <c r="R2242">
        <v>3.97</v>
      </c>
      <c r="S2242" t="s">
        <v>43</v>
      </c>
      <c r="T2242" t="str">
        <f t="shared" si="68"/>
        <v>Moderate</v>
      </c>
      <c r="U2242" t="str">
        <f t="shared" si="69"/>
        <v>Expert</v>
      </c>
    </row>
    <row r="2243" spans="1:21" x14ac:dyDescent="0.35">
      <c r="A2243" t="s">
        <v>2316</v>
      </c>
      <c r="B2243" t="s">
        <v>30</v>
      </c>
      <c r="C2243" t="s">
        <v>39</v>
      </c>
      <c r="D2243" t="s">
        <v>59</v>
      </c>
      <c r="E2243" t="s">
        <v>70</v>
      </c>
      <c r="F2243">
        <v>6</v>
      </c>
      <c r="G2243">
        <v>0.74</v>
      </c>
      <c r="H2243">
        <v>0.63</v>
      </c>
      <c r="I2243" t="s">
        <v>24</v>
      </c>
      <c r="J2243">
        <v>105762</v>
      </c>
      <c r="K2243" t="s">
        <v>42</v>
      </c>
      <c r="L2243">
        <v>29</v>
      </c>
      <c r="M2243">
        <v>56</v>
      </c>
      <c r="N2243" t="s">
        <v>26</v>
      </c>
      <c r="O2243" t="s">
        <v>25</v>
      </c>
      <c r="P2243">
        <v>2.08</v>
      </c>
      <c r="Q2243" t="s">
        <v>34</v>
      </c>
      <c r="R2243">
        <v>4.3899999999999997</v>
      </c>
      <c r="S2243" t="s">
        <v>47</v>
      </c>
      <c r="T2243" t="str">
        <f t="shared" ref="T2243:T2306" si="70">IF(AND(G2243&lt;0.4,H2243&gt;=0.7),"Very High",
IF(AND(G2243&gt;=0.7,H2243&lt;0.5),"Very Low",
IF(G2243&lt;H2243,"High","Moderate")))</f>
        <v>Moderate</v>
      </c>
      <c r="U2243" t="str">
        <f t="shared" ref="U2243:U2306" si="71">_xlfn.IFS(F2243&lt;=2,"Beginner",F2243&lt;=8,"Intermediate",F2243&lt;=15,"Experienced",F2243&lt;=25,"Expert")</f>
        <v>Intermediate</v>
      </c>
    </row>
    <row r="2244" spans="1:21" x14ac:dyDescent="0.35">
      <c r="A2244" t="s">
        <v>2317</v>
      </c>
      <c r="B2244" t="s">
        <v>102</v>
      </c>
      <c r="C2244" t="s">
        <v>46</v>
      </c>
      <c r="D2244" t="s">
        <v>69</v>
      </c>
      <c r="E2244" t="s">
        <v>70</v>
      </c>
      <c r="F2244">
        <v>25</v>
      </c>
      <c r="G2244">
        <v>0.36</v>
      </c>
      <c r="H2244">
        <v>0.41</v>
      </c>
      <c r="I2244" t="s">
        <v>60</v>
      </c>
      <c r="J2244">
        <v>121020</v>
      </c>
      <c r="K2244" t="s">
        <v>25</v>
      </c>
      <c r="L2244">
        <v>17</v>
      </c>
      <c r="M2244">
        <v>36</v>
      </c>
      <c r="N2244" t="s">
        <v>26</v>
      </c>
      <c r="O2244" t="s">
        <v>25</v>
      </c>
      <c r="P2244">
        <v>3.02</v>
      </c>
      <c r="Q2244" t="s">
        <v>24</v>
      </c>
      <c r="R2244">
        <v>2.88</v>
      </c>
      <c r="S2244" t="s">
        <v>47</v>
      </c>
      <c r="T2244" t="str">
        <f t="shared" si="70"/>
        <v>High</v>
      </c>
      <c r="U2244" t="str">
        <f t="shared" si="71"/>
        <v>Expert</v>
      </c>
    </row>
    <row r="2245" spans="1:21" x14ac:dyDescent="0.35">
      <c r="A2245" t="s">
        <v>2318</v>
      </c>
      <c r="B2245" t="s">
        <v>96</v>
      </c>
      <c r="C2245" t="s">
        <v>39</v>
      </c>
      <c r="D2245" t="s">
        <v>59</v>
      </c>
      <c r="E2245" t="s">
        <v>41</v>
      </c>
      <c r="F2245">
        <v>17</v>
      </c>
      <c r="G2245">
        <v>0.2</v>
      </c>
      <c r="H2245">
        <v>0.57999999999999996</v>
      </c>
      <c r="I2245" t="s">
        <v>24</v>
      </c>
      <c r="J2245">
        <v>75948</v>
      </c>
      <c r="K2245" t="s">
        <v>27</v>
      </c>
      <c r="L2245">
        <v>6</v>
      </c>
      <c r="M2245">
        <v>47</v>
      </c>
      <c r="N2245" t="s">
        <v>26</v>
      </c>
      <c r="O2245" t="s">
        <v>27</v>
      </c>
      <c r="P2245">
        <v>2.04</v>
      </c>
      <c r="Q2245" t="s">
        <v>34</v>
      </c>
      <c r="R2245">
        <v>4.5199999999999996</v>
      </c>
      <c r="S2245" t="s">
        <v>47</v>
      </c>
      <c r="T2245" t="str">
        <f t="shared" si="70"/>
        <v>High</v>
      </c>
      <c r="U2245" t="str">
        <f t="shared" si="71"/>
        <v>Expert</v>
      </c>
    </row>
    <row r="2246" spans="1:21" x14ac:dyDescent="0.35">
      <c r="A2246" t="s">
        <v>2319</v>
      </c>
      <c r="B2246" t="s">
        <v>73</v>
      </c>
      <c r="C2246" t="s">
        <v>52</v>
      </c>
      <c r="D2246" t="s">
        <v>63</v>
      </c>
      <c r="E2246" t="s">
        <v>23</v>
      </c>
      <c r="F2246">
        <v>15</v>
      </c>
      <c r="G2246">
        <v>0.32</v>
      </c>
      <c r="H2246">
        <v>0.75</v>
      </c>
      <c r="I2246" t="s">
        <v>24</v>
      </c>
      <c r="J2246">
        <v>90729</v>
      </c>
      <c r="K2246" t="s">
        <v>25</v>
      </c>
      <c r="L2246">
        <v>-4</v>
      </c>
      <c r="M2246">
        <v>34</v>
      </c>
      <c r="N2246" t="s">
        <v>42</v>
      </c>
      <c r="O2246" t="s">
        <v>25</v>
      </c>
      <c r="P2246">
        <v>4.1100000000000003</v>
      </c>
      <c r="Q2246" t="s">
        <v>24</v>
      </c>
      <c r="R2246">
        <v>1</v>
      </c>
      <c r="S2246" t="s">
        <v>28</v>
      </c>
      <c r="T2246" t="str">
        <f t="shared" si="70"/>
        <v>Very High</v>
      </c>
      <c r="U2246" t="str">
        <f t="shared" si="71"/>
        <v>Experienced</v>
      </c>
    </row>
    <row r="2247" spans="1:21" x14ac:dyDescent="0.35">
      <c r="A2247" t="s">
        <v>2320</v>
      </c>
      <c r="B2247" t="s">
        <v>45</v>
      </c>
      <c r="C2247" t="s">
        <v>74</v>
      </c>
      <c r="D2247" t="s">
        <v>32</v>
      </c>
      <c r="E2247" t="s">
        <v>23</v>
      </c>
      <c r="F2247">
        <v>15</v>
      </c>
      <c r="G2247">
        <v>0.93</v>
      </c>
      <c r="H2247">
        <v>0.92</v>
      </c>
      <c r="I2247" t="s">
        <v>24</v>
      </c>
      <c r="J2247">
        <v>63736</v>
      </c>
      <c r="K2247" t="s">
        <v>27</v>
      </c>
      <c r="L2247">
        <v>18</v>
      </c>
      <c r="M2247">
        <v>33</v>
      </c>
      <c r="N2247" t="s">
        <v>35</v>
      </c>
      <c r="O2247" t="s">
        <v>25</v>
      </c>
      <c r="P2247">
        <v>3.36</v>
      </c>
      <c r="Q2247" t="s">
        <v>24</v>
      </c>
      <c r="R2247">
        <v>4.74</v>
      </c>
      <c r="S2247" t="s">
        <v>28</v>
      </c>
      <c r="T2247" t="str">
        <f t="shared" si="70"/>
        <v>Moderate</v>
      </c>
      <c r="U2247" t="str">
        <f t="shared" si="71"/>
        <v>Experienced</v>
      </c>
    </row>
    <row r="2248" spans="1:21" x14ac:dyDescent="0.35">
      <c r="A2248" t="s">
        <v>2321</v>
      </c>
      <c r="B2248" t="s">
        <v>147</v>
      </c>
      <c r="C2248" t="s">
        <v>46</v>
      </c>
      <c r="D2248" t="s">
        <v>66</v>
      </c>
      <c r="E2248" t="s">
        <v>23</v>
      </c>
      <c r="F2248">
        <v>17</v>
      </c>
      <c r="G2248">
        <v>0.14000000000000001</v>
      </c>
      <c r="H2248">
        <v>0.56999999999999995</v>
      </c>
      <c r="I2248" t="s">
        <v>60</v>
      </c>
      <c r="J2248">
        <v>91663</v>
      </c>
      <c r="K2248" t="s">
        <v>42</v>
      </c>
      <c r="L2248">
        <v>2</v>
      </c>
      <c r="M2248">
        <v>50</v>
      </c>
      <c r="N2248" t="s">
        <v>42</v>
      </c>
      <c r="O2248" t="s">
        <v>36</v>
      </c>
      <c r="P2248">
        <v>4.93</v>
      </c>
      <c r="Q2248" t="s">
        <v>34</v>
      </c>
      <c r="R2248">
        <v>1.69</v>
      </c>
      <c r="S2248" t="s">
        <v>43</v>
      </c>
      <c r="T2248" t="str">
        <f t="shared" si="70"/>
        <v>High</v>
      </c>
      <c r="U2248" t="str">
        <f t="shared" si="71"/>
        <v>Expert</v>
      </c>
    </row>
    <row r="2249" spans="1:21" x14ac:dyDescent="0.35">
      <c r="A2249" t="s">
        <v>2322</v>
      </c>
      <c r="B2249" t="s">
        <v>96</v>
      </c>
      <c r="C2249" t="s">
        <v>52</v>
      </c>
      <c r="D2249" t="s">
        <v>75</v>
      </c>
      <c r="E2249" t="s">
        <v>33</v>
      </c>
      <c r="F2249">
        <v>23</v>
      </c>
      <c r="G2249">
        <v>0.66</v>
      </c>
      <c r="H2249">
        <v>0.65</v>
      </c>
      <c r="I2249" t="s">
        <v>24</v>
      </c>
      <c r="J2249">
        <v>53183</v>
      </c>
      <c r="K2249" t="s">
        <v>27</v>
      </c>
      <c r="L2249">
        <v>31</v>
      </c>
      <c r="M2249">
        <v>37</v>
      </c>
      <c r="N2249" t="s">
        <v>26</v>
      </c>
      <c r="O2249" t="s">
        <v>36</v>
      </c>
      <c r="P2249">
        <v>4.22</v>
      </c>
      <c r="Q2249" t="s">
        <v>24</v>
      </c>
      <c r="R2249">
        <v>1.4</v>
      </c>
      <c r="S2249" t="s">
        <v>28</v>
      </c>
      <c r="T2249" t="str">
        <f t="shared" si="70"/>
        <v>Moderate</v>
      </c>
      <c r="U2249" t="str">
        <f t="shared" si="71"/>
        <v>Expert</v>
      </c>
    </row>
    <row r="2250" spans="1:21" x14ac:dyDescent="0.35">
      <c r="A2250" t="s">
        <v>2323</v>
      </c>
      <c r="B2250" t="s">
        <v>68</v>
      </c>
      <c r="C2250" t="s">
        <v>46</v>
      </c>
      <c r="D2250" t="s">
        <v>22</v>
      </c>
      <c r="E2250" t="s">
        <v>23</v>
      </c>
      <c r="F2250">
        <v>23</v>
      </c>
      <c r="G2250">
        <v>0.77</v>
      </c>
      <c r="H2250">
        <v>0.84</v>
      </c>
      <c r="I2250" t="s">
        <v>60</v>
      </c>
      <c r="J2250">
        <v>122051</v>
      </c>
      <c r="K2250" t="s">
        <v>27</v>
      </c>
      <c r="L2250">
        <v>37</v>
      </c>
      <c r="M2250">
        <v>37</v>
      </c>
      <c r="N2250" t="s">
        <v>35</v>
      </c>
      <c r="O2250" t="s">
        <v>25</v>
      </c>
      <c r="P2250">
        <v>2.17</v>
      </c>
      <c r="Q2250" t="s">
        <v>34</v>
      </c>
      <c r="R2250">
        <v>2.95</v>
      </c>
      <c r="S2250" t="s">
        <v>43</v>
      </c>
      <c r="T2250" t="str">
        <f t="shared" si="70"/>
        <v>High</v>
      </c>
      <c r="U2250" t="str">
        <f t="shared" si="71"/>
        <v>Expert</v>
      </c>
    </row>
    <row r="2251" spans="1:21" x14ac:dyDescent="0.35">
      <c r="A2251" t="s">
        <v>2324</v>
      </c>
      <c r="B2251" t="s">
        <v>77</v>
      </c>
      <c r="C2251" t="s">
        <v>74</v>
      </c>
      <c r="D2251" t="s">
        <v>59</v>
      </c>
      <c r="E2251" t="s">
        <v>33</v>
      </c>
      <c r="F2251">
        <v>25</v>
      </c>
      <c r="G2251">
        <v>0.13</v>
      </c>
      <c r="H2251">
        <v>0.7</v>
      </c>
      <c r="I2251" t="s">
        <v>60</v>
      </c>
      <c r="J2251">
        <v>198412</v>
      </c>
      <c r="K2251" t="s">
        <v>42</v>
      </c>
      <c r="L2251">
        <v>-5</v>
      </c>
      <c r="M2251">
        <v>42</v>
      </c>
      <c r="N2251" t="s">
        <v>35</v>
      </c>
      <c r="O2251" t="s">
        <v>27</v>
      </c>
      <c r="P2251">
        <v>4.45</v>
      </c>
      <c r="Q2251" t="s">
        <v>24</v>
      </c>
      <c r="R2251">
        <v>2.74</v>
      </c>
      <c r="S2251" t="s">
        <v>28</v>
      </c>
      <c r="T2251" t="str">
        <f t="shared" si="70"/>
        <v>Very High</v>
      </c>
      <c r="U2251" t="str">
        <f t="shared" si="71"/>
        <v>Expert</v>
      </c>
    </row>
    <row r="2252" spans="1:21" x14ac:dyDescent="0.35">
      <c r="A2252" t="s">
        <v>2325</v>
      </c>
      <c r="B2252" t="s">
        <v>156</v>
      </c>
      <c r="C2252" t="s">
        <v>46</v>
      </c>
      <c r="D2252" t="s">
        <v>80</v>
      </c>
      <c r="E2252" t="s">
        <v>41</v>
      </c>
      <c r="F2252">
        <v>11</v>
      </c>
      <c r="G2252">
        <v>0.1</v>
      </c>
      <c r="H2252">
        <v>0.85</v>
      </c>
      <c r="I2252" t="s">
        <v>24</v>
      </c>
      <c r="J2252">
        <v>80597</v>
      </c>
      <c r="K2252" t="s">
        <v>27</v>
      </c>
      <c r="L2252">
        <v>23</v>
      </c>
      <c r="M2252">
        <v>36</v>
      </c>
      <c r="N2252" t="s">
        <v>42</v>
      </c>
      <c r="O2252" t="s">
        <v>25</v>
      </c>
      <c r="P2252">
        <v>2.82</v>
      </c>
      <c r="Q2252" t="s">
        <v>24</v>
      </c>
      <c r="R2252">
        <v>2.63</v>
      </c>
      <c r="S2252" t="s">
        <v>43</v>
      </c>
      <c r="T2252" t="str">
        <f t="shared" si="70"/>
        <v>Very High</v>
      </c>
      <c r="U2252" t="str">
        <f t="shared" si="71"/>
        <v>Experienced</v>
      </c>
    </row>
    <row r="2253" spans="1:21" x14ac:dyDescent="0.35">
      <c r="A2253" t="s">
        <v>2326</v>
      </c>
      <c r="B2253" t="s">
        <v>62</v>
      </c>
      <c r="C2253" t="s">
        <v>107</v>
      </c>
      <c r="D2253" t="s">
        <v>32</v>
      </c>
      <c r="E2253" t="s">
        <v>70</v>
      </c>
      <c r="F2253">
        <v>22</v>
      </c>
      <c r="G2253">
        <v>0.88</v>
      </c>
      <c r="H2253">
        <v>0.96</v>
      </c>
      <c r="I2253" t="s">
        <v>34</v>
      </c>
      <c r="J2253">
        <v>95228</v>
      </c>
      <c r="K2253" t="s">
        <v>25</v>
      </c>
      <c r="L2253">
        <v>35</v>
      </c>
      <c r="M2253">
        <v>43</v>
      </c>
      <c r="N2253" t="s">
        <v>42</v>
      </c>
      <c r="O2253" t="s">
        <v>36</v>
      </c>
      <c r="P2253">
        <v>2.4300000000000002</v>
      </c>
      <c r="Q2253" t="s">
        <v>34</v>
      </c>
      <c r="R2253">
        <v>3.98</v>
      </c>
      <c r="S2253" t="s">
        <v>47</v>
      </c>
      <c r="T2253" t="str">
        <f t="shared" si="70"/>
        <v>High</v>
      </c>
      <c r="U2253" t="str">
        <f t="shared" si="71"/>
        <v>Expert</v>
      </c>
    </row>
    <row r="2254" spans="1:21" x14ac:dyDescent="0.35">
      <c r="A2254" t="s">
        <v>2327</v>
      </c>
      <c r="B2254" t="s">
        <v>106</v>
      </c>
      <c r="C2254" t="s">
        <v>52</v>
      </c>
      <c r="D2254" t="s">
        <v>80</v>
      </c>
      <c r="E2254" t="s">
        <v>33</v>
      </c>
      <c r="F2254">
        <v>23</v>
      </c>
      <c r="G2254">
        <v>0.32</v>
      </c>
      <c r="H2254">
        <v>0.68</v>
      </c>
      <c r="I2254" t="s">
        <v>34</v>
      </c>
      <c r="J2254">
        <v>82701</v>
      </c>
      <c r="K2254" t="s">
        <v>27</v>
      </c>
      <c r="L2254">
        <v>20</v>
      </c>
      <c r="M2254">
        <v>30</v>
      </c>
      <c r="N2254" t="s">
        <v>26</v>
      </c>
      <c r="O2254" t="s">
        <v>27</v>
      </c>
      <c r="P2254">
        <v>4.8499999999999996</v>
      </c>
      <c r="Q2254" t="s">
        <v>24</v>
      </c>
      <c r="R2254">
        <v>3.33</v>
      </c>
      <c r="S2254" t="s">
        <v>43</v>
      </c>
      <c r="T2254" t="str">
        <f t="shared" si="70"/>
        <v>High</v>
      </c>
      <c r="U2254" t="str">
        <f t="shared" si="71"/>
        <v>Expert</v>
      </c>
    </row>
    <row r="2255" spans="1:21" x14ac:dyDescent="0.35">
      <c r="A2255" t="s">
        <v>2328</v>
      </c>
      <c r="B2255" t="s">
        <v>106</v>
      </c>
      <c r="C2255" t="s">
        <v>52</v>
      </c>
      <c r="D2255" t="s">
        <v>32</v>
      </c>
      <c r="E2255" t="s">
        <v>23</v>
      </c>
      <c r="F2255">
        <v>15</v>
      </c>
      <c r="G2255">
        <v>0.55000000000000004</v>
      </c>
      <c r="H2255">
        <v>0.48</v>
      </c>
      <c r="I2255" t="s">
        <v>24</v>
      </c>
      <c r="J2255">
        <v>167943</v>
      </c>
      <c r="K2255" t="s">
        <v>25</v>
      </c>
      <c r="L2255">
        <v>-4</v>
      </c>
      <c r="M2255">
        <v>57</v>
      </c>
      <c r="N2255" t="s">
        <v>35</v>
      </c>
      <c r="O2255" t="s">
        <v>36</v>
      </c>
      <c r="P2255">
        <v>3.56</v>
      </c>
      <c r="Q2255" t="s">
        <v>24</v>
      </c>
      <c r="R2255">
        <v>3.68</v>
      </c>
      <c r="S2255" t="s">
        <v>28</v>
      </c>
      <c r="T2255" t="str">
        <f t="shared" si="70"/>
        <v>Moderate</v>
      </c>
      <c r="U2255" t="str">
        <f t="shared" si="71"/>
        <v>Experienced</v>
      </c>
    </row>
    <row r="2256" spans="1:21" x14ac:dyDescent="0.35">
      <c r="A2256" t="s">
        <v>2329</v>
      </c>
      <c r="B2256" t="s">
        <v>54</v>
      </c>
      <c r="C2256" t="s">
        <v>107</v>
      </c>
      <c r="D2256" t="s">
        <v>69</v>
      </c>
      <c r="E2256" t="s">
        <v>70</v>
      </c>
      <c r="F2256">
        <v>22</v>
      </c>
      <c r="G2256">
        <v>0.77</v>
      </c>
      <c r="H2256">
        <v>0.69</v>
      </c>
      <c r="I2256" t="s">
        <v>24</v>
      </c>
      <c r="J2256">
        <v>96141</v>
      </c>
      <c r="K2256" t="s">
        <v>25</v>
      </c>
      <c r="L2256">
        <v>9</v>
      </c>
      <c r="M2256">
        <v>42</v>
      </c>
      <c r="N2256" t="s">
        <v>26</v>
      </c>
      <c r="O2256" t="s">
        <v>36</v>
      </c>
      <c r="P2256">
        <v>3.55</v>
      </c>
      <c r="Q2256" t="s">
        <v>34</v>
      </c>
      <c r="R2256">
        <v>4.76</v>
      </c>
      <c r="S2256" t="s">
        <v>47</v>
      </c>
      <c r="T2256" t="str">
        <f t="shared" si="70"/>
        <v>Moderate</v>
      </c>
      <c r="U2256" t="str">
        <f t="shared" si="71"/>
        <v>Expert</v>
      </c>
    </row>
    <row r="2257" spans="1:21" x14ac:dyDescent="0.35">
      <c r="A2257" t="s">
        <v>2330</v>
      </c>
      <c r="B2257" t="s">
        <v>106</v>
      </c>
      <c r="C2257" t="s">
        <v>55</v>
      </c>
      <c r="D2257" t="s">
        <v>66</v>
      </c>
      <c r="E2257" t="s">
        <v>70</v>
      </c>
      <c r="F2257">
        <v>8</v>
      </c>
      <c r="G2257">
        <v>0.14000000000000001</v>
      </c>
      <c r="H2257">
        <v>0.49</v>
      </c>
      <c r="I2257" t="s">
        <v>60</v>
      </c>
      <c r="J2257">
        <v>202241</v>
      </c>
      <c r="K2257" t="s">
        <v>42</v>
      </c>
      <c r="L2257">
        <v>-9</v>
      </c>
      <c r="M2257">
        <v>52</v>
      </c>
      <c r="N2257" t="s">
        <v>26</v>
      </c>
      <c r="O2257" t="s">
        <v>36</v>
      </c>
      <c r="P2257">
        <v>2.02</v>
      </c>
      <c r="Q2257" t="s">
        <v>24</v>
      </c>
      <c r="R2257">
        <v>2.42</v>
      </c>
      <c r="S2257" t="s">
        <v>43</v>
      </c>
      <c r="T2257" t="str">
        <f t="shared" si="70"/>
        <v>High</v>
      </c>
      <c r="U2257" t="str">
        <f t="shared" si="71"/>
        <v>Intermediate</v>
      </c>
    </row>
    <row r="2258" spans="1:21" x14ac:dyDescent="0.35">
      <c r="A2258" t="s">
        <v>2331</v>
      </c>
      <c r="B2258" t="s">
        <v>62</v>
      </c>
      <c r="C2258" t="s">
        <v>21</v>
      </c>
      <c r="D2258" t="s">
        <v>59</v>
      </c>
      <c r="E2258" t="s">
        <v>33</v>
      </c>
      <c r="F2258">
        <v>3</v>
      </c>
      <c r="G2258">
        <v>0.43</v>
      </c>
      <c r="H2258">
        <v>0.62</v>
      </c>
      <c r="I2258" t="s">
        <v>24</v>
      </c>
      <c r="J2258">
        <v>165700</v>
      </c>
      <c r="K2258" t="s">
        <v>42</v>
      </c>
      <c r="L2258">
        <v>17</v>
      </c>
      <c r="M2258">
        <v>31</v>
      </c>
      <c r="N2258" t="s">
        <v>42</v>
      </c>
      <c r="O2258" t="s">
        <v>27</v>
      </c>
      <c r="P2258">
        <v>4.32</v>
      </c>
      <c r="Q2258" t="s">
        <v>24</v>
      </c>
      <c r="R2258">
        <v>2.4</v>
      </c>
      <c r="S2258" t="s">
        <v>43</v>
      </c>
      <c r="T2258" t="str">
        <f t="shared" si="70"/>
        <v>High</v>
      </c>
      <c r="U2258" t="str">
        <f t="shared" si="71"/>
        <v>Intermediate</v>
      </c>
    </row>
    <row r="2259" spans="1:21" x14ac:dyDescent="0.35">
      <c r="A2259" t="s">
        <v>2332</v>
      </c>
      <c r="B2259" t="s">
        <v>20</v>
      </c>
      <c r="C2259" t="s">
        <v>21</v>
      </c>
      <c r="D2259" t="s">
        <v>69</v>
      </c>
      <c r="E2259" t="s">
        <v>41</v>
      </c>
      <c r="F2259">
        <v>21</v>
      </c>
      <c r="G2259">
        <v>0.31</v>
      </c>
      <c r="H2259">
        <v>0.95</v>
      </c>
      <c r="I2259" t="s">
        <v>24</v>
      </c>
      <c r="J2259">
        <v>171841</v>
      </c>
      <c r="K2259" t="s">
        <v>42</v>
      </c>
      <c r="L2259">
        <v>41</v>
      </c>
      <c r="M2259">
        <v>37</v>
      </c>
      <c r="N2259" t="s">
        <v>42</v>
      </c>
      <c r="O2259" t="s">
        <v>25</v>
      </c>
      <c r="P2259">
        <v>3.46</v>
      </c>
      <c r="Q2259" t="s">
        <v>34</v>
      </c>
      <c r="R2259">
        <v>2.25</v>
      </c>
      <c r="S2259" t="s">
        <v>47</v>
      </c>
      <c r="T2259" t="str">
        <f t="shared" si="70"/>
        <v>Very High</v>
      </c>
      <c r="U2259" t="str">
        <f t="shared" si="71"/>
        <v>Expert</v>
      </c>
    </row>
    <row r="2260" spans="1:21" x14ac:dyDescent="0.35">
      <c r="A2260" t="s">
        <v>2333</v>
      </c>
      <c r="B2260" t="s">
        <v>57</v>
      </c>
      <c r="C2260" t="s">
        <v>46</v>
      </c>
      <c r="D2260" t="s">
        <v>40</v>
      </c>
      <c r="E2260" t="s">
        <v>33</v>
      </c>
      <c r="F2260">
        <v>18</v>
      </c>
      <c r="G2260">
        <v>0.14000000000000001</v>
      </c>
      <c r="H2260">
        <v>0.73</v>
      </c>
      <c r="I2260" t="s">
        <v>60</v>
      </c>
      <c r="J2260">
        <v>151235</v>
      </c>
      <c r="K2260" t="s">
        <v>27</v>
      </c>
      <c r="L2260">
        <v>5</v>
      </c>
      <c r="M2260">
        <v>60</v>
      </c>
      <c r="N2260" t="s">
        <v>42</v>
      </c>
      <c r="O2260" t="s">
        <v>27</v>
      </c>
      <c r="P2260">
        <v>2.75</v>
      </c>
      <c r="Q2260" t="s">
        <v>24</v>
      </c>
      <c r="R2260">
        <v>3.7</v>
      </c>
      <c r="S2260" t="s">
        <v>47</v>
      </c>
      <c r="T2260" t="str">
        <f t="shared" si="70"/>
        <v>Very High</v>
      </c>
      <c r="U2260" t="str">
        <f t="shared" si="71"/>
        <v>Expert</v>
      </c>
    </row>
    <row r="2261" spans="1:21" x14ac:dyDescent="0.35">
      <c r="A2261" t="s">
        <v>2334</v>
      </c>
      <c r="B2261" t="s">
        <v>65</v>
      </c>
      <c r="C2261" t="s">
        <v>74</v>
      </c>
      <c r="D2261" t="s">
        <v>59</v>
      </c>
      <c r="E2261" t="s">
        <v>41</v>
      </c>
      <c r="F2261">
        <v>18</v>
      </c>
      <c r="G2261">
        <v>0.68</v>
      </c>
      <c r="H2261">
        <v>0.92</v>
      </c>
      <c r="I2261" t="s">
        <v>24</v>
      </c>
      <c r="J2261">
        <v>130971</v>
      </c>
      <c r="K2261" t="s">
        <v>27</v>
      </c>
      <c r="L2261">
        <v>18</v>
      </c>
      <c r="M2261">
        <v>39</v>
      </c>
      <c r="N2261" t="s">
        <v>42</v>
      </c>
      <c r="O2261" t="s">
        <v>36</v>
      </c>
      <c r="P2261">
        <v>3.71</v>
      </c>
      <c r="Q2261" t="s">
        <v>34</v>
      </c>
      <c r="R2261">
        <v>1.06</v>
      </c>
      <c r="S2261" t="s">
        <v>28</v>
      </c>
      <c r="T2261" t="str">
        <f t="shared" si="70"/>
        <v>High</v>
      </c>
      <c r="U2261" t="str">
        <f t="shared" si="71"/>
        <v>Expert</v>
      </c>
    </row>
    <row r="2262" spans="1:21" x14ac:dyDescent="0.35">
      <c r="A2262" t="s">
        <v>2335</v>
      </c>
      <c r="B2262" t="s">
        <v>54</v>
      </c>
      <c r="C2262" t="s">
        <v>21</v>
      </c>
      <c r="D2262" t="s">
        <v>22</v>
      </c>
      <c r="E2262" t="s">
        <v>23</v>
      </c>
      <c r="F2262">
        <v>10</v>
      </c>
      <c r="G2262">
        <v>0.2</v>
      </c>
      <c r="H2262">
        <v>0.7</v>
      </c>
      <c r="I2262" t="s">
        <v>60</v>
      </c>
      <c r="J2262">
        <v>135475</v>
      </c>
      <c r="K2262" t="s">
        <v>27</v>
      </c>
      <c r="L2262">
        <v>8</v>
      </c>
      <c r="M2262">
        <v>31</v>
      </c>
      <c r="N2262" t="s">
        <v>35</v>
      </c>
      <c r="O2262" t="s">
        <v>27</v>
      </c>
      <c r="P2262">
        <v>3.7</v>
      </c>
      <c r="Q2262" t="s">
        <v>34</v>
      </c>
      <c r="R2262">
        <v>2.68</v>
      </c>
      <c r="S2262" t="s">
        <v>43</v>
      </c>
      <c r="T2262" t="str">
        <f t="shared" si="70"/>
        <v>Very High</v>
      </c>
      <c r="U2262" t="str">
        <f t="shared" si="71"/>
        <v>Experienced</v>
      </c>
    </row>
    <row r="2263" spans="1:21" x14ac:dyDescent="0.35">
      <c r="A2263" t="s">
        <v>2336</v>
      </c>
      <c r="B2263" t="s">
        <v>20</v>
      </c>
      <c r="C2263" t="s">
        <v>52</v>
      </c>
      <c r="D2263" t="s">
        <v>63</v>
      </c>
      <c r="E2263" t="s">
        <v>23</v>
      </c>
      <c r="F2263">
        <v>5</v>
      </c>
      <c r="G2263">
        <v>0.52</v>
      </c>
      <c r="H2263">
        <v>0.93</v>
      </c>
      <c r="I2263" t="s">
        <v>34</v>
      </c>
      <c r="J2263">
        <v>92390</v>
      </c>
      <c r="K2263" t="s">
        <v>25</v>
      </c>
      <c r="L2263">
        <v>-10</v>
      </c>
      <c r="M2263">
        <v>47</v>
      </c>
      <c r="N2263" t="s">
        <v>35</v>
      </c>
      <c r="O2263" t="s">
        <v>36</v>
      </c>
      <c r="P2263">
        <v>3.74</v>
      </c>
      <c r="Q2263" t="s">
        <v>24</v>
      </c>
      <c r="R2263">
        <v>3.68</v>
      </c>
      <c r="S2263" t="s">
        <v>47</v>
      </c>
      <c r="T2263" t="str">
        <f t="shared" si="70"/>
        <v>High</v>
      </c>
      <c r="U2263" t="str">
        <f t="shared" si="71"/>
        <v>Intermediate</v>
      </c>
    </row>
    <row r="2264" spans="1:21" x14ac:dyDescent="0.35">
      <c r="A2264" t="s">
        <v>2337</v>
      </c>
      <c r="B2264" t="s">
        <v>20</v>
      </c>
      <c r="C2264" t="s">
        <v>82</v>
      </c>
      <c r="D2264" t="s">
        <v>80</v>
      </c>
      <c r="E2264" t="s">
        <v>23</v>
      </c>
      <c r="F2264">
        <v>16</v>
      </c>
      <c r="G2264">
        <v>0.05</v>
      </c>
      <c r="H2264">
        <v>0.93</v>
      </c>
      <c r="I2264" t="s">
        <v>60</v>
      </c>
      <c r="J2264">
        <v>149554</v>
      </c>
      <c r="K2264" t="s">
        <v>42</v>
      </c>
      <c r="L2264">
        <v>30</v>
      </c>
      <c r="M2264">
        <v>35</v>
      </c>
      <c r="N2264" t="s">
        <v>26</v>
      </c>
      <c r="O2264" t="s">
        <v>27</v>
      </c>
      <c r="P2264">
        <v>4.54</v>
      </c>
      <c r="Q2264" t="s">
        <v>24</v>
      </c>
      <c r="R2264">
        <v>1.2</v>
      </c>
      <c r="S2264" t="s">
        <v>47</v>
      </c>
      <c r="T2264" t="str">
        <f t="shared" si="70"/>
        <v>Very High</v>
      </c>
      <c r="U2264" t="str">
        <f t="shared" si="71"/>
        <v>Expert</v>
      </c>
    </row>
    <row r="2265" spans="1:21" x14ac:dyDescent="0.35">
      <c r="A2265" t="s">
        <v>2338</v>
      </c>
      <c r="B2265" t="s">
        <v>38</v>
      </c>
      <c r="C2265" t="s">
        <v>82</v>
      </c>
      <c r="D2265" t="s">
        <v>32</v>
      </c>
      <c r="E2265" t="s">
        <v>33</v>
      </c>
      <c r="F2265">
        <v>22</v>
      </c>
      <c r="G2265">
        <v>0.94</v>
      </c>
      <c r="H2265">
        <v>0.63</v>
      </c>
      <c r="I2265" t="s">
        <v>60</v>
      </c>
      <c r="J2265">
        <v>141175</v>
      </c>
      <c r="K2265" t="s">
        <v>42</v>
      </c>
      <c r="L2265">
        <v>14</v>
      </c>
      <c r="M2265">
        <v>60</v>
      </c>
      <c r="N2265" t="s">
        <v>26</v>
      </c>
      <c r="O2265" t="s">
        <v>36</v>
      </c>
      <c r="P2265">
        <v>2.5</v>
      </c>
      <c r="Q2265" t="s">
        <v>34</v>
      </c>
      <c r="R2265">
        <v>2.08</v>
      </c>
      <c r="S2265" t="s">
        <v>43</v>
      </c>
      <c r="T2265" t="str">
        <f t="shared" si="70"/>
        <v>Moderate</v>
      </c>
      <c r="U2265" t="str">
        <f t="shared" si="71"/>
        <v>Expert</v>
      </c>
    </row>
    <row r="2266" spans="1:21" x14ac:dyDescent="0.35">
      <c r="A2266" t="s">
        <v>2339</v>
      </c>
      <c r="B2266" t="s">
        <v>91</v>
      </c>
      <c r="C2266" t="s">
        <v>82</v>
      </c>
      <c r="D2266" t="s">
        <v>22</v>
      </c>
      <c r="E2266" t="s">
        <v>33</v>
      </c>
      <c r="F2266">
        <v>22</v>
      </c>
      <c r="G2266">
        <v>0.05</v>
      </c>
      <c r="H2266">
        <v>0.82</v>
      </c>
      <c r="I2266" t="s">
        <v>60</v>
      </c>
      <c r="J2266">
        <v>63263</v>
      </c>
      <c r="K2266" t="s">
        <v>42</v>
      </c>
      <c r="L2266">
        <v>44</v>
      </c>
      <c r="M2266">
        <v>56</v>
      </c>
      <c r="N2266" t="s">
        <v>35</v>
      </c>
      <c r="O2266" t="s">
        <v>27</v>
      </c>
      <c r="P2266">
        <v>3.68</v>
      </c>
      <c r="Q2266" t="s">
        <v>24</v>
      </c>
      <c r="R2266">
        <v>2.33</v>
      </c>
      <c r="S2266" t="s">
        <v>47</v>
      </c>
      <c r="T2266" t="str">
        <f t="shared" si="70"/>
        <v>Very High</v>
      </c>
      <c r="U2266" t="str">
        <f t="shared" si="71"/>
        <v>Expert</v>
      </c>
    </row>
    <row r="2267" spans="1:21" x14ac:dyDescent="0.35">
      <c r="A2267" t="s">
        <v>2340</v>
      </c>
      <c r="B2267" t="s">
        <v>89</v>
      </c>
      <c r="C2267" t="s">
        <v>31</v>
      </c>
      <c r="D2267" t="s">
        <v>22</v>
      </c>
      <c r="E2267" t="s">
        <v>70</v>
      </c>
      <c r="F2267">
        <v>11</v>
      </c>
      <c r="G2267">
        <v>0.74</v>
      </c>
      <c r="H2267">
        <v>0.7</v>
      </c>
      <c r="I2267" t="s">
        <v>60</v>
      </c>
      <c r="J2267">
        <v>171717</v>
      </c>
      <c r="K2267" t="s">
        <v>25</v>
      </c>
      <c r="L2267">
        <v>-7</v>
      </c>
      <c r="M2267">
        <v>49</v>
      </c>
      <c r="N2267" t="s">
        <v>35</v>
      </c>
      <c r="O2267" t="s">
        <v>27</v>
      </c>
      <c r="P2267">
        <v>2.69</v>
      </c>
      <c r="Q2267" t="s">
        <v>24</v>
      </c>
      <c r="R2267">
        <v>2.44</v>
      </c>
      <c r="S2267" t="s">
        <v>28</v>
      </c>
      <c r="T2267" t="str">
        <f t="shared" si="70"/>
        <v>Moderate</v>
      </c>
      <c r="U2267" t="str">
        <f t="shared" si="71"/>
        <v>Experienced</v>
      </c>
    </row>
    <row r="2268" spans="1:21" x14ac:dyDescent="0.35">
      <c r="A2268" t="s">
        <v>2341</v>
      </c>
      <c r="B2268" t="s">
        <v>68</v>
      </c>
      <c r="C2268" t="s">
        <v>52</v>
      </c>
      <c r="D2268" t="s">
        <v>40</v>
      </c>
      <c r="E2268" t="s">
        <v>41</v>
      </c>
      <c r="F2268">
        <v>11</v>
      </c>
      <c r="G2268">
        <v>0.64</v>
      </c>
      <c r="H2268">
        <v>0.71</v>
      </c>
      <c r="I2268" t="s">
        <v>34</v>
      </c>
      <c r="J2268">
        <v>189640</v>
      </c>
      <c r="K2268" t="s">
        <v>27</v>
      </c>
      <c r="L2268">
        <v>21</v>
      </c>
      <c r="M2268">
        <v>41</v>
      </c>
      <c r="N2268" t="s">
        <v>35</v>
      </c>
      <c r="O2268" t="s">
        <v>25</v>
      </c>
      <c r="P2268">
        <v>4.09</v>
      </c>
      <c r="Q2268" t="s">
        <v>24</v>
      </c>
      <c r="R2268">
        <v>3.35</v>
      </c>
      <c r="S2268" t="s">
        <v>47</v>
      </c>
      <c r="T2268" t="str">
        <f t="shared" si="70"/>
        <v>High</v>
      </c>
      <c r="U2268" t="str">
        <f t="shared" si="71"/>
        <v>Experienced</v>
      </c>
    </row>
    <row r="2269" spans="1:21" x14ac:dyDescent="0.35">
      <c r="A2269" t="s">
        <v>2342</v>
      </c>
      <c r="B2269" t="s">
        <v>73</v>
      </c>
      <c r="C2269" t="s">
        <v>82</v>
      </c>
      <c r="D2269" t="s">
        <v>49</v>
      </c>
      <c r="E2269" t="s">
        <v>41</v>
      </c>
      <c r="F2269">
        <v>8</v>
      </c>
      <c r="G2269">
        <v>0.56000000000000005</v>
      </c>
      <c r="H2269">
        <v>0.7</v>
      </c>
      <c r="I2269" t="s">
        <v>34</v>
      </c>
      <c r="J2269">
        <v>71111</v>
      </c>
      <c r="K2269" t="s">
        <v>42</v>
      </c>
      <c r="L2269">
        <v>24</v>
      </c>
      <c r="M2269">
        <v>32</v>
      </c>
      <c r="N2269" t="s">
        <v>35</v>
      </c>
      <c r="O2269" t="s">
        <v>27</v>
      </c>
      <c r="P2269">
        <v>4.8600000000000003</v>
      </c>
      <c r="Q2269" t="s">
        <v>24</v>
      </c>
      <c r="R2269">
        <v>2.89</v>
      </c>
      <c r="S2269" t="s">
        <v>47</v>
      </c>
      <c r="T2269" t="str">
        <f t="shared" si="70"/>
        <v>High</v>
      </c>
      <c r="U2269" t="str">
        <f t="shared" si="71"/>
        <v>Intermediate</v>
      </c>
    </row>
    <row r="2270" spans="1:21" x14ac:dyDescent="0.35">
      <c r="A2270" t="s">
        <v>2343</v>
      </c>
      <c r="B2270" t="s">
        <v>73</v>
      </c>
      <c r="C2270" t="s">
        <v>46</v>
      </c>
      <c r="D2270" t="s">
        <v>32</v>
      </c>
      <c r="E2270" t="s">
        <v>23</v>
      </c>
      <c r="F2270">
        <v>5</v>
      </c>
      <c r="G2270">
        <v>0.49</v>
      </c>
      <c r="H2270">
        <v>0.66</v>
      </c>
      <c r="I2270" t="s">
        <v>60</v>
      </c>
      <c r="J2270">
        <v>41252</v>
      </c>
      <c r="K2270" t="s">
        <v>27</v>
      </c>
      <c r="L2270">
        <v>15</v>
      </c>
      <c r="M2270">
        <v>41</v>
      </c>
      <c r="N2270" t="s">
        <v>26</v>
      </c>
      <c r="O2270" t="s">
        <v>27</v>
      </c>
      <c r="P2270">
        <v>4.5199999999999996</v>
      </c>
      <c r="Q2270" t="s">
        <v>34</v>
      </c>
      <c r="R2270">
        <v>3.63</v>
      </c>
      <c r="S2270" t="s">
        <v>47</v>
      </c>
      <c r="T2270" t="str">
        <f t="shared" si="70"/>
        <v>High</v>
      </c>
      <c r="U2270" t="str">
        <f t="shared" si="71"/>
        <v>Intermediate</v>
      </c>
    </row>
    <row r="2271" spans="1:21" x14ac:dyDescent="0.35">
      <c r="A2271" t="s">
        <v>2344</v>
      </c>
      <c r="B2271" t="s">
        <v>89</v>
      </c>
      <c r="C2271" t="s">
        <v>31</v>
      </c>
      <c r="D2271" t="s">
        <v>59</v>
      </c>
      <c r="E2271" t="s">
        <v>70</v>
      </c>
      <c r="F2271">
        <v>14</v>
      </c>
      <c r="G2271">
        <v>0.46</v>
      </c>
      <c r="H2271">
        <v>0.22</v>
      </c>
      <c r="I2271" t="s">
        <v>34</v>
      </c>
      <c r="J2271">
        <v>179381</v>
      </c>
      <c r="K2271" t="s">
        <v>27</v>
      </c>
      <c r="L2271">
        <v>-1</v>
      </c>
      <c r="M2271">
        <v>51</v>
      </c>
      <c r="N2271" t="s">
        <v>26</v>
      </c>
      <c r="O2271" t="s">
        <v>25</v>
      </c>
      <c r="P2271">
        <v>2.99</v>
      </c>
      <c r="Q2271" t="s">
        <v>34</v>
      </c>
      <c r="R2271">
        <v>4.49</v>
      </c>
      <c r="S2271" t="s">
        <v>43</v>
      </c>
      <c r="T2271" t="str">
        <f t="shared" si="70"/>
        <v>Moderate</v>
      </c>
      <c r="U2271" t="str">
        <f t="shared" si="71"/>
        <v>Experienced</v>
      </c>
    </row>
    <row r="2272" spans="1:21" x14ac:dyDescent="0.35">
      <c r="A2272" t="s">
        <v>2345</v>
      </c>
      <c r="B2272" t="s">
        <v>68</v>
      </c>
      <c r="C2272" t="s">
        <v>74</v>
      </c>
      <c r="D2272" t="s">
        <v>80</v>
      </c>
      <c r="E2272" t="s">
        <v>41</v>
      </c>
      <c r="F2272">
        <v>4</v>
      </c>
      <c r="G2272">
        <v>0.79</v>
      </c>
      <c r="H2272">
        <v>0.78</v>
      </c>
      <c r="I2272" t="s">
        <v>24</v>
      </c>
      <c r="J2272">
        <v>30376</v>
      </c>
      <c r="K2272" t="s">
        <v>42</v>
      </c>
      <c r="L2272">
        <v>44</v>
      </c>
      <c r="M2272">
        <v>34</v>
      </c>
      <c r="N2272" t="s">
        <v>42</v>
      </c>
      <c r="O2272" t="s">
        <v>27</v>
      </c>
      <c r="P2272">
        <v>2.56</v>
      </c>
      <c r="Q2272" t="s">
        <v>34</v>
      </c>
      <c r="R2272">
        <v>4.1399999999999997</v>
      </c>
      <c r="S2272" t="s">
        <v>28</v>
      </c>
      <c r="T2272" t="str">
        <f t="shared" si="70"/>
        <v>Moderate</v>
      </c>
      <c r="U2272" t="str">
        <f t="shared" si="71"/>
        <v>Intermediate</v>
      </c>
    </row>
    <row r="2273" spans="1:21" x14ac:dyDescent="0.35">
      <c r="A2273" t="s">
        <v>2346</v>
      </c>
      <c r="B2273" t="s">
        <v>91</v>
      </c>
      <c r="C2273" t="s">
        <v>82</v>
      </c>
      <c r="D2273" t="s">
        <v>66</v>
      </c>
      <c r="E2273" t="s">
        <v>70</v>
      </c>
      <c r="F2273">
        <v>24</v>
      </c>
      <c r="G2273">
        <v>0.15</v>
      </c>
      <c r="H2273">
        <v>0.75</v>
      </c>
      <c r="I2273" t="s">
        <v>34</v>
      </c>
      <c r="J2273">
        <v>133060</v>
      </c>
      <c r="K2273" t="s">
        <v>25</v>
      </c>
      <c r="L2273">
        <v>29</v>
      </c>
      <c r="M2273">
        <v>60</v>
      </c>
      <c r="N2273" t="s">
        <v>42</v>
      </c>
      <c r="O2273" t="s">
        <v>36</v>
      </c>
      <c r="P2273">
        <v>4.07</v>
      </c>
      <c r="Q2273" t="s">
        <v>24</v>
      </c>
      <c r="R2273">
        <v>4.3499999999999996</v>
      </c>
      <c r="S2273" t="s">
        <v>28</v>
      </c>
      <c r="T2273" t="str">
        <f t="shared" si="70"/>
        <v>Very High</v>
      </c>
      <c r="U2273" t="str">
        <f t="shared" si="71"/>
        <v>Expert</v>
      </c>
    </row>
    <row r="2274" spans="1:21" x14ac:dyDescent="0.35">
      <c r="A2274" t="s">
        <v>2347</v>
      </c>
      <c r="B2274" t="s">
        <v>91</v>
      </c>
      <c r="C2274" t="s">
        <v>82</v>
      </c>
      <c r="D2274" t="s">
        <v>80</v>
      </c>
      <c r="E2274" t="s">
        <v>41</v>
      </c>
      <c r="F2274">
        <v>19</v>
      </c>
      <c r="G2274">
        <v>0.9</v>
      </c>
      <c r="H2274">
        <v>0.62</v>
      </c>
      <c r="I2274" t="s">
        <v>24</v>
      </c>
      <c r="J2274">
        <v>117372</v>
      </c>
      <c r="K2274" t="s">
        <v>27</v>
      </c>
      <c r="L2274">
        <v>-7</v>
      </c>
      <c r="M2274">
        <v>31</v>
      </c>
      <c r="N2274" t="s">
        <v>26</v>
      </c>
      <c r="O2274" t="s">
        <v>27</v>
      </c>
      <c r="P2274">
        <v>4.49</v>
      </c>
      <c r="Q2274" t="s">
        <v>24</v>
      </c>
      <c r="R2274">
        <v>2.0699999999999998</v>
      </c>
      <c r="S2274" t="s">
        <v>43</v>
      </c>
      <c r="T2274" t="str">
        <f t="shared" si="70"/>
        <v>Moderate</v>
      </c>
      <c r="U2274" t="str">
        <f t="shared" si="71"/>
        <v>Expert</v>
      </c>
    </row>
    <row r="2275" spans="1:21" x14ac:dyDescent="0.35">
      <c r="A2275" t="s">
        <v>2348</v>
      </c>
      <c r="B2275" t="s">
        <v>106</v>
      </c>
      <c r="C2275" t="s">
        <v>82</v>
      </c>
      <c r="D2275" t="s">
        <v>59</v>
      </c>
      <c r="E2275" t="s">
        <v>41</v>
      </c>
      <c r="F2275">
        <v>10</v>
      </c>
      <c r="G2275">
        <v>0.85</v>
      </c>
      <c r="H2275">
        <v>0.31</v>
      </c>
      <c r="I2275" t="s">
        <v>60</v>
      </c>
      <c r="J2275">
        <v>207722</v>
      </c>
      <c r="K2275" t="s">
        <v>42</v>
      </c>
      <c r="L2275">
        <v>12</v>
      </c>
      <c r="M2275">
        <v>44</v>
      </c>
      <c r="N2275" t="s">
        <v>35</v>
      </c>
      <c r="O2275" t="s">
        <v>25</v>
      </c>
      <c r="P2275">
        <v>4.95</v>
      </c>
      <c r="Q2275" t="s">
        <v>34</v>
      </c>
      <c r="R2275">
        <v>4.97</v>
      </c>
      <c r="S2275" t="s">
        <v>28</v>
      </c>
      <c r="T2275" t="str">
        <f t="shared" si="70"/>
        <v>Very Low</v>
      </c>
      <c r="U2275" t="str">
        <f t="shared" si="71"/>
        <v>Experienced</v>
      </c>
    </row>
    <row r="2276" spans="1:21" x14ac:dyDescent="0.35">
      <c r="A2276" t="s">
        <v>2349</v>
      </c>
      <c r="B2276" t="s">
        <v>147</v>
      </c>
      <c r="C2276" t="s">
        <v>82</v>
      </c>
      <c r="D2276" t="s">
        <v>63</v>
      </c>
      <c r="E2276" t="s">
        <v>23</v>
      </c>
      <c r="F2276">
        <v>17</v>
      </c>
      <c r="G2276">
        <v>0.91</v>
      </c>
      <c r="H2276">
        <v>0.48</v>
      </c>
      <c r="I2276" t="s">
        <v>34</v>
      </c>
      <c r="J2276">
        <v>123645</v>
      </c>
      <c r="K2276" t="s">
        <v>42</v>
      </c>
      <c r="L2276">
        <v>24</v>
      </c>
      <c r="M2276">
        <v>41</v>
      </c>
      <c r="N2276" t="s">
        <v>35</v>
      </c>
      <c r="O2276" t="s">
        <v>27</v>
      </c>
      <c r="P2276">
        <v>4.87</v>
      </c>
      <c r="Q2276" t="s">
        <v>34</v>
      </c>
      <c r="R2276">
        <v>2.0699999999999998</v>
      </c>
      <c r="S2276" t="s">
        <v>28</v>
      </c>
      <c r="T2276" t="str">
        <f t="shared" si="70"/>
        <v>Very Low</v>
      </c>
      <c r="U2276" t="str">
        <f t="shared" si="71"/>
        <v>Expert</v>
      </c>
    </row>
    <row r="2277" spans="1:21" x14ac:dyDescent="0.35">
      <c r="A2277" t="s">
        <v>2350</v>
      </c>
      <c r="B2277" t="s">
        <v>73</v>
      </c>
      <c r="C2277" t="s">
        <v>82</v>
      </c>
      <c r="D2277" t="s">
        <v>63</v>
      </c>
      <c r="E2277" t="s">
        <v>70</v>
      </c>
      <c r="F2277">
        <v>8</v>
      </c>
      <c r="G2277">
        <v>0.48</v>
      </c>
      <c r="H2277">
        <v>0.38</v>
      </c>
      <c r="I2277" t="s">
        <v>34</v>
      </c>
      <c r="J2277">
        <v>43440</v>
      </c>
      <c r="K2277" t="s">
        <v>27</v>
      </c>
      <c r="L2277">
        <v>6</v>
      </c>
      <c r="M2277">
        <v>40</v>
      </c>
      <c r="N2277" t="s">
        <v>35</v>
      </c>
      <c r="O2277" t="s">
        <v>25</v>
      </c>
      <c r="P2277">
        <v>2.86</v>
      </c>
      <c r="Q2277" t="s">
        <v>34</v>
      </c>
      <c r="R2277">
        <v>1.54</v>
      </c>
      <c r="S2277" t="s">
        <v>43</v>
      </c>
      <c r="T2277" t="str">
        <f t="shared" si="70"/>
        <v>Moderate</v>
      </c>
      <c r="U2277" t="str">
        <f t="shared" si="71"/>
        <v>Intermediate</v>
      </c>
    </row>
    <row r="2278" spans="1:21" x14ac:dyDescent="0.35">
      <c r="A2278" t="s">
        <v>2351</v>
      </c>
      <c r="B2278" t="s">
        <v>73</v>
      </c>
      <c r="C2278" t="s">
        <v>74</v>
      </c>
      <c r="D2278" t="s">
        <v>69</v>
      </c>
      <c r="E2278" t="s">
        <v>33</v>
      </c>
      <c r="F2278">
        <v>24</v>
      </c>
      <c r="G2278">
        <v>0.16</v>
      </c>
      <c r="H2278">
        <v>0.75</v>
      </c>
      <c r="I2278" t="s">
        <v>24</v>
      </c>
      <c r="J2278">
        <v>127485</v>
      </c>
      <c r="K2278" t="s">
        <v>42</v>
      </c>
      <c r="L2278">
        <v>-8</v>
      </c>
      <c r="M2278">
        <v>43</v>
      </c>
      <c r="N2278" t="s">
        <v>26</v>
      </c>
      <c r="O2278" t="s">
        <v>36</v>
      </c>
      <c r="P2278">
        <v>3.95</v>
      </c>
      <c r="Q2278" t="s">
        <v>24</v>
      </c>
      <c r="R2278">
        <v>3.09</v>
      </c>
      <c r="S2278" t="s">
        <v>28</v>
      </c>
      <c r="T2278" t="str">
        <f t="shared" si="70"/>
        <v>Very High</v>
      </c>
      <c r="U2278" t="str">
        <f t="shared" si="71"/>
        <v>Expert</v>
      </c>
    </row>
    <row r="2279" spans="1:21" x14ac:dyDescent="0.35">
      <c r="A2279" t="s">
        <v>2352</v>
      </c>
      <c r="B2279" t="s">
        <v>54</v>
      </c>
      <c r="C2279" t="s">
        <v>82</v>
      </c>
      <c r="D2279" t="s">
        <v>32</v>
      </c>
      <c r="E2279" t="s">
        <v>41</v>
      </c>
      <c r="F2279">
        <v>21</v>
      </c>
      <c r="G2279">
        <v>0.64</v>
      </c>
      <c r="H2279">
        <v>0.48</v>
      </c>
      <c r="I2279" t="s">
        <v>24</v>
      </c>
      <c r="J2279">
        <v>177809</v>
      </c>
      <c r="K2279" t="s">
        <v>25</v>
      </c>
      <c r="L2279">
        <v>31</v>
      </c>
      <c r="M2279">
        <v>34</v>
      </c>
      <c r="N2279" t="s">
        <v>42</v>
      </c>
      <c r="O2279" t="s">
        <v>25</v>
      </c>
      <c r="P2279">
        <v>3.85</v>
      </c>
      <c r="Q2279" t="s">
        <v>34</v>
      </c>
      <c r="R2279">
        <v>4.3899999999999997</v>
      </c>
      <c r="S2279" t="s">
        <v>43</v>
      </c>
      <c r="T2279" t="str">
        <f t="shared" si="70"/>
        <v>Moderate</v>
      </c>
      <c r="U2279" t="str">
        <f t="shared" si="71"/>
        <v>Expert</v>
      </c>
    </row>
    <row r="2280" spans="1:21" x14ac:dyDescent="0.35">
      <c r="A2280" t="s">
        <v>2353</v>
      </c>
      <c r="B2280" t="s">
        <v>91</v>
      </c>
      <c r="C2280" t="s">
        <v>107</v>
      </c>
      <c r="D2280" t="s">
        <v>66</v>
      </c>
      <c r="E2280" t="s">
        <v>33</v>
      </c>
      <c r="F2280">
        <v>12</v>
      </c>
      <c r="G2280">
        <v>0.82</v>
      </c>
      <c r="H2280">
        <v>0.76</v>
      </c>
      <c r="I2280" t="s">
        <v>24</v>
      </c>
      <c r="J2280">
        <v>128940</v>
      </c>
      <c r="K2280" t="s">
        <v>42</v>
      </c>
      <c r="L2280">
        <v>24</v>
      </c>
      <c r="M2280">
        <v>49</v>
      </c>
      <c r="N2280" t="s">
        <v>35</v>
      </c>
      <c r="O2280" t="s">
        <v>27</v>
      </c>
      <c r="P2280">
        <v>3.56</v>
      </c>
      <c r="Q2280" t="s">
        <v>24</v>
      </c>
      <c r="R2280">
        <v>2.75</v>
      </c>
      <c r="S2280" t="s">
        <v>43</v>
      </c>
      <c r="T2280" t="str">
        <f t="shared" si="70"/>
        <v>Moderate</v>
      </c>
      <c r="U2280" t="str">
        <f t="shared" si="71"/>
        <v>Experienced</v>
      </c>
    </row>
    <row r="2281" spans="1:21" x14ac:dyDescent="0.35">
      <c r="A2281" t="s">
        <v>2354</v>
      </c>
      <c r="B2281" t="s">
        <v>62</v>
      </c>
      <c r="C2281" t="s">
        <v>107</v>
      </c>
      <c r="D2281" t="s">
        <v>69</v>
      </c>
      <c r="E2281" t="s">
        <v>33</v>
      </c>
      <c r="F2281">
        <v>22</v>
      </c>
      <c r="G2281">
        <v>0.95</v>
      </c>
      <c r="H2281">
        <v>0.36</v>
      </c>
      <c r="I2281" t="s">
        <v>60</v>
      </c>
      <c r="J2281">
        <v>196688</v>
      </c>
      <c r="K2281" t="s">
        <v>42</v>
      </c>
      <c r="L2281">
        <v>-5</v>
      </c>
      <c r="M2281">
        <v>42</v>
      </c>
      <c r="N2281" t="s">
        <v>26</v>
      </c>
      <c r="O2281" t="s">
        <v>27</v>
      </c>
      <c r="P2281">
        <v>2.27</v>
      </c>
      <c r="Q2281" t="s">
        <v>34</v>
      </c>
      <c r="R2281">
        <v>4.22</v>
      </c>
      <c r="S2281" t="s">
        <v>43</v>
      </c>
      <c r="T2281" t="str">
        <f t="shared" si="70"/>
        <v>Very Low</v>
      </c>
      <c r="U2281" t="str">
        <f t="shared" si="71"/>
        <v>Expert</v>
      </c>
    </row>
    <row r="2282" spans="1:21" x14ac:dyDescent="0.35">
      <c r="A2282" t="s">
        <v>2355</v>
      </c>
      <c r="B2282" t="s">
        <v>30</v>
      </c>
      <c r="C2282" t="s">
        <v>82</v>
      </c>
      <c r="D2282" t="s">
        <v>40</v>
      </c>
      <c r="E2282" t="s">
        <v>23</v>
      </c>
      <c r="F2282">
        <v>18</v>
      </c>
      <c r="G2282">
        <v>0.22</v>
      </c>
      <c r="H2282">
        <v>0.82</v>
      </c>
      <c r="I2282" t="s">
        <v>60</v>
      </c>
      <c r="J2282">
        <v>138595</v>
      </c>
      <c r="K2282" t="s">
        <v>25</v>
      </c>
      <c r="L2282">
        <v>30</v>
      </c>
      <c r="M2282">
        <v>55</v>
      </c>
      <c r="N2282" t="s">
        <v>35</v>
      </c>
      <c r="O2282" t="s">
        <v>36</v>
      </c>
      <c r="P2282">
        <v>2.58</v>
      </c>
      <c r="Q2282" t="s">
        <v>24</v>
      </c>
      <c r="R2282">
        <v>1.54</v>
      </c>
      <c r="S2282" t="s">
        <v>43</v>
      </c>
      <c r="T2282" t="str">
        <f t="shared" si="70"/>
        <v>Very High</v>
      </c>
      <c r="U2282" t="str">
        <f t="shared" si="71"/>
        <v>Expert</v>
      </c>
    </row>
    <row r="2283" spans="1:21" x14ac:dyDescent="0.35">
      <c r="A2283" t="s">
        <v>2356</v>
      </c>
      <c r="B2283" t="s">
        <v>20</v>
      </c>
      <c r="C2283" t="s">
        <v>31</v>
      </c>
      <c r="D2283" t="s">
        <v>63</v>
      </c>
      <c r="E2283" t="s">
        <v>70</v>
      </c>
      <c r="F2283">
        <v>17</v>
      </c>
      <c r="G2283">
        <v>0.32</v>
      </c>
      <c r="H2283">
        <v>0.31</v>
      </c>
      <c r="I2283" t="s">
        <v>34</v>
      </c>
      <c r="J2283">
        <v>194683</v>
      </c>
      <c r="K2283" t="s">
        <v>42</v>
      </c>
      <c r="L2283">
        <v>26</v>
      </c>
      <c r="M2283">
        <v>40</v>
      </c>
      <c r="N2283" t="s">
        <v>42</v>
      </c>
      <c r="O2283" t="s">
        <v>27</v>
      </c>
      <c r="P2283">
        <v>4.6100000000000003</v>
      </c>
      <c r="Q2283" t="s">
        <v>24</v>
      </c>
      <c r="R2283">
        <v>3.56</v>
      </c>
      <c r="S2283" t="s">
        <v>43</v>
      </c>
      <c r="T2283" t="str">
        <f t="shared" si="70"/>
        <v>Moderate</v>
      </c>
      <c r="U2283" t="str">
        <f t="shared" si="71"/>
        <v>Expert</v>
      </c>
    </row>
    <row r="2284" spans="1:21" x14ac:dyDescent="0.35">
      <c r="A2284" t="s">
        <v>2357</v>
      </c>
      <c r="B2284" t="s">
        <v>68</v>
      </c>
      <c r="C2284" t="s">
        <v>55</v>
      </c>
      <c r="D2284" t="s">
        <v>59</v>
      </c>
      <c r="E2284" t="s">
        <v>70</v>
      </c>
      <c r="F2284">
        <v>18</v>
      </c>
      <c r="G2284">
        <v>0.52</v>
      </c>
      <c r="H2284">
        <v>0.56000000000000005</v>
      </c>
      <c r="I2284" t="s">
        <v>34</v>
      </c>
      <c r="J2284">
        <v>84972</v>
      </c>
      <c r="K2284" t="s">
        <v>25</v>
      </c>
      <c r="L2284">
        <v>0</v>
      </c>
      <c r="M2284">
        <v>53</v>
      </c>
      <c r="N2284" t="s">
        <v>35</v>
      </c>
      <c r="O2284" t="s">
        <v>27</v>
      </c>
      <c r="P2284">
        <v>4.97</v>
      </c>
      <c r="Q2284" t="s">
        <v>34</v>
      </c>
      <c r="R2284">
        <v>3.33</v>
      </c>
      <c r="S2284" t="s">
        <v>47</v>
      </c>
      <c r="T2284" t="str">
        <f t="shared" si="70"/>
        <v>High</v>
      </c>
      <c r="U2284" t="str">
        <f t="shared" si="71"/>
        <v>Expert</v>
      </c>
    </row>
    <row r="2285" spans="1:21" x14ac:dyDescent="0.35">
      <c r="A2285" t="s">
        <v>2358</v>
      </c>
      <c r="B2285" t="s">
        <v>45</v>
      </c>
      <c r="C2285" t="s">
        <v>21</v>
      </c>
      <c r="D2285" t="s">
        <v>69</v>
      </c>
      <c r="E2285" t="s">
        <v>33</v>
      </c>
      <c r="F2285">
        <v>25</v>
      </c>
      <c r="G2285">
        <v>0.21</v>
      </c>
      <c r="H2285">
        <v>0.47</v>
      </c>
      <c r="I2285" t="s">
        <v>60</v>
      </c>
      <c r="J2285">
        <v>161056</v>
      </c>
      <c r="K2285" t="s">
        <v>42</v>
      </c>
      <c r="L2285">
        <v>7</v>
      </c>
      <c r="M2285">
        <v>54</v>
      </c>
      <c r="N2285" t="s">
        <v>35</v>
      </c>
      <c r="O2285" t="s">
        <v>36</v>
      </c>
      <c r="P2285">
        <v>2.31</v>
      </c>
      <c r="Q2285" t="s">
        <v>34</v>
      </c>
      <c r="R2285">
        <v>3.39</v>
      </c>
      <c r="S2285" t="s">
        <v>28</v>
      </c>
      <c r="T2285" t="str">
        <f t="shared" si="70"/>
        <v>High</v>
      </c>
      <c r="U2285" t="str">
        <f t="shared" si="71"/>
        <v>Expert</v>
      </c>
    </row>
    <row r="2286" spans="1:21" x14ac:dyDescent="0.35">
      <c r="A2286" t="s">
        <v>2359</v>
      </c>
      <c r="B2286" t="s">
        <v>73</v>
      </c>
      <c r="C2286" t="s">
        <v>82</v>
      </c>
      <c r="D2286" t="s">
        <v>80</v>
      </c>
      <c r="E2286" t="s">
        <v>41</v>
      </c>
      <c r="F2286">
        <v>1</v>
      </c>
      <c r="G2286">
        <v>0.23</v>
      </c>
      <c r="H2286">
        <v>0.56999999999999995</v>
      </c>
      <c r="I2286" t="s">
        <v>34</v>
      </c>
      <c r="J2286">
        <v>196185</v>
      </c>
      <c r="K2286" t="s">
        <v>25</v>
      </c>
      <c r="L2286">
        <v>39</v>
      </c>
      <c r="M2286">
        <v>50</v>
      </c>
      <c r="N2286" t="s">
        <v>42</v>
      </c>
      <c r="O2286" t="s">
        <v>36</v>
      </c>
      <c r="P2286">
        <v>2.7</v>
      </c>
      <c r="Q2286" t="s">
        <v>34</v>
      </c>
      <c r="R2286">
        <v>2.1</v>
      </c>
      <c r="S2286" t="s">
        <v>47</v>
      </c>
      <c r="T2286" t="str">
        <f t="shared" si="70"/>
        <v>High</v>
      </c>
      <c r="U2286" t="str">
        <f t="shared" si="71"/>
        <v>Beginner</v>
      </c>
    </row>
    <row r="2287" spans="1:21" x14ac:dyDescent="0.35">
      <c r="A2287" t="s">
        <v>2360</v>
      </c>
      <c r="B2287" t="s">
        <v>147</v>
      </c>
      <c r="C2287" t="s">
        <v>52</v>
      </c>
      <c r="D2287" t="s">
        <v>66</v>
      </c>
      <c r="E2287" t="s">
        <v>41</v>
      </c>
      <c r="F2287">
        <v>22</v>
      </c>
      <c r="G2287">
        <v>0.39</v>
      </c>
      <c r="H2287">
        <v>0.96</v>
      </c>
      <c r="I2287" t="s">
        <v>34</v>
      </c>
      <c r="J2287">
        <v>94392</v>
      </c>
      <c r="K2287" t="s">
        <v>27</v>
      </c>
      <c r="L2287">
        <v>1</v>
      </c>
      <c r="M2287">
        <v>48</v>
      </c>
      <c r="N2287" t="s">
        <v>26</v>
      </c>
      <c r="O2287" t="s">
        <v>27</v>
      </c>
      <c r="P2287">
        <v>4.83</v>
      </c>
      <c r="Q2287" t="s">
        <v>24</v>
      </c>
      <c r="R2287">
        <v>4.25</v>
      </c>
      <c r="S2287" t="s">
        <v>43</v>
      </c>
      <c r="T2287" t="str">
        <f t="shared" si="70"/>
        <v>Very High</v>
      </c>
      <c r="U2287" t="str">
        <f t="shared" si="71"/>
        <v>Expert</v>
      </c>
    </row>
    <row r="2288" spans="1:21" x14ac:dyDescent="0.35">
      <c r="A2288" t="s">
        <v>2361</v>
      </c>
      <c r="B2288" t="s">
        <v>147</v>
      </c>
      <c r="C2288" t="s">
        <v>21</v>
      </c>
      <c r="D2288" t="s">
        <v>49</v>
      </c>
      <c r="E2288" t="s">
        <v>33</v>
      </c>
      <c r="F2288">
        <v>20</v>
      </c>
      <c r="G2288">
        <v>0.66</v>
      </c>
      <c r="H2288">
        <v>0.96</v>
      </c>
      <c r="I2288" t="s">
        <v>24</v>
      </c>
      <c r="J2288">
        <v>89706</v>
      </c>
      <c r="K2288" t="s">
        <v>27</v>
      </c>
      <c r="L2288">
        <v>14</v>
      </c>
      <c r="M2288">
        <v>59</v>
      </c>
      <c r="N2288" t="s">
        <v>26</v>
      </c>
      <c r="O2288" t="s">
        <v>36</v>
      </c>
      <c r="P2288">
        <v>2.13</v>
      </c>
      <c r="Q2288" t="s">
        <v>34</v>
      </c>
      <c r="R2288">
        <v>3.14</v>
      </c>
      <c r="S2288" t="s">
        <v>47</v>
      </c>
      <c r="T2288" t="str">
        <f t="shared" si="70"/>
        <v>High</v>
      </c>
      <c r="U2288" t="str">
        <f t="shared" si="71"/>
        <v>Expert</v>
      </c>
    </row>
    <row r="2289" spans="1:21" x14ac:dyDescent="0.35">
      <c r="A2289" t="s">
        <v>2362</v>
      </c>
      <c r="B2289" t="s">
        <v>73</v>
      </c>
      <c r="C2289" t="s">
        <v>74</v>
      </c>
      <c r="D2289" t="s">
        <v>63</v>
      </c>
      <c r="E2289" t="s">
        <v>33</v>
      </c>
      <c r="F2289">
        <v>1</v>
      </c>
      <c r="G2289">
        <v>0.47</v>
      </c>
      <c r="H2289">
        <v>0.89</v>
      </c>
      <c r="I2289" t="s">
        <v>34</v>
      </c>
      <c r="J2289">
        <v>97232</v>
      </c>
      <c r="K2289" t="s">
        <v>25</v>
      </c>
      <c r="L2289">
        <v>-3</v>
      </c>
      <c r="M2289">
        <v>37</v>
      </c>
      <c r="N2289" t="s">
        <v>26</v>
      </c>
      <c r="O2289" t="s">
        <v>25</v>
      </c>
      <c r="P2289">
        <v>2.0099999999999998</v>
      </c>
      <c r="Q2289" t="s">
        <v>34</v>
      </c>
      <c r="R2289">
        <v>3.62</v>
      </c>
      <c r="S2289" t="s">
        <v>28</v>
      </c>
      <c r="T2289" t="str">
        <f t="shared" si="70"/>
        <v>High</v>
      </c>
      <c r="U2289" t="str">
        <f t="shared" si="71"/>
        <v>Beginner</v>
      </c>
    </row>
    <row r="2290" spans="1:21" x14ac:dyDescent="0.35">
      <c r="A2290" t="s">
        <v>2363</v>
      </c>
      <c r="B2290" t="s">
        <v>147</v>
      </c>
      <c r="C2290" t="s">
        <v>52</v>
      </c>
      <c r="D2290" t="s">
        <v>80</v>
      </c>
      <c r="E2290" t="s">
        <v>33</v>
      </c>
      <c r="F2290">
        <v>7</v>
      </c>
      <c r="G2290">
        <v>0.28999999999999998</v>
      </c>
      <c r="H2290">
        <v>0.6</v>
      </c>
      <c r="I2290" t="s">
        <v>34</v>
      </c>
      <c r="J2290">
        <v>39374</v>
      </c>
      <c r="K2290" t="s">
        <v>42</v>
      </c>
      <c r="L2290">
        <v>12</v>
      </c>
      <c r="M2290">
        <v>42</v>
      </c>
      <c r="N2290" t="s">
        <v>35</v>
      </c>
      <c r="O2290" t="s">
        <v>27</v>
      </c>
      <c r="P2290">
        <v>3.11</v>
      </c>
      <c r="Q2290" t="s">
        <v>24</v>
      </c>
      <c r="R2290">
        <v>3.1</v>
      </c>
      <c r="S2290" t="s">
        <v>47</v>
      </c>
      <c r="T2290" t="str">
        <f t="shared" si="70"/>
        <v>High</v>
      </c>
      <c r="U2290" t="str">
        <f t="shared" si="71"/>
        <v>Intermediate</v>
      </c>
    </row>
    <row r="2291" spans="1:21" x14ac:dyDescent="0.35">
      <c r="A2291" t="s">
        <v>2364</v>
      </c>
      <c r="B2291" t="s">
        <v>147</v>
      </c>
      <c r="C2291" t="s">
        <v>74</v>
      </c>
      <c r="D2291" t="s">
        <v>49</v>
      </c>
      <c r="E2291" t="s">
        <v>33</v>
      </c>
      <c r="F2291">
        <v>6</v>
      </c>
      <c r="G2291">
        <v>0.4</v>
      </c>
      <c r="H2291">
        <v>0.64</v>
      </c>
      <c r="I2291" t="s">
        <v>60</v>
      </c>
      <c r="J2291">
        <v>41480</v>
      </c>
      <c r="K2291" t="s">
        <v>25</v>
      </c>
      <c r="L2291">
        <v>19</v>
      </c>
      <c r="M2291">
        <v>49</v>
      </c>
      <c r="N2291" t="s">
        <v>26</v>
      </c>
      <c r="O2291" t="s">
        <v>25</v>
      </c>
      <c r="P2291">
        <v>3.22</v>
      </c>
      <c r="Q2291" t="s">
        <v>34</v>
      </c>
      <c r="R2291">
        <v>1</v>
      </c>
      <c r="S2291" t="s">
        <v>28</v>
      </c>
      <c r="T2291" t="str">
        <f t="shared" si="70"/>
        <v>High</v>
      </c>
      <c r="U2291" t="str">
        <f t="shared" si="71"/>
        <v>Intermediate</v>
      </c>
    </row>
    <row r="2292" spans="1:21" x14ac:dyDescent="0.35">
      <c r="A2292" t="s">
        <v>2365</v>
      </c>
      <c r="B2292" t="s">
        <v>156</v>
      </c>
      <c r="C2292" t="s">
        <v>74</v>
      </c>
      <c r="D2292" t="s">
        <v>69</v>
      </c>
      <c r="E2292" t="s">
        <v>23</v>
      </c>
      <c r="F2292">
        <v>11</v>
      </c>
      <c r="G2292">
        <v>7.0000000000000007E-2</v>
      </c>
      <c r="H2292">
        <v>0.56000000000000005</v>
      </c>
      <c r="I2292" t="s">
        <v>34</v>
      </c>
      <c r="J2292">
        <v>112479</v>
      </c>
      <c r="K2292" t="s">
        <v>27</v>
      </c>
      <c r="L2292">
        <v>28</v>
      </c>
      <c r="M2292">
        <v>54</v>
      </c>
      <c r="N2292" t="s">
        <v>26</v>
      </c>
      <c r="O2292" t="s">
        <v>27</v>
      </c>
      <c r="P2292">
        <v>4.9000000000000004</v>
      </c>
      <c r="Q2292" t="s">
        <v>24</v>
      </c>
      <c r="R2292">
        <v>3.58</v>
      </c>
      <c r="S2292" t="s">
        <v>43</v>
      </c>
      <c r="T2292" t="str">
        <f t="shared" si="70"/>
        <v>High</v>
      </c>
      <c r="U2292" t="str">
        <f t="shared" si="71"/>
        <v>Experienced</v>
      </c>
    </row>
    <row r="2293" spans="1:21" x14ac:dyDescent="0.35">
      <c r="A2293" t="s">
        <v>2366</v>
      </c>
      <c r="B2293" t="s">
        <v>73</v>
      </c>
      <c r="C2293" t="s">
        <v>52</v>
      </c>
      <c r="D2293" t="s">
        <v>59</v>
      </c>
      <c r="E2293" t="s">
        <v>41</v>
      </c>
      <c r="F2293">
        <v>18</v>
      </c>
      <c r="G2293">
        <v>0.21</v>
      </c>
      <c r="H2293">
        <v>0.4</v>
      </c>
      <c r="I2293" t="s">
        <v>24</v>
      </c>
      <c r="J2293">
        <v>34756</v>
      </c>
      <c r="K2293" t="s">
        <v>25</v>
      </c>
      <c r="L2293">
        <v>42</v>
      </c>
      <c r="M2293">
        <v>43</v>
      </c>
      <c r="N2293" t="s">
        <v>26</v>
      </c>
      <c r="O2293" t="s">
        <v>36</v>
      </c>
      <c r="P2293">
        <v>4.51</v>
      </c>
      <c r="Q2293" t="s">
        <v>24</v>
      </c>
      <c r="R2293">
        <v>3.96</v>
      </c>
      <c r="S2293" t="s">
        <v>47</v>
      </c>
      <c r="T2293" t="str">
        <f t="shared" si="70"/>
        <v>High</v>
      </c>
      <c r="U2293" t="str">
        <f t="shared" si="71"/>
        <v>Expert</v>
      </c>
    </row>
    <row r="2294" spans="1:21" x14ac:dyDescent="0.35">
      <c r="A2294" t="s">
        <v>2367</v>
      </c>
      <c r="B2294" t="s">
        <v>106</v>
      </c>
      <c r="C2294" t="s">
        <v>58</v>
      </c>
      <c r="D2294" t="s">
        <v>32</v>
      </c>
      <c r="E2294" t="s">
        <v>23</v>
      </c>
      <c r="F2294">
        <v>3</v>
      </c>
      <c r="G2294">
        <v>0.77</v>
      </c>
      <c r="H2294">
        <v>0.87</v>
      </c>
      <c r="I2294" t="s">
        <v>24</v>
      </c>
      <c r="J2294">
        <v>218413</v>
      </c>
      <c r="K2294" t="s">
        <v>25</v>
      </c>
      <c r="L2294">
        <v>3</v>
      </c>
      <c r="M2294">
        <v>35</v>
      </c>
      <c r="N2294" t="s">
        <v>26</v>
      </c>
      <c r="O2294" t="s">
        <v>36</v>
      </c>
      <c r="P2294">
        <v>4.04</v>
      </c>
      <c r="Q2294" t="s">
        <v>24</v>
      </c>
      <c r="R2294">
        <v>2.08</v>
      </c>
      <c r="S2294" t="s">
        <v>28</v>
      </c>
      <c r="T2294" t="str">
        <f t="shared" si="70"/>
        <v>High</v>
      </c>
      <c r="U2294" t="str">
        <f t="shared" si="71"/>
        <v>Intermediate</v>
      </c>
    </row>
    <row r="2295" spans="1:21" x14ac:dyDescent="0.35">
      <c r="A2295" t="s">
        <v>2368</v>
      </c>
      <c r="B2295" t="s">
        <v>51</v>
      </c>
      <c r="C2295" t="s">
        <v>31</v>
      </c>
      <c r="D2295" t="s">
        <v>59</v>
      </c>
      <c r="E2295" t="s">
        <v>41</v>
      </c>
      <c r="F2295">
        <v>4</v>
      </c>
      <c r="G2295">
        <v>0.18</v>
      </c>
      <c r="H2295">
        <v>0.78</v>
      </c>
      <c r="I2295" t="s">
        <v>24</v>
      </c>
      <c r="J2295">
        <v>70946</v>
      </c>
      <c r="K2295" t="s">
        <v>27</v>
      </c>
      <c r="L2295">
        <v>-2</v>
      </c>
      <c r="M2295">
        <v>54</v>
      </c>
      <c r="N2295" t="s">
        <v>26</v>
      </c>
      <c r="O2295" t="s">
        <v>25</v>
      </c>
      <c r="P2295">
        <v>2.0499999999999998</v>
      </c>
      <c r="Q2295" t="s">
        <v>24</v>
      </c>
      <c r="R2295">
        <v>1.76</v>
      </c>
      <c r="S2295" t="s">
        <v>43</v>
      </c>
      <c r="T2295" t="str">
        <f t="shared" si="70"/>
        <v>Very High</v>
      </c>
      <c r="U2295" t="str">
        <f t="shared" si="71"/>
        <v>Intermediate</v>
      </c>
    </row>
    <row r="2296" spans="1:21" x14ac:dyDescent="0.35">
      <c r="A2296" t="s">
        <v>2369</v>
      </c>
      <c r="B2296" t="s">
        <v>89</v>
      </c>
      <c r="C2296" t="s">
        <v>46</v>
      </c>
      <c r="D2296" t="s">
        <v>40</v>
      </c>
      <c r="E2296" t="s">
        <v>33</v>
      </c>
      <c r="F2296">
        <v>10</v>
      </c>
      <c r="G2296">
        <v>0.26</v>
      </c>
      <c r="H2296">
        <v>0.25</v>
      </c>
      <c r="I2296" t="s">
        <v>24</v>
      </c>
      <c r="J2296">
        <v>183629</v>
      </c>
      <c r="K2296" t="s">
        <v>25</v>
      </c>
      <c r="L2296">
        <v>28</v>
      </c>
      <c r="M2296">
        <v>40</v>
      </c>
      <c r="N2296" t="s">
        <v>42</v>
      </c>
      <c r="O2296" t="s">
        <v>25</v>
      </c>
      <c r="P2296">
        <v>3.91</v>
      </c>
      <c r="Q2296" t="s">
        <v>34</v>
      </c>
      <c r="R2296">
        <v>4.99</v>
      </c>
      <c r="S2296" t="s">
        <v>47</v>
      </c>
      <c r="T2296" t="str">
        <f t="shared" si="70"/>
        <v>Moderate</v>
      </c>
      <c r="U2296" t="str">
        <f t="shared" si="71"/>
        <v>Experienced</v>
      </c>
    </row>
    <row r="2297" spans="1:21" x14ac:dyDescent="0.35">
      <c r="A2297" t="s">
        <v>2370</v>
      </c>
      <c r="B2297" t="s">
        <v>77</v>
      </c>
      <c r="C2297" t="s">
        <v>107</v>
      </c>
      <c r="D2297" t="s">
        <v>49</v>
      </c>
      <c r="E2297" t="s">
        <v>70</v>
      </c>
      <c r="F2297">
        <v>6</v>
      </c>
      <c r="G2297">
        <v>0.77</v>
      </c>
      <c r="H2297">
        <v>0.43</v>
      </c>
      <c r="I2297" t="s">
        <v>34</v>
      </c>
      <c r="J2297">
        <v>170864</v>
      </c>
      <c r="K2297" t="s">
        <v>25</v>
      </c>
      <c r="L2297">
        <v>7</v>
      </c>
      <c r="M2297">
        <v>30</v>
      </c>
      <c r="N2297" t="s">
        <v>26</v>
      </c>
      <c r="O2297" t="s">
        <v>25</v>
      </c>
      <c r="P2297">
        <v>2</v>
      </c>
      <c r="Q2297" t="s">
        <v>34</v>
      </c>
      <c r="R2297">
        <v>1.1599999999999999</v>
      </c>
      <c r="S2297" t="s">
        <v>47</v>
      </c>
      <c r="T2297" t="str">
        <f t="shared" si="70"/>
        <v>Very Low</v>
      </c>
      <c r="U2297" t="str">
        <f t="shared" si="71"/>
        <v>Intermediate</v>
      </c>
    </row>
    <row r="2298" spans="1:21" x14ac:dyDescent="0.35">
      <c r="A2298" t="s">
        <v>2371</v>
      </c>
      <c r="B2298" t="s">
        <v>30</v>
      </c>
      <c r="C2298" t="s">
        <v>52</v>
      </c>
      <c r="D2298" t="s">
        <v>49</v>
      </c>
      <c r="E2298" t="s">
        <v>33</v>
      </c>
      <c r="F2298">
        <v>13</v>
      </c>
      <c r="G2298">
        <v>0.9</v>
      </c>
      <c r="H2298">
        <v>0.92</v>
      </c>
      <c r="I2298" t="s">
        <v>24</v>
      </c>
      <c r="J2298">
        <v>219089</v>
      </c>
      <c r="K2298" t="s">
        <v>42</v>
      </c>
      <c r="L2298">
        <v>37</v>
      </c>
      <c r="M2298">
        <v>59</v>
      </c>
      <c r="N2298" t="s">
        <v>35</v>
      </c>
      <c r="O2298" t="s">
        <v>36</v>
      </c>
      <c r="P2298">
        <v>2.56</v>
      </c>
      <c r="Q2298" t="s">
        <v>24</v>
      </c>
      <c r="R2298">
        <v>2.17</v>
      </c>
      <c r="S2298" t="s">
        <v>28</v>
      </c>
      <c r="T2298" t="str">
        <f t="shared" si="70"/>
        <v>High</v>
      </c>
      <c r="U2298" t="str">
        <f t="shared" si="71"/>
        <v>Experienced</v>
      </c>
    </row>
    <row r="2299" spans="1:21" x14ac:dyDescent="0.35">
      <c r="A2299" t="s">
        <v>2372</v>
      </c>
      <c r="B2299" t="s">
        <v>106</v>
      </c>
      <c r="C2299" t="s">
        <v>21</v>
      </c>
      <c r="D2299" t="s">
        <v>66</v>
      </c>
      <c r="E2299" t="s">
        <v>23</v>
      </c>
      <c r="F2299">
        <v>5</v>
      </c>
      <c r="G2299">
        <v>0.21</v>
      </c>
      <c r="H2299">
        <v>0.44</v>
      </c>
      <c r="I2299" t="s">
        <v>60</v>
      </c>
      <c r="J2299">
        <v>161714</v>
      </c>
      <c r="K2299" t="s">
        <v>25</v>
      </c>
      <c r="L2299">
        <v>0</v>
      </c>
      <c r="M2299">
        <v>35</v>
      </c>
      <c r="N2299" t="s">
        <v>35</v>
      </c>
      <c r="O2299" t="s">
        <v>27</v>
      </c>
      <c r="P2299">
        <v>4.5599999999999996</v>
      </c>
      <c r="Q2299" t="s">
        <v>24</v>
      </c>
      <c r="R2299">
        <v>3.09</v>
      </c>
      <c r="S2299" t="s">
        <v>47</v>
      </c>
      <c r="T2299" t="str">
        <f t="shared" si="70"/>
        <v>High</v>
      </c>
      <c r="U2299" t="str">
        <f t="shared" si="71"/>
        <v>Intermediate</v>
      </c>
    </row>
    <row r="2300" spans="1:21" x14ac:dyDescent="0.35">
      <c r="A2300" t="s">
        <v>2373</v>
      </c>
      <c r="B2300" t="s">
        <v>96</v>
      </c>
      <c r="C2300" t="s">
        <v>82</v>
      </c>
      <c r="D2300" t="s">
        <v>49</v>
      </c>
      <c r="E2300" t="s">
        <v>41</v>
      </c>
      <c r="F2300">
        <v>24</v>
      </c>
      <c r="G2300">
        <v>0.2</v>
      </c>
      <c r="H2300">
        <v>0.47</v>
      </c>
      <c r="I2300" t="s">
        <v>60</v>
      </c>
      <c r="J2300">
        <v>37326</v>
      </c>
      <c r="K2300" t="s">
        <v>27</v>
      </c>
      <c r="L2300">
        <v>8</v>
      </c>
      <c r="M2300">
        <v>59</v>
      </c>
      <c r="N2300" t="s">
        <v>35</v>
      </c>
      <c r="O2300" t="s">
        <v>27</v>
      </c>
      <c r="P2300">
        <v>4.0599999999999996</v>
      </c>
      <c r="Q2300" t="s">
        <v>34</v>
      </c>
      <c r="R2300">
        <v>2.2000000000000002</v>
      </c>
      <c r="S2300" t="s">
        <v>47</v>
      </c>
      <c r="T2300" t="str">
        <f t="shared" si="70"/>
        <v>High</v>
      </c>
      <c r="U2300" t="str">
        <f t="shared" si="71"/>
        <v>Expert</v>
      </c>
    </row>
    <row r="2301" spans="1:21" x14ac:dyDescent="0.35">
      <c r="A2301" t="s">
        <v>2374</v>
      </c>
      <c r="B2301" t="s">
        <v>156</v>
      </c>
      <c r="C2301" t="s">
        <v>55</v>
      </c>
      <c r="D2301" t="s">
        <v>22</v>
      </c>
      <c r="E2301" t="s">
        <v>33</v>
      </c>
      <c r="F2301">
        <v>18</v>
      </c>
      <c r="G2301">
        <v>0.28000000000000003</v>
      </c>
      <c r="H2301">
        <v>0.49</v>
      </c>
      <c r="I2301" t="s">
        <v>60</v>
      </c>
      <c r="J2301">
        <v>146070</v>
      </c>
      <c r="K2301" t="s">
        <v>25</v>
      </c>
      <c r="L2301">
        <v>45</v>
      </c>
      <c r="M2301">
        <v>52</v>
      </c>
      <c r="N2301" t="s">
        <v>26</v>
      </c>
      <c r="O2301" t="s">
        <v>36</v>
      </c>
      <c r="P2301">
        <v>2.1</v>
      </c>
      <c r="Q2301" t="s">
        <v>34</v>
      </c>
      <c r="R2301">
        <v>4.6399999999999997</v>
      </c>
      <c r="S2301" t="s">
        <v>28</v>
      </c>
      <c r="T2301" t="str">
        <f t="shared" si="70"/>
        <v>High</v>
      </c>
      <c r="U2301" t="str">
        <f t="shared" si="71"/>
        <v>Expert</v>
      </c>
    </row>
    <row r="2302" spans="1:21" x14ac:dyDescent="0.35">
      <c r="A2302" t="s">
        <v>2375</v>
      </c>
      <c r="B2302" t="s">
        <v>20</v>
      </c>
      <c r="C2302" t="s">
        <v>39</v>
      </c>
      <c r="D2302" t="s">
        <v>59</v>
      </c>
      <c r="E2302" t="s">
        <v>23</v>
      </c>
      <c r="F2302">
        <v>16</v>
      </c>
      <c r="G2302">
        <v>0.37</v>
      </c>
      <c r="H2302">
        <v>0.36</v>
      </c>
      <c r="I2302" t="s">
        <v>60</v>
      </c>
      <c r="J2302">
        <v>119654</v>
      </c>
      <c r="K2302" t="s">
        <v>27</v>
      </c>
      <c r="L2302">
        <v>13</v>
      </c>
      <c r="M2302">
        <v>55</v>
      </c>
      <c r="N2302" t="s">
        <v>26</v>
      </c>
      <c r="O2302" t="s">
        <v>25</v>
      </c>
      <c r="P2302">
        <v>4.1900000000000004</v>
      </c>
      <c r="Q2302" t="s">
        <v>24</v>
      </c>
      <c r="R2302">
        <v>2.36</v>
      </c>
      <c r="S2302" t="s">
        <v>47</v>
      </c>
      <c r="T2302" t="str">
        <f t="shared" si="70"/>
        <v>Moderate</v>
      </c>
      <c r="U2302" t="str">
        <f t="shared" si="71"/>
        <v>Expert</v>
      </c>
    </row>
    <row r="2303" spans="1:21" x14ac:dyDescent="0.35">
      <c r="A2303" t="s">
        <v>2376</v>
      </c>
      <c r="B2303" t="s">
        <v>147</v>
      </c>
      <c r="C2303" t="s">
        <v>107</v>
      </c>
      <c r="D2303" t="s">
        <v>32</v>
      </c>
      <c r="E2303" t="s">
        <v>33</v>
      </c>
      <c r="F2303">
        <v>5</v>
      </c>
      <c r="G2303">
        <v>0.1</v>
      </c>
      <c r="H2303">
        <v>0.75</v>
      </c>
      <c r="I2303" t="s">
        <v>60</v>
      </c>
      <c r="J2303">
        <v>78540</v>
      </c>
      <c r="K2303" t="s">
        <v>27</v>
      </c>
      <c r="L2303">
        <v>33</v>
      </c>
      <c r="M2303">
        <v>36</v>
      </c>
      <c r="N2303" t="s">
        <v>35</v>
      </c>
      <c r="O2303" t="s">
        <v>25</v>
      </c>
      <c r="P2303">
        <v>3.45</v>
      </c>
      <c r="Q2303" t="s">
        <v>34</v>
      </c>
      <c r="R2303">
        <v>4.5</v>
      </c>
      <c r="S2303" t="s">
        <v>47</v>
      </c>
      <c r="T2303" t="str">
        <f t="shared" si="70"/>
        <v>Very High</v>
      </c>
      <c r="U2303" t="str">
        <f t="shared" si="71"/>
        <v>Intermediate</v>
      </c>
    </row>
    <row r="2304" spans="1:21" x14ac:dyDescent="0.35">
      <c r="A2304" t="s">
        <v>2377</v>
      </c>
      <c r="B2304" t="s">
        <v>51</v>
      </c>
      <c r="C2304" t="s">
        <v>46</v>
      </c>
      <c r="D2304" t="s">
        <v>40</v>
      </c>
      <c r="E2304" t="s">
        <v>70</v>
      </c>
      <c r="F2304">
        <v>17</v>
      </c>
      <c r="G2304">
        <v>0.31</v>
      </c>
      <c r="H2304">
        <v>0.77</v>
      </c>
      <c r="I2304" t="s">
        <v>24</v>
      </c>
      <c r="J2304">
        <v>121771</v>
      </c>
      <c r="K2304" t="s">
        <v>27</v>
      </c>
      <c r="L2304">
        <v>13</v>
      </c>
      <c r="M2304">
        <v>60</v>
      </c>
      <c r="N2304" t="s">
        <v>26</v>
      </c>
      <c r="O2304" t="s">
        <v>36</v>
      </c>
      <c r="P2304">
        <v>4.6100000000000003</v>
      </c>
      <c r="Q2304" t="s">
        <v>24</v>
      </c>
      <c r="R2304">
        <v>3.22</v>
      </c>
      <c r="S2304" t="s">
        <v>43</v>
      </c>
      <c r="T2304" t="str">
        <f t="shared" si="70"/>
        <v>Very High</v>
      </c>
      <c r="U2304" t="str">
        <f t="shared" si="71"/>
        <v>Expert</v>
      </c>
    </row>
    <row r="2305" spans="1:21" x14ac:dyDescent="0.35">
      <c r="A2305" t="s">
        <v>2378</v>
      </c>
      <c r="B2305" t="s">
        <v>147</v>
      </c>
      <c r="C2305" t="s">
        <v>31</v>
      </c>
      <c r="D2305" t="s">
        <v>40</v>
      </c>
      <c r="E2305" t="s">
        <v>41</v>
      </c>
      <c r="F2305">
        <v>23</v>
      </c>
      <c r="G2305">
        <v>0.21</v>
      </c>
      <c r="H2305">
        <v>0.85</v>
      </c>
      <c r="I2305" t="s">
        <v>60</v>
      </c>
      <c r="J2305">
        <v>207599</v>
      </c>
      <c r="K2305" t="s">
        <v>25</v>
      </c>
      <c r="L2305">
        <v>38</v>
      </c>
      <c r="M2305">
        <v>57</v>
      </c>
      <c r="N2305" t="s">
        <v>42</v>
      </c>
      <c r="O2305" t="s">
        <v>36</v>
      </c>
      <c r="P2305">
        <v>4.22</v>
      </c>
      <c r="Q2305" t="s">
        <v>24</v>
      </c>
      <c r="R2305">
        <v>3.61</v>
      </c>
      <c r="S2305" t="s">
        <v>47</v>
      </c>
      <c r="T2305" t="str">
        <f t="shared" si="70"/>
        <v>Very High</v>
      </c>
      <c r="U2305" t="str">
        <f t="shared" si="71"/>
        <v>Expert</v>
      </c>
    </row>
    <row r="2306" spans="1:21" x14ac:dyDescent="0.35">
      <c r="A2306" t="s">
        <v>2379</v>
      </c>
      <c r="B2306" t="s">
        <v>38</v>
      </c>
      <c r="C2306" t="s">
        <v>31</v>
      </c>
      <c r="D2306" t="s">
        <v>75</v>
      </c>
      <c r="E2306" t="s">
        <v>70</v>
      </c>
      <c r="F2306">
        <v>18</v>
      </c>
      <c r="G2306">
        <v>0.86</v>
      </c>
      <c r="H2306">
        <v>0.6</v>
      </c>
      <c r="I2306" t="s">
        <v>34</v>
      </c>
      <c r="J2306">
        <v>199702</v>
      </c>
      <c r="K2306" t="s">
        <v>42</v>
      </c>
      <c r="L2306">
        <v>20</v>
      </c>
      <c r="M2306">
        <v>31</v>
      </c>
      <c r="N2306" t="s">
        <v>35</v>
      </c>
      <c r="O2306" t="s">
        <v>25</v>
      </c>
      <c r="P2306">
        <v>3.27</v>
      </c>
      <c r="Q2306" t="s">
        <v>34</v>
      </c>
      <c r="R2306">
        <v>1.68</v>
      </c>
      <c r="S2306" t="s">
        <v>43</v>
      </c>
      <c r="T2306" t="str">
        <f t="shared" si="70"/>
        <v>Moderate</v>
      </c>
      <c r="U2306" t="str">
        <f t="shared" si="71"/>
        <v>Expert</v>
      </c>
    </row>
    <row r="2307" spans="1:21" x14ac:dyDescent="0.35">
      <c r="A2307" t="s">
        <v>2380</v>
      </c>
      <c r="B2307" t="s">
        <v>106</v>
      </c>
      <c r="C2307" t="s">
        <v>52</v>
      </c>
      <c r="D2307" t="s">
        <v>40</v>
      </c>
      <c r="E2307" t="s">
        <v>70</v>
      </c>
      <c r="F2307">
        <v>7</v>
      </c>
      <c r="G2307">
        <v>0.28999999999999998</v>
      </c>
      <c r="H2307">
        <v>0.77</v>
      </c>
      <c r="I2307" t="s">
        <v>34</v>
      </c>
      <c r="J2307">
        <v>88961</v>
      </c>
      <c r="K2307" t="s">
        <v>25</v>
      </c>
      <c r="L2307">
        <v>34</v>
      </c>
      <c r="M2307">
        <v>51</v>
      </c>
      <c r="N2307" t="s">
        <v>35</v>
      </c>
      <c r="O2307" t="s">
        <v>36</v>
      </c>
      <c r="P2307">
        <v>2.21</v>
      </c>
      <c r="Q2307" t="s">
        <v>24</v>
      </c>
      <c r="R2307">
        <v>4.5599999999999996</v>
      </c>
      <c r="S2307" t="s">
        <v>28</v>
      </c>
      <c r="T2307" t="str">
        <f t="shared" ref="T2307:T2370" si="72">IF(AND(G2307&lt;0.4,H2307&gt;=0.7),"Very High",
IF(AND(G2307&gt;=0.7,H2307&lt;0.5),"Very Low",
IF(G2307&lt;H2307,"High","Moderate")))</f>
        <v>Very High</v>
      </c>
      <c r="U2307" t="str">
        <f t="shared" ref="U2307:U2370" si="73">_xlfn.IFS(F2307&lt;=2,"Beginner",F2307&lt;=8,"Intermediate",F2307&lt;=15,"Experienced",F2307&lt;=25,"Expert")</f>
        <v>Intermediate</v>
      </c>
    </row>
    <row r="2308" spans="1:21" x14ac:dyDescent="0.35">
      <c r="A2308" t="s">
        <v>2381</v>
      </c>
      <c r="B2308" t="s">
        <v>20</v>
      </c>
      <c r="C2308" t="s">
        <v>39</v>
      </c>
      <c r="D2308" t="s">
        <v>75</v>
      </c>
      <c r="E2308" t="s">
        <v>70</v>
      </c>
      <c r="F2308">
        <v>7</v>
      </c>
      <c r="G2308">
        <v>0.35</v>
      </c>
      <c r="H2308">
        <v>0.87</v>
      </c>
      <c r="I2308" t="s">
        <v>60</v>
      </c>
      <c r="J2308">
        <v>137809</v>
      </c>
      <c r="K2308" t="s">
        <v>25</v>
      </c>
      <c r="L2308">
        <v>37</v>
      </c>
      <c r="M2308">
        <v>35</v>
      </c>
      <c r="N2308" t="s">
        <v>35</v>
      </c>
      <c r="O2308" t="s">
        <v>36</v>
      </c>
      <c r="P2308">
        <v>2.4900000000000002</v>
      </c>
      <c r="Q2308" t="s">
        <v>34</v>
      </c>
      <c r="R2308">
        <v>2.1</v>
      </c>
      <c r="S2308" t="s">
        <v>43</v>
      </c>
      <c r="T2308" t="str">
        <f t="shared" si="72"/>
        <v>Very High</v>
      </c>
      <c r="U2308" t="str">
        <f t="shared" si="73"/>
        <v>Intermediate</v>
      </c>
    </row>
    <row r="2309" spans="1:21" x14ac:dyDescent="0.35">
      <c r="A2309" t="s">
        <v>2382</v>
      </c>
      <c r="B2309" t="s">
        <v>62</v>
      </c>
      <c r="C2309" t="s">
        <v>82</v>
      </c>
      <c r="D2309" t="s">
        <v>80</v>
      </c>
      <c r="E2309" t="s">
        <v>23</v>
      </c>
      <c r="F2309">
        <v>20</v>
      </c>
      <c r="G2309">
        <v>0.64</v>
      </c>
      <c r="H2309">
        <v>0.73</v>
      </c>
      <c r="I2309" t="s">
        <v>24</v>
      </c>
      <c r="J2309">
        <v>106145</v>
      </c>
      <c r="K2309" t="s">
        <v>25</v>
      </c>
      <c r="L2309">
        <v>19</v>
      </c>
      <c r="M2309">
        <v>51</v>
      </c>
      <c r="N2309" t="s">
        <v>26</v>
      </c>
      <c r="O2309" t="s">
        <v>25</v>
      </c>
      <c r="P2309">
        <v>3.38</v>
      </c>
      <c r="Q2309" t="s">
        <v>24</v>
      </c>
      <c r="R2309">
        <v>3.94</v>
      </c>
      <c r="S2309" t="s">
        <v>28</v>
      </c>
      <c r="T2309" t="str">
        <f t="shared" si="72"/>
        <v>High</v>
      </c>
      <c r="U2309" t="str">
        <f t="shared" si="73"/>
        <v>Expert</v>
      </c>
    </row>
    <row r="2310" spans="1:21" x14ac:dyDescent="0.35">
      <c r="A2310" t="s">
        <v>2383</v>
      </c>
      <c r="B2310" t="s">
        <v>65</v>
      </c>
      <c r="C2310" t="s">
        <v>58</v>
      </c>
      <c r="D2310" t="s">
        <v>63</v>
      </c>
      <c r="E2310" t="s">
        <v>23</v>
      </c>
      <c r="F2310">
        <v>19</v>
      </c>
      <c r="G2310">
        <v>0.31</v>
      </c>
      <c r="H2310">
        <v>0.86</v>
      </c>
      <c r="I2310" t="s">
        <v>60</v>
      </c>
      <c r="J2310">
        <v>106020</v>
      </c>
      <c r="K2310" t="s">
        <v>42</v>
      </c>
      <c r="L2310">
        <v>-2</v>
      </c>
      <c r="M2310">
        <v>33</v>
      </c>
      <c r="N2310" t="s">
        <v>35</v>
      </c>
      <c r="O2310" t="s">
        <v>27</v>
      </c>
      <c r="P2310">
        <v>3.53</v>
      </c>
      <c r="Q2310" t="s">
        <v>34</v>
      </c>
      <c r="R2310">
        <v>3.87</v>
      </c>
      <c r="S2310" t="s">
        <v>28</v>
      </c>
      <c r="T2310" t="str">
        <f t="shared" si="72"/>
        <v>Very High</v>
      </c>
      <c r="U2310" t="str">
        <f t="shared" si="73"/>
        <v>Expert</v>
      </c>
    </row>
    <row r="2311" spans="1:21" x14ac:dyDescent="0.35">
      <c r="A2311" t="s">
        <v>2384</v>
      </c>
      <c r="B2311" t="s">
        <v>73</v>
      </c>
      <c r="C2311" t="s">
        <v>107</v>
      </c>
      <c r="D2311" t="s">
        <v>32</v>
      </c>
      <c r="E2311" t="s">
        <v>33</v>
      </c>
      <c r="F2311">
        <v>22</v>
      </c>
      <c r="G2311">
        <v>0.57999999999999996</v>
      </c>
      <c r="H2311">
        <v>0.85</v>
      </c>
      <c r="I2311" t="s">
        <v>24</v>
      </c>
      <c r="J2311">
        <v>202462</v>
      </c>
      <c r="K2311" t="s">
        <v>27</v>
      </c>
      <c r="L2311">
        <v>43</v>
      </c>
      <c r="M2311">
        <v>55</v>
      </c>
      <c r="N2311" t="s">
        <v>42</v>
      </c>
      <c r="O2311" t="s">
        <v>27</v>
      </c>
      <c r="P2311">
        <v>2.52</v>
      </c>
      <c r="Q2311" t="s">
        <v>24</v>
      </c>
      <c r="R2311">
        <v>2.13</v>
      </c>
      <c r="S2311" t="s">
        <v>28</v>
      </c>
      <c r="T2311" t="str">
        <f t="shared" si="72"/>
        <v>High</v>
      </c>
      <c r="U2311" t="str">
        <f t="shared" si="73"/>
        <v>Expert</v>
      </c>
    </row>
    <row r="2312" spans="1:21" x14ac:dyDescent="0.35">
      <c r="A2312" t="s">
        <v>2385</v>
      </c>
      <c r="B2312" t="s">
        <v>73</v>
      </c>
      <c r="C2312" t="s">
        <v>107</v>
      </c>
      <c r="D2312" t="s">
        <v>75</v>
      </c>
      <c r="E2312" t="s">
        <v>70</v>
      </c>
      <c r="F2312">
        <v>21</v>
      </c>
      <c r="G2312">
        <v>0.85</v>
      </c>
      <c r="H2312">
        <v>0.27</v>
      </c>
      <c r="I2312" t="s">
        <v>24</v>
      </c>
      <c r="J2312">
        <v>49237</v>
      </c>
      <c r="K2312" t="s">
        <v>25</v>
      </c>
      <c r="L2312">
        <v>-9</v>
      </c>
      <c r="M2312">
        <v>55</v>
      </c>
      <c r="N2312" t="s">
        <v>42</v>
      </c>
      <c r="O2312" t="s">
        <v>36</v>
      </c>
      <c r="P2312">
        <v>4.3600000000000003</v>
      </c>
      <c r="Q2312" t="s">
        <v>24</v>
      </c>
      <c r="R2312">
        <v>1.35</v>
      </c>
      <c r="S2312" t="s">
        <v>28</v>
      </c>
      <c r="T2312" t="str">
        <f t="shared" si="72"/>
        <v>Very Low</v>
      </c>
      <c r="U2312" t="str">
        <f t="shared" si="73"/>
        <v>Expert</v>
      </c>
    </row>
    <row r="2313" spans="1:21" x14ac:dyDescent="0.35">
      <c r="A2313" t="s">
        <v>2386</v>
      </c>
      <c r="B2313" t="s">
        <v>68</v>
      </c>
      <c r="C2313" t="s">
        <v>31</v>
      </c>
      <c r="D2313" t="s">
        <v>40</v>
      </c>
      <c r="E2313" t="s">
        <v>70</v>
      </c>
      <c r="F2313">
        <v>16</v>
      </c>
      <c r="G2313">
        <v>0.74</v>
      </c>
      <c r="H2313">
        <v>0.55000000000000004</v>
      </c>
      <c r="I2313" t="s">
        <v>24</v>
      </c>
      <c r="J2313">
        <v>123775</v>
      </c>
      <c r="K2313" t="s">
        <v>42</v>
      </c>
      <c r="L2313">
        <v>-6</v>
      </c>
      <c r="M2313">
        <v>40</v>
      </c>
      <c r="N2313" t="s">
        <v>42</v>
      </c>
      <c r="O2313" t="s">
        <v>25</v>
      </c>
      <c r="P2313">
        <v>3.7</v>
      </c>
      <c r="Q2313" t="s">
        <v>24</v>
      </c>
      <c r="R2313">
        <v>2.06</v>
      </c>
      <c r="S2313" t="s">
        <v>47</v>
      </c>
      <c r="T2313" t="str">
        <f t="shared" si="72"/>
        <v>Moderate</v>
      </c>
      <c r="U2313" t="str">
        <f t="shared" si="73"/>
        <v>Expert</v>
      </c>
    </row>
    <row r="2314" spans="1:21" x14ac:dyDescent="0.35">
      <c r="A2314" t="s">
        <v>2387</v>
      </c>
      <c r="B2314" t="s">
        <v>30</v>
      </c>
      <c r="C2314" t="s">
        <v>21</v>
      </c>
      <c r="D2314" t="s">
        <v>40</v>
      </c>
      <c r="E2314" t="s">
        <v>41</v>
      </c>
      <c r="F2314">
        <v>22</v>
      </c>
      <c r="G2314">
        <v>0.26</v>
      </c>
      <c r="H2314">
        <v>0.51</v>
      </c>
      <c r="I2314" t="s">
        <v>34</v>
      </c>
      <c r="J2314">
        <v>57451</v>
      </c>
      <c r="K2314" t="s">
        <v>25</v>
      </c>
      <c r="L2314">
        <v>45</v>
      </c>
      <c r="M2314">
        <v>53</v>
      </c>
      <c r="N2314" t="s">
        <v>42</v>
      </c>
      <c r="O2314" t="s">
        <v>25</v>
      </c>
      <c r="P2314">
        <v>2.77</v>
      </c>
      <c r="Q2314" t="s">
        <v>34</v>
      </c>
      <c r="R2314">
        <v>3.47</v>
      </c>
      <c r="S2314" t="s">
        <v>43</v>
      </c>
      <c r="T2314" t="str">
        <f t="shared" si="72"/>
        <v>High</v>
      </c>
      <c r="U2314" t="str">
        <f t="shared" si="73"/>
        <v>Expert</v>
      </c>
    </row>
    <row r="2315" spans="1:21" x14ac:dyDescent="0.35">
      <c r="A2315" t="s">
        <v>2388</v>
      </c>
      <c r="B2315" t="s">
        <v>156</v>
      </c>
      <c r="C2315" t="s">
        <v>31</v>
      </c>
      <c r="D2315" t="s">
        <v>49</v>
      </c>
      <c r="E2315" t="s">
        <v>33</v>
      </c>
      <c r="F2315">
        <v>10</v>
      </c>
      <c r="G2315">
        <v>0.63</v>
      </c>
      <c r="H2315">
        <v>0.53</v>
      </c>
      <c r="I2315" t="s">
        <v>34</v>
      </c>
      <c r="J2315">
        <v>115358</v>
      </c>
      <c r="K2315" t="s">
        <v>25</v>
      </c>
      <c r="L2315">
        <v>-3</v>
      </c>
      <c r="M2315">
        <v>57</v>
      </c>
      <c r="N2315" t="s">
        <v>26</v>
      </c>
      <c r="O2315" t="s">
        <v>25</v>
      </c>
      <c r="P2315">
        <v>3.49</v>
      </c>
      <c r="Q2315" t="s">
        <v>34</v>
      </c>
      <c r="R2315">
        <v>4.59</v>
      </c>
      <c r="S2315" t="s">
        <v>47</v>
      </c>
      <c r="T2315" t="str">
        <f t="shared" si="72"/>
        <v>Moderate</v>
      </c>
      <c r="U2315" t="str">
        <f t="shared" si="73"/>
        <v>Experienced</v>
      </c>
    </row>
    <row r="2316" spans="1:21" x14ac:dyDescent="0.35">
      <c r="A2316" t="s">
        <v>2389</v>
      </c>
      <c r="B2316" t="s">
        <v>30</v>
      </c>
      <c r="C2316" t="s">
        <v>82</v>
      </c>
      <c r="D2316" t="s">
        <v>66</v>
      </c>
      <c r="E2316" t="s">
        <v>41</v>
      </c>
      <c r="F2316">
        <v>17</v>
      </c>
      <c r="G2316">
        <v>0.71</v>
      </c>
      <c r="H2316">
        <v>0.63</v>
      </c>
      <c r="I2316" t="s">
        <v>60</v>
      </c>
      <c r="J2316">
        <v>110263</v>
      </c>
      <c r="K2316" t="s">
        <v>42</v>
      </c>
      <c r="L2316">
        <v>36</v>
      </c>
      <c r="M2316">
        <v>55</v>
      </c>
      <c r="N2316" t="s">
        <v>35</v>
      </c>
      <c r="O2316" t="s">
        <v>27</v>
      </c>
      <c r="P2316">
        <v>3.83</v>
      </c>
      <c r="Q2316" t="s">
        <v>24</v>
      </c>
      <c r="R2316">
        <v>2.27</v>
      </c>
      <c r="S2316" t="s">
        <v>47</v>
      </c>
      <c r="T2316" t="str">
        <f t="shared" si="72"/>
        <v>Moderate</v>
      </c>
      <c r="U2316" t="str">
        <f t="shared" si="73"/>
        <v>Expert</v>
      </c>
    </row>
    <row r="2317" spans="1:21" x14ac:dyDescent="0.35">
      <c r="A2317" t="s">
        <v>2390</v>
      </c>
      <c r="B2317" t="s">
        <v>77</v>
      </c>
      <c r="C2317" t="s">
        <v>46</v>
      </c>
      <c r="D2317" t="s">
        <v>59</v>
      </c>
      <c r="E2317" t="s">
        <v>41</v>
      </c>
      <c r="F2317">
        <v>18</v>
      </c>
      <c r="G2317">
        <v>0.06</v>
      </c>
      <c r="H2317">
        <v>0.94</v>
      </c>
      <c r="I2317" t="s">
        <v>24</v>
      </c>
      <c r="J2317">
        <v>201674</v>
      </c>
      <c r="K2317" t="s">
        <v>27</v>
      </c>
      <c r="L2317">
        <v>43</v>
      </c>
      <c r="M2317">
        <v>38</v>
      </c>
      <c r="N2317" t="s">
        <v>35</v>
      </c>
      <c r="O2317" t="s">
        <v>25</v>
      </c>
      <c r="P2317">
        <v>4.43</v>
      </c>
      <c r="Q2317" t="s">
        <v>24</v>
      </c>
      <c r="R2317">
        <v>1.66</v>
      </c>
      <c r="S2317" t="s">
        <v>28</v>
      </c>
      <c r="T2317" t="str">
        <f t="shared" si="72"/>
        <v>Very High</v>
      </c>
      <c r="U2317" t="str">
        <f t="shared" si="73"/>
        <v>Expert</v>
      </c>
    </row>
    <row r="2318" spans="1:21" x14ac:dyDescent="0.35">
      <c r="A2318" t="s">
        <v>2391</v>
      </c>
      <c r="B2318" t="s">
        <v>30</v>
      </c>
      <c r="C2318" t="s">
        <v>46</v>
      </c>
      <c r="D2318" t="s">
        <v>66</v>
      </c>
      <c r="E2318" t="s">
        <v>33</v>
      </c>
      <c r="F2318">
        <v>25</v>
      </c>
      <c r="G2318">
        <v>0.82</v>
      </c>
      <c r="H2318">
        <v>0.44</v>
      </c>
      <c r="I2318" t="s">
        <v>34</v>
      </c>
      <c r="J2318">
        <v>50152</v>
      </c>
      <c r="K2318" t="s">
        <v>42</v>
      </c>
      <c r="L2318">
        <v>30</v>
      </c>
      <c r="M2318">
        <v>36</v>
      </c>
      <c r="N2318" t="s">
        <v>42</v>
      </c>
      <c r="O2318" t="s">
        <v>27</v>
      </c>
      <c r="P2318">
        <v>2.99</v>
      </c>
      <c r="Q2318" t="s">
        <v>24</v>
      </c>
      <c r="R2318">
        <v>1.59</v>
      </c>
      <c r="S2318" t="s">
        <v>43</v>
      </c>
      <c r="T2318" t="str">
        <f t="shared" si="72"/>
        <v>Very Low</v>
      </c>
      <c r="U2318" t="str">
        <f t="shared" si="73"/>
        <v>Expert</v>
      </c>
    </row>
    <row r="2319" spans="1:21" x14ac:dyDescent="0.35">
      <c r="A2319" t="s">
        <v>2392</v>
      </c>
      <c r="B2319" t="s">
        <v>94</v>
      </c>
      <c r="C2319" t="s">
        <v>31</v>
      </c>
      <c r="D2319" t="s">
        <v>80</v>
      </c>
      <c r="E2319" t="s">
        <v>41</v>
      </c>
      <c r="F2319">
        <v>2</v>
      </c>
      <c r="G2319">
        <v>0.44</v>
      </c>
      <c r="H2319">
        <v>0.67</v>
      </c>
      <c r="I2319" t="s">
        <v>24</v>
      </c>
      <c r="J2319">
        <v>133209</v>
      </c>
      <c r="K2319" t="s">
        <v>42</v>
      </c>
      <c r="L2319">
        <v>-6</v>
      </c>
      <c r="M2319">
        <v>60</v>
      </c>
      <c r="N2319" t="s">
        <v>35</v>
      </c>
      <c r="O2319" t="s">
        <v>27</v>
      </c>
      <c r="P2319">
        <v>3.92</v>
      </c>
      <c r="Q2319" t="s">
        <v>24</v>
      </c>
      <c r="R2319">
        <v>3.8</v>
      </c>
      <c r="S2319" t="s">
        <v>43</v>
      </c>
      <c r="T2319" t="str">
        <f t="shared" si="72"/>
        <v>High</v>
      </c>
      <c r="U2319" t="str">
        <f t="shared" si="73"/>
        <v>Beginner</v>
      </c>
    </row>
    <row r="2320" spans="1:21" x14ac:dyDescent="0.35">
      <c r="A2320" t="s">
        <v>2393</v>
      </c>
      <c r="B2320" t="s">
        <v>65</v>
      </c>
      <c r="C2320" t="s">
        <v>39</v>
      </c>
      <c r="D2320" t="s">
        <v>69</v>
      </c>
      <c r="E2320" t="s">
        <v>23</v>
      </c>
      <c r="F2320">
        <v>14</v>
      </c>
      <c r="G2320">
        <v>0.43</v>
      </c>
      <c r="H2320">
        <v>0.56999999999999995</v>
      </c>
      <c r="I2320" t="s">
        <v>60</v>
      </c>
      <c r="J2320">
        <v>191881</v>
      </c>
      <c r="K2320" t="s">
        <v>25</v>
      </c>
      <c r="L2320">
        <v>-10</v>
      </c>
      <c r="M2320">
        <v>45</v>
      </c>
      <c r="N2320" t="s">
        <v>35</v>
      </c>
      <c r="O2320" t="s">
        <v>27</v>
      </c>
      <c r="P2320">
        <v>4.07</v>
      </c>
      <c r="Q2320" t="s">
        <v>24</v>
      </c>
      <c r="R2320">
        <v>2.0099999999999998</v>
      </c>
      <c r="S2320" t="s">
        <v>47</v>
      </c>
      <c r="T2320" t="str">
        <f t="shared" si="72"/>
        <v>High</v>
      </c>
      <c r="U2320" t="str">
        <f t="shared" si="73"/>
        <v>Experienced</v>
      </c>
    </row>
    <row r="2321" spans="1:21" x14ac:dyDescent="0.35">
      <c r="A2321" t="s">
        <v>2394</v>
      </c>
      <c r="B2321" t="s">
        <v>91</v>
      </c>
      <c r="C2321" t="s">
        <v>46</v>
      </c>
      <c r="D2321" t="s">
        <v>32</v>
      </c>
      <c r="E2321" t="s">
        <v>41</v>
      </c>
      <c r="F2321">
        <v>17</v>
      </c>
      <c r="G2321">
        <v>0.72</v>
      </c>
      <c r="H2321">
        <v>0.28000000000000003</v>
      </c>
      <c r="I2321" t="s">
        <v>24</v>
      </c>
      <c r="J2321">
        <v>123183</v>
      </c>
      <c r="K2321" t="s">
        <v>27</v>
      </c>
      <c r="L2321">
        <v>5</v>
      </c>
      <c r="M2321">
        <v>55</v>
      </c>
      <c r="N2321" t="s">
        <v>42</v>
      </c>
      <c r="O2321" t="s">
        <v>36</v>
      </c>
      <c r="P2321">
        <v>2.25</v>
      </c>
      <c r="Q2321" t="s">
        <v>34</v>
      </c>
      <c r="R2321">
        <v>3.57</v>
      </c>
      <c r="S2321" t="s">
        <v>47</v>
      </c>
      <c r="T2321" t="str">
        <f t="shared" si="72"/>
        <v>Very Low</v>
      </c>
      <c r="U2321" t="str">
        <f t="shared" si="73"/>
        <v>Expert</v>
      </c>
    </row>
    <row r="2322" spans="1:21" x14ac:dyDescent="0.35">
      <c r="A2322" t="s">
        <v>2395</v>
      </c>
      <c r="B2322" t="s">
        <v>96</v>
      </c>
      <c r="C2322" t="s">
        <v>58</v>
      </c>
      <c r="D2322" t="s">
        <v>80</v>
      </c>
      <c r="E2322" t="s">
        <v>23</v>
      </c>
      <c r="F2322">
        <v>18</v>
      </c>
      <c r="G2322">
        <v>0.71</v>
      </c>
      <c r="H2322">
        <v>0.74</v>
      </c>
      <c r="I2322" t="s">
        <v>34</v>
      </c>
      <c r="J2322">
        <v>129970</v>
      </c>
      <c r="K2322" t="s">
        <v>25</v>
      </c>
      <c r="L2322">
        <v>-5</v>
      </c>
      <c r="M2322">
        <v>57</v>
      </c>
      <c r="N2322" t="s">
        <v>35</v>
      </c>
      <c r="O2322" t="s">
        <v>27</v>
      </c>
      <c r="P2322">
        <v>2.81</v>
      </c>
      <c r="Q2322" t="s">
        <v>24</v>
      </c>
      <c r="R2322">
        <v>3.5</v>
      </c>
      <c r="S2322" t="s">
        <v>28</v>
      </c>
      <c r="T2322" t="str">
        <f t="shared" si="72"/>
        <v>High</v>
      </c>
      <c r="U2322" t="str">
        <f t="shared" si="73"/>
        <v>Expert</v>
      </c>
    </row>
    <row r="2323" spans="1:21" x14ac:dyDescent="0.35">
      <c r="A2323" t="s">
        <v>2396</v>
      </c>
      <c r="B2323" t="s">
        <v>94</v>
      </c>
      <c r="C2323" t="s">
        <v>39</v>
      </c>
      <c r="D2323" t="s">
        <v>59</v>
      </c>
      <c r="E2323" t="s">
        <v>33</v>
      </c>
      <c r="F2323">
        <v>18</v>
      </c>
      <c r="G2323">
        <v>0.73</v>
      </c>
      <c r="H2323">
        <v>0.22</v>
      </c>
      <c r="I2323" t="s">
        <v>60</v>
      </c>
      <c r="J2323">
        <v>168577</v>
      </c>
      <c r="K2323" t="s">
        <v>27</v>
      </c>
      <c r="L2323">
        <v>12</v>
      </c>
      <c r="M2323">
        <v>31</v>
      </c>
      <c r="N2323" t="s">
        <v>42</v>
      </c>
      <c r="O2323" t="s">
        <v>36</v>
      </c>
      <c r="P2323">
        <v>4.1100000000000003</v>
      </c>
      <c r="Q2323" t="s">
        <v>34</v>
      </c>
      <c r="R2323">
        <v>2.71</v>
      </c>
      <c r="S2323" t="s">
        <v>28</v>
      </c>
      <c r="T2323" t="str">
        <f t="shared" si="72"/>
        <v>Very Low</v>
      </c>
      <c r="U2323" t="str">
        <f t="shared" si="73"/>
        <v>Expert</v>
      </c>
    </row>
    <row r="2324" spans="1:21" x14ac:dyDescent="0.35">
      <c r="A2324" t="s">
        <v>2397</v>
      </c>
      <c r="B2324" t="s">
        <v>77</v>
      </c>
      <c r="C2324" t="s">
        <v>58</v>
      </c>
      <c r="D2324" t="s">
        <v>80</v>
      </c>
      <c r="E2324" t="s">
        <v>33</v>
      </c>
      <c r="F2324">
        <v>1</v>
      </c>
      <c r="G2324">
        <v>0.36</v>
      </c>
      <c r="H2324">
        <v>0.93</v>
      </c>
      <c r="I2324" t="s">
        <v>34</v>
      </c>
      <c r="J2324">
        <v>207937</v>
      </c>
      <c r="K2324" t="s">
        <v>27</v>
      </c>
      <c r="L2324">
        <v>29</v>
      </c>
      <c r="M2324">
        <v>35</v>
      </c>
      <c r="N2324" t="s">
        <v>42</v>
      </c>
      <c r="O2324" t="s">
        <v>25</v>
      </c>
      <c r="P2324">
        <v>4.08</v>
      </c>
      <c r="Q2324" t="s">
        <v>24</v>
      </c>
      <c r="R2324">
        <v>2.41</v>
      </c>
      <c r="S2324" t="s">
        <v>43</v>
      </c>
      <c r="T2324" t="str">
        <f t="shared" si="72"/>
        <v>Very High</v>
      </c>
      <c r="U2324" t="str">
        <f t="shared" si="73"/>
        <v>Beginner</v>
      </c>
    </row>
    <row r="2325" spans="1:21" x14ac:dyDescent="0.35">
      <c r="A2325" t="s">
        <v>2398</v>
      </c>
      <c r="B2325" t="s">
        <v>54</v>
      </c>
      <c r="C2325" t="s">
        <v>39</v>
      </c>
      <c r="D2325" t="s">
        <v>69</v>
      </c>
      <c r="E2325" t="s">
        <v>41</v>
      </c>
      <c r="F2325">
        <v>12</v>
      </c>
      <c r="G2325">
        <v>0.31</v>
      </c>
      <c r="H2325">
        <v>0.25</v>
      </c>
      <c r="I2325" t="s">
        <v>24</v>
      </c>
      <c r="J2325">
        <v>63240</v>
      </c>
      <c r="K2325" t="s">
        <v>42</v>
      </c>
      <c r="L2325">
        <v>-10</v>
      </c>
      <c r="M2325">
        <v>52</v>
      </c>
      <c r="N2325" t="s">
        <v>35</v>
      </c>
      <c r="O2325" t="s">
        <v>27</v>
      </c>
      <c r="P2325">
        <v>3.91</v>
      </c>
      <c r="Q2325" t="s">
        <v>24</v>
      </c>
      <c r="R2325">
        <v>2.76</v>
      </c>
      <c r="S2325" t="s">
        <v>47</v>
      </c>
      <c r="T2325" t="str">
        <f t="shared" si="72"/>
        <v>Moderate</v>
      </c>
      <c r="U2325" t="str">
        <f t="shared" si="73"/>
        <v>Experienced</v>
      </c>
    </row>
    <row r="2326" spans="1:21" x14ac:dyDescent="0.35">
      <c r="A2326" t="s">
        <v>2399</v>
      </c>
      <c r="B2326" t="s">
        <v>89</v>
      </c>
      <c r="C2326" t="s">
        <v>55</v>
      </c>
      <c r="D2326" t="s">
        <v>66</v>
      </c>
      <c r="E2326" t="s">
        <v>41</v>
      </c>
      <c r="F2326">
        <v>7</v>
      </c>
      <c r="G2326">
        <v>0.6</v>
      </c>
      <c r="H2326">
        <v>0.62</v>
      </c>
      <c r="I2326" t="s">
        <v>24</v>
      </c>
      <c r="J2326">
        <v>138280</v>
      </c>
      <c r="K2326" t="s">
        <v>25</v>
      </c>
      <c r="L2326">
        <v>18</v>
      </c>
      <c r="M2326">
        <v>44</v>
      </c>
      <c r="N2326" t="s">
        <v>42</v>
      </c>
      <c r="O2326" t="s">
        <v>27</v>
      </c>
      <c r="P2326">
        <v>4.5</v>
      </c>
      <c r="Q2326" t="s">
        <v>24</v>
      </c>
      <c r="R2326">
        <v>4.9000000000000004</v>
      </c>
      <c r="S2326" t="s">
        <v>43</v>
      </c>
      <c r="T2326" t="str">
        <f t="shared" si="72"/>
        <v>High</v>
      </c>
      <c r="U2326" t="str">
        <f t="shared" si="73"/>
        <v>Intermediate</v>
      </c>
    </row>
    <row r="2327" spans="1:21" x14ac:dyDescent="0.35">
      <c r="A2327" t="s">
        <v>2400</v>
      </c>
      <c r="B2327" t="s">
        <v>30</v>
      </c>
      <c r="C2327" t="s">
        <v>39</v>
      </c>
      <c r="D2327" t="s">
        <v>40</v>
      </c>
      <c r="E2327" t="s">
        <v>70</v>
      </c>
      <c r="F2327">
        <v>14</v>
      </c>
      <c r="G2327">
        <v>0.76</v>
      </c>
      <c r="H2327">
        <v>0.42</v>
      </c>
      <c r="I2327" t="s">
        <v>34</v>
      </c>
      <c r="J2327">
        <v>159422</v>
      </c>
      <c r="K2327" t="s">
        <v>27</v>
      </c>
      <c r="L2327">
        <v>32</v>
      </c>
      <c r="M2327">
        <v>57</v>
      </c>
      <c r="N2327" t="s">
        <v>35</v>
      </c>
      <c r="O2327" t="s">
        <v>25</v>
      </c>
      <c r="P2327">
        <v>3.86</v>
      </c>
      <c r="Q2327" t="s">
        <v>24</v>
      </c>
      <c r="R2327">
        <v>3.86</v>
      </c>
      <c r="S2327" t="s">
        <v>47</v>
      </c>
      <c r="T2327" t="str">
        <f t="shared" si="72"/>
        <v>Very Low</v>
      </c>
      <c r="U2327" t="str">
        <f t="shared" si="73"/>
        <v>Experienced</v>
      </c>
    </row>
    <row r="2328" spans="1:21" x14ac:dyDescent="0.35">
      <c r="A2328" t="s">
        <v>2401</v>
      </c>
      <c r="B2328" t="s">
        <v>96</v>
      </c>
      <c r="C2328" t="s">
        <v>107</v>
      </c>
      <c r="D2328" t="s">
        <v>63</v>
      </c>
      <c r="E2328" t="s">
        <v>33</v>
      </c>
      <c r="F2328">
        <v>24</v>
      </c>
      <c r="G2328">
        <v>0.31</v>
      </c>
      <c r="H2328">
        <v>0.54</v>
      </c>
      <c r="I2328" t="s">
        <v>34</v>
      </c>
      <c r="J2328">
        <v>124389</v>
      </c>
      <c r="K2328" t="s">
        <v>25</v>
      </c>
      <c r="L2328">
        <v>10</v>
      </c>
      <c r="M2328">
        <v>37</v>
      </c>
      <c r="N2328" t="s">
        <v>42</v>
      </c>
      <c r="O2328" t="s">
        <v>27</v>
      </c>
      <c r="P2328">
        <v>4.0999999999999996</v>
      </c>
      <c r="Q2328" t="s">
        <v>34</v>
      </c>
      <c r="R2328">
        <v>2.14</v>
      </c>
      <c r="S2328" t="s">
        <v>28</v>
      </c>
      <c r="T2328" t="str">
        <f t="shared" si="72"/>
        <v>High</v>
      </c>
      <c r="U2328" t="str">
        <f t="shared" si="73"/>
        <v>Expert</v>
      </c>
    </row>
    <row r="2329" spans="1:21" x14ac:dyDescent="0.35">
      <c r="A2329" t="s">
        <v>2402</v>
      </c>
      <c r="B2329" t="s">
        <v>156</v>
      </c>
      <c r="C2329" t="s">
        <v>39</v>
      </c>
      <c r="D2329" t="s">
        <v>49</v>
      </c>
      <c r="E2329" t="s">
        <v>41</v>
      </c>
      <c r="F2329">
        <v>0</v>
      </c>
      <c r="G2329">
        <v>0.1</v>
      </c>
      <c r="H2329">
        <v>0.63</v>
      </c>
      <c r="I2329" t="s">
        <v>24</v>
      </c>
      <c r="J2329">
        <v>217487</v>
      </c>
      <c r="K2329" t="s">
        <v>25</v>
      </c>
      <c r="L2329">
        <v>5</v>
      </c>
      <c r="M2329">
        <v>50</v>
      </c>
      <c r="N2329" t="s">
        <v>35</v>
      </c>
      <c r="O2329" t="s">
        <v>25</v>
      </c>
      <c r="P2329">
        <v>3.51</v>
      </c>
      <c r="Q2329" t="s">
        <v>24</v>
      </c>
      <c r="R2329">
        <v>2.0299999999999998</v>
      </c>
      <c r="S2329" t="s">
        <v>47</v>
      </c>
      <c r="T2329" t="str">
        <f t="shared" si="72"/>
        <v>High</v>
      </c>
      <c r="U2329" t="str">
        <f t="shared" si="73"/>
        <v>Beginner</v>
      </c>
    </row>
    <row r="2330" spans="1:21" x14ac:dyDescent="0.35">
      <c r="A2330" t="s">
        <v>2403</v>
      </c>
      <c r="B2330" t="s">
        <v>68</v>
      </c>
      <c r="C2330" t="s">
        <v>52</v>
      </c>
      <c r="D2330" t="s">
        <v>69</v>
      </c>
      <c r="E2330" t="s">
        <v>41</v>
      </c>
      <c r="F2330">
        <v>18</v>
      </c>
      <c r="G2330">
        <v>0.52</v>
      </c>
      <c r="H2330">
        <v>0.84</v>
      </c>
      <c r="I2330" t="s">
        <v>24</v>
      </c>
      <c r="J2330">
        <v>122680</v>
      </c>
      <c r="K2330" t="s">
        <v>42</v>
      </c>
      <c r="L2330">
        <v>15</v>
      </c>
      <c r="M2330">
        <v>38</v>
      </c>
      <c r="N2330" t="s">
        <v>42</v>
      </c>
      <c r="O2330" t="s">
        <v>36</v>
      </c>
      <c r="P2330">
        <v>4.6900000000000004</v>
      </c>
      <c r="Q2330" t="s">
        <v>24</v>
      </c>
      <c r="R2330">
        <v>2.12</v>
      </c>
      <c r="S2330" t="s">
        <v>28</v>
      </c>
      <c r="T2330" t="str">
        <f t="shared" si="72"/>
        <v>High</v>
      </c>
      <c r="U2330" t="str">
        <f t="shared" si="73"/>
        <v>Expert</v>
      </c>
    </row>
    <row r="2331" spans="1:21" x14ac:dyDescent="0.35">
      <c r="A2331" t="s">
        <v>2404</v>
      </c>
      <c r="B2331" t="s">
        <v>91</v>
      </c>
      <c r="C2331" t="s">
        <v>82</v>
      </c>
      <c r="D2331" t="s">
        <v>69</v>
      </c>
      <c r="E2331" t="s">
        <v>41</v>
      </c>
      <c r="F2331">
        <v>0</v>
      </c>
      <c r="G2331">
        <v>0.16</v>
      </c>
      <c r="H2331">
        <v>0.33</v>
      </c>
      <c r="I2331" t="s">
        <v>34</v>
      </c>
      <c r="J2331">
        <v>152221</v>
      </c>
      <c r="K2331" t="s">
        <v>42</v>
      </c>
      <c r="L2331">
        <v>39</v>
      </c>
      <c r="M2331">
        <v>50</v>
      </c>
      <c r="N2331" t="s">
        <v>35</v>
      </c>
      <c r="O2331" t="s">
        <v>25</v>
      </c>
      <c r="P2331">
        <v>4.17</v>
      </c>
      <c r="Q2331" t="s">
        <v>24</v>
      </c>
      <c r="R2331">
        <v>3.98</v>
      </c>
      <c r="S2331" t="s">
        <v>47</v>
      </c>
      <c r="T2331" t="str">
        <f t="shared" si="72"/>
        <v>High</v>
      </c>
      <c r="U2331" t="str">
        <f t="shared" si="73"/>
        <v>Beginner</v>
      </c>
    </row>
    <row r="2332" spans="1:21" x14ac:dyDescent="0.35">
      <c r="A2332" t="s">
        <v>2405</v>
      </c>
      <c r="B2332" t="s">
        <v>30</v>
      </c>
      <c r="C2332" t="s">
        <v>52</v>
      </c>
      <c r="D2332" t="s">
        <v>80</v>
      </c>
      <c r="E2332" t="s">
        <v>23</v>
      </c>
      <c r="F2332">
        <v>8</v>
      </c>
      <c r="G2332">
        <v>0.86</v>
      </c>
      <c r="H2332">
        <v>0.76</v>
      </c>
      <c r="I2332" t="s">
        <v>60</v>
      </c>
      <c r="J2332">
        <v>184075</v>
      </c>
      <c r="K2332" t="s">
        <v>27</v>
      </c>
      <c r="L2332">
        <v>3</v>
      </c>
      <c r="M2332">
        <v>57</v>
      </c>
      <c r="N2332" t="s">
        <v>35</v>
      </c>
      <c r="O2332" t="s">
        <v>27</v>
      </c>
      <c r="P2332">
        <v>3.75</v>
      </c>
      <c r="Q2332" t="s">
        <v>34</v>
      </c>
      <c r="R2332">
        <v>2.41</v>
      </c>
      <c r="S2332" t="s">
        <v>28</v>
      </c>
      <c r="T2332" t="str">
        <f t="shared" si="72"/>
        <v>Moderate</v>
      </c>
      <c r="U2332" t="str">
        <f t="shared" si="73"/>
        <v>Intermediate</v>
      </c>
    </row>
    <row r="2333" spans="1:21" x14ac:dyDescent="0.35">
      <c r="A2333" t="s">
        <v>2406</v>
      </c>
      <c r="B2333" t="s">
        <v>94</v>
      </c>
      <c r="C2333" t="s">
        <v>21</v>
      </c>
      <c r="D2333" t="s">
        <v>66</v>
      </c>
      <c r="E2333" t="s">
        <v>70</v>
      </c>
      <c r="F2333">
        <v>8</v>
      </c>
      <c r="G2333">
        <v>0.26</v>
      </c>
      <c r="H2333">
        <v>0.43</v>
      </c>
      <c r="I2333" t="s">
        <v>24</v>
      </c>
      <c r="J2333">
        <v>145577</v>
      </c>
      <c r="K2333" t="s">
        <v>27</v>
      </c>
      <c r="L2333">
        <v>35</v>
      </c>
      <c r="M2333">
        <v>57</v>
      </c>
      <c r="N2333" t="s">
        <v>35</v>
      </c>
      <c r="O2333" t="s">
        <v>27</v>
      </c>
      <c r="P2333">
        <v>4.03</v>
      </c>
      <c r="Q2333" t="s">
        <v>34</v>
      </c>
      <c r="R2333">
        <v>4.62</v>
      </c>
      <c r="S2333" t="s">
        <v>43</v>
      </c>
      <c r="T2333" t="str">
        <f t="shared" si="72"/>
        <v>High</v>
      </c>
      <c r="U2333" t="str">
        <f t="shared" si="73"/>
        <v>Intermediate</v>
      </c>
    </row>
    <row r="2334" spans="1:21" x14ac:dyDescent="0.35">
      <c r="A2334" t="s">
        <v>2407</v>
      </c>
      <c r="B2334" t="s">
        <v>77</v>
      </c>
      <c r="C2334" t="s">
        <v>31</v>
      </c>
      <c r="D2334" t="s">
        <v>49</v>
      </c>
      <c r="E2334" t="s">
        <v>23</v>
      </c>
      <c r="F2334">
        <v>24</v>
      </c>
      <c r="G2334">
        <v>0.44</v>
      </c>
      <c r="H2334">
        <v>0.38</v>
      </c>
      <c r="I2334" t="s">
        <v>24</v>
      </c>
      <c r="J2334">
        <v>152642</v>
      </c>
      <c r="K2334" t="s">
        <v>25</v>
      </c>
      <c r="L2334">
        <v>23</v>
      </c>
      <c r="M2334">
        <v>52</v>
      </c>
      <c r="N2334" t="s">
        <v>35</v>
      </c>
      <c r="O2334" t="s">
        <v>27</v>
      </c>
      <c r="P2334">
        <v>2.76</v>
      </c>
      <c r="Q2334" t="s">
        <v>24</v>
      </c>
      <c r="R2334">
        <v>1.05</v>
      </c>
      <c r="S2334" t="s">
        <v>43</v>
      </c>
      <c r="T2334" t="str">
        <f t="shared" si="72"/>
        <v>Moderate</v>
      </c>
      <c r="U2334" t="str">
        <f t="shared" si="73"/>
        <v>Expert</v>
      </c>
    </row>
    <row r="2335" spans="1:21" x14ac:dyDescent="0.35">
      <c r="A2335" t="s">
        <v>2408</v>
      </c>
      <c r="B2335" t="s">
        <v>45</v>
      </c>
      <c r="C2335" t="s">
        <v>74</v>
      </c>
      <c r="D2335" t="s">
        <v>40</v>
      </c>
      <c r="E2335" t="s">
        <v>33</v>
      </c>
      <c r="F2335">
        <v>3</v>
      </c>
      <c r="G2335">
        <v>0.23</v>
      </c>
      <c r="H2335">
        <v>0.52</v>
      </c>
      <c r="I2335" t="s">
        <v>34</v>
      </c>
      <c r="J2335">
        <v>202617</v>
      </c>
      <c r="K2335" t="s">
        <v>42</v>
      </c>
      <c r="L2335">
        <v>15</v>
      </c>
      <c r="M2335">
        <v>53</v>
      </c>
      <c r="N2335" t="s">
        <v>35</v>
      </c>
      <c r="O2335" t="s">
        <v>27</v>
      </c>
      <c r="P2335">
        <v>4.79</v>
      </c>
      <c r="Q2335" t="s">
        <v>34</v>
      </c>
      <c r="R2335">
        <v>1.18</v>
      </c>
      <c r="S2335" t="s">
        <v>47</v>
      </c>
      <c r="T2335" t="str">
        <f t="shared" si="72"/>
        <v>High</v>
      </c>
      <c r="U2335" t="str">
        <f t="shared" si="73"/>
        <v>Intermediate</v>
      </c>
    </row>
    <row r="2336" spans="1:21" x14ac:dyDescent="0.35">
      <c r="A2336" t="s">
        <v>2409</v>
      </c>
      <c r="B2336" t="s">
        <v>94</v>
      </c>
      <c r="C2336" t="s">
        <v>74</v>
      </c>
      <c r="D2336" t="s">
        <v>80</v>
      </c>
      <c r="E2336" t="s">
        <v>33</v>
      </c>
      <c r="F2336">
        <v>24</v>
      </c>
      <c r="G2336">
        <v>0.69</v>
      </c>
      <c r="H2336">
        <v>0.3</v>
      </c>
      <c r="I2336" t="s">
        <v>60</v>
      </c>
      <c r="J2336">
        <v>126867</v>
      </c>
      <c r="K2336" t="s">
        <v>25</v>
      </c>
      <c r="L2336">
        <v>25</v>
      </c>
      <c r="M2336">
        <v>56</v>
      </c>
      <c r="N2336" t="s">
        <v>42</v>
      </c>
      <c r="O2336" t="s">
        <v>36</v>
      </c>
      <c r="P2336">
        <v>4.1100000000000003</v>
      </c>
      <c r="Q2336" t="s">
        <v>24</v>
      </c>
      <c r="R2336">
        <v>3.51</v>
      </c>
      <c r="S2336" t="s">
        <v>43</v>
      </c>
      <c r="T2336" t="str">
        <f t="shared" si="72"/>
        <v>Moderate</v>
      </c>
      <c r="U2336" t="str">
        <f t="shared" si="73"/>
        <v>Expert</v>
      </c>
    </row>
    <row r="2337" spans="1:21" x14ac:dyDescent="0.35">
      <c r="A2337" t="s">
        <v>2410</v>
      </c>
      <c r="B2337" t="s">
        <v>54</v>
      </c>
      <c r="C2337" t="s">
        <v>52</v>
      </c>
      <c r="D2337" t="s">
        <v>69</v>
      </c>
      <c r="E2337" t="s">
        <v>41</v>
      </c>
      <c r="F2337">
        <v>16</v>
      </c>
      <c r="G2337">
        <v>0.55000000000000004</v>
      </c>
      <c r="H2337">
        <v>0.35</v>
      </c>
      <c r="I2337" t="s">
        <v>24</v>
      </c>
      <c r="J2337">
        <v>82032</v>
      </c>
      <c r="K2337" t="s">
        <v>42</v>
      </c>
      <c r="L2337">
        <v>8</v>
      </c>
      <c r="M2337">
        <v>49</v>
      </c>
      <c r="N2337" t="s">
        <v>26</v>
      </c>
      <c r="O2337" t="s">
        <v>36</v>
      </c>
      <c r="P2337">
        <v>4.99</v>
      </c>
      <c r="Q2337" t="s">
        <v>24</v>
      </c>
      <c r="R2337">
        <v>3.42</v>
      </c>
      <c r="S2337" t="s">
        <v>43</v>
      </c>
      <c r="T2337" t="str">
        <f t="shared" si="72"/>
        <v>Moderate</v>
      </c>
      <c r="U2337" t="str">
        <f t="shared" si="73"/>
        <v>Expert</v>
      </c>
    </row>
    <row r="2338" spans="1:21" x14ac:dyDescent="0.35">
      <c r="A2338" t="s">
        <v>2411</v>
      </c>
      <c r="B2338" t="s">
        <v>89</v>
      </c>
      <c r="C2338" t="s">
        <v>58</v>
      </c>
      <c r="D2338" t="s">
        <v>49</v>
      </c>
      <c r="E2338" t="s">
        <v>41</v>
      </c>
      <c r="F2338">
        <v>19</v>
      </c>
      <c r="G2338">
        <v>0.36</v>
      </c>
      <c r="H2338">
        <v>0.94</v>
      </c>
      <c r="I2338" t="s">
        <v>24</v>
      </c>
      <c r="J2338">
        <v>35808</v>
      </c>
      <c r="K2338" t="s">
        <v>42</v>
      </c>
      <c r="L2338">
        <v>35</v>
      </c>
      <c r="M2338">
        <v>46</v>
      </c>
      <c r="N2338" t="s">
        <v>26</v>
      </c>
      <c r="O2338" t="s">
        <v>36</v>
      </c>
      <c r="P2338">
        <v>3.55</v>
      </c>
      <c r="Q2338" t="s">
        <v>24</v>
      </c>
      <c r="R2338">
        <v>1.3</v>
      </c>
      <c r="S2338" t="s">
        <v>47</v>
      </c>
      <c r="T2338" t="str">
        <f t="shared" si="72"/>
        <v>Very High</v>
      </c>
      <c r="U2338" t="str">
        <f t="shared" si="73"/>
        <v>Expert</v>
      </c>
    </row>
    <row r="2339" spans="1:21" x14ac:dyDescent="0.35">
      <c r="A2339" t="s">
        <v>2412</v>
      </c>
      <c r="B2339" t="s">
        <v>54</v>
      </c>
      <c r="C2339" t="s">
        <v>74</v>
      </c>
      <c r="D2339" t="s">
        <v>66</v>
      </c>
      <c r="E2339" t="s">
        <v>41</v>
      </c>
      <c r="F2339">
        <v>16</v>
      </c>
      <c r="G2339">
        <v>0.21</v>
      </c>
      <c r="H2339">
        <v>0.62</v>
      </c>
      <c r="I2339" t="s">
        <v>24</v>
      </c>
      <c r="J2339">
        <v>188046</v>
      </c>
      <c r="K2339" t="s">
        <v>25</v>
      </c>
      <c r="L2339">
        <v>39</v>
      </c>
      <c r="M2339">
        <v>45</v>
      </c>
      <c r="N2339" t="s">
        <v>26</v>
      </c>
      <c r="O2339" t="s">
        <v>27</v>
      </c>
      <c r="P2339">
        <v>2.3199999999999998</v>
      </c>
      <c r="Q2339" t="s">
        <v>34</v>
      </c>
      <c r="R2339">
        <v>4.01</v>
      </c>
      <c r="S2339" t="s">
        <v>28</v>
      </c>
      <c r="T2339" t="str">
        <f t="shared" si="72"/>
        <v>High</v>
      </c>
      <c r="U2339" t="str">
        <f t="shared" si="73"/>
        <v>Expert</v>
      </c>
    </row>
    <row r="2340" spans="1:21" x14ac:dyDescent="0.35">
      <c r="A2340" t="s">
        <v>2413</v>
      </c>
      <c r="B2340" t="s">
        <v>73</v>
      </c>
      <c r="C2340" t="s">
        <v>39</v>
      </c>
      <c r="D2340" t="s">
        <v>22</v>
      </c>
      <c r="E2340" t="s">
        <v>70</v>
      </c>
      <c r="F2340">
        <v>21</v>
      </c>
      <c r="G2340">
        <v>0.87</v>
      </c>
      <c r="H2340">
        <v>0.38</v>
      </c>
      <c r="I2340" t="s">
        <v>24</v>
      </c>
      <c r="J2340">
        <v>64833</v>
      </c>
      <c r="K2340" t="s">
        <v>27</v>
      </c>
      <c r="L2340">
        <v>35</v>
      </c>
      <c r="M2340">
        <v>55</v>
      </c>
      <c r="N2340" t="s">
        <v>35</v>
      </c>
      <c r="O2340" t="s">
        <v>36</v>
      </c>
      <c r="P2340">
        <v>3.53</v>
      </c>
      <c r="Q2340" t="s">
        <v>34</v>
      </c>
      <c r="R2340">
        <v>2.79</v>
      </c>
      <c r="S2340" t="s">
        <v>43</v>
      </c>
      <c r="T2340" t="str">
        <f t="shared" si="72"/>
        <v>Very Low</v>
      </c>
      <c r="U2340" t="str">
        <f t="shared" si="73"/>
        <v>Expert</v>
      </c>
    </row>
    <row r="2341" spans="1:21" x14ac:dyDescent="0.35">
      <c r="A2341" t="s">
        <v>2414</v>
      </c>
      <c r="B2341" t="s">
        <v>96</v>
      </c>
      <c r="C2341" t="s">
        <v>58</v>
      </c>
      <c r="D2341" t="s">
        <v>59</v>
      </c>
      <c r="E2341" t="s">
        <v>23</v>
      </c>
      <c r="F2341">
        <v>14</v>
      </c>
      <c r="G2341">
        <v>0.34</v>
      </c>
      <c r="H2341">
        <v>0.83</v>
      </c>
      <c r="I2341" t="s">
        <v>24</v>
      </c>
      <c r="J2341">
        <v>196994</v>
      </c>
      <c r="K2341" t="s">
        <v>25</v>
      </c>
      <c r="L2341">
        <v>14</v>
      </c>
      <c r="M2341">
        <v>32</v>
      </c>
      <c r="N2341" t="s">
        <v>42</v>
      </c>
      <c r="O2341" t="s">
        <v>25</v>
      </c>
      <c r="P2341">
        <v>4.92</v>
      </c>
      <c r="Q2341" t="s">
        <v>34</v>
      </c>
      <c r="R2341">
        <v>2.12</v>
      </c>
      <c r="S2341" t="s">
        <v>43</v>
      </c>
      <c r="T2341" t="str">
        <f t="shared" si="72"/>
        <v>Very High</v>
      </c>
      <c r="U2341" t="str">
        <f t="shared" si="73"/>
        <v>Experienced</v>
      </c>
    </row>
    <row r="2342" spans="1:21" x14ac:dyDescent="0.35">
      <c r="A2342" t="s">
        <v>2415</v>
      </c>
      <c r="B2342" t="s">
        <v>45</v>
      </c>
      <c r="C2342" t="s">
        <v>31</v>
      </c>
      <c r="D2342" t="s">
        <v>80</v>
      </c>
      <c r="E2342" t="s">
        <v>33</v>
      </c>
      <c r="F2342">
        <v>22</v>
      </c>
      <c r="G2342">
        <v>0.6</v>
      </c>
      <c r="H2342">
        <v>0.55000000000000004</v>
      </c>
      <c r="I2342" t="s">
        <v>34</v>
      </c>
      <c r="J2342">
        <v>215803</v>
      </c>
      <c r="K2342" t="s">
        <v>27</v>
      </c>
      <c r="L2342">
        <v>5</v>
      </c>
      <c r="M2342">
        <v>43</v>
      </c>
      <c r="N2342" t="s">
        <v>42</v>
      </c>
      <c r="O2342" t="s">
        <v>27</v>
      </c>
      <c r="P2342">
        <v>3.03</v>
      </c>
      <c r="Q2342" t="s">
        <v>34</v>
      </c>
      <c r="R2342">
        <v>3.11</v>
      </c>
      <c r="S2342" t="s">
        <v>28</v>
      </c>
      <c r="T2342" t="str">
        <f t="shared" si="72"/>
        <v>Moderate</v>
      </c>
      <c r="U2342" t="str">
        <f t="shared" si="73"/>
        <v>Expert</v>
      </c>
    </row>
    <row r="2343" spans="1:21" x14ac:dyDescent="0.35">
      <c r="A2343" t="s">
        <v>2416</v>
      </c>
      <c r="B2343" t="s">
        <v>156</v>
      </c>
      <c r="C2343" t="s">
        <v>21</v>
      </c>
      <c r="D2343" t="s">
        <v>49</v>
      </c>
      <c r="E2343" t="s">
        <v>70</v>
      </c>
      <c r="F2343">
        <v>24</v>
      </c>
      <c r="G2343">
        <v>0.4</v>
      </c>
      <c r="H2343">
        <v>0.41</v>
      </c>
      <c r="I2343" t="s">
        <v>24</v>
      </c>
      <c r="J2343">
        <v>132502</v>
      </c>
      <c r="K2343" t="s">
        <v>27</v>
      </c>
      <c r="L2343">
        <v>14</v>
      </c>
      <c r="M2343">
        <v>39</v>
      </c>
      <c r="N2343" t="s">
        <v>35</v>
      </c>
      <c r="O2343" t="s">
        <v>27</v>
      </c>
      <c r="P2343">
        <v>2.1800000000000002</v>
      </c>
      <c r="Q2343" t="s">
        <v>24</v>
      </c>
      <c r="R2343">
        <v>2.31</v>
      </c>
      <c r="S2343" t="s">
        <v>28</v>
      </c>
      <c r="T2343" t="str">
        <f t="shared" si="72"/>
        <v>High</v>
      </c>
      <c r="U2343" t="str">
        <f t="shared" si="73"/>
        <v>Expert</v>
      </c>
    </row>
    <row r="2344" spans="1:21" x14ac:dyDescent="0.35">
      <c r="A2344" t="s">
        <v>2417</v>
      </c>
      <c r="B2344" t="s">
        <v>89</v>
      </c>
      <c r="C2344" t="s">
        <v>107</v>
      </c>
      <c r="D2344" t="s">
        <v>49</v>
      </c>
      <c r="E2344" t="s">
        <v>23</v>
      </c>
      <c r="F2344">
        <v>10</v>
      </c>
      <c r="G2344">
        <v>0.52</v>
      </c>
      <c r="H2344">
        <v>0.69</v>
      </c>
      <c r="I2344" t="s">
        <v>34</v>
      </c>
      <c r="J2344">
        <v>175977</v>
      </c>
      <c r="K2344" t="s">
        <v>25</v>
      </c>
      <c r="L2344">
        <v>-2</v>
      </c>
      <c r="M2344">
        <v>37</v>
      </c>
      <c r="N2344" t="s">
        <v>42</v>
      </c>
      <c r="O2344" t="s">
        <v>36</v>
      </c>
      <c r="P2344">
        <v>4.29</v>
      </c>
      <c r="Q2344" t="s">
        <v>34</v>
      </c>
      <c r="R2344">
        <v>2.38</v>
      </c>
      <c r="S2344" t="s">
        <v>47</v>
      </c>
      <c r="T2344" t="str">
        <f t="shared" si="72"/>
        <v>High</v>
      </c>
      <c r="U2344" t="str">
        <f t="shared" si="73"/>
        <v>Experienced</v>
      </c>
    </row>
    <row r="2345" spans="1:21" x14ac:dyDescent="0.35">
      <c r="A2345" t="s">
        <v>2418</v>
      </c>
      <c r="B2345" t="s">
        <v>94</v>
      </c>
      <c r="C2345" t="s">
        <v>74</v>
      </c>
      <c r="D2345" t="s">
        <v>32</v>
      </c>
      <c r="E2345" t="s">
        <v>33</v>
      </c>
      <c r="F2345">
        <v>21</v>
      </c>
      <c r="G2345">
        <v>0.2</v>
      </c>
      <c r="H2345">
        <v>0.85</v>
      </c>
      <c r="I2345" t="s">
        <v>34</v>
      </c>
      <c r="J2345">
        <v>199048</v>
      </c>
      <c r="K2345" t="s">
        <v>42</v>
      </c>
      <c r="L2345">
        <v>13</v>
      </c>
      <c r="M2345">
        <v>42</v>
      </c>
      <c r="N2345" t="s">
        <v>35</v>
      </c>
      <c r="O2345" t="s">
        <v>36</v>
      </c>
      <c r="P2345">
        <v>3.11</v>
      </c>
      <c r="Q2345" t="s">
        <v>34</v>
      </c>
      <c r="R2345">
        <v>2.36</v>
      </c>
      <c r="S2345" t="s">
        <v>43</v>
      </c>
      <c r="T2345" t="str">
        <f t="shared" si="72"/>
        <v>Very High</v>
      </c>
      <c r="U2345" t="str">
        <f t="shared" si="73"/>
        <v>Expert</v>
      </c>
    </row>
    <row r="2346" spans="1:21" x14ac:dyDescent="0.35">
      <c r="A2346" t="s">
        <v>2419</v>
      </c>
      <c r="B2346" t="s">
        <v>30</v>
      </c>
      <c r="C2346" t="s">
        <v>39</v>
      </c>
      <c r="D2346" t="s">
        <v>69</v>
      </c>
      <c r="E2346" t="s">
        <v>70</v>
      </c>
      <c r="F2346">
        <v>20</v>
      </c>
      <c r="G2346">
        <v>0.59</v>
      </c>
      <c r="H2346">
        <v>0.49</v>
      </c>
      <c r="I2346" t="s">
        <v>24</v>
      </c>
      <c r="J2346">
        <v>123855</v>
      </c>
      <c r="K2346" t="s">
        <v>25</v>
      </c>
      <c r="L2346">
        <v>33</v>
      </c>
      <c r="M2346">
        <v>31</v>
      </c>
      <c r="N2346" t="s">
        <v>26</v>
      </c>
      <c r="O2346" t="s">
        <v>36</v>
      </c>
      <c r="P2346">
        <v>3.31</v>
      </c>
      <c r="Q2346" t="s">
        <v>34</v>
      </c>
      <c r="R2346">
        <v>2.0299999999999998</v>
      </c>
      <c r="S2346" t="s">
        <v>43</v>
      </c>
      <c r="T2346" t="str">
        <f t="shared" si="72"/>
        <v>Moderate</v>
      </c>
      <c r="U2346" t="str">
        <f t="shared" si="73"/>
        <v>Expert</v>
      </c>
    </row>
    <row r="2347" spans="1:21" x14ac:dyDescent="0.35">
      <c r="A2347" t="s">
        <v>2420</v>
      </c>
      <c r="B2347" t="s">
        <v>20</v>
      </c>
      <c r="C2347" t="s">
        <v>107</v>
      </c>
      <c r="D2347" t="s">
        <v>69</v>
      </c>
      <c r="E2347" t="s">
        <v>33</v>
      </c>
      <c r="F2347">
        <v>14</v>
      </c>
      <c r="G2347">
        <v>0.69</v>
      </c>
      <c r="H2347">
        <v>0.96</v>
      </c>
      <c r="I2347" t="s">
        <v>24</v>
      </c>
      <c r="J2347">
        <v>47842</v>
      </c>
      <c r="K2347" t="s">
        <v>42</v>
      </c>
      <c r="L2347">
        <v>44</v>
      </c>
      <c r="M2347">
        <v>37</v>
      </c>
      <c r="N2347" t="s">
        <v>26</v>
      </c>
      <c r="O2347" t="s">
        <v>27</v>
      </c>
      <c r="P2347">
        <v>2.99</v>
      </c>
      <c r="Q2347" t="s">
        <v>24</v>
      </c>
      <c r="R2347">
        <v>4.46</v>
      </c>
      <c r="S2347" t="s">
        <v>28</v>
      </c>
      <c r="T2347" t="str">
        <f t="shared" si="72"/>
        <v>High</v>
      </c>
      <c r="U2347" t="str">
        <f t="shared" si="73"/>
        <v>Experienced</v>
      </c>
    </row>
    <row r="2348" spans="1:21" x14ac:dyDescent="0.35">
      <c r="A2348" t="s">
        <v>2421</v>
      </c>
      <c r="B2348" t="s">
        <v>38</v>
      </c>
      <c r="C2348" t="s">
        <v>46</v>
      </c>
      <c r="D2348" t="s">
        <v>49</v>
      </c>
      <c r="E2348" t="s">
        <v>33</v>
      </c>
      <c r="F2348">
        <v>17</v>
      </c>
      <c r="G2348">
        <v>0.75</v>
      </c>
      <c r="H2348">
        <v>0.38</v>
      </c>
      <c r="I2348" t="s">
        <v>34</v>
      </c>
      <c r="J2348">
        <v>64459</v>
      </c>
      <c r="K2348" t="s">
        <v>42</v>
      </c>
      <c r="L2348">
        <v>7</v>
      </c>
      <c r="M2348">
        <v>57</v>
      </c>
      <c r="N2348" t="s">
        <v>35</v>
      </c>
      <c r="O2348" t="s">
        <v>36</v>
      </c>
      <c r="P2348">
        <v>2.1800000000000002</v>
      </c>
      <c r="Q2348" t="s">
        <v>34</v>
      </c>
      <c r="R2348">
        <v>4.28</v>
      </c>
      <c r="S2348" t="s">
        <v>28</v>
      </c>
      <c r="T2348" t="str">
        <f t="shared" si="72"/>
        <v>Very Low</v>
      </c>
      <c r="U2348" t="str">
        <f t="shared" si="73"/>
        <v>Expert</v>
      </c>
    </row>
    <row r="2349" spans="1:21" x14ac:dyDescent="0.35">
      <c r="A2349" t="s">
        <v>2422</v>
      </c>
      <c r="B2349" t="s">
        <v>20</v>
      </c>
      <c r="C2349" t="s">
        <v>46</v>
      </c>
      <c r="D2349" t="s">
        <v>75</v>
      </c>
      <c r="E2349" t="s">
        <v>23</v>
      </c>
      <c r="F2349">
        <v>12</v>
      </c>
      <c r="G2349">
        <v>0.68</v>
      </c>
      <c r="H2349">
        <v>0.9</v>
      </c>
      <c r="I2349" t="s">
        <v>24</v>
      </c>
      <c r="J2349">
        <v>192555</v>
      </c>
      <c r="K2349" t="s">
        <v>42</v>
      </c>
      <c r="L2349">
        <v>32</v>
      </c>
      <c r="M2349">
        <v>35</v>
      </c>
      <c r="N2349" t="s">
        <v>42</v>
      </c>
      <c r="O2349" t="s">
        <v>25</v>
      </c>
      <c r="P2349">
        <v>2.92</v>
      </c>
      <c r="Q2349" t="s">
        <v>34</v>
      </c>
      <c r="R2349">
        <v>1.41</v>
      </c>
      <c r="S2349" t="s">
        <v>43</v>
      </c>
      <c r="T2349" t="str">
        <f t="shared" si="72"/>
        <v>High</v>
      </c>
      <c r="U2349" t="str">
        <f t="shared" si="73"/>
        <v>Experienced</v>
      </c>
    </row>
    <row r="2350" spans="1:21" x14ac:dyDescent="0.35">
      <c r="A2350" t="s">
        <v>2423</v>
      </c>
      <c r="B2350" t="s">
        <v>96</v>
      </c>
      <c r="C2350" t="s">
        <v>82</v>
      </c>
      <c r="D2350" t="s">
        <v>40</v>
      </c>
      <c r="E2350" t="s">
        <v>23</v>
      </c>
      <c r="F2350">
        <v>6</v>
      </c>
      <c r="G2350">
        <v>0.13</v>
      </c>
      <c r="H2350">
        <v>0.9</v>
      </c>
      <c r="I2350" t="s">
        <v>34</v>
      </c>
      <c r="J2350">
        <v>62137</v>
      </c>
      <c r="K2350" t="s">
        <v>42</v>
      </c>
      <c r="L2350">
        <v>44</v>
      </c>
      <c r="M2350">
        <v>32</v>
      </c>
      <c r="N2350" t="s">
        <v>35</v>
      </c>
      <c r="O2350" t="s">
        <v>27</v>
      </c>
      <c r="P2350">
        <v>3.58</v>
      </c>
      <c r="Q2350" t="s">
        <v>34</v>
      </c>
      <c r="R2350">
        <v>1.79</v>
      </c>
      <c r="S2350" t="s">
        <v>43</v>
      </c>
      <c r="T2350" t="str">
        <f t="shared" si="72"/>
        <v>Very High</v>
      </c>
      <c r="U2350" t="str">
        <f t="shared" si="73"/>
        <v>Intermediate</v>
      </c>
    </row>
    <row r="2351" spans="1:21" x14ac:dyDescent="0.35">
      <c r="A2351" t="s">
        <v>2424</v>
      </c>
      <c r="B2351" t="s">
        <v>68</v>
      </c>
      <c r="C2351" t="s">
        <v>52</v>
      </c>
      <c r="D2351" t="s">
        <v>32</v>
      </c>
      <c r="E2351" t="s">
        <v>70</v>
      </c>
      <c r="F2351">
        <v>23</v>
      </c>
      <c r="G2351">
        <v>0.41</v>
      </c>
      <c r="H2351">
        <v>0.53</v>
      </c>
      <c r="I2351" t="s">
        <v>60</v>
      </c>
      <c r="J2351">
        <v>218304</v>
      </c>
      <c r="K2351" t="s">
        <v>27</v>
      </c>
      <c r="L2351">
        <v>15</v>
      </c>
      <c r="M2351">
        <v>49</v>
      </c>
      <c r="N2351" t="s">
        <v>26</v>
      </c>
      <c r="O2351" t="s">
        <v>27</v>
      </c>
      <c r="P2351">
        <v>3.57</v>
      </c>
      <c r="Q2351" t="s">
        <v>34</v>
      </c>
      <c r="R2351">
        <v>2.92</v>
      </c>
      <c r="S2351" t="s">
        <v>43</v>
      </c>
      <c r="T2351" t="str">
        <f t="shared" si="72"/>
        <v>High</v>
      </c>
      <c r="U2351" t="str">
        <f t="shared" si="73"/>
        <v>Expert</v>
      </c>
    </row>
    <row r="2352" spans="1:21" x14ac:dyDescent="0.35">
      <c r="A2352" t="s">
        <v>2425</v>
      </c>
      <c r="B2352" t="s">
        <v>51</v>
      </c>
      <c r="C2352" t="s">
        <v>82</v>
      </c>
      <c r="D2352" t="s">
        <v>66</v>
      </c>
      <c r="E2352" t="s">
        <v>23</v>
      </c>
      <c r="F2352">
        <v>12</v>
      </c>
      <c r="G2352">
        <v>0.33</v>
      </c>
      <c r="H2352">
        <v>0.65</v>
      </c>
      <c r="I2352" t="s">
        <v>60</v>
      </c>
      <c r="J2352">
        <v>194933</v>
      </c>
      <c r="K2352" t="s">
        <v>27</v>
      </c>
      <c r="L2352">
        <v>17</v>
      </c>
      <c r="M2352">
        <v>44</v>
      </c>
      <c r="N2352" t="s">
        <v>35</v>
      </c>
      <c r="O2352" t="s">
        <v>27</v>
      </c>
      <c r="P2352">
        <v>3.37</v>
      </c>
      <c r="Q2352" t="s">
        <v>34</v>
      </c>
      <c r="R2352">
        <v>4.37</v>
      </c>
      <c r="S2352" t="s">
        <v>47</v>
      </c>
      <c r="T2352" t="str">
        <f t="shared" si="72"/>
        <v>High</v>
      </c>
      <c r="U2352" t="str">
        <f t="shared" si="73"/>
        <v>Experienced</v>
      </c>
    </row>
    <row r="2353" spans="1:21" x14ac:dyDescent="0.35">
      <c r="A2353" t="s">
        <v>2426</v>
      </c>
      <c r="B2353" t="s">
        <v>51</v>
      </c>
      <c r="C2353" t="s">
        <v>39</v>
      </c>
      <c r="D2353" t="s">
        <v>63</v>
      </c>
      <c r="E2353" t="s">
        <v>33</v>
      </c>
      <c r="F2353">
        <v>19</v>
      </c>
      <c r="G2353">
        <v>0.35</v>
      </c>
      <c r="H2353">
        <v>0.62</v>
      </c>
      <c r="I2353" t="s">
        <v>60</v>
      </c>
      <c r="J2353">
        <v>211365</v>
      </c>
      <c r="K2353" t="s">
        <v>25</v>
      </c>
      <c r="L2353">
        <v>-9</v>
      </c>
      <c r="M2353">
        <v>55</v>
      </c>
      <c r="N2353" t="s">
        <v>26</v>
      </c>
      <c r="O2353" t="s">
        <v>25</v>
      </c>
      <c r="P2353">
        <v>2.88</v>
      </c>
      <c r="Q2353" t="s">
        <v>24</v>
      </c>
      <c r="R2353">
        <v>1.89</v>
      </c>
      <c r="S2353" t="s">
        <v>43</v>
      </c>
      <c r="T2353" t="str">
        <f t="shared" si="72"/>
        <v>High</v>
      </c>
      <c r="U2353" t="str">
        <f t="shared" si="73"/>
        <v>Expert</v>
      </c>
    </row>
    <row r="2354" spans="1:21" x14ac:dyDescent="0.35">
      <c r="A2354" t="s">
        <v>2427</v>
      </c>
      <c r="B2354" t="s">
        <v>45</v>
      </c>
      <c r="C2354" t="s">
        <v>74</v>
      </c>
      <c r="D2354" t="s">
        <v>63</v>
      </c>
      <c r="E2354" t="s">
        <v>33</v>
      </c>
      <c r="F2354">
        <v>5</v>
      </c>
      <c r="G2354">
        <v>0.95</v>
      </c>
      <c r="H2354">
        <v>0.57999999999999996</v>
      </c>
      <c r="I2354" t="s">
        <v>24</v>
      </c>
      <c r="J2354">
        <v>55135</v>
      </c>
      <c r="K2354" t="s">
        <v>27</v>
      </c>
      <c r="L2354">
        <v>-3</v>
      </c>
      <c r="M2354">
        <v>56</v>
      </c>
      <c r="N2354" t="s">
        <v>26</v>
      </c>
      <c r="O2354" t="s">
        <v>36</v>
      </c>
      <c r="P2354">
        <v>2.25</v>
      </c>
      <c r="Q2354" t="s">
        <v>24</v>
      </c>
      <c r="R2354">
        <v>4.13</v>
      </c>
      <c r="S2354" t="s">
        <v>47</v>
      </c>
      <c r="T2354" t="str">
        <f t="shared" si="72"/>
        <v>Moderate</v>
      </c>
      <c r="U2354" t="str">
        <f t="shared" si="73"/>
        <v>Intermediate</v>
      </c>
    </row>
    <row r="2355" spans="1:21" x14ac:dyDescent="0.35">
      <c r="A2355" t="s">
        <v>2428</v>
      </c>
      <c r="B2355" t="s">
        <v>102</v>
      </c>
      <c r="C2355" t="s">
        <v>21</v>
      </c>
      <c r="D2355" t="s">
        <v>69</v>
      </c>
      <c r="E2355" t="s">
        <v>70</v>
      </c>
      <c r="F2355">
        <v>10</v>
      </c>
      <c r="G2355">
        <v>0.93</v>
      </c>
      <c r="H2355">
        <v>0.68</v>
      </c>
      <c r="I2355" t="s">
        <v>24</v>
      </c>
      <c r="J2355">
        <v>60662</v>
      </c>
      <c r="K2355" t="s">
        <v>27</v>
      </c>
      <c r="L2355">
        <v>2</v>
      </c>
      <c r="M2355">
        <v>36</v>
      </c>
      <c r="N2355" t="s">
        <v>42</v>
      </c>
      <c r="O2355" t="s">
        <v>36</v>
      </c>
      <c r="P2355">
        <v>2.48</v>
      </c>
      <c r="Q2355" t="s">
        <v>34</v>
      </c>
      <c r="R2355">
        <v>4.95</v>
      </c>
      <c r="S2355" t="s">
        <v>47</v>
      </c>
      <c r="T2355" t="str">
        <f t="shared" si="72"/>
        <v>Moderate</v>
      </c>
      <c r="U2355" t="str">
        <f t="shared" si="73"/>
        <v>Experienced</v>
      </c>
    </row>
    <row r="2356" spans="1:21" x14ac:dyDescent="0.35">
      <c r="A2356" t="s">
        <v>2429</v>
      </c>
      <c r="B2356" t="s">
        <v>62</v>
      </c>
      <c r="C2356" t="s">
        <v>52</v>
      </c>
      <c r="D2356" t="s">
        <v>49</v>
      </c>
      <c r="E2356" t="s">
        <v>70</v>
      </c>
      <c r="F2356">
        <v>24</v>
      </c>
      <c r="G2356">
        <v>0.13</v>
      </c>
      <c r="H2356">
        <v>0.28000000000000003</v>
      </c>
      <c r="I2356" t="s">
        <v>60</v>
      </c>
      <c r="J2356">
        <v>118420</v>
      </c>
      <c r="K2356" t="s">
        <v>25</v>
      </c>
      <c r="L2356">
        <v>8</v>
      </c>
      <c r="M2356">
        <v>48</v>
      </c>
      <c r="N2356" t="s">
        <v>26</v>
      </c>
      <c r="O2356" t="s">
        <v>27</v>
      </c>
      <c r="P2356">
        <v>3.82</v>
      </c>
      <c r="Q2356" t="s">
        <v>34</v>
      </c>
      <c r="R2356">
        <v>2.88</v>
      </c>
      <c r="S2356" t="s">
        <v>47</v>
      </c>
      <c r="T2356" t="str">
        <f t="shared" si="72"/>
        <v>High</v>
      </c>
      <c r="U2356" t="str">
        <f t="shared" si="73"/>
        <v>Expert</v>
      </c>
    </row>
    <row r="2357" spans="1:21" x14ac:dyDescent="0.35">
      <c r="A2357" t="s">
        <v>2430</v>
      </c>
      <c r="B2357" t="s">
        <v>147</v>
      </c>
      <c r="C2357" t="s">
        <v>55</v>
      </c>
      <c r="D2357" t="s">
        <v>59</v>
      </c>
      <c r="E2357" t="s">
        <v>33</v>
      </c>
      <c r="F2357">
        <v>1</v>
      </c>
      <c r="G2357">
        <v>0.44</v>
      </c>
      <c r="H2357">
        <v>0.72</v>
      </c>
      <c r="I2357" t="s">
        <v>24</v>
      </c>
      <c r="J2357">
        <v>63016</v>
      </c>
      <c r="K2357" t="s">
        <v>42</v>
      </c>
      <c r="L2357">
        <v>41</v>
      </c>
      <c r="M2357">
        <v>59</v>
      </c>
      <c r="N2357" t="s">
        <v>35</v>
      </c>
      <c r="O2357" t="s">
        <v>36</v>
      </c>
      <c r="P2357">
        <v>2.92</v>
      </c>
      <c r="Q2357" t="s">
        <v>34</v>
      </c>
      <c r="R2357">
        <v>4.22</v>
      </c>
      <c r="S2357" t="s">
        <v>47</v>
      </c>
      <c r="T2357" t="str">
        <f t="shared" si="72"/>
        <v>High</v>
      </c>
      <c r="U2357" t="str">
        <f t="shared" si="73"/>
        <v>Beginner</v>
      </c>
    </row>
    <row r="2358" spans="1:21" x14ac:dyDescent="0.35">
      <c r="A2358" t="s">
        <v>2431</v>
      </c>
      <c r="B2358" t="s">
        <v>62</v>
      </c>
      <c r="C2358" t="s">
        <v>31</v>
      </c>
      <c r="D2358" t="s">
        <v>22</v>
      </c>
      <c r="E2358" t="s">
        <v>41</v>
      </c>
      <c r="F2358">
        <v>0</v>
      </c>
      <c r="G2358">
        <v>0.26</v>
      </c>
      <c r="H2358">
        <v>0.7</v>
      </c>
      <c r="I2358" t="s">
        <v>60</v>
      </c>
      <c r="J2358">
        <v>108721</v>
      </c>
      <c r="K2358" t="s">
        <v>42</v>
      </c>
      <c r="L2358">
        <v>2</v>
      </c>
      <c r="M2358">
        <v>54</v>
      </c>
      <c r="N2358" t="s">
        <v>35</v>
      </c>
      <c r="O2358" t="s">
        <v>36</v>
      </c>
      <c r="P2358">
        <v>4.58</v>
      </c>
      <c r="Q2358" t="s">
        <v>24</v>
      </c>
      <c r="R2358">
        <v>3.26</v>
      </c>
      <c r="S2358" t="s">
        <v>28</v>
      </c>
      <c r="T2358" t="str">
        <f t="shared" si="72"/>
        <v>Very High</v>
      </c>
      <c r="U2358" t="str">
        <f t="shared" si="73"/>
        <v>Beginner</v>
      </c>
    </row>
    <row r="2359" spans="1:21" x14ac:dyDescent="0.35">
      <c r="A2359" t="s">
        <v>2432</v>
      </c>
      <c r="B2359" t="s">
        <v>106</v>
      </c>
      <c r="C2359" t="s">
        <v>46</v>
      </c>
      <c r="D2359" t="s">
        <v>22</v>
      </c>
      <c r="E2359" t="s">
        <v>33</v>
      </c>
      <c r="F2359">
        <v>24</v>
      </c>
      <c r="G2359">
        <v>0.18</v>
      </c>
      <c r="H2359">
        <v>0.98</v>
      </c>
      <c r="I2359" t="s">
        <v>24</v>
      </c>
      <c r="J2359">
        <v>107208</v>
      </c>
      <c r="K2359" t="s">
        <v>25</v>
      </c>
      <c r="L2359">
        <v>29</v>
      </c>
      <c r="M2359">
        <v>56</v>
      </c>
      <c r="N2359" t="s">
        <v>35</v>
      </c>
      <c r="O2359" t="s">
        <v>36</v>
      </c>
      <c r="P2359">
        <v>3.34</v>
      </c>
      <c r="Q2359" t="s">
        <v>24</v>
      </c>
      <c r="R2359">
        <v>3.57</v>
      </c>
      <c r="S2359" t="s">
        <v>28</v>
      </c>
      <c r="T2359" t="str">
        <f t="shared" si="72"/>
        <v>Very High</v>
      </c>
      <c r="U2359" t="str">
        <f t="shared" si="73"/>
        <v>Expert</v>
      </c>
    </row>
    <row r="2360" spans="1:21" x14ac:dyDescent="0.35">
      <c r="A2360" t="s">
        <v>2433</v>
      </c>
      <c r="B2360" t="s">
        <v>65</v>
      </c>
      <c r="C2360" t="s">
        <v>107</v>
      </c>
      <c r="D2360" t="s">
        <v>32</v>
      </c>
      <c r="E2360" t="s">
        <v>41</v>
      </c>
      <c r="F2360">
        <v>3</v>
      </c>
      <c r="G2360">
        <v>0.1</v>
      </c>
      <c r="H2360">
        <v>0.66</v>
      </c>
      <c r="I2360" t="s">
        <v>24</v>
      </c>
      <c r="J2360">
        <v>84276</v>
      </c>
      <c r="K2360" t="s">
        <v>25</v>
      </c>
      <c r="L2360">
        <v>3</v>
      </c>
      <c r="M2360">
        <v>46</v>
      </c>
      <c r="N2360" t="s">
        <v>35</v>
      </c>
      <c r="O2360" t="s">
        <v>27</v>
      </c>
      <c r="P2360">
        <v>3.78</v>
      </c>
      <c r="Q2360" t="s">
        <v>24</v>
      </c>
      <c r="R2360">
        <v>3.35</v>
      </c>
      <c r="S2360" t="s">
        <v>28</v>
      </c>
      <c r="T2360" t="str">
        <f t="shared" si="72"/>
        <v>High</v>
      </c>
      <c r="U2360" t="str">
        <f t="shared" si="73"/>
        <v>Intermediate</v>
      </c>
    </row>
    <row r="2361" spans="1:21" x14ac:dyDescent="0.35">
      <c r="A2361" t="s">
        <v>2434</v>
      </c>
      <c r="B2361" t="s">
        <v>147</v>
      </c>
      <c r="C2361" t="s">
        <v>46</v>
      </c>
      <c r="D2361" t="s">
        <v>63</v>
      </c>
      <c r="E2361" t="s">
        <v>70</v>
      </c>
      <c r="F2361">
        <v>15</v>
      </c>
      <c r="G2361">
        <v>0.75</v>
      </c>
      <c r="H2361">
        <v>0.95</v>
      </c>
      <c r="I2361" t="s">
        <v>34</v>
      </c>
      <c r="J2361">
        <v>207619</v>
      </c>
      <c r="K2361" t="s">
        <v>25</v>
      </c>
      <c r="L2361">
        <v>17</v>
      </c>
      <c r="M2361">
        <v>47</v>
      </c>
      <c r="N2361" t="s">
        <v>35</v>
      </c>
      <c r="O2361" t="s">
        <v>27</v>
      </c>
      <c r="P2361">
        <v>3.88</v>
      </c>
      <c r="Q2361" t="s">
        <v>34</v>
      </c>
      <c r="R2361">
        <v>3.05</v>
      </c>
      <c r="S2361" t="s">
        <v>47</v>
      </c>
      <c r="T2361" t="str">
        <f t="shared" si="72"/>
        <v>High</v>
      </c>
      <c r="U2361" t="str">
        <f t="shared" si="73"/>
        <v>Experienced</v>
      </c>
    </row>
    <row r="2362" spans="1:21" x14ac:dyDescent="0.35">
      <c r="A2362" t="s">
        <v>2435</v>
      </c>
      <c r="B2362" t="s">
        <v>54</v>
      </c>
      <c r="C2362" t="s">
        <v>52</v>
      </c>
      <c r="D2362" t="s">
        <v>80</v>
      </c>
      <c r="E2362" t="s">
        <v>41</v>
      </c>
      <c r="F2362">
        <v>2</v>
      </c>
      <c r="G2362">
        <v>0.83</v>
      </c>
      <c r="H2362">
        <v>0.46</v>
      </c>
      <c r="I2362" t="s">
        <v>60</v>
      </c>
      <c r="J2362">
        <v>212710</v>
      </c>
      <c r="K2362" t="s">
        <v>25</v>
      </c>
      <c r="L2362">
        <v>-3</v>
      </c>
      <c r="M2362">
        <v>56</v>
      </c>
      <c r="N2362" t="s">
        <v>42</v>
      </c>
      <c r="O2362" t="s">
        <v>25</v>
      </c>
      <c r="P2362">
        <v>4.75</v>
      </c>
      <c r="Q2362" t="s">
        <v>34</v>
      </c>
      <c r="R2362">
        <v>1</v>
      </c>
      <c r="S2362" t="s">
        <v>43</v>
      </c>
      <c r="T2362" t="str">
        <f t="shared" si="72"/>
        <v>Very Low</v>
      </c>
      <c r="U2362" t="str">
        <f t="shared" si="73"/>
        <v>Beginner</v>
      </c>
    </row>
    <row r="2363" spans="1:21" x14ac:dyDescent="0.35">
      <c r="A2363" t="s">
        <v>2436</v>
      </c>
      <c r="B2363" t="s">
        <v>38</v>
      </c>
      <c r="C2363" t="s">
        <v>74</v>
      </c>
      <c r="D2363" t="s">
        <v>22</v>
      </c>
      <c r="E2363" t="s">
        <v>33</v>
      </c>
      <c r="F2363">
        <v>18</v>
      </c>
      <c r="G2363">
        <v>0.16</v>
      </c>
      <c r="H2363">
        <v>0.98</v>
      </c>
      <c r="I2363" t="s">
        <v>24</v>
      </c>
      <c r="J2363">
        <v>99747</v>
      </c>
      <c r="K2363" t="s">
        <v>27</v>
      </c>
      <c r="L2363">
        <v>20</v>
      </c>
      <c r="M2363">
        <v>49</v>
      </c>
      <c r="N2363" t="s">
        <v>26</v>
      </c>
      <c r="O2363" t="s">
        <v>25</v>
      </c>
      <c r="P2363">
        <v>3.79</v>
      </c>
      <c r="Q2363" t="s">
        <v>24</v>
      </c>
      <c r="R2363">
        <v>3.41</v>
      </c>
      <c r="S2363" t="s">
        <v>47</v>
      </c>
      <c r="T2363" t="str">
        <f t="shared" si="72"/>
        <v>Very High</v>
      </c>
      <c r="U2363" t="str">
        <f t="shared" si="73"/>
        <v>Expert</v>
      </c>
    </row>
    <row r="2364" spans="1:21" x14ac:dyDescent="0.35">
      <c r="A2364" t="s">
        <v>2437</v>
      </c>
      <c r="B2364" t="s">
        <v>38</v>
      </c>
      <c r="C2364" t="s">
        <v>82</v>
      </c>
      <c r="D2364" t="s">
        <v>75</v>
      </c>
      <c r="E2364" t="s">
        <v>70</v>
      </c>
      <c r="F2364">
        <v>18</v>
      </c>
      <c r="G2364">
        <v>0.63</v>
      </c>
      <c r="H2364">
        <v>0.45</v>
      </c>
      <c r="I2364" t="s">
        <v>34</v>
      </c>
      <c r="J2364">
        <v>213332</v>
      </c>
      <c r="K2364" t="s">
        <v>27</v>
      </c>
      <c r="L2364">
        <v>30</v>
      </c>
      <c r="M2364">
        <v>36</v>
      </c>
      <c r="N2364" t="s">
        <v>42</v>
      </c>
      <c r="O2364" t="s">
        <v>25</v>
      </c>
      <c r="P2364">
        <v>4.7</v>
      </c>
      <c r="Q2364" t="s">
        <v>24</v>
      </c>
      <c r="R2364">
        <v>4.5599999999999996</v>
      </c>
      <c r="S2364" t="s">
        <v>47</v>
      </c>
      <c r="T2364" t="str">
        <f t="shared" si="72"/>
        <v>Moderate</v>
      </c>
      <c r="U2364" t="str">
        <f t="shared" si="73"/>
        <v>Expert</v>
      </c>
    </row>
    <row r="2365" spans="1:21" x14ac:dyDescent="0.35">
      <c r="A2365" t="s">
        <v>2438</v>
      </c>
      <c r="B2365" t="s">
        <v>94</v>
      </c>
      <c r="C2365" t="s">
        <v>58</v>
      </c>
      <c r="D2365" t="s">
        <v>22</v>
      </c>
      <c r="E2365" t="s">
        <v>23</v>
      </c>
      <c r="F2365">
        <v>9</v>
      </c>
      <c r="G2365">
        <v>0.85</v>
      </c>
      <c r="H2365">
        <v>0.85</v>
      </c>
      <c r="I2365" t="s">
        <v>24</v>
      </c>
      <c r="J2365">
        <v>86803</v>
      </c>
      <c r="K2365" t="s">
        <v>27</v>
      </c>
      <c r="L2365">
        <v>9</v>
      </c>
      <c r="M2365">
        <v>41</v>
      </c>
      <c r="N2365" t="s">
        <v>26</v>
      </c>
      <c r="O2365" t="s">
        <v>25</v>
      </c>
      <c r="P2365">
        <v>3.97</v>
      </c>
      <c r="Q2365" t="s">
        <v>34</v>
      </c>
      <c r="R2365">
        <v>1.83</v>
      </c>
      <c r="S2365" t="s">
        <v>47</v>
      </c>
      <c r="T2365" t="str">
        <f t="shared" si="72"/>
        <v>Moderate</v>
      </c>
      <c r="U2365" t="str">
        <f t="shared" si="73"/>
        <v>Experienced</v>
      </c>
    </row>
    <row r="2366" spans="1:21" x14ac:dyDescent="0.35">
      <c r="A2366" t="s">
        <v>2439</v>
      </c>
      <c r="B2366" t="s">
        <v>156</v>
      </c>
      <c r="C2366" t="s">
        <v>74</v>
      </c>
      <c r="D2366" t="s">
        <v>59</v>
      </c>
      <c r="E2366" t="s">
        <v>33</v>
      </c>
      <c r="F2366">
        <v>25</v>
      </c>
      <c r="G2366">
        <v>0.38</v>
      </c>
      <c r="H2366">
        <v>0.46</v>
      </c>
      <c r="I2366" t="s">
        <v>34</v>
      </c>
      <c r="J2366">
        <v>195336</v>
      </c>
      <c r="K2366" t="s">
        <v>42</v>
      </c>
      <c r="L2366">
        <v>37</v>
      </c>
      <c r="M2366">
        <v>35</v>
      </c>
      <c r="N2366" t="s">
        <v>42</v>
      </c>
      <c r="O2366" t="s">
        <v>27</v>
      </c>
      <c r="P2366">
        <v>4.97</v>
      </c>
      <c r="Q2366" t="s">
        <v>24</v>
      </c>
      <c r="R2366">
        <v>4.46</v>
      </c>
      <c r="S2366" t="s">
        <v>43</v>
      </c>
      <c r="T2366" t="str">
        <f t="shared" si="72"/>
        <v>High</v>
      </c>
      <c r="U2366" t="str">
        <f t="shared" si="73"/>
        <v>Expert</v>
      </c>
    </row>
    <row r="2367" spans="1:21" x14ac:dyDescent="0.35">
      <c r="A2367" t="s">
        <v>2440</v>
      </c>
      <c r="B2367" t="s">
        <v>96</v>
      </c>
      <c r="C2367" t="s">
        <v>46</v>
      </c>
      <c r="D2367" t="s">
        <v>59</v>
      </c>
      <c r="E2367" t="s">
        <v>33</v>
      </c>
      <c r="F2367">
        <v>22</v>
      </c>
      <c r="G2367">
        <v>0.35</v>
      </c>
      <c r="H2367">
        <v>0.48</v>
      </c>
      <c r="I2367" t="s">
        <v>34</v>
      </c>
      <c r="J2367">
        <v>55498</v>
      </c>
      <c r="K2367" t="s">
        <v>25</v>
      </c>
      <c r="L2367">
        <v>43</v>
      </c>
      <c r="M2367">
        <v>40</v>
      </c>
      <c r="N2367" t="s">
        <v>26</v>
      </c>
      <c r="O2367" t="s">
        <v>36</v>
      </c>
      <c r="P2367">
        <v>4.2699999999999996</v>
      </c>
      <c r="Q2367" t="s">
        <v>34</v>
      </c>
      <c r="R2367">
        <v>1.4</v>
      </c>
      <c r="S2367" t="s">
        <v>28</v>
      </c>
      <c r="T2367" t="str">
        <f t="shared" si="72"/>
        <v>High</v>
      </c>
      <c r="U2367" t="str">
        <f t="shared" si="73"/>
        <v>Expert</v>
      </c>
    </row>
    <row r="2368" spans="1:21" x14ac:dyDescent="0.35">
      <c r="A2368" t="s">
        <v>2441</v>
      </c>
      <c r="B2368" t="s">
        <v>45</v>
      </c>
      <c r="C2368" t="s">
        <v>52</v>
      </c>
      <c r="D2368" t="s">
        <v>69</v>
      </c>
      <c r="E2368" t="s">
        <v>23</v>
      </c>
      <c r="F2368">
        <v>14</v>
      </c>
      <c r="G2368">
        <v>0.05</v>
      </c>
      <c r="H2368">
        <v>0.61</v>
      </c>
      <c r="I2368" t="s">
        <v>60</v>
      </c>
      <c r="J2368">
        <v>181823</v>
      </c>
      <c r="K2368" t="s">
        <v>25</v>
      </c>
      <c r="L2368">
        <v>29</v>
      </c>
      <c r="M2368">
        <v>57</v>
      </c>
      <c r="N2368" t="s">
        <v>26</v>
      </c>
      <c r="O2368" t="s">
        <v>36</v>
      </c>
      <c r="P2368">
        <v>2.4700000000000002</v>
      </c>
      <c r="Q2368" t="s">
        <v>34</v>
      </c>
      <c r="R2368">
        <v>3.71</v>
      </c>
      <c r="S2368" t="s">
        <v>43</v>
      </c>
      <c r="T2368" t="str">
        <f t="shared" si="72"/>
        <v>High</v>
      </c>
      <c r="U2368" t="str">
        <f t="shared" si="73"/>
        <v>Experienced</v>
      </c>
    </row>
    <row r="2369" spans="1:21" x14ac:dyDescent="0.35">
      <c r="A2369" t="s">
        <v>2442</v>
      </c>
      <c r="B2369" t="s">
        <v>65</v>
      </c>
      <c r="C2369" t="s">
        <v>46</v>
      </c>
      <c r="D2369" t="s">
        <v>32</v>
      </c>
      <c r="E2369" t="s">
        <v>70</v>
      </c>
      <c r="F2369">
        <v>24</v>
      </c>
      <c r="G2369">
        <v>0.18</v>
      </c>
      <c r="H2369">
        <v>0.21</v>
      </c>
      <c r="I2369" t="s">
        <v>60</v>
      </c>
      <c r="J2369">
        <v>164945</v>
      </c>
      <c r="K2369" t="s">
        <v>27</v>
      </c>
      <c r="L2369">
        <v>10</v>
      </c>
      <c r="M2369">
        <v>45</v>
      </c>
      <c r="N2369" t="s">
        <v>26</v>
      </c>
      <c r="O2369" t="s">
        <v>25</v>
      </c>
      <c r="P2369">
        <v>3.83</v>
      </c>
      <c r="Q2369" t="s">
        <v>24</v>
      </c>
      <c r="R2369">
        <v>1.77</v>
      </c>
      <c r="S2369" t="s">
        <v>47</v>
      </c>
      <c r="T2369" t="str">
        <f t="shared" si="72"/>
        <v>High</v>
      </c>
      <c r="U2369" t="str">
        <f t="shared" si="73"/>
        <v>Expert</v>
      </c>
    </row>
    <row r="2370" spans="1:21" x14ac:dyDescent="0.35">
      <c r="A2370" t="s">
        <v>2443</v>
      </c>
      <c r="B2370" t="s">
        <v>20</v>
      </c>
      <c r="C2370" t="s">
        <v>52</v>
      </c>
      <c r="D2370" t="s">
        <v>22</v>
      </c>
      <c r="E2370" t="s">
        <v>70</v>
      </c>
      <c r="F2370">
        <v>16</v>
      </c>
      <c r="G2370">
        <v>0.12</v>
      </c>
      <c r="H2370">
        <v>0.24</v>
      </c>
      <c r="I2370" t="s">
        <v>34</v>
      </c>
      <c r="J2370">
        <v>174645</v>
      </c>
      <c r="K2370" t="s">
        <v>25</v>
      </c>
      <c r="L2370">
        <v>34</v>
      </c>
      <c r="M2370">
        <v>31</v>
      </c>
      <c r="N2370" t="s">
        <v>42</v>
      </c>
      <c r="O2370" t="s">
        <v>36</v>
      </c>
      <c r="P2370">
        <v>3.56</v>
      </c>
      <c r="Q2370" t="s">
        <v>24</v>
      </c>
      <c r="R2370">
        <v>4.22</v>
      </c>
      <c r="S2370" t="s">
        <v>43</v>
      </c>
      <c r="T2370" t="str">
        <f t="shared" si="72"/>
        <v>High</v>
      </c>
      <c r="U2370" t="str">
        <f t="shared" si="73"/>
        <v>Expert</v>
      </c>
    </row>
    <row r="2371" spans="1:21" x14ac:dyDescent="0.35">
      <c r="A2371" t="s">
        <v>2444</v>
      </c>
      <c r="B2371" t="s">
        <v>20</v>
      </c>
      <c r="C2371" t="s">
        <v>21</v>
      </c>
      <c r="D2371" t="s">
        <v>59</v>
      </c>
      <c r="E2371" t="s">
        <v>23</v>
      </c>
      <c r="F2371">
        <v>2</v>
      </c>
      <c r="G2371">
        <v>0.06</v>
      </c>
      <c r="H2371">
        <v>0.25</v>
      </c>
      <c r="I2371" t="s">
        <v>34</v>
      </c>
      <c r="J2371">
        <v>48847</v>
      </c>
      <c r="K2371" t="s">
        <v>25</v>
      </c>
      <c r="L2371">
        <v>-10</v>
      </c>
      <c r="M2371">
        <v>31</v>
      </c>
      <c r="N2371" t="s">
        <v>42</v>
      </c>
      <c r="O2371" t="s">
        <v>27</v>
      </c>
      <c r="P2371">
        <v>4.46</v>
      </c>
      <c r="Q2371" t="s">
        <v>34</v>
      </c>
      <c r="R2371">
        <v>3.91</v>
      </c>
      <c r="S2371" t="s">
        <v>47</v>
      </c>
      <c r="T2371" t="str">
        <f t="shared" ref="T2371:T2434" si="74">IF(AND(G2371&lt;0.4,H2371&gt;=0.7),"Very High",
IF(AND(G2371&gt;=0.7,H2371&lt;0.5),"Very Low",
IF(G2371&lt;H2371,"High","Moderate")))</f>
        <v>High</v>
      </c>
      <c r="U2371" t="str">
        <f t="shared" ref="U2371:U2434" si="75">_xlfn.IFS(F2371&lt;=2,"Beginner",F2371&lt;=8,"Intermediate",F2371&lt;=15,"Experienced",F2371&lt;=25,"Expert")</f>
        <v>Beginner</v>
      </c>
    </row>
    <row r="2372" spans="1:21" x14ac:dyDescent="0.35">
      <c r="A2372" t="s">
        <v>2445</v>
      </c>
      <c r="B2372" t="s">
        <v>30</v>
      </c>
      <c r="C2372" t="s">
        <v>82</v>
      </c>
      <c r="D2372" t="s">
        <v>63</v>
      </c>
      <c r="E2372" t="s">
        <v>70</v>
      </c>
      <c r="F2372">
        <v>7</v>
      </c>
      <c r="G2372">
        <v>0.84</v>
      </c>
      <c r="H2372">
        <v>0.66</v>
      </c>
      <c r="I2372" t="s">
        <v>60</v>
      </c>
      <c r="J2372">
        <v>207834</v>
      </c>
      <c r="K2372" t="s">
        <v>27</v>
      </c>
      <c r="L2372">
        <v>14</v>
      </c>
      <c r="M2372">
        <v>34</v>
      </c>
      <c r="N2372" t="s">
        <v>42</v>
      </c>
      <c r="O2372" t="s">
        <v>36</v>
      </c>
      <c r="P2372">
        <v>3.29</v>
      </c>
      <c r="Q2372" t="s">
        <v>34</v>
      </c>
      <c r="R2372">
        <v>2.08</v>
      </c>
      <c r="S2372" t="s">
        <v>47</v>
      </c>
      <c r="T2372" t="str">
        <f t="shared" si="74"/>
        <v>Moderate</v>
      </c>
      <c r="U2372" t="str">
        <f t="shared" si="75"/>
        <v>Intermediate</v>
      </c>
    </row>
    <row r="2373" spans="1:21" x14ac:dyDescent="0.35">
      <c r="A2373" t="s">
        <v>2446</v>
      </c>
      <c r="B2373" t="s">
        <v>54</v>
      </c>
      <c r="C2373" t="s">
        <v>21</v>
      </c>
      <c r="D2373" t="s">
        <v>49</v>
      </c>
      <c r="E2373" t="s">
        <v>23</v>
      </c>
      <c r="F2373">
        <v>3</v>
      </c>
      <c r="G2373">
        <v>0.17</v>
      </c>
      <c r="H2373">
        <v>0.46</v>
      </c>
      <c r="I2373" t="s">
        <v>24</v>
      </c>
      <c r="J2373">
        <v>184353</v>
      </c>
      <c r="K2373" t="s">
        <v>25</v>
      </c>
      <c r="L2373">
        <v>44</v>
      </c>
      <c r="M2373">
        <v>39</v>
      </c>
      <c r="N2373" t="s">
        <v>26</v>
      </c>
      <c r="O2373" t="s">
        <v>25</v>
      </c>
      <c r="P2373">
        <v>2.4700000000000002</v>
      </c>
      <c r="Q2373" t="s">
        <v>24</v>
      </c>
      <c r="R2373">
        <v>3.4</v>
      </c>
      <c r="S2373" t="s">
        <v>28</v>
      </c>
      <c r="T2373" t="str">
        <f t="shared" si="74"/>
        <v>High</v>
      </c>
      <c r="U2373" t="str">
        <f t="shared" si="75"/>
        <v>Intermediate</v>
      </c>
    </row>
    <row r="2374" spans="1:21" x14ac:dyDescent="0.35">
      <c r="A2374" t="s">
        <v>2447</v>
      </c>
      <c r="B2374" t="s">
        <v>38</v>
      </c>
      <c r="C2374" t="s">
        <v>31</v>
      </c>
      <c r="D2374" t="s">
        <v>80</v>
      </c>
      <c r="E2374" t="s">
        <v>41</v>
      </c>
      <c r="F2374">
        <v>22</v>
      </c>
      <c r="G2374">
        <v>0.4</v>
      </c>
      <c r="H2374">
        <v>0.82</v>
      </c>
      <c r="I2374" t="s">
        <v>60</v>
      </c>
      <c r="J2374">
        <v>217263</v>
      </c>
      <c r="K2374" t="s">
        <v>25</v>
      </c>
      <c r="L2374">
        <v>-10</v>
      </c>
      <c r="M2374">
        <v>32</v>
      </c>
      <c r="N2374" t="s">
        <v>35</v>
      </c>
      <c r="O2374" t="s">
        <v>25</v>
      </c>
      <c r="P2374">
        <v>4.13</v>
      </c>
      <c r="Q2374" t="s">
        <v>24</v>
      </c>
      <c r="R2374">
        <v>4.91</v>
      </c>
      <c r="S2374" t="s">
        <v>47</v>
      </c>
      <c r="T2374" t="str">
        <f t="shared" si="74"/>
        <v>High</v>
      </c>
      <c r="U2374" t="str">
        <f t="shared" si="75"/>
        <v>Expert</v>
      </c>
    </row>
    <row r="2375" spans="1:21" x14ac:dyDescent="0.35">
      <c r="A2375" t="s">
        <v>2448</v>
      </c>
      <c r="B2375" t="s">
        <v>91</v>
      </c>
      <c r="C2375" t="s">
        <v>39</v>
      </c>
      <c r="D2375" t="s">
        <v>32</v>
      </c>
      <c r="E2375" t="s">
        <v>33</v>
      </c>
      <c r="F2375">
        <v>17</v>
      </c>
      <c r="G2375">
        <v>0.35</v>
      </c>
      <c r="H2375">
        <v>0.49</v>
      </c>
      <c r="I2375" t="s">
        <v>60</v>
      </c>
      <c r="J2375">
        <v>132287</v>
      </c>
      <c r="K2375" t="s">
        <v>27</v>
      </c>
      <c r="L2375">
        <v>41</v>
      </c>
      <c r="M2375">
        <v>36</v>
      </c>
      <c r="N2375" t="s">
        <v>42</v>
      </c>
      <c r="O2375" t="s">
        <v>27</v>
      </c>
      <c r="P2375">
        <v>2.92</v>
      </c>
      <c r="Q2375" t="s">
        <v>34</v>
      </c>
      <c r="R2375">
        <v>1.96</v>
      </c>
      <c r="S2375" t="s">
        <v>43</v>
      </c>
      <c r="T2375" t="str">
        <f t="shared" si="74"/>
        <v>High</v>
      </c>
      <c r="U2375" t="str">
        <f t="shared" si="75"/>
        <v>Expert</v>
      </c>
    </row>
    <row r="2376" spans="1:21" x14ac:dyDescent="0.35">
      <c r="A2376" t="s">
        <v>2449</v>
      </c>
      <c r="B2376" t="s">
        <v>102</v>
      </c>
      <c r="C2376" t="s">
        <v>55</v>
      </c>
      <c r="D2376" t="s">
        <v>22</v>
      </c>
      <c r="E2376" t="s">
        <v>41</v>
      </c>
      <c r="F2376">
        <v>10</v>
      </c>
      <c r="G2376">
        <v>0.65</v>
      </c>
      <c r="H2376">
        <v>0.71</v>
      </c>
      <c r="I2376" t="s">
        <v>60</v>
      </c>
      <c r="J2376">
        <v>112256</v>
      </c>
      <c r="K2376" t="s">
        <v>27</v>
      </c>
      <c r="L2376">
        <v>13</v>
      </c>
      <c r="M2376">
        <v>30</v>
      </c>
      <c r="N2376" t="s">
        <v>26</v>
      </c>
      <c r="O2376" t="s">
        <v>27</v>
      </c>
      <c r="P2376">
        <v>4.91</v>
      </c>
      <c r="Q2376" t="s">
        <v>24</v>
      </c>
      <c r="R2376">
        <v>3.1</v>
      </c>
      <c r="S2376" t="s">
        <v>47</v>
      </c>
      <c r="T2376" t="str">
        <f t="shared" si="74"/>
        <v>High</v>
      </c>
      <c r="U2376" t="str">
        <f t="shared" si="75"/>
        <v>Experienced</v>
      </c>
    </row>
    <row r="2377" spans="1:21" x14ac:dyDescent="0.35">
      <c r="A2377" t="s">
        <v>2450</v>
      </c>
      <c r="B2377" t="s">
        <v>65</v>
      </c>
      <c r="C2377" t="s">
        <v>107</v>
      </c>
      <c r="D2377" t="s">
        <v>32</v>
      </c>
      <c r="E2377" t="s">
        <v>23</v>
      </c>
      <c r="F2377">
        <v>9</v>
      </c>
      <c r="G2377">
        <v>0.49</v>
      </c>
      <c r="H2377">
        <v>0.27</v>
      </c>
      <c r="I2377" t="s">
        <v>24</v>
      </c>
      <c r="J2377">
        <v>213538</v>
      </c>
      <c r="K2377" t="s">
        <v>25</v>
      </c>
      <c r="L2377">
        <v>43</v>
      </c>
      <c r="M2377">
        <v>60</v>
      </c>
      <c r="N2377" t="s">
        <v>42</v>
      </c>
      <c r="O2377" t="s">
        <v>27</v>
      </c>
      <c r="P2377">
        <v>2.2400000000000002</v>
      </c>
      <c r="Q2377" t="s">
        <v>34</v>
      </c>
      <c r="R2377">
        <v>3.96</v>
      </c>
      <c r="S2377" t="s">
        <v>28</v>
      </c>
      <c r="T2377" t="str">
        <f t="shared" si="74"/>
        <v>Moderate</v>
      </c>
      <c r="U2377" t="str">
        <f t="shared" si="75"/>
        <v>Experienced</v>
      </c>
    </row>
    <row r="2378" spans="1:21" x14ac:dyDescent="0.35">
      <c r="A2378" t="s">
        <v>2451</v>
      </c>
      <c r="B2378" t="s">
        <v>147</v>
      </c>
      <c r="C2378" t="s">
        <v>82</v>
      </c>
      <c r="D2378" t="s">
        <v>22</v>
      </c>
      <c r="E2378" t="s">
        <v>23</v>
      </c>
      <c r="F2378">
        <v>8</v>
      </c>
      <c r="G2378">
        <v>0.13</v>
      </c>
      <c r="H2378">
        <v>0.45</v>
      </c>
      <c r="I2378" t="s">
        <v>24</v>
      </c>
      <c r="J2378">
        <v>123661</v>
      </c>
      <c r="K2378" t="s">
        <v>27</v>
      </c>
      <c r="L2378">
        <v>10</v>
      </c>
      <c r="M2378">
        <v>34</v>
      </c>
      <c r="N2378" t="s">
        <v>35</v>
      </c>
      <c r="O2378" t="s">
        <v>25</v>
      </c>
      <c r="P2378">
        <v>3.45</v>
      </c>
      <c r="Q2378" t="s">
        <v>24</v>
      </c>
      <c r="R2378">
        <v>3.21</v>
      </c>
      <c r="S2378" t="s">
        <v>47</v>
      </c>
      <c r="T2378" t="str">
        <f t="shared" si="74"/>
        <v>High</v>
      </c>
      <c r="U2378" t="str">
        <f t="shared" si="75"/>
        <v>Intermediate</v>
      </c>
    </row>
    <row r="2379" spans="1:21" x14ac:dyDescent="0.35">
      <c r="A2379" t="s">
        <v>2452</v>
      </c>
      <c r="B2379" t="s">
        <v>77</v>
      </c>
      <c r="C2379" t="s">
        <v>21</v>
      </c>
      <c r="D2379" t="s">
        <v>49</v>
      </c>
      <c r="E2379" t="s">
        <v>33</v>
      </c>
      <c r="F2379">
        <v>12</v>
      </c>
      <c r="G2379">
        <v>0.1</v>
      </c>
      <c r="H2379">
        <v>0.33</v>
      </c>
      <c r="I2379" t="s">
        <v>34</v>
      </c>
      <c r="J2379">
        <v>70610</v>
      </c>
      <c r="K2379" t="s">
        <v>25</v>
      </c>
      <c r="L2379">
        <v>31</v>
      </c>
      <c r="M2379">
        <v>50</v>
      </c>
      <c r="N2379" t="s">
        <v>35</v>
      </c>
      <c r="O2379" t="s">
        <v>27</v>
      </c>
      <c r="P2379">
        <v>2.79</v>
      </c>
      <c r="Q2379" t="s">
        <v>24</v>
      </c>
      <c r="R2379">
        <v>2.25</v>
      </c>
      <c r="S2379" t="s">
        <v>43</v>
      </c>
      <c r="T2379" t="str">
        <f t="shared" si="74"/>
        <v>High</v>
      </c>
      <c r="U2379" t="str">
        <f t="shared" si="75"/>
        <v>Experienced</v>
      </c>
    </row>
    <row r="2380" spans="1:21" x14ac:dyDescent="0.35">
      <c r="A2380" t="s">
        <v>2453</v>
      </c>
      <c r="B2380" t="s">
        <v>147</v>
      </c>
      <c r="C2380" t="s">
        <v>39</v>
      </c>
      <c r="D2380" t="s">
        <v>75</v>
      </c>
      <c r="E2380" t="s">
        <v>33</v>
      </c>
      <c r="F2380">
        <v>1</v>
      </c>
      <c r="G2380">
        <v>0.91</v>
      </c>
      <c r="H2380">
        <v>0.88</v>
      </c>
      <c r="I2380" t="s">
        <v>24</v>
      </c>
      <c r="J2380">
        <v>65962</v>
      </c>
      <c r="K2380" t="s">
        <v>42</v>
      </c>
      <c r="L2380">
        <v>44</v>
      </c>
      <c r="M2380">
        <v>32</v>
      </c>
      <c r="N2380" t="s">
        <v>35</v>
      </c>
      <c r="O2380" t="s">
        <v>25</v>
      </c>
      <c r="P2380">
        <v>2.0499999999999998</v>
      </c>
      <c r="Q2380" t="s">
        <v>24</v>
      </c>
      <c r="R2380">
        <v>1.84</v>
      </c>
      <c r="S2380" t="s">
        <v>43</v>
      </c>
      <c r="T2380" t="str">
        <f t="shared" si="74"/>
        <v>Moderate</v>
      </c>
      <c r="U2380" t="str">
        <f t="shared" si="75"/>
        <v>Beginner</v>
      </c>
    </row>
    <row r="2381" spans="1:21" x14ac:dyDescent="0.35">
      <c r="A2381" t="s">
        <v>2454</v>
      </c>
      <c r="B2381" t="s">
        <v>156</v>
      </c>
      <c r="C2381" t="s">
        <v>74</v>
      </c>
      <c r="D2381" t="s">
        <v>63</v>
      </c>
      <c r="E2381" t="s">
        <v>33</v>
      </c>
      <c r="F2381">
        <v>23</v>
      </c>
      <c r="G2381">
        <v>0.47</v>
      </c>
      <c r="H2381">
        <v>0.57999999999999996</v>
      </c>
      <c r="I2381" t="s">
        <v>24</v>
      </c>
      <c r="J2381">
        <v>207704</v>
      </c>
      <c r="K2381" t="s">
        <v>42</v>
      </c>
      <c r="L2381">
        <v>20</v>
      </c>
      <c r="M2381">
        <v>30</v>
      </c>
      <c r="N2381" t="s">
        <v>26</v>
      </c>
      <c r="O2381" t="s">
        <v>25</v>
      </c>
      <c r="P2381">
        <v>3.28</v>
      </c>
      <c r="Q2381" t="s">
        <v>34</v>
      </c>
      <c r="R2381">
        <v>3.25</v>
      </c>
      <c r="S2381" t="s">
        <v>43</v>
      </c>
      <c r="T2381" t="str">
        <f t="shared" si="74"/>
        <v>High</v>
      </c>
      <c r="U2381" t="str">
        <f t="shared" si="75"/>
        <v>Expert</v>
      </c>
    </row>
    <row r="2382" spans="1:21" x14ac:dyDescent="0.35">
      <c r="A2382" t="s">
        <v>2455</v>
      </c>
      <c r="B2382" t="s">
        <v>45</v>
      </c>
      <c r="C2382" t="s">
        <v>21</v>
      </c>
      <c r="D2382" t="s">
        <v>59</v>
      </c>
      <c r="E2382" t="s">
        <v>70</v>
      </c>
      <c r="F2382">
        <v>0</v>
      </c>
      <c r="G2382">
        <v>0.57999999999999996</v>
      </c>
      <c r="H2382">
        <v>0.71</v>
      </c>
      <c r="I2382" t="s">
        <v>34</v>
      </c>
      <c r="J2382">
        <v>110142</v>
      </c>
      <c r="K2382" t="s">
        <v>27</v>
      </c>
      <c r="L2382">
        <v>17</v>
      </c>
      <c r="M2382">
        <v>55</v>
      </c>
      <c r="N2382" t="s">
        <v>42</v>
      </c>
      <c r="O2382" t="s">
        <v>27</v>
      </c>
      <c r="P2382">
        <v>3.87</v>
      </c>
      <c r="Q2382" t="s">
        <v>34</v>
      </c>
      <c r="R2382">
        <v>1.67</v>
      </c>
      <c r="S2382" t="s">
        <v>43</v>
      </c>
      <c r="T2382" t="str">
        <f t="shared" si="74"/>
        <v>High</v>
      </c>
      <c r="U2382" t="str">
        <f t="shared" si="75"/>
        <v>Beginner</v>
      </c>
    </row>
    <row r="2383" spans="1:21" x14ac:dyDescent="0.35">
      <c r="A2383" t="s">
        <v>2456</v>
      </c>
      <c r="B2383" t="s">
        <v>62</v>
      </c>
      <c r="C2383" t="s">
        <v>107</v>
      </c>
      <c r="D2383" t="s">
        <v>63</v>
      </c>
      <c r="E2383" t="s">
        <v>41</v>
      </c>
      <c r="F2383">
        <v>21</v>
      </c>
      <c r="G2383">
        <v>0.45</v>
      </c>
      <c r="H2383">
        <v>0.92</v>
      </c>
      <c r="I2383" t="s">
        <v>34</v>
      </c>
      <c r="J2383">
        <v>191469</v>
      </c>
      <c r="K2383" t="s">
        <v>27</v>
      </c>
      <c r="L2383">
        <v>1</v>
      </c>
      <c r="M2383">
        <v>34</v>
      </c>
      <c r="N2383" t="s">
        <v>35</v>
      </c>
      <c r="O2383" t="s">
        <v>25</v>
      </c>
      <c r="P2383">
        <v>2.2000000000000002</v>
      </c>
      <c r="Q2383" t="s">
        <v>34</v>
      </c>
      <c r="R2383">
        <v>4.26</v>
      </c>
      <c r="S2383" t="s">
        <v>47</v>
      </c>
      <c r="T2383" t="str">
        <f t="shared" si="74"/>
        <v>High</v>
      </c>
      <c r="U2383" t="str">
        <f t="shared" si="75"/>
        <v>Expert</v>
      </c>
    </row>
    <row r="2384" spans="1:21" x14ac:dyDescent="0.35">
      <c r="A2384" t="s">
        <v>2457</v>
      </c>
      <c r="B2384" t="s">
        <v>106</v>
      </c>
      <c r="C2384" t="s">
        <v>39</v>
      </c>
      <c r="D2384" t="s">
        <v>80</v>
      </c>
      <c r="E2384" t="s">
        <v>41</v>
      </c>
      <c r="F2384">
        <v>25</v>
      </c>
      <c r="G2384">
        <v>0.7</v>
      </c>
      <c r="H2384">
        <v>0.39</v>
      </c>
      <c r="I2384" t="s">
        <v>34</v>
      </c>
      <c r="J2384">
        <v>218150</v>
      </c>
      <c r="K2384" t="s">
        <v>25</v>
      </c>
      <c r="L2384">
        <v>3</v>
      </c>
      <c r="M2384">
        <v>33</v>
      </c>
      <c r="N2384" t="s">
        <v>42</v>
      </c>
      <c r="O2384" t="s">
        <v>25</v>
      </c>
      <c r="P2384">
        <v>3.29</v>
      </c>
      <c r="Q2384" t="s">
        <v>34</v>
      </c>
      <c r="R2384">
        <v>3.95</v>
      </c>
      <c r="S2384" t="s">
        <v>28</v>
      </c>
      <c r="T2384" t="str">
        <f t="shared" si="74"/>
        <v>Very Low</v>
      </c>
      <c r="U2384" t="str">
        <f t="shared" si="75"/>
        <v>Expert</v>
      </c>
    </row>
    <row r="2385" spans="1:21" x14ac:dyDescent="0.35">
      <c r="A2385" t="s">
        <v>2458</v>
      </c>
      <c r="B2385" t="s">
        <v>38</v>
      </c>
      <c r="C2385" t="s">
        <v>74</v>
      </c>
      <c r="D2385" t="s">
        <v>40</v>
      </c>
      <c r="E2385" t="s">
        <v>41</v>
      </c>
      <c r="F2385">
        <v>3</v>
      </c>
      <c r="G2385">
        <v>0.49</v>
      </c>
      <c r="H2385">
        <v>0.28999999999999998</v>
      </c>
      <c r="I2385" t="s">
        <v>34</v>
      </c>
      <c r="J2385">
        <v>168163</v>
      </c>
      <c r="K2385" t="s">
        <v>42</v>
      </c>
      <c r="L2385">
        <v>24</v>
      </c>
      <c r="M2385">
        <v>58</v>
      </c>
      <c r="N2385" t="s">
        <v>42</v>
      </c>
      <c r="O2385" t="s">
        <v>25</v>
      </c>
      <c r="P2385">
        <v>2.72</v>
      </c>
      <c r="Q2385" t="s">
        <v>24</v>
      </c>
      <c r="R2385">
        <v>4.6500000000000004</v>
      </c>
      <c r="S2385" t="s">
        <v>43</v>
      </c>
      <c r="T2385" t="str">
        <f t="shared" si="74"/>
        <v>Moderate</v>
      </c>
      <c r="U2385" t="str">
        <f t="shared" si="75"/>
        <v>Intermediate</v>
      </c>
    </row>
    <row r="2386" spans="1:21" x14ac:dyDescent="0.35">
      <c r="A2386" t="s">
        <v>2459</v>
      </c>
      <c r="B2386" t="s">
        <v>102</v>
      </c>
      <c r="C2386" t="s">
        <v>52</v>
      </c>
      <c r="D2386" t="s">
        <v>32</v>
      </c>
      <c r="E2386" t="s">
        <v>70</v>
      </c>
      <c r="F2386">
        <v>10</v>
      </c>
      <c r="G2386">
        <v>0.06</v>
      </c>
      <c r="H2386">
        <v>0.52</v>
      </c>
      <c r="I2386" t="s">
        <v>60</v>
      </c>
      <c r="J2386">
        <v>64138</v>
      </c>
      <c r="K2386" t="s">
        <v>27</v>
      </c>
      <c r="L2386">
        <v>36</v>
      </c>
      <c r="M2386">
        <v>39</v>
      </c>
      <c r="N2386" t="s">
        <v>26</v>
      </c>
      <c r="O2386" t="s">
        <v>36</v>
      </c>
      <c r="P2386">
        <v>4.22</v>
      </c>
      <c r="Q2386" t="s">
        <v>24</v>
      </c>
      <c r="R2386">
        <v>2.78</v>
      </c>
      <c r="S2386" t="s">
        <v>43</v>
      </c>
      <c r="T2386" t="str">
        <f t="shared" si="74"/>
        <v>High</v>
      </c>
      <c r="U2386" t="str">
        <f t="shared" si="75"/>
        <v>Experienced</v>
      </c>
    </row>
    <row r="2387" spans="1:21" x14ac:dyDescent="0.35">
      <c r="A2387" t="s">
        <v>2460</v>
      </c>
      <c r="B2387" t="s">
        <v>91</v>
      </c>
      <c r="C2387" t="s">
        <v>21</v>
      </c>
      <c r="D2387" t="s">
        <v>40</v>
      </c>
      <c r="E2387" t="s">
        <v>23</v>
      </c>
      <c r="F2387">
        <v>16</v>
      </c>
      <c r="G2387">
        <v>0.65</v>
      </c>
      <c r="H2387">
        <v>0.48</v>
      </c>
      <c r="I2387" t="s">
        <v>34</v>
      </c>
      <c r="J2387">
        <v>211852</v>
      </c>
      <c r="K2387" t="s">
        <v>27</v>
      </c>
      <c r="L2387">
        <v>9</v>
      </c>
      <c r="M2387">
        <v>38</v>
      </c>
      <c r="N2387" t="s">
        <v>35</v>
      </c>
      <c r="O2387" t="s">
        <v>25</v>
      </c>
      <c r="P2387">
        <v>2.4700000000000002</v>
      </c>
      <c r="Q2387" t="s">
        <v>34</v>
      </c>
      <c r="R2387">
        <v>4.3</v>
      </c>
      <c r="S2387" t="s">
        <v>28</v>
      </c>
      <c r="T2387" t="str">
        <f t="shared" si="74"/>
        <v>Moderate</v>
      </c>
      <c r="U2387" t="str">
        <f t="shared" si="75"/>
        <v>Expert</v>
      </c>
    </row>
    <row r="2388" spans="1:21" x14ac:dyDescent="0.35">
      <c r="A2388" t="s">
        <v>2461</v>
      </c>
      <c r="B2388" t="s">
        <v>96</v>
      </c>
      <c r="C2388" t="s">
        <v>52</v>
      </c>
      <c r="D2388" t="s">
        <v>75</v>
      </c>
      <c r="E2388" t="s">
        <v>70</v>
      </c>
      <c r="F2388">
        <v>9</v>
      </c>
      <c r="G2388">
        <v>0.45</v>
      </c>
      <c r="H2388">
        <v>0.85</v>
      </c>
      <c r="I2388" t="s">
        <v>60</v>
      </c>
      <c r="J2388">
        <v>136434</v>
      </c>
      <c r="K2388" t="s">
        <v>42</v>
      </c>
      <c r="L2388">
        <v>40</v>
      </c>
      <c r="M2388">
        <v>53</v>
      </c>
      <c r="N2388" t="s">
        <v>42</v>
      </c>
      <c r="O2388" t="s">
        <v>25</v>
      </c>
      <c r="P2388">
        <v>2.36</v>
      </c>
      <c r="Q2388" t="s">
        <v>24</v>
      </c>
      <c r="R2388">
        <v>2.63</v>
      </c>
      <c r="S2388" t="s">
        <v>28</v>
      </c>
      <c r="T2388" t="str">
        <f t="shared" si="74"/>
        <v>High</v>
      </c>
      <c r="U2388" t="str">
        <f t="shared" si="75"/>
        <v>Experienced</v>
      </c>
    </row>
    <row r="2389" spans="1:21" x14ac:dyDescent="0.35">
      <c r="A2389" t="s">
        <v>2462</v>
      </c>
      <c r="B2389" t="s">
        <v>94</v>
      </c>
      <c r="C2389" t="s">
        <v>107</v>
      </c>
      <c r="D2389" t="s">
        <v>80</v>
      </c>
      <c r="E2389" t="s">
        <v>70</v>
      </c>
      <c r="F2389">
        <v>11</v>
      </c>
      <c r="G2389">
        <v>0.79</v>
      </c>
      <c r="H2389">
        <v>0.56999999999999995</v>
      </c>
      <c r="I2389" t="s">
        <v>60</v>
      </c>
      <c r="J2389">
        <v>184172</v>
      </c>
      <c r="K2389" t="s">
        <v>25</v>
      </c>
      <c r="L2389">
        <v>19</v>
      </c>
      <c r="M2389">
        <v>58</v>
      </c>
      <c r="N2389" t="s">
        <v>35</v>
      </c>
      <c r="O2389" t="s">
        <v>27</v>
      </c>
      <c r="P2389">
        <v>4.96</v>
      </c>
      <c r="Q2389" t="s">
        <v>24</v>
      </c>
      <c r="R2389">
        <v>3.56</v>
      </c>
      <c r="S2389" t="s">
        <v>28</v>
      </c>
      <c r="T2389" t="str">
        <f t="shared" si="74"/>
        <v>Moderate</v>
      </c>
      <c r="U2389" t="str">
        <f t="shared" si="75"/>
        <v>Experienced</v>
      </c>
    </row>
    <row r="2390" spans="1:21" x14ac:dyDescent="0.35">
      <c r="A2390" t="s">
        <v>2463</v>
      </c>
      <c r="B2390" t="s">
        <v>30</v>
      </c>
      <c r="C2390" t="s">
        <v>31</v>
      </c>
      <c r="D2390" t="s">
        <v>63</v>
      </c>
      <c r="E2390" t="s">
        <v>70</v>
      </c>
      <c r="F2390">
        <v>21</v>
      </c>
      <c r="G2390">
        <v>0.34</v>
      </c>
      <c r="H2390">
        <v>0.43</v>
      </c>
      <c r="I2390" t="s">
        <v>34</v>
      </c>
      <c r="J2390">
        <v>85999</v>
      </c>
      <c r="K2390" t="s">
        <v>27</v>
      </c>
      <c r="L2390">
        <v>19</v>
      </c>
      <c r="M2390">
        <v>50</v>
      </c>
      <c r="N2390" t="s">
        <v>35</v>
      </c>
      <c r="O2390" t="s">
        <v>27</v>
      </c>
      <c r="P2390">
        <v>3.38</v>
      </c>
      <c r="Q2390" t="s">
        <v>24</v>
      </c>
      <c r="R2390">
        <v>2.9</v>
      </c>
      <c r="S2390" t="s">
        <v>43</v>
      </c>
      <c r="T2390" t="str">
        <f t="shared" si="74"/>
        <v>High</v>
      </c>
      <c r="U2390" t="str">
        <f t="shared" si="75"/>
        <v>Expert</v>
      </c>
    </row>
    <row r="2391" spans="1:21" x14ac:dyDescent="0.35">
      <c r="A2391" t="s">
        <v>2464</v>
      </c>
      <c r="B2391" t="s">
        <v>45</v>
      </c>
      <c r="C2391" t="s">
        <v>107</v>
      </c>
      <c r="D2391" t="s">
        <v>59</v>
      </c>
      <c r="E2391" t="s">
        <v>41</v>
      </c>
      <c r="F2391">
        <v>24</v>
      </c>
      <c r="G2391">
        <v>0.92</v>
      </c>
      <c r="H2391">
        <v>0.22</v>
      </c>
      <c r="I2391" t="s">
        <v>34</v>
      </c>
      <c r="J2391">
        <v>35166</v>
      </c>
      <c r="K2391" t="s">
        <v>25</v>
      </c>
      <c r="L2391">
        <v>-1</v>
      </c>
      <c r="M2391">
        <v>45</v>
      </c>
      <c r="N2391" t="s">
        <v>35</v>
      </c>
      <c r="O2391" t="s">
        <v>36</v>
      </c>
      <c r="P2391">
        <v>3.76</v>
      </c>
      <c r="Q2391" t="s">
        <v>24</v>
      </c>
      <c r="R2391">
        <v>3.55</v>
      </c>
      <c r="S2391" t="s">
        <v>28</v>
      </c>
      <c r="T2391" t="str">
        <f t="shared" si="74"/>
        <v>Very Low</v>
      </c>
      <c r="U2391" t="str">
        <f t="shared" si="75"/>
        <v>Expert</v>
      </c>
    </row>
    <row r="2392" spans="1:21" x14ac:dyDescent="0.35">
      <c r="A2392" t="s">
        <v>2465</v>
      </c>
      <c r="B2392" t="s">
        <v>51</v>
      </c>
      <c r="C2392" t="s">
        <v>74</v>
      </c>
      <c r="D2392" t="s">
        <v>40</v>
      </c>
      <c r="E2392" t="s">
        <v>23</v>
      </c>
      <c r="F2392">
        <v>15</v>
      </c>
      <c r="G2392">
        <v>0.38</v>
      </c>
      <c r="H2392">
        <v>0.47</v>
      </c>
      <c r="I2392" t="s">
        <v>34</v>
      </c>
      <c r="J2392">
        <v>199275</v>
      </c>
      <c r="K2392" t="s">
        <v>27</v>
      </c>
      <c r="L2392">
        <v>24</v>
      </c>
      <c r="M2392">
        <v>41</v>
      </c>
      <c r="N2392" t="s">
        <v>42</v>
      </c>
      <c r="O2392" t="s">
        <v>36</v>
      </c>
      <c r="P2392">
        <v>2.4700000000000002</v>
      </c>
      <c r="Q2392" t="s">
        <v>34</v>
      </c>
      <c r="R2392">
        <v>2.23</v>
      </c>
      <c r="S2392" t="s">
        <v>47</v>
      </c>
      <c r="T2392" t="str">
        <f t="shared" si="74"/>
        <v>High</v>
      </c>
      <c r="U2392" t="str">
        <f t="shared" si="75"/>
        <v>Experienced</v>
      </c>
    </row>
    <row r="2393" spans="1:21" x14ac:dyDescent="0.35">
      <c r="A2393" t="s">
        <v>2466</v>
      </c>
      <c r="B2393" t="s">
        <v>51</v>
      </c>
      <c r="C2393" t="s">
        <v>82</v>
      </c>
      <c r="D2393" t="s">
        <v>75</v>
      </c>
      <c r="E2393" t="s">
        <v>70</v>
      </c>
      <c r="F2393">
        <v>2</v>
      </c>
      <c r="G2393">
        <v>0.72</v>
      </c>
      <c r="H2393">
        <v>0.82</v>
      </c>
      <c r="I2393" t="s">
        <v>24</v>
      </c>
      <c r="J2393">
        <v>36205</v>
      </c>
      <c r="K2393" t="s">
        <v>42</v>
      </c>
      <c r="L2393">
        <v>8</v>
      </c>
      <c r="M2393">
        <v>58</v>
      </c>
      <c r="N2393" t="s">
        <v>26</v>
      </c>
      <c r="O2393" t="s">
        <v>36</v>
      </c>
      <c r="P2393">
        <v>2.13</v>
      </c>
      <c r="Q2393" t="s">
        <v>24</v>
      </c>
      <c r="R2393">
        <v>2.5</v>
      </c>
      <c r="S2393" t="s">
        <v>47</v>
      </c>
      <c r="T2393" t="str">
        <f t="shared" si="74"/>
        <v>High</v>
      </c>
      <c r="U2393" t="str">
        <f t="shared" si="75"/>
        <v>Beginner</v>
      </c>
    </row>
    <row r="2394" spans="1:21" x14ac:dyDescent="0.35">
      <c r="A2394" t="s">
        <v>2467</v>
      </c>
      <c r="B2394" t="s">
        <v>57</v>
      </c>
      <c r="C2394" t="s">
        <v>107</v>
      </c>
      <c r="D2394" t="s">
        <v>32</v>
      </c>
      <c r="E2394" t="s">
        <v>70</v>
      </c>
      <c r="F2394">
        <v>1</v>
      </c>
      <c r="G2394">
        <v>0.43</v>
      </c>
      <c r="H2394">
        <v>0.69</v>
      </c>
      <c r="I2394" t="s">
        <v>24</v>
      </c>
      <c r="J2394">
        <v>148335</v>
      </c>
      <c r="K2394" t="s">
        <v>27</v>
      </c>
      <c r="L2394">
        <v>5</v>
      </c>
      <c r="M2394">
        <v>35</v>
      </c>
      <c r="N2394" t="s">
        <v>35</v>
      </c>
      <c r="O2394" t="s">
        <v>27</v>
      </c>
      <c r="P2394">
        <v>3.72</v>
      </c>
      <c r="Q2394" t="s">
        <v>34</v>
      </c>
      <c r="R2394">
        <v>3.88</v>
      </c>
      <c r="S2394" t="s">
        <v>28</v>
      </c>
      <c r="T2394" t="str">
        <f t="shared" si="74"/>
        <v>High</v>
      </c>
      <c r="U2394" t="str">
        <f t="shared" si="75"/>
        <v>Beginner</v>
      </c>
    </row>
    <row r="2395" spans="1:21" x14ac:dyDescent="0.35">
      <c r="A2395" t="s">
        <v>2468</v>
      </c>
      <c r="B2395" t="s">
        <v>96</v>
      </c>
      <c r="C2395" t="s">
        <v>46</v>
      </c>
      <c r="D2395" t="s">
        <v>69</v>
      </c>
      <c r="E2395" t="s">
        <v>41</v>
      </c>
      <c r="F2395">
        <v>21</v>
      </c>
      <c r="G2395">
        <v>0.05</v>
      </c>
      <c r="H2395">
        <v>0.78</v>
      </c>
      <c r="I2395" t="s">
        <v>60</v>
      </c>
      <c r="J2395">
        <v>40925</v>
      </c>
      <c r="K2395" t="s">
        <v>42</v>
      </c>
      <c r="L2395">
        <v>24</v>
      </c>
      <c r="M2395">
        <v>46</v>
      </c>
      <c r="N2395" t="s">
        <v>42</v>
      </c>
      <c r="O2395" t="s">
        <v>36</v>
      </c>
      <c r="P2395">
        <v>4.01</v>
      </c>
      <c r="Q2395" t="s">
        <v>24</v>
      </c>
      <c r="R2395">
        <v>1.87</v>
      </c>
      <c r="S2395" t="s">
        <v>43</v>
      </c>
      <c r="T2395" t="str">
        <f t="shared" si="74"/>
        <v>Very High</v>
      </c>
      <c r="U2395" t="str">
        <f t="shared" si="75"/>
        <v>Expert</v>
      </c>
    </row>
    <row r="2396" spans="1:21" x14ac:dyDescent="0.35">
      <c r="A2396" t="s">
        <v>2469</v>
      </c>
      <c r="B2396" t="s">
        <v>20</v>
      </c>
      <c r="C2396" t="s">
        <v>46</v>
      </c>
      <c r="D2396" t="s">
        <v>69</v>
      </c>
      <c r="E2396" t="s">
        <v>23</v>
      </c>
      <c r="F2396">
        <v>12</v>
      </c>
      <c r="G2396">
        <v>0.77</v>
      </c>
      <c r="H2396">
        <v>0.74</v>
      </c>
      <c r="I2396" t="s">
        <v>60</v>
      </c>
      <c r="J2396">
        <v>38699</v>
      </c>
      <c r="K2396" t="s">
        <v>25</v>
      </c>
      <c r="L2396">
        <v>9</v>
      </c>
      <c r="M2396">
        <v>31</v>
      </c>
      <c r="N2396" t="s">
        <v>42</v>
      </c>
      <c r="O2396" t="s">
        <v>25</v>
      </c>
      <c r="P2396">
        <v>2.73</v>
      </c>
      <c r="Q2396" t="s">
        <v>24</v>
      </c>
      <c r="R2396">
        <v>1.39</v>
      </c>
      <c r="S2396" t="s">
        <v>43</v>
      </c>
      <c r="T2396" t="str">
        <f t="shared" si="74"/>
        <v>Moderate</v>
      </c>
      <c r="U2396" t="str">
        <f t="shared" si="75"/>
        <v>Experienced</v>
      </c>
    </row>
    <row r="2397" spans="1:21" x14ac:dyDescent="0.35">
      <c r="A2397" t="s">
        <v>2470</v>
      </c>
      <c r="B2397" t="s">
        <v>38</v>
      </c>
      <c r="C2397" t="s">
        <v>52</v>
      </c>
      <c r="D2397" t="s">
        <v>75</v>
      </c>
      <c r="E2397" t="s">
        <v>70</v>
      </c>
      <c r="F2397">
        <v>16</v>
      </c>
      <c r="G2397">
        <v>0.59</v>
      </c>
      <c r="H2397">
        <v>0.56999999999999995</v>
      </c>
      <c r="I2397" t="s">
        <v>34</v>
      </c>
      <c r="J2397">
        <v>76879</v>
      </c>
      <c r="K2397" t="s">
        <v>42</v>
      </c>
      <c r="L2397">
        <v>4</v>
      </c>
      <c r="M2397">
        <v>32</v>
      </c>
      <c r="N2397" t="s">
        <v>42</v>
      </c>
      <c r="O2397" t="s">
        <v>27</v>
      </c>
      <c r="P2397">
        <v>4.3899999999999997</v>
      </c>
      <c r="Q2397" t="s">
        <v>34</v>
      </c>
      <c r="R2397">
        <v>4.5999999999999996</v>
      </c>
      <c r="S2397" t="s">
        <v>47</v>
      </c>
      <c r="T2397" t="str">
        <f t="shared" si="74"/>
        <v>Moderate</v>
      </c>
      <c r="U2397" t="str">
        <f t="shared" si="75"/>
        <v>Expert</v>
      </c>
    </row>
    <row r="2398" spans="1:21" x14ac:dyDescent="0.35">
      <c r="A2398" t="s">
        <v>2471</v>
      </c>
      <c r="B2398" t="s">
        <v>91</v>
      </c>
      <c r="C2398" t="s">
        <v>107</v>
      </c>
      <c r="D2398" t="s">
        <v>32</v>
      </c>
      <c r="E2398" t="s">
        <v>33</v>
      </c>
      <c r="F2398">
        <v>4</v>
      </c>
      <c r="G2398">
        <v>0.25</v>
      </c>
      <c r="H2398">
        <v>0.82</v>
      </c>
      <c r="I2398" t="s">
        <v>60</v>
      </c>
      <c r="J2398">
        <v>41862</v>
      </c>
      <c r="K2398" t="s">
        <v>42</v>
      </c>
      <c r="L2398">
        <v>6</v>
      </c>
      <c r="M2398">
        <v>49</v>
      </c>
      <c r="N2398" t="s">
        <v>26</v>
      </c>
      <c r="O2398" t="s">
        <v>36</v>
      </c>
      <c r="P2398">
        <v>4.74</v>
      </c>
      <c r="Q2398" t="s">
        <v>24</v>
      </c>
      <c r="R2398">
        <v>3.94</v>
      </c>
      <c r="S2398" t="s">
        <v>43</v>
      </c>
      <c r="T2398" t="str">
        <f t="shared" si="74"/>
        <v>Very High</v>
      </c>
      <c r="U2398" t="str">
        <f t="shared" si="75"/>
        <v>Intermediate</v>
      </c>
    </row>
    <row r="2399" spans="1:21" x14ac:dyDescent="0.35">
      <c r="A2399" t="s">
        <v>2472</v>
      </c>
      <c r="B2399" t="s">
        <v>89</v>
      </c>
      <c r="C2399" t="s">
        <v>55</v>
      </c>
      <c r="D2399" t="s">
        <v>49</v>
      </c>
      <c r="E2399" t="s">
        <v>33</v>
      </c>
      <c r="F2399">
        <v>16</v>
      </c>
      <c r="G2399">
        <v>0.75</v>
      </c>
      <c r="H2399">
        <v>0.98</v>
      </c>
      <c r="I2399" t="s">
        <v>60</v>
      </c>
      <c r="J2399">
        <v>211129</v>
      </c>
      <c r="K2399" t="s">
        <v>25</v>
      </c>
      <c r="L2399">
        <v>-3</v>
      </c>
      <c r="M2399">
        <v>33</v>
      </c>
      <c r="N2399" t="s">
        <v>35</v>
      </c>
      <c r="O2399" t="s">
        <v>25</v>
      </c>
      <c r="P2399">
        <v>2.1</v>
      </c>
      <c r="Q2399" t="s">
        <v>34</v>
      </c>
      <c r="R2399">
        <v>1.69</v>
      </c>
      <c r="S2399" t="s">
        <v>28</v>
      </c>
      <c r="T2399" t="str">
        <f t="shared" si="74"/>
        <v>High</v>
      </c>
      <c r="U2399" t="str">
        <f t="shared" si="75"/>
        <v>Expert</v>
      </c>
    </row>
    <row r="2400" spans="1:21" x14ac:dyDescent="0.35">
      <c r="A2400" t="s">
        <v>2473</v>
      </c>
      <c r="B2400" t="s">
        <v>91</v>
      </c>
      <c r="C2400" t="s">
        <v>107</v>
      </c>
      <c r="D2400" t="s">
        <v>63</v>
      </c>
      <c r="E2400" t="s">
        <v>41</v>
      </c>
      <c r="F2400">
        <v>8</v>
      </c>
      <c r="G2400">
        <v>0.88</v>
      </c>
      <c r="H2400">
        <v>0.33</v>
      </c>
      <c r="I2400" t="s">
        <v>34</v>
      </c>
      <c r="J2400">
        <v>85148</v>
      </c>
      <c r="K2400" t="s">
        <v>27</v>
      </c>
      <c r="L2400">
        <v>41</v>
      </c>
      <c r="M2400">
        <v>30</v>
      </c>
      <c r="N2400" t="s">
        <v>42</v>
      </c>
      <c r="O2400" t="s">
        <v>27</v>
      </c>
      <c r="P2400">
        <v>2.73</v>
      </c>
      <c r="Q2400" t="s">
        <v>24</v>
      </c>
      <c r="R2400">
        <v>2.06</v>
      </c>
      <c r="S2400" t="s">
        <v>28</v>
      </c>
      <c r="T2400" t="str">
        <f t="shared" si="74"/>
        <v>Very Low</v>
      </c>
      <c r="U2400" t="str">
        <f t="shared" si="75"/>
        <v>Intermediate</v>
      </c>
    </row>
    <row r="2401" spans="1:21" x14ac:dyDescent="0.35">
      <c r="A2401" t="s">
        <v>2474</v>
      </c>
      <c r="B2401" t="s">
        <v>68</v>
      </c>
      <c r="C2401" t="s">
        <v>52</v>
      </c>
      <c r="D2401" t="s">
        <v>63</v>
      </c>
      <c r="E2401" t="s">
        <v>70</v>
      </c>
      <c r="F2401">
        <v>20</v>
      </c>
      <c r="G2401">
        <v>0.88</v>
      </c>
      <c r="H2401">
        <v>0.76</v>
      </c>
      <c r="I2401" t="s">
        <v>34</v>
      </c>
      <c r="J2401">
        <v>139607</v>
      </c>
      <c r="K2401" t="s">
        <v>25</v>
      </c>
      <c r="L2401">
        <v>19</v>
      </c>
      <c r="M2401">
        <v>48</v>
      </c>
      <c r="N2401" t="s">
        <v>35</v>
      </c>
      <c r="O2401" t="s">
        <v>25</v>
      </c>
      <c r="P2401">
        <v>3.98</v>
      </c>
      <c r="Q2401" t="s">
        <v>34</v>
      </c>
      <c r="R2401">
        <v>1.22</v>
      </c>
      <c r="S2401" t="s">
        <v>47</v>
      </c>
      <c r="T2401" t="str">
        <f t="shared" si="74"/>
        <v>Moderate</v>
      </c>
      <c r="U2401" t="str">
        <f t="shared" si="75"/>
        <v>Expert</v>
      </c>
    </row>
    <row r="2402" spans="1:21" x14ac:dyDescent="0.35">
      <c r="A2402" t="s">
        <v>2475</v>
      </c>
      <c r="B2402" t="s">
        <v>96</v>
      </c>
      <c r="C2402" t="s">
        <v>21</v>
      </c>
      <c r="D2402" t="s">
        <v>75</v>
      </c>
      <c r="E2402" t="s">
        <v>33</v>
      </c>
      <c r="F2402">
        <v>19</v>
      </c>
      <c r="G2402">
        <v>0.72</v>
      </c>
      <c r="H2402">
        <v>0.23</v>
      </c>
      <c r="I2402" t="s">
        <v>34</v>
      </c>
      <c r="J2402">
        <v>154146</v>
      </c>
      <c r="K2402" t="s">
        <v>27</v>
      </c>
      <c r="L2402">
        <v>38</v>
      </c>
      <c r="M2402">
        <v>50</v>
      </c>
      <c r="N2402" t="s">
        <v>26</v>
      </c>
      <c r="O2402" t="s">
        <v>36</v>
      </c>
      <c r="P2402">
        <v>2.79</v>
      </c>
      <c r="Q2402" t="s">
        <v>24</v>
      </c>
      <c r="R2402">
        <v>3.35</v>
      </c>
      <c r="S2402" t="s">
        <v>47</v>
      </c>
      <c r="T2402" t="str">
        <f t="shared" si="74"/>
        <v>Very Low</v>
      </c>
      <c r="U2402" t="str">
        <f t="shared" si="75"/>
        <v>Expert</v>
      </c>
    </row>
    <row r="2403" spans="1:21" x14ac:dyDescent="0.35">
      <c r="A2403" t="s">
        <v>2476</v>
      </c>
      <c r="B2403" t="s">
        <v>73</v>
      </c>
      <c r="C2403" t="s">
        <v>74</v>
      </c>
      <c r="D2403" t="s">
        <v>75</v>
      </c>
      <c r="E2403" t="s">
        <v>33</v>
      </c>
      <c r="F2403">
        <v>10</v>
      </c>
      <c r="G2403">
        <v>0.2</v>
      </c>
      <c r="H2403">
        <v>0.72</v>
      </c>
      <c r="I2403" t="s">
        <v>34</v>
      </c>
      <c r="J2403">
        <v>150167</v>
      </c>
      <c r="K2403" t="s">
        <v>25</v>
      </c>
      <c r="L2403">
        <v>5</v>
      </c>
      <c r="M2403">
        <v>60</v>
      </c>
      <c r="N2403" t="s">
        <v>42</v>
      </c>
      <c r="O2403" t="s">
        <v>25</v>
      </c>
      <c r="P2403">
        <v>4.9400000000000004</v>
      </c>
      <c r="Q2403" t="s">
        <v>34</v>
      </c>
      <c r="R2403">
        <v>2.59</v>
      </c>
      <c r="S2403" t="s">
        <v>43</v>
      </c>
      <c r="T2403" t="str">
        <f t="shared" si="74"/>
        <v>Very High</v>
      </c>
      <c r="U2403" t="str">
        <f t="shared" si="75"/>
        <v>Experienced</v>
      </c>
    </row>
    <row r="2404" spans="1:21" x14ac:dyDescent="0.35">
      <c r="A2404" t="s">
        <v>2477</v>
      </c>
      <c r="B2404" t="s">
        <v>45</v>
      </c>
      <c r="C2404" t="s">
        <v>46</v>
      </c>
      <c r="D2404" t="s">
        <v>22</v>
      </c>
      <c r="E2404" t="s">
        <v>41</v>
      </c>
      <c r="F2404">
        <v>12</v>
      </c>
      <c r="G2404">
        <v>0.86</v>
      </c>
      <c r="H2404">
        <v>0.48</v>
      </c>
      <c r="I2404" t="s">
        <v>34</v>
      </c>
      <c r="J2404">
        <v>52654</v>
      </c>
      <c r="K2404" t="s">
        <v>42</v>
      </c>
      <c r="L2404">
        <v>36</v>
      </c>
      <c r="M2404">
        <v>37</v>
      </c>
      <c r="N2404" t="s">
        <v>35</v>
      </c>
      <c r="O2404" t="s">
        <v>25</v>
      </c>
      <c r="P2404">
        <v>4.0199999999999996</v>
      </c>
      <c r="Q2404" t="s">
        <v>34</v>
      </c>
      <c r="R2404">
        <v>3.42</v>
      </c>
      <c r="S2404" t="s">
        <v>47</v>
      </c>
      <c r="T2404" t="str">
        <f t="shared" si="74"/>
        <v>Very Low</v>
      </c>
      <c r="U2404" t="str">
        <f t="shared" si="75"/>
        <v>Experienced</v>
      </c>
    </row>
    <row r="2405" spans="1:21" x14ac:dyDescent="0.35">
      <c r="A2405" t="s">
        <v>2478</v>
      </c>
      <c r="B2405" t="s">
        <v>51</v>
      </c>
      <c r="C2405" t="s">
        <v>107</v>
      </c>
      <c r="D2405" t="s">
        <v>32</v>
      </c>
      <c r="E2405" t="s">
        <v>41</v>
      </c>
      <c r="F2405">
        <v>12</v>
      </c>
      <c r="G2405">
        <v>0.15</v>
      </c>
      <c r="H2405">
        <v>0.47</v>
      </c>
      <c r="I2405" t="s">
        <v>60</v>
      </c>
      <c r="J2405">
        <v>216495</v>
      </c>
      <c r="K2405" t="s">
        <v>42</v>
      </c>
      <c r="L2405">
        <v>-2</v>
      </c>
      <c r="M2405">
        <v>54</v>
      </c>
      <c r="N2405" t="s">
        <v>35</v>
      </c>
      <c r="O2405" t="s">
        <v>25</v>
      </c>
      <c r="P2405">
        <v>4.6399999999999997</v>
      </c>
      <c r="Q2405" t="s">
        <v>24</v>
      </c>
      <c r="R2405">
        <v>4.7</v>
      </c>
      <c r="S2405" t="s">
        <v>47</v>
      </c>
      <c r="T2405" t="str">
        <f t="shared" si="74"/>
        <v>High</v>
      </c>
      <c r="U2405" t="str">
        <f t="shared" si="75"/>
        <v>Experienced</v>
      </c>
    </row>
    <row r="2406" spans="1:21" x14ac:dyDescent="0.35">
      <c r="A2406" t="s">
        <v>2479</v>
      </c>
      <c r="B2406" t="s">
        <v>89</v>
      </c>
      <c r="C2406" t="s">
        <v>52</v>
      </c>
      <c r="D2406" t="s">
        <v>63</v>
      </c>
      <c r="E2406" t="s">
        <v>23</v>
      </c>
      <c r="F2406">
        <v>5</v>
      </c>
      <c r="G2406">
        <v>0.48</v>
      </c>
      <c r="H2406">
        <v>0.93</v>
      </c>
      <c r="I2406" t="s">
        <v>24</v>
      </c>
      <c r="J2406">
        <v>52711</v>
      </c>
      <c r="K2406" t="s">
        <v>27</v>
      </c>
      <c r="L2406">
        <v>6</v>
      </c>
      <c r="M2406">
        <v>57</v>
      </c>
      <c r="N2406" t="s">
        <v>42</v>
      </c>
      <c r="O2406" t="s">
        <v>27</v>
      </c>
      <c r="P2406">
        <v>4.6900000000000004</v>
      </c>
      <c r="Q2406" t="s">
        <v>24</v>
      </c>
      <c r="R2406">
        <v>2.74</v>
      </c>
      <c r="S2406" t="s">
        <v>47</v>
      </c>
      <c r="T2406" t="str">
        <f t="shared" si="74"/>
        <v>High</v>
      </c>
      <c r="U2406" t="str">
        <f t="shared" si="75"/>
        <v>Intermediate</v>
      </c>
    </row>
    <row r="2407" spans="1:21" x14ac:dyDescent="0.35">
      <c r="A2407" t="s">
        <v>2480</v>
      </c>
      <c r="B2407" t="s">
        <v>89</v>
      </c>
      <c r="C2407" t="s">
        <v>55</v>
      </c>
      <c r="D2407" t="s">
        <v>59</v>
      </c>
      <c r="E2407" t="s">
        <v>23</v>
      </c>
      <c r="F2407">
        <v>20</v>
      </c>
      <c r="G2407">
        <v>0.51</v>
      </c>
      <c r="H2407">
        <v>0.78</v>
      </c>
      <c r="I2407" t="s">
        <v>24</v>
      </c>
      <c r="J2407">
        <v>80988</v>
      </c>
      <c r="K2407" t="s">
        <v>42</v>
      </c>
      <c r="L2407">
        <v>43</v>
      </c>
      <c r="M2407">
        <v>50</v>
      </c>
      <c r="N2407" t="s">
        <v>26</v>
      </c>
      <c r="O2407" t="s">
        <v>25</v>
      </c>
      <c r="P2407">
        <v>4.5599999999999996</v>
      </c>
      <c r="Q2407" t="s">
        <v>34</v>
      </c>
      <c r="R2407">
        <v>3.09</v>
      </c>
      <c r="S2407" t="s">
        <v>43</v>
      </c>
      <c r="T2407" t="str">
        <f t="shared" si="74"/>
        <v>High</v>
      </c>
      <c r="U2407" t="str">
        <f t="shared" si="75"/>
        <v>Expert</v>
      </c>
    </row>
    <row r="2408" spans="1:21" x14ac:dyDescent="0.35">
      <c r="A2408" t="s">
        <v>2481</v>
      </c>
      <c r="B2408" t="s">
        <v>73</v>
      </c>
      <c r="C2408" t="s">
        <v>58</v>
      </c>
      <c r="D2408" t="s">
        <v>75</v>
      </c>
      <c r="E2408" t="s">
        <v>33</v>
      </c>
      <c r="F2408">
        <v>25</v>
      </c>
      <c r="G2408">
        <v>0.57999999999999996</v>
      </c>
      <c r="H2408">
        <v>0.53</v>
      </c>
      <c r="I2408" t="s">
        <v>24</v>
      </c>
      <c r="J2408">
        <v>92542</v>
      </c>
      <c r="K2408" t="s">
        <v>42</v>
      </c>
      <c r="L2408">
        <v>13</v>
      </c>
      <c r="M2408">
        <v>30</v>
      </c>
      <c r="N2408" t="s">
        <v>26</v>
      </c>
      <c r="O2408" t="s">
        <v>25</v>
      </c>
      <c r="P2408">
        <v>4.08</v>
      </c>
      <c r="Q2408" t="s">
        <v>24</v>
      </c>
      <c r="R2408">
        <v>2.12</v>
      </c>
      <c r="S2408" t="s">
        <v>47</v>
      </c>
      <c r="T2408" t="str">
        <f t="shared" si="74"/>
        <v>Moderate</v>
      </c>
      <c r="U2408" t="str">
        <f t="shared" si="75"/>
        <v>Expert</v>
      </c>
    </row>
    <row r="2409" spans="1:21" x14ac:dyDescent="0.35">
      <c r="A2409" t="s">
        <v>2482</v>
      </c>
      <c r="B2409" t="s">
        <v>106</v>
      </c>
      <c r="C2409" t="s">
        <v>21</v>
      </c>
      <c r="D2409" t="s">
        <v>59</v>
      </c>
      <c r="E2409" t="s">
        <v>23</v>
      </c>
      <c r="F2409">
        <v>9</v>
      </c>
      <c r="G2409">
        <v>0.25</v>
      </c>
      <c r="H2409">
        <v>0.83</v>
      </c>
      <c r="I2409" t="s">
        <v>34</v>
      </c>
      <c r="J2409">
        <v>99432</v>
      </c>
      <c r="K2409" t="s">
        <v>25</v>
      </c>
      <c r="L2409">
        <v>21</v>
      </c>
      <c r="M2409">
        <v>56</v>
      </c>
      <c r="N2409" t="s">
        <v>26</v>
      </c>
      <c r="O2409" t="s">
        <v>25</v>
      </c>
      <c r="P2409">
        <v>3.74</v>
      </c>
      <c r="Q2409" t="s">
        <v>24</v>
      </c>
      <c r="R2409">
        <v>3.74</v>
      </c>
      <c r="S2409" t="s">
        <v>28</v>
      </c>
      <c r="T2409" t="str">
        <f t="shared" si="74"/>
        <v>Very High</v>
      </c>
      <c r="U2409" t="str">
        <f t="shared" si="75"/>
        <v>Experienced</v>
      </c>
    </row>
    <row r="2410" spans="1:21" x14ac:dyDescent="0.35">
      <c r="A2410" t="s">
        <v>2483</v>
      </c>
      <c r="B2410" t="s">
        <v>57</v>
      </c>
      <c r="C2410" t="s">
        <v>39</v>
      </c>
      <c r="D2410" t="s">
        <v>69</v>
      </c>
      <c r="E2410" t="s">
        <v>33</v>
      </c>
      <c r="F2410">
        <v>4</v>
      </c>
      <c r="G2410">
        <v>0.42</v>
      </c>
      <c r="H2410">
        <v>0.89</v>
      </c>
      <c r="I2410" t="s">
        <v>34</v>
      </c>
      <c r="J2410">
        <v>190102</v>
      </c>
      <c r="K2410" t="s">
        <v>25</v>
      </c>
      <c r="L2410">
        <v>33</v>
      </c>
      <c r="M2410">
        <v>45</v>
      </c>
      <c r="N2410" t="s">
        <v>35</v>
      </c>
      <c r="O2410" t="s">
        <v>27</v>
      </c>
      <c r="P2410">
        <v>2.2599999999999998</v>
      </c>
      <c r="Q2410" t="s">
        <v>34</v>
      </c>
      <c r="R2410">
        <v>3.45</v>
      </c>
      <c r="S2410" t="s">
        <v>47</v>
      </c>
      <c r="T2410" t="str">
        <f t="shared" si="74"/>
        <v>High</v>
      </c>
      <c r="U2410" t="str">
        <f t="shared" si="75"/>
        <v>Intermediate</v>
      </c>
    </row>
    <row r="2411" spans="1:21" x14ac:dyDescent="0.35">
      <c r="A2411" t="s">
        <v>2484</v>
      </c>
      <c r="B2411" t="s">
        <v>20</v>
      </c>
      <c r="C2411" t="s">
        <v>58</v>
      </c>
      <c r="D2411" t="s">
        <v>66</v>
      </c>
      <c r="E2411" t="s">
        <v>41</v>
      </c>
      <c r="F2411">
        <v>19</v>
      </c>
      <c r="G2411">
        <v>0.79</v>
      </c>
      <c r="H2411">
        <v>0.22</v>
      </c>
      <c r="I2411" t="s">
        <v>24</v>
      </c>
      <c r="J2411">
        <v>170053</v>
      </c>
      <c r="K2411" t="s">
        <v>25</v>
      </c>
      <c r="L2411">
        <v>15</v>
      </c>
      <c r="M2411">
        <v>53</v>
      </c>
      <c r="N2411" t="s">
        <v>35</v>
      </c>
      <c r="O2411" t="s">
        <v>36</v>
      </c>
      <c r="P2411">
        <v>2.44</v>
      </c>
      <c r="Q2411" t="s">
        <v>34</v>
      </c>
      <c r="R2411">
        <v>4.1100000000000003</v>
      </c>
      <c r="S2411" t="s">
        <v>43</v>
      </c>
      <c r="T2411" t="str">
        <f t="shared" si="74"/>
        <v>Very Low</v>
      </c>
      <c r="U2411" t="str">
        <f t="shared" si="75"/>
        <v>Expert</v>
      </c>
    </row>
    <row r="2412" spans="1:21" x14ac:dyDescent="0.35">
      <c r="A2412" t="s">
        <v>2485</v>
      </c>
      <c r="B2412" t="s">
        <v>106</v>
      </c>
      <c r="C2412" t="s">
        <v>107</v>
      </c>
      <c r="D2412" t="s">
        <v>32</v>
      </c>
      <c r="E2412" t="s">
        <v>33</v>
      </c>
      <c r="F2412">
        <v>4</v>
      </c>
      <c r="G2412">
        <v>0.28000000000000003</v>
      </c>
      <c r="H2412">
        <v>0.51</v>
      </c>
      <c r="I2412" t="s">
        <v>24</v>
      </c>
      <c r="J2412">
        <v>90966</v>
      </c>
      <c r="K2412" t="s">
        <v>42</v>
      </c>
      <c r="L2412">
        <v>12</v>
      </c>
      <c r="M2412">
        <v>37</v>
      </c>
      <c r="N2412" t="s">
        <v>35</v>
      </c>
      <c r="O2412" t="s">
        <v>36</v>
      </c>
      <c r="P2412">
        <v>2.15</v>
      </c>
      <c r="Q2412" t="s">
        <v>24</v>
      </c>
      <c r="R2412">
        <v>2.57</v>
      </c>
      <c r="S2412" t="s">
        <v>28</v>
      </c>
      <c r="T2412" t="str">
        <f t="shared" si="74"/>
        <v>High</v>
      </c>
      <c r="U2412" t="str">
        <f t="shared" si="75"/>
        <v>Intermediate</v>
      </c>
    </row>
    <row r="2413" spans="1:21" x14ac:dyDescent="0.35">
      <c r="A2413" t="s">
        <v>2486</v>
      </c>
      <c r="B2413" t="s">
        <v>30</v>
      </c>
      <c r="C2413" t="s">
        <v>21</v>
      </c>
      <c r="D2413" t="s">
        <v>69</v>
      </c>
      <c r="E2413" t="s">
        <v>41</v>
      </c>
      <c r="F2413">
        <v>17</v>
      </c>
      <c r="G2413">
        <v>0.14000000000000001</v>
      </c>
      <c r="H2413">
        <v>0.76</v>
      </c>
      <c r="I2413" t="s">
        <v>34</v>
      </c>
      <c r="J2413">
        <v>133450</v>
      </c>
      <c r="K2413" t="s">
        <v>25</v>
      </c>
      <c r="L2413">
        <v>39</v>
      </c>
      <c r="M2413">
        <v>60</v>
      </c>
      <c r="N2413" t="s">
        <v>42</v>
      </c>
      <c r="O2413" t="s">
        <v>27</v>
      </c>
      <c r="P2413">
        <v>4.3499999999999996</v>
      </c>
      <c r="Q2413" t="s">
        <v>24</v>
      </c>
      <c r="R2413">
        <v>1.9</v>
      </c>
      <c r="S2413" t="s">
        <v>28</v>
      </c>
      <c r="T2413" t="str">
        <f t="shared" si="74"/>
        <v>Very High</v>
      </c>
      <c r="U2413" t="str">
        <f t="shared" si="75"/>
        <v>Expert</v>
      </c>
    </row>
    <row r="2414" spans="1:21" x14ac:dyDescent="0.35">
      <c r="A2414" t="s">
        <v>2487</v>
      </c>
      <c r="B2414" t="s">
        <v>96</v>
      </c>
      <c r="C2414" t="s">
        <v>31</v>
      </c>
      <c r="D2414" t="s">
        <v>49</v>
      </c>
      <c r="E2414" t="s">
        <v>41</v>
      </c>
      <c r="F2414">
        <v>21</v>
      </c>
      <c r="G2414">
        <v>0.81</v>
      </c>
      <c r="H2414">
        <v>0.71</v>
      </c>
      <c r="I2414" t="s">
        <v>24</v>
      </c>
      <c r="J2414">
        <v>136457</v>
      </c>
      <c r="K2414" t="s">
        <v>27</v>
      </c>
      <c r="L2414">
        <v>-5</v>
      </c>
      <c r="M2414">
        <v>36</v>
      </c>
      <c r="N2414" t="s">
        <v>35</v>
      </c>
      <c r="O2414" t="s">
        <v>27</v>
      </c>
      <c r="P2414">
        <v>2.0099999999999998</v>
      </c>
      <c r="Q2414" t="s">
        <v>24</v>
      </c>
      <c r="R2414">
        <v>1.77</v>
      </c>
      <c r="S2414" t="s">
        <v>28</v>
      </c>
      <c r="T2414" t="str">
        <f t="shared" si="74"/>
        <v>Moderate</v>
      </c>
      <c r="U2414" t="str">
        <f t="shared" si="75"/>
        <v>Expert</v>
      </c>
    </row>
    <row r="2415" spans="1:21" x14ac:dyDescent="0.35">
      <c r="A2415" t="s">
        <v>2488</v>
      </c>
      <c r="B2415" t="s">
        <v>94</v>
      </c>
      <c r="C2415" t="s">
        <v>39</v>
      </c>
      <c r="D2415" t="s">
        <v>69</v>
      </c>
      <c r="E2415" t="s">
        <v>70</v>
      </c>
      <c r="F2415">
        <v>25</v>
      </c>
      <c r="G2415">
        <v>0.35</v>
      </c>
      <c r="H2415">
        <v>0.49</v>
      </c>
      <c r="I2415" t="s">
        <v>24</v>
      </c>
      <c r="J2415">
        <v>44213</v>
      </c>
      <c r="K2415" t="s">
        <v>42</v>
      </c>
      <c r="L2415">
        <v>19</v>
      </c>
      <c r="M2415">
        <v>58</v>
      </c>
      <c r="N2415" t="s">
        <v>26</v>
      </c>
      <c r="O2415" t="s">
        <v>36</v>
      </c>
      <c r="P2415">
        <v>3.95</v>
      </c>
      <c r="Q2415" t="s">
        <v>34</v>
      </c>
      <c r="R2415">
        <v>2.42</v>
      </c>
      <c r="S2415" t="s">
        <v>28</v>
      </c>
      <c r="T2415" t="str">
        <f t="shared" si="74"/>
        <v>High</v>
      </c>
      <c r="U2415" t="str">
        <f t="shared" si="75"/>
        <v>Expert</v>
      </c>
    </row>
    <row r="2416" spans="1:21" x14ac:dyDescent="0.35">
      <c r="A2416" t="s">
        <v>2489</v>
      </c>
      <c r="B2416" t="s">
        <v>102</v>
      </c>
      <c r="C2416" t="s">
        <v>52</v>
      </c>
      <c r="D2416" t="s">
        <v>66</v>
      </c>
      <c r="E2416" t="s">
        <v>70</v>
      </c>
      <c r="F2416">
        <v>18</v>
      </c>
      <c r="G2416">
        <v>0.42</v>
      </c>
      <c r="H2416">
        <v>0.79</v>
      </c>
      <c r="I2416" t="s">
        <v>60</v>
      </c>
      <c r="J2416">
        <v>66152</v>
      </c>
      <c r="K2416" t="s">
        <v>27</v>
      </c>
      <c r="L2416">
        <v>40</v>
      </c>
      <c r="M2416">
        <v>55</v>
      </c>
      <c r="N2416" t="s">
        <v>42</v>
      </c>
      <c r="O2416" t="s">
        <v>27</v>
      </c>
      <c r="P2416">
        <v>2.31</v>
      </c>
      <c r="Q2416" t="s">
        <v>34</v>
      </c>
      <c r="R2416">
        <v>1.94</v>
      </c>
      <c r="S2416" t="s">
        <v>28</v>
      </c>
      <c r="T2416" t="str">
        <f t="shared" si="74"/>
        <v>High</v>
      </c>
      <c r="U2416" t="str">
        <f t="shared" si="75"/>
        <v>Expert</v>
      </c>
    </row>
    <row r="2417" spans="1:21" x14ac:dyDescent="0.35">
      <c r="A2417" t="s">
        <v>2490</v>
      </c>
      <c r="B2417" t="s">
        <v>94</v>
      </c>
      <c r="C2417" t="s">
        <v>82</v>
      </c>
      <c r="D2417" t="s">
        <v>69</v>
      </c>
      <c r="E2417" t="s">
        <v>33</v>
      </c>
      <c r="F2417">
        <v>3</v>
      </c>
      <c r="G2417">
        <v>0.93</v>
      </c>
      <c r="H2417">
        <v>0.43</v>
      </c>
      <c r="I2417" t="s">
        <v>34</v>
      </c>
      <c r="J2417">
        <v>57154</v>
      </c>
      <c r="K2417" t="s">
        <v>42</v>
      </c>
      <c r="L2417">
        <v>20</v>
      </c>
      <c r="M2417">
        <v>54</v>
      </c>
      <c r="N2417" t="s">
        <v>42</v>
      </c>
      <c r="O2417" t="s">
        <v>27</v>
      </c>
      <c r="P2417">
        <v>4.7</v>
      </c>
      <c r="Q2417" t="s">
        <v>24</v>
      </c>
      <c r="R2417">
        <v>1.72</v>
      </c>
      <c r="S2417" t="s">
        <v>47</v>
      </c>
      <c r="T2417" t="str">
        <f t="shared" si="74"/>
        <v>Very Low</v>
      </c>
      <c r="U2417" t="str">
        <f t="shared" si="75"/>
        <v>Intermediate</v>
      </c>
    </row>
    <row r="2418" spans="1:21" x14ac:dyDescent="0.35">
      <c r="A2418" t="s">
        <v>2491</v>
      </c>
      <c r="B2418" t="s">
        <v>102</v>
      </c>
      <c r="C2418" t="s">
        <v>55</v>
      </c>
      <c r="D2418" t="s">
        <v>40</v>
      </c>
      <c r="E2418" t="s">
        <v>41</v>
      </c>
      <c r="F2418">
        <v>7</v>
      </c>
      <c r="G2418">
        <v>0.69</v>
      </c>
      <c r="H2418">
        <v>0.67</v>
      </c>
      <c r="I2418" t="s">
        <v>34</v>
      </c>
      <c r="J2418">
        <v>155717</v>
      </c>
      <c r="K2418" t="s">
        <v>42</v>
      </c>
      <c r="L2418">
        <v>3</v>
      </c>
      <c r="M2418">
        <v>33</v>
      </c>
      <c r="N2418" t="s">
        <v>42</v>
      </c>
      <c r="O2418" t="s">
        <v>36</v>
      </c>
      <c r="P2418">
        <v>2.2999999999999998</v>
      </c>
      <c r="Q2418" t="s">
        <v>24</v>
      </c>
      <c r="R2418">
        <v>3.36</v>
      </c>
      <c r="S2418" t="s">
        <v>43</v>
      </c>
      <c r="T2418" t="str">
        <f t="shared" si="74"/>
        <v>Moderate</v>
      </c>
      <c r="U2418" t="str">
        <f t="shared" si="75"/>
        <v>Intermediate</v>
      </c>
    </row>
    <row r="2419" spans="1:21" x14ac:dyDescent="0.35">
      <c r="A2419" t="s">
        <v>2492</v>
      </c>
      <c r="B2419" t="s">
        <v>68</v>
      </c>
      <c r="C2419" t="s">
        <v>58</v>
      </c>
      <c r="D2419" t="s">
        <v>66</v>
      </c>
      <c r="E2419" t="s">
        <v>70</v>
      </c>
      <c r="F2419">
        <v>6</v>
      </c>
      <c r="G2419">
        <v>0.71</v>
      </c>
      <c r="H2419">
        <v>0.39</v>
      </c>
      <c r="I2419" t="s">
        <v>60</v>
      </c>
      <c r="J2419">
        <v>154244</v>
      </c>
      <c r="K2419" t="s">
        <v>42</v>
      </c>
      <c r="L2419">
        <v>-5</v>
      </c>
      <c r="M2419">
        <v>60</v>
      </c>
      <c r="N2419" t="s">
        <v>35</v>
      </c>
      <c r="O2419" t="s">
        <v>36</v>
      </c>
      <c r="P2419">
        <v>3.95</v>
      </c>
      <c r="Q2419" t="s">
        <v>24</v>
      </c>
      <c r="R2419">
        <v>4.9400000000000004</v>
      </c>
      <c r="S2419" t="s">
        <v>28</v>
      </c>
      <c r="T2419" t="str">
        <f t="shared" si="74"/>
        <v>Very Low</v>
      </c>
      <c r="U2419" t="str">
        <f t="shared" si="75"/>
        <v>Intermediate</v>
      </c>
    </row>
    <row r="2420" spans="1:21" x14ac:dyDescent="0.35">
      <c r="A2420" t="s">
        <v>2493</v>
      </c>
      <c r="B2420" t="s">
        <v>96</v>
      </c>
      <c r="C2420" t="s">
        <v>39</v>
      </c>
      <c r="D2420" t="s">
        <v>59</v>
      </c>
      <c r="E2420" t="s">
        <v>70</v>
      </c>
      <c r="F2420">
        <v>8</v>
      </c>
      <c r="G2420">
        <v>0.66</v>
      </c>
      <c r="H2420">
        <v>0.7</v>
      </c>
      <c r="I2420" t="s">
        <v>34</v>
      </c>
      <c r="J2420">
        <v>46910</v>
      </c>
      <c r="K2420" t="s">
        <v>27</v>
      </c>
      <c r="L2420">
        <v>-5</v>
      </c>
      <c r="M2420">
        <v>52</v>
      </c>
      <c r="N2420" t="s">
        <v>42</v>
      </c>
      <c r="O2420" t="s">
        <v>36</v>
      </c>
      <c r="P2420">
        <v>4.5999999999999996</v>
      </c>
      <c r="Q2420" t="s">
        <v>24</v>
      </c>
      <c r="R2420">
        <v>1.97</v>
      </c>
      <c r="S2420" t="s">
        <v>28</v>
      </c>
      <c r="T2420" t="str">
        <f t="shared" si="74"/>
        <v>High</v>
      </c>
      <c r="U2420" t="str">
        <f t="shared" si="75"/>
        <v>Intermediate</v>
      </c>
    </row>
    <row r="2421" spans="1:21" x14ac:dyDescent="0.35">
      <c r="A2421" t="s">
        <v>2494</v>
      </c>
      <c r="B2421" t="s">
        <v>106</v>
      </c>
      <c r="C2421" t="s">
        <v>58</v>
      </c>
      <c r="D2421" t="s">
        <v>69</v>
      </c>
      <c r="E2421" t="s">
        <v>33</v>
      </c>
      <c r="F2421">
        <v>18</v>
      </c>
      <c r="G2421">
        <v>0.77</v>
      </c>
      <c r="H2421">
        <v>0.63</v>
      </c>
      <c r="I2421" t="s">
        <v>60</v>
      </c>
      <c r="J2421">
        <v>66894</v>
      </c>
      <c r="K2421" t="s">
        <v>27</v>
      </c>
      <c r="L2421">
        <v>36</v>
      </c>
      <c r="M2421">
        <v>38</v>
      </c>
      <c r="N2421" t="s">
        <v>42</v>
      </c>
      <c r="O2421" t="s">
        <v>27</v>
      </c>
      <c r="P2421">
        <v>4.0599999999999996</v>
      </c>
      <c r="Q2421" t="s">
        <v>24</v>
      </c>
      <c r="R2421">
        <v>4.72</v>
      </c>
      <c r="S2421" t="s">
        <v>43</v>
      </c>
      <c r="T2421" t="str">
        <f t="shared" si="74"/>
        <v>Moderate</v>
      </c>
      <c r="U2421" t="str">
        <f t="shared" si="75"/>
        <v>Expert</v>
      </c>
    </row>
    <row r="2422" spans="1:21" x14ac:dyDescent="0.35">
      <c r="A2422" t="s">
        <v>2495</v>
      </c>
      <c r="B2422" t="s">
        <v>65</v>
      </c>
      <c r="C2422" t="s">
        <v>21</v>
      </c>
      <c r="D2422" t="s">
        <v>69</v>
      </c>
      <c r="E2422" t="s">
        <v>33</v>
      </c>
      <c r="F2422">
        <v>11</v>
      </c>
      <c r="G2422">
        <v>0.93</v>
      </c>
      <c r="H2422">
        <v>0.8</v>
      </c>
      <c r="I2422" t="s">
        <v>34</v>
      </c>
      <c r="J2422">
        <v>204013</v>
      </c>
      <c r="K2422" t="s">
        <v>27</v>
      </c>
      <c r="L2422">
        <v>28</v>
      </c>
      <c r="M2422">
        <v>36</v>
      </c>
      <c r="N2422" t="s">
        <v>35</v>
      </c>
      <c r="O2422" t="s">
        <v>36</v>
      </c>
      <c r="P2422">
        <v>2.97</v>
      </c>
      <c r="Q2422" t="s">
        <v>34</v>
      </c>
      <c r="R2422">
        <v>2.35</v>
      </c>
      <c r="S2422" t="s">
        <v>47</v>
      </c>
      <c r="T2422" t="str">
        <f t="shared" si="74"/>
        <v>Moderate</v>
      </c>
      <c r="U2422" t="str">
        <f t="shared" si="75"/>
        <v>Experienced</v>
      </c>
    </row>
    <row r="2423" spans="1:21" x14ac:dyDescent="0.35">
      <c r="A2423" t="s">
        <v>2496</v>
      </c>
      <c r="B2423" t="s">
        <v>96</v>
      </c>
      <c r="C2423" t="s">
        <v>21</v>
      </c>
      <c r="D2423" t="s">
        <v>69</v>
      </c>
      <c r="E2423" t="s">
        <v>41</v>
      </c>
      <c r="F2423">
        <v>13</v>
      </c>
      <c r="G2423">
        <v>0.25</v>
      </c>
      <c r="H2423">
        <v>0.56999999999999995</v>
      </c>
      <c r="I2423" t="s">
        <v>24</v>
      </c>
      <c r="J2423">
        <v>106228</v>
      </c>
      <c r="K2423" t="s">
        <v>42</v>
      </c>
      <c r="L2423">
        <v>7</v>
      </c>
      <c r="M2423">
        <v>37</v>
      </c>
      <c r="N2423" t="s">
        <v>35</v>
      </c>
      <c r="O2423" t="s">
        <v>36</v>
      </c>
      <c r="P2423">
        <v>4.05</v>
      </c>
      <c r="Q2423" t="s">
        <v>34</v>
      </c>
      <c r="R2423">
        <v>4.01</v>
      </c>
      <c r="S2423" t="s">
        <v>28</v>
      </c>
      <c r="T2423" t="str">
        <f t="shared" si="74"/>
        <v>High</v>
      </c>
      <c r="U2423" t="str">
        <f t="shared" si="75"/>
        <v>Experienced</v>
      </c>
    </row>
    <row r="2424" spans="1:21" x14ac:dyDescent="0.35">
      <c r="A2424" t="s">
        <v>2497</v>
      </c>
      <c r="B2424" t="s">
        <v>94</v>
      </c>
      <c r="C2424" t="s">
        <v>46</v>
      </c>
      <c r="D2424" t="s">
        <v>63</v>
      </c>
      <c r="E2424" t="s">
        <v>33</v>
      </c>
      <c r="F2424">
        <v>25</v>
      </c>
      <c r="G2424">
        <v>0.5</v>
      </c>
      <c r="H2424">
        <v>0.41</v>
      </c>
      <c r="I2424" t="s">
        <v>24</v>
      </c>
      <c r="J2424">
        <v>31064</v>
      </c>
      <c r="K2424" t="s">
        <v>25</v>
      </c>
      <c r="L2424">
        <v>-4</v>
      </c>
      <c r="M2424">
        <v>44</v>
      </c>
      <c r="N2424" t="s">
        <v>26</v>
      </c>
      <c r="O2424" t="s">
        <v>27</v>
      </c>
      <c r="P2424">
        <v>2.91</v>
      </c>
      <c r="Q2424" t="s">
        <v>24</v>
      </c>
      <c r="R2424">
        <v>3.65</v>
      </c>
      <c r="S2424" t="s">
        <v>43</v>
      </c>
      <c r="T2424" t="str">
        <f t="shared" si="74"/>
        <v>Moderate</v>
      </c>
      <c r="U2424" t="str">
        <f t="shared" si="75"/>
        <v>Expert</v>
      </c>
    </row>
    <row r="2425" spans="1:21" x14ac:dyDescent="0.35">
      <c r="A2425" t="s">
        <v>2498</v>
      </c>
      <c r="B2425" t="s">
        <v>77</v>
      </c>
      <c r="C2425" t="s">
        <v>39</v>
      </c>
      <c r="D2425" t="s">
        <v>40</v>
      </c>
      <c r="E2425" t="s">
        <v>41</v>
      </c>
      <c r="F2425">
        <v>20</v>
      </c>
      <c r="G2425">
        <v>0.3</v>
      </c>
      <c r="H2425">
        <v>0.64</v>
      </c>
      <c r="I2425" t="s">
        <v>34</v>
      </c>
      <c r="J2425">
        <v>74486</v>
      </c>
      <c r="K2425" t="s">
        <v>42</v>
      </c>
      <c r="L2425">
        <v>25</v>
      </c>
      <c r="M2425">
        <v>59</v>
      </c>
      <c r="N2425" t="s">
        <v>26</v>
      </c>
      <c r="O2425" t="s">
        <v>36</v>
      </c>
      <c r="P2425">
        <v>2.94</v>
      </c>
      <c r="Q2425" t="s">
        <v>34</v>
      </c>
      <c r="R2425">
        <v>3.76</v>
      </c>
      <c r="S2425" t="s">
        <v>43</v>
      </c>
      <c r="T2425" t="str">
        <f t="shared" si="74"/>
        <v>High</v>
      </c>
      <c r="U2425" t="str">
        <f t="shared" si="75"/>
        <v>Expert</v>
      </c>
    </row>
    <row r="2426" spans="1:21" x14ac:dyDescent="0.35">
      <c r="A2426" t="s">
        <v>2499</v>
      </c>
      <c r="B2426" t="s">
        <v>30</v>
      </c>
      <c r="C2426" t="s">
        <v>74</v>
      </c>
      <c r="D2426" t="s">
        <v>75</v>
      </c>
      <c r="E2426" t="s">
        <v>70</v>
      </c>
      <c r="F2426">
        <v>12</v>
      </c>
      <c r="G2426">
        <v>0.36</v>
      </c>
      <c r="H2426">
        <v>0.89</v>
      </c>
      <c r="I2426" t="s">
        <v>24</v>
      </c>
      <c r="J2426">
        <v>148764</v>
      </c>
      <c r="K2426" t="s">
        <v>42</v>
      </c>
      <c r="L2426">
        <v>-3</v>
      </c>
      <c r="M2426">
        <v>39</v>
      </c>
      <c r="N2426" t="s">
        <v>26</v>
      </c>
      <c r="O2426" t="s">
        <v>25</v>
      </c>
      <c r="P2426">
        <v>3.62</v>
      </c>
      <c r="Q2426" t="s">
        <v>34</v>
      </c>
      <c r="R2426">
        <v>1.2</v>
      </c>
      <c r="S2426" t="s">
        <v>28</v>
      </c>
      <c r="T2426" t="str">
        <f t="shared" si="74"/>
        <v>Very High</v>
      </c>
      <c r="U2426" t="str">
        <f t="shared" si="75"/>
        <v>Experienced</v>
      </c>
    </row>
    <row r="2427" spans="1:21" x14ac:dyDescent="0.35">
      <c r="A2427" t="s">
        <v>2500</v>
      </c>
      <c r="B2427" t="s">
        <v>73</v>
      </c>
      <c r="C2427" t="s">
        <v>46</v>
      </c>
      <c r="D2427" t="s">
        <v>66</v>
      </c>
      <c r="E2427" t="s">
        <v>41</v>
      </c>
      <c r="F2427">
        <v>8</v>
      </c>
      <c r="G2427">
        <v>0.45</v>
      </c>
      <c r="H2427">
        <v>0.85</v>
      </c>
      <c r="I2427" t="s">
        <v>24</v>
      </c>
      <c r="J2427">
        <v>195742</v>
      </c>
      <c r="K2427" t="s">
        <v>42</v>
      </c>
      <c r="L2427">
        <v>32</v>
      </c>
      <c r="M2427">
        <v>54</v>
      </c>
      <c r="N2427" t="s">
        <v>35</v>
      </c>
      <c r="O2427" t="s">
        <v>27</v>
      </c>
      <c r="P2427">
        <v>3.06</v>
      </c>
      <c r="Q2427" t="s">
        <v>24</v>
      </c>
      <c r="R2427">
        <v>2.63</v>
      </c>
      <c r="S2427" t="s">
        <v>28</v>
      </c>
      <c r="T2427" t="str">
        <f t="shared" si="74"/>
        <v>High</v>
      </c>
      <c r="U2427" t="str">
        <f t="shared" si="75"/>
        <v>Intermediate</v>
      </c>
    </row>
    <row r="2428" spans="1:21" x14ac:dyDescent="0.35">
      <c r="A2428" t="s">
        <v>2501</v>
      </c>
      <c r="B2428" t="s">
        <v>51</v>
      </c>
      <c r="C2428" t="s">
        <v>39</v>
      </c>
      <c r="D2428" t="s">
        <v>40</v>
      </c>
      <c r="E2428" t="s">
        <v>33</v>
      </c>
      <c r="F2428">
        <v>4</v>
      </c>
      <c r="G2428">
        <v>0.63</v>
      </c>
      <c r="H2428">
        <v>0.33</v>
      </c>
      <c r="I2428" t="s">
        <v>60</v>
      </c>
      <c r="J2428">
        <v>167062</v>
      </c>
      <c r="K2428" t="s">
        <v>27</v>
      </c>
      <c r="L2428">
        <v>17</v>
      </c>
      <c r="M2428">
        <v>45</v>
      </c>
      <c r="N2428" t="s">
        <v>26</v>
      </c>
      <c r="O2428" t="s">
        <v>25</v>
      </c>
      <c r="P2428">
        <v>4.68</v>
      </c>
      <c r="Q2428" t="s">
        <v>34</v>
      </c>
      <c r="R2428">
        <v>1.81</v>
      </c>
      <c r="S2428" t="s">
        <v>43</v>
      </c>
      <c r="T2428" t="str">
        <f t="shared" si="74"/>
        <v>Moderate</v>
      </c>
      <c r="U2428" t="str">
        <f t="shared" si="75"/>
        <v>Intermediate</v>
      </c>
    </row>
    <row r="2429" spans="1:21" x14ac:dyDescent="0.35">
      <c r="A2429" t="s">
        <v>2502</v>
      </c>
      <c r="B2429" t="s">
        <v>38</v>
      </c>
      <c r="C2429" t="s">
        <v>82</v>
      </c>
      <c r="D2429" t="s">
        <v>32</v>
      </c>
      <c r="E2429" t="s">
        <v>70</v>
      </c>
      <c r="F2429">
        <v>22</v>
      </c>
      <c r="G2429">
        <v>0.51</v>
      </c>
      <c r="H2429">
        <v>0.6</v>
      </c>
      <c r="I2429" t="s">
        <v>60</v>
      </c>
      <c r="J2429">
        <v>132710</v>
      </c>
      <c r="K2429" t="s">
        <v>27</v>
      </c>
      <c r="L2429">
        <v>7</v>
      </c>
      <c r="M2429">
        <v>37</v>
      </c>
      <c r="N2429" t="s">
        <v>42</v>
      </c>
      <c r="O2429" t="s">
        <v>27</v>
      </c>
      <c r="P2429">
        <v>3.22</v>
      </c>
      <c r="Q2429" t="s">
        <v>34</v>
      </c>
      <c r="R2429">
        <v>2.62</v>
      </c>
      <c r="S2429" t="s">
        <v>28</v>
      </c>
      <c r="T2429" t="str">
        <f t="shared" si="74"/>
        <v>High</v>
      </c>
      <c r="U2429" t="str">
        <f t="shared" si="75"/>
        <v>Expert</v>
      </c>
    </row>
    <row r="2430" spans="1:21" x14ac:dyDescent="0.35">
      <c r="A2430" t="s">
        <v>2503</v>
      </c>
      <c r="B2430" t="s">
        <v>30</v>
      </c>
      <c r="C2430" t="s">
        <v>46</v>
      </c>
      <c r="D2430" t="s">
        <v>63</v>
      </c>
      <c r="E2430" t="s">
        <v>70</v>
      </c>
      <c r="F2430">
        <v>6</v>
      </c>
      <c r="G2430">
        <v>0.44</v>
      </c>
      <c r="H2430">
        <v>0.88</v>
      </c>
      <c r="I2430" t="s">
        <v>60</v>
      </c>
      <c r="J2430">
        <v>196965</v>
      </c>
      <c r="K2430" t="s">
        <v>42</v>
      </c>
      <c r="L2430">
        <v>13</v>
      </c>
      <c r="M2430">
        <v>55</v>
      </c>
      <c r="N2430" t="s">
        <v>35</v>
      </c>
      <c r="O2430" t="s">
        <v>36</v>
      </c>
      <c r="P2430">
        <v>4</v>
      </c>
      <c r="Q2430" t="s">
        <v>34</v>
      </c>
      <c r="R2430">
        <v>3.01</v>
      </c>
      <c r="S2430" t="s">
        <v>28</v>
      </c>
      <c r="T2430" t="str">
        <f t="shared" si="74"/>
        <v>High</v>
      </c>
      <c r="U2430" t="str">
        <f t="shared" si="75"/>
        <v>Intermediate</v>
      </c>
    </row>
    <row r="2431" spans="1:21" x14ac:dyDescent="0.35">
      <c r="A2431" t="s">
        <v>2504</v>
      </c>
      <c r="B2431" t="s">
        <v>106</v>
      </c>
      <c r="C2431" t="s">
        <v>55</v>
      </c>
      <c r="D2431" t="s">
        <v>63</v>
      </c>
      <c r="E2431" t="s">
        <v>70</v>
      </c>
      <c r="F2431">
        <v>22</v>
      </c>
      <c r="G2431">
        <v>0.77</v>
      </c>
      <c r="H2431">
        <v>0.68</v>
      </c>
      <c r="I2431" t="s">
        <v>60</v>
      </c>
      <c r="J2431">
        <v>151036</v>
      </c>
      <c r="K2431" t="s">
        <v>42</v>
      </c>
      <c r="L2431">
        <v>-3</v>
      </c>
      <c r="M2431">
        <v>44</v>
      </c>
      <c r="N2431" t="s">
        <v>26</v>
      </c>
      <c r="O2431" t="s">
        <v>25</v>
      </c>
      <c r="P2431">
        <v>4.0999999999999996</v>
      </c>
      <c r="Q2431" t="s">
        <v>34</v>
      </c>
      <c r="R2431">
        <v>4.6500000000000004</v>
      </c>
      <c r="S2431" t="s">
        <v>47</v>
      </c>
      <c r="T2431" t="str">
        <f t="shared" si="74"/>
        <v>Moderate</v>
      </c>
      <c r="U2431" t="str">
        <f t="shared" si="75"/>
        <v>Expert</v>
      </c>
    </row>
    <row r="2432" spans="1:21" x14ac:dyDescent="0.35">
      <c r="A2432" t="s">
        <v>2505</v>
      </c>
      <c r="B2432" t="s">
        <v>38</v>
      </c>
      <c r="C2432" t="s">
        <v>52</v>
      </c>
      <c r="D2432" t="s">
        <v>49</v>
      </c>
      <c r="E2432" t="s">
        <v>23</v>
      </c>
      <c r="F2432">
        <v>4</v>
      </c>
      <c r="G2432">
        <v>0.37</v>
      </c>
      <c r="H2432">
        <v>0.44</v>
      </c>
      <c r="I2432" t="s">
        <v>34</v>
      </c>
      <c r="J2432">
        <v>38696</v>
      </c>
      <c r="K2432" t="s">
        <v>25</v>
      </c>
      <c r="L2432">
        <v>25</v>
      </c>
      <c r="M2432">
        <v>60</v>
      </c>
      <c r="N2432" t="s">
        <v>42</v>
      </c>
      <c r="O2432" t="s">
        <v>36</v>
      </c>
      <c r="P2432">
        <v>2.79</v>
      </c>
      <c r="Q2432" t="s">
        <v>34</v>
      </c>
      <c r="R2432">
        <v>1.0900000000000001</v>
      </c>
      <c r="S2432" t="s">
        <v>43</v>
      </c>
      <c r="T2432" t="str">
        <f t="shared" si="74"/>
        <v>High</v>
      </c>
      <c r="U2432" t="str">
        <f t="shared" si="75"/>
        <v>Intermediate</v>
      </c>
    </row>
    <row r="2433" spans="1:21" x14ac:dyDescent="0.35">
      <c r="A2433" t="s">
        <v>2506</v>
      </c>
      <c r="B2433" t="s">
        <v>96</v>
      </c>
      <c r="C2433" t="s">
        <v>39</v>
      </c>
      <c r="D2433" t="s">
        <v>75</v>
      </c>
      <c r="E2433" t="s">
        <v>23</v>
      </c>
      <c r="F2433">
        <v>25</v>
      </c>
      <c r="G2433">
        <v>0.38</v>
      </c>
      <c r="H2433">
        <v>0.93</v>
      </c>
      <c r="I2433" t="s">
        <v>60</v>
      </c>
      <c r="J2433">
        <v>142985</v>
      </c>
      <c r="K2433" t="s">
        <v>42</v>
      </c>
      <c r="L2433">
        <v>26</v>
      </c>
      <c r="M2433">
        <v>55</v>
      </c>
      <c r="N2433" t="s">
        <v>26</v>
      </c>
      <c r="O2433" t="s">
        <v>36</v>
      </c>
      <c r="P2433">
        <v>2.96</v>
      </c>
      <c r="Q2433" t="s">
        <v>24</v>
      </c>
      <c r="R2433">
        <v>3.33</v>
      </c>
      <c r="S2433" t="s">
        <v>43</v>
      </c>
      <c r="T2433" t="str">
        <f t="shared" si="74"/>
        <v>Very High</v>
      </c>
      <c r="U2433" t="str">
        <f t="shared" si="75"/>
        <v>Expert</v>
      </c>
    </row>
    <row r="2434" spans="1:21" x14ac:dyDescent="0.35">
      <c r="A2434" t="s">
        <v>2507</v>
      </c>
      <c r="B2434" t="s">
        <v>94</v>
      </c>
      <c r="C2434" t="s">
        <v>21</v>
      </c>
      <c r="D2434" t="s">
        <v>63</v>
      </c>
      <c r="E2434" t="s">
        <v>41</v>
      </c>
      <c r="F2434">
        <v>8</v>
      </c>
      <c r="G2434">
        <v>0.79</v>
      </c>
      <c r="H2434">
        <v>0.96</v>
      </c>
      <c r="I2434" t="s">
        <v>24</v>
      </c>
      <c r="J2434">
        <v>103528</v>
      </c>
      <c r="K2434" t="s">
        <v>27</v>
      </c>
      <c r="L2434">
        <v>37</v>
      </c>
      <c r="M2434">
        <v>32</v>
      </c>
      <c r="N2434" t="s">
        <v>42</v>
      </c>
      <c r="O2434" t="s">
        <v>25</v>
      </c>
      <c r="P2434">
        <v>3.54</v>
      </c>
      <c r="Q2434" t="s">
        <v>24</v>
      </c>
      <c r="R2434">
        <v>1.56</v>
      </c>
      <c r="S2434" t="s">
        <v>28</v>
      </c>
      <c r="T2434" t="str">
        <f t="shared" si="74"/>
        <v>High</v>
      </c>
      <c r="U2434" t="str">
        <f t="shared" si="75"/>
        <v>Intermediate</v>
      </c>
    </row>
    <row r="2435" spans="1:21" x14ac:dyDescent="0.35">
      <c r="A2435" t="s">
        <v>2508</v>
      </c>
      <c r="B2435" t="s">
        <v>147</v>
      </c>
      <c r="C2435" t="s">
        <v>58</v>
      </c>
      <c r="D2435" t="s">
        <v>40</v>
      </c>
      <c r="E2435" t="s">
        <v>41</v>
      </c>
      <c r="F2435">
        <v>9</v>
      </c>
      <c r="G2435">
        <v>0.08</v>
      </c>
      <c r="H2435">
        <v>0.34</v>
      </c>
      <c r="I2435" t="s">
        <v>34</v>
      </c>
      <c r="J2435">
        <v>210422</v>
      </c>
      <c r="K2435" t="s">
        <v>42</v>
      </c>
      <c r="L2435">
        <v>33</v>
      </c>
      <c r="M2435">
        <v>56</v>
      </c>
      <c r="N2435" t="s">
        <v>42</v>
      </c>
      <c r="O2435" t="s">
        <v>25</v>
      </c>
      <c r="P2435">
        <v>3.85</v>
      </c>
      <c r="Q2435" t="s">
        <v>24</v>
      </c>
      <c r="R2435">
        <v>3.83</v>
      </c>
      <c r="S2435" t="s">
        <v>43</v>
      </c>
      <c r="T2435" t="str">
        <f t="shared" ref="T2435:T2498" si="76">IF(AND(G2435&lt;0.4,H2435&gt;=0.7),"Very High",
IF(AND(G2435&gt;=0.7,H2435&lt;0.5),"Very Low",
IF(G2435&lt;H2435,"High","Moderate")))</f>
        <v>High</v>
      </c>
      <c r="U2435" t="str">
        <f t="shared" ref="U2435:U2498" si="77">_xlfn.IFS(F2435&lt;=2,"Beginner",F2435&lt;=8,"Intermediate",F2435&lt;=15,"Experienced",F2435&lt;=25,"Expert")</f>
        <v>Experienced</v>
      </c>
    </row>
    <row r="2436" spans="1:21" x14ac:dyDescent="0.35">
      <c r="A2436" t="s">
        <v>2509</v>
      </c>
      <c r="B2436" t="s">
        <v>89</v>
      </c>
      <c r="C2436" t="s">
        <v>74</v>
      </c>
      <c r="D2436" t="s">
        <v>49</v>
      </c>
      <c r="E2436" t="s">
        <v>70</v>
      </c>
      <c r="F2436">
        <v>10</v>
      </c>
      <c r="G2436">
        <v>0.67</v>
      </c>
      <c r="H2436">
        <v>0.22</v>
      </c>
      <c r="I2436" t="s">
        <v>34</v>
      </c>
      <c r="J2436">
        <v>190745</v>
      </c>
      <c r="K2436" t="s">
        <v>27</v>
      </c>
      <c r="L2436">
        <v>8</v>
      </c>
      <c r="M2436">
        <v>39</v>
      </c>
      <c r="N2436" t="s">
        <v>35</v>
      </c>
      <c r="O2436" t="s">
        <v>36</v>
      </c>
      <c r="P2436">
        <v>2.7</v>
      </c>
      <c r="Q2436" t="s">
        <v>24</v>
      </c>
      <c r="R2436">
        <v>4.29</v>
      </c>
      <c r="S2436" t="s">
        <v>47</v>
      </c>
      <c r="T2436" t="str">
        <f t="shared" si="76"/>
        <v>Moderate</v>
      </c>
      <c r="U2436" t="str">
        <f t="shared" si="77"/>
        <v>Experienced</v>
      </c>
    </row>
    <row r="2437" spans="1:21" x14ac:dyDescent="0.35">
      <c r="A2437" t="s">
        <v>2510</v>
      </c>
      <c r="B2437" t="s">
        <v>73</v>
      </c>
      <c r="C2437" t="s">
        <v>55</v>
      </c>
      <c r="D2437" t="s">
        <v>32</v>
      </c>
      <c r="E2437" t="s">
        <v>70</v>
      </c>
      <c r="F2437">
        <v>2</v>
      </c>
      <c r="G2437">
        <v>0.24</v>
      </c>
      <c r="H2437">
        <v>0.43</v>
      </c>
      <c r="I2437" t="s">
        <v>24</v>
      </c>
      <c r="J2437">
        <v>82384</v>
      </c>
      <c r="K2437" t="s">
        <v>25</v>
      </c>
      <c r="L2437">
        <v>-3</v>
      </c>
      <c r="M2437">
        <v>43</v>
      </c>
      <c r="N2437" t="s">
        <v>35</v>
      </c>
      <c r="O2437" t="s">
        <v>36</v>
      </c>
      <c r="P2437">
        <v>3.99</v>
      </c>
      <c r="Q2437" t="s">
        <v>34</v>
      </c>
      <c r="R2437">
        <v>3.65</v>
      </c>
      <c r="S2437" t="s">
        <v>28</v>
      </c>
      <c r="T2437" t="str">
        <f t="shared" si="76"/>
        <v>High</v>
      </c>
      <c r="U2437" t="str">
        <f t="shared" si="77"/>
        <v>Beginner</v>
      </c>
    </row>
    <row r="2438" spans="1:21" x14ac:dyDescent="0.35">
      <c r="A2438" t="s">
        <v>2511</v>
      </c>
      <c r="B2438" t="s">
        <v>68</v>
      </c>
      <c r="C2438" t="s">
        <v>107</v>
      </c>
      <c r="D2438" t="s">
        <v>49</v>
      </c>
      <c r="E2438" t="s">
        <v>33</v>
      </c>
      <c r="F2438">
        <v>6</v>
      </c>
      <c r="G2438">
        <v>0.56000000000000005</v>
      </c>
      <c r="H2438">
        <v>0.89</v>
      </c>
      <c r="I2438" t="s">
        <v>34</v>
      </c>
      <c r="J2438">
        <v>106194</v>
      </c>
      <c r="K2438" t="s">
        <v>27</v>
      </c>
      <c r="L2438">
        <v>33</v>
      </c>
      <c r="M2438">
        <v>50</v>
      </c>
      <c r="N2438" t="s">
        <v>35</v>
      </c>
      <c r="O2438" t="s">
        <v>27</v>
      </c>
      <c r="P2438">
        <v>3.89</v>
      </c>
      <c r="Q2438" t="s">
        <v>34</v>
      </c>
      <c r="R2438">
        <v>1.44</v>
      </c>
      <c r="S2438" t="s">
        <v>28</v>
      </c>
      <c r="T2438" t="str">
        <f t="shared" si="76"/>
        <v>High</v>
      </c>
      <c r="U2438" t="str">
        <f t="shared" si="77"/>
        <v>Intermediate</v>
      </c>
    </row>
    <row r="2439" spans="1:21" x14ac:dyDescent="0.35">
      <c r="A2439" t="s">
        <v>2512</v>
      </c>
      <c r="B2439" t="s">
        <v>102</v>
      </c>
      <c r="C2439" t="s">
        <v>46</v>
      </c>
      <c r="D2439" t="s">
        <v>32</v>
      </c>
      <c r="E2439" t="s">
        <v>33</v>
      </c>
      <c r="F2439">
        <v>2</v>
      </c>
      <c r="G2439">
        <v>0.39</v>
      </c>
      <c r="H2439">
        <v>0.21</v>
      </c>
      <c r="I2439" t="s">
        <v>60</v>
      </c>
      <c r="J2439">
        <v>143726</v>
      </c>
      <c r="K2439" t="s">
        <v>42</v>
      </c>
      <c r="L2439">
        <v>19</v>
      </c>
      <c r="M2439">
        <v>50</v>
      </c>
      <c r="N2439" t="s">
        <v>26</v>
      </c>
      <c r="O2439" t="s">
        <v>27</v>
      </c>
      <c r="P2439">
        <v>2.34</v>
      </c>
      <c r="Q2439" t="s">
        <v>24</v>
      </c>
      <c r="R2439">
        <v>3.65</v>
      </c>
      <c r="S2439" t="s">
        <v>47</v>
      </c>
      <c r="T2439" t="str">
        <f t="shared" si="76"/>
        <v>Moderate</v>
      </c>
      <c r="U2439" t="str">
        <f t="shared" si="77"/>
        <v>Beginner</v>
      </c>
    </row>
    <row r="2440" spans="1:21" x14ac:dyDescent="0.35">
      <c r="A2440" t="s">
        <v>2513</v>
      </c>
      <c r="B2440" t="s">
        <v>89</v>
      </c>
      <c r="C2440" t="s">
        <v>58</v>
      </c>
      <c r="D2440" t="s">
        <v>32</v>
      </c>
      <c r="E2440" t="s">
        <v>70</v>
      </c>
      <c r="F2440">
        <v>14</v>
      </c>
      <c r="G2440">
        <v>0.85</v>
      </c>
      <c r="H2440">
        <v>0.99</v>
      </c>
      <c r="I2440" t="s">
        <v>60</v>
      </c>
      <c r="J2440">
        <v>208238</v>
      </c>
      <c r="K2440" t="s">
        <v>42</v>
      </c>
      <c r="L2440">
        <v>5</v>
      </c>
      <c r="M2440">
        <v>55</v>
      </c>
      <c r="N2440" t="s">
        <v>42</v>
      </c>
      <c r="O2440" t="s">
        <v>36</v>
      </c>
      <c r="P2440">
        <v>2.93</v>
      </c>
      <c r="Q2440" t="s">
        <v>24</v>
      </c>
      <c r="R2440">
        <v>4.6100000000000003</v>
      </c>
      <c r="S2440" t="s">
        <v>28</v>
      </c>
      <c r="T2440" t="str">
        <f t="shared" si="76"/>
        <v>High</v>
      </c>
      <c r="U2440" t="str">
        <f t="shared" si="77"/>
        <v>Experienced</v>
      </c>
    </row>
    <row r="2441" spans="1:21" x14ac:dyDescent="0.35">
      <c r="A2441" t="s">
        <v>2514</v>
      </c>
      <c r="B2441" t="s">
        <v>38</v>
      </c>
      <c r="C2441" t="s">
        <v>52</v>
      </c>
      <c r="D2441" t="s">
        <v>32</v>
      </c>
      <c r="E2441" t="s">
        <v>70</v>
      </c>
      <c r="F2441">
        <v>25</v>
      </c>
      <c r="G2441">
        <v>0.22</v>
      </c>
      <c r="H2441">
        <v>0.51</v>
      </c>
      <c r="I2441" t="s">
        <v>24</v>
      </c>
      <c r="J2441">
        <v>185145</v>
      </c>
      <c r="K2441" t="s">
        <v>27</v>
      </c>
      <c r="L2441">
        <v>0</v>
      </c>
      <c r="M2441">
        <v>37</v>
      </c>
      <c r="N2441" t="s">
        <v>26</v>
      </c>
      <c r="O2441" t="s">
        <v>27</v>
      </c>
      <c r="P2441">
        <v>2.79</v>
      </c>
      <c r="Q2441" t="s">
        <v>24</v>
      </c>
      <c r="R2441">
        <v>1.23</v>
      </c>
      <c r="S2441" t="s">
        <v>47</v>
      </c>
      <c r="T2441" t="str">
        <f t="shared" si="76"/>
        <v>High</v>
      </c>
      <c r="U2441" t="str">
        <f t="shared" si="77"/>
        <v>Expert</v>
      </c>
    </row>
    <row r="2442" spans="1:21" x14ac:dyDescent="0.35">
      <c r="A2442" t="s">
        <v>2515</v>
      </c>
      <c r="B2442" t="s">
        <v>102</v>
      </c>
      <c r="C2442" t="s">
        <v>46</v>
      </c>
      <c r="D2442" t="s">
        <v>63</v>
      </c>
      <c r="E2442" t="s">
        <v>23</v>
      </c>
      <c r="F2442">
        <v>4</v>
      </c>
      <c r="G2442">
        <v>0.09</v>
      </c>
      <c r="H2442">
        <v>0.71</v>
      </c>
      <c r="I2442" t="s">
        <v>60</v>
      </c>
      <c r="J2442">
        <v>201677</v>
      </c>
      <c r="K2442" t="s">
        <v>42</v>
      </c>
      <c r="L2442">
        <v>29</v>
      </c>
      <c r="M2442">
        <v>37</v>
      </c>
      <c r="N2442" t="s">
        <v>26</v>
      </c>
      <c r="O2442" t="s">
        <v>36</v>
      </c>
      <c r="P2442">
        <v>2.71</v>
      </c>
      <c r="Q2442" t="s">
        <v>24</v>
      </c>
      <c r="R2442">
        <v>1.1000000000000001</v>
      </c>
      <c r="S2442" t="s">
        <v>28</v>
      </c>
      <c r="T2442" t="str">
        <f t="shared" si="76"/>
        <v>Very High</v>
      </c>
      <c r="U2442" t="str">
        <f t="shared" si="77"/>
        <v>Intermediate</v>
      </c>
    </row>
    <row r="2443" spans="1:21" x14ac:dyDescent="0.35">
      <c r="A2443" t="s">
        <v>2516</v>
      </c>
      <c r="B2443" t="s">
        <v>102</v>
      </c>
      <c r="C2443" t="s">
        <v>31</v>
      </c>
      <c r="D2443" t="s">
        <v>80</v>
      </c>
      <c r="E2443" t="s">
        <v>41</v>
      </c>
      <c r="F2443">
        <v>5</v>
      </c>
      <c r="G2443">
        <v>0.45</v>
      </c>
      <c r="H2443">
        <v>0.97</v>
      </c>
      <c r="I2443" t="s">
        <v>60</v>
      </c>
      <c r="J2443">
        <v>113875</v>
      </c>
      <c r="K2443" t="s">
        <v>42</v>
      </c>
      <c r="L2443">
        <v>26</v>
      </c>
      <c r="M2443">
        <v>42</v>
      </c>
      <c r="N2443" t="s">
        <v>42</v>
      </c>
      <c r="O2443" t="s">
        <v>27</v>
      </c>
      <c r="P2443">
        <v>3.85</v>
      </c>
      <c r="Q2443" t="s">
        <v>24</v>
      </c>
      <c r="R2443">
        <v>1.94</v>
      </c>
      <c r="S2443" t="s">
        <v>28</v>
      </c>
      <c r="T2443" t="str">
        <f t="shared" si="76"/>
        <v>High</v>
      </c>
      <c r="U2443" t="str">
        <f t="shared" si="77"/>
        <v>Intermediate</v>
      </c>
    </row>
    <row r="2444" spans="1:21" x14ac:dyDescent="0.35">
      <c r="A2444" t="s">
        <v>2517</v>
      </c>
      <c r="B2444" t="s">
        <v>147</v>
      </c>
      <c r="C2444" t="s">
        <v>31</v>
      </c>
      <c r="D2444" t="s">
        <v>66</v>
      </c>
      <c r="E2444" t="s">
        <v>70</v>
      </c>
      <c r="F2444">
        <v>17</v>
      </c>
      <c r="G2444">
        <v>7.0000000000000007E-2</v>
      </c>
      <c r="H2444">
        <v>0.2</v>
      </c>
      <c r="I2444" t="s">
        <v>34</v>
      </c>
      <c r="J2444">
        <v>59334</v>
      </c>
      <c r="K2444" t="s">
        <v>42</v>
      </c>
      <c r="L2444">
        <v>28</v>
      </c>
      <c r="M2444">
        <v>34</v>
      </c>
      <c r="N2444" t="s">
        <v>35</v>
      </c>
      <c r="O2444" t="s">
        <v>36</v>
      </c>
      <c r="P2444">
        <v>2.81</v>
      </c>
      <c r="Q2444" t="s">
        <v>34</v>
      </c>
      <c r="R2444">
        <v>1.42</v>
      </c>
      <c r="S2444" t="s">
        <v>28</v>
      </c>
      <c r="T2444" t="str">
        <f t="shared" si="76"/>
        <v>High</v>
      </c>
      <c r="U2444" t="str">
        <f t="shared" si="77"/>
        <v>Expert</v>
      </c>
    </row>
    <row r="2445" spans="1:21" x14ac:dyDescent="0.35">
      <c r="A2445" t="s">
        <v>2518</v>
      </c>
      <c r="B2445" t="s">
        <v>77</v>
      </c>
      <c r="C2445" t="s">
        <v>58</v>
      </c>
      <c r="D2445" t="s">
        <v>32</v>
      </c>
      <c r="E2445" t="s">
        <v>70</v>
      </c>
      <c r="F2445">
        <v>24</v>
      </c>
      <c r="G2445">
        <v>0.64</v>
      </c>
      <c r="H2445">
        <v>0.56000000000000005</v>
      </c>
      <c r="I2445" t="s">
        <v>34</v>
      </c>
      <c r="J2445">
        <v>191308</v>
      </c>
      <c r="K2445" t="s">
        <v>27</v>
      </c>
      <c r="L2445">
        <v>30</v>
      </c>
      <c r="M2445">
        <v>49</v>
      </c>
      <c r="N2445" t="s">
        <v>26</v>
      </c>
      <c r="O2445" t="s">
        <v>25</v>
      </c>
      <c r="P2445">
        <v>3.72</v>
      </c>
      <c r="Q2445" t="s">
        <v>24</v>
      </c>
      <c r="R2445">
        <v>4.84</v>
      </c>
      <c r="S2445" t="s">
        <v>47</v>
      </c>
      <c r="T2445" t="str">
        <f t="shared" si="76"/>
        <v>Moderate</v>
      </c>
      <c r="U2445" t="str">
        <f t="shared" si="77"/>
        <v>Expert</v>
      </c>
    </row>
    <row r="2446" spans="1:21" x14ac:dyDescent="0.35">
      <c r="A2446" t="s">
        <v>2519</v>
      </c>
      <c r="B2446" t="s">
        <v>65</v>
      </c>
      <c r="C2446" t="s">
        <v>21</v>
      </c>
      <c r="D2446" t="s">
        <v>75</v>
      </c>
      <c r="E2446" t="s">
        <v>33</v>
      </c>
      <c r="F2446">
        <v>24</v>
      </c>
      <c r="G2446">
        <v>0.1</v>
      </c>
      <c r="H2446">
        <v>0.71</v>
      </c>
      <c r="I2446" t="s">
        <v>60</v>
      </c>
      <c r="J2446">
        <v>64403</v>
      </c>
      <c r="K2446" t="s">
        <v>42</v>
      </c>
      <c r="L2446">
        <v>1</v>
      </c>
      <c r="M2446">
        <v>49</v>
      </c>
      <c r="N2446" t="s">
        <v>42</v>
      </c>
      <c r="O2446" t="s">
        <v>36</v>
      </c>
      <c r="P2446">
        <v>2.98</v>
      </c>
      <c r="Q2446" t="s">
        <v>34</v>
      </c>
      <c r="R2446">
        <v>4.54</v>
      </c>
      <c r="S2446" t="s">
        <v>47</v>
      </c>
      <c r="T2446" t="str">
        <f t="shared" si="76"/>
        <v>Very High</v>
      </c>
      <c r="U2446" t="str">
        <f t="shared" si="77"/>
        <v>Expert</v>
      </c>
    </row>
    <row r="2447" spans="1:21" x14ac:dyDescent="0.35">
      <c r="A2447" t="s">
        <v>2520</v>
      </c>
      <c r="B2447" t="s">
        <v>94</v>
      </c>
      <c r="C2447" t="s">
        <v>39</v>
      </c>
      <c r="D2447" t="s">
        <v>59</v>
      </c>
      <c r="E2447" t="s">
        <v>41</v>
      </c>
      <c r="F2447">
        <v>25</v>
      </c>
      <c r="G2447">
        <v>0.63</v>
      </c>
      <c r="H2447">
        <v>0.59</v>
      </c>
      <c r="I2447" t="s">
        <v>24</v>
      </c>
      <c r="J2447">
        <v>189186</v>
      </c>
      <c r="K2447" t="s">
        <v>25</v>
      </c>
      <c r="L2447">
        <v>12</v>
      </c>
      <c r="M2447">
        <v>33</v>
      </c>
      <c r="N2447" t="s">
        <v>42</v>
      </c>
      <c r="O2447" t="s">
        <v>36</v>
      </c>
      <c r="P2447">
        <v>3.29</v>
      </c>
      <c r="Q2447" t="s">
        <v>24</v>
      </c>
      <c r="R2447">
        <v>1.47</v>
      </c>
      <c r="S2447" t="s">
        <v>47</v>
      </c>
      <c r="T2447" t="str">
        <f t="shared" si="76"/>
        <v>Moderate</v>
      </c>
      <c r="U2447" t="str">
        <f t="shared" si="77"/>
        <v>Expert</v>
      </c>
    </row>
    <row r="2448" spans="1:21" x14ac:dyDescent="0.35">
      <c r="A2448" t="s">
        <v>2521</v>
      </c>
      <c r="B2448" t="s">
        <v>147</v>
      </c>
      <c r="C2448" t="s">
        <v>55</v>
      </c>
      <c r="D2448" t="s">
        <v>32</v>
      </c>
      <c r="E2448" t="s">
        <v>70</v>
      </c>
      <c r="F2448">
        <v>12</v>
      </c>
      <c r="G2448">
        <v>0.24</v>
      </c>
      <c r="H2448">
        <v>0.49</v>
      </c>
      <c r="I2448" t="s">
        <v>34</v>
      </c>
      <c r="J2448">
        <v>217966</v>
      </c>
      <c r="K2448" t="s">
        <v>42</v>
      </c>
      <c r="L2448">
        <v>0</v>
      </c>
      <c r="M2448">
        <v>32</v>
      </c>
      <c r="N2448" t="s">
        <v>26</v>
      </c>
      <c r="O2448" t="s">
        <v>25</v>
      </c>
      <c r="P2448">
        <v>3.79</v>
      </c>
      <c r="Q2448" t="s">
        <v>34</v>
      </c>
      <c r="R2448">
        <v>4.38</v>
      </c>
      <c r="S2448" t="s">
        <v>47</v>
      </c>
      <c r="T2448" t="str">
        <f t="shared" si="76"/>
        <v>High</v>
      </c>
      <c r="U2448" t="str">
        <f t="shared" si="77"/>
        <v>Experienced</v>
      </c>
    </row>
    <row r="2449" spans="1:21" x14ac:dyDescent="0.35">
      <c r="A2449" t="s">
        <v>2522</v>
      </c>
      <c r="B2449" t="s">
        <v>102</v>
      </c>
      <c r="C2449" t="s">
        <v>107</v>
      </c>
      <c r="D2449" t="s">
        <v>80</v>
      </c>
      <c r="E2449" t="s">
        <v>33</v>
      </c>
      <c r="F2449">
        <v>11</v>
      </c>
      <c r="G2449">
        <v>0.88</v>
      </c>
      <c r="H2449">
        <v>0.8</v>
      </c>
      <c r="I2449" t="s">
        <v>34</v>
      </c>
      <c r="J2449">
        <v>142091</v>
      </c>
      <c r="K2449" t="s">
        <v>42</v>
      </c>
      <c r="L2449">
        <v>39</v>
      </c>
      <c r="M2449">
        <v>46</v>
      </c>
      <c r="N2449" t="s">
        <v>42</v>
      </c>
      <c r="O2449" t="s">
        <v>27</v>
      </c>
      <c r="P2449">
        <v>3.29</v>
      </c>
      <c r="Q2449" t="s">
        <v>34</v>
      </c>
      <c r="R2449">
        <v>4.9800000000000004</v>
      </c>
      <c r="S2449" t="s">
        <v>43</v>
      </c>
      <c r="T2449" t="str">
        <f t="shared" si="76"/>
        <v>Moderate</v>
      </c>
      <c r="U2449" t="str">
        <f t="shared" si="77"/>
        <v>Experienced</v>
      </c>
    </row>
    <row r="2450" spans="1:21" x14ac:dyDescent="0.35">
      <c r="A2450" t="s">
        <v>2523</v>
      </c>
      <c r="B2450" t="s">
        <v>73</v>
      </c>
      <c r="C2450" t="s">
        <v>52</v>
      </c>
      <c r="D2450" t="s">
        <v>49</v>
      </c>
      <c r="E2450" t="s">
        <v>23</v>
      </c>
      <c r="F2450">
        <v>8</v>
      </c>
      <c r="G2450">
        <v>0.34</v>
      </c>
      <c r="H2450">
        <v>0.64</v>
      </c>
      <c r="I2450" t="s">
        <v>34</v>
      </c>
      <c r="J2450">
        <v>125775</v>
      </c>
      <c r="K2450" t="s">
        <v>25</v>
      </c>
      <c r="L2450">
        <v>-4</v>
      </c>
      <c r="M2450">
        <v>41</v>
      </c>
      <c r="N2450" t="s">
        <v>26</v>
      </c>
      <c r="O2450" t="s">
        <v>27</v>
      </c>
      <c r="P2450">
        <v>2.02</v>
      </c>
      <c r="Q2450" t="s">
        <v>24</v>
      </c>
      <c r="R2450">
        <v>4.49</v>
      </c>
      <c r="S2450" t="s">
        <v>43</v>
      </c>
      <c r="T2450" t="str">
        <f t="shared" si="76"/>
        <v>High</v>
      </c>
      <c r="U2450" t="str">
        <f t="shared" si="77"/>
        <v>Intermediate</v>
      </c>
    </row>
    <row r="2451" spans="1:21" x14ac:dyDescent="0.35">
      <c r="A2451" t="s">
        <v>2524</v>
      </c>
      <c r="B2451" t="s">
        <v>89</v>
      </c>
      <c r="C2451" t="s">
        <v>46</v>
      </c>
      <c r="D2451" t="s">
        <v>63</v>
      </c>
      <c r="E2451" t="s">
        <v>41</v>
      </c>
      <c r="F2451">
        <v>23</v>
      </c>
      <c r="G2451">
        <v>0.43</v>
      </c>
      <c r="H2451">
        <v>0.5</v>
      </c>
      <c r="I2451" t="s">
        <v>60</v>
      </c>
      <c r="J2451">
        <v>190001</v>
      </c>
      <c r="K2451" t="s">
        <v>25</v>
      </c>
      <c r="L2451">
        <v>40</v>
      </c>
      <c r="M2451">
        <v>54</v>
      </c>
      <c r="N2451" t="s">
        <v>42</v>
      </c>
      <c r="O2451" t="s">
        <v>27</v>
      </c>
      <c r="P2451">
        <v>3.19</v>
      </c>
      <c r="Q2451" t="s">
        <v>24</v>
      </c>
      <c r="R2451">
        <v>3.77</v>
      </c>
      <c r="S2451" t="s">
        <v>28</v>
      </c>
      <c r="T2451" t="str">
        <f t="shared" si="76"/>
        <v>High</v>
      </c>
      <c r="U2451" t="str">
        <f t="shared" si="77"/>
        <v>Expert</v>
      </c>
    </row>
    <row r="2452" spans="1:21" x14ac:dyDescent="0.35">
      <c r="A2452" t="s">
        <v>2525</v>
      </c>
      <c r="B2452" t="s">
        <v>91</v>
      </c>
      <c r="C2452" t="s">
        <v>74</v>
      </c>
      <c r="D2452" t="s">
        <v>75</v>
      </c>
      <c r="E2452" t="s">
        <v>33</v>
      </c>
      <c r="F2452">
        <v>0</v>
      </c>
      <c r="G2452">
        <v>0.69</v>
      </c>
      <c r="H2452">
        <v>0.28000000000000003</v>
      </c>
      <c r="I2452" t="s">
        <v>60</v>
      </c>
      <c r="J2452">
        <v>67281</v>
      </c>
      <c r="K2452" t="s">
        <v>27</v>
      </c>
      <c r="L2452">
        <v>0</v>
      </c>
      <c r="M2452">
        <v>35</v>
      </c>
      <c r="N2452" t="s">
        <v>42</v>
      </c>
      <c r="O2452" t="s">
        <v>25</v>
      </c>
      <c r="P2452">
        <v>2.33</v>
      </c>
      <c r="Q2452" t="s">
        <v>24</v>
      </c>
      <c r="R2452">
        <v>3.24</v>
      </c>
      <c r="S2452" t="s">
        <v>47</v>
      </c>
      <c r="T2452" t="str">
        <f t="shared" si="76"/>
        <v>Moderate</v>
      </c>
      <c r="U2452" t="str">
        <f t="shared" si="77"/>
        <v>Beginner</v>
      </c>
    </row>
    <row r="2453" spans="1:21" x14ac:dyDescent="0.35">
      <c r="A2453" t="s">
        <v>2526</v>
      </c>
      <c r="B2453" t="s">
        <v>68</v>
      </c>
      <c r="C2453" t="s">
        <v>31</v>
      </c>
      <c r="D2453" t="s">
        <v>80</v>
      </c>
      <c r="E2453" t="s">
        <v>23</v>
      </c>
      <c r="F2453">
        <v>8</v>
      </c>
      <c r="G2453">
        <v>0.39</v>
      </c>
      <c r="H2453">
        <v>0.46</v>
      </c>
      <c r="I2453" t="s">
        <v>60</v>
      </c>
      <c r="J2453">
        <v>218465</v>
      </c>
      <c r="K2453" t="s">
        <v>42</v>
      </c>
      <c r="L2453">
        <v>30</v>
      </c>
      <c r="M2453">
        <v>32</v>
      </c>
      <c r="N2453" t="s">
        <v>42</v>
      </c>
      <c r="O2453" t="s">
        <v>27</v>
      </c>
      <c r="P2453">
        <v>2.29</v>
      </c>
      <c r="Q2453" t="s">
        <v>34</v>
      </c>
      <c r="R2453">
        <v>2.1</v>
      </c>
      <c r="S2453" t="s">
        <v>28</v>
      </c>
      <c r="T2453" t="str">
        <f t="shared" si="76"/>
        <v>High</v>
      </c>
      <c r="U2453" t="str">
        <f t="shared" si="77"/>
        <v>Intermediate</v>
      </c>
    </row>
    <row r="2454" spans="1:21" x14ac:dyDescent="0.35">
      <c r="A2454" t="s">
        <v>2527</v>
      </c>
      <c r="B2454" t="s">
        <v>65</v>
      </c>
      <c r="C2454" t="s">
        <v>31</v>
      </c>
      <c r="D2454" t="s">
        <v>22</v>
      </c>
      <c r="E2454" t="s">
        <v>41</v>
      </c>
      <c r="F2454">
        <v>13</v>
      </c>
      <c r="G2454">
        <v>0.62</v>
      </c>
      <c r="H2454">
        <v>0.88</v>
      </c>
      <c r="I2454" t="s">
        <v>60</v>
      </c>
      <c r="J2454">
        <v>116899</v>
      </c>
      <c r="K2454" t="s">
        <v>42</v>
      </c>
      <c r="L2454">
        <v>4</v>
      </c>
      <c r="M2454">
        <v>60</v>
      </c>
      <c r="N2454" t="s">
        <v>42</v>
      </c>
      <c r="O2454" t="s">
        <v>27</v>
      </c>
      <c r="P2454">
        <v>3.94</v>
      </c>
      <c r="Q2454" t="s">
        <v>34</v>
      </c>
      <c r="R2454">
        <v>1.57</v>
      </c>
      <c r="S2454" t="s">
        <v>28</v>
      </c>
      <c r="T2454" t="str">
        <f t="shared" si="76"/>
        <v>High</v>
      </c>
      <c r="U2454" t="str">
        <f t="shared" si="77"/>
        <v>Experienced</v>
      </c>
    </row>
    <row r="2455" spans="1:21" x14ac:dyDescent="0.35">
      <c r="A2455" t="s">
        <v>2528</v>
      </c>
      <c r="B2455" t="s">
        <v>62</v>
      </c>
      <c r="C2455" t="s">
        <v>46</v>
      </c>
      <c r="D2455" t="s">
        <v>49</v>
      </c>
      <c r="E2455" t="s">
        <v>33</v>
      </c>
      <c r="F2455">
        <v>24</v>
      </c>
      <c r="G2455">
        <v>0.09</v>
      </c>
      <c r="H2455">
        <v>0.63</v>
      </c>
      <c r="I2455" t="s">
        <v>24</v>
      </c>
      <c r="J2455">
        <v>160164</v>
      </c>
      <c r="K2455" t="s">
        <v>25</v>
      </c>
      <c r="L2455">
        <v>-5</v>
      </c>
      <c r="M2455">
        <v>39</v>
      </c>
      <c r="N2455" t="s">
        <v>26</v>
      </c>
      <c r="O2455" t="s">
        <v>36</v>
      </c>
      <c r="P2455">
        <v>2.72</v>
      </c>
      <c r="Q2455" t="s">
        <v>34</v>
      </c>
      <c r="R2455">
        <v>4.4000000000000004</v>
      </c>
      <c r="S2455" t="s">
        <v>28</v>
      </c>
      <c r="T2455" t="str">
        <f t="shared" si="76"/>
        <v>High</v>
      </c>
      <c r="U2455" t="str">
        <f t="shared" si="77"/>
        <v>Expert</v>
      </c>
    </row>
    <row r="2456" spans="1:21" x14ac:dyDescent="0.35">
      <c r="A2456" t="s">
        <v>2529</v>
      </c>
      <c r="B2456" t="s">
        <v>77</v>
      </c>
      <c r="C2456" t="s">
        <v>52</v>
      </c>
      <c r="D2456" t="s">
        <v>40</v>
      </c>
      <c r="E2456" t="s">
        <v>23</v>
      </c>
      <c r="F2456">
        <v>20</v>
      </c>
      <c r="G2456">
        <v>0.3</v>
      </c>
      <c r="H2456">
        <v>0.99</v>
      </c>
      <c r="I2456" t="s">
        <v>34</v>
      </c>
      <c r="J2456">
        <v>114469</v>
      </c>
      <c r="K2456" t="s">
        <v>25</v>
      </c>
      <c r="L2456">
        <v>-9</v>
      </c>
      <c r="M2456">
        <v>57</v>
      </c>
      <c r="N2456" t="s">
        <v>26</v>
      </c>
      <c r="O2456" t="s">
        <v>36</v>
      </c>
      <c r="P2456">
        <v>3.85</v>
      </c>
      <c r="Q2456" t="s">
        <v>34</v>
      </c>
      <c r="R2456">
        <v>4.1100000000000003</v>
      </c>
      <c r="S2456" t="s">
        <v>47</v>
      </c>
      <c r="T2456" t="str">
        <f t="shared" si="76"/>
        <v>Very High</v>
      </c>
      <c r="U2456" t="str">
        <f t="shared" si="77"/>
        <v>Expert</v>
      </c>
    </row>
    <row r="2457" spans="1:21" x14ac:dyDescent="0.35">
      <c r="A2457" t="s">
        <v>2530</v>
      </c>
      <c r="B2457" t="s">
        <v>65</v>
      </c>
      <c r="C2457" t="s">
        <v>31</v>
      </c>
      <c r="D2457" t="s">
        <v>40</v>
      </c>
      <c r="E2457" t="s">
        <v>33</v>
      </c>
      <c r="F2457">
        <v>17</v>
      </c>
      <c r="G2457">
        <v>0.06</v>
      </c>
      <c r="H2457">
        <v>0.44</v>
      </c>
      <c r="I2457" t="s">
        <v>60</v>
      </c>
      <c r="J2457">
        <v>34376</v>
      </c>
      <c r="K2457" t="s">
        <v>42</v>
      </c>
      <c r="L2457">
        <v>10</v>
      </c>
      <c r="M2457">
        <v>38</v>
      </c>
      <c r="N2457" t="s">
        <v>26</v>
      </c>
      <c r="O2457" t="s">
        <v>25</v>
      </c>
      <c r="P2457">
        <v>4.5</v>
      </c>
      <c r="Q2457" t="s">
        <v>34</v>
      </c>
      <c r="R2457">
        <v>1.7</v>
      </c>
      <c r="S2457" t="s">
        <v>43</v>
      </c>
      <c r="T2457" t="str">
        <f t="shared" si="76"/>
        <v>High</v>
      </c>
      <c r="U2457" t="str">
        <f t="shared" si="77"/>
        <v>Expert</v>
      </c>
    </row>
    <row r="2458" spans="1:21" x14ac:dyDescent="0.35">
      <c r="A2458" t="s">
        <v>2531</v>
      </c>
      <c r="B2458" t="s">
        <v>73</v>
      </c>
      <c r="C2458" t="s">
        <v>46</v>
      </c>
      <c r="D2458" t="s">
        <v>59</v>
      </c>
      <c r="E2458" t="s">
        <v>23</v>
      </c>
      <c r="F2458">
        <v>11</v>
      </c>
      <c r="G2458">
        <v>0.35</v>
      </c>
      <c r="H2458">
        <v>0.9</v>
      </c>
      <c r="I2458" t="s">
        <v>34</v>
      </c>
      <c r="J2458">
        <v>188916</v>
      </c>
      <c r="K2458" t="s">
        <v>42</v>
      </c>
      <c r="L2458">
        <v>-10</v>
      </c>
      <c r="M2458">
        <v>56</v>
      </c>
      <c r="N2458" t="s">
        <v>42</v>
      </c>
      <c r="O2458" t="s">
        <v>27</v>
      </c>
      <c r="P2458">
        <v>4.99</v>
      </c>
      <c r="Q2458" t="s">
        <v>24</v>
      </c>
      <c r="R2458">
        <v>4.95</v>
      </c>
      <c r="S2458" t="s">
        <v>28</v>
      </c>
      <c r="T2458" t="str">
        <f t="shared" si="76"/>
        <v>Very High</v>
      </c>
      <c r="U2458" t="str">
        <f t="shared" si="77"/>
        <v>Experienced</v>
      </c>
    </row>
    <row r="2459" spans="1:21" x14ac:dyDescent="0.35">
      <c r="A2459" t="s">
        <v>2532</v>
      </c>
      <c r="B2459" t="s">
        <v>54</v>
      </c>
      <c r="C2459" t="s">
        <v>55</v>
      </c>
      <c r="D2459" t="s">
        <v>59</v>
      </c>
      <c r="E2459" t="s">
        <v>23</v>
      </c>
      <c r="F2459">
        <v>19</v>
      </c>
      <c r="G2459">
        <v>0.38</v>
      </c>
      <c r="H2459">
        <v>0.28000000000000003</v>
      </c>
      <c r="I2459" t="s">
        <v>34</v>
      </c>
      <c r="J2459">
        <v>172075</v>
      </c>
      <c r="K2459" t="s">
        <v>42</v>
      </c>
      <c r="L2459">
        <v>27</v>
      </c>
      <c r="M2459">
        <v>56</v>
      </c>
      <c r="N2459" t="s">
        <v>42</v>
      </c>
      <c r="O2459" t="s">
        <v>27</v>
      </c>
      <c r="P2459">
        <v>4.91</v>
      </c>
      <c r="Q2459" t="s">
        <v>34</v>
      </c>
      <c r="R2459">
        <v>2.85</v>
      </c>
      <c r="S2459" t="s">
        <v>47</v>
      </c>
      <c r="T2459" t="str">
        <f t="shared" si="76"/>
        <v>Moderate</v>
      </c>
      <c r="U2459" t="str">
        <f t="shared" si="77"/>
        <v>Expert</v>
      </c>
    </row>
    <row r="2460" spans="1:21" x14ac:dyDescent="0.35">
      <c r="A2460" t="s">
        <v>2533</v>
      </c>
      <c r="B2460" t="s">
        <v>54</v>
      </c>
      <c r="C2460" t="s">
        <v>46</v>
      </c>
      <c r="D2460" t="s">
        <v>75</v>
      </c>
      <c r="E2460" t="s">
        <v>23</v>
      </c>
      <c r="F2460">
        <v>0</v>
      </c>
      <c r="G2460">
        <v>0.15</v>
      </c>
      <c r="H2460">
        <v>0.5</v>
      </c>
      <c r="I2460" t="s">
        <v>60</v>
      </c>
      <c r="J2460">
        <v>177679</v>
      </c>
      <c r="K2460" t="s">
        <v>27</v>
      </c>
      <c r="L2460">
        <v>1</v>
      </c>
      <c r="M2460">
        <v>45</v>
      </c>
      <c r="N2460" t="s">
        <v>42</v>
      </c>
      <c r="O2460" t="s">
        <v>25</v>
      </c>
      <c r="P2460">
        <v>2.06</v>
      </c>
      <c r="Q2460" t="s">
        <v>24</v>
      </c>
      <c r="R2460">
        <v>3.85</v>
      </c>
      <c r="S2460" t="s">
        <v>43</v>
      </c>
      <c r="T2460" t="str">
        <f t="shared" si="76"/>
        <v>High</v>
      </c>
      <c r="U2460" t="str">
        <f t="shared" si="77"/>
        <v>Beginner</v>
      </c>
    </row>
    <row r="2461" spans="1:21" x14ac:dyDescent="0.35">
      <c r="A2461" t="s">
        <v>2534</v>
      </c>
      <c r="B2461" t="s">
        <v>38</v>
      </c>
      <c r="C2461" t="s">
        <v>21</v>
      </c>
      <c r="D2461" t="s">
        <v>63</v>
      </c>
      <c r="E2461" t="s">
        <v>23</v>
      </c>
      <c r="F2461">
        <v>6</v>
      </c>
      <c r="G2461">
        <v>0.38</v>
      </c>
      <c r="H2461">
        <v>0.66</v>
      </c>
      <c r="I2461" t="s">
        <v>60</v>
      </c>
      <c r="J2461">
        <v>130595</v>
      </c>
      <c r="K2461" t="s">
        <v>42</v>
      </c>
      <c r="L2461">
        <v>28</v>
      </c>
      <c r="M2461">
        <v>38</v>
      </c>
      <c r="N2461" t="s">
        <v>35</v>
      </c>
      <c r="O2461" t="s">
        <v>27</v>
      </c>
      <c r="P2461">
        <v>3.04</v>
      </c>
      <c r="Q2461" t="s">
        <v>34</v>
      </c>
      <c r="R2461">
        <v>1.8</v>
      </c>
      <c r="S2461" t="s">
        <v>43</v>
      </c>
      <c r="T2461" t="str">
        <f t="shared" si="76"/>
        <v>High</v>
      </c>
      <c r="U2461" t="str">
        <f t="shared" si="77"/>
        <v>Intermediate</v>
      </c>
    </row>
    <row r="2462" spans="1:21" x14ac:dyDescent="0.35">
      <c r="A2462" t="s">
        <v>2535</v>
      </c>
      <c r="B2462" t="s">
        <v>65</v>
      </c>
      <c r="C2462" t="s">
        <v>107</v>
      </c>
      <c r="D2462" t="s">
        <v>75</v>
      </c>
      <c r="E2462" t="s">
        <v>41</v>
      </c>
      <c r="F2462">
        <v>17</v>
      </c>
      <c r="G2462">
        <v>0.54</v>
      </c>
      <c r="H2462">
        <v>0.56999999999999995</v>
      </c>
      <c r="I2462" t="s">
        <v>60</v>
      </c>
      <c r="J2462">
        <v>215266</v>
      </c>
      <c r="K2462" t="s">
        <v>25</v>
      </c>
      <c r="L2462">
        <v>30</v>
      </c>
      <c r="M2462">
        <v>55</v>
      </c>
      <c r="N2462" t="s">
        <v>26</v>
      </c>
      <c r="O2462" t="s">
        <v>27</v>
      </c>
      <c r="P2462">
        <v>4.57</v>
      </c>
      <c r="Q2462" t="s">
        <v>24</v>
      </c>
      <c r="R2462">
        <v>1.48</v>
      </c>
      <c r="S2462" t="s">
        <v>47</v>
      </c>
      <c r="T2462" t="str">
        <f t="shared" si="76"/>
        <v>High</v>
      </c>
      <c r="U2462" t="str">
        <f t="shared" si="77"/>
        <v>Expert</v>
      </c>
    </row>
    <row r="2463" spans="1:21" x14ac:dyDescent="0.35">
      <c r="A2463" t="s">
        <v>2536</v>
      </c>
      <c r="B2463" t="s">
        <v>54</v>
      </c>
      <c r="C2463" t="s">
        <v>21</v>
      </c>
      <c r="D2463" t="s">
        <v>49</v>
      </c>
      <c r="E2463" t="s">
        <v>41</v>
      </c>
      <c r="F2463">
        <v>21</v>
      </c>
      <c r="G2463">
        <v>0.23</v>
      </c>
      <c r="H2463">
        <v>0.41</v>
      </c>
      <c r="I2463" t="s">
        <v>34</v>
      </c>
      <c r="J2463">
        <v>73627</v>
      </c>
      <c r="K2463" t="s">
        <v>25</v>
      </c>
      <c r="L2463">
        <v>-1</v>
      </c>
      <c r="M2463">
        <v>45</v>
      </c>
      <c r="N2463" t="s">
        <v>26</v>
      </c>
      <c r="O2463" t="s">
        <v>36</v>
      </c>
      <c r="P2463">
        <v>4.32</v>
      </c>
      <c r="Q2463" t="s">
        <v>34</v>
      </c>
      <c r="R2463">
        <v>1.96</v>
      </c>
      <c r="S2463" t="s">
        <v>28</v>
      </c>
      <c r="T2463" t="str">
        <f t="shared" si="76"/>
        <v>High</v>
      </c>
      <c r="U2463" t="str">
        <f t="shared" si="77"/>
        <v>Expert</v>
      </c>
    </row>
    <row r="2464" spans="1:21" x14ac:dyDescent="0.35">
      <c r="A2464" t="s">
        <v>2537</v>
      </c>
      <c r="B2464" t="s">
        <v>106</v>
      </c>
      <c r="C2464" t="s">
        <v>82</v>
      </c>
      <c r="D2464" t="s">
        <v>75</v>
      </c>
      <c r="E2464" t="s">
        <v>70</v>
      </c>
      <c r="F2464">
        <v>9</v>
      </c>
      <c r="G2464">
        <v>0.21</v>
      </c>
      <c r="H2464">
        <v>0.24</v>
      </c>
      <c r="I2464" t="s">
        <v>60</v>
      </c>
      <c r="J2464">
        <v>163035</v>
      </c>
      <c r="K2464" t="s">
        <v>42</v>
      </c>
      <c r="L2464">
        <v>32</v>
      </c>
      <c r="M2464">
        <v>56</v>
      </c>
      <c r="N2464" t="s">
        <v>26</v>
      </c>
      <c r="O2464" t="s">
        <v>25</v>
      </c>
      <c r="P2464">
        <v>4.58</v>
      </c>
      <c r="Q2464" t="s">
        <v>24</v>
      </c>
      <c r="R2464">
        <v>3.41</v>
      </c>
      <c r="S2464" t="s">
        <v>28</v>
      </c>
      <c r="T2464" t="str">
        <f t="shared" si="76"/>
        <v>High</v>
      </c>
      <c r="U2464" t="str">
        <f t="shared" si="77"/>
        <v>Experienced</v>
      </c>
    </row>
    <row r="2465" spans="1:21" x14ac:dyDescent="0.35">
      <c r="A2465" t="s">
        <v>2538</v>
      </c>
      <c r="B2465" t="s">
        <v>62</v>
      </c>
      <c r="C2465" t="s">
        <v>82</v>
      </c>
      <c r="D2465" t="s">
        <v>63</v>
      </c>
      <c r="E2465" t="s">
        <v>41</v>
      </c>
      <c r="F2465">
        <v>0</v>
      </c>
      <c r="G2465">
        <v>0.48</v>
      </c>
      <c r="H2465">
        <v>0.83</v>
      </c>
      <c r="I2465" t="s">
        <v>60</v>
      </c>
      <c r="J2465">
        <v>39014</v>
      </c>
      <c r="K2465" t="s">
        <v>27</v>
      </c>
      <c r="L2465">
        <v>1</v>
      </c>
      <c r="M2465">
        <v>46</v>
      </c>
      <c r="N2465" t="s">
        <v>42</v>
      </c>
      <c r="O2465" t="s">
        <v>25</v>
      </c>
      <c r="P2465">
        <v>2.4</v>
      </c>
      <c r="Q2465" t="s">
        <v>24</v>
      </c>
      <c r="R2465">
        <v>2.99</v>
      </c>
      <c r="S2465" t="s">
        <v>28</v>
      </c>
      <c r="T2465" t="str">
        <f t="shared" si="76"/>
        <v>High</v>
      </c>
      <c r="U2465" t="str">
        <f t="shared" si="77"/>
        <v>Beginner</v>
      </c>
    </row>
    <row r="2466" spans="1:21" x14ac:dyDescent="0.35">
      <c r="A2466" t="s">
        <v>2539</v>
      </c>
      <c r="B2466" t="s">
        <v>102</v>
      </c>
      <c r="C2466" t="s">
        <v>31</v>
      </c>
      <c r="D2466" t="s">
        <v>75</v>
      </c>
      <c r="E2466" t="s">
        <v>33</v>
      </c>
      <c r="F2466">
        <v>1</v>
      </c>
      <c r="G2466">
        <v>0.26</v>
      </c>
      <c r="H2466">
        <v>0.59</v>
      </c>
      <c r="I2466" t="s">
        <v>34</v>
      </c>
      <c r="J2466">
        <v>102291</v>
      </c>
      <c r="K2466" t="s">
        <v>27</v>
      </c>
      <c r="L2466">
        <v>32</v>
      </c>
      <c r="M2466">
        <v>45</v>
      </c>
      <c r="N2466" t="s">
        <v>26</v>
      </c>
      <c r="O2466" t="s">
        <v>25</v>
      </c>
      <c r="P2466">
        <v>3</v>
      </c>
      <c r="Q2466" t="s">
        <v>24</v>
      </c>
      <c r="R2466">
        <v>2.99</v>
      </c>
      <c r="S2466" t="s">
        <v>47</v>
      </c>
      <c r="T2466" t="str">
        <f t="shared" si="76"/>
        <v>High</v>
      </c>
      <c r="U2466" t="str">
        <f t="shared" si="77"/>
        <v>Beginner</v>
      </c>
    </row>
    <row r="2467" spans="1:21" x14ac:dyDescent="0.35">
      <c r="A2467" t="s">
        <v>2540</v>
      </c>
      <c r="B2467" t="s">
        <v>73</v>
      </c>
      <c r="C2467" t="s">
        <v>21</v>
      </c>
      <c r="D2467" t="s">
        <v>63</v>
      </c>
      <c r="E2467" t="s">
        <v>33</v>
      </c>
      <c r="F2467">
        <v>19</v>
      </c>
      <c r="G2467">
        <v>0.42</v>
      </c>
      <c r="H2467">
        <v>0.33</v>
      </c>
      <c r="I2467" t="s">
        <v>60</v>
      </c>
      <c r="J2467">
        <v>72533</v>
      </c>
      <c r="K2467" t="s">
        <v>42</v>
      </c>
      <c r="L2467">
        <v>29</v>
      </c>
      <c r="M2467">
        <v>43</v>
      </c>
      <c r="N2467" t="s">
        <v>26</v>
      </c>
      <c r="O2467" t="s">
        <v>36</v>
      </c>
      <c r="P2467">
        <v>5</v>
      </c>
      <c r="Q2467" t="s">
        <v>34</v>
      </c>
      <c r="R2467">
        <v>1.7</v>
      </c>
      <c r="S2467" t="s">
        <v>47</v>
      </c>
      <c r="T2467" t="str">
        <f t="shared" si="76"/>
        <v>Moderate</v>
      </c>
      <c r="U2467" t="str">
        <f t="shared" si="77"/>
        <v>Expert</v>
      </c>
    </row>
    <row r="2468" spans="1:21" x14ac:dyDescent="0.35">
      <c r="A2468" t="s">
        <v>2541</v>
      </c>
      <c r="B2468" t="s">
        <v>54</v>
      </c>
      <c r="C2468" t="s">
        <v>58</v>
      </c>
      <c r="D2468" t="s">
        <v>49</v>
      </c>
      <c r="E2468" t="s">
        <v>23</v>
      </c>
      <c r="F2468">
        <v>13</v>
      </c>
      <c r="G2468">
        <v>0.51</v>
      </c>
      <c r="H2468">
        <v>0.95</v>
      </c>
      <c r="I2468" t="s">
        <v>34</v>
      </c>
      <c r="J2468">
        <v>64791</v>
      </c>
      <c r="K2468" t="s">
        <v>27</v>
      </c>
      <c r="L2468">
        <v>30</v>
      </c>
      <c r="M2468">
        <v>50</v>
      </c>
      <c r="N2468" t="s">
        <v>42</v>
      </c>
      <c r="O2468" t="s">
        <v>27</v>
      </c>
      <c r="P2468">
        <v>4.45</v>
      </c>
      <c r="Q2468" t="s">
        <v>34</v>
      </c>
      <c r="R2468">
        <v>1.61</v>
      </c>
      <c r="S2468" t="s">
        <v>28</v>
      </c>
      <c r="T2468" t="str">
        <f t="shared" si="76"/>
        <v>High</v>
      </c>
      <c r="U2468" t="str">
        <f t="shared" si="77"/>
        <v>Experienced</v>
      </c>
    </row>
    <row r="2469" spans="1:21" x14ac:dyDescent="0.35">
      <c r="A2469" t="s">
        <v>2542</v>
      </c>
      <c r="B2469" t="s">
        <v>54</v>
      </c>
      <c r="C2469" t="s">
        <v>31</v>
      </c>
      <c r="D2469" t="s">
        <v>22</v>
      </c>
      <c r="E2469" t="s">
        <v>23</v>
      </c>
      <c r="F2469">
        <v>17</v>
      </c>
      <c r="G2469">
        <v>0.62</v>
      </c>
      <c r="H2469">
        <v>0.28000000000000003</v>
      </c>
      <c r="I2469" t="s">
        <v>60</v>
      </c>
      <c r="J2469">
        <v>92867</v>
      </c>
      <c r="K2469" t="s">
        <v>27</v>
      </c>
      <c r="L2469">
        <v>10</v>
      </c>
      <c r="M2469">
        <v>30</v>
      </c>
      <c r="N2469" t="s">
        <v>26</v>
      </c>
      <c r="O2469" t="s">
        <v>25</v>
      </c>
      <c r="P2469">
        <v>4.46</v>
      </c>
      <c r="Q2469" t="s">
        <v>24</v>
      </c>
      <c r="R2469">
        <v>4.37</v>
      </c>
      <c r="S2469" t="s">
        <v>28</v>
      </c>
      <c r="T2469" t="str">
        <f t="shared" si="76"/>
        <v>Moderate</v>
      </c>
      <c r="U2469" t="str">
        <f t="shared" si="77"/>
        <v>Expert</v>
      </c>
    </row>
    <row r="2470" spans="1:21" x14ac:dyDescent="0.35">
      <c r="A2470" t="s">
        <v>2543</v>
      </c>
      <c r="B2470" t="s">
        <v>91</v>
      </c>
      <c r="C2470" t="s">
        <v>82</v>
      </c>
      <c r="D2470" t="s">
        <v>63</v>
      </c>
      <c r="E2470" t="s">
        <v>70</v>
      </c>
      <c r="F2470">
        <v>14</v>
      </c>
      <c r="G2470">
        <v>0.87</v>
      </c>
      <c r="H2470">
        <v>0.66</v>
      </c>
      <c r="I2470" t="s">
        <v>24</v>
      </c>
      <c r="J2470">
        <v>185660</v>
      </c>
      <c r="K2470" t="s">
        <v>27</v>
      </c>
      <c r="L2470">
        <v>38</v>
      </c>
      <c r="M2470">
        <v>31</v>
      </c>
      <c r="N2470" t="s">
        <v>42</v>
      </c>
      <c r="O2470" t="s">
        <v>36</v>
      </c>
      <c r="P2470">
        <v>2.75</v>
      </c>
      <c r="Q2470" t="s">
        <v>34</v>
      </c>
      <c r="R2470">
        <v>4.97</v>
      </c>
      <c r="S2470" t="s">
        <v>28</v>
      </c>
      <c r="T2470" t="str">
        <f t="shared" si="76"/>
        <v>Moderate</v>
      </c>
      <c r="U2470" t="str">
        <f t="shared" si="77"/>
        <v>Experienced</v>
      </c>
    </row>
    <row r="2471" spans="1:21" x14ac:dyDescent="0.35">
      <c r="A2471" t="s">
        <v>2544</v>
      </c>
      <c r="B2471" t="s">
        <v>54</v>
      </c>
      <c r="C2471" t="s">
        <v>52</v>
      </c>
      <c r="D2471" t="s">
        <v>63</v>
      </c>
      <c r="E2471" t="s">
        <v>41</v>
      </c>
      <c r="F2471">
        <v>9</v>
      </c>
      <c r="G2471">
        <v>0.26</v>
      </c>
      <c r="H2471">
        <v>0.4</v>
      </c>
      <c r="I2471" t="s">
        <v>34</v>
      </c>
      <c r="J2471">
        <v>30496</v>
      </c>
      <c r="K2471" t="s">
        <v>42</v>
      </c>
      <c r="L2471">
        <v>9</v>
      </c>
      <c r="M2471">
        <v>43</v>
      </c>
      <c r="N2471" t="s">
        <v>26</v>
      </c>
      <c r="O2471" t="s">
        <v>36</v>
      </c>
      <c r="P2471">
        <v>3.45</v>
      </c>
      <c r="Q2471" t="s">
        <v>24</v>
      </c>
      <c r="R2471">
        <v>4.1900000000000004</v>
      </c>
      <c r="S2471" t="s">
        <v>28</v>
      </c>
      <c r="T2471" t="str">
        <f t="shared" si="76"/>
        <v>High</v>
      </c>
      <c r="U2471" t="str">
        <f t="shared" si="77"/>
        <v>Experienced</v>
      </c>
    </row>
    <row r="2472" spans="1:21" x14ac:dyDescent="0.35">
      <c r="A2472" t="s">
        <v>2545</v>
      </c>
      <c r="B2472" t="s">
        <v>62</v>
      </c>
      <c r="C2472" t="s">
        <v>52</v>
      </c>
      <c r="D2472" t="s">
        <v>63</v>
      </c>
      <c r="E2472" t="s">
        <v>41</v>
      </c>
      <c r="F2472">
        <v>17</v>
      </c>
      <c r="G2472">
        <v>0.73</v>
      </c>
      <c r="H2472">
        <v>0.62</v>
      </c>
      <c r="I2472" t="s">
        <v>60</v>
      </c>
      <c r="J2472">
        <v>133259</v>
      </c>
      <c r="K2472" t="s">
        <v>25</v>
      </c>
      <c r="L2472">
        <v>-9</v>
      </c>
      <c r="M2472">
        <v>38</v>
      </c>
      <c r="N2472" t="s">
        <v>35</v>
      </c>
      <c r="O2472" t="s">
        <v>25</v>
      </c>
      <c r="P2472">
        <v>3.43</v>
      </c>
      <c r="Q2472" t="s">
        <v>34</v>
      </c>
      <c r="R2472">
        <v>1.62</v>
      </c>
      <c r="S2472" t="s">
        <v>47</v>
      </c>
      <c r="T2472" t="str">
        <f t="shared" si="76"/>
        <v>Moderate</v>
      </c>
      <c r="U2472" t="str">
        <f t="shared" si="77"/>
        <v>Expert</v>
      </c>
    </row>
    <row r="2473" spans="1:21" x14ac:dyDescent="0.35">
      <c r="A2473" t="s">
        <v>2546</v>
      </c>
      <c r="B2473" t="s">
        <v>102</v>
      </c>
      <c r="C2473" t="s">
        <v>107</v>
      </c>
      <c r="D2473" t="s">
        <v>49</v>
      </c>
      <c r="E2473" t="s">
        <v>23</v>
      </c>
      <c r="F2473">
        <v>4</v>
      </c>
      <c r="G2473">
        <v>0.36</v>
      </c>
      <c r="H2473">
        <v>0.62</v>
      </c>
      <c r="I2473" t="s">
        <v>60</v>
      </c>
      <c r="J2473">
        <v>191283</v>
      </c>
      <c r="K2473" t="s">
        <v>42</v>
      </c>
      <c r="L2473">
        <v>37</v>
      </c>
      <c r="M2473">
        <v>33</v>
      </c>
      <c r="N2473" t="s">
        <v>42</v>
      </c>
      <c r="O2473" t="s">
        <v>36</v>
      </c>
      <c r="P2473">
        <v>4.51</v>
      </c>
      <c r="Q2473" t="s">
        <v>24</v>
      </c>
      <c r="R2473">
        <v>2.0299999999999998</v>
      </c>
      <c r="S2473" t="s">
        <v>47</v>
      </c>
      <c r="T2473" t="str">
        <f t="shared" si="76"/>
        <v>High</v>
      </c>
      <c r="U2473" t="str">
        <f t="shared" si="77"/>
        <v>Intermediate</v>
      </c>
    </row>
    <row r="2474" spans="1:21" x14ac:dyDescent="0.35">
      <c r="A2474" t="s">
        <v>2547</v>
      </c>
      <c r="B2474" t="s">
        <v>51</v>
      </c>
      <c r="C2474" t="s">
        <v>39</v>
      </c>
      <c r="D2474" t="s">
        <v>49</v>
      </c>
      <c r="E2474" t="s">
        <v>33</v>
      </c>
      <c r="F2474">
        <v>1</v>
      </c>
      <c r="G2474">
        <v>0.14000000000000001</v>
      </c>
      <c r="H2474">
        <v>0.43</v>
      </c>
      <c r="I2474" t="s">
        <v>34</v>
      </c>
      <c r="J2474">
        <v>66030</v>
      </c>
      <c r="K2474" t="s">
        <v>42</v>
      </c>
      <c r="L2474">
        <v>-6</v>
      </c>
      <c r="M2474">
        <v>49</v>
      </c>
      <c r="N2474" t="s">
        <v>42</v>
      </c>
      <c r="O2474" t="s">
        <v>36</v>
      </c>
      <c r="P2474">
        <v>2.65</v>
      </c>
      <c r="Q2474" t="s">
        <v>34</v>
      </c>
      <c r="R2474">
        <v>1.2</v>
      </c>
      <c r="S2474" t="s">
        <v>28</v>
      </c>
      <c r="T2474" t="str">
        <f t="shared" si="76"/>
        <v>High</v>
      </c>
      <c r="U2474" t="str">
        <f t="shared" si="77"/>
        <v>Beginner</v>
      </c>
    </row>
    <row r="2475" spans="1:21" x14ac:dyDescent="0.35">
      <c r="A2475" t="s">
        <v>2548</v>
      </c>
      <c r="B2475" t="s">
        <v>20</v>
      </c>
      <c r="C2475" t="s">
        <v>55</v>
      </c>
      <c r="D2475" t="s">
        <v>49</v>
      </c>
      <c r="E2475" t="s">
        <v>23</v>
      </c>
      <c r="F2475">
        <v>6</v>
      </c>
      <c r="G2475">
        <v>0.26</v>
      </c>
      <c r="H2475">
        <v>0.92</v>
      </c>
      <c r="I2475" t="s">
        <v>24</v>
      </c>
      <c r="J2475">
        <v>188369</v>
      </c>
      <c r="K2475" t="s">
        <v>42</v>
      </c>
      <c r="L2475">
        <v>0</v>
      </c>
      <c r="M2475">
        <v>33</v>
      </c>
      <c r="N2475" t="s">
        <v>35</v>
      </c>
      <c r="O2475" t="s">
        <v>27</v>
      </c>
      <c r="P2475">
        <v>3.02</v>
      </c>
      <c r="Q2475" t="s">
        <v>24</v>
      </c>
      <c r="R2475">
        <v>4.87</v>
      </c>
      <c r="S2475" t="s">
        <v>43</v>
      </c>
      <c r="T2475" t="str">
        <f t="shared" si="76"/>
        <v>Very High</v>
      </c>
      <c r="U2475" t="str">
        <f t="shared" si="77"/>
        <v>Intermediate</v>
      </c>
    </row>
    <row r="2476" spans="1:21" x14ac:dyDescent="0.35">
      <c r="A2476" t="s">
        <v>2549</v>
      </c>
      <c r="B2476" t="s">
        <v>147</v>
      </c>
      <c r="C2476" t="s">
        <v>21</v>
      </c>
      <c r="D2476" t="s">
        <v>75</v>
      </c>
      <c r="E2476" t="s">
        <v>70</v>
      </c>
      <c r="F2476">
        <v>24</v>
      </c>
      <c r="G2476">
        <v>0.9</v>
      </c>
      <c r="H2476">
        <v>0.62</v>
      </c>
      <c r="I2476" t="s">
        <v>60</v>
      </c>
      <c r="J2476">
        <v>103701</v>
      </c>
      <c r="K2476" t="s">
        <v>27</v>
      </c>
      <c r="L2476">
        <v>35</v>
      </c>
      <c r="M2476">
        <v>52</v>
      </c>
      <c r="N2476" t="s">
        <v>26</v>
      </c>
      <c r="O2476" t="s">
        <v>27</v>
      </c>
      <c r="P2476">
        <v>4.92</v>
      </c>
      <c r="Q2476" t="s">
        <v>24</v>
      </c>
      <c r="R2476">
        <v>3.11</v>
      </c>
      <c r="S2476" t="s">
        <v>47</v>
      </c>
      <c r="T2476" t="str">
        <f t="shared" si="76"/>
        <v>Moderate</v>
      </c>
      <c r="U2476" t="str">
        <f t="shared" si="77"/>
        <v>Expert</v>
      </c>
    </row>
    <row r="2477" spans="1:21" x14ac:dyDescent="0.35">
      <c r="A2477" t="s">
        <v>2550</v>
      </c>
      <c r="B2477" t="s">
        <v>156</v>
      </c>
      <c r="C2477" t="s">
        <v>52</v>
      </c>
      <c r="D2477" t="s">
        <v>66</v>
      </c>
      <c r="E2477" t="s">
        <v>33</v>
      </c>
      <c r="F2477">
        <v>6</v>
      </c>
      <c r="G2477">
        <v>0.55000000000000004</v>
      </c>
      <c r="H2477">
        <v>0.43</v>
      </c>
      <c r="I2477" t="s">
        <v>60</v>
      </c>
      <c r="J2477">
        <v>198434</v>
      </c>
      <c r="K2477" t="s">
        <v>27</v>
      </c>
      <c r="L2477">
        <v>37</v>
      </c>
      <c r="M2477">
        <v>50</v>
      </c>
      <c r="N2477" t="s">
        <v>42</v>
      </c>
      <c r="O2477" t="s">
        <v>36</v>
      </c>
      <c r="P2477">
        <v>2.56</v>
      </c>
      <c r="Q2477" t="s">
        <v>34</v>
      </c>
      <c r="R2477">
        <v>1.78</v>
      </c>
      <c r="S2477" t="s">
        <v>43</v>
      </c>
      <c r="T2477" t="str">
        <f t="shared" si="76"/>
        <v>Moderate</v>
      </c>
      <c r="U2477" t="str">
        <f t="shared" si="77"/>
        <v>Intermediate</v>
      </c>
    </row>
    <row r="2478" spans="1:21" x14ac:dyDescent="0.35">
      <c r="A2478" t="s">
        <v>2551</v>
      </c>
      <c r="B2478" t="s">
        <v>102</v>
      </c>
      <c r="C2478" t="s">
        <v>82</v>
      </c>
      <c r="D2478" t="s">
        <v>66</v>
      </c>
      <c r="E2478" t="s">
        <v>33</v>
      </c>
      <c r="F2478">
        <v>8</v>
      </c>
      <c r="G2478">
        <v>0.1</v>
      </c>
      <c r="H2478">
        <v>0.93</v>
      </c>
      <c r="I2478" t="s">
        <v>24</v>
      </c>
      <c r="J2478">
        <v>178139</v>
      </c>
      <c r="K2478" t="s">
        <v>27</v>
      </c>
      <c r="L2478">
        <v>39</v>
      </c>
      <c r="M2478">
        <v>56</v>
      </c>
      <c r="N2478" t="s">
        <v>35</v>
      </c>
      <c r="O2478" t="s">
        <v>25</v>
      </c>
      <c r="P2478">
        <v>3.84</v>
      </c>
      <c r="Q2478" t="s">
        <v>24</v>
      </c>
      <c r="R2478">
        <v>3.72</v>
      </c>
      <c r="S2478" t="s">
        <v>43</v>
      </c>
      <c r="T2478" t="str">
        <f t="shared" si="76"/>
        <v>Very High</v>
      </c>
      <c r="U2478" t="str">
        <f t="shared" si="77"/>
        <v>Intermediate</v>
      </c>
    </row>
    <row r="2479" spans="1:21" x14ac:dyDescent="0.35">
      <c r="A2479" t="s">
        <v>2552</v>
      </c>
      <c r="B2479" t="s">
        <v>65</v>
      </c>
      <c r="C2479" t="s">
        <v>107</v>
      </c>
      <c r="D2479" t="s">
        <v>32</v>
      </c>
      <c r="E2479" t="s">
        <v>70</v>
      </c>
      <c r="F2479">
        <v>8</v>
      </c>
      <c r="G2479">
        <v>0.17</v>
      </c>
      <c r="H2479">
        <v>0.71</v>
      </c>
      <c r="I2479" t="s">
        <v>34</v>
      </c>
      <c r="J2479">
        <v>30996</v>
      </c>
      <c r="K2479" t="s">
        <v>27</v>
      </c>
      <c r="L2479">
        <v>5</v>
      </c>
      <c r="M2479">
        <v>56</v>
      </c>
      <c r="N2479" t="s">
        <v>26</v>
      </c>
      <c r="O2479" t="s">
        <v>27</v>
      </c>
      <c r="P2479">
        <v>2.09</v>
      </c>
      <c r="Q2479" t="s">
        <v>34</v>
      </c>
      <c r="R2479">
        <v>1.48</v>
      </c>
      <c r="S2479" t="s">
        <v>47</v>
      </c>
      <c r="T2479" t="str">
        <f t="shared" si="76"/>
        <v>Very High</v>
      </c>
      <c r="U2479" t="str">
        <f t="shared" si="77"/>
        <v>Intermediate</v>
      </c>
    </row>
    <row r="2480" spans="1:21" x14ac:dyDescent="0.35">
      <c r="A2480" t="s">
        <v>2553</v>
      </c>
      <c r="B2480" t="s">
        <v>94</v>
      </c>
      <c r="C2480" t="s">
        <v>46</v>
      </c>
      <c r="D2480" t="s">
        <v>40</v>
      </c>
      <c r="E2480" t="s">
        <v>41</v>
      </c>
      <c r="F2480">
        <v>4</v>
      </c>
      <c r="G2480">
        <v>0.61</v>
      </c>
      <c r="H2480">
        <v>0.63</v>
      </c>
      <c r="I2480" t="s">
        <v>34</v>
      </c>
      <c r="J2480">
        <v>184154</v>
      </c>
      <c r="K2480" t="s">
        <v>25</v>
      </c>
      <c r="L2480">
        <v>26</v>
      </c>
      <c r="M2480">
        <v>46</v>
      </c>
      <c r="N2480" t="s">
        <v>26</v>
      </c>
      <c r="O2480" t="s">
        <v>25</v>
      </c>
      <c r="P2480">
        <v>3.41</v>
      </c>
      <c r="Q2480" t="s">
        <v>24</v>
      </c>
      <c r="R2480">
        <v>4.99</v>
      </c>
      <c r="S2480" t="s">
        <v>43</v>
      </c>
      <c r="T2480" t="str">
        <f t="shared" si="76"/>
        <v>High</v>
      </c>
      <c r="U2480" t="str">
        <f t="shared" si="77"/>
        <v>Intermediate</v>
      </c>
    </row>
    <row r="2481" spans="1:21" x14ac:dyDescent="0.35">
      <c r="A2481" t="s">
        <v>2554</v>
      </c>
      <c r="B2481" t="s">
        <v>106</v>
      </c>
      <c r="C2481" t="s">
        <v>55</v>
      </c>
      <c r="D2481" t="s">
        <v>59</v>
      </c>
      <c r="E2481" t="s">
        <v>41</v>
      </c>
      <c r="F2481">
        <v>2</v>
      </c>
      <c r="G2481">
        <v>0.56999999999999995</v>
      </c>
      <c r="H2481">
        <v>0.84</v>
      </c>
      <c r="I2481" t="s">
        <v>60</v>
      </c>
      <c r="J2481">
        <v>123234</v>
      </c>
      <c r="K2481" t="s">
        <v>42</v>
      </c>
      <c r="L2481">
        <v>21</v>
      </c>
      <c r="M2481">
        <v>46</v>
      </c>
      <c r="N2481" t="s">
        <v>26</v>
      </c>
      <c r="O2481" t="s">
        <v>36</v>
      </c>
      <c r="P2481">
        <v>2.3199999999999998</v>
      </c>
      <c r="Q2481" t="s">
        <v>34</v>
      </c>
      <c r="R2481">
        <v>2.4300000000000002</v>
      </c>
      <c r="S2481" t="s">
        <v>47</v>
      </c>
      <c r="T2481" t="str">
        <f t="shared" si="76"/>
        <v>High</v>
      </c>
      <c r="U2481" t="str">
        <f t="shared" si="77"/>
        <v>Beginner</v>
      </c>
    </row>
    <row r="2482" spans="1:21" x14ac:dyDescent="0.35">
      <c r="A2482" t="s">
        <v>2555</v>
      </c>
      <c r="B2482" t="s">
        <v>106</v>
      </c>
      <c r="C2482" t="s">
        <v>107</v>
      </c>
      <c r="D2482" t="s">
        <v>49</v>
      </c>
      <c r="E2482" t="s">
        <v>23</v>
      </c>
      <c r="F2482">
        <v>1</v>
      </c>
      <c r="G2482">
        <v>0.39</v>
      </c>
      <c r="H2482">
        <v>0.43</v>
      </c>
      <c r="I2482" t="s">
        <v>24</v>
      </c>
      <c r="J2482">
        <v>35463</v>
      </c>
      <c r="K2482" t="s">
        <v>27</v>
      </c>
      <c r="L2482">
        <v>45</v>
      </c>
      <c r="M2482">
        <v>34</v>
      </c>
      <c r="N2482" t="s">
        <v>35</v>
      </c>
      <c r="O2482" t="s">
        <v>25</v>
      </c>
      <c r="P2482">
        <v>3.17</v>
      </c>
      <c r="Q2482" t="s">
        <v>34</v>
      </c>
      <c r="R2482">
        <v>4.37</v>
      </c>
      <c r="S2482" t="s">
        <v>43</v>
      </c>
      <c r="T2482" t="str">
        <f t="shared" si="76"/>
        <v>High</v>
      </c>
      <c r="U2482" t="str">
        <f t="shared" si="77"/>
        <v>Beginner</v>
      </c>
    </row>
    <row r="2483" spans="1:21" x14ac:dyDescent="0.35">
      <c r="A2483" t="s">
        <v>2556</v>
      </c>
      <c r="B2483" t="s">
        <v>147</v>
      </c>
      <c r="C2483" t="s">
        <v>107</v>
      </c>
      <c r="D2483" t="s">
        <v>66</v>
      </c>
      <c r="E2483" t="s">
        <v>33</v>
      </c>
      <c r="F2483">
        <v>18</v>
      </c>
      <c r="G2483">
        <v>0.24</v>
      </c>
      <c r="H2483">
        <v>0.88</v>
      </c>
      <c r="I2483" t="s">
        <v>34</v>
      </c>
      <c r="J2483">
        <v>170887</v>
      </c>
      <c r="K2483" t="s">
        <v>27</v>
      </c>
      <c r="L2483">
        <v>5</v>
      </c>
      <c r="M2483">
        <v>47</v>
      </c>
      <c r="N2483" t="s">
        <v>42</v>
      </c>
      <c r="O2483" t="s">
        <v>36</v>
      </c>
      <c r="P2483">
        <v>4.91</v>
      </c>
      <c r="Q2483" t="s">
        <v>24</v>
      </c>
      <c r="R2483">
        <v>3.98</v>
      </c>
      <c r="S2483" t="s">
        <v>28</v>
      </c>
      <c r="T2483" t="str">
        <f t="shared" si="76"/>
        <v>Very High</v>
      </c>
      <c r="U2483" t="str">
        <f t="shared" si="77"/>
        <v>Expert</v>
      </c>
    </row>
    <row r="2484" spans="1:21" x14ac:dyDescent="0.35">
      <c r="A2484" t="s">
        <v>2557</v>
      </c>
      <c r="B2484" t="s">
        <v>68</v>
      </c>
      <c r="C2484" t="s">
        <v>82</v>
      </c>
      <c r="D2484" t="s">
        <v>22</v>
      </c>
      <c r="E2484" t="s">
        <v>41</v>
      </c>
      <c r="F2484">
        <v>17</v>
      </c>
      <c r="G2484">
        <v>0.25</v>
      </c>
      <c r="H2484">
        <v>0.24</v>
      </c>
      <c r="I2484" t="s">
        <v>24</v>
      </c>
      <c r="J2484">
        <v>76231</v>
      </c>
      <c r="K2484" t="s">
        <v>25</v>
      </c>
      <c r="L2484">
        <v>16</v>
      </c>
      <c r="M2484">
        <v>36</v>
      </c>
      <c r="N2484" t="s">
        <v>42</v>
      </c>
      <c r="O2484" t="s">
        <v>25</v>
      </c>
      <c r="P2484">
        <v>2.99</v>
      </c>
      <c r="Q2484" t="s">
        <v>24</v>
      </c>
      <c r="R2484">
        <v>1.37</v>
      </c>
      <c r="S2484" t="s">
        <v>28</v>
      </c>
      <c r="T2484" t="str">
        <f t="shared" si="76"/>
        <v>Moderate</v>
      </c>
      <c r="U2484" t="str">
        <f t="shared" si="77"/>
        <v>Expert</v>
      </c>
    </row>
    <row r="2485" spans="1:21" x14ac:dyDescent="0.35">
      <c r="A2485" t="s">
        <v>2558</v>
      </c>
      <c r="B2485" t="s">
        <v>156</v>
      </c>
      <c r="C2485" t="s">
        <v>74</v>
      </c>
      <c r="D2485" t="s">
        <v>75</v>
      </c>
      <c r="E2485" t="s">
        <v>23</v>
      </c>
      <c r="F2485">
        <v>25</v>
      </c>
      <c r="G2485">
        <v>0.19</v>
      </c>
      <c r="H2485">
        <v>0.32</v>
      </c>
      <c r="I2485" t="s">
        <v>34</v>
      </c>
      <c r="J2485">
        <v>145516</v>
      </c>
      <c r="K2485" t="s">
        <v>27</v>
      </c>
      <c r="L2485">
        <v>8</v>
      </c>
      <c r="M2485">
        <v>47</v>
      </c>
      <c r="N2485" t="s">
        <v>26</v>
      </c>
      <c r="O2485" t="s">
        <v>25</v>
      </c>
      <c r="P2485">
        <v>4.03</v>
      </c>
      <c r="Q2485" t="s">
        <v>24</v>
      </c>
      <c r="R2485">
        <v>4.46</v>
      </c>
      <c r="S2485" t="s">
        <v>47</v>
      </c>
      <c r="T2485" t="str">
        <f t="shared" si="76"/>
        <v>High</v>
      </c>
      <c r="U2485" t="str">
        <f t="shared" si="77"/>
        <v>Expert</v>
      </c>
    </row>
    <row r="2486" spans="1:21" x14ac:dyDescent="0.35">
      <c r="A2486" t="s">
        <v>2559</v>
      </c>
      <c r="B2486" t="s">
        <v>54</v>
      </c>
      <c r="C2486" t="s">
        <v>107</v>
      </c>
      <c r="D2486" t="s">
        <v>69</v>
      </c>
      <c r="E2486" t="s">
        <v>33</v>
      </c>
      <c r="F2486">
        <v>25</v>
      </c>
      <c r="G2486">
        <v>0.91</v>
      </c>
      <c r="H2486">
        <v>0.8</v>
      </c>
      <c r="I2486" t="s">
        <v>24</v>
      </c>
      <c r="J2486">
        <v>206266</v>
      </c>
      <c r="K2486" t="s">
        <v>42</v>
      </c>
      <c r="L2486">
        <v>28</v>
      </c>
      <c r="M2486">
        <v>32</v>
      </c>
      <c r="N2486" t="s">
        <v>42</v>
      </c>
      <c r="O2486" t="s">
        <v>36</v>
      </c>
      <c r="P2486">
        <v>3.06</v>
      </c>
      <c r="Q2486" t="s">
        <v>24</v>
      </c>
      <c r="R2486">
        <v>1.83</v>
      </c>
      <c r="S2486" t="s">
        <v>43</v>
      </c>
      <c r="T2486" t="str">
        <f t="shared" si="76"/>
        <v>Moderate</v>
      </c>
      <c r="U2486" t="str">
        <f t="shared" si="77"/>
        <v>Expert</v>
      </c>
    </row>
    <row r="2487" spans="1:21" x14ac:dyDescent="0.35">
      <c r="A2487" t="s">
        <v>2560</v>
      </c>
      <c r="B2487" t="s">
        <v>94</v>
      </c>
      <c r="C2487" t="s">
        <v>52</v>
      </c>
      <c r="D2487" t="s">
        <v>49</v>
      </c>
      <c r="E2487" t="s">
        <v>23</v>
      </c>
      <c r="F2487">
        <v>23</v>
      </c>
      <c r="G2487">
        <v>0.89</v>
      </c>
      <c r="H2487">
        <v>0.55000000000000004</v>
      </c>
      <c r="I2487" t="s">
        <v>24</v>
      </c>
      <c r="J2487">
        <v>97013</v>
      </c>
      <c r="K2487" t="s">
        <v>25</v>
      </c>
      <c r="L2487">
        <v>16</v>
      </c>
      <c r="M2487">
        <v>59</v>
      </c>
      <c r="N2487" t="s">
        <v>26</v>
      </c>
      <c r="O2487" t="s">
        <v>36</v>
      </c>
      <c r="P2487">
        <v>3.17</v>
      </c>
      <c r="Q2487" t="s">
        <v>34</v>
      </c>
      <c r="R2487">
        <v>2.2200000000000002</v>
      </c>
      <c r="S2487" t="s">
        <v>43</v>
      </c>
      <c r="T2487" t="str">
        <f t="shared" si="76"/>
        <v>Moderate</v>
      </c>
      <c r="U2487" t="str">
        <f t="shared" si="77"/>
        <v>Expert</v>
      </c>
    </row>
    <row r="2488" spans="1:21" x14ac:dyDescent="0.35">
      <c r="A2488" t="s">
        <v>2561</v>
      </c>
      <c r="B2488" t="s">
        <v>51</v>
      </c>
      <c r="C2488" t="s">
        <v>58</v>
      </c>
      <c r="D2488" t="s">
        <v>63</v>
      </c>
      <c r="E2488" t="s">
        <v>23</v>
      </c>
      <c r="F2488">
        <v>8</v>
      </c>
      <c r="G2488">
        <v>0.9</v>
      </c>
      <c r="H2488">
        <v>0.8</v>
      </c>
      <c r="I2488" t="s">
        <v>24</v>
      </c>
      <c r="J2488">
        <v>107134</v>
      </c>
      <c r="K2488" t="s">
        <v>42</v>
      </c>
      <c r="L2488">
        <v>8</v>
      </c>
      <c r="M2488">
        <v>49</v>
      </c>
      <c r="N2488" t="s">
        <v>42</v>
      </c>
      <c r="O2488" t="s">
        <v>27</v>
      </c>
      <c r="P2488">
        <v>2.16</v>
      </c>
      <c r="Q2488" t="s">
        <v>34</v>
      </c>
      <c r="R2488">
        <v>1.92</v>
      </c>
      <c r="S2488" t="s">
        <v>47</v>
      </c>
      <c r="T2488" t="str">
        <f t="shared" si="76"/>
        <v>Moderate</v>
      </c>
      <c r="U2488" t="str">
        <f t="shared" si="77"/>
        <v>Intermediate</v>
      </c>
    </row>
    <row r="2489" spans="1:21" x14ac:dyDescent="0.35">
      <c r="A2489" t="s">
        <v>2562</v>
      </c>
      <c r="B2489" t="s">
        <v>45</v>
      </c>
      <c r="C2489" t="s">
        <v>21</v>
      </c>
      <c r="D2489" t="s">
        <v>69</v>
      </c>
      <c r="E2489" t="s">
        <v>41</v>
      </c>
      <c r="F2489">
        <v>3</v>
      </c>
      <c r="G2489">
        <v>0.51</v>
      </c>
      <c r="H2489">
        <v>0.57999999999999996</v>
      </c>
      <c r="I2489" t="s">
        <v>34</v>
      </c>
      <c r="J2489">
        <v>88226</v>
      </c>
      <c r="K2489" t="s">
        <v>42</v>
      </c>
      <c r="L2489">
        <v>44</v>
      </c>
      <c r="M2489">
        <v>40</v>
      </c>
      <c r="N2489" t="s">
        <v>35</v>
      </c>
      <c r="O2489" t="s">
        <v>27</v>
      </c>
      <c r="P2489">
        <v>3.81</v>
      </c>
      <c r="Q2489" t="s">
        <v>24</v>
      </c>
      <c r="R2489">
        <v>4.71</v>
      </c>
      <c r="S2489" t="s">
        <v>47</v>
      </c>
      <c r="T2489" t="str">
        <f t="shared" si="76"/>
        <v>High</v>
      </c>
      <c r="U2489" t="str">
        <f t="shared" si="77"/>
        <v>Intermediate</v>
      </c>
    </row>
    <row r="2490" spans="1:21" x14ac:dyDescent="0.35">
      <c r="A2490" t="s">
        <v>2563</v>
      </c>
      <c r="B2490" t="s">
        <v>102</v>
      </c>
      <c r="C2490" t="s">
        <v>107</v>
      </c>
      <c r="D2490" t="s">
        <v>22</v>
      </c>
      <c r="E2490" t="s">
        <v>41</v>
      </c>
      <c r="F2490">
        <v>22</v>
      </c>
      <c r="G2490">
        <v>0.36</v>
      </c>
      <c r="H2490">
        <v>0.73</v>
      </c>
      <c r="I2490" t="s">
        <v>60</v>
      </c>
      <c r="J2490">
        <v>98449</v>
      </c>
      <c r="K2490" t="s">
        <v>42</v>
      </c>
      <c r="L2490">
        <v>43</v>
      </c>
      <c r="M2490">
        <v>47</v>
      </c>
      <c r="N2490" t="s">
        <v>35</v>
      </c>
      <c r="O2490" t="s">
        <v>27</v>
      </c>
      <c r="P2490">
        <v>4.41</v>
      </c>
      <c r="Q2490" t="s">
        <v>24</v>
      </c>
      <c r="R2490">
        <v>2.35</v>
      </c>
      <c r="S2490" t="s">
        <v>28</v>
      </c>
      <c r="T2490" t="str">
        <f t="shared" si="76"/>
        <v>Very High</v>
      </c>
      <c r="U2490" t="str">
        <f t="shared" si="77"/>
        <v>Expert</v>
      </c>
    </row>
    <row r="2491" spans="1:21" x14ac:dyDescent="0.35">
      <c r="A2491" t="s">
        <v>2564</v>
      </c>
      <c r="B2491" t="s">
        <v>147</v>
      </c>
      <c r="C2491" t="s">
        <v>46</v>
      </c>
      <c r="D2491" t="s">
        <v>49</v>
      </c>
      <c r="E2491" t="s">
        <v>23</v>
      </c>
      <c r="F2491">
        <v>8</v>
      </c>
      <c r="G2491">
        <v>0.34</v>
      </c>
      <c r="H2491">
        <v>0.7</v>
      </c>
      <c r="I2491" t="s">
        <v>24</v>
      </c>
      <c r="J2491">
        <v>147527</v>
      </c>
      <c r="K2491" t="s">
        <v>42</v>
      </c>
      <c r="L2491">
        <v>36</v>
      </c>
      <c r="M2491">
        <v>39</v>
      </c>
      <c r="N2491" t="s">
        <v>35</v>
      </c>
      <c r="O2491" t="s">
        <v>27</v>
      </c>
      <c r="P2491">
        <v>3.74</v>
      </c>
      <c r="Q2491" t="s">
        <v>24</v>
      </c>
      <c r="R2491">
        <v>3.92</v>
      </c>
      <c r="S2491" t="s">
        <v>43</v>
      </c>
      <c r="T2491" t="str">
        <f t="shared" si="76"/>
        <v>Very High</v>
      </c>
      <c r="U2491" t="str">
        <f t="shared" si="77"/>
        <v>Intermediate</v>
      </c>
    </row>
    <row r="2492" spans="1:21" x14ac:dyDescent="0.35">
      <c r="A2492" t="s">
        <v>2565</v>
      </c>
      <c r="B2492" t="s">
        <v>38</v>
      </c>
      <c r="C2492" t="s">
        <v>107</v>
      </c>
      <c r="D2492" t="s">
        <v>80</v>
      </c>
      <c r="E2492" t="s">
        <v>70</v>
      </c>
      <c r="F2492">
        <v>1</v>
      </c>
      <c r="G2492">
        <v>0.48</v>
      </c>
      <c r="H2492">
        <v>0.52</v>
      </c>
      <c r="I2492" t="s">
        <v>60</v>
      </c>
      <c r="J2492">
        <v>97060</v>
      </c>
      <c r="K2492" t="s">
        <v>42</v>
      </c>
      <c r="L2492">
        <v>23</v>
      </c>
      <c r="M2492">
        <v>57</v>
      </c>
      <c r="N2492" t="s">
        <v>26</v>
      </c>
      <c r="O2492" t="s">
        <v>36</v>
      </c>
      <c r="P2492">
        <v>4.72</v>
      </c>
      <c r="Q2492" t="s">
        <v>34</v>
      </c>
      <c r="R2492">
        <v>4.71</v>
      </c>
      <c r="S2492" t="s">
        <v>43</v>
      </c>
      <c r="T2492" t="str">
        <f t="shared" si="76"/>
        <v>High</v>
      </c>
      <c r="U2492" t="str">
        <f t="shared" si="77"/>
        <v>Beginner</v>
      </c>
    </row>
    <row r="2493" spans="1:21" x14ac:dyDescent="0.35">
      <c r="A2493" t="s">
        <v>2566</v>
      </c>
      <c r="B2493" t="s">
        <v>91</v>
      </c>
      <c r="C2493" t="s">
        <v>55</v>
      </c>
      <c r="D2493" t="s">
        <v>22</v>
      </c>
      <c r="E2493" t="s">
        <v>70</v>
      </c>
      <c r="F2493">
        <v>11</v>
      </c>
      <c r="G2493">
        <v>0.53</v>
      </c>
      <c r="H2493">
        <v>0.63</v>
      </c>
      <c r="I2493" t="s">
        <v>24</v>
      </c>
      <c r="J2493">
        <v>135920</v>
      </c>
      <c r="K2493" t="s">
        <v>25</v>
      </c>
      <c r="L2493">
        <v>44</v>
      </c>
      <c r="M2493">
        <v>60</v>
      </c>
      <c r="N2493" t="s">
        <v>26</v>
      </c>
      <c r="O2493" t="s">
        <v>25</v>
      </c>
      <c r="P2493">
        <v>4.04</v>
      </c>
      <c r="Q2493" t="s">
        <v>24</v>
      </c>
      <c r="R2493">
        <v>4.21</v>
      </c>
      <c r="S2493" t="s">
        <v>43</v>
      </c>
      <c r="T2493" t="str">
        <f t="shared" si="76"/>
        <v>High</v>
      </c>
      <c r="U2493" t="str">
        <f t="shared" si="77"/>
        <v>Experienced</v>
      </c>
    </row>
    <row r="2494" spans="1:21" x14ac:dyDescent="0.35">
      <c r="A2494" t="s">
        <v>2567</v>
      </c>
      <c r="B2494" t="s">
        <v>106</v>
      </c>
      <c r="C2494" t="s">
        <v>46</v>
      </c>
      <c r="D2494" t="s">
        <v>63</v>
      </c>
      <c r="E2494" t="s">
        <v>23</v>
      </c>
      <c r="F2494">
        <v>6</v>
      </c>
      <c r="G2494">
        <v>0.45</v>
      </c>
      <c r="H2494">
        <v>0.28000000000000003</v>
      </c>
      <c r="I2494" t="s">
        <v>34</v>
      </c>
      <c r="J2494">
        <v>32213</v>
      </c>
      <c r="K2494" t="s">
        <v>25</v>
      </c>
      <c r="L2494">
        <v>41</v>
      </c>
      <c r="M2494">
        <v>54</v>
      </c>
      <c r="N2494" t="s">
        <v>26</v>
      </c>
      <c r="O2494" t="s">
        <v>36</v>
      </c>
      <c r="P2494">
        <v>3.05</v>
      </c>
      <c r="Q2494" t="s">
        <v>24</v>
      </c>
      <c r="R2494">
        <v>2.46</v>
      </c>
      <c r="S2494" t="s">
        <v>47</v>
      </c>
      <c r="T2494" t="str">
        <f t="shared" si="76"/>
        <v>Moderate</v>
      </c>
      <c r="U2494" t="str">
        <f t="shared" si="77"/>
        <v>Intermediate</v>
      </c>
    </row>
    <row r="2495" spans="1:21" x14ac:dyDescent="0.35">
      <c r="A2495" t="s">
        <v>2568</v>
      </c>
      <c r="B2495" t="s">
        <v>62</v>
      </c>
      <c r="C2495" t="s">
        <v>31</v>
      </c>
      <c r="D2495" t="s">
        <v>69</v>
      </c>
      <c r="E2495" t="s">
        <v>70</v>
      </c>
      <c r="F2495">
        <v>25</v>
      </c>
      <c r="G2495">
        <v>0.25</v>
      </c>
      <c r="H2495">
        <v>0.7</v>
      </c>
      <c r="I2495" t="s">
        <v>24</v>
      </c>
      <c r="J2495">
        <v>47065</v>
      </c>
      <c r="K2495" t="s">
        <v>27</v>
      </c>
      <c r="L2495">
        <v>20</v>
      </c>
      <c r="M2495">
        <v>35</v>
      </c>
      <c r="N2495" t="s">
        <v>26</v>
      </c>
      <c r="O2495" t="s">
        <v>27</v>
      </c>
      <c r="P2495">
        <v>4.49</v>
      </c>
      <c r="Q2495" t="s">
        <v>34</v>
      </c>
      <c r="R2495">
        <v>1.28</v>
      </c>
      <c r="S2495" t="s">
        <v>47</v>
      </c>
      <c r="T2495" t="str">
        <f t="shared" si="76"/>
        <v>Very High</v>
      </c>
      <c r="U2495" t="str">
        <f t="shared" si="77"/>
        <v>Expert</v>
      </c>
    </row>
    <row r="2496" spans="1:21" x14ac:dyDescent="0.35">
      <c r="A2496" t="s">
        <v>2569</v>
      </c>
      <c r="B2496" t="s">
        <v>57</v>
      </c>
      <c r="C2496" t="s">
        <v>82</v>
      </c>
      <c r="D2496" t="s">
        <v>80</v>
      </c>
      <c r="E2496" t="s">
        <v>70</v>
      </c>
      <c r="F2496">
        <v>1</v>
      </c>
      <c r="G2496">
        <v>0.91</v>
      </c>
      <c r="H2496">
        <v>0.51</v>
      </c>
      <c r="I2496" t="s">
        <v>24</v>
      </c>
      <c r="J2496">
        <v>218748</v>
      </c>
      <c r="K2496" t="s">
        <v>25</v>
      </c>
      <c r="L2496">
        <v>19</v>
      </c>
      <c r="M2496">
        <v>32</v>
      </c>
      <c r="N2496" t="s">
        <v>35</v>
      </c>
      <c r="O2496" t="s">
        <v>25</v>
      </c>
      <c r="P2496">
        <v>4.25</v>
      </c>
      <c r="Q2496" t="s">
        <v>34</v>
      </c>
      <c r="R2496">
        <v>1.1100000000000001</v>
      </c>
      <c r="S2496" t="s">
        <v>43</v>
      </c>
      <c r="T2496" t="str">
        <f t="shared" si="76"/>
        <v>Moderate</v>
      </c>
      <c r="U2496" t="str">
        <f t="shared" si="77"/>
        <v>Beginner</v>
      </c>
    </row>
    <row r="2497" spans="1:21" x14ac:dyDescent="0.35">
      <c r="A2497" t="s">
        <v>2570</v>
      </c>
      <c r="B2497" t="s">
        <v>91</v>
      </c>
      <c r="C2497" t="s">
        <v>107</v>
      </c>
      <c r="D2497" t="s">
        <v>59</v>
      </c>
      <c r="E2497" t="s">
        <v>23</v>
      </c>
      <c r="F2497">
        <v>6</v>
      </c>
      <c r="G2497">
        <v>0.8</v>
      </c>
      <c r="H2497">
        <v>0.67</v>
      </c>
      <c r="I2497" t="s">
        <v>60</v>
      </c>
      <c r="J2497">
        <v>174674</v>
      </c>
      <c r="K2497" t="s">
        <v>25</v>
      </c>
      <c r="L2497">
        <v>16</v>
      </c>
      <c r="M2497">
        <v>55</v>
      </c>
      <c r="N2497" t="s">
        <v>26</v>
      </c>
      <c r="O2497" t="s">
        <v>25</v>
      </c>
      <c r="P2497">
        <v>3.34</v>
      </c>
      <c r="Q2497" t="s">
        <v>24</v>
      </c>
      <c r="R2497">
        <v>2.96</v>
      </c>
      <c r="S2497" t="s">
        <v>43</v>
      </c>
      <c r="T2497" t="str">
        <f t="shared" si="76"/>
        <v>Moderate</v>
      </c>
      <c r="U2497" t="str">
        <f t="shared" si="77"/>
        <v>Intermediate</v>
      </c>
    </row>
    <row r="2498" spans="1:21" x14ac:dyDescent="0.35">
      <c r="A2498" t="s">
        <v>2571</v>
      </c>
      <c r="B2498" t="s">
        <v>91</v>
      </c>
      <c r="C2498" t="s">
        <v>107</v>
      </c>
      <c r="D2498" t="s">
        <v>66</v>
      </c>
      <c r="E2498" t="s">
        <v>41</v>
      </c>
      <c r="F2498">
        <v>0</v>
      </c>
      <c r="G2498">
        <v>0.92</v>
      </c>
      <c r="H2498">
        <v>0.7</v>
      </c>
      <c r="I2498" t="s">
        <v>60</v>
      </c>
      <c r="J2498">
        <v>200869</v>
      </c>
      <c r="K2498" t="s">
        <v>27</v>
      </c>
      <c r="L2498">
        <v>19</v>
      </c>
      <c r="M2498">
        <v>31</v>
      </c>
      <c r="N2498" t="s">
        <v>35</v>
      </c>
      <c r="O2498" t="s">
        <v>27</v>
      </c>
      <c r="P2498">
        <v>2.65</v>
      </c>
      <c r="Q2498" t="s">
        <v>34</v>
      </c>
      <c r="R2498">
        <v>3.52</v>
      </c>
      <c r="S2498" t="s">
        <v>28</v>
      </c>
      <c r="T2498" t="str">
        <f t="shared" si="76"/>
        <v>Moderate</v>
      </c>
      <c r="U2498" t="str">
        <f t="shared" si="77"/>
        <v>Beginner</v>
      </c>
    </row>
    <row r="2499" spans="1:21" x14ac:dyDescent="0.35">
      <c r="A2499" t="s">
        <v>2572</v>
      </c>
      <c r="B2499" t="s">
        <v>91</v>
      </c>
      <c r="C2499" t="s">
        <v>58</v>
      </c>
      <c r="D2499" t="s">
        <v>75</v>
      </c>
      <c r="E2499" t="s">
        <v>23</v>
      </c>
      <c r="F2499">
        <v>1</v>
      </c>
      <c r="G2499">
        <v>0.52</v>
      </c>
      <c r="H2499">
        <v>0.47</v>
      </c>
      <c r="I2499" t="s">
        <v>24</v>
      </c>
      <c r="J2499">
        <v>93877</v>
      </c>
      <c r="K2499" t="s">
        <v>25</v>
      </c>
      <c r="L2499">
        <v>-10</v>
      </c>
      <c r="M2499">
        <v>59</v>
      </c>
      <c r="N2499" t="s">
        <v>35</v>
      </c>
      <c r="O2499" t="s">
        <v>25</v>
      </c>
      <c r="P2499">
        <v>2.4</v>
      </c>
      <c r="Q2499" t="s">
        <v>24</v>
      </c>
      <c r="R2499">
        <v>1.68</v>
      </c>
      <c r="S2499" t="s">
        <v>43</v>
      </c>
      <c r="T2499" t="str">
        <f t="shared" ref="T2499:T2562" si="78">IF(AND(G2499&lt;0.4,H2499&gt;=0.7),"Very High",
IF(AND(G2499&gt;=0.7,H2499&lt;0.5),"Very Low",
IF(G2499&lt;H2499,"High","Moderate")))</f>
        <v>Moderate</v>
      </c>
      <c r="U2499" t="str">
        <f t="shared" ref="U2499:U2562" si="79">_xlfn.IFS(F2499&lt;=2,"Beginner",F2499&lt;=8,"Intermediate",F2499&lt;=15,"Experienced",F2499&lt;=25,"Expert")</f>
        <v>Beginner</v>
      </c>
    </row>
    <row r="2500" spans="1:21" x14ac:dyDescent="0.35">
      <c r="A2500" t="s">
        <v>2573</v>
      </c>
      <c r="B2500" t="s">
        <v>20</v>
      </c>
      <c r="C2500" t="s">
        <v>21</v>
      </c>
      <c r="D2500" t="s">
        <v>69</v>
      </c>
      <c r="E2500" t="s">
        <v>33</v>
      </c>
      <c r="F2500">
        <v>25</v>
      </c>
      <c r="G2500">
        <v>0.72</v>
      </c>
      <c r="H2500">
        <v>0.3</v>
      </c>
      <c r="I2500" t="s">
        <v>34</v>
      </c>
      <c r="J2500">
        <v>50094</v>
      </c>
      <c r="K2500" t="s">
        <v>27</v>
      </c>
      <c r="L2500">
        <v>27</v>
      </c>
      <c r="M2500">
        <v>33</v>
      </c>
      <c r="N2500" t="s">
        <v>35</v>
      </c>
      <c r="O2500" t="s">
        <v>36</v>
      </c>
      <c r="P2500">
        <v>4.75</v>
      </c>
      <c r="Q2500" t="s">
        <v>34</v>
      </c>
      <c r="R2500">
        <v>3.46</v>
      </c>
      <c r="S2500" t="s">
        <v>43</v>
      </c>
      <c r="T2500" t="str">
        <f t="shared" si="78"/>
        <v>Very Low</v>
      </c>
      <c r="U2500" t="str">
        <f t="shared" si="79"/>
        <v>Expert</v>
      </c>
    </row>
    <row r="2501" spans="1:21" x14ac:dyDescent="0.35">
      <c r="A2501" t="s">
        <v>2574</v>
      </c>
      <c r="B2501" t="s">
        <v>57</v>
      </c>
      <c r="C2501" t="s">
        <v>82</v>
      </c>
      <c r="D2501" t="s">
        <v>80</v>
      </c>
      <c r="E2501" t="s">
        <v>33</v>
      </c>
      <c r="F2501">
        <v>23</v>
      </c>
      <c r="G2501">
        <v>0.6</v>
      </c>
      <c r="H2501">
        <v>0.26</v>
      </c>
      <c r="I2501" t="s">
        <v>24</v>
      </c>
      <c r="J2501">
        <v>141554</v>
      </c>
      <c r="K2501" t="s">
        <v>42</v>
      </c>
      <c r="L2501">
        <v>-3</v>
      </c>
      <c r="M2501">
        <v>48</v>
      </c>
      <c r="N2501" t="s">
        <v>42</v>
      </c>
      <c r="O2501" t="s">
        <v>36</v>
      </c>
      <c r="P2501">
        <v>4.32</v>
      </c>
      <c r="Q2501" t="s">
        <v>34</v>
      </c>
      <c r="R2501">
        <v>3.03</v>
      </c>
      <c r="S2501" t="s">
        <v>43</v>
      </c>
      <c r="T2501" t="str">
        <f t="shared" si="78"/>
        <v>Moderate</v>
      </c>
      <c r="U2501" t="str">
        <f t="shared" si="79"/>
        <v>Expert</v>
      </c>
    </row>
    <row r="2502" spans="1:21" x14ac:dyDescent="0.35">
      <c r="A2502" t="s">
        <v>2575</v>
      </c>
      <c r="B2502" t="s">
        <v>156</v>
      </c>
      <c r="C2502" t="s">
        <v>82</v>
      </c>
      <c r="D2502" t="s">
        <v>63</v>
      </c>
      <c r="E2502" t="s">
        <v>70</v>
      </c>
      <c r="F2502">
        <v>9</v>
      </c>
      <c r="G2502">
        <v>0.15</v>
      </c>
      <c r="H2502">
        <v>0.91</v>
      </c>
      <c r="I2502" t="s">
        <v>60</v>
      </c>
      <c r="J2502">
        <v>157056</v>
      </c>
      <c r="K2502" t="s">
        <v>42</v>
      </c>
      <c r="L2502">
        <v>10</v>
      </c>
      <c r="M2502">
        <v>40</v>
      </c>
      <c r="N2502" t="s">
        <v>35</v>
      </c>
      <c r="O2502" t="s">
        <v>25</v>
      </c>
      <c r="P2502">
        <v>4.12</v>
      </c>
      <c r="Q2502" t="s">
        <v>24</v>
      </c>
      <c r="R2502">
        <v>4.5999999999999996</v>
      </c>
      <c r="S2502" t="s">
        <v>47</v>
      </c>
      <c r="T2502" t="str">
        <f t="shared" si="78"/>
        <v>Very High</v>
      </c>
      <c r="U2502" t="str">
        <f t="shared" si="79"/>
        <v>Experienced</v>
      </c>
    </row>
    <row r="2503" spans="1:21" x14ac:dyDescent="0.35">
      <c r="A2503" t="s">
        <v>2576</v>
      </c>
      <c r="B2503" t="s">
        <v>30</v>
      </c>
      <c r="C2503" t="s">
        <v>58</v>
      </c>
      <c r="D2503" t="s">
        <v>32</v>
      </c>
      <c r="E2503" t="s">
        <v>70</v>
      </c>
      <c r="F2503">
        <v>4</v>
      </c>
      <c r="G2503">
        <v>0.68</v>
      </c>
      <c r="H2503">
        <v>0.95</v>
      </c>
      <c r="I2503" t="s">
        <v>34</v>
      </c>
      <c r="J2503">
        <v>191923</v>
      </c>
      <c r="K2503" t="s">
        <v>27</v>
      </c>
      <c r="L2503">
        <v>39</v>
      </c>
      <c r="M2503">
        <v>34</v>
      </c>
      <c r="N2503" t="s">
        <v>42</v>
      </c>
      <c r="O2503" t="s">
        <v>25</v>
      </c>
      <c r="P2503">
        <v>2.74</v>
      </c>
      <c r="Q2503" t="s">
        <v>34</v>
      </c>
      <c r="R2503">
        <v>1.72</v>
      </c>
      <c r="S2503" t="s">
        <v>47</v>
      </c>
      <c r="T2503" t="str">
        <f t="shared" si="78"/>
        <v>High</v>
      </c>
      <c r="U2503" t="str">
        <f t="shared" si="79"/>
        <v>Intermediate</v>
      </c>
    </row>
    <row r="2504" spans="1:21" x14ac:dyDescent="0.35">
      <c r="A2504" t="s">
        <v>2577</v>
      </c>
      <c r="B2504" t="s">
        <v>156</v>
      </c>
      <c r="C2504" t="s">
        <v>52</v>
      </c>
      <c r="D2504" t="s">
        <v>40</v>
      </c>
      <c r="E2504" t="s">
        <v>33</v>
      </c>
      <c r="F2504">
        <v>19</v>
      </c>
      <c r="G2504">
        <v>0.92</v>
      </c>
      <c r="H2504">
        <v>0.32</v>
      </c>
      <c r="I2504" t="s">
        <v>60</v>
      </c>
      <c r="J2504">
        <v>70519</v>
      </c>
      <c r="K2504" t="s">
        <v>25</v>
      </c>
      <c r="L2504">
        <v>-10</v>
      </c>
      <c r="M2504">
        <v>37</v>
      </c>
      <c r="N2504" t="s">
        <v>35</v>
      </c>
      <c r="O2504" t="s">
        <v>27</v>
      </c>
      <c r="P2504">
        <v>3.25</v>
      </c>
      <c r="Q2504" t="s">
        <v>34</v>
      </c>
      <c r="R2504">
        <v>4.33</v>
      </c>
      <c r="S2504" t="s">
        <v>43</v>
      </c>
      <c r="T2504" t="str">
        <f t="shared" si="78"/>
        <v>Very Low</v>
      </c>
      <c r="U2504" t="str">
        <f t="shared" si="79"/>
        <v>Expert</v>
      </c>
    </row>
    <row r="2505" spans="1:21" x14ac:dyDescent="0.35">
      <c r="A2505" t="s">
        <v>2578</v>
      </c>
      <c r="B2505" t="s">
        <v>102</v>
      </c>
      <c r="C2505" t="s">
        <v>46</v>
      </c>
      <c r="D2505" t="s">
        <v>75</v>
      </c>
      <c r="E2505" t="s">
        <v>41</v>
      </c>
      <c r="F2505">
        <v>9</v>
      </c>
      <c r="G2505">
        <v>0.72</v>
      </c>
      <c r="H2505">
        <v>0.64</v>
      </c>
      <c r="I2505" t="s">
        <v>60</v>
      </c>
      <c r="J2505">
        <v>160809</v>
      </c>
      <c r="K2505" t="s">
        <v>42</v>
      </c>
      <c r="L2505">
        <v>4</v>
      </c>
      <c r="M2505">
        <v>31</v>
      </c>
      <c r="N2505" t="s">
        <v>26</v>
      </c>
      <c r="O2505" t="s">
        <v>27</v>
      </c>
      <c r="P2505">
        <v>4.74</v>
      </c>
      <c r="Q2505" t="s">
        <v>34</v>
      </c>
      <c r="R2505">
        <v>2.57</v>
      </c>
      <c r="S2505" t="s">
        <v>43</v>
      </c>
      <c r="T2505" t="str">
        <f t="shared" si="78"/>
        <v>Moderate</v>
      </c>
      <c r="U2505" t="str">
        <f t="shared" si="79"/>
        <v>Experienced</v>
      </c>
    </row>
    <row r="2506" spans="1:21" x14ac:dyDescent="0.35">
      <c r="A2506" t="s">
        <v>2579</v>
      </c>
      <c r="B2506" t="s">
        <v>62</v>
      </c>
      <c r="C2506" t="s">
        <v>46</v>
      </c>
      <c r="D2506" t="s">
        <v>22</v>
      </c>
      <c r="E2506" t="s">
        <v>41</v>
      </c>
      <c r="F2506">
        <v>20</v>
      </c>
      <c r="G2506">
        <v>0.69</v>
      </c>
      <c r="H2506">
        <v>0.87</v>
      </c>
      <c r="I2506" t="s">
        <v>24</v>
      </c>
      <c r="J2506">
        <v>200588</v>
      </c>
      <c r="K2506" t="s">
        <v>42</v>
      </c>
      <c r="L2506">
        <v>40</v>
      </c>
      <c r="M2506">
        <v>52</v>
      </c>
      <c r="N2506" t="s">
        <v>42</v>
      </c>
      <c r="O2506" t="s">
        <v>25</v>
      </c>
      <c r="P2506">
        <v>4.95</v>
      </c>
      <c r="Q2506" t="s">
        <v>34</v>
      </c>
      <c r="R2506">
        <v>4.29</v>
      </c>
      <c r="S2506" t="s">
        <v>28</v>
      </c>
      <c r="T2506" t="str">
        <f t="shared" si="78"/>
        <v>High</v>
      </c>
      <c r="U2506" t="str">
        <f t="shared" si="79"/>
        <v>Expert</v>
      </c>
    </row>
    <row r="2507" spans="1:21" x14ac:dyDescent="0.35">
      <c r="A2507" t="s">
        <v>2580</v>
      </c>
      <c r="B2507" t="s">
        <v>68</v>
      </c>
      <c r="C2507" t="s">
        <v>39</v>
      </c>
      <c r="D2507" t="s">
        <v>49</v>
      </c>
      <c r="E2507" t="s">
        <v>41</v>
      </c>
      <c r="F2507">
        <v>11</v>
      </c>
      <c r="G2507">
        <v>0.87</v>
      </c>
      <c r="H2507">
        <v>0.47</v>
      </c>
      <c r="I2507" t="s">
        <v>24</v>
      </c>
      <c r="J2507">
        <v>151062</v>
      </c>
      <c r="K2507" t="s">
        <v>42</v>
      </c>
      <c r="L2507">
        <v>0</v>
      </c>
      <c r="M2507">
        <v>44</v>
      </c>
      <c r="N2507" t="s">
        <v>26</v>
      </c>
      <c r="O2507" t="s">
        <v>27</v>
      </c>
      <c r="P2507">
        <v>3.75</v>
      </c>
      <c r="Q2507" t="s">
        <v>24</v>
      </c>
      <c r="R2507">
        <v>3.08</v>
      </c>
      <c r="S2507" t="s">
        <v>43</v>
      </c>
      <c r="T2507" t="str">
        <f t="shared" si="78"/>
        <v>Very Low</v>
      </c>
      <c r="U2507" t="str">
        <f t="shared" si="79"/>
        <v>Experienced</v>
      </c>
    </row>
    <row r="2508" spans="1:21" x14ac:dyDescent="0.35">
      <c r="A2508" t="s">
        <v>2581</v>
      </c>
      <c r="B2508" t="s">
        <v>20</v>
      </c>
      <c r="C2508" t="s">
        <v>31</v>
      </c>
      <c r="D2508" t="s">
        <v>32</v>
      </c>
      <c r="E2508" t="s">
        <v>23</v>
      </c>
      <c r="F2508">
        <v>9</v>
      </c>
      <c r="G2508">
        <v>0.39</v>
      </c>
      <c r="H2508">
        <v>0.96</v>
      </c>
      <c r="I2508" t="s">
        <v>60</v>
      </c>
      <c r="J2508">
        <v>97386</v>
      </c>
      <c r="K2508" t="s">
        <v>42</v>
      </c>
      <c r="L2508">
        <v>17</v>
      </c>
      <c r="M2508">
        <v>52</v>
      </c>
      <c r="N2508" t="s">
        <v>42</v>
      </c>
      <c r="O2508" t="s">
        <v>36</v>
      </c>
      <c r="P2508">
        <v>3.88</v>
      </c>
      <c r="Q2508" t="s">
        <v>24</v>
      </c>
      <c r="R2508">
        <v>1.76</v>
      </c>
      <c r="S2508" t="s">
        <v>28</v>
      </c>
      <c r="T2508" t="str">
        <f t="shared" si="78"/>
        <v>Very High</v>
      </c>
      <c r="U2508" t="str">
        <f t="shared" si="79"/>
        <v>Experienced</v>
      </c>
    </row>
    <row r="2509" spans="1:21" x14ac:dyDescent="0.35">
      <c r="A2509" t="s">
        <v>2582</v>
      </c>
      <c r="B2509" t="s">
        <v>30</v>
      </c>
      <c r="C2509" t="s">
        <v>46</v>
      </c>
      <c r="D2509" t="s">
        <v>66</v>
      </c>
      <c r="E2509" t="s">
        <v>70</v>
      </c>
      <c r="F2509">
        <v>6</v>
      </c>
      <c r="G2509">
        <v>0.81</v>
      </c>
      <c r="H2509">
        <v>0.38</v>
      </c>
      <c r="I2509" t="s">
        <v>60</v>
      </c>
      <c r="J2509">
        <v>138977</v>
      </c>
      <c r="K2509" t="s">
        <v>27</v>
      </c>
      <c r="L2509">
        <v>1</v>
      </c>
      <c r="M2509">
        <v>36</v>
      </c>
      <c r="N2509" t="s">
        <v>35</v>
      </c>
      <c r="O2509" t="s">
        <v>25</v>
      </c>
      <c r="P2509">
        <v>2.92</v>
      </c>
      <c r="Q2509" t="s">
        <v>34</v>
      </c>
      <c r="R2509">
        <v>3.89</v>
      </c>
      <c r="S2509" t="s">
        <v>47</v>
      </c>
      <c r="T2509" t="str">
        <f t="shared" si="78"/>
        <v>Very Low</v>
      </c>
      <c r="U2509" t="str">
        <f t="shared" si="79"/>
        <v>Intermediate</v>
      </c>
    </row>
    <row r="2510" spans="1:21" x14ac:dyDescent="0.35">
      <c r="A2510" t="s">
        <v>2583</v>
      </c>
      <c r="B2510" t="s">
        <v>147</v>
      </c>
      <c r="C2510" t="s">
        <v>107</v>
      </c>
      <c r="D2510" t="s">
        <v>63</v>
      </c>
      <c r="E2510" t="s">
        <v>70</v>
      </c>
      <c r="F2510">
        <v>19</v>
      </c>
      <c r="G2510">
        <v>0.74</v>
      </c>
      <c r="H2510">
        <v>0.67</v>
      </c>
      <c r="I2510" t="s">
        <v>60</v>
      </c>
      <c r="J2510">
        <v>138892</v>
      </c>
      <c r="K2510" t="s">
        <v>25</v>
      </c>
      <c r="L2510">
        <v>32</v>
      </c>
      <c r="M2510">
        <v>30</v>
      </c>
      <c r="N2510" t="s">
        <v>35</v>
      </c>
      <c r="O2510" t="s">
        <v>27</v>
      </c>
      <c r="P2510">
        <v>3.84</v>
      </c>
      <c r="Q2510" t="s">
        <v>24</v>
      </c>
      <c r="R2510">
        <v>1.45</v>
      </c>
      <c r="S2510" t="s">
        <v>47</v>
      </c>
      <c r="T2510" t="str">
        <f t="shared" si="78"/>
        <v>Moderate</v>
      </c>
      <c r="U2510" t="str">
        <f t="shared" si="79"/>
        <v>Expert</v>
      </c>
    </row>
    <row r="2511" spans="1:21" x14ac:dyDescent="0.35">
      <c r="A2511" t="s">
        <v>2584</v>
      </c>
      <c r="B2511" t="s">
        <v>62</v>
      </c>
      <c r="C2511" t="s">
        <v>21</v>
      </c>
      <c r="D2511" t="s">
        <v>40</v>
      </c>
      <c r="E2511" t="s">
        <v>41</v>
      </c>
      <c r="F2511">
        <v>11</v>
      </c>
      <c r="G2511">
        <v>0.46</v>
      </c>
      <c r="H2511">
        <v>0.97</v>
      </c>
      <c r="I2511" t="s">
        <v>60</v>
      </c>
      <c r="J2511">
        <v>56030</v>
      </c>
      <c r="K2511" t="s">
        <v>27</v>
      </c>
      <c r="L2511">
        <v>-4</v>
      </c>
      <c r="M2511">
        <v>50</v>
      </c>
      <c r="N2511" t="s">
        <v>42</v>
      </c>
      <c r="O2511" t="s">
        <v>25</v>
      </c>
      <c r="P2511">
        <v>2.64</v>
      </c>
      <c r="Q2511" t="s">
        <v>34</v>
      </c>
      <c r="R2511">
        <v>1.97</v>
      </c>
      <c r="S2511" t="s">
        <v>43</v>
      </c>
      <c r="T2511" t="str">
        <f t="shared" si="78"/>
        <v>High</v>
      </c>
      <c r="U2511" t="str">
        <f t="shared" si="79"/>
        <v>Experienced</v>
      </c>
    </row>
    <row r="2512" spans="1:21" x14ac:dyDescent="0.35">
      <c r="A2512" t="s">
        <v>2585</v>
      </c>
      <c r="B2512" t="s">
        <v>30</v>
      </c>
      <c r="C2512" t="s">
        <v>58</v>
      </c>
      <c r="D2512" t="s">
        <v>22</v>
      </c>
      <c r="E2512" t="s">
        <v>41</v>
      </c>
      <c r="F2512">
        <v>12</v>
      </c>
      <c r="G2512">
        <v>0.54</v>
      </c>
      <c r="H2512">
        <v>0.89</v>
      </c>
      <c r="I2512" t="s">
        <v>24</v>
      </c>
      <c r="J2512">
        <v>136171</v>
      </c>
      <c r="K2512" t="s">
        <v>27</v>
      </c>
      <c r="L2512">
        <v>18</v>
      </c>
      <c r="M2512">
        <v>58</v>
      </c>
      <c r="N2512" t="s">
        <v>26</v>
      </c>
      <c r="O2512" t="s">
        <v>36</v>
      </c>
      <c r="P2512">
        <v>2.0699999999999998</v>
      </c>
      <c r="Q2512" t="s">
        <v>34</v>
      </c>
      <c r="R2512">
        <v>4.28</v>
      </c>
      <c r="S2512" t="s">
        <v>28</v>
      </c>
      <c r="T2512" t="str">
        <f t="shared" si="78"/>
        <v>High</v>
      </c>
      <c r="U2512" t="str">
        <f t="shared" si="79"/>
        <v>Experienced</v>
      </c>
    </row>
    <row r="2513" spans="1:21" x14ac:dyDescent="0.35">
      <c r="A2513" t="s">
        <v>2586</v>
      </c>
      <c r="B2513" t="s">
        <v>73</v>
      </c>
      <c r="C2513" t="s">
        <v>58</v>
      </c>
      <c r="D2513" t="s">
        <v>22</v>
      </c>
      <c r="E2513" t="s">
        <v>70</v>
      </c>
      <c r="F2513">
        <v>9</v>
      </c>
      <c r="G2513">
        <v>0.64</v>
      </c>
      <c r="H2513">
        <v>0.68</v>
      </c>
      <c r="I2513" t="s">
        <v>24</v>
      </c>
      <c r="J2513">
        <v>54242</v>
      </c>
      <c r="K2513" t="s">
        <v>25</v>
      </c>
      <c r="L2513">
        <v>-8</v>
      </c>
      <c r="M2513">
        <v>34</v>
      </c>
      <c r="N2513" t="s">
        <v>42</v>
      </c>
      <c r="O2513" t="s">
        <v>36</v>
      </c>
      <c r="P2513">
        <v>2.68</v>
      </c>
      <c r="Q2513" t="s">
        <v>24</v>
      </c>
      <c r="R2513">
        <v>3.71</v>
      </c>
      <c r="S2513" t="s">
        <v>43</v>
      </c>
      <c r="T2513" t="str">
        <f t="shared" si="78"/>
        <v>High</v>
      </c>
      <c r="U2513" t="str">
        <f t="shared" si="79"/>
        <v>Experienced</v>
      </c>
    </row>
    <row r="2514" spans="1:21" x14ac:dyDescent="0.35">
      <c r="A2514" t="s">
        <v>2587</v>
      </c>
      <c r="B2514" t="s">
        <v>65</v>
      </c>
      <c r="C2514" t="s">
        <v>82</v>
      </c>
      <c r="D2514" t="s">
        <v>69</v>
      </c>
      <c r="E2514" t="s">
        <v>33</v>
      </c>
      <c r="F2514">
        <v>5</v>
      </c>
      <c r="G2514">
        <v>0.22</v>
      </c>
      <c r="H2514">
        <v>0.21</v>
      </c>
      <c r="I2514" t="s">
        <v>34</v>
      </c>
      <c r="J2514">
        <v>195911</v>
      </c>
      <c r="K2514" t="s">
        <v>42</v>
      </c>
      <c r="L2514">
        <v>16</v>
      </c>
      <c r="M2514">
        <v>53</v>
      </c>
      <c r="N2514" t="s">
        <v>35</v>
      </c>
      <c r="O2514" t="s">
        <v>27</v>
      </c>
      <c r="P2514">
        <v>3.92</v>
      </c>
      <c r="Q2514" t="s">
        <v>24</v>
      </c>
      <c r="R2514">
        <v>2.2400000000000002</v>
      </c>
      <c r="S2514" t="s">
        <v>47</v>
      </c>
      <c r="T2514" t="str">
        <f t="shared" si="78"/>
        <v>Moderate</v>
      </c>
      <c r="U2514" t="str">
        <f t="shared" si="79"/>
        <v>Intermediate</v>
      </c>
    </row>
    <row r="2515" spans="1:21" x14ac:dyDescent="0.35">
      <c r="A2515" t="s">
        <v>2588</v>
      </c>
      <c r="B2515" t="s">
        <v>45</v>
      </c>
      <c r="C2515" t="s">
        <v>31</v>
      </c>
      <c r="D2515" t="s">
        <v>40</v>
      </c>
      <c r="E2515" t="s">
        <v>70</v>
      </c>
      <c r="F2515">
        <v>5</v>
      </c>
      <c r="G2515">
        <v>0.82</v>
      </c>
      <c r="H2515">
        <v>0.6</v>
      </c>
      <c r="I2515" t="s">
        <v>34</v>
      </c>
      <c r="J2515">
        <v>154712</v>
      </c>
      <c r="K2515" t="s">
        <v>27</v>
      </c>
      <c r="L2515">
        <v>8</v>
      </c>
      <c r="M2515">
        <v>34</v>
      </c>
      <c r="N2515" t="s">
        <v>26</v>
      </c>
      <c r="O2515" t="s">
        <v>25</v>
      </c>
      <c r="P2515">
        <v>2.09</v>
      </c>
      <c r="Q2515" t="s">
        <v>34</v>
      </c>
      <c r="R2515">
        <v>3.68</v>
      </c>
      <c r="S2515" t="s">
        <v>43</v>
      </c>
      <c r="T2515" t="str">
        <f t="shared" si="78"/>
        <v>Moderate</v>
      </c>
      <c r="U2515" t="str">
        <f t="shared" si="79"/>
        <v>Intermediate</v>
      </c>
    </row>
    <row r="2516" spans="1:21" x14ac:dyDescent="0.35">
      <c r="A2516" t="s">
        <v>2589</v>
      </c>
      <c r="B2516" t="s">
        <v>94</v>
      </c>
      <c r="C2516" t="s">
        <v>107</v>
      </c>
      <c r="D2516" t="s">
        <v>66</v>
      </c>
      <c r="E2516" t="s">
        <v>33</v>
      </c>
      <c r="F2516">
        <v>22</v>
      </c>
      <c r="G2516">
        <v>0.8</v>
      </c>
      <c r="H2516">
        <v>0.77</v>
      </c>
      <c r="I2516" t="s">
        <v>60</v>
      </c>
      <c r="J2516">
        <v>46578</v>
      </c>
      <c r="K2516" t="s">
        <v>27</v>
      </c>
      <c r="L2516">
        <v>28</v>
      </c>
      <c r="M2516">
        <v>56</v>
      </c>
      <c r="N2516" t="s">
        <v>42</v>
      </c>
      <c r="O2516" t="s">
        <v>36</v>
      </c>
      <c r="P2516">
        <v>4.62</v>
      </c>
      <c r="Q2516" t="s">
        <v>34</v>
      </c>
      <c r="R2516">
        <v>3.13</v>
      </c>
      <c r="S2516" t="s">
        <v>28</v>
      </c>
      <c r="T2516" t="str">
        <f t="shared" si="78"/>
        <v>Moderate</v>
      </c>
      <c r="U2516" t="str">
        <f t="shared" si="79"/>
        <v>Expert</v>
      </c>
    </row>
    <row r="2517" spans="1:21" x14ac:dyDescent="0.35">
      <c r="A2517" t="s">
        <v>2590</v>
      </c>
      <c r="B2517" t="s">
        <v>51</v>
      </c>
      <c r="C2517" t="s">
        <v>31</v>
      </c>
      <c r="D2517" t="s">
        <v>63</v>
      </c>
      <c r="E2517" t="s">
        <v>23</v>
      </c>
      <c r="F2517">
        <v>18</v>
      </c>
      <c r="G2517">
        <v>0.77</v>
      </c>
      <c r="H2517">
        <v>0.95</v>
      </c>
      <c r="I2517" t="s">
        <v>60</v>
      </c>
      <c r="J2517">
        <v>156962</v>
      </c>
      <c r="K2517" t="s">
        <v>27</v>
      </c>
      <c r="L2517">
        <v>24</v>
      </c>
      <c r="M2517">
        <v>35</v>
      </c>
      <c r="N2517" t="s">
        <v>35</v>
      </c>
      <c r="O2517" t="s">
        <v>36</v>
      </c>
      <c r="P2517">
        <v>3.02</v>
      </c>
      <c r="Q2517" t="s">
        <v>34</v>
      </c>
      <c r="R2517">
        <v>1.1100000000000001</v>
      </c>
      <c r="S2517" t="s">
        <v>28</v>
      </c>
      <c r="T2517" t="str">
        <f t="shared" si="78"/>
        <v>High</v>
      </c>
      <c r="U2517" t="str">
        <f t="shared" si="79"/>
        <v>Expert</v>
      </c>
    </row>
    <row r="2518" spans="1:21" x14ac:dyDescent="0.35">
      <c r="A2518" t="s">
        <v>2591</v>
      </c>
      <c r="B2518" t="s">
        <v>68</v>
      </c>
      <c r="C2518" t="s">
        <v>21</v>
      </c>
      <c r="D2518" t="s">
        <v>49</v>
      </c>
      <c r="E2518" t="s">
        <v>23</v>
      </c>
      <c r="F2518">
        <v>16</v>
      </c>
      <c r="G2518">
        <v>0.32</v>
      </c>
      <c r="H2518">
        <v>0.67</v>
      </c>
      <c r="I2518" t="s">
        <v>34</v>
      </c>
      <c r="J2518">
        <v>134714</v>
      </c>
      <c r="K2518" t="s">
        <v>42</v>
      </c>
      <c r="L2518">
        <v>13</v>
      </c>
      <c r="M2518">
        <v>36</v>
      </c>
      <c r="N2518" t="s">
        <v>26</v>
      </c>
      <c r="O2518" t="s">
        <v>27</v>
      </c>
      <c r="P2518">
        <v>4.51</v>
      </c>
      <c r="Q2518" t="s">
        <v>24</v>
      </c>
      <c r="R2518">
        <v>3.89</v>
      </c>
      <c r="S2518" t="s">
        <v>43</v>
      </c>
      <c r="T2518" t="str">
        <f t="shared" si="78"/>
        <v>High</v>
      </c>
      <c r="U2518" t="str">
        <f t="shared" si="79"/>
        <v>Expert</v>
      </c>
    </row>
    <row r="2519" spans="1:21" x14ac:dyDescent="0.35">
      <c r="A2519" t="s">
        <v>2592</v>
      </c>
      <c r="B2519" t="s">
        <v>156</v>
      </c>
      <c r="C2519" t="s">
        <v>58</v>
      </c>
      <c r="D2519" t="s">
        <v>32</v>
      </c>
      <c r="E2519" t="s">
        <v>70</v>
      </c>
      <c r="F2519">
        <v>23</v>
      </c>
      <c r="G2519">
        <v>0.24</v>
      </c>
      <c r="H2519">
        <v>0.65</v>
      </c>
      <c r="I2519" t="s">
        <v>34</v>
      </c>
      <c r="J2519">
        <v>93239</v>
      </c>
      <c r="K2519" t="s">
        <v>25</v>
      </c>
      <c r="L2519">
        <v>28</v>
      </c>
      <c r="M2519">
        <v>40</v>
      </c>
      <c r="N2519" t="s">
        <v>26</v>
      </c>
      <c r="O2519" t="s">
        <v>25</v>
      </c>
      <c r="P2519">
        <v>4.5999999999999996</v>
      </c>
      <c r="Q2519" t="s">
        <v>34</v>
      </c>
      <c r="R2519">
        <v>2.6</v>
      </c>
      <c r="S2519" t="s">
        <v>47</v>
      </c>
      <c r="T2519" t="str">
        <f t="shared" si="78"/>
        <v>High</v>
      </c>
      <c r="U2519" t="str">
        <f t="shared" si="79"/>
        <v>Expert</v>
      </c>
    </row>
    <row r="2520" spans="1:21" x14ac:dyDescent="0.35">
      <c r="A2520" t="s">
        <v>2593</v>
      </c>
      <c r="B2520" t="s">
        <v>89</v>
      </c>
      <c r="C2520" t="s">
        <v>58</v>
      </c>
      <c r="D2520" t="s">
        <v>40</v>
      </c>
      <c r="E2520" t="s">
        <v>33</v>
      </c>
      <c r="F2520">
        <v>3</v>
      </c>
      <c r="G2520">
        <v>0.19</v>
      </c>
      <c r="H2520">
        <v>0.49</v>
      </c>
      <c r="I2520" t="s">
        <v>60</v>
      </c>
      <c r="J2520">
        <v>218584</v>
      </c>
      <c r="K2520" t="s">
        <v>25</v>
      </c>
      <c r="L2520">
        <v>-6</v>
      </c>
      <c r="M2520">
        <v>44</v>
      </c>
      <c r="N2520" t="s">
        <v>42</v>
      </c>
      <c r="O2520" t="s">
        <v>25</v>
      </c>
      <c r="P2520">
        <v>3.47</v>
      </c>
      <c r="Q2520" t="s">
        <v>24</v>
      </c>
      <c r="R2520">
        <v>2.46</v>
      </c>
      <c r="S2520" t="s">
        <v>47</v>
      </c>
      <c r="T2520" t="str">
        <f t="shared" si="78"/>
        <v>High</v>
      </c>
      <c r="U2520" t="str">
        <f t="shared" si="79"/>
        <v>Intermediate</v>
      </c>
    </row>
    <row r="2521" spans="1:21" x14ac:dyDescent="0.35">
      <c r="A2521" t="s">
        <v>2594</v>
      </c>
      <c r="B2521" t="s">
        <v>57</v>
      </c>
      <c r="C2521" t="s">
        <v>55</v>
      </c>
      <c r="D2521" t="s">
        <v>49</v>
      </c>
      <c r="E2521" t="s">
        <v>23</v>
      </c>
      <c r="F2521">
        <v>2</v>
      </c>
      <c r="G2521">
        <v>0.36</v>
      </c>
      <c r="H2521">
        <v>0.66</v>
      </c>
      <c r="I2521" t="s">
        <v>34</v>
      </c>
      <c r="J2521">
        <v>111648</v>
      </c>
      <c r="K2521" t="s">
        <v>25</v>
      </c>
      <c r="L2521">
        <v>4</v>
      </c>
      <c r="M2521">
        <v>40</v>
      </c>
      <c r="N2521" t="s">
        <v>26</v>
      </c>
      <c r="O2521" t="s">
        <v>27</v>
      </c>
      <c r="P2521">
        <v>2.65</v>
      </c>
      <c r="Q2521" t="s">
        <v>24</v>
      </c>
      <c r="R2521">
        <v>4.6500000000000004</v>
      </c>
      <c r="S2521" t="s">
        <v>43</v>
      </c>
      <c r="T2521" t="str">
        <f t="shared" si="78"/>
        <v>High</v>
      </c>
      <c r="U2521" t="str">
        <f t="shared" si="79"/>
        <v>Beginner</v>
      </c>
    </row>
    <row r="2522" spans="1:21" x14ac:dyDescent="0.35">
      <c r="A2522" t="s">
        <v>2595</v>
      </c>
      <c r="B2522" t="s">
        <v>94</v>
      </c>
      <c r="C2522" t="s">
        <v>31</v>
      </c>
      <c r="D2522" t="s">
        <v>59</v>
      </c>
      <c r="E2522" t="s">
        <v>33</v>
      </c>
      <c r="F2522">
        <v>3</v>
      </c>
      <c r="G2522">
        <v>0.7</v>
      </c>
      <c r="H2522">
        <v>0.57999999999999996</v>
      </c>
      <c r="I2522" t="s">
        <v>34</v>
      </c>
      <c r="J2522">
        <v>190146</v>
      </c>
      <c r="K2522" t="s">
        <v>25</v>
      </c>
      <c r="L2522">
        <v>39</v>
      </c>
      <c r="M2522">
        <v>34</v>
      </c>
      <c r="N2522" t="s">
        <v>35</v>
      </c>
      <c r="O2522" t="s">
        <v>27</v>
      </c>
      <c r="P2522">
        <v>3.8</v>
      </c>
      <c r="Q2522" t="s">
        <v>24</v>
      </c>
      <c r="R2522">
        <v>4.7300000000000004</v>
      </c>
      <c r="S2522" t="s">
        <v>43</v>
      </c>
      <c r="T2522" t="str">
        <f t="shared" si="78"/>
        <v>Moderate</v>
      </c>
      <c r="U2522" t="str">
        <f t="shared" si="79"/>
        <v>Intermediate</v>
      </c>
    </row>
    <row r="2523" spans="1:21" x14ac:dyDescent="0.35">
      <c r="A2523" t="s">
        <v>2596</v>
      </c>
      <c r="B2523" t="s">
        <v>96</v>
      </c>
      <c r="C2523" t="s">
        <v>107</v>
      </c>
      <c r="D2523" t="s">
        <v>32</v>
      </c>
      <c r="E2523" t="s">
        <v>41</v>
      </c>
      <c r="F2523">
        <v>22</v>
      </c>
      <c r="G2523">
        <v>0.48</v>
      </c>
      <c r="H2523">
        <v>0.28000000000000003</v>
      </c>
      <c r="I2523" t="s">
        <v>60</v>
      </c>
      <c r="J2523">
        <v>88256</v>
      </c>
      <c r="K2523" t="s">
        <v>42</v>
      </c>
      <c r="L2523">
        <v>45</v>
      </c>
      <c r="M2523">
        <v>60</v>
      </c>
      <c r="N2523" t="s">
        <v>26</v>
      </c>
      <c r="O2523" t="s">
        <v>36</v>
      </c>
      <c r="P2523">
        <v>2.11</v>
      </c>
      <c r="Q2523" t="s">
        <v>34</v>
      </c>
      <c r="R2523">
        <v>2.5</v>
      </c>
      <c r="S2523" t="s">
        <v>28</v>
      </c>
      <c r="T2523" t="str">
        <f t="shared" si="78"/>
        <v>Moderate</v>
      </c>
      <c r="U2523" t="str">
        <f t="shared" si="79"/>
        <v>Expert</v>
      </c>
    </row>
    <row r="2524" spans="1:21" x14ac:dyDescent="0.35">
      <c r="A2524" t="s">
        <v>2597</v>
      </c>
      <c r="B2524" t="s">
        <v>62</v>
      </c>
      <c r="C2524" t="s">
        <v>21</v>
      </c>
      <c r="D2524" t="s">
        <v>69</v>
      </c>
      <c r="E2524" t="s">
        <v>70</v>
      </c>
      <c r="F2524">
        <v>18</v>
      </c>
      <c r="G2524">
        <v>0.52</v>
      </c>
      <c r="H2524">
        <v>0.65</v>
      </c>
      <c r="I2524" t="s">
        <v>24</v>
      </c>
      <c r="J2524">
        <v>102165</v>
      </c>
      <c r="K2524" t="s">
        <v>25</v>
      </c>
      <c r="L2524">
        <v>-4</v>
      </c>
      <c r="M2524">
        <v>54</v>
      </c>
      <c r="N2524" t="s">
        <v>35</v>
      </c>
      <c r="O2524" t="s">
        <v>25</v>
      </c>
      <c r="P2524">
        <v>2.96</v>
      </c>
      <c r="Q2524" t="s">
        <v>34</v>
      </c>
      <c r="R2524">
        <v>2.25</v>
      </c>
      <c r="S2524" t="s">
        <v>47</v>
      </c>
      <c r="T2524" t="str">
        <f t="shared" si="78"/>
        <v>High</v>
      </c>
      <c r="U2524" t="str">
        <f t="shared" si="79"/>
        <v>Expert</v>
      </c>
    </row>
    <row r="2525" spans="1:21" x14ac:dyDescent="0.35">
      <c r="A2525" t="s">
        <v>2598</v>
      </c>
      <c r="B2525" t="s">
        <v>156</v>
      </c>
      <c r="C2525" t="s">
        <v>39</v>
      </c>
      <c r="D2525" t="s">
        <v>69</v>
      </c>
      <c r="E2525" t="s">
        <v>33</v>
      </c>
      <c r="F2525">
        <v>5</v>
      </c>
      <c r="G2525">
        <v>0.09</v>
      </c>
      <c r="H2525">
        <v>0.77</v>
      </c>
      <c r="I2525" t="s">
        <v>24</v>
      </c>
      <c r="J2525">
        <v>202052</v>
      </c>
      <c r="K2525" t="s">
        <v>27</v>
      </c>
      <c r="L2525">
        <v>13</v>
      </c>
      <c r="M2525">
        <v>53</v>
      </c>
      <c r="N2525" t="s">
        <v>35</v>
      </c>
      <c r="O2525" t="s">
        <v>27</v>
      </c>
      <c r="P2525">
        <v>2.98</v>
      </c>
      <c r="Q2525" t="s">
        <v>24</v>
      </c>
      <c r="R2525">
        <v>1.58</v>
      </c>
      <c r="S2525" t="s">
        <v>28</v>
      </c>
      <c r="T2525" t="str">
        <f t="shared" si="78"/>
        <v>Very High</v>
      </c>
      <c r="U2525" t="str">
        <f t="shared" si="79"/>
        <v>Intermediate</v>
      </c>
    </row>
    <row r="2526" spans="1:21" x14ac:dyDescent="0.35">
      <c r="A2526" t="s">
        <v>2599</v>
      </c>
      <c r="B2526" t="s">
        <v>91</v>
      </c>
      <c r="C2526" t="s">
        <v>39</v>
      </c>
      <c r="D2526" t="s">
        <v>22</v>
      </c>
      <c r="E2526" t="s">
        <v>23</v>
      </c>
      <c r="F2526">
        <v>2</v>
      </c>
      <c r="G2526">
        <v>0.13</v>
      </c>
      <c r="H2526">
        <v>0.75</v>
      </c>
      <c r="I2526" t="s">
        <v>60</v>
      </c>
      <c r="J2526">
        <v>46209</v>
      </c>
      <c r="K2526" t="s">
        <v>27</v>
      </c>
      <c r="L2526">
        <v>8</v>
      </c>
      <c r="M2526">
        <v>46</v>
      </c>
      <c r="N2526" t="s">
        <v>42</v>
      </c>
      <c r="O2526" t="s">
        <v>27</v>
      </c>
      <c r="P2526">
        <v>2.96</v>
      </c>
      <c r="Q2526" t="s">
        <v>34</v>
      </c>
      <c r="R2526">
        <v>2.23</v>
      </c>
      <c r="S2526" t="s">
        <v>47</v>
      </c>
      <c r="T2526" t="str">
        <f t="shared" si="78"/>
        <v>Very High</v>
      </c>
      <c r="U2526" t="str">
        <f t="shared" si="79"/>
        <v>Beginner</v>
      </c>
    </row>
    <row r="2527" spans="1:21" x14ac:dyDescent="0.35">
      <c r="A2527" t="s">
        <v>2600</v>
      </c>
      <c r="B2527" t="s">
        <v>89</v>
      </c>
      <c r="C2527" t="s">
        <v>107</v>
      </c>
      <c r="D2527" t="s">
        <v>66</v>
      </c>
      <c r="E2527" t="s">
        <v>41</v>
      </c>
      <c r="F2527">
        <v>20</v>
      </c>
      <c r="G2527">
        <v>0.75</v>
      </c>
      <c r="H2527">
        <v>0.84</v>
      </c>
      <c r="I2527" t="s">
        <v>34</v>
      </c>
      <c r="J2527">
        <v>148155</v>
      </c>
      <c r="K2527" t="s">
        <v>42</v>
      </c>
      <c r="L2527">
        <v>42</v>
      </c>
      <c r="M2527">
        <v>56</v>
      </c>
      <c r="N2527" t="s">
        <v>26</v>
      </c>
      <c r="O2527" t="s">
        <v>36</v>
      </c>
      <c r="P2527">
        <v>4.5999999999999996</v>
      </c>
      <c r="Q2527" t="s">
        <v>24</v>
      </c>
      <c r="R2527">
        <v>1.39</v>
      </c>
      <c r="S2527" t="s">
        <v>47</v>
      </c>
      <c r="T2527" t="str">
        <f t="shared" si="78"/>
        <v>High</v>
      </c>
      <c r="U2527" t="str">
        <f t="shared" si="79"/>
        <v>Expert</v>
      </c>
    </row>
    <row r="2528" spans="1:21" x14ac:dyDescent="0.35">
      <c r="A2528" t="s">
        <v>2601</v>
      </c>
      <c r="B2528" t="s">
        <v>94</v>
      </c>
      <c r="C2528" t="s">
        <v>39</v>
      </c>
      <c r="D2528" t="s">
        <v>75</v>
      </c>
      <c r="E2528" t="s">
        <v>70</v>
      </c>
      <c r="F2528">
        <v>14</v>
      </c>
      <c r="G2528">
        <v>0.76</v>
      </c>
      <c r="H2528">
        <v>0.9</v>
      </c>
      <c r="I2528" t="s">
        <v>60</v>
      </c>
      <c r="J2528">
        <v>215018</v>
      </c>
      <c r="K2528" t="s">
        <v>42</v>
      </c>
      <c r="L2528">
        <v>19</v>
      </c>
      <c r="M2528">
        <v>52</v>
      </c>
      <c r="N2528" t="s">
        <v>26</v>
      </c>
      <c r="O2528" t="s">
        <v>36</v>
      </c>
      <c r="P2528">
        <v>3.21</v>
      </c>
      <c r="Q2528" t="s">
        <v>24</v>
      </c>
      <c r="R2528">
        <v>2.81</v>
      </c>
      <c r="S2528" t="s">
        <v>47</v>
      </c>
      <c r="T2528" t="str">
        <f t="shared" si="78"/>
        <v>High</v>
      </c>
      <c r="U2528" t="str">
        <f t="shared" si="79"/>
        <v>Experienced</v>
      </c>
    </row>
    <row r="2529" spans="1:21" x14ac:dyDescent="0.35">
      <c r="A2529" t="s">
        <v>2602</v>
      </c>
      <c r="B2529" t="s">
        <v>96</v>
      </c>
      <c r="C2529" t="s">
        <v>46</v>
      </c>
      <c r="D2529" t="s">
        <v>63</v>
      </c>
      <c r="E2529" t="s">
        <v>41</v>
      </c>
      <c r="F2529">
        <v>16</v>
      </c>
      <c r="G2529">
        <v>0.94</v>
      </c>
      <c r="H2529">
        <v>0.54</v>
      </c>
      <c r="I2529" t="s">
        <v>34</v>
      </c>
      <c r="J2529">
        <v>41694</v>
      </c>
      <c r="K2529" t="s">
        <v>27</v>
      </c>
      <c r="L2529">
        <v>-1</v>
      </c>
      <c r="M2529">
        <v>43</v>
      </c>
      <c r="N2529" t="s">
        <v>35</v>
      </c>
      <c r="O2529" t="s">
        <v>25</v>
      </c>
      <c r="P2529">
        <v>3.26</v>
      </c>
      <c r="Q2529" t="s">
        <v>34</v>
      </c>
      <c r="R2529">
        <v>2.4900000000000002</v>
      </c>
      <c r="S2529" t="s">
        <v>28</v>
      </c>
      <c r="T2529" t="str">
        <f t="shared" si="78"/>
        <v>Moderate</v>
      </c>
      <c r="U2529" t="str">
        <f t="shared" si="79"/>
        <v>Expert</v>
      </c>
    </row>
    <row r="2530" spans="1:21" x14ac:dyDescent="0.35">
      <c r="A2530" t="s">
        <v>2603</v>
      </c>
      <c r="B2530" t="s">
        <v>54</v>
      </c>
      <c r="C2530" t="s">
        <v>21</v>
      </c>
      <c r="D2530" t="s">
        <v>32</v>
      </c>
      <c r="E2530" t="s">
        <v>70</v>
      </c>
      <c r="F2530">
        <v>0</v>
      </c>
      <c r="G2530">
        <v>0.28999999999999998</v>
      </c>
      <c r="H2530">
        <v>0.28000000000000003</v>
      </c>
      <c r="I2530" t="s">
        <v>60</v>
      </c>
      <c r="J2530">
        <v>215896</v>
      </c>
      <c r="K2530" t="s">
        <v>42</v>
      </c>
      <c r="L2530">
        <v>2</v>
      </c>
      <c r="M2530">
        <v>48</v>
      </c>
      <c r="N2530" t="s">
        <v>42</v>
      </c>
      <c r="O2530" t="s">
        <v>27</v>
      </c>
      <c r="P2530">
        <v>2.85</v>
      </c>
      <c r="Q2530" t="s">
        <v>24</v>
      </c>
      <c r="R2530">
        <v>2.27</v>
      </c>
      <c r="S2530" t="s">
        <v>43</v>
      </c>
      <c r="T2530" t="str">
        <f t="shared" si="78"/>
        <v>Moderate</v>
      </c>
      <c r="U2530" t="str">
        <f t="shared" si="79"/>
        <v>Beginner</v>
      </c>
    </row>
    <row r="2531" spans="1:21" x14ac:dyDescent="0.35">
      <c r="A2531" t="s">
        <v>2604</v>
      </c>
      <c r="B2531" t="s">
        <v>65</v>
      </c>
      <c r="C2531" t="s">
        <v>107</v>
      </c>
      <c r="D2531" t="s">
        <v>40</v>
      </c>
      <c r="E2531" t="s">
        <v>23</v>
      </c>
      <c r="F2531">
        <v>20</v>
      </c>
      <c r="G2531">
        <v>0.55000000000000004</v>
      </c>
      <c r="H2531">
        <v>0.74</v>
      </c>
      <c r="I2531" t="s">
        <v>24</v>
      </c>
      <c r="J2531">
        <v>32026</v>
      </c>
      <c r="K2531" t="s">
        <v>27</v>
      </c>
      <c r="L2531">
        <v>25</v>
      </c>
      <c r="M2531">
        <v>33</v>
      </c>
      <c r="N2531" t="s">
        <v>26</v>
      </c>
      <c r="O2531" t="s">
        <v>25</v>
      </c>
      <c r="P2531">
        <v>4.13</v>
      </c>
      <c r="Q2531" t="s">
        <v>24</v>
      </c>
      <c r="R2531">
        <v>2.91</v>
      </c>
      <c r="S2531" t="s">
        <v>28</v>
      </c>
      <c r="T2531" t="str">
        <f t="shared" si="78"/>
        <v>High</v>
      </c>
      <c r="U2531" t="str">
        <f t="shared" si="79"/>
        <v>Expert</v>
      </c>
    </row>
    <row r="2532" spans="1:21" x14ac:dyDescent="0.35">
      <c r="A2532" t="s">
        <v>2605</v>
      </c>
      <c r="B2532" t="s">
        <v>106</v>
      </c>
      <c r="C2532" t="s">
        <v>21</v>
      </c>
      <c r="D2532" t="s">
        <v>69</v>
      </c>
      <c r="E2532" t="s">
        <v>70</v>
      </c>
      <c r="F2532">
        <v>0</v>
      </c>
      <c r="G2532">
        <v>0.91</v>
      </c>
      <c r="H2532">
        <v>0.62</v>
      </c>
      <c r="I2532" t="s">
        <v>24</v>
      </c>
      <c r="J2532">
        <v>188317</v>
      </c>
      <c r="K2532" t="s">
        <v>27</v>
      </c>
      <c r="L2532">
        <v>-6</v>
      </c>
      <c r="M2532">
        <v>44</v>
      </c>
      <c r="N2532" t="s">
        <v>26</v>
      </c>
      <c r="O2532" t="s">
        <v>36</v>
      </c>
      <c r="P2532">
        <v>3.37</v>
      </c>
      <c r="Q2532" t="s">
        <v>24</v>
      </c>
      <c r="R2532">
        <v>1.41</v>
      </c>
      <c r="S2532" t="s">
        <v>47</v>
      </c>
      <c r="T2532" t="str">
        <f t="shared" si="78"/>
        <v>Moderate</v>
      </c>
      <c r="U2532" t="str">
        <f t="shared" si="79"/>
        <v>Beginner</v>
      </c>
    </row>
    <row r="2533" spans="1:21" x14ac:dyDescent="0.35">
      <c r="A2533" t="s">
        <v>2606</v>
      </c>
      <c r="B2533" t="s">
        <v>106</v>
      </c>
      <c r="C2533" t="s">
        <v>55</v>
      </c>
      <c r="D2533" t="s">
        <v>22</v>
      </c>
      <c r="E2533" t="s">
        <v>33</v>
      </c>
      <c r="F2533">
        <v>5</v>
      </c>
      <c r="G2533">
        <v>0.33</v>
      </c>
      <c r="H2533">
        <v>0.82</v>
      </c>
      <c r="I2533" t="s">
        <v>60</v>
      </c>
      <c r="J2533">
        <v>117501</v>
      </c>
      <c r="K2533" t="s">
        <v>25</v>
      </c>
      <c r="L2533">
        <v>40</v>
      </c>
      <c r="M2533">
        <v>56</v>
      </c>
      <c r="N2533" t="s">
        <v>42</v>
      </c>
      <c r="O2533" t="s">
        <v>36</v>
      </c>
      <c r="P2533">
        <v>3.01</v>
      </c>
      <c r="Q2533" t="s">
        <v>24</v>
      </c>
      <c r="R2533">
        <v>2.95</v>
      </c>
      <c r="S2533" t="s">
        <v>43</v>
      </c>
      <c r="T2533" t="str">
        <f t="shared" si="78"/>
        <v>Very High</v>
      </c>
      <c r="U2533" t="str">
        <f t="shared" si="79"/>
        <v>Intermediate</v>
      </c>
    </row>
    <row r="2534" spans="1:21" x14ac:dyDescent="0.35">
      <c r="A2534" t="s">
        <v>2607</v>
      </c>
      <c r="B2534" t="s">
        <v>38</v>
      </c>
      <c r="C2534" t="s">
        <v>39</v>
      </c>
      <c r="D2534" t="s">
        <v>40</v>
      </c>
      <c r="E2534" t="s">
        <v>33</v>
      </c>
      <c r="F2534">
        <v>10</v>
      </c>
      <c r="G2534">
        <v>0.6</v>
      </c>
      <c r="H2534">
        <v>0.84</v>
      </c>
      <c r="I2534" t="s">
        <v>24</v>
      </c>
      <c r="J2534">
        <v>105928</v>
      </c>
      <c r="K2534" t="s">
        <v>27</v>
      </c>
      <c r="L2534">
        <v>40</v>
      </c>
      <c r="M2534">
        <v>53</v>
      </c>
      <c r="N2534" t="s">
        <v>42</v>
      </c>
      <c r="O2534" t="s">
        <v>27</v>
      </c>
      <c r="P2534">
        <v>4.8499999999999996</v>
      </c>
      <c r="Q2534" t="s">
        <v>24</v>
      </c>
      <c r="R2534">
        <v>4.13</v>
      </c>
      <c r="S2534" t="s">
        <v>43</v>
      </c>
      <c r="T2534" t="str">
        <f t="shared" si="78"/>
        <v>High</v>
      </c>
      <c r="U2534" t="str">
        <f t="shared" si="79"/>
        <v>Experienced</v>
      </c>
    </row>
    <row r="2535" spans="1:21" x14ac:dyDescent="0.35">
      <c r="A2535" t="s">
        <v>2608</v>
      </c>
      <c r="B2535" t="s">
        <v>30</v>
      </c>
      <c r="C2535" t="s">
        <v>52</v>
      </c>
      <c r="D2535" t="s">
        <v>69</v>
      </c>
      <c r="E2535" t="s">
        <v>70</v>
      </c>
      <c r="F2535">
        <v>3</v>
      </c>
      <c r="G2535">
        <v>0.11</v>
      </c>
      <c r="H2535">
        <v>0.88</v>
      </c>
      <c r="I2535" t="s">
        <v>34</v>
      </c>
      <c r="J2535">
        <v>63433</v>
      </c>
      <c r="K2535" t="s">
        <v>25</v>
      </c>
      <c r="L2535">
        <v>28</v>
      </c>
      <c r="M2535">
        <v>33</v>
      </c>
      <c r="N2535" t="s">
        <v>42</v>
      </c>
      <c r="O2535" t="s">
        <v>25</v>
      </c>
      <c r="P2535">
        <v>3.41</v>
      </c>
      <c r="Q2535" t="s">
        <v>34</v>
      </c>
      <c r="R2535">
        <v>2.0099999999999998</v>
      </c>
      <c r="S2535" t="s">
        <v>28</v>
      </c>
      <c r="T2535" t="str">
        <f t="shared" si="78"/>
        <v>Very High</v>
      </c>
      <c r="U2535" t="str">
        <f t="shared" si="79"/>
        <v>Intermediate</v>
      </c>
    </row>
    <row r="2536" spans="1:21" x14ac:dyDescent="0.35">
      <c r="A2536" t="s">
        <v>2609</v>
      </c>
      <c r="B2536" t="s">
        <v>68</v>
      </c>
      <c r="C2536" t="s">
        <v>39</v>
      </c>
      <c r="D2536" t="s">
        <v>63</v>
      </c>
      <c r="E2536" t="s">
        <v>41</v>
      </c>
      <c r="F2536">
        <v>6</v>
      </c>
      <c r="G2536">
        <v>0.71</v>
      </c>
      <c r="H2536">
        <v>0.95</v>
      </c>
      <c r="I2536" t="s">
        <v>24</v>
      </c>
      <c r="J2536">
        <v>105320</v>
      </c>
      <c r="K2536" t="s">
        <v>42</v>
      </c>
      <c r="L2536">
        <v>15</v>
      </c>
      <c r="M2536">
        <v>30</v>
      </c>
      <c r="N2536" t="s">
        <v>26</v>
      </c>
      <c r="O2536" t="s">
        <v>36</v>
      </c>
      <c r="P2536">
        <v>2.93</v>
      </c>
      <c r="Q2536" t="s">
        <v>34</v>
      </c>
      <c r="R2536">
        <v>4.38</v>
      </c>
      <c r="S2536" t="s">
        <v>28</v>
      </c>
      <c r="T2536" t="str">
        <f t="shared" si="78"/>
        <v>High</v>
      </c>
      <c r="U2536" t="str">
        <f t="shared" si="79"/>
        <v>Intermediate</v>
      </c>
    </row>
    <row r="2537" spans="1:21" x14ac:dyDescent="0.35">
      <c r="A2537" t="s">
        <v>2610</v>
      </c>
      <c r="B2537" t="s">
        <v>54</v>
      </c>
      <c r="C2537" t="s">
        <v>55</v>
      </c>
      <c r="D2537" t="s">
        <v>32</v>
      </c>
      <c r="E2537" t="s">
        <v>41</v>
      </c>
      <c r="F2537">
        <v>16</v>
      </c>
      <c r="G2537">
        <v>0.44</v>
      </c>
      <c r="H2537">
        <v>0.45</v>
      </c>
      <c r="I2537" t="s">
        <v>34</v>
      </c>
      <c r="J2537">
        <v>215823</v>
      </c>
      <c r="K2537" t="s">
        <v>25</v>
      </c>
      <c r="L2537">
        <v>29</v>
      </c>
      <c r="M2537">
        <v>47</v>
      </c>
      <c r="N2537" t="s">
        <v>26</v>
      </c>
      <c r="O2537" t="s">
        <v>25</v>
      </c>
      <c r="P2537">
        <v>2.3199999999999998</v>
      </c>
      <c r="Q2537" t="s">
        <v>24</v>
      </c>
      <c r="R2537">
        <v>4.58</v>
      </c>
      <c r="S2537" t="s">
        <v>43</v>
      </c>
      <c r="T2537" t="str">
        <f t="shared" si="78"/>
        <v>High</v>
      </c>
      <c r="U2537" t="str">
        <f t="shared" si="79"/>
        <v>Expert</v>
      </c>
    </row>
    <row r="2538" spans="1:21" x14ac:dyDescent="0.35">
      <c r="A2538" t="s">
        <v>2611</v>
      </c>
      <c r="B2538" t="s">
        <v>45</v>
      </c>
      <c r="C2538" t="s">
        <v>39</v>
      </c>
      <c r="D2538" t="s">
        <v>66</v>
      </c>
      <c r="E2538" t="s">
        <v>23</v>
      </c>
      <c r="F2538">
        <v>11</v>
      </c>
      <c r="G2538">
        <v>0.1</v>
      </c>
      <c r="H2538">
        <v>0.81</v>
      </c>
      <c r="I2538" t="s">
        <v>24</v>
      </c>
      <c r="J2538">
        <v>119244</v>
      </c>
      <c r="K2538" t="s">
        <v>27</v>
      </c>
      <c r="L2538">
        <v>35</v>
      </c>
      <c r="M2538">
        <v>51</v>
      </c>
      <c r="N2538" t="s">
        <v>42</v>
      </c>
      <c r="O2538" t="s">
        <v>36</v>
      </c>
      <c r="P2538">
        <v>4.08</v>
      </c>
      <c r="Q2538" t="s">
        <v>34</v>
      </c>
      <c r="R2538">
        <v>3.76</v>
      </c>
      <c r="S2538" t="s">
        <v>47</v>
      </c>
      <c r="T2538" t="str">
        <f t="shared" si="78"/>
        <v>Very High</v>
      </c>
      <c r="U2538" t="str">
        <f t="shared" si="79"/>
        <v>Experienced</v>
      </c>
    </row>
    <row r="2539" spans="1:21" x14ac:dyDescent="0.35">
      <c r="A2539" t="s">
        <v>2612</v>
      </c>
      <c r="B2539" t="s">
        <v>57</v>
      </c>
      <c r="C2539" t="s">
        <v>55</v>
      </c>
      <c r="D2539" t="s">
        <v>59</v>
      </c>
      <c r="E2539" t="s">
        <v>70</v>
      </c>
      <c r="F2539">
        <v>2</v>
      </c>
      <c r="G2539">
        <v>0.26</v>
      </c>
      <c r="H2539">
        <v>0.27</v>
      </c>
      <c r="I2539" t="s">
        <v>24</v>
      </c>
      <c r="J2539">
        <v>118988</v>
      </c>
      <c r="K2539" t="s">
        <v>42</v>
      </c>
      <c r="L2539">
        <v>13</v>
      </c>
      <c r="M2539">
        <v>54</v>
      </c>
      <c r="N2539" t="s">
        <v>42</v>
      </c>
      <c r="O2539" t="s">
        <v>25</v>
      </c>
      <c r="P2539">
        <v>3.83</v>
      </c>
      <c r="Q2539" t="s">
        <v>34</v>
      </c>
      <c r="R2539">
        <v>2.69</v>
      </c>
      <c r="S2539" t="s">
        <v>43</v>
      </c>
      <c r="T2539" t="str">
        <f t="shared" si="78"/>
        <v>High</v>
      </c>
      <c r="U2539" t="str">
        <f t="shared" si="79"/>
        <v>Beginner</v>
      </c>
    </row>
    <row r="2540" spans="1:21" x14ac:dyDescent="0.35">
      <c r="A2540" t="s">
        <v>2613</v>
      </c>
      <c r="B2540" t="s">
        <v>77</v>
      </c>
      <c r="C2540" t="s">
        <v>39</v>
      </c>
      <c r="D2540" t="s">
        <v>59</v>
      </c>
      <c r="E2540" t="s">
        <v>23</v>
      </c>
      <c r="F2540">
        <v>14</v>
      </c>
      <c r="G2540">
        <v>0.79</v>
      </c>
      <c r="H2540">
        <v>0.7</v>
      </c>
      <c r="I2540" t="s">
        <v>60</v>
      </c>
      <c r="J2540">
        <v>91947</v>
      </c>
      <c r="K2540" t="s">
        <v>42</v>
      </c>
      <c r="L2540">
        <v>19</v>
      </c>
      <c r="M2540">
        <v>38</v>
      </c>
      <c r="N2540" t="s">
        <v>42</v>
      </c>
      <c r="O2540" t="s">
        <v>25</v>
      </c>
      <c r="P2540">
        <v>2.1</v>
      </c>
      <c r="Q2540" t="s">
        <v>34</v>
      </c>
      <c r="R2540">
        <v>1.81</v>
      </c>
      <c r="S2540" t="s">
        <v>43</v>
      </c>
      <c r="T2540" t="str">
        <f t="shared" si="78"/>
        <v>Moderate</v>
      </c>
      <c r="U2540" t="str">
        <f t="shared" si="79"/>
        <v>Experienced</v>
      </c>
    </row>
    <row r="2541" spans="1:21" x14ac:dyDescent="0.35">
      <c r="A2541" t="s">
        <v>2614</v>
      </c>
      <c r="B2541" t="s">
        <v>102</v>
      </c>
      <c r="C2541" t="s">
        <v>31</v>
      </c>
      <c r="D2541" t="s">
        <v>75</v>
      </c>
      <c r="E2541" t="s">
        <v>33</v>
      </c>
      <c r="F2541">
        <v>10</v>
      </c>
      <c r="G2541">
        <v>0.94</v>
      </c>
      <c r="H2541">
        <v>0.24</v>
      </c>
      <c r="I2541" t="s">
        <v>60</v>
      </c>
      <c r="J2541">
        <v>33209</v>
      </c>
      <c r="K2541" t="s">
        <v>27</v>
      </c>
      <c r="L2541">
        <v>1</v>
      </c>
      <c r="M2541">
        <v>45</v>
      </c>
      <c r="N2541" t="s">
        <v>26</v>
      </c>
      <c r="O2541" t="s">
        <v>27</v>
      </c>
      <c r="P2541">
        <v>2.34</v>
      </c>
      <c r="Q2541" t="s">
        <v>34</v>
      </c>
      <c r="R2541">
        <v>1.79</v>
      </c>
      <c r="S2541" t="s">
        <v>28</v>
      </c>
      <c r="T2541" t="str">
        <f t="shared" si="78"/>
        <v>Very Low</v>
      </c>
      <c r="U2541" t="str">
        <f t="shared" si="79"/>
        <v>Experienced</v>
      </c>
    </row>
    <row r="2542" spans="1:21" x14ac:dyDescent="0.35">
      <c r="A2542" t="s">
        <v>2615</v>
      </c>
      <c r="B2542" t="s">
        <v>94</v>
      </c>
      <c r="C2542" t="s">
        <v>74</v>
      </c>
      <c r="D2542" t="s">
        <v>40</v>
      </c>
      <c r="E2542" t="s">
        <v>70</v>
      </c>
      <c r="F2542">
        <v>15</v>
      </c>
      <c r="G2542">
        <v>0.06</v>
      </c>
      <c r="H2542">
        <v>0.51</v>
      </c>
      <c r="I2542" t="s">
        <v>60</v>
      </c>
      <c r="J2542">
        <v>103777</v>
      </c>
      <c r="K2542" t="s">
        <v>27</v>
      </c>
      <c r="L2542">
        <v>21</v>
      </c>
      <c r="M2542">
        <v>52</v>
      </c>
      <c r="N2542" t="s">
        <v>26</v>
      </c>
      <c r="O2542" t="s">
        <v>27</v>
      </c>
      <c r="P2542">
        <v>3.4</v>
      </c>
      <c r="Q2542" t="s">
        <v>34</v>
      </c>
      <c r="R2542">
        <v>2.4</v>
      </c>
      <c r="S2542" t="s">
        <v>28</v>
      </c>
      <c r="T2542" t="str">
        <f t="shared" si="78"/>
        <v>High</v>
      </c>
      <c r="U2542" t="str">
        <f t="shared" si="79"/>
        <v>Experienced</v>
      </c>
    </row>
    <row r="2543" spans="1:21" x14ac:dyDescent="0.35">
      <c r="A2543" t="s">
        <v>2616</v>
      </c>
      <c r="B2543" t="s">
        <v>62</v>
      </c>
      <c r="C2543" t="s">
        <v>52</v>
      </c>
      <c r="D2543" t="s">
        <v>40</v>
      </c>
      <c r="E2543" t="s">
        <v>41</v>
      </c>
      <c r="F2543">
        <v>12</v>
      </c>
      <c r="G2543">
        <v>0.84</v>
      </c>
      <c r="H2543">
        <v>0.27</v>
      </c>
      <c r="I2543" t="s">
        <v>60</v>
      </c>
      <c r="J2543">
        <v>187710</v>
      </c>
      <c r="K2543" t="s">
        <v>27</v>
      </c>
      <c r="L2543">
        <v>1</v>
      </c>
      <c r="M2543">
        <v>55</v>
      </c>
      <c r="N2543" t="s">
        <v>35</v>
      </c>
      <c r="O2543" t="s">
        <v>27</v>
      </c>
      <c r="P2543">
        <v>4.1500000000000004</v>
      </c>
      <c r="Q2543" t="s">
        <v>34</v>
      </c>
      <c r="R2543">
        <v>1.39</v>
      </c>
      <c r="S2543" t="s">
        <v>28</v>
      </c>
      <c r="T2543" t="str">
        <f t="shared" si="78"/>
        <v>Very Low</v>
      </c>
      <c r="U2543" t="str">
        <f t="shared" si="79"/>
        <v>Experienced</v>
      </c>
    </row>
    <row r="2544" spans="1:21" x14ac:dyDescent="0.35">
      <c r="A2544" t="s">
        <v>2617</v>
      </c>
      <c r="B2544" t="s">
        <v>77</v>
      </c>
      <c r="C2544" t="s">
        <v>46</v>
      </c>
      <c r="D2544" t="s">
        <v>80</v>
      </c>
      <c r="E2544" t="s">
        <v>70</v>
      </c>
      <c r="F2544">
        <v>4</v>
      </c>
      <c r="G2544">
        <v>0.52</v>
      </c>
      <c r="H2544">
        <v>0.54</v>
      </c>
      <c r="I2544" t="s">
        <v>24</v>
      </c>
      <c r="J2544">
        <v>203088</v>
      </c>
      <c r="K2544" t="s">
        <v>25</v>
      </c>
      <c r="L2544">
        <v>4</v>
      </c>
      <c r="M2544">
        <v>35</v>
      </c>
      <c r="N2544" t="s">
        <v>42</v>
      </c>
      <c r="O2544" t="s">
        <v>36</v>
      </c>
      <c r="P2544">
        <v>2.1800000000000002</v>
      </c>
      <c r="Q2544" t="s">
        <v>24</v>
      </c>
      <c r="R2544">
        <v>4.9800000000000004</v>
      </c>
      <c r="S2544" t="s">
        <v>43</v>
      </c>
      <c r="T2544" t="str">
        <f t="shared" si="78"/>
        <v>High</v>
      </c>
      <c r="U2544" t="str">
        <f t="shared" si="79"/>
        <v>Intermediate</v>
      </c>
    </row>
    <row r="2545" spans="1:21" x14ac:dyDescent="0.35">
      <c r="A2545" t="s">
        <v>2618</v>
      </c>
      <c r="B2545" t="s">
        <v>94</v>
      </c>
      <c r="C2545" t="s">
        <v>74</v>
      </c>
      <c r="D2545" t="s">
        <v>40</v>
      </c>
      <c r="E2545" t="s">
        <v>33</v>
      </c>
      <c r="F2545">
        <v>6</v>
      </c>
      <c r="G2545">
        <v>0.73</v>
      </c>
      <c r="H2545">
        <v>0.23</v>
      </c>
      <c r="I2545" t="s">
        <v>34</v>
      </c>
      <c r="J2545">
        <v>146124</v>
      </c>
      <c r="K2545" t="s">
        <v>25</v>
      </c>
      <c r="L2545">
        <v>43</v>
      </c>
      <c r="M2545">
        <v>48</v>
      </c>
      <c r="N2545" t="s">
        <v>42</v>
      </c>
      <c r="O2545" t="s">
        <v>27</v>
      </c>
      <c r="P2545">
        <v>3.12</v>
      </c>
      <c r="Q2545" t="s">
        <v>34</v>
      </c>
      <c r="R2545">
        <v>1.21</v>
      </c>
      <c r="S2545" t="s">
        <v>28</v>
      </c>
      <c r="T2545" t="str">
        <f t="shared" si="78"/>
        <v>Very Low</v>
      </c>
      <c r="U2545" t="str">
        <f t="shared" si="79"/>
        <v>Intermediate</v>
      </c>
    </row>
    <row r="2546" spans="1:21" x14ac:dyDescent="0.35">
      <c r="A2546" t="s">
        <v>2619</v>
      </c>
      <c r="B2546" t="s">
        <v>89</v>
      </c>
      <c r="C2546" t="s">
        <v>58</v>
      </c>
      <c r="D2546" t="s">
        <v>66</v>
      </c>
      <c r="E2546" t="s">
        <v>70</v>
      </c>
      <c r="F2546">
        <v>6</v>
      </c>
      <c r="G2546">
        <v>0.56000000000000005</v>
      </c>
      <c r="H2546">
        <v>0.8</v>
      </c>
      <c r="I2546" t="s">
        <v>60</v>
      </c>
      <c r="J2546">
        <v>184819</v>
      </c>
      <c r="K2546" t="s">
        <v>42</v>
      </c>
      <c r="L2546">
        <v>24</v>
      </c>
      <c r="M2546">
        <v>44</v>
      </c>
      <c r="N2546" t="s">
        <v>42</v>
      </c>
      <c r="O2546" t="s">
        <v>25</v>
      </c>
      <c r="P2546">
        <v>2.4300000000000002</v>
      </c>
      <c r="Q2546" t="s">
        <v>34</v>
      </c>
      <c r="R2546">
        <v>2.64</v>
      </c>
      <c r="S2546" t="s">
        <v>43</v>
      </c>
      <c r="T2546" t="str">
        <f t="shared" si="78"/>
        <v>High</v>
      </c>
      <c r="U2546" t="str">
        <f t="shared" si="79"/>
        <v>Intermediate</v>
      </c>
    </row>
    <row r="2547" spans="1:21" x14ac:dyDescent="0.35">
      <c r="A2547" t="s">
        <v>2620</v>
      </c>
      <c r="B2547" t="s">
        <v>54</v>
      </c>
      <c r="C2547" t="s">
        <v>39</v>
      </c>
      <c r="D2547" t="s">
        <v>40</v>
      </c>
      <c r="E2547" t="s">
        <v>70</v>
      </c>
      <c r="F2547">
        <v>23</v>
      </c>
      <c r="G2547">
        <v>0.62</v>
      </c>
      <c r="H2547">
        <v>0.52</v>
      </c>
      <c r="I2547" t="s">
        <v>24</v>
      </c>
      <c r="J2547">
        <v>47890</v>
      </c>
      <c r="K2547" t="s">
        <v>27</v>
      </c>
      <c r="L2547">
        <v>22</v>
      </c>
      <c r="M2547">
        <v>50</v>
      </c>
      <c r="N2547" t="s">
        <v>35</v>
      </c>
      <c r="O2547" t="s">
        <v>27</v>
      </c>
      <c r="P2547">
        <v>4.6399999999999997</v>
      </c>
      <c r="Q2547" t="s">
        <v>34</v>
      </c>
      <c r="R2547">
        <v>1.98</v>
      </c>
      <c r="S2547" t="s">
        <v>47</v>
      </c>
      <c r="T2547" t="str">
        <f t="shared" si="78"/>
        <v>Moderate</v>
      </c>
      <c r="U2547" t="str">
        <f t="shared" si="79"/>
        <v>Expert</v>
      </c>
    </row>
    <row r="2548" spans="1:21" x14ac:dyDescent="0.35">
      <c r="A2548" t="s">
        <v>2621</v>
      </c>
      <c r="B2548" t="s">
        <v>51</v>
      </c>
      <c r="C2548" t="s">
        <v>31</v>
      </c>
      <c r="D2548" t="s">
        <v>40</v>
      </c>
      <c r="E2548" t="s">
        <v>23</v>
      </c>
      <c r="F2548">
        <v>1</v>
      </c>
      <c r="G2548">
        <v>0.88</v>
      </c>
      <c r="H2548">
        <v>0.45</v>
      </c>
      <c r="I2548" t="s">
        <v>24</v>
      </c>
      <c r="J2548">
        <v>37742</v>
      </c>
      <c r="K2548" t="s">
        <v>42</v>
      </c>
      <c r="L2548">
        <v>35</v>
      </c>
      <c r="M2548">
        <v>38</v>
      </c>
      <c r="N2548" t="s">
        <v>35</v>
      </c>
      <c r="O2548" t="s">
        <v>25</v>
      </c>
      <c r="P2548">
        <v>4.3899999999999997</v>
      </c>
      <c r="Q2548" t="s">
        <v>24</v>
      </c>
      <c r="R2548">
        <v>1.87</v>
      </c>
      <c r="S2548" t="s">
        <v>47</v>
      </c>
      <c r="T2548" t="str">
        <f t="shared" si="78"/>
        <v>Very Low</v>
      </c>
      <c r="U2548" t="str">
        <f t="shared" si="79"/>
        <v>Beginner</v>
      </c>
    </row>
    <row r="2549" spans="1:21" x14ac:dyDescent="0.35">
      <c r="A2549" t="s">
        <v>2622</v>
      </c>
      <c r="B2549" t="s">
        <v>89</v>
      </c>
      <c r="C2549" t="s">
        <v>52</v>
      </c>
      <c r="D2549" t="s">
        <v>32</v>
      </c>
      <c r="E2549" t="s">
        <v>41</v>
      </c>
      <c r="F2549">
        <v>24</v>
      </c>
      <c r="G2549">
        <v>0.45</v>
      </c>
      <c r="H2549">
        <v>0.83</v>
      </c>
      <c r="I2549" t="s">
        <v>34</v>
      </c>
      <c r="J2549">
        <v>180036</v>
      </c>
      <c r="K2549" t="s">
        <v>42</v>
      </c>
      <c r="L2549">
        <v>28</v>
      </c>
      <c r="M2549">
        <v>57</v>
      </c>
      <c r="N2549" t="s">
        <v>26</v>
      </c>
      <c r="O2549" t="s">
        <v>27</v>
      </c>
      <c r="P2549">
        <v>4.18</v>
      </c>
      <c r="Q2549" t="s">
        <v>34</v>
      </c>
      <c r="R2549">
        <v>3.91</v>
      </c>
      <c r="S2549" t="s">
        <v>28</v>
      </c>
      <c r="T2549" t="str">
        <f t="shared" si="78"/>
        <v>High</v>
      </c>
      <c r="U2549" t="str">
        <f t="shared" si="79"/>
        <v>Expert</v>
      </c>
    </row>
    <row r="2550" spans="1:21" x14ac:dyDescent="0.35">
      <c r="A2550" t="s">
        <v>2623</v>
      </c>
      <c r="B2550" t="s">
        <v>106</v>
      </c>
      <c r="C2550" t="s">
        <v>21</v>
      </c>
      <c r="D2550" t="s">
        <v>63</v>
      </c>
      <c r="E2550" t="s">
        <v>41</v>
      </c>
      <c r="F2550">
        <v>15</v>
      </c>
      <c r="G2550">
        <v>0.17</v>
      </c>
      <c r="H2550">
        <v>0.9</v>
      </c>
      <c r="I2550" t="s">
        <v>34</v>
      </c>
      <c r="J2550">
        <v>172077</v>
      </c>
      <c r="K2550" t="s">
        <v>25</v>
      </c>
      <c r="L2550">
        <v>36</v>
      </c>
      <c r="M2550">
        <v>59</v>
      </c>
      <c r="N2550" t="s">
        <v>42</v>
      </c>
      <c r="O2550" t="s">
        <v>27</v>
      </c>
      <c r="P2550">
        <v>3.7</v>
      </c>
      <c r="Q2550" t="s">
        <v>24</v>
      </c>
      <c r="R2550">
        <v>1.32</v>
      </c>
      <c r="S2550" t="s">
        <v>47</v>
      </c>
      <c r="T2550" t="str">
        <f t="shared" si="78"/>
        <v>Very High</v>
      </c>
      <c r="U2550" t="str">
        <f t="shared" si="79"/>
        <v>Experienced</v>
      </c>
    </row>
    <row r="2551" spans="1:21" x14ac:dyDescent="0.35">
      <c r="A2551" t="s">
        <v>2624</v>
      </c>
      <c r="B2551" t="s">
        <v>30</v>
      </c>
      <c r="C2551" t="s">
        <v>21</v>
      </c>
      <c r="D2551" t="s">
        <v>22</v>
      </c>
      <c r="E2551" t="s">
        <v>23</v>
      </c>
      <c r="F2551">
        <v>12</v>
      </c>
      <c r="G2551">
        <v>0.61</v>
      </c>
      <c r="H2551">
        <v>0.53</v>
      </c>
      <c r="I2551" t="s">
        <v>24</v>
      </c>
      <c r="J2551">
        <v>198787</v>
      </c>
      <c r="K2551" t="s">
        <v>42</v>
      </c>
      <c r="L2551">
        <v>-5</v>
      </c>
      <c r="M2551">
        <v>38</v>
      </c>
      <c r="N2551" t="s">
        <v>42</v>
      </c>
      <c r="O2551" t="s">
        <v>36</v>
      </c>
      <c r="P2551">
        <v>2.15</v>
      </c>
      <c r="Q2551" t="s">
        <v>34</v>
      </c>
      <c r="R2551">
        <v>2.27</v>
      </c>
      <c r="S2551" t="s">
        <v>28</v>
      </c>
      <c r="T2551" t="str">
        <f t="shared" si="78"/>
        <v>Moderate</v>
      </c>
      <c r="U2551" t="str">
        <f t="shared" si="79"/>
        <v>Experienced</v>
      </c>
    </row>
    <row r="2552" spans="1:21" x14ac:dyDescent="0.35">
      <c r="A2552" t="s">
        <v>2625</v>
      </c>
      <c r="B2552" t="s">
        <v>91</v>
      </c>
      <c r="C2552" t="s">
        <v>21</v>
      </c>
      <c r="D2552" t="s">
        <v>49</v>
      </c>
      <c r="E2552" t="s">
        <v>41</v>
      </c>
      <c r="F2552">
        <v>5</v>
      </c>
      <c r="G2552">
        <v>0.45</v>
      </c>
      <c r="H2552">
        <v>0.49</v>
      </c>
      <c r="I2552" t="s">
        <v>24</v>
      </c>
      <c r="J2552">
        <v>147586</v>
      </c>
      <c r="K2552" t="s">
        <v>27</v>
      </c>
      <c r="L2552">
        <v>27</v>
      </c>
      <c r="M2552">
        <v>48</v>
      </c>
      <c r="N2552" t="s">
        <v>35</v>
      </c>
      <c r="O2552" t="s">
        <v>27</v>
      </c>
      <c r="P2552">
        <v>3.97</v>
      </c>
      <c r="Q2552" t="s">
        <v>24</v>
      </c>
      <c r="R2552">
        <v>2.97</v>
      </c>
      <c r="S2552" t="s">
        <v>28</v>
      </c>
      <c r="T2552" t="str">
        <f t="shared" si="78"/>
        <v>High</v>
      </c>
      <c r="U2552" t="str">
        <f t="shared" si="79"/>
        <v>Intermediate</v>
      </c>
    </row>
    <row r="2553" spans="1:21" x14ac:dyDescent="0.35">
      <c r="A2553" t="s">
        <v>2626</v>
      </c>
      <c r="B2553" t="s">
        <v>51</v>
      </c>
      <c r="C2553" t="s">
        <v>31</v>
      </c>
      <c r="D2553" t="s">
        <v>66</v>
      </c>
      <c r="E2553" t="s">
        <v>70</v>
      </c>
      <c r="F2553">
        <v>5</v>
      </c>
      <c r="G2553">
        <v>0.63</v>
      </c>
      <c r="H2553">
        <v>0.66</v>
      </c>
      <c r="I2553" t="s">
        <v>34</v>
      </c>
      <c r="J2553">
        <v>141121</v>
      </c>
      <c r="K2553" t="s">
        <v>27</v>
      </c>
      <c r="L2553">
        <v>44</v>
      </c>
      <c r="M2553">
        <v>39</v>
      </c>
      <c r="N2553" t="s">
        <v>35</v>
      </c>
      <c r="O2553" t="s">
        <v>25</v>
      </c>
      <c r="P2553">
        <v>4.0999999999999996</v>
      </c>
      <c r="Q2553" t="s">
        <v>24</v>
      </c>
      <c r="R2553">
        <v>1.88</v>
      </c>
      <c r="S2553" t="s">
        <v>28</v>
      </c>
      <c r="T2553" t="str">
        <f t="shared" si="78"/>
        <v>High</v>
      </c>
      <c r="U2553" t="str">
        <f t="shared" si="79"/>
        <v>Intermediate</v>
      </c>
    </row>
    <row r="2554" spans="1:21" x14ac:dyDescent="0.35">
      <c r="A2554" t="s">
        <v>2627</v>
      </c>
      <c r="B2554" t="s">
        <v>62</v>
      </c>
      <c r="C2554" t="s">
        <v>46</v>
      </c>
      <c r="D2554" t="s">
        <v>40</v>
      </c>
      <c r="E2554" t="s">
        <v>23</v>
      </c>
      <c r="F2554">
        <v>17</v>
      </c>
      <c r="G2554">
        <v>0.86</v>
      </c>
      <c r="H2554">
        <v>0.47</v>
      </c>
      <c r="I2554" t="s">
        <v>60</v>
      </c>
      <c r="J2554">
        <v>177858</v>
      </c>
      <c r="K2554" t="s">
        <v>27</v>
      </c>
      <c r="L2554">
        <v>42</v>
      </c>
      <c r="M2554">
        <v>56</v>
      </c>
      <c r="N2554" t="s">
        <v>42</v>
      </c>
      <c r="O2554" t="s">
        <v>27</v>
      </c>
      <c r="P2554">
        <v>3.95</v>
      </c>
      <c r="Q2554" t="s">
        <v>34</v>
      </c>
      <c r="R2554">
        <v>3.79</v>
      </c>
      <c r="S2554" t="s">
        <v>28</v>
      </c>
      <c r="T2554" t="str">
        <f t="shared" si="78"/>
        <v>Very Low</v>
      </c>
      <c r="U2554" t="str">
        <f t="shared" si="79"/>
        <v>Expert</v>
      </c>
    </row>
    <row r="2555" spans="1:21" x14ac:dyDescent="0.35">
      <c r="A2555" t="s">
        <v>2628</v>
      </c>
      <c r="B2555" t="s">
        <v>96</v>
      </c>
      <c r="C2555" t="s">
        <v>55</v>
      </c>
      <c r="D2555" t="s">
        <v>49</v>
      </c>
      <c r="E2555" t="s">
        <v>41</v>
      </c>
      <c r="F2555">
        <v>20</v>
      </c>
      <c r="G2555">
        <v>0.56999999999999995</v>
      </c>
      <c r="H2555">
        <v>0.33</v>
      </c>
      <c r="I2555" t="s">
        <v>60</v>
      </c>
      <c r="J2555">
        <v>174941</v>
      </c>
      <c r="K2555" t="s">
        <v>25</v>
      </c>
      <c r="L2555">
        <v>20</v>
      </c>
      <c r="M2555">
        <v>41</v>
      </c>
      <c r="N2555" t="s">
        <v>42</v>
      </c>
      <c r="O2555" t="s">
        <v>27</v>
      </c>
      <c r="P2555">
        <v>4.38</v>
      </c>
      <c r="Q2555" t="s">
        <v>34</v>
      </c>
      <c r="R2555">
        <v>4.1399999999999997</v>
      </c>
      <c r="S2555" t="s">
        <v>43</v>
      </c>
      <c r="T2555" t="str">
        <f t="shared" si="78"/>
        <v>Moderate</v>
      </c>
      <c r="U2555" t="str">
        <f t="shared" si="79"/>
        <v>Expert</v>
      </c>
    </row>
    <row r="2556" spans="1:21" x14ac:dyDescent="0.35">
      <c r="A2556" t="s">
        <v>2629</v>
      </c>
      <c r="B2556" t="s">
        <v>62</v>
      </c>
      <c r="C2556" t="s">
        <v>39</v>
      </c>
      <c r="D2556" t="s">
        <v>75</v>
      </c>
      <c r="E2556" t="s">
        <v>41</v>
      </c>
      <c r="F2556">
        <v>7</v>
      </c>
      <c r="G2556">
        <v>0.56999999999999995</v>
      </c>
      <c r="H2556">
        <v>0.41</v>
      </c>
      <c r="I2556" t="s">
        <v>24</v>
      </c>
      <c r="J2556">
        <v>139720</v>
      </c>
      <c r="K2556" t="s">
        <v>25</v>
      </c>
      <c r="L2556">
        <v>1</v>
      </c>
      <c r="M2556">
        <v>41</v>
      </c>
      <c r="N2556" t="s">
        <v>42</v>
      </c>
      <c r="O2556" t="s">
        <v>36</v>
      </c>
      <c r="P2556">
        <v>2.06</v>
      </c>
      <c r="Q2556" t="s">
        <v>24</v>
      </c>
      <c r="R2556">
        <v>1.55</v>
      </c>
      <c r="S2556" t="s">
        <v>43</v>
      </c>
      <c r="T2556" t="str">
        <f t="shared" si="78"/>
        <v>Moderate</v>
      </c>
      <c r="U2556" t="str">
        <f t="shared" si="79"/>
        <v>Intermediate</v>
      </c>
    </row>
    <row r="2557" spans="1:21" x14ac:dyDescent="0.35">
      <c r="A2557" t="s">
        <v>2630</v>
      </c>
      <c r="B2557" t="s">
        <v>147</v>
      </c>
      <c r="C2557" t="s">
        <v>107</v>
      </c>
      <c r="D2557" t="s">
        <v>59</v>
      </c>
      <c r="E2557" t="s">
        <v>41</v>
      </c>
      <c r="F2557">
        <v>9</v>
      </c>
      <c r="G2557">
        <v>0.56000000000000005</v>
      </c>
      <c r="H2557">
        <v>0.86</v>
      </c>
      <c r="I2557" t="s">
        <v>60</v>
      </c>
      <c r="J2557">
        <v>112627</v>
      </c>
      <c r="K2557" t="s">
        <v>25</v>
      </c>
      <c r="L2557">
        <v>32</v>
      </c>
      <c r="M2557">
        <v>60</v>
      </c>
      <c r="N2557" t="s">
        <v>42</v>
      </c>
      <c r="O2557" t="s">
        <v>36</v>
      </c>
      <c r="P2557">
        <v>2.5299999999999998</v>
      </c>
      <c r="Q2557" t="s">
        <v>34</v>
      </c>
      <c r="R2557">
        <v>2.97</v>
      </c>
      <c r="S2557" t="s">
        <v>43</v>
      </c>
      <c r="T2557" t="str">
        <f t="shared" si="78"/>
        <v>High</v>
      </c>
      <c r="U2557" t="str">
        <f t="shared" si="79"/>
        <v>Experienced</v>
      </c>
    </row>
    <row r="2558" spans="1:21" x14ac:dyDescent="0.35">
      <c r="A2558" t="s">
        <v>2631</v>
      </c>
      <c r="B2558" t="s">
        <v>106</v>
      </c>
      <c r="C2558" t="s">
        <v>31</v>
      </c>
      <c r="D2558" t="s">
        <v>63</v>
      </c>
      <c r="E2558" t="s">
        <v>23</v>
      </c>
      <c r="F2558">
        <v>8</v>
      </c>
      <c r="G2558">
        <v>0.48</v>
      </c>
      <c r="H2558">
        <v>0.26</v>
      </c>
      <c r="I2558" t="s">
        <v>24</v>
      </c>
      <c r="J2558">
        <v>42833</v>
      </c>
      <c r="K2558" t="s">
        <v>27</v>
      </c>
      <c r="L2558">
        <v>19</v>
      </c>
      <c r="M2558">
        <v>50</v>
      </c>
      <c r="N2558" t="s">
        <v>26</v>
      </c>
      <c r="O2558" t="s">
        <v>25</v>
      </c>
      <c r="P2558">
        <v>3.79</v>
      </c>
      <c r="Q2558" t="s">
        <v>34</v>
      </c>
      <c r="R2558">
        <v>3.45</v>
      </c>
      <c r="S2558" t="s">
        <v>28</v>
      </c>
      <c r="T2558" t="str">
        <f t="shared" si="78"/>
        <v>Moderate</v>
      </c>
      <c r="U2558" t="str">
        <f t="shared" si="79"/>
        <v>Intermediate</v>
      </c>
    </row>
    <row r="2559" spans="1:21" x14ac:dyDescent="0.35">
      <c r="A2559" t="s">
        <v>2632</v>
      </c>
      <c r="B2559" t="s">
        <v>94</v>
      </c>
      <c r="C2559" t="s">
        <v>55</v>
      </c>
      <c r="D2559" t="s">
        <v>80</v>
      </c>
      <c r="E2559" t="s">
        <v>33</v>
      </c>
      <c r="F2559">
        <v>17</v>
      </c>
      <c r="G2559">
        <v>0.23</v>
      </c>
      <c r="H2559">
        <v>0.35</v>
      </c>
      <c r="I2559" t="s">
        <v>60</v>
      </c>
      <c r="J2559">
        <v>146944</v>
      </c>
      <c r="K2559" t="s">
        <v>42</v>
      </c>
      <c r="L2559">
        <v>23</v>
      </c>
      <c r="M2559">
        <v>48</v>
      </c>
      <c r="N2559" t="s">
        <v>26</v>
      </c>
      <c r="O2559" t="s">
        <v>25</v>
      </c>
      <c r="P2559">
        <v>3.04</v>
      </c>
      <c r="Q2559" t="s">
        <v>24</v>
      </c>
      <c r="R2559">
        <v>4.84</v>
      </c>
      <c r="S2559" t="s">
        <v>47</v>
      </c>
      <c r="T2559" t="str">
        <f t="shared" si="78"/>
        <v>High</v>
      </c>
      <c r="U2559" t="str">
        <f t="shared" si="79"/>
        <v>Expert</v>
      </c>
    </row>
    <row r="2560" spans="1:21" x14ac:dyDescent="0.35">
      <c r="A2560" t="s">
        <v>2633</v>
      </c>
      <c r="B2560" t="s">
        <v>77</v>
      </c>
      <c r="C2560" t="s">
        <v>46</v>
      </c>
      <c r="D2560" t="s">
        <v>59</v>
      </c>
      <c r="E2560" t="s">
        <v>23</v>
      </c>
      <c r="F2560">
        <v>17</v>
      </c>
      <c r="G2560">
        <v>0.18</v>
      </c>
      <c r="H2560">
        <v>0.46</v>
      </c>
      <c r="I2560" t="s">
        <v>34</v>
      </c>
      <c r="J2560">
        <v>158753</v>
      </c>
      <c r="K2560" t="s">
        <v>25</v>
      </c>
      <c r="L2560">
        <v>36</v>
      </c>
      <c r="M2560">
        <v>50</v>
      </c>
      <c r="N2560" t="s">
        <v>42</v>
      </c>
      <c r="O2560" t="s">
        <v>25</v>
      </c>
      <c r="P2560">
        <v>2.34</v>
      </c>
      <c r="Q2560" t="s">
        <v>24</v>
      </c>
      <c r="R2560">
        <v>2.5099999999999998</v>
      </c>
      <c r="S2560" t="s">
        <v>28</v>
      </c>
      <c r="T2560" t="str">
        <f t="shared" si="78"/>
        <v>High</v>
      </c>
      <c r="U2560" t="str">
        <f t="shared" si="79"/>
        <v>Expert</v>
      </c>
    </row>
    <row r="2561" spans="1:21" x14ac:dyDescent="0.35">
      <c r="A2561" t="s">
        <v>2634</v>
      </c>
      <c r="B2561" t="s">
        <v>147</v>
      </c>
      <c r="C2561" t="s">
        <v>58</v>
      </c>
      <c r="D2561" t="s">
        <v>80</v>
      </c>
      <c r="E2561" t="s">
        <v>23</v>
      </c>
      <c r="F2561">
        <v>14</v>
      </c>
      <c r="G2561">
        <v>0.89</v>
      </c>
      <c r="H2561">
        <v>0.34</v>
      </c>
      <c r="I2561" t="s">
        <v>24</v>
      </c>
      <c r="J2561">
        <v>191690</v>
      </c>
      <c r="K2561" t="s">
        <v>27</v>
      </c>
      <c r="L2561">
        <v>-1</v>
      </c>
      <c r="M2561">
        <v>43</v>
      </c>
      <c r="N2561" t="s">
        <v>26</v>
      </c>
      <c r="O2561" t="s">
        <v>27</v>
      </c>
      <c r="P2561">
        <v>3.3</v>
      </c>
      <c r="Q2561" t="s">
        <v>24</v>
      </c>
      <c r="R2561">
        <v>4.59</v>
      </c>
      <c r="S2561" t="s">
        <v>43</v>
      </c>
      <c r="T2561" t="str">
        <f t="shared" si="78"/>
        <v>Very Low</v>
      </c>
      <c r="U2561" t="str">
        <f t="shared" si="79"/>
        <v>Experienced</v>
      </c>
    </row>
    <row r="2562" spans="1:21" x14ac:dyDescent="0.35">
      <c r="A2562" t="s">
        <v>2635</v>
      </c>
      <c r="B2562" t="s">
        <v>57</v>
      </c>
      <c r="C2562" t="s">
        <v>46</v>
      </c>
      <c r="D2562" t="s">
        <v>49</v>
      </c>
      <c r="E2562" t="s">
        <v>41</v>
      </c>
      <c r="F2562">
        <v>17</v>
      </c>
      <c r="G2562">
        <v>0.82</v>
      </c>
      <c r="H2562">
        <v>0.96</v>
      </c>
      <c r="I2562" t="s">
        <v>24</v>
      </c>
      <c r="J2562">
        <v>205817</v>
      </c>
      <c r="K2562" t="s">
        <v>27</v>
      </c>
      <c r="L2562">
        <v>-8</v>
      </c>
      <c r="M2562">
        <v>41</v>
      </c>
      <c r="N2562" t="s">
        <v>26</v>
      </c>
      <c r="O2562" t="s">
        <v>27</v>
      </c>
      <c r="P2562">
        <v>3.31</v>
      </c>
      <c r="Q2562" t="s">
        <v>34</v>
      </c>
      <c r="R2562">
        <v>3.01</v>
      </c>
      <c r="S2562" t="s">
        <v>28</v>
      </c>
      <c r="T2562" t="str">
        <f t="shared" si="78"/>
        <v>High</v>
      </c>
      <c r="U2562" t="str">
        <f t="shared" si="79"/>
        <v>Expert</v>
      </c>
    </row>
    <row r="2563" spans="1:21" x14ac:dyDescent="0.35">
      <c r="A2563" t="s">
        <v>2636</v>
      </c>
      <c r="B2563" t="s">
        <v>94</v>
      </c>
      <c r="C2563" t="s">
        <v>82</v>
      </c>
      <c r="D2563" t="s">
        <v>66</v>
      </c>
      <c r="E2563" t="s">
        <v>33</v>
      </c>
      <c r="F2563">
        <v>12</v>
      </c>
      <c r="G2563">
        <v>0.67</v>
      </c>
      <c r="H2563">
        <v>0.42</v>
      </c>
      <c r="I2563" t="s">
        <v>24</v>
      </c>
      <c r="J2563">
        <v>205278</v>
      </c>
      <c r="K2563" t="s">
        <v>25</v>
      </c>
      <c r="L2563">
        <v>35</v>
      </c>
      <c r="M2563">
        <v>37</v>
      </c>
      <c r="N2563" t="s">
        <v>35</v>
      </c>
      <c r="O2563" t="s">
        <v>25</v>
      </c>
      <c r="P2563">
        <v>2.84</v>
      </c>
      <c r="Q2563" t="s">
        <v>34</v>
      </c>
      <c r="R2563">
        <v>2.99</v>
      </c>
      <c r="S2563" t="s">
        <v>43</v>
      </c>
      <c r="T2563" t="str">
        <f t="shared" ref="T2563:T2626" si="80">IF(AND(G2563&lt;0.4,H2563&gt;=0.7),"Very High",
IF(AND(G2563&gt;=0.7,H2563&lt;0.5),"Very Low",
IF(G2563&lt;H2563,"High","Moderate")))</f>
        <v>Moderate</v>
      </c>
      <c r="U2563" t="str">
        <f t="shared" ref="U2563:U2626" si="81">_xlfn.IFS(F2563&lt;=2,"Beginner",F2563&lt;=8,"Intermediate",F2563&lt;=15,"Experienced",F2563&lt;=25,"Expert")</f>
        <v>Experienced</v>
      </c>
    </row>
    <row r="2564" spans="1:21" x14ac:dyDescent="0.35">
      <c r="A2564" t="s">
        <v>2637</v>
      </c>
      <c r="B2564" t="s">
        <v>96</v>
      </c>
      <c r="C2564" t="s">
        <v>21</v>
      </c>
      <c r="D2564" t="s">
        <v>59</v>
      </c>
      <c r="E2564" t="s">
        <v>33</v>
      </c>
      <c r="F2564">
        <v>18</v>
      </c>
      <c r="G2564">
        <v>0.15</v>
      </c>
      <c r="H2564">
        <v>0.62</v>
      </c>
      <c r="I2564" t="s">
        <v>34</v>
      </c>
      <c r="J2564">
        <v>137179</v>
      </c>
      <c r="K2564" t="s">
        <v>25</v>
      </c>
      <c r="L2564">
        <v>15</v>
      </c>
      <c r="M2564">
        <v>37</v>
      </c>
      <c r="N2564" t="s">
        <v>42</v>
      </c>
      <c r="O2564" t="s">
        <v>36</v>
      </c>
      <c r="P2564">
        <v>2.5499999999999998</v>
      </c>
      <c r="Q2564" t="s">
        <v>34</v>
      </c>
      <c r="R2564">
        <v>2.61</v>
      </c>
      <c r="S2564" t="s">
        <v>47</v>
      </c>
      <c r="T2564" t="str">
        <f t="shared" si="80"/>
        <v>High</v>
      </c>
      <c r="U2564" t="str">
        <f t="shared" si="81"/>
        <v>Expert</v>
      </c>
    </row>
    <row r="2565" spans="1:21" x14ac:dyDescent="0.35">
      <c r="A2565" t="s">
        <v>2638</v>
      </c>
      <c r="B2565" t="s">
        <v>106</v>
      </c>
      <c r="C2565" t="s">
        <v>55</v>
      </c>
      <c r="D2565" t="s">
        <v>66</v>
      </c>
      <c r="E2565" t="s">
        <v>33</v>
      </c>
      <c r="F2565">
        <v>16</v>
      </c>
      <c r="G2565">
        <v>0.52</v>
      </c>
      <c r="H2565">
        <v>0.23</v>
      </c>
      <c r="I2565" t="s">
        <v>60</v>
      </c>
      <c r="J2565">
        <v>151916</v>
      </c>
      <c r="K2565" t="s">
        <v>27</v>
      </c>
      <c r="L2565">
        <v>34</v>
      </c>
      <c r="M2565">
        <v>41</v>
      </c>
      <c r="N2565" t="s">
        <v>26</v>
      </c>
      <c r="O2565" t="s">
        <v>25</v>
      </c>
      <c r="P2565">
        <v>2.08</v>
      </c>
      <c r="Q2565" t="s">
        <v>34</v>
      </c>
      <c r="R2565">
        <v>2.73</v>
      </c>
      <c r="S2565" t="s">
        <v>28</v>
      </c>
      <c r="T2565" t="str">
        <f t="shared" si="80"/>
        <v>Moderate</v>
      </c>
      <c r="U2565" t="str">
        <f t="shared" si="81"/>
        <v>Expert</v>
      </c>
    </row>
    <row r="2566" spans="1:21" x14ac:dyDescent="0.35">
      <c r="A2566" t="s">
        <v>2639</v>
      </c>
      <c r="B2566" t="s">
        <v>156</v>
      </c>
      <c r="C2566" t="s">
        <v>31</v>
      </c>
      <c r="D2566" t="s">
        <v>80</v>
      </c>
      <c r="E2566" t="s">
        <v>23</v>
      </c>
      <c r="F2566">
        <v>23</v>
      </c>
      <c r="G2566">
        <v>0.34</v>
      </c>
      <c r="H2566">
        <v>0.89</v>
      </c>
      <c r="I2566" t="s">
        <v>24</v>
      </c>
      <c r="J2566">
        <v>191570</v>
      </c>
      <c r="K2566" t="s">
        <v>42</v>
      </c>
      <c r="L2566">
        <v>36</v>
      </c>
      <c r="M2566">
        <v>49</v>
      </c>
      <c r="N2566" t="s">
        <v>42</v>
      </c>
      <c r="O2566" t="s">
        <v>36</v>
      </c>
      <c r="P2566">
        <v>2.82</v>
      </c>
      <c r="Q2566" t="s">
        <v>34</v>
      </c>
      <c r="R2566">
        <v>4.8099999999999996</v>
      </c>
      <c r="S2566" t="s">
        <v>43</v>
      </c>
      <c r="T2566" t="str">
        <f t="shared" si="80"/>
        <v>Very High</v>
      </c>
      <c r="U2566" t="str">
        <f t="shared" si="81"/>
        <v>Expert</v>
      </c>
    </row>
    <row r="2567" spans="1:21" x14ac:dyDescent="0.35">
      <c r="A2567" t="s">
        <v>2640</v>
      </c>
      <c r="B2567" t="s">
        <v>38</v>
      </c>
      <c r="C2567" t="s">
        <v>46</v>
      </c>
      <c r="D2567" t="s">
        <v>49</v>
      </c>
      <c r="E2567" t="s">
        <v>23</v>
      </c>
      <c r="F2567">
        <v>4</v>
      </c>
      <c r="G2567">
        <v>0.69</v>
      </c>
      <c r="H2567">
        <v>0.57999999999999996</v>
      </c>
      <c r="I2567" t="s">
        <v>24</v>
      </c>
      <c r="J2567">
        <v>219162</v>
      </c>
      <c r="K2567" t="s">
        <v>25</v>
      </c>
      <c r="L2567">
        <v>-1</v>
      </c>
      <c r="M2567">
        <v>52</v>
      </c>
      <c r="N2567" t="s">
        <v>42</v>
      </c>
      <c r="O2567" t="s">
        <v>36</v>
      </c>
      <c r="P2567">
        <v>4.6100000000000003</v>
      </c>
      <c r="Q2567" t="s">
        <v>34</v>
      </c>
      <c r="R2567">
        <v>3.92</v>
      </c>
      <c r="S2567" t="s">
        <v>47</v>
      </c>
      <c r="T2567" t="str">
        <f t="shared" si="80"/>
        <v>Moderate</v>
      </c>
      <c r="U2567" t="str">
        <f t="shared" si="81"/>
        <v>Intermediate</v>
      </c>
    </row>
    <row r="2568" spans="1:21" x14ac:dyDescent="0.35">
      <c r="A2568" t="s">
        <v>2641</v>
      </c>
      <c r="B2568" t="s">
        <v>73</v>
      </c>
      <c r="C2568" t="s">
        <v>107</v>
      </c>
      <c r="D2568" t="s">
        <v>69</v>
      </c>
      <c r="E2568" t="s">
        <v>23</v>
      </c>
      <c r="F2568">
        <v>24</v>
      </c>
      <c r="G2568">
        <v>0.5</v>
      </c>
      <c r="H2568">
        <v>0.31</v>
      </c>
      <c r="I2568" t="s">
        <v>60</v>
      </c>
      <c r="J2568">
        <v>125241</v>
      </c>
      <c r="K2568" t="s">
        <v>42</v>
      </c>
      <c r="L2568">
        <v>34</v>
      </c>
      <c r="M2568">
        <v>48</v>
      </c>
      <c r="N2568" t="s">
        <v>35</v>
      </c>
      <c r="O2568" t="s">
        <v>27</v>
      </c>
      <c r="P2568">
        <v>4.08</v>
      </c>
      <c r="Q2568" t="s">
        <v>34</v>
      </c>
      <c r="R2568">
        <v>1.43</v>
      </c>
      <c r="S2568" t="s">
        <v>43</v>
      </c>
      <c r="T2568" t="str">
        <f t="shared" si="80"/>
        <v>Moderate</v>
      </c>
      <c r="U2568" t="str">
        <f t="shared" si="81"/>
        <v>Expert</v>
      </c>
    </row>
    <row r="2569" spans="1:21" x14ac:dyDescent="0.35">
      <c r="A2569" t="s">
        <v>2642</v>
      </c>
      <c r="B2569" t="s">
        <v>106</v>
      </c>
      <c r="C2569" t="s">
        <v>58</v>
      </c>
      <c r="D2569" t="s">
        <v>49</v>
      </c>
      <c r="E2569" t="s">
        <v>70</v>
      </c>
      <c r="F2569">
        <v>0</v>
      </c>
      <c r="G2569">
        <v>0.89</v>
      </c>
      <c r="H2569">
        <v>0.61</v>
      </c>
      <c r="I2569" t="s">
        <v>24</v>
      </c>
      <c r="J2569">
        <v>48447</v>
      </c>
      <c r="K2569" t="s">
        <v>25</v>
      </c>
      <c r="L2569">
        <v>15</v>
      </c>
      <c r="M2569">
        <v>49</v>
      </c>
      <c r="N2569" t="s">
        <v>26</v>
      </c>
      <c r="O2569" t="s">
        <v>27</v>
      </c>
      <c r="P2569">
        <v>2.2400000000000002</v>
      </c>
      <c r="Q2569" t="s">
        <v>34</v>
      </c>
      <c r="R2569">
        <v>2.46</v>
      </c>
      <c r="S2569" t="s">
        <v>43</v>
      </c>
      <c r="T2569" t="str">
        <f t="shared" si="80"/>
        <v>Moderate</v>
      </c>
      <c r="U2569" t="str">
        <f t="shared" si="81"/>
        <v>Beginner</v>
      </c>
    </row>
    <row r="2570" spans="1:21" x14ac:dyDescent="0.35">
      <c r="A2570" t="s">
        <v>2643</v>
      </c>
      <c r="B2570" t="s">
        <v>51</v>
      </c>
      <c r="C2570" t="s">
        <v>39</v>
      </c>
      <c r="D2570" t="s">
        <v>32</v>
      </c>
      <c r="E2570" t="s">
        <v>33</v>
      </c>
      <c r="F2570">
        <v>3</v>
      </c>
      <c r="G2570">
        <v>0.34</v>
      </c>
      <c r="H2570">
        <v>0.95</v>
      </c>
      <c r="I2570" t="s">
        <v>34</v>
      </c>
      <c r="J2570">
        <v>118793</v>
      </c>
      <c r="K2570" t="s">
        <v>27</v>
      </c>
      <c r="L2570">
        <v>24</v>
      </c>
      <c r="M2570">
        <v>49</v>
      </c>
      <c r="N2570" t="s">
        <v>42</v>
      </c>
      <c r="O2570" t="s">
        <v>36</v>
      </c>
      <c r="P2570">
        <v>4.3</v>
      </c>
      <c r="Q2570" t="s">
        <v>24</v>
      </c>
      <c r="R2570">
        <v>3.49</v>
      </c>
      <c r="S2570" t="s">
        <v>28</v>
      </c>
      <c r="T2570" t="str">
        <f t="shared" si="80"/>
        <v>Very High</v>
      </c>
      <c r="U2570" t="str">
        <f t="shared" si="81"/>
        <v>Intermediate</v>
      </c>
    </row>
    <row r="2571" spans="1:21" x14ac:dyDescent="0.35">
      <c r="A2571" t="s">
        <v>2644</v>
      </c>
      <c r="B2571" t="s">
        <v>20</v>
      </c>
      <c r="C2571" t="s">
        <v>21</v>
      </c>
      <c r="D2571" t="s">
        <v>63</v>
      </c>
      <c r="E2571" t="s">
        <v>23</v>
      </c>
      <c r="F2571">
        <v>18</v>
      </c>
      <c r="G2571">
        <v>0.23</v>
      </c>
      <c r="H2571">
        <v>0.94</v>
      </c>
      <c r="I2571" t="s">
        <v>34</v>
      </c>
      <c r="J2571">
        <v>92513</v>
      </c>
      <c r="K2571" t="s">
        <v>27</v>
      </c>
      <c r="L2571">
        <v>-8</v>
      </c>
      <c r="M2571">
        <v>45</v>
      </c>
      <c r="N2571" t="s">
        <v>35</v>
      </c>
      <c r="O2571" t="s">
        <v>36</v>
      </c>
      <c r="P2571">
        <v>4.21</v>
      </c>
      <c r="Q2571" t="s">
        <v>34</v>
      </c>
      <c r="R2571">
        <v>3.39</v>
      </c>
      <c r="S2571" t="s">
        <v>28</v>
      </c>
      <c r="T2571" t="str">
        <f t="shared" si="80"/>
        <v>Very High</v>
      </c>
      <c r="U2571" t="str">
        <f t="shared" si="81"/>
        <v>Expert</v>
      </c>
    </row>
    <row r="2572" spans="1:21" x14ac:dyDescent="0.35">
      <c r="A2572" t="s">
        <v>2645</v>
      </c>
      <c r="B2572" t="s">
        <v>106</v>
      </c>
      <c r="C2572" t="s">
        <v>55</v>
      </c>
      <c r="D2572" t="s">
        <v>49</v>
      </c>
      <c r="E2572" t="s">
        <v>70</v>
      </c>
      <c r="F2572">
        <v>1</v>
      </c>
      <c r="G2572">
        <v>0.42</v>
      </c>
      <c r="H2572">
        <v>0.28999999999999998</v>
      </c>
      <c r="I2572" t="s">
        <v>60</v>
      </c>
      <c r="J2572">
        <v>46699</v>
      </c>
      <c r="K2572" t="s">
        <v>27</v>
      </c>
      <c r="L2572">
        <v>31</v>
      </c>
      <c r="M2572">
        <v>33</v>
      </c>
      <c r="N2572" t="s">
        <v>35</v>
      </c>
      <c r="O2572" t="s">
        <v>36</v>
      </c>
      <c r="P2572">
        <v>4.4800000000000004</v>
      </c>
      <c r="Q2572" t="s">
        <v>24</v>
      </c>
      <c r="R2572">
        <v>3.75</v>
      </c>
      <c r="S2572" t="s">
        <v>28</v>
      </c>
      <c r="T2572" t="str">
        <f t="shared" si="80"/>
        <v>Moderate</v>
      </c>
      <c r="U2572" t="str">
        <f t="shared" si="81"/>
        <v>Beginner</v>
      </c>
    </row>
    <row r="2573" spans="1:21" x14ac:dyDescent="0.35">
      <c r="A2573" t="s">
        <v>2646</v>
      </c>
      <c r="B2573" t="s">
        <v>38</v>
      </c>
      <c r="C2573" t="s">
        <v>46</v>
      </c>
      <c r="D2573" t="s">
        <v>22</v>
      </c>
      <c r="E2573" t="s">
        <v>23</v>
      </c>
      <c r="F2573">
        <v>4</v>
      </c>
      <c r="G2573">
        <v>0.33</v>
      </c>
      <c r="H2573">
        <v>0.63</v>
      </c>
      <c r="I2573" t="s">
        <v>60</v>
      </c>
      <c r="J2573">
        <v>166169</v>
      </c>
      <c r="K2573" t="s">
        <v>27</v>
      </c>
      <c r="L2573">
        <v>5</v>
      </c>
      <c r="M2573">
        <v>30</v>
      </c>
      <c r="N2573" t="s">
        <v>26</v>
      </c>
      <c r="O2573" t="s">
        <v>25</v>
      </c>
      <c r="P2573">
        <v>3.66</v>
      </c>
      <c r="Q2573" t="s">
        <v>24</v>
      </c>
      <c r="R2573">
        <v>2.44</v>
      </c>
      <c r="S2573" t="s">
        <v>47</v>
      </c>
      <c r="T2573" t="str">
        <f t="shared" si="80"/>
        <v>High</v>
      </c>
      <c r="U2573" t="str">
        <f t="shared" si="81"/>
        <v>Intermediate</v>
      </c>
    </row>
    <row r="2574" spans="1:21" x14ac:dyDescent="0.35">
      <c r="A2574" t="s">
        <v>2647</v>
      </c>
      <c r="B2574" t="s">
        <v>38</v>
      </c>
      <c r="C2574" t="s">
        <v>21</v>
      </c>
      <c r="D2574" t="s">
        <v>32</v>
      </c>
      <c r="E2574" t="s">
        <v>23</v>
      </c>
      <c r="F2574">
        <v>1</v>
      </c>
      <c r="G2574">
        <v>0.55000000000000004</v>
      </c>
      <c r="H2574">
        <v>0.35</v>
      </c>
      <c r="I2574" t="s">
        <v>34</v>
      </c>
      <c r="J2574">
        <v>58006</v>
      </c>
      <c r="K2574" t="s">
        <v>27</v>
      </c>
      <c r="L2574">
        <v>36</v>
      </c>
      <c r="M2574">
        <v>47</v>
      </c>
      <c r="N2574" t="s">
        <v>42</v>
      </c>
      <c r="O2574" t="s">
        <v>27</v>
      </c>
      <c r="P2574">
        <v>5</v>
      </c>
      <c r="Q2574" t="s">
        <v>34</v>
      </c>
      <c r="R2574">
        <v>2.2999999999999998</v>
      </c>
      <c r="S2574" t="s">
        <v>28</v>
      </c>
      <c r="T2574" t="str">
        <f t="shared" si="80"/>
        <v>Moderate</v>
      </c>
      <c r="U2574" t="str">
        <f t="shared" si="81"/>
        <v>Beginner</v>
      </c>
    </row>
    <row r="2575" spans="1:21" x14ac:dyDescent="0.35">
      <c r="A2575" t="s">
        <v>2648</v>
      </c>
      <c r="B2575" t="s">
        <v>20</v>
      </c>
      <c r="C2575" t="s">
        <v>52</v>
      </c>
      <c r="D2575" t="s">
        <v>63</v>
      </c>
      <c r="E2575" t="s">
        <v>70</v>
      </c>
      <c r="F2575">
        <v>14</v>
      </c>
      <c r="G2575">
        <v>0.92</v>
      </c>
      <c r="H2575">
        <v>0.67</v>
      </c>
      <c r="I2575" t="s">
        <v>24</v>
      </c>
      <c r="J2575">
        <v>93389</v>
      </c>
      <c r="K2575" t="s">
        <v>27</v>
      </c>
      <c r="L2575">
        <v>39</v>
      </c>
      <c r="M2575">
        <v>35</v>
      </c>
      <c r="N2575" t="s">
        <v>42</v>
      </c>
      <c r="O2575" t="s">
        <v>27</v>
      </c>
      <c r="P2575">
        <v>4.53</v>
      </c>
      <c r="Q2575" t="s">
        <v>24</v>
      </c>
      <c r="R2575">
        <v>3.75</v>
      </c>
      <c r="S2575" t="s">
        <v>43</v>
      </c>
      <c r="T2575" t="str">
        <f t="shared" si="80"/>
        <v>Moderate</v>
      </c>
      <c r="U2575" t="str">
        <f t="shared" si="81"/>
        <v>Experienced</v>
      </c>
    </row>
    <row r="2576" spans="1:21" x14ac:dyDescent="0.35">
      <c r="A2576" t="s">
        <v>2649</v>
      </c>
      <c r="B2576" t="s">
        <v>57</v>
      </c>
      <c r="C2576" t="s">
        <v>58</v>
      </c>
      <c r="D2576" t="s">
        <v>75</v>
      </c>
      <c r="E2576" t="s">
        <v>70</v>
      </c>
      <c r="F2576">
        <v>12</v>
      </c>
      <c r="G2576">
        <v>0.08</v>
      </c>
      <c r="H2576">
        <v>0.52</v>
      </c>
      <c r="I2576" t="s">
        <v>24</v>
      </c>
      <c r="J2576">
        <v>70154</v>
      </c>
      <c r="K2576" t="s">
        <v>27</v>
      </c>
      <c r="L2576">
        <v>31</v>
      </c>
      <c r="M2576">
        <v>39</v>
      </c>
      <c r="N2576" t="s">
        <v>42</v>
      </c>
      <c r="O2576" t="s">
        <v>27</v>
      </c>
      <c r="P2576">
        <v>3.17</v>
      </c>
      <c r="Q2576" t="s">
        <v>24</v>
      </c>
      <c r="R2576">
        <v>2.44</v>
      </c>
      <c r="S2576" t="s">
        <v>47</v>
      </c>
      <c r="T2576" t="str">
        <f t="shared" si="80"/>
        <v>High</v>
      </c>
      <c r="U2576" t="str">
        <f t="shared" si="81"/>
        <v>Experienced</v>
      </c>
    </row>
    <row r="2577" spans="1:21" x14ac:dyDescent="0.35">
      <c r="A2577" t="s">
        <v>2650</v>
      </c>
      <c r="B2577" t="s">
        <v>94</v>
      </c>
      <c r="C2577" t="s">
        <v>58</v>
      </c>
      <c r="D2577" t="s">
        <v>63</v>
      </c>
      <c r="E2577" t="s">
        <v>41</v>
      </c>
      <c r="F2577">
        <v>11</v>
      </c>
      <c r="G2577">
        <v>0.41</v>
      </c>
      <c r="H2577">
        <v>0.5</v>
      </c>
      <c r="I2577" t="s">
        <v>60</v>
      </c>
      <c r="J2577">
        <v>128605</v>
      </c>
      <c r="K2577" t="s">
        <v>25</v>
      </c>
      <c r="L2577">
        <v>43</v>
      </c>
      <c r="M2577">
        <v>46</v>
      </c>
      <c r="N2577" t="s">
        <v>42</v>
      </c>
      <c r="O2577" t="s">
        <v>27</v>
      </c>
      <c r="P2577">
        <v>3.12</v>
      </c>
      <c r="Q2577" t="s">
        <v>34</v>
      </c>
      <c r="R2577">
        <v>2.71</v>
      </c>
      <c r="S2577" t="s">
        <v>43</v>
      </c>
      <c r="T2577" t="str">
        <f t="shared" si="80"/>
        <v>High</v>
      </c>
      <c r="U2577" t="str">
        <f t="shared" si="81"/>
        <v>Experienced</v>
      </c>
    </row>
    <row r="2578" spans="1:21" x14ac:dyDescent="0.35">
      <c r="A2578" t="s">
        <v>2651</v>
      </c>
      <c r="B2578" t="s">
        <v>91</v>
      </c>
      <c r="C2578" t="s">
        <v>82</v>
      </c>
      <c r="D2578" t="s">
        <v>22</v>
      </c>
      <c r="E2578" t="s">
        <v>41</v>
      </c>
      <c r="F2578">
        <v>22</v>
      </c>
      <c r="G2578">
        <v>0.59</v>
      </c>
      <c r="H2578">
        <v>0.59</v>
      </c>
      <c r="I2578" t="s">
        <v>24</v>
      </c>
      <c r="J2578">
        <v>89179</v>
      </c>
      <c r="K2578" t="s">
        <v>42</v>
      </c>
      <c r="L2578">
        <v>45</v>
      </c>
      <c r="M2578">
        <v>34</v>
      </c>
      <c r="N2578" t="s">
        <v>35</v>
      </c>
      <c r="O2578" t="s">
        <v>27</v>
      </c>
      <c r="P2578">
        <v>4.37</v>
      </c>
      <c r="Q2578" t="s">
        <v>34</v>
      </c>
      <c r="R2578">
        <v>4.2300000000000004</v>
      </c>
      <c r="S2578" t="s">
        <v>47</v>
      </c>
      <c r="T2578" t="str">
        <f t="shared" si="80"/>
        <v>Moderate</v>
      </c>
      <c r="U2578" t="str">
        <f t="shared" si="81"/>
        <v>Expert</v>
      </c>
    </row>
    <row r="2579" spans="1:21" x14ac:dyDescent="0.35">
      <c r="A2579" t="s">
        <v>2652</v>
      </c>
      <c r="B2579" t="s">
        <v>45</v>
      </c>
      <c r="C2579" t="s">
        <v>31</v>
      </c>
      <c r="D2579" t="s">
        <v>32</v>
      </c>
      <c r="E2579" t="s">
        <v>70</v>
      </c>
      <c r="F2579">
        <v>21</v>
      </c>
      <c r="G2579">
        <v>0.43</v>
      </c>
      <c r="H2579">
        <v>0.82</v>
      </c>
      <c r="I2579" t="s">
        <v>60</v>
      </c>
      <c r="J2579">
        <v>160309</v>
      </c>
      <c r="K2579" t="s">
        <v>25</v>
      </c>
      <c r="L2579">
        <v>0</v>
      </c>
      <c r="M2579">
        <v>32</v>
      </c>
      <c r="N2579" t="s">
        <v>35</v>
      </c>
      <c r="O2579" t="s">
        <v>25</v>
      </c>
      <c r="P2579">
        <v>4.4400000000000004</v>
      </c>
      <c r="Q2579" t="s">
        <v>24</v>
      </c>
      <c r="R2579">
        <v>1.52</v>
      </c>
      <c r="S2579" t="s">
        <v>28</v>
      </c>
      <c r="T2579" t="str">
        <f t="shared" si="80"/>
        <v>High</v>
      </c>
      <c r="U2579" t="str">
        <f t="shared" si="81"/>
        <v>Expert</v>
      </c>
    </row>
    <row r="2580" spans="1:21" x14ac:dyDescent="0.35">
      <c r="A2580" t="s">
        <v>2653</v>
      </c>
      <c r="B2580" t="s">
        <v>57</v>
      </c>
      <c r="C2580" t="s">
        <v>58</v>
      </c>
      <c r="D2580" t="s">
        <v>22</v>
      </c>
      <c r="E2580" t="s">
        <v>33</v>
      </c>
      <c r="F2580">
        <v>3</v>
      </c>
      <c r="G2580">
        <v>0.89</v>
      </c>
      <c r="H2580">
        <v>0.28999999999999998</v>
      </c>
      <c r="I2580" t="s">
        <v>34</v>
      </c>
      <c r="J2580">
        <v>87463</v>
      </c>
      <c r="K2580" t="s">
        <v>42</v>
      </c>
      <c r="L2580">
        <v>0</v>
      </c>
      <c r="M2580">
        <v>37</v>
      </c>
      <c r="N2580" t="s">
        <v>42</v>
      </c>
      <c r="O2580" t="s">
        <v>27</v>
      </c>
      <c r="P2580">
        <v>4.76</v>
      </c>
      <c r="Q2580" t="s">
        <v>24</v>
      </c>
      <c r="R2580">
        <v>1.83</v>
      </c>
      <c r="S2580" t="s">
        <v>43</v>
      </c>
      <c r="T2580" t="str">
        <f t="shared" si="80"/>
        <v>Very Low</v>
      </c>
      <c r="U2580" t="str">
        <f t="shared" si="81"/>
        <v>Intermediate</v>
      </c>
    </row>
    <row r="2581" spans="1:21" x14ac:dyDescent="0.35">
      <c r="A2581" t="s">
        <v>2654</v>
      </c>
      <c r="B2581" t="s">
        <v>30</v>
      </c>
      <c r="C2581" t="s">
        <v>52</v>
      </c>
      <c r="D2581" t="s">
        <v>80</v>
      </c>
      <c r="E2581" t="s">
        <v>23</v>
      </c>
      <c r="F2581">
        <v>13</v>
      </c>
      <c r="G2581">
        <v>0.62</v>
      </c>
      <c r="H2581">
        <v>0.83</v>
      </c>
      <c r="I2581" t="s">
        <v>60</v>
      </c>
      <c r="J2581">
        <v>139273</v>
      </c>
      <c r="K2581" t="s">
        <v>25</v>
      </c>
      <c r="L2581">
        <v>37</v>
      </c>
      <c r="M2581">
        <v>51</v>
      </c>
      <c r="N2581" t="s">
        <v>42</v>
      </c>
      <c r="O2581" t="s">
        <v>27</v>
      </c>
      <c r="P2581">
        <v>2.12</v>
      </c>
      <c r="Q2581" t="s">
        <v>24</v>
      </c>
      <c r="R2581">
        <v>3.86</v>
      </c>
      <c r="S2581" t="s">
        <v>28</v>
      </c>
      <c r="T2581" t="str">
        <f t="shared" si="80"/>
        <v>High</v>
      </c>
      <c r="U2581" t="str">
        <f t="shared" si="81"/>
        <v>Experienced</v>
      </c>
    </row>
    <row r="2582" spans="1:21" x14ac:dyDescent="0.35">
      <c r="A2582" t="s">
        <v>2655</v>
      </c>
      <c r="B2582" t="s">
        <v>30</v>
      </c>
      <c r="C2582" t="s">
        <v>31</v>
      </c>
      <c r="D2582" t="s">
        <v>59</v>
      </c>
      <c r="E2582" t="s">
        <v>70</v>
      </c>
      <c r="F2582">
        <v>14</v>
      </c>
      <c r="G2582">
        <v>0.39</v>
      </c>
      <c r="H2582">
        <v>0.91</v>
      </c>
      <c r="I2582" t="s">
        <v>60</v>
      </c>
      <c r="J2582">
        <v>54256</v>
      </c>
      <c r="K2582" t="s">
        <v>25</v>
      </c>
      <c r="L2582">
        <v>25</v>
      </c>
      <c r="M2582">
        <v>50</v>
      </c>
      <c r="N2582" t="s">
        <v>35</v>
      </c>
      <c r="O2582" t="s">
        <v>36</v>
      </c>
      <c r="P2582">
        <v>3.36</v>
      </c>
      <c r="Q2582" t="s">
        <v>34</v>
      </c>
      <c r="R2582">
        <v>3.48</v>
      </c>
      <c r="S2582" t="s">
        <v>28</v>
      </c>
      <c r="T2582" t="str">
        <f t="shared" si="80"/>
        <v>Very High</v>
      </c>
      <c r="U2582" t="str">
        <f t="shared" si="81"/>
        <v>Experienced</v>
      </c>
    </row>
    <row r="2583" spans="1:21" x14ac:dyDescent="0.35">
      <c r="A2583" t="s">
        <v>2656</v>
      </c>
      <c r="B2583" t="s">
        <v>68</v>
      </c>
      <c r="C2583" t="s">
        <v>31</v>
      </c>
      <c r="D2583" t="s">
        <v>66</v>
      </c>
      <c r="E2583" t="s">
        <v>23</v>
      </c>
      <c r="F2583">
        <v>13</v>
      </c>
      <c r="G2583">
        <v>0.36</v>
      </c>
      <c r="H2583">
        <v>0.8</v>
      </c>
      <c r="I2583" t="s">
        <v>24</v>
      </c>
      <c r="J2583">
        <v>196357</v>
      </c>
      <c r="K2583" t="s">
        <v>27</v>
      </c>
      <c r="L2583">
        <v>32</v>
      </c>
      <c r="M2583">
        <v>49</v>
      </c>
      <c r="N2583" t="s">
        <v>42</v>
      </c>
      <c r="O2583" t="s">
        <v>36</v>
      </c>
      <c r="P2583">
        <v>2.33</v>
      </c>
      <c r="Q2583" t="s">
        <v>24</v>
      </c>
      <c r="R2583">
        <v>1.1399999999999999</v>
      </c>
      <c r="S2583" t="s">
        <v>43</v>
      </c>
      <c r="T2583" t="str">
        <f t="shared" si="80"/>
        <v>Very High</v>
      </c>
      <c r="U2583" t="str">
        <f t="shared" si="81"/>
        <v>Experienced</v>
      </c>
    </row>
    <row r="2584" spans="1:21" x14ac:dyDescent="0.35">
      <c r="A2584" t="s">
        <v>2657</v>
      </c>
      <c r="B2584" t="s">
        <v>30</v>
      </c>
      <c r="C2584" t="s">
        <v>39</v>
      </c>
      <c r="D2584" t="s">
        <v>69</v>
      </c>
      <c r="E2584" t="s">
        <v>33</v>
      </c>
      <c r="F2584">
        <v>15</v>
      </c>
      <c r="G2584">
        <v>0.53</v>
      </c>
      <c r="H2584">
        <v>0.49</v>
      </c>
      <c r="I2584" t="s">
        <v>34</v>
      </c>
      <c r="J2584">
        <v>112235</v>
      </c>
      <c r="K2584" t="s">
        <v>42</v>
      </c>
      <c r="L2584">
        <v>17</v>
      </c>
      <c r="M2584">
        <v>41</v>
      </c>
      <c r="N2584" t="s">
        <v>26</v>
      </c>
      <c r="O2584" t="s">
        <v>27</v>
      </c>
      <c r="P2584">
        <v>4.67</v>
      </c>
      <c r="Q2584" t="s">
        <v>24</v>
      </c>
      <c r="R2584">
        <v>1.67</v>
      </c>
      <c r="S2584" t="s">
        <v>47</v>
      </c>
      <c r="T2584" t="str">
        <f t="shared" si="80"/>
        <v>Moderate</v>
      </c>
      <c r="U2584" t="str">
        <f t="shared" si="81"/>
        <v>Experienced</v>
      </c>
    </row>
    <row r="2585" spans="1:21" x14ac:dyDescent="0.35">
      <c r="A2585" t="s">
        <v>2658</v>
      </c>
      <c r="B2585" t="s">
        <v>51</v>
      </c>
      <c r="C2585" t="s">
        <v>52</v>
      </c>
      <c r="D2585" t="s">
        <v>69</v>
      </c>
      <c r="E2585" t="s">
        <v>70</v>
      </c>
      <c r="F2585">
        <v>16</v>
      </c>
      <c r="G2585">
        <v>0.55000000000000004</v>
      </c>
      <c r="H2585">
        <v>0.86</v>
      </c>
      <c r="I2585" t="s">
        <v>34</v>
      </c>
      <c r="J2585">
        <v>77449</v>
      </c>
      <c r="K2585" t="s">
        <v>27</v>
      </c>
      <c r="L2585">
        <v>31</v>
      </c>
      <c r="M2585">
        <v>33</v>
      </c>
      <c r="N2585" t="s">
        <v>26</v>
      </c>
      <c r="O2585" t="s">
        <v>27</v>
      </c>
      <c r="P2585">
        <v>3.18</v>
      </c>
      <c r="Q2585" t="s">
        <v>34</v>
      </c>
      <c r="R2585">
        <v>2.54</v>
      </c>
      <c r="S2585" t="s">
        <v>47</v>
      </c>
      <c r="T2585" t="str">
        <f t="shared" si="80"/>
        <v>High</v>
      </c>
      <c r="U2585" t="str">
        <f t="shared" si="81"/>
        <v>Expert</v>
      </c>
    </row>
    <row r="2586" spans="1:21" x14ac:dyDescent="0.35">
      <c r="A2586" t="s">
        <v>2659</v>
      </c>
      <c r="B2586" t="s">
        <v>102</v>
      </c>
      <c r="C2586" t="s">
        <v>21</v>
      </c>
      <c r="D2586" t="s">
        <v>63</v>
      </c>
      <c r="E2586" t="s">
        <v>41</v>
      </c>
      <c r="F2586">
        <v>20</v>
      </c>
      <c r="G2586">
        <v>0.9</v>
      </c>
      <c r="H2586">
        <v>0.72</v>
      </c>
      <c r="I2586" t="s">
        <v>24</v>
      </c>
      <c r="J2586">
        <v>84168</v>
      </c>
      <c r="K2586" t="s">
        <v>25</v>
      </c>
      <c r="L2586">
        <v>33</v>
      </c>
      <c r="M2586">
        <v>36</v>
      </c>
      <c r="N2586" t="s">
        <v>42</v>
      </c>
      <c r="O2586" t="s">
        <v>36</v>
      </c>
      <c r="P2586">
        <v>2.34</v>
      </c>
      <c r="Q2586" t="s">
        <v>24</v>
      </c>
      <c r="R2586">
        <v>4.78</v>
      </c>
      <c r="S2586" t="s">
        <v>47</v>
      </c>
      <c r="T2586" t="str">
        <f t="shared" si="80"/>
        <v>Moderate</v>
      </c>
      <c r="U2586" t="str">
        <f t="shared" si="81"/>
        <v>Expert</v>
      </c>
    </row>
    <row r="2587" spans="1:21" x14ac:dyDescent="0.35">
      <c r="A2587" t="s">
        <v>2660</v>
      </c>
      <c r="B2587" t="s">
        <v>102</v>
      </c>
      <c r="C2587" t="s">
        <v>107</v>
      </c>
      <c r="D2587" t="s">
        <v>32</v>
      </c>
      <c r="E2587" t="s">
        <v>33</v>
      </c>
      <c r="F2587">
        <v>7</v>
      </c>
      <c r="G2587">
        <v>0.22</v>
      </c>
      <c r="H2587">
        <v>0.44</v>
      </c>
      <c r="I2587" t="s">
        <v>60</v>
      </c>
      <c r="J2587">
        <v>181424</v>
      </c>
      <c r="K2587" t="s">
        <v>27</v>
      </c>
      <c r="L2587">
        <v>-3</v>
      </c>
      <c r="M2587">
        <v>45</v>
      </c>
      <c r="N2587" t="s">
        <v>42</v>
      </c>
      <c r="O2587" t="s">
        <v>25</v>
      </c>
      <c r="P2587">
        <v>3.83</v>
      </c>
      <c r="Q2587" t="s">
        <v>34</v>
      </c>
      <c r="R2587">
        <v>3.23</v>
      </c>
      <c r="S2587" t="s">
        <v>47</v>
      </c>
      <c r="T2587" t="str">
        <f t="shared" si="80"/>
        <v>High</v>
      </c>
      <c r="U2587" t="str">
        <f t="shared" si="81"/>
        <v>Intermediate</v>
      </c>
    </row>
    <row r="2588" spans="1:21" x14ac:dyDescent="0.35">
      <c r="A2588" t="s">
        <v>2661</v>
      </c>
      <c r="B2588" t="s">
        <v>89</v>
      </c>
      <c r="C2588" t="s">
        <v>31</v>
      </c>
      <c r="D2588" t="s">
        <v>75</v>
      </c>
      <c r="E2588" t="s">
        <v>23</v>
      </c>
      <c r="F2588">
        <v>9</v>
      </c>
      <c r="G2588">
        <v>0.16</v>
      </c>
      <c r="H2588">
        <v>0.7</v>
      </c>
      <c r="I2588" t="s">
        <v>34</v>
      </c>
      <c r="J2588">
        <v>112336</v>
      </c>
      <c r="K2588" t="s">
        <v>42</v>
      </c>
      <c r="L2588">
        <v>-9</v>
      </c>
      <c r="M2588">
        <v>57</v>
      </c>
      <c r="N2588" t="s">
        <v>42</v>
      </c>
      <c r="O2588" t="s">
        <v>25</v>
      </c>
      <c r="P2588">
        <v>3.83</v>
      </c>
      <c r="Q2588" t="s">
        <v>24</v>
      </c>
      <c r="R2588">
        <v>3.3</v>
      </c>
      <c r="S2588" t="s">
        <v>43</v>
      </c>
      <c r="T2588" t="str">
        <f t="shared" si="80"/>
        <v>Very High</v>
      </c>
      <c r="U2588" t="str">
        <f t="shared" si="81"/>
        <v>Experienced</v>
      </c>
    </row>
    <row r="2589" spans="1:21" x14ac:dyDescent="0.35">
      <c r="A2589" t="s">
        <v>2662</v>
      </c>
      <c r="B2589" t="s">
        <v>73</v>
      </c>
      <c r="C2589" t="s">
        <v>52</v>
      </c>
      <c r="D2589" t="s">
        <v>40</v>
      </c>
      <c r="E2589" t="s">
        <v>33</v>
      </c>
      <c r="F2589">
        <v>23</v>
      </c>
      <c r="G2589">
        <v>0.36</v>
      </c>
      <c r="H2589">
        <v>0.57999999999999996</v>
      </c>
      <c r="I2589" t="s">
        <v>34</v>
      </c>
      <c r="J2589">
        <v>179877</v>
      </c>
      <c r="K2589" t="s">
        <v>42</v>
      </c>
      <c r="L2589">
        <v>-1</v>
      </c>
      <c r="M2589">
        <v>40</v>
      </c>
      <c r="N2589" t="s">
        <v>35</v>
      </c>
      <c r="O2589" t="s">
        <v>25</v>
      </c>
      <c r="P2589">
        <v>3.52</v>
      </c>
      <c r="Q2589" t="s">
        <v>34</v>
      </c>
      <c r="R2589">
        <v>2.04</v>
      </c>
      <c r="S2589" t="s">
        <v>43</v>
      </c>
      <c r="T2589" t="str">
        <f t="shared" si="80"/>
        <v>High</v>
      </c>
      <c r="U2589" t="str">
        <f t="shared" si="81"/>
        <v>Expert</v>
      </c>
    </row>
    <row r="2590" spans="1:21" x14ac:dyDescent="0.35">
      <c r="A2590" t="s">
        <v>2663</v>
      </c>
      <c r="B2590" t="s">
        <v>57</v>
      </c>
      <c r="C2590" t="s">
        <v>31</v>
      </c>
      <c r="D2590" t="s">
        <v>80</v>
      </c>
      <c r="E2590" t="s">
        <v>70</v>
      </c>
      <c r="F2590">
        <v>0</v>
      </c>
      <c r="G2590">
        <v>0.38</v>
      </c>
      <c r="H2590">
        <v>0.3</v>
      </c>
      <c r="I2590" t="s">
        <v>24</v>
      </c>
      <c r="J2590">
        <v>143243</v>
      </c>
      <c r="K2590" t="s">
        <v>42</v>
      </c>
      <c r="L2590">
        <v>44</v>
      </c>
      <c r="M2590">
        <v>54</v>
      </c>
      <c r="N2590" t="s">
        <v>35</v>
      </c>
      <c r="O2590" t="s">
        <v>27</v>
      </c>
      <c r="P2590">
        <v>3.35</v>
      </c>
      <c r="Q2590" t="s">
        <v>34</v>
      </c>
      <c r="R2590">
        <v>2.0099999999999998</v>
      </c>
      <c r="S2590" t="s">
        <v>47</v>
      </c>
      <c r="T2590" t="str">
        <f t="shared" si="80"/>
        <v>Moderate</v>
      </c>
      <c r="U2590" t="str">
        <f t="shared" si="81"/>
        <v>Beginner</v>
      </c>
    </row>
    <row r="2591" spans="1:21" x14ac:dyDescent="0.35">
      <c r="A2591" t="s">
        <v>2664</v>
      </c>
      <c r="B2591" t="s">
        <v>156</v>
      </c>
      <c r="C2591" t="s">
        <v>21</v>
      </c>
      <c r="D2591" t="s">
        <v>63</v>
      </c>
      <c r="E2591" t="s">
        <v>23</v>
      </c>
      <c r="F2591">
        <v>19</v>
      </c>
      <c r="G2591">
        <v>0.67</v>
      </c>
      <c r="H2591">
        <v>0.48</v>
      </c>
      <c r="I2591" t="s">
        <v>24</v>
      </c>
      <c r="J2591">
        <v>76980</v>
      </c>
      <c r="K2591" t="s">
        <v>42</v>
      </c>
      <c r="L2591">
        <v>17</v>
      </c>
      <c r="M2591">
        <v>60</v>
      </c>
      <c r="N2591" t="s">
        <v>26</v>
      </c>
      <c r="O2591" t="s">
        <v>25</v>
      </c>
      <c r="P2591">
        <v>3.14</v>
      </c>
      <c r="Q2591" t="s">
        <v>34</v>
      </c>
      <c r="R2591">
        <v>4.97</v>
      </c>
      <c r="S2591" t="s">
        <v>43</v>
      </c>
      <c r="T2591" t="str">
        <f t="shared" si="80"/>
        <v>Moderate</v>
      </c>
      <c r="U2591" t="str">
        <f t="shared" si="81"/>
        <v>Expert</v>
      </c>
    </row>
    <row r="2592" spans="1:21" x14ac:dyDescent="0.35">
      <c r="A2592" t="s">
        <v>2665</v>
      </c>
      <c r="B2592" t="s">
        <v>54</v>
      </c>
      <c r="C2592" t="s">
        <v>21</v>
      </c>
      <c r="D2592" t="s">
        <v>49</v>
      </c>
      <c r="E2592" t="s">
        <v>41</v>
      </c>
      <c r="F2592">
        <v>0</v>
      </c>
      <c r="G2592">
        <v>0.06</v>
      </c>
      <c r="H2592">
        <v>0.69</v>
      </c>
      <c r="I2592" t="s">
        <v>60</v>
      </c>
      <c r="J2592">
        <v>82850</v>
      </c>
      <c r="K2592" t="s">
        <v>25</v>
      </c>
      <c r="L2592">
        <v>21</v>
      </c>
      <c r="M2592">
        <v>33</v>
      </c>
      <c r="N2592" t="s">
        <v>26</v>
      </c>
      <c r="O2592" t="s">
        <v>36</v>
      </c>
      <c r="P2592">
        <v>3.45</v>
      </c>
      <c r="Q2592" t="s">
        <v>24</v>
      </c>
      <c r="R2592">
        <v>3.63</v>
      </c>
      <c r="S2592" t="s">
        <v>43</v>
      </c>
      <c r="T2592" t="str">
        <f t="shared" si="80"/>
        <v>High</v>
      </c>
      <c r="U2592" t="str">
        <f t="shared" si="81"/>
        <v>Beginner</v>
      </c>
    </row>
    <row r="2593" spans="1:21" x14ac:dyDescent="0.35">
      <c r="A2593" t="s">
        <v>2666</v>
      </c>
      <c r="B2593" t="s">
        <v>30</v>
      </c>
      <c r="C2593" t="s">
        <v>55</v>
      </c>
      <c r="D2593" t="s">
        <v>59</v>
      </c>
      <c r="E2593" t="s">
        <v>23</v>
      </c>
      <c r="F2593">
        <v>6</v>
      </c>
      <c r="G2593">
        <v>0.56999999999999995</v>
      </c>
      <c r="H2593">
        <v>0.75</v>
      </c>
      <c r="I2593" t="s">
        <v>34</v>
      </c>
      <c r="J2593">
        <v>124146</v>
      </c>
      <c r="K2593" t="s">
        <v>27</v>
      </c>
      <c r="L2593">
        <v>-8</v>
      </c>
      <c r="M2593">
        <v>60</v>
      </c>
      <c r="N2593" t="s">
        <v>42</v>
      </c>
      <c r="O2593" t="s">
        <v>25</v>
      </c>
      <c r="P2593">
        <v>3.78</v>
      </c>
      <c r="Q2593" t="s">
        <v>34</v>
      </c>
      <c r="R2593">
        <v>3.91</v>
      </c>
      <c r="S2593" t="s">
        <v>28</v>
      </c>
      <c r="T2593" t="str">
        <f t="shared" si="80"/>
        <v>High</v>
      </c>
      <c r="U2593" t="str">
        <f t="shared" si="81"/>
        <v>Intermediate</v>
      </c>
    </row>
    <row r="2594" spans="1:21" x14ac:dyDescent="0.35">
      <c r="A2594" t="s">
        <v>2667</v>
      </c>
      <c r="B2594" t="s">
        <v>96</v>
      </c>
      <c r="C2594" t="s">
        <v>55</v>
      </c>
      <c r="D2594" t="s">
        <v>66</v>
      </c>
      <c r="E2594" t="s">
        <v>33</v>
      </c>
      <c r="F2594">
        <v>14</v>
      </c>
      <c r="G2594">
        <v>0.86</v>
      </c>
      <c r="H2594">
        <v>0.61</v>
      </c>
      <c r="I2594" t="s">
        <v>60</v>
      </c>
      <c r="J2594">
        <v>47978</v>
      </c>
      <c r="K2594" t="s">
        <v>25</v>
      </c>
      <c r="L2594">
        <v>2</v>
      </c>
      <c r="M2594">
        <v>50</v>
      </c>
      <c r="N2594" t="s">
        <v>35</v>
      </c>
      <c r="O2594" t="s">
        <v>27</v>
      </c>
      <c r="P2594">
        <v>3.81</v>
      </c>
      <c r="Q2594" t="s">
        <v>34</v>
      </c>
      <c r="R2594">
        <v>4.71</v>
      </c>
      <c r="S2594" t="s">
        <v>43</v>
      </c>
      <c r="T2594" t="str">
        <f t="shared" si="80"/>
        <v>Moderate</v>
      </c>
      <c r="U2594" t="str">
        <f t="shared" si="81"/>
        <v>Experienced</v>
      </c>
    </row>
    <row r="2595" spans="1:21" x14ac:dyDescent="0.35">
      <c r="A2595" t="s">
        <v>2668</v>
      </c>
      <c r="B2595" t="s">
        <v>54</v>
      </c>
      <c r="C2595" t="s">
        <v>74</v>
      </c>
      <c r="D2595" t="s">
        <v>40</v>
      </c>
      <c r="E2595" t="s">
        <v>41</v>
      </c>
      <c r="F2595">
        <v>16</v>
      </c>
      <c r="G2595">
        <v>0.65</v>
      </c>
      <c r="H2595">
        <v>0.5</v>
      </c>
      <c r="I2595" t="s">
        <v>24</v>
      </c>
      <c r="J2595">
        <v>30676</v>
      </c>
      <c r="K2595" t="s">
        <v>27</v>
      </c>
      <c r="L2595">
        <v>20</v>
      </c>
      <c r="M2595">
        <v>37</v>
      </c>
      <c r="N2595" t="s">
        <v>35</v>
      </c>
      <c r="O2595" t="s">
        <v>25</v>
      </c>
      <c r="P2595">
        <v>2.09</v>
      </c>
      <c r="Q2595" t="s">
        <v>34</v>
      </c>
      <c r="R2595">
        <v>3.55</v>
      </c>
      <c r="S2595" t="s">
        <v>43</v>
      </c>
      <c r="T2595" t="str">
        <f t="shared" si="80"/>
        <v>Moderate</v>
      </c>
      <c r="U2595" t="str">
        <f t="shared" si="81"/>
        <v>Expert</v>
      </c>
    </row>
    <row r="2596" spans="1:21" x14ac:dyDescent="0.35">
      <c r="A2596" t="s">
        <v>2669</v>
      </c>
      <c r="B2596" t="s">
        <v>77</v>
      </c>
      <c r="C2596" t="s">
        <v>74</v>
      </c>
      <c r="D2596" t="s">
        <v>75</v>
      </c>
      <c r="E2596" t="s">
        <v>70</v>
      </c>
      <c r="F2596">
        <v>6</v>
      </c>
      <c r="G2596">
        <v>0.24</v>
      </c>
      <c r="H2596">
        <v>0.59</v>
      </c>
      <c r="I2596" t="s">
        <v>24</v>
      </c>
      <c r="J2596">
        <v>141862</v>
      </c>
      <c r="K2596" t="s">
        <v>27</v>
      </c>
      <c r="L2596">
        <v>14</v>
      </c>
      <c r="M2596">
        <v>58</v>
      </c>
      <c r="N2596" t="s">
        <v>35</v>
      </c>
      <c r="O2596" t="s">
        <v>36</v>
      </c>
      <c r="P2596">
        <v>3.76</v>
      </c>
      <c r="Q2596" t="s">
        <v>34</v>
      </c>
      <c r="R2596">
        <v>2.86</v>
      </c>
      <c r="S2596" t="s">
        <v>43</v>
      </c>
      <c r="T2596" t="str">
        <f t="shared" si="80"/>
        <v>High</v>
      </c>
      <c r="U2596" t="str">
        <f t="shared" si="81"/>
        <v>Intermediate</v>
      </c>
    </row>
    <row r="2597" spans="1:21" x14ac:dyDescent="0.35">
      <c r="A2597" t="s">
        <v>2670</v>
      </c>
      <c r="B2597" t="s">
        <v>54</v>
      </c>
      <c r="C2597" t="s">
        <v>46</v>
      </c>
      <c r="D2597" t="s">
        <v>59</v>
      </c>
      <c r="E2597" t="s">
        <v>41</v>
      </c>
      <c r="F2597">
        <v>25</v>
      </c>
      <c r="G2597">
        <v>0.73</v>
      </c>
      <c r="H2597">
        <v>0.72</v>
      </c>
      <c r="I2597" t="s">
        <v>34</v>
      </c>
      <c r="J2597">
        <v>125958</v>
      </c>
      <c r="K2597" t="s">
        <v>25</v>
      </c>
      <c r="L2597">
        <v>26</v>
      </c>
      <c r="M2597">
        <v>44</v>
      </c>
      <c r="N2597" t="s">
        <v>35</v>
      </c>
      <c r="O2597" t="s">
        <v>36</v>
      </c>
      <c r="P2597">
        <v>4.53</v>
      </c>
      <c r="Q2597" t="s">
        <v>24</v>
      </c>
      <c r="R2597">
        <v>1.78</v>
      </c>
      <c r="S2597" t="s">
        <v>28</v>
      </c>
      <c r="T2597" t="str">
        <f t="shared" si="80"/>
        <v>Moderate</v>
      </c>
      <c r="U2597" t="str">
        <f t="shared" si="81"/>
        <v>Expert</v>
      </c>
    </row>
    <row r="2598" spans="1:21" x14ac:dyDescent="0.35">
      <c r="A2598" t="s">
        <v>2671</v>
      </c>
      <c r="B2598" t="s">
        <v>156</v>
      </c>
      <c r="C2598" t="s">
        <v>46</v>
      </c>
      <c r="D2598" t="s">
        <v>80</v>
      </c>
      <c r="E2598" t="s">
        <v>23</v>
      </c>
      <c r="F2598">
        <v>5</v>
      </c>
      <c r="G2598">
        <v>0.62</v>
      </c>
      <c r="H2598">
        <v>0.85</v>
      </c>
      <c r="I2598" t="s">
        <v>34</v>
      </c>
      <c r="J2598">
        <v>217436</v>
      </c>
      <c r="K2598" t="s">
        <v>42</v>
      </c>
      <c r="L2598">
        <v>-10</v>
      </c>
      <c r="M2598">
        <v>52</v>
      </c>
      <c r="N2598" t="s">
        <v>42</v>
      </c>
      <c r="O2598" t="s">
        <v>25</v>
      </c>
      <c r="P2598">
        <v>2.78</v>
      </c>
      <c r="Q2598" t="s">
        <v>24</v>
      </c>
      <c r="R2598">
        <v>1.46</v>
      </c>
      <c r="S2598" t="s">
        <v>43</v>
      </c>
      <c r="T2598" t="str">
        <f t="shared" si="80"/>
        <v>High</v>
      </c>
      <c r="U2598" t="str">
        <f t="shared" si="81"/>
        <v>Intermediate</v>
      </c>
    </row>
    <row r="2599" spans="1:21" x14ac:dyDescent="0.35">
      <c r="A2599" t="s">
        <v>2672</v>
      </c>
      <c r="B2599" t="s">
        <v>73</v>
      </c>
      <c r="C2599" t="s">
        <v>82</v>
      </c>
      <c r="D2599" t="s">
        <v>63</v>
      </c>
      <c r="E2599" t="s">
        <v>70</v>
      </c>
      <c r="F2599">
        <v>5</v>
      </c>
      <c r="G2599">
        <v>0.44</v>
      </c>
      <c r="H2599">
        <v>0.53</v>
      </c>
      <c r="I2599" t="s">
        <v>34</v>
      </c>
      <c r="J2599">
        <v>218005</v>
      </c>
      <c r="K2599" t="s">
        <v>25</v>
      </c>
      <c r="L2599">
        <v>-8</v>
      </c>
      <c r="M2599">
        <v>43</v>
      </c>
      <c r="N2599" t="s">
        <v>35</v>
      </c>
      <c r="O2599" t="s">
        <v>27</v>
      </c>
      <c r="P2599">
        <v>4.26</v>
      </c>
      <c r="Q2599" t="s">
        <v>24</v>
      </c>
      <c r="R2599">
        <v>1.67</v>
      </c>
      <c r="S2599" t="s">
        <v>28</v>
      </c>
      <c r="T2599" t="str">
        <f t="shared" si="80"/>
        <v>High</v>
      </c>
      <c r="U2599" t="str">
        <f t="shared" si="81"/>
        <v>Intermediate</v>
      </c>
    </row>
    <row r="2600" spans="1:21" x14ac:dyDescent="0.35">
      <c r="A2600" t="s">
        <v>2673</v>
      </c>
      <c r="B2600" t="s">
        <v>38</v>
      </c>
      <c r="C2600" t="s">
        <v>31</v>
      </c>
      <c r="D2600" t="s">
        <v>63</v>
      </c>
      <c r="E2600" t="s">
        <v>33</v>
      </c>
      <c r="F2600">
        <v>4</v>
      </c>
      <c r="G2600">
        <v>0.22</v>
      </c>
      <c r="H2600">
        <v>0.71</v>
      </c>
      <c r="I2600" t="s">
        <v>34</v>
      </c>
      <c r="J2600">
        <v>113674</v>
      </c>
      <c r="K2600" t="s">
        <v>25</v>
      </c>
      <c r="L2600">
        <v>31</v>
      </c>
      <c r="M2600">
        <v>45</v>
      </c>
      <c r="N2600" t="s">
        <v>42</v>
      </c>
      <c r="O2600" t="s">
        <v>36</v>
      </c>
      <c r="P2600">
        <v>2.97</v>
      </c>
      <c r="Q2600" t="s">
        <v>34</v>
      </c>
      <c r="R2600">
        <v>3.49</v>
      </c>
      <c r="S2600" t="s">
        <v>43</v>
      </c>
      <c r="T2600" t="str">
        <f t="shared" si="80"/>
        <v>Very High</v>
      </c>
      <c r="U2600" t="str">
        <f t="shared" si="81"/>
        <v>Intermediate</v>
      </c>
    </row>
    <row r="2601" spans="1:21" x14ac:dyDescent="0.35">
      <c r="A2601" t="s">
        <v>2674</v>
      </c>
      <c r="B2601" t="s">
        <v>77</v>
      </c>
      <c r="C2601" t="s">
        <v>74</v>
      </c>
      <c r="D2601" t="s">
        <v>69</v>
      </c>
      <c r="E2601" t="s">
        <v>33</v>
      </c>
      <c r="F2601">
        <v>17</v>
      </c>
      <c r="G2601">
        <v>0.51</v>
      </c>
      <c r="H2601">
        <v>0.81</v>
      </c>
      <c r="I2601" t="s">
        <v>24</v>
      </c>
      <c r="J2601">
        <v>164502</v>
      </c>
      <c r="K2601" t="s">
        <v>42</v>
      </c>
      <c r="L2601">
        <v>21</v>
      </c>
      <c r="M2601">
        <v>43</v>
      </c>
      <c r="N2601" t="s">
        <v>42</v>
      </c>
      <c r="O2601" t="s">
        <v>36</v>
      </c>
      <c r="P2601">
        <v>4.32</v>
      </c>
      <c r="Q2601" t="s">
        <v>24</v>
      </c>
      <c r="R2601">
        <v>1.84</v>
      </c>
      <c r="S2601" t="s">
        <v>28</v>
      </c>
      <c r="T2601" t="str">
        <f t="shared" si="80"/>
        <v>High</v>
      </c>
      <c r="U2601" t="str">
        <f t="shared" si="81"/>
        <v>Expert</v>
      </c>
    </row>
    <row r="2602" spans="1:21" x14ac:dyDescent="0.35">
      <c r="A2602" t="s">
        <v>2675</v>
      </c>
      <c r="B2602" t="s">
        <v>65</v>
      </c>
      <c r="C2602" t="s">
        <v>107</v>
      </c>
      <c r="D2602" t="s">
        <v>63</v>
      </c>
      <c r="E2602" t="s">
        <v>33</v>
      </c>
      <c r="F2602">
        <v>20</v>
      </c>
      <c r="G2602">
        <v>0.61</v>
      </c>
      <c r="H2602">
        <v>0.39</v>
      </c>
      <c r="I2602" t="s">
        <v>60</v>
      </c>
      <c r="J2602">
        <v>198823</v>
      </c>
      <c r="K2602" t="s">
        <v>42</v>
      </c>
      <c r="L2602">
        <v>1</v>
      </c>
      <c r="M2602">
        <v>32</v>
      </c>
      <c r="N2602" t="s">
        <v>42</v>
      </c>
      <c r="O2602" t="s">
        <v>36</v>
      </c>
      <c r="P2602">
        <v>4.21</v>
      </c>
      <c r="Q2602" t="s">
        <v>24</v>
      </c>
      <c r="R2602">
        <v>4.3</v>
      </c>
      <c r="S2602" t="s">
        <v>43</v>
      </c>
      <c r="T2602" t="str">
        <f t="shared" si="80"/>
        <v>Moderate</v>
      </c>
      <c r="U2602" t="str">
        <f t="shared" si="81"/>
        <v>Expert</v>
      </c>
    </row>
    <row r="2603" spans="1:21" x14ac:dyDescent="0.35">
      <c r="A2603" t="s">
        <v>2676</v>
      </c>
      <c r="B2603" t="s">
        <v>94</v>
      </c>
      <c r="C2603" t="s">
        <v>55</v>
      </c>
      <c r="D2603" t="s">
        <v>59</v>
      </c>
      <c r="E2603" t="s">
        <v>33</v>
      </c>
      <c r="F2603">
        <v>11</v>
      </c>
      <c r="G2603">
        <v>0.52</v>
      </c>
      <c r="H2603">
        <v>0.7</v>
      </c>
      <c r="I2603" t="s">
        <v>24</v>
      </c>
      <c r="J2603">
        <v>192118</v>
      </c>
      <c r="K2603" t="s">
        <v>42</v>
      </c>
      <c r="L2603">
        <v>45</v>
      </c>
      <c r="M2603">
        <v>39</v>
      </c>
      <c r="N2603" t="s">
        <v>35</v>
      </c>
      <c r="O2603" t="s">
        <v>25</v>
      </c>
      <c r="P2603">
        <v>3.87</v>
      </c>
      <c r="Q2603" t="s">
        <v>24</v>
      </c>
      <c r="R2603">
        <v>4.75</v>
      </c>
      <c r="S2603" t="s">
        <v>28</v>
      </c>
      <c r="T2603" t="str">
        <f t="shared" si="80"/>
        <v>High</v>
      </c>
      <c r="U2603" t="str">
        <f t="shared" si="81"/>
        <v>Experienced</v>
      </c>
    </row>
    <row r="2604" spans="1:21" x14ac:dyDescent="0.35">
      <c r="A2604" t="s">
        <v>2677</v>
      </c>
      <c r="B2604" t="s">
        <v>96</v>
      </c>
      <c r="C2604" t="s">
        <v>52</v>
      </c>
      <c r="D2604" t="s">
        <v>75</v>
      </c>
      <c r="E2604" t="s">
        <v>23</v>
      </c>
      <c r="F2604">
        <v>17</v>
      </c>
      <c r="G2604">
        <v>0.11</v>
      </c>
      <c r="H2604">
        <v>0.35</v>
      </c>
      <c r="I2604" t="s">
        <v>60</v>
      </c>
      <c r="J2604">
        <v>105111</v>
      </c>
      <c r="K2604" t="s">
        <v>27</v>
      </c>
      <c r="L2604">
        <v>30</v>
      </c>
      <c r="M2604">
        <v>48</v>
      </c>
      <c r="N2604" t="s">
        <v>26</v>
      </c>
      <c r="O2604" t="s">
        <v>27</v>
      </c>
      <c r="P2604">
        <v>4.95</v>
      </c>
      <c r="Q2604" t="s">
        <v>34</v>
      </c>
      <c r="R2604">
        <v>2.88</v>
      </c>
      <c r="S2604" t="s">
        <v>43</v>
      </c>
      <c r="T2604" t="str">
        <f t="shared" si="80"/>
        <v>High</v>
      </c>
      <c r="U2604" t="str">
        <f t="shared" si="81"/>
        <v>Expert</v>
      </c>
    </row>
    <row r="2605" spans="1:21" x14ac:dyDescent="0.35">
      <c r="A2605" t="s">
        <v>2678</v>
      </c>
      <c r="B2605" t="s">
        <v>156</v>
      </c>
      <c r="C2605" t="s">
        <v>82</v>
      </c>
      <c r="D2605" t="s">
        <v>32</v>
      </c>
      <c r="E2605" t="s">
        <v>41</v>
      </c>
      <c r="F2605">
        <v>22</v>
      </c>
      <c r="G2605">
        <v>0.65</v>
      </c>
      <c r="H2605">
        <v>0.26</v>
      </c>
      <c r="I2605" t="s">
        <v>24</v>
      </c>
      <c r="J2605">
        <v>85925</v>
      </c>
      <c r="K2605" t="s">
        <v>25</v>
      </c>
      <c r="L2605">
        <v>27</v>
      </c>
      <c r="M2605">
        <v>40</v>
      </c>
      <c r="N2605" t="s">
        <v>42</v>
      </c>
      <c r="O2605" t="s">
        <v>25</v>
      </c>
      <c r="P2605">
        <v>2.54</v>
      </c>
      <c r="Q2605" t="s">
        <v>34</v>
      </c>
      <c r="R2605">
        <v>3.39</v>
      </c>
      <c r="S2605" t="s">
        <v>47</v>
      </c>
      <c r="T2605" t="str">
        <f t="shared" si="80"/>
        <v>Moderate</v>
      </c>
      <c r="U2605" t="str">
        <f t="shared" si="81"/>
        <v>Expert</v>
      </c>
    </row>
    <row r="2606" spans="1:21" x14ac:dyDescent="0.35">
      <c r="A2606" t="s">
        <v>2679</v>
      </c>
      <c r="B2606" t="s">
        <v>51</v>
      </c>
      <c r="C2606" t="s">
        <v>52</v>
      </c>
      <c r="D2606" t="s">
        <v>59</v>
      </c>
      <c r="E2606" t="s">
        <v>33</v>
      </c>
      <c r="F2606">
        <v>13</v>
      </c>
      <c r="G2606">
        <v>0.28000000000000003</v>
      </c>
      <c r="H2606">
        <v>0.41</v>
      </c>
      <c r="I2606" t="s">
        <v>60</v>
      </c>
      <c r="J2606">
        <v>63178</v>
      </c>
      <c r="K2606" t="s">
        <v>27</v>
      </c>
      <c r="L2606">
        <v>-2</v>
      </c>
      <c r="M2606">
        <v>33</v>
      </c>
      <c r="N2606" t="s">
        <v>42</v>
      </c>
      <c r="O2606" t="s">
        <v>36</v>
      </c>
      <c r="P2606">
        <v>2.96</v>
      </c>
      <c r="Q2606" t="s">
        <v>34</v>
      </c>
      <c r="R2606">
        <v>1.43</v>
      </c>
      <c r="S2606" t="s">
        <v>28</v>
      </c>
      <c r="T2606" t="str">
        <f t="shared" si="80"/>
        <v>High</v>
      </c>
      <c r="U2606" t="str">
        <f t="shared" si="81"/>
        <v>Experienced</v>
      </c>
    </row>
    <row r="2607" spans="1:21" x14ac:dyDescent="0.35">
      <c r="A2607" t="s">
        <v>2680</v>
      </c>
      <c r="B2607" t="s">
        <v>91</v>
      </c>
      <c r="C2607" t="s">
        <v>107</v>
      </c>
      <c r="D2607" t="s">
        <v>80</v>
      </c>
      <c r="E2607" t="s">
        <v>41</v>
      </c>
      <c r="F2607">
        <v>24</v>
      </c>
      <c r="G2607">
        <v>0.8</v>
      </c>
      <c r="H2607">
        <v>0.51</v>
      </c>
      <c r="I2607" t="s">
        <v>24</v>
      </c>
      <c r="J2607">
        <v>172491</v>
      </c>
      <c r="K2607" t="s">
        <v>27</v>
      </c>
      <c r="L2607">
        <v>-3</v>
      </c>
      <c r="M2607">
        <v>50</v>
      </c>
      <c r="N2607" t="s">
        <v>42</v>
      </c>
      <c r="O2607" t="s">
        <v>27</v>
      </c>
      <c r="P2607">
        <v>2.2999999999999998</v>
      </c>
      <c r="Q2607" t="s">
        <v>24</v>
      </c>
      <c r="R2607">
        <v>2.69</v>
      </c>
      <c r="S2607" t="s">
        <v>43</v>
      </c>
      <c r="T2607" t="str">
        <f t="shared" si="80"/>
        <v>Moderate</v>
      </c>
      <c r="U2607" t="str">
        <f t="shared" si="81"/>
        <v>Expert</v>
      </c>
    </row>
    <row r="2608" spans="1:21" x14ac:dyDescent="0.35">
      <c r="A2608" t="s">
        <v>2681</v>
      </c>
      <c r="B2608" t="s">
        <v>77</v>
      </c>
      <c r="C2608" t="s">
        <v>58</v>
      </c>
      <c r="D2608" t="s">
        <v>59</v>
      </c>
      <c r="E2608" t="s">
        <v>33</v>
      </c>
      <c r="F2608">
        <v>22</v>
      </c>
      <c r="G2608">
        <v>0.35</v>
      </c>
      <c r="H2608">
        <v>0.83</v>
      </c>
      <c r="I2608" t="s">
        <v>34</v>
      </c>
      <c r="J2608">
        <v>138664</v>
      </c>
      <c r="K2608" t="s">
        <v>27</v>
      </c>
      <c r="L2608">
        <v>26</v>
      </c>
      <c r="M2608">
        <v>52</v>
      </c>
      <c r="N2608" t="s">
        <v>35</v>
      </c>
      <c r="O2608" t="s">
        <v>25</v>
      </c>
      <c r="P2608">
        <v>2.11</v>
      </c>
      <c r="Q2608" t="s">
        <v>34</v>
      </c>
      <c r="R2608">
        <v>2.78</v>
      </c>
      <c r="S2608" t="s">
        <v>28</v>
      </c>
      <c r="T2608" t="str">
        <f t="shared" si="80"/>
        <v>Very High</v>
      </c>
      <c r="U2608" t="str">
        <f t="shared" si="81"/>
        <v>Expert</v>
      </c>
    </row>
    <row r="2609" spans="1:21" x14ac:dyDescent="0.35">
      <c r="A2609" t="s">
        <v>2682</v>
      </c>
      <c r="B2609" t="s">
        <v>91</v>
      </c>
      <c r="C2609" t="s">
        <v>55</v>
      </c>
      <c r="D2609" t="s">
        <v>49</v>
      </c>
      <c r="E2609" t="s">
        <v>23</v>
      </c>
      <c r="F2609">
        <v>20</v>
      </c>
      <c r="G2609">
        <v>0.37</v>
      </c>
      <c r="H2609">
        <v>0.47</v>
      </c>
      <c r="I2609" t="s">
        <v>24</v>
      </c>
      <c r="J2609">
        <v>66083</v>
      </c>
      <c r="K2609" t="s">
        <v>27</v>
      </c>
      <c r="L2609">
        <v>14</v>
      </c>
      <c r="M2609">
        <v>30</v>
      </c>
      <c r="N2609" t="s">
        <v>35</v>
      </c>
      <c r="O2609" t="s">
        <v>25</v>
      </c>
      <c r="P2609">
        <v>2.99</v>
      </c>
      <c r="Q2609" t="s">
        <v>34</v>
      </c>
      <c r="R2609">
        <v>1.0900000000000001</v>
      </c>
      <c r="S2609" t="s">
        <v>28</v>
      </c>
      <c r="T2609" t="str">
        <f t="shared" si="80"/>
        <v>High</v>
      </c>
      <c r="U2609" t="str">
        <f t="shared" si="81"/>
        <v>Expert</v>
      </c>
    </row>
    <row r="2610" spans="1:21" x14ac:dyDescent="0.35">
      <c r="A2610" t="s">
        <v>2683</v>
      </c>
      <c r="B2610" t="s">
        <v>20</v>
      </c>
      <c r="C2610" t="s">
        <v>52</v>
      </c>
      <c r="D2610" t="s">
        <v>49</v>
      </c>
      <c r="E2610" t="s">
        <v>23</v>
      </c>
      <c r="F2610">
        <v>18</v>
      </c>
      <c r="G2610">
        <v>0.7</v>
      </c>
      <c r="H2610">
        <v>0.21</v>
      </c>
      <c r="I2610" t="s">
        <v>60</v>
      </c>
      <c r="J2610">
        <v>212416</v>
      </c>
      <c r="K2610" t="s">
        <v>27</v>
      </c>
      <c r="L2610">
        <v>26</v>
      </c>
      <c r="M2610">
        <v>36</v>
      </c>
      <c r="N2610" t="s">
        <v>26</v>
      </c>
      <c r="O2610" t="s">
        <v>27</v>
      </c>
      <c r="P2610">
        <v>4.8499999999999996</v>
      </c>
      <c r="Q2610" t="s">
        <v>24</v>
      </c>
      <c r="R2610">
        <v>4.55</v>
      </c>
      <c r="S2610" t="s">
        <v>28</v>
      </c>
      <c r="T2610" t="str">
        <f t="shared" si="80"/>
        <v>Very Low</v>
      </c>
      <c r="U2610" t="str">
        <f t="shared" si="81"/>
        <v>Expert</v>
      </c>
    </row>
    <row r="2611" spans="1:21" x14ac:dyDescent="0.35">
      <c r="A2611" t="s">
        <v>2684</v>
      </c>
      <c r="B2611" t="s">
        <v>77</v>
      </c>
      <c r="C2611" t="s">
        <v>58</v>
      </c>
      <c r="D2611" t="s">
        <v>75</v>
      </c>
      <c r="E2611" t="s">
        <v>33</v>
      </c>
      <c r="F2611">
        <v>9</v>
      </c>
      <c r="G2611">
        <v>0.21</v>
      </c>
      <c r="H2611">
        <v>0.96</v>
      </c>
      <c r="I2611" t="s">
        <v>24</v>
      </c>
      <c r="J2611">
        <v>51881</v>
      </c>
      <c r="K2611" t="s">
        <v>42</v>
      </c>
      <c r="L2611">
        <v>11</v>
      </c>
      <c r="M2611">
        <v>33</v>
      </c>
      <c r="N2611" t="s">
        <v>42</v>
      </c>
      <c r="O2611" t="s">
        <v>36</v>
      </c>
      <c r="P2611">
        <v>3.56</v>
      </c>
      <c r="Q2611" t="s">
        <v>34</v>
      </c>
      <c r="R2611">
        <v>4.62</v>
      </c>
      <c r="S2611" t="s">
        <v>43</v>
      </c>
      <c r="T2611" t="str">
        <f t="shared" si="80"/>
        <v>Very High</v>
      </c>
      <c r="U2611" t="str">
        <f t="shared" si="81"/>
        <v>Experienced</v>
      </c>
    </row>
    <row r="2612" spans="1:21" x14ac:dyDescent="0.35">
      <c r="A2612" t="s">
        <v>2685</v>
      </c>
      <c r="B2612" t="s">
        <v>38</v>
      </c>
      <c r="C2612" t="s">
        <v>46</v>
      </c>
      <c r="D2612" t="s">
        <v>69</v>
      </c>
      <c r="E2612" t="s">
        <v>23</v>
      </c>
      <c r="F2612">
        <v>13</v>
      </c>
      <c r="G2612">
        <v>0.84</v>
      </c>
      <c r="H2612">
        <v>0.23</v>
      </c>
      <c r="I2612" t="s">
        <v>60</v>
      </c>
      <c r="J2612">
        <v>162302</v>
      </c>
      <c r="K2612" t="s">
        <v>42</v>
      </c>
      <c r="L2612">
        <v>41</v>
      </c>
      <c r="M2612">
        <v>58</v>
      </c>
      <c r="N2612" t="s">
        <v>26</v>
      </c>
      <c r="O2612" t="s">
        <v>36</v>
      </c>
      <c r="P2612">
        <v>4.4400000000000004</v>
      </c>
      <c r="Q2612" t="s">
        <v>34</v>
      </c>
      <c r="R2612">
        <v>1.85</v>
      </c>
      <c r="S2612" t="s">
        <v>47</v>
      </c>
      <c r="T2612" t="str">
        <f t="shared" si="80"/>
        <v>Very Low</v>
      </c>
      <c r="U2612" t="str">
        <f t="shared" si="81"/>
        <v>Experienced</v>
      </c>
    </row>
    <row r="2613" spans="1:21" x14ac:dyDescent="0.35">
      <c r="A2613" t="s">
        <v>2686</v>
      </c>
      <c r="B2613" t="s">
        <v>62</v>
      </c>
      <c r="C2613" t="s">
        <v>46</v>
      </c>
      <c r="D2613" t="s">
        <v>66</v>
      </c>
      <c r="E2613" t="s">
        <v>23</v>
      </c>
      <c r="F2613">
        <v>6</v>
      </c>
      <c r="G2613">
        <v>0.41</v>
      </c>
      <c r="H2613">
        <v>0.88</v>
      </c>
      <c r="I2613" t="s">
        <v>60</v>
      </c>
      <c r="J2613">
        <v>52080</v>
      </c>
      <c r="K2613" t="s">
        <v>42</v>
      </c>
      <c r="L2613">
        <v>36</v>
      </c>
      <c r="M2613">
        <v>41</v>
      </c>
      <c r="N2613" t="s">
        <v>26</v>
      </c>
      <c r="O2613" t="s">
        <v>36</v>
      </c>
      <c r="P2613">
        <v>4.25</v>
      </c>
      <c r="Q2613" t="s">
        <v>24</v>
      </c>
      <c r="R2613">
        <v>1.07</v>
      </c>
      <c r="S2613" t="s">
        <v>43</v>
      </c>
      <c r="T2613" t="str">
        <f t="shared" si="80"/>
        <v>High</v>
      </c>
      <c r="U2613" t="str">
        <f t="shared" si="81"/>
        <v>Intermediate</v>
      </c>
    </row>
    <row r="2614" spans="1:21" x14ac:dyDescent="0.35">
      <c r="A2614" t="s">
        <v>2687</v>
      </c>
      <c r="B2614" t="s">
        <v>91</v>
      </c>
      <c r="C2614" t="s">
        <v>74</v>
      </c>
      <c r="D2614" t="s">
        <v>22</v>
      </c>
      <c r="E2614" t="s">
        <v>23</v>
      </c>
      <c r="F2614">
        <v>1</v>
      </c>
      <c r="G2614">
        <v>0.1</v>
      </c>
      <c r="H2614">
        <v>0.72</v>
      </c>
      <c r="I2614" t="s">
        <v>60</v>
      </c>
      <c r="J2614">
        <v>67722</v>
      </c>
      <c r="K2614" t="s">
        <v>27</v>
      </c>
      <c r="L2614">
        <v>24</v>
      </c>
      <c r="M2614">
        <v>48</v>
      </c>
      <c r="N2614" t="s">
        <v>42</v>
      </c>
      <c r="O2614" t="s">
        <v>27</v>
      </c>
      <c r="P2614">
        <v>3.15</v>
      </c>
      <c r="Q2614" t="s">
        <v>34</v>
      </c>
      <c r="R2614">
        <v>3.43</v>
      </c>
      <c r="S2614" t="s">
        <v>43</v>
      </c>
      <c r="T2614" t="str">
        <f t="shared" si="80"/>
        <v>Very High</v>
      </c>
      <c r="U2614" t="str">
        <f t="shared" si="81"/>
        <v>Beginner</v>
      </c>
    </row>
    <row r="2615" spans="1:21" x14ac:dyDescent="0.35">
      <c r="A2615" t="s">
        <v>2688</v>
      </c>
      <c r="B2615" t="s">
        <v>51</v>
      </c>
      <c r="C2615" t="s">
        <v>21</v>
      </c>
      <c r="D2615" t="s">
        <v>32</v>
      </c>
      <c r="E2615" t="s">
        <v>70</v>
      </c>
      <c r="F2615">
        <v>22</v>
      </c>
      <c r="G2615">
        <v>0.28999999999999998</v>
      </c>
      <c r="H2615">
        <v>0.42</v>
      </c>
      <c r="I2615" t="s">
        <v>60</v>
      </c>
      <c r="J2615">
        <v>117404</v>
      </c>
      <c r="K2615" t="s">
        <v>42</v>
      </c>
      <c r="L2615">
        <v>-8</v>
      </c>
      <c r="M2615">
        <v>43</v>
      </c>
      <c r="N2615" t="s">
        <v>35</v>
      </c>
      <c r="O2615" t="s">
        <v>27</v>
      </c>
      <c r="P2615">
        <v>4.91</v>
      </c>
      <c r="Q2615" t="s">
        <v>24</v>
      </c>
      <c r="R2615">
        <v>4.03</v>
      </c>
      <c r="S2615" t="s">
        <v>28</v>
      </c>
      <c r="T2615" t="str">
        <f t="shared" si="80"/>
        <v>High</v>
      </c>
      <c r="U2615" t="str">
        <f t="shared" si="81"/>
        <v>Expert</v>
      </c>
    </row>
    <row r="2616" spans="1:21" x14ac:dyDescent="0.35">
      <c r="A2616" t="s">
        <v>2689</v>
      </c>
      <c r="B2616" t="s">
        <v>77</v>
      </c>
      <c r="C2616" t="s">
        <v>46</v>
      </c>
      <c r="D2616" t="s">
        <v>40</v>
      </c>
      <c r="E2616" t="s">
        <v>70</v>
      </c>
      <c r="F2616">
        <v>3</v>
      </c>
      <c r="G2616">
        <v>0.09</v>
      </c>
      <c r="H2616">
        <v>0.65</v>
      </c>
      <c r="I2616" t="s">
        <v>34</v>
      </c>
      <c r="J2616">
        <v>218890</v>
      </c>
      <c r="K2616" t="s">
        <v>27</v>
      </c>
      <c r="L2616">
        <v>-4</v>
      </c>
      <c r="M2616">
        <v>39</v>
      </c>
      <c r="N2616" t="s">
        <v>35</v>
      </c>
      <c r="O2616" t="s">
        <v>36</v>
      </c>
      <c r="P2616">
        <v>4.3600000000000003</v>
      </c>
      <c r="Q2616" t="s">
        <v>34</v>
      </c>
      <c r="R2616">
        <v>1.06</v>
      </c>
      <c r="S2616" t="s">
        <v>47</v>
      </c>
      <c r="T2616" t="str">
        <f t="shared" si="80"/>
        <v>High</v>
      </c>
      <c r="U2616" t="str">
        <f t="shared" si="81"/>
        <v>Intermediate</v>
      </c>
    </row>
    <row r="2617" spans="1:21" x14ac:dyDescent="0.35">
      <c r="A2617" t="s">
        <v>2690</v>
      </c>
      <c r="B2617" t="s">
        <v>57</v>
      </c>
      <c r="C2617" t="s">
        <v>52</v>
      </c>
      <c r="D2617" t="s">
        <v>66</v>
      </c>
      <c r="E2617" t="s">
        <v>41</v>
      </c>
      <c r="F2617">
        <v>5</v>
      </c>
      <c r="G2617">
        <v>0.2</v>
      </c>
      <c r="H2617">
        <v>0.68</v>
      </c>
      <c r="I2617" t="s">
        <v>24</v>
      </c>
      <c r="J2617">
        <v>135261</v>
      </c>
      <c r="K2617" t="s">
        <v>42</v>
      </c>
      <c r="L2617">
        <v>9</v>
      </c>
      <c r="M2617">
        <v>44</v>
      </c>
      <c r="N2617" t="s">
        <v>35</v>
      </c>
      <c r="O2617" t="s">
        <v>36</v>
      </c>
      <c r="P2617">
        <v>4.08</v>
      </c>
      <c r="Q2617" t="s">
        <v>24</v>
      </c>
      <c r="R2617">
        <v>3.8</v>
      </c>
      <c r="S2617" t="s">
        <v>28</v>
      </c>
      <c r="T2617" t="str">
        <f t="shared" si="80"/>
        <v>High</v>
      </c>
      <c r="U2617" t="str">
        <f t="shared" si="81"/>
        <v>Intermediate</v>
      </c>
    </row>
    <row r="2618" spans="1:21" x14ac:dyDescent="0.35">
      <c r="A2618" t="s">
        <v>2691</v>
      </c>
      <c r="B2618" t="s">
        <v>106</v>
      </c>
      <c r="C2618" t="s">
        <v>31</v>
      </c>
      <c r="D2618" t="s">
        <v>75</v>
      </c>
      <c r="E2618" t="s">
        <v>41</v>
      </c>
      <c r="F2618">
        <v>14</v>
      </c>
      <c r="G2618">
        <v>0.89</v>
      </c>
      <c r="H2618">
        <v>0.51</v>
      </c>
      <c r="I2618" t="s">
        <v>34</v>
      </c>
      <c r="J2618">
        <v>105821</v>
      </c>
      <c r="K2618" t="s">
        <v>27</v>
      </c>
      <c r="L2618">
        <v>30</v>
      </c>
      <c r="M2618">
        <v>38</v>
      </c>
      <c r="N2618" t="s">
        <v>35</v>
      </c>
      <c r="O2618" t="s">
        <v>36</v>
      </c>
      <c r="P2618">
        <v>4.0199999999999996</v>
      </c>
      <c r="Q2618" t="s">
        <v>34</v>
      </c>
      <c r="R2618">
        <v>3.11</v>
      </c>
      <c r="S2618" t="s">
        <v>43</v>
      </c>
      <c r="T2618" t="str">
        <f t="shared" si="80"/>
        <v>Moderate</v>
      </c>
      <c r="U2618" t="str">
        <f t="shared" si="81"/>
        <v>Experienced</v>
      </c>
    </row>
    <row r="2619" spans="1:21" x14ac:dyDescent="0.35">
      <c r="A2619" t="s">
        <v>2692</v>
      </c>
      <c r="B2619" t="s">
        <v>68</v>
      </c>
      <c r="C2619" t="s">
        <v>82</v>
      </c>
      <c r="D2619" t="s">
        <v>32</v>
      </c>
      <c r="E2619" t="s">
        <v>70</v>
      </c>
      <c r="F2619">
        <v>25</v>
      </c>
      <c r="G2619">
        <v>0.56000000000000005</v>
      </c>
      <c r="H2619">
        <v>0.63</v>
      </c>
      <c r="I2619" t="s">
        <v>34</v>
      </c>
      <c r="J2619">
        <v>173897</v>
      </c>
      <c r="K2619" t="s">
        <v>42</v>
      </c>
      <c r="L2619">
        <v>-3</v>
      </c>
      <c r="M2619">
        <v>59</v>
      </c>
      <c r="N2619" t="s">
        <v>42</v>
      </c>
      <c r="O2619" t="s">
        <v>25</v>
      </c>
      <c r="P2619">
        <v>4.34</v>
      </c>
      <c r="Q2619" t="s">
        <v>24</v>
      </c>
      <c r="R2619">
        <v>3.42</v>
      </c>
      <c r="S2619" t="s">
        <v>43</v>
      </c>
      <c r="T2619" t="str">
        <f t="shared" si="80"/>
        <v>High</v>
      </c>
      <c r="U2619" t="str">
        <f t="shared" si="81"/>
        <v>Expert</v>
      </c>
    </row>
    <row r="2620" spans="1:21" x14ac:dyDescent="0.35">
      <c r="A2620" t="s">
        <v>2693</v>
      </c>
      <c r="B2620" t="s">
        <v>57</v>
      </c>
      <c r="C2620" t="s">
        <v>74</v>
      </c>
      <c r="D2620" t="s">
        <v>40</v>
      </c>
      <c r="E2620" t="s">
        <v>70</v>
      </c>
      <c r="F2620">
        <v>19</v>
      </c>
      <c r="G2620">
        <v>0.57999999999999996</v>
      </c>
      <c r="H2620">
        <v>0.21</v>
      </c>
      <c r="I2620" t="s">
        <v>24</v>
      </c>
      <c r="J2620">
        <v>144116</v>
      </c>
      <c r="K2620" t="s">
        <v>25</v>
      </c>
      <c r="L2620">
        <v>20</v>
      </c>
      <c r="M2620">
        <v>40</v>
      </c>
      <c r="N2620" t="s">
        <v>26</v>
      </c>
      <c r="O2620" t="s">
        <v>25</v>
      </c>
      <c r="P2620">
        <v>2.71</v>
      </c>
      <c r="Q2620" t="s">
        <v>34</v>
      </c>
      <c r="R2620">
        <v>1.22</v>
      </c>
      <c r="S2620" t="s">
        <v>28</v>
      </c>
      <c r="T2620" t="str">
        <f t="shared" si="80"/>
        <v>Moderate</v>
      </c>
      <c r="U2620" t="str">
        <f t="shared" si="81"/>
        <v>Expert</v>
      </c>
    </row>
    <row r="2621" spans="1:21" x14ac:dyDescent="0.35">
      <c r="A2621" t="s">
        <v>2694</v>
      </c>
      <c r="B2621" t="s">
        <v>57</v>
      </c>
      <c r="C2621" t="s">
        <v>107</v>
      </c>
      <c r="D2621" t="s">
        <v>49</v>
      </c>
      <c r="E2621" t="s">
        <v>70</v>
      </c>
      <c r="F2621">
        <v>17</v>
      </c>
      <c r="G2621">
        <v>0.05</v>
      </c>
      <c r="H2621">
        <v>0.51</v>
      </c>
      <c r="I2621" t="s">
        <v>34</v>
      </c>
      <c r="J2621">
        <v>110839</v>
      </c>
      <c r="K2621" t="s">
        <v>25</v>
      </c>
      <c r="L2621">
        <v>39</v>
      </c>
      <c r="M2621">
        <v>41</v>
      </c>
      <c r="N2621" t="s">
        <v>35</v>
      </c>
      <c r="O2621" t="s">
        <v>36</v>
      </c>
      <c r="P2621">
        <v>2.2599999999999998</v>
      </c>
      <c r="Q2621" t="s">
        <v>24</v>
      </c>
      <c r="R2621">
        <v>1.1399999999999999</v>
      </c>
      <c r="S2621" t="s">
        <v>47</v>
      </c>
      <c r="T2621" t="str">
        <f t="shared" si="80"/>
        <v>High</v>
      </c>
      <c r="U2621" t="str">
        <f t="shared" si="81"/>
        <v>Expert</v>
      </c>
    </row>
    <row r="2622" spans="1:21" x14ac:dyDescent="0.35">
      <c r="A2622" t="s">
        <v>2695</v>
      </c>
      <c r="B2622" t="s">
        <v>96</v>
      </c>
      <c r="C2622" t="s">
        <v>46</v>
      </c>
      <c r="D2622" t="s">
        <v>69</v>
      </c>
      <c r="E2622" t="s">
        <v>70</v>
      </c>
      <c r="F2622">
        <v>14</v>
      </c>
      <c r="G2622">
        <v>0.23</v>
      </c>
      <c r="H2622">
        <v>0.89</v>
      </c>
      <c r="I2622" t="s">
        <v>34</v>
      </c>
      <c r="J2622">
        <v>118254</v>
      </c>
      <c r="K2622" t="s">
        <v>25</v>
      </c>
      <c r="L2622">
        <v>2</v>
      </c>
      <c r="M2622">
        <v>59</v>
      </c>
      <c r="N2622" t="s">
        <v>35</v>
      </c>
      <c r="O2622" t="s">
        <v>25</v>
      </c>
      <c r="P2622">
        <v>4.7699999999999996</v>
      </c>
      <c r="Q2622" t="s">
        <v>34</v>
      </c>
      <c r="R2622">
        <v>1.37</v>
      </c>
      <c r="S2622" t="s">
        <v>43</v>
      </c>
      <c r="T2622" t="str">
        <f t="shared" si="80"/>
        <v>Very High</v>
      </c>
      <c r="U2622" t="str">
        <f t="shared" si="81"/>
        <v>Experienced</v>
      </c>
    </row>
    <row r="2623" spans="1:21" x14ac:dyDescent="0.35">
      <c r="A2623" t="s">
        <v>2696</v>
      </c>
      <c r="B2623" t="s">
        <v>147</v>
      </c>
      <c r="C2623" t="s">
        <v>31</v>
      </c>
      <c r="D2623" t="s">
        <v>59</v>
      </c>
      <c r="E2623" t="s">
        <v>41</v>
      </c>
      <c r="F2623">
        <v>18</v>
      </c>
      <c r="G2623">
        <v>0.42</v>
      </c>
      <c r="H2623">
        <v>0.54</v>
      </c>
      <c r="I2623" t="s">
        <v>60</v>
      </c>
      <c r="J2623">
        <v>52783</v>
      </c>
      <c r="K2623" t="s">
        <v>25</v>
      </c>
      <c r="L2623">
        <v>3</v>
      </c>
      <c r="M2623">
        <v>50</v>
      </c>
      <c r="N2623" t="s">
        <v>26</v>
      </c>
      <c r="O2623" t="s">
        <v>36</v>
      </c>
      <c r="P2623">
        <v>4.07</v>
      </c>
      <c r="Q2623" t="s">
        <v>24</v>
      </c>
      <c r="R2623">
        <v>1.99</v>
      </c>
      <c r="S2623" t="s">
        <v>43</v>
      </c>
      <c r="T2623" t="str">
        <f t="shared" si="80"/>
        <v>High</v>
      </c>
      <c r="U2623" t="str">
        <f t="shared" si="81"/>
        <v>Expert</v>
      </c>
    </row>
    <row r="2624" spans="1:21" x14ac:dyDescent="0.35">
      <c r="A2624" t="s">
        <v>2697</v>
      </c>
      <c r="B2624" t="s">
        <v>102</v>
      </c>
      <c r="C2624" t="s">
        <v>74</v>
      </c>
      <c r="D2624" t="s">
        <v>40</v>
      </c>
      <c r="E2624" t="s">
        <v>70</v>
      </c>
      <c r="F2624">
        <v>10</v>
      </c>
      <c r="G2624">
        <v>0.24</v>
      </c>
      <c r="H2624">
        <v>0.44</v>
      </c>
      <c r="I2624" t="s">
        <v>24</v>
      </c>
      <c r="J2624">
        <v>215033</v>
      </c>
      <c r="K2624" t="s">
        <v>25</v>
      </c>
      <c r="L2624">
        <v>22</v>
      </c>
      <c r="M2624">
        <v>54</v>
      </c>
      <c r="N2624" t="s">
        <v>26</v>
      </c>
      <c r="O2624" t="s">
        <v>25</v>
      </c>
      <c r="P2624">
        <v>2.64</v>
      </c>
      <c r="Q2624" t="s">
        <v>34</v>
      </c>
      <c r="R2624">
        <v>3.75</v>
      </c>
      <c r="S2624" t="s">
        <v>43</v>
      </c>
      <c r="T2624" t="str">
        <f t="shared" si="80"/>
        <v>High</v>
      </c>
      <c r="U2624" t="str">
        <f t="shared" si="81"/>
        <v>Experienced</v>
      </c>
    </row>
    <row r="2625" spans="1:21" x14ac:dyDescent="0.35">
      <c r="A2625" t="s">
        <v>2698</v>
      </c>
      <c r="B2625" t="s">
        <v>91</v>
      </c>
      <c r="C2625" t="s">
        <v>74</v>
      </c>
      <c r="D2625" t="s">
        <v>80</v>
      </c>
      <c r="E2625" t="s">
        <v>33</v>
      </c>
      <c r="F2625">
        <v>20</v>
      </c>
      <c r="G2625">
        <v>0.59</v>
      </c>
      <c r="H2625">
        <v>0.52</v>
      </c>
      <c r="I2625" t="s">
        <v>24</v>
      </c>
      <c r="J2625">
        <v>144852</v>
      </c>
      <c r="K2625" t="s">
        <v>42</v>
      </c>
      <c r="L2625">
        <v>1</v>
      </c>
      <c r="M2625">
        <v>33</v>
      </c>
      <c r="N2625" t="s">
        <v>26</v>
      </c>
      <c r="O2625" t="s">
        <v>27</v>
      </c>
      <c r="P2625">
        <v>3.49</v>
      </c>
      <c r="Q2625" t="s">
        <v>34</v>
      </c>
      <c r="R2625">
        <v>2.1800000000000002</v>
      </c>
      <c r="S2625" t="s">
        <v>43</v>
      </c>
      <c r="T2625" t="str">
        <f t="shared" si="80"/>
        <v>Moderate</v>
      </c>
      <c r="U2625" t="str">
        <f t="shared" si="81"/>
        <v>Expert</v>
      </c>
    </row>
    <row r="2626" spans="1:21" x14ac:dyDescent="0.35">
      <c r="A2626" t="s">
        <v>2699</v>
      </c>
      <c r="B2626" t="s">
        <v>30</v>
      </c>
      <c r="C2626" t="s">
        <v>31</v>
      </c>
      <c r="D2626" t="s">
        <v>75</v>
      </c>
      <c r="E2626" t="s">
        <v>33</v>
      </c>
      <c r="F2626">
        <v>9</v>
      </c>
      <c r="G2626">
        <v>0.9</v>
      </c>
      <c r="H2626">
        <v>0.78</v>
      </c>
      <c r="I2626" t="s">
        <v>34</v>
      </c>
      <c r="J2626">
        <v>50000</v>
      </c>
      <c r="K2626" t="s">
        <v>42</v>
      </c>
      <c r="L2626">
        <v>22</v>
      </c>
      <c r="M2626">
        <v>36</v>
      </c>
      <c r="N2626" t="s">
        <v>35</v>
      </c>
      <c r="O2626" t="s">
        <v>36</v>
      </c>
      <c r="P2626">
        <v>4.67</v>
      </c>
      <c r="Q2626" t="s">
        <v>24</v>
      </c>
      <c r="R2626">
        <v>1.43</v>
      </c>
      <c r="S2626" t="s">
        <v>47</v>
      </c>
      <c r="T2626" t="str">
        <f t="shared" si="80"/>
        <v>Moderate</v>
      </c>
      <c r="U2626" t="str">
        <f t="shared" si="81"/>
        <v>Experienced</v>
      </c>
    </row>
    <row r="2627" spans="1:21" x14ac:dyDescent="0.35">
      <c r="A2627" t="s">
        <v>2700</v>
      </c>
      <c r="B2627" t="s">
        <v>156</v>
      </c>
      <c r="C2627" t="s">
        <v>74</v>
      </c>
      <c r="D2627" t="s">
        <v>32</v>
      </c>
      <c r="E2627" t="s">
        <v>23</v>
      </c>
      <c r="F2627">
        <v>19</v>
      </c>
      <c r="G2627">
        <v>0.28999999999999998</v>
      </c>
      <c r="H2627">
        <v>0.28999999999999998</v>
      </c>
      <c r="I2627" t="s">
        <v>60</v>
      </c>
      <c r="J2627">
        <v>56792</v>
      </c>
      <c r="K2627" t="s">
        <v>42</v>
      </c>
      <c r="L2627">
        <v>2</v>
      </c>
      <c r="M2627">
        <v>56</v>
      </c>
      <c r="N2627" t="s">
        <v>42</v>
      </c>
      <c r="O2627" t="s">
        <v>36</v>
      </c>
      <c r="P2627">
        <v>2.5</v>
      </c>
      <c r="Q2627" t="s">
        <v>24</v>
      </c>
      <c r="R2627">
        <v>3.92</v>
      </c>
      <c r="S2627" t="s">
        <v>47</v>
      </c>
      <c r="T2627" t="str">
        <f t="shared" ref="T2627:T2690" si="82">IF(AND(G2627&lt;0.4,H2627&gt;=0.7),"Very High",
IF(AND(G2627&gt;=0.7,H2627&lt;0.5),"Very Low",
IF(G2627&lt;H2627,"High","Moderate")))</f>
        <v>Moderate</v>
      </c>
      <c r="U2627" t="str">
        <f t="shared" ref="U2627:U2690" si="83">_xlfn.IFS(F2627&lt;=2,"Beginner",F2627&lt;=8,"Intermediate",F2627&lt;=15,"Experienced",F2627&lt;=25,"Expert")</f>
        <v>Expert</v>
      </c>
    </row>
    <row r="2628" spans="1:21" x14ac:dyDescent="0.35">
      <c r="A2628" t="s">
        <v>2701</v>
      </c>
      <c r="B2628" t="s">
        <v>77</v>
      </c>
      <c r="C2628" t="s">
        <v>52</v>
      </c>
      <c r="D2628" t="s">
        <v>49</v>
      </c>
      <c r="E2628" t="s">
        <v>70</v>
      </c>
      <c r="F2628">
        <v>12</v>
      </c>
      <c r="G2628">
        <v>0.43</v>
      </c>
      <c r="H2628">
        <v>0.71</v>
      </c>
      <c r="I2628" t="s">
        <v>34</v>
      </c>
      <c r="J2628">
        <v>156107</v>
      </c>
      <c r="K2628" t="s">
        <v>27</v>
      </c>
      <c r="L2628">
        <v>44</v>
      </c>
      <c r="M2628">
        <v>59</v>
      </c>
      <c r="N2628" t="s">
        <v>35</v>
      </c>
      <c r="O2628" t="s">
        <v>36</v>
      </c>
      <c r="P2628">
        <v>3.79</v>
      </c>
      <c r="Q2628" t="s">
        <v>34</v>
      </c>
      <c r="R2628">
        <v>3.84</v>
      </c>
      <c r="S2628" t="s">
        <v>47</v>
      </c>
      <c r="T2628" t="str">
        <f t="shared" si="82"/>
        <v>High</v>
      </c>
      <c r="U2628" t="str">
        <f t="shared" si="83"/>
        <v>Experienced</v>
      </c>
    </row>
    <row r="2629" spans="1:21" x14ac:dyDescent="0.35">
      <c r="A2629" t="s">
        <v>2702</v>
      </c>
      <c r="B2629" t="s">
        <v>20</v>
      </c>
      <c r="C2629" t="s">
        <v>82</v>
      </c>
      <c r="D2629" t="s">
        <v>40</v>
      </c>
      <c r="E2629" t="s">
        <v>23</v>
      </c>
      <c r="F2629">
        <v>0</v>
      </c>
      <c r="G2629">
        <v>0.17</v>
      </c>
      <c r="H2629">
        <v>0.69</v>
      </c>
      <c r="I2629" t="s">
        <v>24</v>
      </c>
      <c r="J2629">
        <v>177047</v>
      </c>
      <c r="K2629" t="s">
        <v>27</v>
      </c>
      <c r="L2629">
        <v>16</v>
      </c>
      <c r="M2629">
        <v>51</v>
      </c>
      <c r="N2629" t="s">
        <v>42</v>
      </c>
      <c r="O2629" t="s">
        <v>25</v>
      </c>
      <c r="P2629">
        <v>3.81</v>
      </c>
      <c r="Q2629" t="s">
        <v>34</v>
      </c>
      <c r="R2629">
        <v>1.28</v>
      </c>
      <c r="S2629" t="s">
        <v>28</v>
      </c>
      <c r="T2629" t="str">
        <f t="shared" si="82"/>
        <v>High</v>
      </c>
      <c r="U2629" t="str">
        <f t="shared" si="83"/>
        <v>Beginner</v>
      </c>
    </row>
    <row r="2630" spans="1:21" x14ac:dyDescent="0.35">
      <c r="A2630" t="s">
        <v>2703</v>
      </c>
      <c r="B2630" t="s">
        <v>94</v>
      </c>
      <c r="C2630" t="s">
        <v>58</v>
      </c>
      <c r="D2630" t="s">
        <v>59</v>
      </c>
      <c r="E2630" t="s">
        <v>70</v>
      </c>
      <c r="F2630">
        <v>18</v>
      </c>
      <c r="G2630">
        <v>0.46</v>
      </c>
      <c r="H2630">
        <v>0.53</v>
      </c>
      <c r="I2630" t="s">
        <v>34</v>
      </c>
      <c r="J2630">
        <v>62291</v>
      </c>
      <c r="K2630" t="s">
        <v>27</v>
      </c>
      <c r="L2630">
        <v>-1</v>
      </c>
      <c r="M2630">
        <v>42</v>
      </c>
      <c r="N2630" t="s">
        <v>35</v>
      </c>
      <c r="O2630" t="s">
        <v>36</v>
      </c>
      <c r="P2630">
        <v>3.55</v>
      </c>
      <c r="Q2630" t="s">
        <v>24</v>
      </c>
      <c r="R2630">
        <v>4.3600000000000003</v>
      </c>
      <c r="S2630" t="s">
        <v>28</v>
      </c>
      <c r="T2630" t="str">
        <f t="shared" si="82"/>
        <v>High</v>
      </c>
      <c r="U2630" t="str">
        <f t="shared" si="83"/>
        <v>Expert</v>
      </c>
    </row>
    <row r="2631" spans="1:21" x14ac:dyDescent="0.35">
      <c r="A2631" t="s">
        <v>2704</v>
      </c>
      <c r="B2631" t="s">
        <v>96</v>
      </c>
      <c r="C2631" t="s">
        <v>21</v>
      </c>
      <c r="D2631" t="s">
        <v>63</v>
      </c>
      <c r="E2631" t="s">
        <v>33</v>
      </c>
      <c r="F2631">
        <v>19</v>
      </c>
      <c r="G2631">
        <v>0.73</v>
      </c>
      <c r="H2631">
        <v>0.65</v>
      </c>
      <c r="I2631" t="s">
        <v>24</v>
      </c>
      <c r="J2631">
        <v>129709</v>
      </c>
      <c r="K2631" t="s">
        <v>25</v>
      </c>
      <c r="L2631">
        <v>36</v>
      </c>
      <c r="M2631">
        <v>40</v>
      </c>
      <c r="N2631" t="s">
        <v>42</v>
      </c>
      <c r="O2631" t="s">
        <v>27</v>
      </c>
      <c r="P2631">
        <v>3.8</v>
      </c>
      <c r="Q2631" t="s">
        <v>34</v>
      </c>
      <c r="R2631">
        <v>4.1900000000000004</v>
      </c>
      <c r="S2631" t="s">
        <v>47</v>
      </c>
      <c r="T2631" t="str">
        <f t="shared" si="82"/>
        <v>Moderate</v>
      </c>
      <c r="U2631" t="str">
        <f t="shared" si="83"/>
        <v>Expert</v>
      </c>
    </row>
    <row r="2632" spans="1:21" x14ac:dyDescent="0.35">
      <c r="A2632" t="s">
        <v>2705</v>
      </c>
      <c r="B2632" t="s">
        <v>45</v>
      </c>
      <c r="C2632" t="s">
        <v>21</v>
      </c>
      <c r="D2632" t="s">
        <v>32</v>
      </c>
      <c r="E2632" t="s">
        <v>41</v>
      </c>
      <c r="F2632">
        <v>4</v>
      </c>
      <c r="G2632">
        <v>0.25</v>
      </c>
      <c r="H2632">
        <v>0.78</v>
      </c>
      <c r="I2632" t="s">
        <v>34</v>
      </c>
      <c r="J2632">
        <v>156520</v>
      </c>
      <c r="K2632" t="s">
        <v>25</v>
      </c>
      <c r="L2632">
        <v>-9</v>
      </c>
      <c r="M2632">
        <v>56</v>
      </c>
      <c r="N2632" t="s">
        <v>26</v>
      </c>
      <c r="O2632" t="s">
        <v>25</v>
      </c>
      <c r="P2632">
        <v>4.71</v>
      </c>
      <c r="Q2632" t="s">
        <v>34</v>
      </c>
      <c r="R2632">
        <v>3.55</v>
      </c>
      <c r="S2632" t="s">
        <v>43</v>
      </c>
      <c r="T2632" t="str">
        <f t="shared" si="82"/>
        <v>Very High</v>
      </c>
      <c r="U2632" t="str">
        <f t="shared" si="83"/>
        <v>Intermediate</v>
      </c>
    </row>
    <row r="2633" spans="1:21" x14ac:dyDescent="0.35">
      <c r="A2633" t="s">
        <v>2706</v>
      </c>
      <c r="B2633" t="s">
        <v>102</v>
      </c>
      <c r="C2633" t="s">
        <v>39</v>
      </c>
      <c r="D2633" t="s">
        <v>63</v>
      </c>
      <c r="E2633" t="s">
        <v>33</v>
      </c>
      <c r="F2633">
        <v>7</v>
      </c>
      <c r="G2633">
        <v>0.47</v>
      </c>
      <c r="H2633">
        <v>0.32</v>
      </c>
      <c r="I2633" t="s">
        <v>24</v>
      </c>
      <c r="J2633">
        <v>41982</v>
      </c>
      <c r="K2633" t="s">
        <v>27</v>
      </c>
      <c r="L2633">
        <v>24</v>
      </c>
      <c r="M2633">
        <v>49</v>
      </c>
      <c r="N2633" t="s">
        <v>26</v>
      </c>
      <c r="O2633" t="s">
        <v>36</v>
      </c>
      <c r="P2633">
        <v>2.2000000000000002</v>
      </c>
      <c r="Q2633" t="s">
        <v>24</v>
      </c>
      <c r="R2633">
        <v>4.83</v>
      </c>
      <c r="S2633" t="s">
        <v>28</v>
      </c>
      <c r="T2633" t="str">
        <f t="shared" si="82"/>
        <v>Moderate</v>
      </c>
      <c r="U2633" t="str">
        <f t="shared" si="83"/>
        <v>Intermediate</v>
      </c>
    </row>
    <row r="2634" spans="1:21" x14ac:dyDescent="0.35">
      <c r="A2634" t="s">
        <v>2707</v>
      </c>
      <c r="B2634" t="s">
        <v>20</v>
      </c>
      <c r="C2634" t="s">
        <v>82</v>
      </c>
      <c r="D2634" t="s">
        <v>59</v>
      </c>
      <c r="E2634" t="s">
        <v>23</v>
      </c>
      <c r="F2634">
        <v>0</v>
      </c>
      <c r="G2634">
        <v>0.55000000000000004</v>
      </c>
      <c r="H2634">
        <v>0.56999999999999995</v>
      </c>
      <c r="I2634" t="s">
        <v>60</v>
      </c>
      <c r="J2634">
        <v>144717</v>
      </c>
      <c r="K2634" t="s">
        <v>27</v>
      </c>
      <c r="L2634">
        <v>35</v>
      </c>
      <c r="M2634">
        <v>39</v>
      </c>
      <c r="N2634" t="s">
        <v>35</v>
      </c>
      <c r="O2634" t="s">
        <v>25</v>
      </c>
      <c r="P2634">
        <v>3.78</v>
      </c>
      <c r="Q2634" t="s">
        <v>34</v>
      </c>
      <c r="R2634">
        <v>4.24</v>
      </c>
      <c r="S2634" t="s">
        <v>43</v>
      </c>
      <c r="T2634" t="str">
        <f t="shared" si="82"/>
        <v>High</v>
      </c>
      <c r="U2634" t="str">
        <f t="shared" si="83"/>
        <v>Beginner</v>
      </c>
    </row>
    <row r="2635" spans="1:21" x14ac:dyDescent="0.35">
      <c r="A2635" t="s">
        <v>2708</v>
      </c>
      <c r="B2635" t="s">
        <v>54</v>
      </c>
      <c r="C2635" t="s">
        <v>39</v>
      </c>
      <c r="D2635" t="s">
        <v>75</v>
      </c>
      <c r="E2635" t="s">
        <v>23</v>
      </c>
      <c r="F2635">
        <v>4</v>
      </c>
      <c r="G2635">
        <v>0.77</v>
      </c>
      <c r="H2635">
        <v>0.5</v>
      </c>
      <c r="I2635" t="s">
        <v>24</v>
      </c>
      <c r="J2635">
        <v>150457</v>
      </c>
      <c r="K2635" t="s">
        <v>42</v>
      </c>
      <c r="L2635">
        <v>23</v>
      </c>
      <c r="M2635">
        <v>32</v>
      </c>
      <c r="N2635" t="s">
        <v>42</v>
      </c>
      <c r="O2635" t="s">
        <v>27</v>
      </c>
      <c r="P2635">
        <v>4.03</v>
      </c>
      <c r="Q2635" t="s">
        <v>34</v>
      </c>
      <c r="R2635">
        <v>4.24</v>
      </c>
      <c r="S2635" t="s">
        <v>28</v>
      </c>
      <c r="T2635" t="str">
        <f t="shared" si="82"/>
        <v>Moderate</v>
      </c>
      <c r="U2635" t="str">
        <f t="shared" si="83"/>
        <v>Intermediate</v>
      </c>
    </row>
    <row r="2636" spans="1:21" x14ac:dyDescent="0.35">
      <c r="A2636" t="s">
        <v>2709</v>
      </c>
      <c r="B2636" t="s">
        <v>45</v>
      </c>
      <c r="C2636" t="s">
        <v>21</v>
      </c>
      <c r="D2636" t="s">
        <v>59</v>
      </c>
      <c r="E2636" t="s">
        <v>41</v>
      </c>
      <c r="F2636">
        <v>24</v>
      </c>
      <c r="G2636">
        <v>0.1</v>
      </c>
      <c r="H2636">
        <v>0.87</v>
      </c>
      <c r="I2636" t="s">
        <v>24</v>
      </c>
      <c r="J2636">
        <v>164724</v>
      </c>
      <c r="K2636" t="s">
        <v>27</v>
      </c>
      <c r="L2636">
        <v>7</v>
      </c>
      <c r="M2636">
        <v>37</v>
      </c>
      <c r="N2636" t="s">
        <v>26</v>
      </c>
      <c r="O2636" t="s">
        <v>25</v>
      </c>
      <c r="P2636">
        <v>3.76</v>
      </c>
      <c r="Q2636" t="s">
        <v>34</v>
      </c>
      <c r="R2636">
        <v>4.59</v>
      </c>
      <c r="S2636" t="s">
        <v>28</v>
      </c>
      <c r="T2636" t="str">
        <f t="shared" si="82"/>
        <v>Very High</v>
      </c>
      <c r="U2636" t="str">
        <f t="shared" si="83"/>
        <v>Expert</v>
      </c>
    </row>
    <row r="2637" spans="1:21" x14ac:dyDescent="0.35">
      <c r="A2637" t="s">
        <v>2710</v>
      </c>
      <c r="B2637" t="s">
        <v>30</v>
      </c>
      <c r="C2637" t="s">
        <v>58</v>
      </c>
      <c r="D2637" t="s">
        <v>49</v>
      </c>
      <c r="E2637" t="s">
        <v>70</v>
      </c>
      <c r="F2637">
        <v>18</v>
      </c>
      <c r="G2637">
        <v>0.27</v>
      </c>
      <c r="H2637">
        <v>0.35</v>
      </c>
      <c r="I2637" t="s">
        <v>34</v>
      </c>
      <c r="J2637">
        <v>194010</v>
      </c>
      <c r="K2637" t="s">
        <v>25</v>
      </c>
      <c r="L2637">
        <v>45</v>
      </c>
      <c r="M2637">
        <v>39</v>
      </c>
      <c r="N2637" t="s">
        <v>42</v>
      </c>
      <c r="O2637" t="s">
        <v>25</v>
      </c>
      <c r="P2637">
        <v>4.54</v>
      </c>
      <c r="Q2637" t="s">
        <v>24</v>
      </c>
      <c r="R2637">
        <v>2.76</v>
      </c>
      <c r="S2637" t="s">
        <v>28</v>
      </c>
      <c r="T2637" t="str">
        <f t="shared" si="82"/>
        <v>High</v>
      </c>
      <c r="U2637" t="str">
        <f t="shared" si="83"/>
        <v>Expert</v>
      </c>
    </row>
    <row r="2638" spans="1:21" x14ac:dyDescent="0.35">
      <c r="A2638" t="s">
        <v>2711</v>
      </c>
      <c r="B2638" t="s">
        <v>54</v>
      </c>
      <c r="C2638" t="s">
        <v>21</v>
      </c>
      <c r="D2638" t="s">
        <v>69</v>
      </c>
      <c r="E2638" t="s">
        <v>41</v>
      </c>
      <c r="F2638">
        <v>21</v>
      </c>
      <c r="G2638">
        <v>0.52</v>
      </c>
      <c r="H2638">
        <v>0.97</v>
      </c>
      <c r="I2638" t="s">
        <v>34</v>
      </c>
      <c r="J2638">
        <v>200356</v>
      </c>
      <c r="K2638" t="s">
        <v>27</v>
      </c>
      <c r="L2638">
        <v>3</v>
      </c>
      <c r="M2638">
        <v>51</v>
      </c>
      <c r="N2638" t="s">
        <v>42</v>
      </c>
      <c r="O2638" t="s">
        <v>25</v>
      </c>
      <c r="P2638">
        <v>2.82</v>
      </c>
      <c r="Q2638" t="s">
        <v>24</v>
      </c>
      <c r="R2638">
        <v>3.08</v>
      </c>
      <c r="S2638" t="s">
        <v>28</v>
      </c>
      <c r="T2638" t="str">
        <f t="shared" si="82"/>
        <v>High</v>
      </c>
      <c r="U2638" t="str">
        <f t="shared" si="83"/>
        <v>Expert</v>
      </c>
    </row>
    <row r="2639" spans="1:21" x14ac:dyDescent="0.35">
      <c r="A2639" t="s">
        <v>2712</v>
      </c>
      <c r="B2639" t="s">
        <v>30</v>
      </c>
      <c r="C2639" t="s">
        <v>107</v>
      </c>
      <c r="D2639" t="s">
        <v>66</v>
      </c>
      <c r="E2639" t="s">
        <v>41</v>
      </c>
      <c r="F2639">
        <v>1</v>
      </c>
      <c r="G2639">
        <v>0.51</v>
      </c>
      <c r="H2639">
        <v>0.35</v>
      </c>
      <c r="I2639" t="s">
        <v>24</v>
      </c>
      <c r="J2639">
        <v>33656</v>
      </c>
      <c r="K2639" t="s">
        <v>42</v>
      </c>
      <c r="L2639">
        <v>16</v>
      </c>
      <c r="M2639">
        <v>59</v>
      </c>
      <c r="N2639" t="s">
        <v>35</v>
      </c>
      <c r="O2639" t="s">
        <v>25</v>
      </c>
      <c r="P2639">
        <v>3.24</v>
      </c>
      <c r="Q2639" t="s">
        <v>34</v>
      </c>
      <c r="R2639">
        <v>3.4</v>
      </c>
      <c r="S2639" t="s">
        <v>47</v>
      </c>
      <c r="T2639" t="str">
        <f t="shared" si="82"/>
        <v>Moderate</v>
      </c>
      <c r="U2639" t="str">
        <f t="shared" si="83"/>
        <v>Beginner</v>
      </c>
    </row>
    <row r="2640" spans="1:21" x14ac:dyDescent="0.35">
      <c r="A2640" t="s">
        <v>2713</v>
      </c>
      <c r="B2640" t="s">
        <v>89</v>
      </c>
      <c r="C2640" t="s">
        <v>55</v>
      </c>
      <c r="D2640" t="s">
        <v>40</v>
      </c>
      <c r="E2640" t="s">
        <v>41</v>
      </c>
      <c r="F2640">
        <v>13</v>
      </c>
      <c r="G2640">
        <v>0.13</v>
      </c>
      <c r="H2640">
        <v>0.54</v>
      </c>
      <c r="I2640" t="s">
        <v>34</v>
      </c>
      <c r="J2640">
        <v>112528</v>
      </c>
      <c r="K2640" t="s">
        <v>42</v>
      </c>
      <c r="L2640">
        <v>35</v>
      </c>
      <c r="M2640">
        <v>43</v>
      </c>
      <c r="N2640" t="s">
        <v>42</v>
      </c>
      <c r="O2640" t="s">
        <v>27</v>
      </c>
      <c r="P2640">
        <v>2.82</v>
      </c>
      <c r="Q2640" t="s">
        <v>34</v>
      </c>
      <c r="R2640">
        <v>1.43</v>
      </c>
      <c r="S2640" t="s">
        <v>47</v>
      </c>
      <c r="T2640" t="str">
        <f t="shared" si="82"/>
        <v>High</v>
      </c>
      <c r="U2640" t="str">
        <f t="shared" si="83"/>
        <v>Experienced</v>
      </c>
    </row>
    <row r="2641" spans="1:21" x14ac:dyDescent="0.35">
      <c r="A2641" t="s">
        <v>2714</v>
      </c>
      <c r="B2641" t="s">
        <v>30</v>
      </c>
      <c r="C2641" t="s">
        <v>55</v>
      </c>
      <c r="D2641" t="s">
        <v>63</v>
      </c>
      <c r="E2641" t="s">
        <v>41</v>
      </c>
      <c r="F2641">
        <v>3</v>
      </c>
      <c r="G2641">
        <v>0.21</v>
      </c>
      <c r="H2641">
        <v>0.68</v>
      </c>
      <c r="I2641" t="s">
        <v>60</v>
      </c>
      <c r="J2641">
        <v>56476</v>
      </c>
      <c r="K2641" t="s">
        <v>42</v>
      </c>
      <c r="L2641">
        <v>23</v>
      </c>
      <c r="M2641">
        <v>32</v>
      </c>
      <c r="N2641" t="s">
        <v>35</v>
      </c>
      <c r="O2641" t="s">
        <v>25</v>
      </c>
      <c r="P2641">
        <v>2.2799999999999998</v>
      </c>
      <c r="Q2641" t="s">
        <v>34</v>
      </c>
      <c r="R2641">
        <v>1.18</v>
      </c>
      <c r="S2641" t="s">
        <v>47</v>
      </c>
      <c r="T2641" t="str">
        <f t="shared" si="82"/>
        <v>High</v>
      </c>
      <c r="U2641" t="str">
        <f t="shared" si="83"/>
        <v>Intermediate</v>
      </c>
    </row>
    <row r="2642" spans="1:21" x14ac:dyDescent="0.35">
      <c r="A2642" t="s">
        <v>2715</v>
      </c>
      <c r="B2642" t="s">
        <v>73</v>
      </c>
      <c r="C2642" t="s">
        <v>55</v>
      </c>
      <c r="D2642" t="s">
        <v>40</v>
      </c>
      <c r="E2642" t="s">
        <v>33</v>
      </c>
      <c r="F2642">
        <v>22</v>
      </c>
      <c r="G2642">
        <v>0.51</v>
      </c>
      <c r="H2642">
        <v>0.21</v>
      </c>
      <c r="I2642" t="s">
        <v>24</v>
      </c>
      <c r="J2642">
        <v>100957</v>
      </c>
      <c r="K2642" t="s">
        <v>42</v>
      </c>
      <c r="L2642">
        <v>17</v>
      </c>
      <c r="M2642">
        <v>37</v>
      </c>
      <c r="N2642" t="s">
        <v>35</v>
      </c>
      <c r="O2642" t="s">
        <v>36</v>
      </c>
      <c r="P2642">
        <v>3.49</v>
      </c>
      <c r="Q2642" t="s">
        <v>34</v>
      </c>
      <c r="R2642">
        <v>2.58</v>
      </c>
      <c r="S2642" t="s">
        <v>47</v>
      </c>
      <c r="T2642" t="str">
        <f t="shared" si="82"/>
        <v>Moderate</v>
      </c>
      <c r="U2642" t="str">
        <f t="shared" si="83"/>
        <v>Expert</v>
      </c>
    </row>
    <row r="2643" spans="1:21" x14ac:dyDescent="0.35">
      <c r="A2643" t="s">
        <v>2716</v>
      </c>
      <c r="B2643" t="s">
        <v>65</v>
      </c>
      <c r="C2643" t="s">
        <v>107</v>
      </c>
      <c r="D2643" t="s">
        <v>40</v>
      </c>
      <c r="E2643" t="s">
        <v>41</v>
      </c>
      <c r="F2643">
        <v>19</v>
      </c>
      <c r="G2643">
        <v>0.55000000000000004</v>
      </c>
      <c r="H2643">
        <v>0.42</v>
      </c>
      <c r="I2643" t="s">
        <v>24</v>
      </c>
      <c r="J2643">
        <v>152823</v>
      </c>
      <c r="K2643" t="s">
        <v>27</v>
      </c>
      <c r="L2643">
        <v>4</v>
      </c>
      <c r="M2643">
        <v>39</v>
      </c>
      <c r="N2643" t="s">
        <v>42</v>
      </c>
      <c r="O2643" t="s">
        <v>27</v>
      </c>
      <c r="P2643">
        <v>4.6900000000000004</v>
      </c>
      <c r="Q2643" t="s">
        <v>24</v>
      </c>
      <c r="R2643">
        <v>2.39</v>
      </c>
      <c r="S2643" t="s">
        <v>47</v>
      </c>
      <c r="T2643" t="str">
        <f t="shared" si="82"/>
        <v>Moderate</v>
      </c>
      <c r="U2643" t="str">
        <f t="shared" si="83"/>
        <v>Expert</v>
      </c>
    </row>
    <row r="2644" spans="1:21" x14ac:dyDescent="0.35">
      <c r="A2644" t="s">
        <v>2717</v>
      </c>
      <c r="B2644" t="s">
        <v>156</v>
      </c>
      <c r="C2644" t="s">
        <v>82</v>
      </c>
      <c r="D2644" t="s">
        <v>80</v>
      </c>
      <c r="E2644" t="s">
        <v>33</v>
      </c>
      <c r="F2644">
        <v>3</v>
      </c>
      <c r="G2644">
        <v>0.94</v>
      </c>
      <c r="H2644">
        <v>0.98</v>
      </c>
      <c r="I2644" t="s">
        <v>24</v>
      </c>
      <c r="J2644">
        <v>175424</v>
      </c>
      <c r="K2644" t="s">
        <v>25</v>
      </c>
      <c r="L2644">
        <v>35</v>
      </c>
      <c r="M2644">
        <v>32</v>
      </c>
      <c r="N2644" t="s">
        <v>26</v>
      </c>
      <c r="O2644" t="s">
        <v>36</v>
      </c>
      <c r="P2644">
        <v>4.5199999999999996</v>
      </c>
      <c r="Q2644" t="s">
        <v>24</v>
      </c>
      <c r="R2644">
        <v>2.2400000000000002</v>
      </c>
      <c r="S2644" t="s">
        <v>47</v>
      </c>
      <c r="T2644" t="str">
        <f t="shared" si="82"/>
        <v>High</v>
      </c>
      <c r="U2644" t="str">
        <f t="shared" si="83"/>
        <v>Intermediate</v>
      </c>
    </row>
    <row r="2645" spans="1:21" x14ac:dyDescent="0.35">
      <c r="A2645" t="s">
        <v>2718</v>
      </c>
      <c r="B2645" t="s">
        <v>38</v>
      </c>
      <c r="C2645" t="s">
        <v>31</v>
      </c>
      <c r="D2645" t="s">
        <v>32</v>
      </c>
      <c r="E2645" t="s">
        <v>70</v>
      </c>
      <c r="F2645">
        <v>18</v>
      </c>
      <c r="G2645">
        <v>0.33</v>
      </c>
      <c r="H2645">
        <v>0.65</v>
      </c>
      <c r="I2645" t="s">
        <v>34</v>
      </c>
      <c r="J2645">
        <v>169598</v>
      </c>
      <c r="K2645" t="s">
        <v>25</v>
      </c>
      <c r="L2645">
        <v>9</v>
      </c>
      <c r="M2645">
        <v>48</v>
      </c>
      <c r="N2645" t="s">
        <v>35</v>
      </c>
      <c r="O2645" t="s">
        <v>25</v>
      </c>
      <c r="P2645">
        <v>4.79</v>
      </c>
      <c r="Q2645" t="s">
        <v>34</v>
      </c>
      <c r="R2645">
        <v>2.68</v>
      </c>
      <c r="S2645" t="s">
        <v>28</v>
      </c>
      <c r="T2645" t="str">
        <f t="shared" si="82"/>
        <v>High</v>
      </c>
      <c r="U2645" t="str">
        <f t="shared" si="83"/>
        <v>Expert</v>
      </c>
    </row>
    <row r="2646" spans="1:21" x14ac:dyDescent="0.35">
      <c r="A2646" t="s">
        <v>2719</v>
      </c>
      <c r="B2646" t="s">
        <v>45</v>
      </c>
      <c r="C2646" t="s">
        <v>21</v>
      </c>
      <c r="D2646" t="s">
        <v>59</v>
      </c>
      <c r="E2646" t="s">
        <v>41</v>
      </c>
      <c r="F2646">
        <v>6</v>
      </c>
      <c r="G2646">
        <v>0.11</v>
      </c>
      <c r="H2646">
        <v>0.28000000000000003</v>
      </c>
      <c r="I2646" t="s">
        <v>24</v>
      </c>
      <c r="J2646">
        <v>125428</v>
      </c>
      <c r="K2646" t="s">
        <v>42</v>
      </c>
      <c r="L2646">
        <v>39</v>
      </c>
      <c r="M2646">
        <v>42</v>
      </c>
      <c r="N2646" t="s">
        <v>42</v>
      </c>
      <c r="O2646" t="s">
        <v>25</v>
      </c>
      <c r="P2646">
        <v>3.43</v>
      </c>
      <c r="Q2646" t="s">
        <v>34</v>
      </c>
      <c r="R2646">
        <v>3.81</v>
      </c>
      <c r="S2646" t="s">
        <v>47</v>
      </c>
      <c r="T2646" t="str">
        <f t="shared" si="82"/>
        <v>High</v>
      </c>
      <c r="U2646" t="str">
        <f t="shared" si="83"/>
        <v>Intermediate</v>
      </c>
    </row>
    <row r="2647" spans="1:21" x14ac:dyDescent="0.35">
      <c r="A2647" t="s">
        <v>2720</v>
      </c>
      <c r="B2647" t="s">
        <v>156</v>
      </c>
      <c r="C2647" t="s">
        <v>46</v>
      </c>
      <c r="D2647" t="s">
        <v>80</v>
      </c>
      <c r="E2647" t="s">
        <v>23</v>
      </c>
      <c r="F2647">
        <v>4</v>
      </c>
      <c r="G2647">
        <v>0.53</v>
      </c>
      <c r="H2647">
        <v>0.92</v>
      </c>
      <c r="I2647" t="s">
        <v>60</v>
      </c>
      <c r="J2647">
        <v>198026</v>
      </c>
      <c r="K2647" t="s">
        <v>42</v>
      </c>
      <c r="L2647">
        <v>39</v>
      </c>
      <c r="M2647">
        <v>46</v>
      </c>
      <c r="N2647" t="s">
        <v>35</v>
      </c>
      <c r="O2647" t="s">
        <v>27</v>
      </c>
      <c r="P2647">
        <v>2.3199999999999998</v>
      </c>
      <c r="Q2647" t="s">
        <v>34</v>
      </c>
      <c r="R2647">
        <v>3.3</v>
      </c>
      <c r="S2647" t="s">
        <v>28</v>
      </c>
      <c r="T2647" t="str">
        <f t="shared" si="82"/>
        <v>High</v>
      </c>
      <c r="U2647" t="str">
        <f t="shared" si="83"/>
        <v>Intermediate</v>
      </c>
    </row>
    <row r="2648" spans="1:21" x14ac:dyDescent="0.35">
      <c r="A2648" t="s">
        <v>2721</v>
      </c>
      <c r="B2648" t="s">
        <v>106</v>
      </c>
      <c r="C2648" t="s">
        <v>31</v>
      </c>
      <c r="D2648" t="s">
        <v>49</v>
      </c>
      <c r="E2648" t="s">
        <v>23</v>
      </c>
      <c r="F2648">
        <v>5</v>
      </c>
      <c r="G2648">
        <v>0.28000000000000003</v>
      </c>
      <c r="H2648">
        <v>0.46</v>
      </c>
      <c r="I2648" t="s">
        <v>24</v>
      </c>
      <c r="J2648">
        <v>145325</v>
      </c>
      <c r="K2648" t="s">
        <v>25</v>
      </c>
      <c r="L2648">
        <v>39</v>
      </c>
      <c r="M2648">
        <v>48</v>
      </c>
      <c r="N2648" t="s">
        <v>42</v>
      </c>
      <c r="O2648" t="s">
        <v>25</v>
      </c>
      <c r="P2648">
        <v>3.95</v>
      </c>
      <c r="Q2648" t="s">
        <v>34</v>
      </c>
      <c r="R2648">
        <v>1.61</v>
      </c>
      <c r="S2648" t="s">
        <v>28</v>
      </c>
      <c r="T2648" t="str">
        <f t="shared" si="82"/>
        <v>High</v>
      </c>
      <c r="U2648" t="str">
        <f t="shared" si="83"/>
        <v>Intermediate</v>
      </c>
    </row>
    <row r="2649" spans="1:21" x14ac:dyDescent="0.35">
      <c r="A2649" t="s">
        <v>2722</v>
      </c>
      <c r="B2649" t="s">
        <v>89</v>
      </c>
      <c r="C2649" t="s">
        <v>82</v>
      </c>
      <c r="D2649" t="s">
        <v>59</v>
      </c>
      <c r="E2649" t="s">
        <v>41</v>
      </c>
      <c r="F2649">
        <v>19</v>
      </c>
      <c r="G2649">
        <v>0.57999999999999996</v>
      </c>
      <c r="H2649">
        <v>0.93</v>
      </c>
      <c r="I2649" t="s">
        <v>24</v>
      </c>
      <c r="J2649">
        <v>58708</v>
      </c>
      <c r="K2649" t="s">
        <v>25</v>
      </c>
      <c r="L2649">
        <v>18</v>
      </c>
      <c r="M2649">
        <v>31</v>
      </c>
      <c r="N2649" t="s">
        <v>26</v>
      </c>
      <c r="O2649" t="s">
        <v>36</v>
      </c>
      <c r="P2649">
        <v>3.27</v>
      </c>
      <c r="Q2649" t="s">
        <v>34</v>
      </c>
      <c r="R2649">
        <v>1.97</v>
      </c>
      <c r="S2649" t="s">
        <v>43</v>
      </c>
      <c r="T2649" t="str">
        <f t="shared" si="82"/>
        <v>High</v>
      </c>
      <c r="U2649" t="str">
        <f t="shared" si="83"/>
        <v>Expert</v>
      </c>
    </row>
    <row r="2650" spans="1:21" x14ac:dyDescent="0.35">
      <c r="A2650" t="s">
        <v>2723</v>
      </c>
      <c r="B2650" t="s">
        <v>73</v>
      </c>
      <c r="C2650" t="s">
        <v>31</v>
      </c>
      <c r="D2650" t="s">
        <v>49</v>
      </c>
      <c r="E2650" t="s">
        <v>41</v>
      </c>
      <c r="F2650">
        <v>24</v>
      </c>
      <c r="G2650">
        <v>0.36</v>
      </c>
      <c r="H2650">
        <v>0.94</v>
      </c>
      <c r="I2650" t="s">
        <v>34</v>
      </c>
      <c r="J2650">
        <v>218642</v>
      </c>
      <c r="K2650" t="s">
        <v>27</v>
      </c>
      <c r="L2650">
        <v>19</v>
      </c>
      <c r="M2650">
        <v>32</v>
      </c>
      <c r="N2650" t="s">
        <v>35</v>
      </c>
      <c r="O2650" t="s">
        <v>36</v>
      </c>
      <c r="P2650">
        <v>2.95</v>
      </c>
      <c r="Q2650" t="s">
        <v>34</v>
      </c>
      <c r="R2650">
        <v>2.54</v>
      </c>
      <c r="S2650" t="s">
        <v>28</v>
      </c>
      <c r="T2650" t="str">
        <f t="shared" si="82"/>
        <v>Very High</v>
      </c>
      <c r="U2650" t="str">
        <f t="shared" si="83"/>
        <v>Expert</v>
      </c>
    </row>
    <row r="2651" spans="1:21" x14ac:dyDescent="0.35">
      <c r="A2651" t="s">
        <v>2724</v>
      </c>
      <c r="B2651" t="s">
        <v>68</v>
      </c>
      <c r="C2651" t="s">
        <v>21</v>
      </c>
      <c r="D2651" t="s">
        <v>40</v>
      </c>
      <c r="E2651" t="s">
        <v>33</v>
      </c>
      <c r="F2651">
        <v>1</v>
      </c>
      <c r="G2651">
        <v>0.43</v>
      </c>
      <c r="H2651">
        <v>0.28000000000000003</v>
      </c>
      <c r="I2651" t="s">
        <v>34</v>
      </c>
      <c r="J2651">
        <v>150163</v>
      </c>
      <c r="K2651" t="s">
        <v>25</v>
      </c>
      <c r="L2651">
        <v>-4</v>
      </c>
      <c r="M2651">
        <v>46</v>
      </c>
      <c r="N2651" t="s">
        <v>26</v>
      </c>
      <c r="O2651" t="s">
        <v>27</v>
      </c>
      <c r="P2651">
        <v>2.0499999999999998</v>
      </c>
      <c r="Q2651" t="s">
        <v>34</v>
      </c>
      <c r="R2651">
        <v>3.5</v>
      </c>
      <c r="S2651" t="s">
        <v>28</v>
      </c>
      <c r="T2651" t="str">
        <f t="shared" si="82"/>
        <v>Moderate</v>
      </c>
      <c r="U2651" t="str">
        <f t="shared" si="83"/>
        <v>Beginner</v>
      </c>
    </row>
    <row r="2652" spans="1:21" x14ac:dyDescent="0.35">
      <c r="A2652" t="s">
        <v>2725</v>
      </c>
      <c r="B2652" t="s">
        <v>51</v>
      </c>
      <c r="C2652" t="s">
        <v>74</v>
      </c>
      <c r="D2652" t="s">
        <v>63</v>
      </c>
      <c r="E2652" t="s">
        <v>33</v>
      </c>
      <c r="F2652">
        <v>11</v>
      </c>
      <c r="G2652">
        <v>0.57999999999999996</v>
      </c>
      <c r="H2652">
        <v>0.35</v>
      </c>
      <c r="I2652" t="s">
        <v>34</v>
      </c>
      <c r="J2652">
        <v>137290</v>
      </c>
      <c r="K2652" t="s">
        <v>42</v>
      </c>
      <c r="L2652">
        <v>-5</v>
      </c>
      <c r="M2652">
        <v>41</v>
      </c>
      <c r="N2652" t="s">
        <v>35</v>
      </c>
      <c r="O2652" t="s">
        <v>27</v>
      </c>
      <c r="P2652">
        <v>4.1399999999999997</v>
      </c>
      <c r="Q2652" t="s">
        <v>24</v>
      </c>
      <c r="R2652">
        <v>1.75</v>
      </c>
      <c r="S2652" t="s">
        <v>28</v>
      </c>
      <c r="T2652" t="str">
        <f t="shared" si="82"/>
        <v>Moderate</v>
      </c>
      <c r="U2652" t="str">
        <f t="shared" si="83"/>
        <v>Experienced</v>
      </c>
    </row>
    <row r="2653" spans="1:21" x14ac:dyDescent="0.35">
      <c r="A2653" t="s">
        <v>2726</v>
      </c>
      <c r="B2653" t="s">
        <v>65</v>
      </c>
      <c r="C2653" t="s">
        <v>39</v>
      </c>
      <c r="D2653" t="s">
        <v>75</v>
      </c>
      <c r="E2653" t="s">
        <v>70</v>
      </c>
      <c r="F2653">
        <v>6</v>
      </c>
      <c r="G2653">
        <v>0.44</v>
      </c>
      <c r="H2653">
        <v>0.8</v>
      </c>
      <c r="I2653" t="s">
        <v>34</v>
      </c>
      <c r="J2653">
        <v>211193</v>
      </c>
      <c r="K2653" t="s">
        <v>25</v>
      </c>
      <c r="L2653">
        <v>0</v>
      </c>
      <c r="M2653">
        <v>48</v>
      </c>
      <c r="N2653" t="s">
        <v>26</v>
      </c>
      <c r="O2653" t="s">
        <v>27</v>
      </c>
      <c r="P2653">
        <v>4.5199999999999996</v>
      </c>
      <c r="Q2653" t="s">
        <v>34</v>
      </c>
      <c r="R2653">
        <v>1.87</v>
      </c>
      <c r="S2653" t="s">
        <v>47</v>
      </c>
      <c r="T2653" t="str">
        <f t="shared" si="82"/>
        <v>High</v>
      </c>
      <c r="U2653" t="str">
        <f t="shared" si="83"/>
        <v>Intermediate</v>
      </c>
    </row>
    <row r="2654" spans="1:21" x14ac:dyDescent="0.35">
      <c r="A2654" t="s">
        <v>2727</v>
      </c>
      <c r="B2654" t="s">
        <v>156</v>
      </c>
      <c r="C2654" t="s">
        <v>46</v>
      </c>
      <c r="D2654" t="s">
        <v>75</v>
      </c>
      <c r="E2654" t="s">
        <v>70</v>
      </c>
      <c r="F2654">
        <v>0</v>
      </c>
      <c r="G2654">
        <v>0.86</v>
      </c>
      <c r="H2654">
        <v>0.63</v>
      </c>
      <c r="I2654" t="s">
        <v>24</v>
      </c>
      <c r="J2654">
        <v>86940</v>
      </c>
      <c r="K2654" t="s">
        <v>25</v>
      </c>
      <c r="L2654">
        <v>21</v>
      </c>
      <c r="M2654">
        <v>59</v>
      </c>
      <c r="N2654" t="s">
        <v>42</v>
      </c>
      <c r="O2654" t="s">
        <v>36</v>
      </c>
      <c r="P2654">
        <v>3.66</v>
      </c>
      <c r="Q2654" t="s">
        <v>24</v>
      </c>
      <c r="R2654">
        <v>1.42</v>
      </c>
      <c r="S2654" t="s">
        <v>43</v>
      </c>
      <c r="T2654" t="str">
        <f t="shared" si="82"/>
        <v>Moderate</v>
      </c>
      <c r="U2654" t="str">
        <f t="shared" si="83"/>
        <v>Beginner</v>
      </c>
    </row>
    <row r="2655" spans="1:21" x14ac:dyDescent="0.35">
      <c r="A2655" t="s">
        <v>2728</v>
      </c>
      <c r="B2655" t="s">
        <v>91</v>
      </c>
      <c r="C2655" t="s">
        <v>55</v>
      </c>
      <c r="D2655" t="s">
        <v>49</v>
      </c>
      <c r="E2655" t="s">
        <v>41</v>
      </c>
      <c r="F2655">
        <v>21</v>
      </c>
      <c r="G2655">
        <v>0.71</v>
      </c>
      <c r="H2655">
        <v>0.32</v>
      </c>
      <c r="I2655" t="s">
        <v>60</v>
      </c>
      <c r="J2655">
        <v>122260</v>
      </c>
      <c r="K2655" t="s">
        <v>27</v>
      </c>
      <c r="L2655">
        <v>-8</v>
      </c>
      <c r="M2655">
        <v>49</v>
      </c>
      <c r="N2655" t="s">
        <v>42</v>
      </c>
      <c r="O2655" t="s">
        <v>27</v>
      </c>
      <c r="P2655">
        <v>2.17</v>
      </c>
      <c r="Q2655" t="s">
        <v>34</v>
      </c>
      <c r="R2655">
        <v>3.94</v>
      </c>
      <c r="S2655" t="s">
        <v>28</v>
      </c>
      <c r="T2655" t="str">
        <f t="shared" si="82"/>
        <v>Very Low</v>
      </c>
      <c r="U2655" t="str">
        <f t="shared" si="83"/>
        <v>Expert</v>
      </c>
    </row>
    <row r="2656" spans="1:21" x14ac:dyDescent="0.35">
      <c r="A2656" t="s">
        <v>2729</v>
      </c>
      <c r="B2656" t="s">
        <v>38</v>
      </c>
      <c r="C2656" t="s">
        <v>21</v>
      </c>
      <c r="D2656" t="s">
        <v>80</v>
      </c>
      <c r="E2656" t="s">
        <v>33</v>
      </c>
      <c r="F2656">
        <v>24</v>
      </c>
      <c r="G2656">
        <v>0.41</v>
      </c>
      <c r="H2656">
        <v>0.88</v>
      </c>
      <c r="I2656" t="s">
        <v>60</v>
      </c>
      <c r="J2656">
        <v>185944</v>
      </c>
      <c r="K2656" t="s">
        <v>42</v>
      </c>
      <c r="L2656">
        <v>7</v>
      </c>
      <c r="M2656">
        <v>46</v>
      </c>
      <c r="N2656" t="s">
        <v>26</v>
      </c>
      <c r="O2656" t="s">
        <v>25</v>
      </c>
      <c r="P2656">
        <v>3.14</v>
      </c>
      <c r="Q2656" t="s">
        <v>34</v>
      </c>
      <c r="R2656">
        <v>3.35</v>
      </c>
      <c r="S2656" t="s">
        <v>43</v>
      </c>
      <c r="T2656" t="str">
        <f t="shared" si="82"/>
        <v>High</v>
      </c>
      <c r="U2656" t="str">
        <f t="shared" si="83"/>
        <v>Expert</v>
      </c>
    </row>
    <row r="2657" spans="1:21" x14ac:dyDescent="0.35">
      <c r="A2657" t="s">
        <v>2730</v>
      </c>
      <c r="B2657" t="s">
        <v>45</v>
      </c>
      <c r="C2657" t="s">
        <v>107</v>
      </c>
      <c r="D2657" t="s">
        <v>49</v>
      </c>
      <c r="E2657" t="s">
        <v>70</v>
      </c>
      <c r="F2657">
        <v>5</v>
      </c>
      <c r="G2657">
        <v>0.91</v>
      </c>
      <c r="H2657">
        <v>0.73</v>
      </c>
      <c r="I2657" t="s">
        <v>60</v>
      </c>
      <c r="J2657">
        <v>154522</v>
      </c>
      <c r="K2657" t="s">
        <v>42</v>
      </c>
      <c r="L2657">
        <v>35</v>
      </c>
      <c r="M2657">
        <v>59</v>
      </c>
      <c r="N2657" t="s">
        <v>26</v>
      </c>
      <c r="O2657" t="s">
        <v>27</v>
      </c>
      <c r="P2657">
        <v>4.12</v>
      </c>
      <c r="Q2657" t="s">
        <v>24</v>
      </c>
      <c r="R2657">
        <v>3.76</v>
      </c>
      <c r="S2657" t="s">
        <v>28</v>
      </c>
      <c r="T2657" t="str">
        <f t="shared" si="82"/>
        <v>Moderate</v>
      </c>
      <c r="U2657" t="str">
        <f t="shared" si="83"/>
        <v>Intermediate</v>
      </c>
    </row>
    <row r="2658" spans="1:21" x14ac:dyDescent="0.35">
      <c r="A2658" t="s">
        <v>2731</v>
      </c>
      <c r="B2658" t="s">
        <v>54</v>
      </c>
      <c r="C2658" t="s">
        <v>21</v>
      </c>
      <c r="D2658" t="s">
        <v>32</v>
      </c>
      <c r="E2658" t="s">
        <v>70</v>
      </c>
      <c r="F2658">
        <v>10</v>
      </c>
      <c r="G2658">
        <v>0.88</v>
      </c>
      <c r="H2658">
        <v>0.63</v>
      </c>
      <c r="I2658" t="s">
        <v>24</v>
      </c>
      <c r="J2658">
        <v>53050</v>
      </c>
      <c r="K2658" t="s">
        <v>42</v>
      </c>
      <c r="L2658">
        <v>38</v>
      </c>
      <c r="M2658">
        <v>56</v>
      </c>
      <c r="N2658" t="s">
        <v>42</v>
      </c>
      <c r="O2658" t="s">
        <v>25</v>
      </c>
      <c r="P2658">
        <v>3.08</v>
      </c>
      <c r="Q2658" t="s">
        <v>34</v>
      </c>
      <c r="R2658">
        <v>2.35</v>
      </c>
      <c r="S2658" t="s">
        <v>43</v>
      </c>
      <c r="T2658" t="str">
        <f t="shared" si="82"/>
        <v>Moderate</v>
      </c>
      <c r="U2658" t="str">
        <f t="shared" si="83"/>
        <v>Experienced</v>
      </c>
    </row>
    <row r="2659" spans="1:21" x14ac:dyDescent="0.35">
      <c r="A2659" t="s">
        <v>2732</v>
      </c>
      <c r="B2659" t="s">
        <v>45</v>
      </c>
      <c r="C2659" t="s">
        <v>55</v>
      </c>
      <c r="D2659" t="s">
        <v>80</v>
      </c>
      <c r="E2659" t="s">
        <v>23</v>
      </c>
      <c r="F2659">
        <v>14</v>
      </c>
      <c r="G2659">
        <v>0.28999999999999998</v>
      </c>
      <c r="H2659">
        <v>0.87</v>
      </c>
      <c r="I2659" t="s">
        <v>60</v>
      </c>
      <c r="J2659">
        <v>170056</v>
      </c>
      <c r="K2659" t="s">
        <v>27</v>
      </c>
      <c r="L2659">
        <v>35</v>
      </c>
      <c r="M2659">
        <v>41</v>
      </c>
      <c r="N2659" t="s">
        <v>35</v>
      </c>
      <c r="O2659" t="s">
        <v>25</v>
      </c>
      <c r="P2659">
        <v>2.68</v>
      </c>
      <c r="Q2659" t="s">
        <v>24</v>
      </c>
      <c r="R2659">
        <v>4.68</v>
      </c>
      <c r="S2659" t="s">
        <v>47</v>
      </c>
      <c r="T2659" t="str">
        <f t="shared" si="82"/>
        <v>Very High</v>
      </c>
      <c r="U2659" t="str">
        <f t="shared" si="83"/>
        <v>Experienced</v>
      </c>
    </row>
    <row r="2660" spans="1:21" x14ac:dyDescent="0.35">
      <c r="A2660" t="s">
        <v>2733</v>
      </c>
      <c r="B2660" t="s">
        <v>57</v>
      </c>
      <c r="C2660" t="s">
        <v>31</v>
      </c>
      <c r="D2660" t="s">
        <v>22</v>
      </c>
      <c r="E2660" t="s">
        <v>70</v>
      </c>
      <c r="F2660">
        <v>6</v>
      </c>
      <c r="G2660">
        <v>0.32</v>
      </c>
      <c r="H2660">
        <v>0.33</v>
      </c>
      <c r="I2660" t="s">
        <v>60</v>
      </c>
      <c r="J2660">
        <v>56537</v>
      </c>
      <c r="K2660" t="s">
        <v>27</v>
      </c>
      <c r="L2660">
        <v>1</v>
      </c>
      <c r="M2660">
        <v>47</v>
      </c>
      <c r="N2660" t="s">
        <v>26</v>
      </c>
      <c r="O2660" t="s">
        <v>25</v>
      </c>
      <c r="P2660">
        <v>4.8099999999999996</v>
      </c>
      <c r="Q2660" t="s">
        <v>34</v>
      </c>
      <c r="R2660">
        <v>1.07</v>
      </c>
      <c r="S2660" t="s">
        <v>43</v>
      </c>
      <c r="T2660" t="str">
        <f t="shared" si="82"/>
        <v>High</v>
      </c>
      <c r="U2660" t="str">
        <f t="shared" si="83"/>
        <v>Intermediate</v>
      </c>
    </row>
    <row r="2661" spans="1:21" x14ac:dyDescent="0.35">
      <c r="A2661" t="s">
        <v>2734</v>
      </c>
      <c r="B2661" t="s">
        <v>51</v>
      </c>
      <c r="C2661" t="s">
        <v>39</v>
      </c>
      <c r="D2661" t="s">
        <v>69</v>
      </c>
      <c r="E2661" t="s">
        <v>33</v>
      </c>
      <c r="F2661">
        <v>15</v>
      </c>
      <c r="G2661">
        <v>0.7</v>
      </c>
      <c r="H2661">
        <v>0.83</v>
      </c>
      <c r="I2661" t="s">
        <v>24</v>
      </c>
      <c r="J2661">
        <v>145355</v>
      </c>
      <c r="K2661" t="s">
        <v>25</v>
      </c>
      <c r="L2661">
        <v>-7</v>
      </c>
      <c r="M2661">
        <v>46</v>
      </c>
      <c r="N2661" t="s">
        <v>26</v>
      </c>
      <c r="O2661" t="s">
        <v>27</v>
      </c>
      <c r="P2661">
        <v>2.0299999999999998</v>
      </c>
      <c r="Q2661" t="s">
        <v>34</v>
      </c>
      <c r="R2661">
        <v>2.27</v>
      </c>
      <c r="S2661" t="s">
        <v>43</v>
      </c>
      <c r="T2661" t="str">
        <f t="shared" si="82"/>
        <v>High</v>
      </c>
      <c r="U2661" t="str">
        <f t="shared" si="83"/>
        <v>Experienced</v>
      </c>
    </row>
    <row r="2662" spans="1:21" x14ac:dyDescent="0.35">
      <c r="A2662" t="s">
        <v>2735</v>
      </c>
      <c r="B2662" t="s">
        <v>73</v>
      </c>
      <c r="C2662" t="s">
        <v>46</v>
      </c>
      <c r="D2662" t="s">
        <v>63</v>
      </c>
      <c r="E2662" t="s">
        <v>70</v>
      </c>
      <c r="F2662">
        <v>19</v>
      </c>
      <c r="G2662">
        <v>0.92</v>
      </c>
      <c r="H2662">
        <v>0.34</v>
      </c>
      <c r="I2662" t="s">
        <v>34</v>
      </c>
      <c r="J2662">
        <v>46473</v>
      </c>
      <c r="K2662" t="s">
        <v>27</v>
      </c>
      <c r="L2662">
        <v>16</v>
      </c>
      <c r="M2662">
        <v>33</v>
      </c>
      <c r="N2662" t="s">
        <v>42</v>
      </c>
      <c r="O2662" t="s">
        <v>36</v>
      </c>
      <c r="P2662">
        <v>4.41</v>
      </c>
      <c r="Q2662" t="s">
        <v>24</v>
      </c>
      <c r="R2662">
        <v>1.23</v>
      </c>
      <c r="S2662" t="s">
        <v>43</v>
      </c>
      <c r="T2662" t="str">
        <f t="shared" si="82"/>
        <v>Very Low</v>
      </c>
      <c r="U2662" t="str">
        <f t="shared" si="83"/>
        <v>Expert</v>
      </c>
    </row>
    <row r="2663" spans="1:21" x14ac:dyDescent="0.35">
      <c r="A2663" t="s">
        <v>2736</v>
      </c>
      <c r="B2663" t="s">
        <v>156</v>
      </c>
      <c r="C2663" t="s">
        <v>46</v>
      </c>
      <c r="D2663" t="s">
        <v>22</v>
      </c>
      <c r="E2663" t="s">
        <v>70</v>
      </c>
      <c r="F2663">
        <v>3</v>
      </c>
      <c r="G2663">
        <v>0.41</v>
      </c>
      <c r="H2663">
        <v>0.53</v>
      </c>
      <c r="I2663" t="s">
        <v>24</v>
      </c>
      <c r="J2663">
        <v>151994</v>
      </c>
      <c r="K2663" t="s">
        <v>25</v>
      </c>
      <c r="L2663">
        <v>3</v>
      </c>
      <c r="M2663">
        <v>52</v>
      </c>
      <c r="N2663" t="s">
        <v>42</v>
      </c>
      <c r="O2663" t="s">
        <v>36</v>
      </c>
      <c r="P2663">
        <v>4.1900000000000004</v>
      </c>
      <c r="Q2663" t="s">
        <v>24</v>
      </c>
      <c r="R2663">
        <v>2.27</v>
      </c>
      <c r="S2663" t="s">
        <v>28</v>
      </c>
      <c r="T2663" t="str">
        <f t="shared" si="82"/>
        <v>High</v>
      </c>
      <c r="U2663" t="str">
        <f t="shared" si="83"/>
        <v>Intermediate</v>
      </c>
    </row>
    <row r="2664" spans="1:21" x14ac:dyDescent="0.35">
      <c r="A2664" t="s">
        <v>2737</v>
      </c>
      <c r="B2664" t="s">
        <v>91</v>
      </c>
      <c r="C2664" t="s">
        <v>46</v>
      </c>
      <c r="D2664" t="s">
        <v>63</v>
      </c>
      <c r="E2664" t="s">
        <v>70</v>
      </c>
      <c r="F2664">
        <v>0</v>
      </c>
      <c r="G2664">
        <v>0.08</v>
      </c>
      <c r="H2664">
        <v>0.62</v>
      </c>
      <c r="I2664" t="s">
        <v>24</v>
      </c>
      <c r="J2664">
        <v>120819</v>
      </c>
      <c r="K2664" t="s">
        <v>25</v>
      </c>
      <c r="L2664">
        <v>38</v>
      </c>
      <c r="M2664">
        <v>38</v>
      </c>
      <c r="N2664" t="s">
        <v>42</v>
      </c>
      <c r="O2664" t="s">
        <v>36</v>
      </c>
      <c r="P2664">
        <v>2.2200000000000002</v>
      </c>
      <c r="Q2664" t="s">
        <v>34</v>
      </c>
      <c r="R2664">
        <v>4.41</v>
      </c>
      <c r="S2664" t="s">
        <v>43</v>
      </c>
      <c r="T2664" t="str">
        <f t="shared" si="82"/>
        <v>High</v>
      </c>
      <c r="U2664" t="str">
        <f t="shared" si="83"/>
        <v>Beginner</v>
      </c>
    </row>
    <row r="2665" spans="1:21" x14ac:dyDescent="0.35">
      <c r="A2665" t="s">
        <v>2738</v>
      </c>
      <c r="B2665" t="s">
        <v>51</v>
      </c>
      <c r="C2665" t="s">
        <v>58</v>
      </c>
      <c r="D2665" t="s">
        <v>32</v>
      </c>
      <c r="E2665" t="s">
        <v>41</v>
      </c>
      <c r="F2665">
        <v>14</v>
      </c>
      <c r="G2665">
        <v>0.19</v>
      </c>
      <c r="H2665">
        <v>0.49</v>
      </c>
      <c r="I2665" t="s">
        <v>34</v>
      </c>
      <c r="J2665">
        <v>70568</v>
      </c>
      <c r="K2665" t="s">
        <v>27</v>
      </c>
      <c r="L2665">
        <v>26</v>
      </c>
      <c r="M2665">
        <v>35</v>
      </c>
      <c r="N2665" t="s">
        <v>26</v>
      </c>
      <c r="O2665" t="s">
        <v>25</v>
      </c>
      <c r="P2665">
        <v>3.69</v>
      </c>
      <c r="Q2665" t="s">
        <v>24</v>
      </c>
      <c r="R2665">
        <v>2.2799999999999998</v>
      </c>
      <c r="S2665" t="s">
        <v>43</v>
      </c>
      <c r="T2665" t="str">
        <f t="shared" si="82"/>
        <v>High</v>
      </c>
      <c r="U2665" t="str">
        <f t="shared" si="83"/>
        <v>Experienced</v>
      </c>
    </row>
    <row r="2666" spans="1:21" x14ac:dyDescent="0.35">
      <c r="A2666" t="s">
        <v>2739</v>
      </c>
      <c r="B2666" t="s">
        <v>91</v>
      </c>
      <c r="C2666" t="s">
        <v>82</v>
      </c>
      <c r="D2666" t="s">
        <v>75</v>
      </c>
      <c r="E2666" t="s">
        <v>33</v>
      </c>
      <c r="F2666">
        <v>4</v>
      </c>
      <c r="G2666">
        <v>0.69</v>
      </c>
      <c r="H2666">
        <v>0.75</v>
      </c>
      <c r="I2666" t="s">
        <v>60</v>
      </c>
      <c r="J2666">
        <v>37568</v>
      </c>
      <c r="K2666" t="s">
        <v>42</v>
      </c>
      <c r="L2666">
        <v>23</v>
      </c>
      <c r="M2666">
        <v>49</v>
      </c>
      <c r="N2666" t="s">
        <v>35</v>
      </c>
      <c r="O2666" t="s">
        <v>25</v>
      </c>
      <c r="P2666">
        <v>2.68</v>
      </c>
      <c r="Q2666" t="s">
        <v>34</v>
      </c>
      <c r="R2666">
        <v>4.5599999999999996</v>
      </c>
      <c r="S2666" t="s">
        <v>43</v>
      </c>
      <c r="T2666" t="str">
        <f t="shared" si="82"/>
        <v>High</v>
      </c>
      <c r="U2666" t="str">
        <f t="shared" si="83"/>
        <v>Intermediate</v>
      </c>
    </row>
    <row r="2667" spans="1:21" x14ac:dyDescent="0.35">
      <c r="A2667" t="s">
        <v>2740</v>
      </c>
      <c r="B2667" t="s">
        <v>30</v>
      </c>
      <c r="C2667" t="s">
        <v>39</v>
      </c>
      <c r="D2667" t="s">
        <v>32</v>
      </c>
      <c r="E2667" t="s">
        <v>70</v>
      </c>
      <c r="F2667">
        <v>3</v>
      </c>
      <c r="G2667">
        <v>0.89</v>
      </c>
      <c r="H2667">
        <v>0.51</v>
      </c>
      <c r="I2667" t="s">
        <v>34</v>
      </c>
      <c r="J2667">
        <v>172944</v>
      </c>
      <c r="K2667" t="s">
        <v>27</v>
      </c>
      <c r="L2667">
        <v>8</v>
      </c>
      <c r="M2667">
        <v>34</v>
      </c>
      <c r="N2667" t="s">
        <v>42</v>
      </c>
      <c r="O2667" t="s">
        <v>27</v>
      </c>
      <c r="P2667">
        <v>4.93</v>
      </c>
      <c r="Q2667" t="s">
        <v>24</v>
      </c>
      <c r="R2667">
        <v>4.55</v>
      </c>
      <c r="S2667" t="s">
        <v>43</v>
      </c>
      <c r="T2667" t="str">
        <f t="shared" si="82"/>
        <v>Moderate</v>
      </c>
      <c r="U2667" t="str">
        <f t="shared" si="83"/>
        <v>Intermediate</v>
      </c>
    </row>
    <row r="2668" spans="1:21" x14ac:dyDescent="0.35">
      <c r="A2668" t="s">
        <v>2741</v>
      </c>
      <c r="B2668" t="s">
        <v>20</v>
      </c>
      <c r="C2668" t="s">
        <v>74</v>
      </c>
      <c r="D2668" t="s">
        <v>69</v>
      </c>
      <c r="E2668" t="s">
        <v>70</v>
      </c>
      <c r="F2668">
        <v>11</v>
      </c>
      <c r="G2668">
        <v>0.53</v>
      </c>
      <c r="H2668">
        <v>0.73</v>
      </c>
      <c r="I2668" t="s">
        <v>24</v>
      </c>
      <c r="J2668">
        <v>145078</v>
      </c>
      <c r="K2668" t="s">
        <v>27</v>
      </c>
      <c r="L2668">
        <v>27</v>
      </c>
      <c r="M2668">
        <v>35</v>
      </c>
      <c r="N2668" t="s">
        <v>42</v>
      </c>
      <c r="O2668" t="s">
        <v>25</v>
      </c>
      <c r="P2668">
        <v>3.35</v>
      </c>
      <c r="Q2668" t="s">
        <v>24</v>
      </c>
      <c r="R2668">
        <v>2.06</v>
      </c>
      <c r="S2668" t="s">
        <v>28</v>
      </c>
      <c r="T2668" t="str">
        <f t="shared" si="82"/>
        <v>High</v>
      </c>
      <c r="U2668" t="str">
        <f t="shared" si="83"/>
        <v>Experienced</v>
      </c>
    </row>
    <row r="2669" spans="1:21" x14ac:dyDescent="0.35">
      <c r="A2669" t="s">
        <v>2742</v>
      </c>
      <c r="B2669" t="s">
        <v>89</v>
      </c>
      <c r="C2669" t="s">
        <v>39</v>
      </c>
      <c r="D2669" t="s">
        <v>63</v>
      </c>
      <c r="E2669" t="s">
        <v>41</v>
      </c>
      <c r="F2669">
        <v>2</v>
      </c>
      <c r="G2669">
        <v>0.36</v>
      </c>
      <c r="H2669">
        <v>0.35</v>
      </c>
      <c r="I2669" t="s">
        <v>60</v>
      </c>
      <c r="J2669">
        <v>166674</v>
      </c>
      <c r="K2669" t="s">
        <v>42</v>
      </c>
      <c r="L2669">
        <v>20</v>
      </c>
      <c r="M2669">
        <v>46</v>
      </c>
      <c r="N2669" t="s">
        <v>42</v>
      </c>
      <c r="O2669" t="s">
        <v>25</v>
      </c>
      <c r="P2669">
        <v>2.78</v>
      </c>
      <c r="Q2669" t="s">
        <v>24</v>
      </c>
      <c r="R2669">
        <v>2.09</v>
      </c>
      <c r="S2669" t="s">
        <v>28</v>
      </c>
      <c r="T2669" t="str">
        <f t="shared" si="82"/>
        <v>Moderate</v>
      </c>
      <c r="U2669" t="str">
        <f t="shared" si="83"/>
        <v>Beginner</v>
      </c>
    </row>
    <row r="2670" spans="1:21" x14ac:dyDescent="0.35">
      <c r="A2670" t="s">
        <v>2743</v>
      </c>
      <c r="B2670" t="s">
        <v>45</v>
      </c>
      <c r="C2670" t="s">
        <v>58</v>
      </c>
      <c r="D2670" t="s">
        <v>59</v>
      </c>
      <c r="E2670" t="s">
        <v>41</v>
      </c>
      <c r="F2670">
        <v>16</v>
      </c>
      <c r="G2670">
        <v>0.23</v>
      </c>
      <c r="H2670">
        <v>0.55000000000000004</v>
      </c>
      <c r="I2670" t="s">
        <v>60</v>
      </c>
      <c r="J2670">
        <v>219021</v>
      </c>
      <c r="K2670" t="s">
        <v>42</v>
      </c>
      <c r="L2670">
        <v>44</v>
      </c>
      <c r="M2670">
        <v>54</v>
      </c>
      <c r="N2670" t="s">
        <v>35</v>
      </c>
      <c r="O2670" t="s">
        <v>36</v>
      </c>
      <c r="P2670">
        <v>3.46</v>
      </c>
      <c r="Q2670" t="s">
        <v>34</v>
      </c>
      <c r="R2670">
        <v>4.87</v>
      </c>
      <c r="S2670" t="s">
        <v>43</v>
      </c>
      <c r="T2670" t="str">
        <f t="shared" si="82"/>
        <v>High</v>
      </c>
      <c r="U2670" t="str">
        <f t="shared" si="83"/>
        <v>Expert</v>
      </c>
    </row>
    <row r="2671" spans="1:21" x14ac:dyDescent="0.35">
      <c r="A2671" t="s">
        <v>2744</v>
      </c>
      <c r="B2671" t="s">
        <v>89</v>
      </c>
      <c r="C2671" t="s">
        <v>55</v>
      </c>
      <c r="D2671" t="s">
        <v>66</v>
      </c>
      <c r="E2671" t="s">
        <v>23</v>
      </c>
      <c r="F2671">
        <v>5</v>
      </c>
      <c r="G2671">
        <v>0.68</v>
      </c>
      <c r="H2671">
        <v>0.73</v>
      </c>
      <c r="I2671" t="s">
        <v>24</v>
      </c>
      <c r="J2671">
        <v>115041</v>
      </c>
      <c r="K2671" t="s">
        <v>25</v>
      </c>
      <c r="L2671">
        <v>15</v>
      </c>
      <c r="M2671">
        <v>36</v>
      </c>
      <c r="N2671" t="s">
        <v>42</v>
      </c>
      <c r="O2671" t="s">
        <v>36</v>
      </c>
      <c r="P2671">
        <v>2.99</v>
      </c>
      <c r="Q2671" t="s">
        <v>34</v>
      </c>
      <c r="R2671">
        <v>4.43</v>
      </c>
      <c r="S2671" t="s">
        <v>47</v>
      </c>
      <c r="T2671" t="str">
        <f t="shared" si="82"/>
        <v>High</v>
      </c>
      <c r="U2671" t="str">
        <f t="shared" si="83"/>
        <v>Intermediate</v>
      </c>
    </row>
    <row r="2672" spans="1:21" x14ac:dyDescent="0.35">
      <c r="A2672" t="s">
        <v>2745</v>
      </c>
      <c r="B2672" t="s">
        <v>65</v>
      </c>
      <c r="C2672" t="s">
        <v>82</v>
      </c>
      <c r="D2672" t="s">
        <v>22</v>
      </c>
      <c r="E2672" t="s">
        <v>23</v>
      </c>
      <c r="F2672">
        <v>19</v>
      </c>
      <c r="G2672">
        <v>0.85</v>
      </c>
      <c r="H2672">
        <v>0.73</v>
      </c>
      <c r="I2672" t="s">
        <v>24</v>
      </c>
      <c r="J2672">
        <v>91195</v>
      </c>
      <c r="K2672" t="s">
        <v>27</v>
      </c>
      <c r="L2672">
        <v>37</v>
      </c>
      <c r="M2672">
        <v>56</v>
      </c>
      <c r="N2672" t="s">
        <v>26</v>
      </c>
      <c r="O2672" t="s">
        <v>36</v>
      </c>
      <c r="P2672">
        <v>3.98</v>
      </c>
      <c r="Q2672" t="s">
        <v>34</v>
      </c>
      <c r="R2672">
        <v>2.2599999999999998</v>
      </c>
      <c r="S2672" t="s">
        <v>47</v>
      </c>
      <c r="T2672" t="str">
        <f t="shared" si="82"/>
        <v>Moderate</v>
      </c>
      <c r="U2672" t="str">
        <f t="shared" si="83"/>
        <v>Expert</v>
      </c>
    </row>
    <row r="2673" spans="1:21" x14ac:dyDescent="0.35">
      <c r="A2673" t="s">
        <v>2746</v>
      </c>
      <c r="B2673" t="s">
        <v>38</v>
      </c>
      <c r="C2673" t="s">
        <v>39</v>
      </c>
      <c r="D2673" t="s">
        <v>22</v>
      </c>
      <c r="E2673" t="s">
        <v>23</v>
      </c>
      <c r="F2673">
        <v>14</v>
      </c>
      <c r="G2673">
        <v>0.14000000000000001</v>
      </c>
      <c r="H2673">
        <v>0.21</v>
      </c>
      <c r="I2673" t="s">
        <v>24</v>
      </c>
      <c r="J2673">
        <v>121733</v>
      </c>
      <c r="K2673" t="s">
        <v>25</v>
      </c>
      <c r="L2673">
        <v>42</v>
      </c>
      <c r="M2673">
        <v>52</v>
      </c>
      <c r="N2673" t="s">
        <v>42</v>
      </c>
      <c r="O2673" t="s">
        <v>36</v>
      </c>
      <c r="P2673">
        <v>4.08</v>
      </c>
      <c r="Q2673" t="s">
        <v>24</v>
      </c>
      <c r="R2673">
        <v>1.74</v>
      </c>
      <c r="S2673" t="s">
        <v>43</v>
      </c>
      <c r="T2673" t="str">
        <f t="shared" si="82"/>
        <v>High</v>
      </c>
      <c r="U2673" t="str">
        <f t="shared" si="83"/>
        <v>Experienced</v>
      </c>
    </row>
    <row r="2674" spans="1:21" x14ac:dyDescent="0.35">
      <c r="A2674" t="s">
        <v>2747</v>
      </c>
      <c r="B2674" t="s">
        <v>77</v>
      </c>
      <c r="C2674" t="s">
        <v>74</v>
      </c>
      <c r="D2674" t="s">
        <v>49</v>
      </c>
      <c r="E2674" t="s">
        <v>23</v>
      </c>
      <c r="F2674">
        <v>25</v>
      </c>
      <c r="G2674">
        <v>0.91</v>
      </c>
      <c r="H2674">
        <v>0.5</v>
      </c>
      <c r="I2674" t="s">
        <v>24</v>
      </c>
      <c r="J2674">
        <v>70416</v>
      </c>
      <c r="K2674" t="s">
        <v>42</v>
      </c>
      <c r="L2674">
        <v>-3</v>
      </c>
      <c r="M2674">
        <v>42</v>
      </c>
      <c r="N2674" t="s">
        <v>26</v>
      </c>
      <c r="O2674" t="s">
        <v>25</v>
      </c>
      <c r="P2674">
        <v>2.42</v>
      </c>
      <c r="Q2674" t="s">
        <v>24</v>
      </c>
      <c r="R2674">
        <v>1.64</v>
      </c>
      <c r="S2674" t="s">
        <v>43</v>
      </c>
      <c r="T2674" t="str">
        <f t="shared" si="82"/>
        <v>Moderate</v>
      </c>
      <c r="U2674" t="str">
        <f t="shared" si="83"/>
        <v>Expert</v>
      </c>
    </row>
    <row r="2675" spans="1:21" x14ac:dyDescent="0.35">
      <c r="A2675" t="s">
        <v>2748</v>
      </c>
      <c r="B2675" t="s">
        <v>54</v>
      </c>
      <c r="C2675" t="s">
        <v>46</v>
      </c>
      <c r="D2675" t="s">
        <v>80</v>
      </c>
      <c r="E2675" t="s">
        <v>41</v>
      </c>
      <c r="F2675">
        <v>1</v>
      </c>
      <c r="G2675">
        <v>0.5</v>
      </c>
      <c r="H2675">
        <v>0.25</v>
      </c>
      <c r="I2675" t="s">
        <v>60</v>
      </c>
      <c r="J2675">
        <v>51564</v>
      </c>
      <c r="K2675" t="s">
        <v>27</v>
      </c>
      <c r="L2675">
        <v>6</v>
      </c>
      <c r="M2675">
        <v>44</v>
      </c>
      <c r="N2675" t="s">
        <v>26</v>
      </c>
      <c r="O2675" t="s">
        <v>36</v>
      </c>
      <c r="P2675">
        <v>4.45</v>
      </c>
      <c r="Q2675" t="s">
        <v>34</v>
      </c>
      <c r="R2675">
        <v>2.44</v>
      </c>
      <c r="S2675" t="s">
        <v>28</v>
      </c>
      <c r="T2675" t="str">
        <f t="shared" si="82"/>
        <v>Moderate</v>
      </c>
      <c r="U2675" t="str">
        <f t="shared" si="83"/>
        <v>Beginner</v>
      </c>
    </row>
    <row r="2676" spans="1:21" x14ac:dyDescent="0.35">
      <c r="A2676" t="s">
        <v>2749</v>
      </c>
      <c r="B2676" t="s">
        <v>106</v>
      </c>
      <c r="C2676" t="s">
        <v>21</v>
      </c>
      <c r="D2676" t="s">
        <v>80</v>
      </c>
      <c r="E2676" t="s">
        <v>33</v>
      </c>
      <c r="F2676">
        <v>13</v>
      </c>
      <c r="G2676">
        <v>0.26</v>
      </c>
      <c r="H2676">
        <v>0.68</v>
      </c>
      <c r="I2676" t="s">
        <v>34</v>
      </c>
      <c r="J2676">
        <v>79344</v>
      </c>
      <c r="K2676" t="s">
        <v>27</v>
      </c>
      <c r="L2676">
        <v>41</v>
      </c>
      <c r="M2676">
        <v>53</v>
      </c>
      <c r="N2676" t="s">
        <v>42</v>
      </c>
      <c r="O2676" t="s">
        <v>27</v>
      </c>
      <c r="P2676">
        <v>3.55</v>
      </c>
      <c r="Q2676" t="s">
        <v>34</v>
      </c>
      <c r="R2676">
        <v>3.35</v>
      </c>
      <c r="S2676" t="s">
        <v>28</v>
      </c>
      <c r="T2676" t="str">
        <f t="shared" si="82"/>
        <v>High</v>
      </c>
      <c r="U2676" t="str">
        <f t="shared" si="83"/>
        <v>Experienced</v>
      </c>
    </row>
    <row r="2677" spans="1:21" x14ac:dyDescent="0.35">
      <c r="A2677" t="s">
        <v>2750</v>
      </c>
      <c r="B2677" t="s">
        <v>102</v>
      </c>
      <c r="C2677" t="s">
        <v>82</v>
      </c>
      <c r="D2677" t="s">
        <v>22</v>
      </c>
      <c r="E2677" t="s">
        <v>23</v>
      </c>
      <c r="F2677">
        <v>10</v>
      </c>
      <c r="G2677">
        <v>0.59</v>
      </c>
      <c r="H2677">
        <v>0.84</v>
      </c>
      <c r="I2677" t="s">
        <v>60</v>
      </c>
      <c r="J2677">
        <v>160351</v>
      </c>
      <c r="K2677" t="s">
        <v>42</v>
      </c>
      <c r="L2677">
        <v>38</v>
      </c>
      <c r="M2677">
        <v>40</v>
      </c>
      <c r="N2677" t="s">
        <v>42</v>
      </c>
      <c r="O2677" t="s">
        <v>25</v>
      </c>
      <c r="P2677">
        <v>3.42</v>
      </c>
      <c r="Q2677" t="s">
        <v>24</v>
      </c>
      <c r="R2677">
        <v>2.86</v>
      </c>
      <c r="S2677" t="s">
        <v>28</v>
      </c>
      <c r="T2677" t="str">
        <f t="shared" si="82"/>
        <v>High</v>
      </c>
      <c r="U2677" t="str">
        <f t="shared" si="83"/>
        <v>Experienced</v>
      </c>
    </row>
    <row r="2678" spans="1:21" x14ac:dyDescent="0.35">
      <c r="A2678" t="s">
        <v>2751</v>
      </c>
      <c r="B2678" t="s">
        <v>20</v>
      </c>
      <c r="C2678" t="s">
        <v>46</v>
      </c>
      <c r="D2678" t="s">
        <v>75</v>
      </c>
      <c r="E2678" t="s">
        <v>41</v>
      </c>
      <c r="F2678">
        <v>12</v>
      </c>
      <c r="G2678">
        <v>0.6</v>
      </c>
      <c r="H2678">
        <v>0.42</v>
      </c>
      <c r="I2678" t="s">
        <v>34</v>
      </c>
      <c r="J2678">
        <v>177839</v>
      </c>
      <c r="K2678" t="s">
        <v>25</v>
      </c>
      <c r="L2678">
        <v>26</v>
      </c>
      <c r="M2678">
        <v>39</v>
      </c>
      <c r="N2678" t="s">
        <v>42</v>
      </c>
      <c r="O2678" t="s">
        <v>27</v>
      </c>
      <c r="P2678">
        <v>2.6</v>
      </c>
      <c r="Q2678" t="s">
        <v>24</v>
      </c>
      <c r="R2678">
        <v>4.2699999999999996</v>
      </c>
      <c r="S2678" t="s">
        <v>47</v>
      </c>
      <c r="T2678" t="str">
        <f t="shared" si="82"/>
        <v>Moderate</v>
      </c>
      <c r="U2678" t="str">
        <f t="shared" si="83"/>
        <v>Experienced</v>
      </c>
    </row>
    <row r="2679" spans="1:21" x14ac:dyDescent="0.35">
      <c r="A2679" t="s">
        <v>2752</v>
      </c>
      <c r="B2679" t="s">
        <v>54</v>
      </c>
      <c r="C2679" t="s">
        <v>31</v>
      </c>
      <c r="D2679" t="s">
        <v>69</v>
      </c>
      <c r="E2679" t="s">
        <v>33</v>
      </c>
      <c r="F2679">
        <v>2</v>
      </c>
      <c r="G2679">
        <v>0.57999999999999996</v>
      </c>
      <c r="H2679">
        <v>0.59</v>
      </c>
      <c r="I2679" t="s">
        <v>24</v>
      </c>
      <c r="J2679">
        <v>100147</v>
      </c>
      <c r="K2679" t="s">
        <v>27</v>
      </c>
      <c r="L2679">
        <v>23</v>
      </c>
      <c r="M2679">
        <v>51</v>
      </c>
      <c r="N2679" t="s">
        <v>42</v>
      </c>
      <c r="O2679" t="s">
        <v>25</v>
      </c>
      <c r="P2679">
        <v>4.0599999999999996</v>
      </c>
      <c r="Q2679" t="s">
        <v>24</v>
      </c>
      <c r="R2679">
        <v>3.32</v>
      </c>
      <c r="S2679" t="s">
        <v>47</v>
      </c>
      <c r="T2679" t="str">
        <f t="shared" si="82"/>
        <v>High</v>
      </c>
      <c r="U2679" t="str">
        <f t="shared" si="83"/>
        <v>Beginner</v>
      </c>
    </row>
    <row r="2680" spans="1:21" x14ac:dyDescent="0.35">
      <c r="A2680" t="s">
        <v>2753</v>
      </c>
      <c r="B2680" t="s">
        <v>51</v>
      </c>
      <c r="C2680" t="s">
        <v>21</v>
      </c>
      <c r="D2680" t="s">
        <v>63</v>
      </c>
      <c r="E2680" t="s">
        <v>41</v>
      </c>
      <c r="F2680">
        <v>4</v>
      </c>
      <c r="G2680">
        <v>0.67</v>
      </c>
      <c r="H2680">
        <v>0.31</v>
      </c>
      <c r="I2680" t="s">
        <v>60</v>
      </c>
      <c r="J2680">
        <v>39977</v>
      </c>
      <c r="K2680" t="s">
        <v>27</v>
      </c>
      <c r="L2680">
        <v>22</v>
      </c>
      <c r="M2680">
        <v>41</v>
      </c>
      <c r="N2680" t="s">
        <v>35</v>
      </c>
      <c r="O2680" t="s">
        <v>25</v>
      </c>
      <c r="P2680">
        <v>3.15</v>
      </c>
      <c r="Q2680" t="s">
        <v>34</v>
      </c>
      <c r="R2680">
        <v>1.1299999999999999</v>
      </c>
      <c r="S2680" t="s">
        <v>43</v>
      </c>
      <c r="T2680" t="str">
        <f t="shared" si="82"/>
        <v>Moderate</v>
      </c>
      <c r="U2680" t="str">
        <f t="shared" si="83"/>
        <v>Intermediate</v>
      </c>
    </row>
    <row r="2681" spans="1:21" x14ac:dyDescent="0.35">
      <c r="A2681" t="s">
        <v>2754</v>
      </c>
      <c r="B2681" t="s">
        <v>20</v>
      </c>
      <c r="C2681" t="s">
        <v>107</v>
      </c>
      <c r="D2681" t="s">
        <v>49</v>
      </c>
      <c r="E2681" t="s">
        <v>23</v>
      </c>
      <c r="F2681">
        <v>11</v>
      </c>
      <c r="G2681">
        <v>0.95</v>
      </c>
      <c r="H2681">
        <v>0.59</v>
      </c>
      <c r="I2681" t="s">
        <v>24</v>
      </c>
      <c r="J2681">
        <v>30320</v>
      </c>
      <c r="K2681" t="s">
        <v>27</v>
      </c>
      <c r="L2681">
        <v>-7</v>
      </c>
      <c r="M2681">
        <v>54</v>
      </c>
      <c r="N2681" t="s">
        <v>35</v>
      </c>
      <c r="O2681" t="s">
        <v>25</v>
      </c>
      <c r="P2681">
        <v>2.5299999999999998</v>
      </c>
      <c r="Q2681" t="s">
        <v>34</v>
      </c>
      <c r="R2681">
        <v>1.1100000000000001</v>
      </c>
      <c r="S2681" t="s">
        <v>47</v>
      </c>
      <c r="T2681" t="str">
        <f t="shared" si="82"/>
        <v>Moderate</v>
      </c>
      <c r="U2681" t="str">
        <f t="shared" si="83"/>
        <v>Experienced</v>
      </c>
    </row>
    <row r="2682" spans="1:21" x14ac:dyDescent="0.35">
      <c r="A2682" t="s">
        <v>2755</v>
      </c>
      <c r="B2682" t="s">
        <v>62</v>
      </c>
      <c r="C2682" t="s">
        <v>52</v>
      </c>
      <c r="D2682" t="s">
        <v>66</v>
      </c>
      <c r="E2682" t="s">
        <v>33</v>
      </c>
      <c r="F2682">
        <v>2</v>
      </c>
      <c r="G2682">
        <v>0.43</v>
      </c>
      <c r="H2682">
        <v>0.95</v>
      </c>
      <c r="I2682" t="s">
        <v>24</v>
      </c>
      <c r="J2682">
        <v>169444</v>
      </c>
      <c r="K2682" t="s">
        <v>25</v>
      </c>
      <c r="L2682">
        <v>-2</v>
      </c>
      <c r="M2682">
        <v>36</v>
      </c>
      <c r="N2682" t="s">
        <v>35</v>
      </c>
      <c r="O2682" t="s">
        <v>27</v>
      </c>
      <c r="P2682">
        <v>4.8</v>
      </c>
      <c r="Q2682" t="s">
        <v>34</v>
      </c>
      <c r="R2682">
        <v>4.24</v>
      </c>
      <c r="S2682" t="s">
        <v>47</v>
      </c>
      <c r="T2682" t="str">
        <f t="shared" si="82"/>
        <v>High</v>
      </c>
      <c r="U2682" t="str">
        <f t="shared" si="83"/>
        <v>Beginner</v>
      </c>
    </row>
    <row r="2683" spans="1:21" x14ac:dyDescent="0.35">
      <c r="A2683" t="s">
        <v>2756</v>
      </c>
      <c r="B2683" t="s">
        <v>77</v>
      </c>
      <c r="C2683" t="s">
        <v>52</v>
      </c>
      <c r="D2683" t="s">
        <v>66</v>
      </c>
      <c r="E2683" t="s">
        <v>70</v>
      </c>
      <c r="F2683">
        <v>19</v>
      </c>
      <c r="G2683">
        <v>0.54</v>
      </c>
      <c r="H2683">
        <v>0.63</v>
      </c>
      <c r="I2683" t="s">
        <v>60</v>
      </c>
      <c r="J2683">
        <v>50226</v>
      </c>
      <c r="K2683" t="s">
        <v>42</v>
      </c>
      <c r="L2683">
        <v>24</v>
      </c>
      <c r="M2683">
        <v>34</v>
      </c>
      <c r="N2683" t="s">
        <v>35</v>
      </c>
      <c r="O2683" t="s">
        <v>36</v>
      </c>
      <c r="P2683">
        <v>2.62</v>
      </c>
      <c r="Q2683" t="s">
        <v>24</v>
      </c>
      <c r="R2683">
        <v>3.72</v>
      </c>
      <c r="S2683" t="s">
        <v>47</v>
      </c>
      <c r="T2683" t="str">
        <f t="shared" si="82"/>
        <v>High</v>
      </c>
      <c r="U2683" t="str">
        <f t="shared" si="83"/>
        <v>Expert</v>
      </c>
    </row>
    <row r="2684" spans="1:21" x14ac:dyDescent="0.35">
      <c r="A2684" t="s">
        <v>2757</v>
      </c>
      <c r="B2684" t="s">
        <v>89</v>
      </c>
      <c r="C2684" t="s">
        <v>55</v>
      </c>
      <c r="D2684" t="s">
        <v>40</v>
      </c>
      <c r="E2684" t="s">
        <v>70</v>
      </c>
      <c r="F2684">
        <v>3</v>
      </c>
      <c r="G2684">
        <v>0.61</v>
      </c>
      <c r="H2684">
        <v>0.74</v>
      </c>
      <c r="I2684" t="s">
        <v>24</v>
      </c>
      <c r="J2684">
        <v>35494</v>
      </c>
      <c r="K2684" t="s">
        <v>42</v>
      </c>
      <c r="L2684">
        <v>19</v>
      </c>
      <c r="M2684">
        <v>30</v>
      </c>
      <c r="N2684" t="s">
        <v>26</v>
      </c>
      <c r="O2684" t="s">
        <v>36</v>
      </c>
      <c r="P2684">
        <v>3.35</v>
      </c>
      <c r="Q2684" t="s">
        <v>24</v>
      </c>
      <c r="R2684">
        <v>2.83</v>
      </c>
      <c r="S2684" t="s">
        <v>28</v>
      </c>
      <c r="T2684" t="str">
        <f t="shared" si="82"/>
        <v>High</v>
      </c>
      <c r="U2684" t="str">
        <f t="shared" si="83"/>
        <v>Intermediate</v>
      </c>
    </row>
    <row r="2685" spans="1:21" x14ac:dyDescent="0.35">
      <c r="A2685" t="s">
        <v>2758</v>
      </c>
      <c r="B2685" t="s">
        <v>77</v>
      </c>
      <c r="C2685" t="s">
        <v>107</v>
      </c>
      <c r="D2685" t="s">
        <v>40</v>
      </c>
      <c r="E2685" t="s">
        <v>41</v>
      </c>
      <c r="F2685">
        <v>7</v>
      </c>
      <c r="G2685">
        <v>0.71</v>
      </c>
      <c r="H2685">
        <v>0.95</v>
      </c>
      <c r="I2685" t="s">
        <v>24</v>
      </c>
      <c r="J2685">
        <v>115427</v>
      </c>
      <c r="K2685" t="s">
        <v>42</v>
      </c>
      <c r="L2685">
        <v>41</v>
      </c>
      <c r="M2685">
        <v>54</v>
      </c>
      <c r="N2685" t="s">
        <v>26</v>
      </c>
      <c r="O2685" t="s">
        <v>36</v>
      </c>
      <c r="P2685">
        <v>4.4000000000000004</v>
      </c>
      <c r="Q2685" t="s">
        <v>34</v>
      </c>
      <c r="R2685">
        <v>1.84</v>
      </c>
      <c r="S2685" t="s">
        <v>28</v>
      </c>
      <c r="T2685" t="str">
        <f t="shared" si="82"/>
        <v>High</v>
      </c>
      <c r="U2685" t="str">
        <f t="shared" si="83"/>
        <v>Intermediate</v>
      </c>
    </row>
    <row r="2686" spans="1:21" x14ac:dyDescent="0.35">
      <c r="A2686" t="s">
        <v>2759</v>
      </c>
      <c r="B2686" t="s">
        <v>94</v>
      </c>
      <c r="C2686" t="s">
        <v>39</v>
      </c>
      <c r="D2686" t="s">
        <v>22</v>
      </c>
      <c r="E2686" t="s">
        <v>70</v>
      </c>
      <c r="F2686">
        <v>13</v>
      </c>
      <c r="G2686">
        <v>0.4</v>
      </c>
      <c r="H2686">
        <v>0.43</v>
      </c>
      <c r="I2686" t="s">
        <v>60</v>
      </c>
      <c r="J2686">
        <v>187649</v>
      </c>
      <c r="K2686" t="s">
        <v>42</v>
      </c>
      <c r="L2686">
        <v>13</v>
      </c>
      <c r="M2686">
        <v>46</v>
      </c>
      <c r="N2686" t="s">
        <v>35</v>
      </c>
      <c r="O2686" t="s">
        <v>27</v>
      </c>
      <c r="P2686">
        <v>2.2999999999999998</v>
      </c>
      <c r="Q2686" t="s">
        <v>24</v>
      </c>
      <c r="R2686">
        <v>4.2</v>
      </c>
      <c r="S2686" t="s">
        <v>47</v>
      </c>
      <c r="T2686" t="str">
        <f t="shared" si="82"/>
        <v>High</v>
      </c>
      <c r="U2686" t="str">
        <f t="shared" si="83"/>
        <v>Experienced</v>
      </c>
    </row>
    <row r="2687" spans="1:21" x14ac:dyDescent="0.35">
      <c r="A2687" t="s">
        <v>2760</v>
      </c>
      <c r="B2687" t="s">
        <v>89</v>
      </c>
      <c r="C2687" t="s">
        <v>74</v>
      </c>
      <c r="D2687" t="s">
        <v>75</v>
      </c>
      <c r="E2687" t="s">
        <v>33</v>
      </c>
      <c r="F2687">
        <v>15</v>
      </c>
      <c r="G2687">
        <v>0.39</v>
      </c>
      <c r="H2687">
        <v>0.74</v>
      </c>
      <c r="I2687" t="s">
        <v>60</v>
      </c>
      <c r="J2687">
        <v>212204</v>
      </c>
      <c r="K2687" t="s">
        <v>25</v>
      </c>
      <c r="L2687">
        <v>28</v>
      </c>
      <c r="M2687">
        <v>34</v>
      </c>
      <c r="N2687" t="s">
        <v>42</v>
      </c>
      <c r="O2687" t="s">
        <v>36</v>
      </c>
      <c r="P2687">
        <v>2.5499999999999998</v>
      </c>
      <c r="Q2687" t="s">
        <v>24</v>
      </c>
      <c r="R2687">
        <v>1.69</v>
      </c>
      <c r="S2687" t="s">
        <v>28</v>
      </c>
      <c r="T2687" t="str">
        <f t="shared" si="82"/>
        <v>Very High</v>
      </c>
      <c r="U2687" t="str">
        <f t="shared" si="83"/>
        <v>Experienced</v>
      </c>
    </row>
    <row r="2688" spans="1:21" x14ac:dyDescent="0.35">
      <c r="A2688" t="s">
        <v>2761</v>
      </c>
      <c r="B2688" t="s">
        <v>62</v>
      </c>
      <c r="C2688" t="s">
        <v>46</v>
      </c>
      <c r="D2688" t="s">
        <v>49</v>
      </c>
      <c r="E2688" t="s">
        <v>41</v>
      </c>
      <c r="F2688">
        <v>12</v>
      </c>
      <c r="G2688">
        <v>0.93</v>
      </c>
      <c r="H2688">
        <v>0.94</v>
      </c>
      <c r="I2688" t="s">
        <v>60</v>
      </c>
      <c r="J2688">
        <v>217187</v>
      </c>
      <c r="K2688" t="s">
        <v>27</v>
      </c>
      <c r="L2688">
        <v>42</v>
      </c>
      <c r="M2688">
        <v>40</v>
      </c>
      <c r="N2688" t="s">
        <v>26</v>
      </c>
      <c r="O2688" t="s">
        <v>27</v>
      </c>
      <c r="P2688">
        <v>3.86</v>
      </c>
      <c r="Q2688" t="s">
        <v>24</v>
      </c>
      <c r="R2688">
        <v>3.25</v>
      </c>
      <c r="S2688" t="s">
        <v>43</v>
      </c>
      <c r="T2688" t="str">
        <f t="shared" si="82"/>
        <v>High</v>
      </c>
      <c r="U2688" t="str">
        <f t="shared" si="83"/>
        <v>Experienced</v>
      </c>
    </row>
    <row r="2689" spans="1:21" x14ac:dyDescent="0.35">
      <c r="A2689" t="s">
        <v>2762</v>
      </c>
      <c r="B2689" t="s">
        <v>51</v>
      </c>
      <c r="C2689" t="s">
        <v>21</v>
      </c>
      <c r="D2689" t="s">
        <v>40</v>
      </c>
      <c r="E2689" t="s">
        <v>41</v>
      </c>
      <c r="F2689">
        <v>16</v>
      </c>
      <c r="G2689">
        <v>0.22</v>
      </c>
      <c r="H2689">
        <v>0.46</v>
      </c>
      <c r="I2689" t="s">
        <v>34</v>
      </c>
      <c r="J2689">
        <v>36978</v>
      </c>
      <c r="K2689" t="s">
        <v>25</v>
      </c>
      <c r="L2689">
        <v>33</v>
      </c>
      <c r="M2689">
        <v>31</v>
      </c>
      <c r="N2689" t="s">
        <v>35</v>
      </c>
      <c r="O2689" t="s">
        <v>25</v>
      </c>
      <c r="P2689">
        <v>3.61</v>
      </c>
      <c r="Q2689" t="s">
        <v>24</v>
      </c>
      <c r="R2689">
        <v>1.72</v>
      </c>
      <c r="S2689" t="s">
        <v>47</v>
      </c>
      <c r="T2689" t="str">
        <f t="shared" si="82"/>
        <v>High</v>
      </c>
      <c r="U2689" t="str">
        <f t="shared" si="83"/>
        <v>Expert</v>
      </c>
    </row>
    <row r="2690" spans="1:21" x14ac:dyDescent="0.35">
      <c r="A2690" t="s">
        <v>2763</v>
      </c>
      <c r="B2690" t="s">
        <v>96</v>
      </c>
      <c r="C2690" t="s">
        <v>58</v>
      </c>
      <c r="D2690" t="s">
        <v>80</v>
      </c>
      <c r="E2690" t="s">
        <v>41</v>
      </c>
      <c r="F2690">
        <v>9</v>
      </c>
      <c r="G2690">
        <v>0.57999999999999996</v>
      </c>
      <c r="H2690">
        <v>0.65</v>
      </c>
      <c r="I2690" t="s">
        <v>34</v>
      </c>
      <c r="J2690">
        <v>124204</v>
      </c>
      <c r="K2690" t="s">
        <v>42</v>
      </c>
      <c r="L2690">
        <v>-6</v>
      </c>
      <c r="M2690">
        <v>57</v>
      </c>
      <c r="N2690" t="s">
        <v>42</v>
      </c>
      <c r="O2690" t="s">
        <v>25</v>
      </c>
      <c r="P2690">
        <v>4.51</v>
      </c>
      <c r="Q2690" t="s">
        <v>24</v>
      </c>
      <c r="R2690">
        <v>4.46</v>
      </c>
      <c r="S2690" t="s">
        <v>43</v>
      </c>
      <c r="T2690" t="str">
        <f t="shared" si="82"/>
        <v>High</v>
      </c>
      <c r="U2690" t="str">
        <f t="shared" si="83"/>
        <v>Experienced</v>
      </c>
    </row>
    <row r="2691" spans="1:21" x14ac:dyDescent="0.35">
      <c r="A2691" t="s">
        <v>2764</v>
      </c>
      <c r="B2691" t="s">
        <v>68</v>
      </c>
      <c r="C2691" t="s">
        <v>107</v>
      </c>
      <c r="D2691" t="s">
        <v>59</v>
      </c>
      <c r="E2691" t="s">
        <v>41</v>
      </c>
      <c r="F2691">
        <v>25</v>
      </c>
      <c r="G2691">
        <v>0.86</v>
      </c>
      <c r="H2691">
        <v>0.68</v>
      </c>
      <c r="I2691" t="s">
        <v>34</v>
      </c>
      <c r="J2691">
        <v>56115</v>
      </c>
      <c r="K2691" t="s">
        <v>42</v>
      </c>
      <c r="L2691">
        <v>10</v>
      </c>
      <c r="M2691">
        <v>31</v>
      </c>
      <c r="N2691" t="s">
        <v>26</v>
      </c>
      <c r="O2691" t="s">
        <v>36</v>
      </c>
      <c r="P2691">
        <v>3.54</v>
      </c>
      <c r="Q2691" t="s">
        <v>34</v>
      </c>
      <c r="R2691">
        <v>2.85</v>
      </c>
      <c r="S2691" t="s">
        <v>43</v>
      </c>
      <c r="T2691" t="str">
        <f t="shared" ref="T2691:T2754" si="84">IF(AND(G2691&lt;0.4,H2691&gt;=0.7),"Very High",
IF(AND(G2691&gt;=0.7,H2691&lt;0.5),"Very Low",
IF(G2691&lt;H2691,"High","Moderate")))</f>
        <v>Moderate</v>
      </c>
      <c r="U2691" t="str">
        <f t="shared" ref="U2691:U2754" si="85">_xlfn.IFS(F2691&lt;=2,"Beginner",F2691&lt;=8,"Intermediate",F2691&lt;=15,"Experienced",F2691&lt;=25,"Expert")</f>
        <v>Expert</v>
      </c>
    </row>
    <row r="2692" spans="1:21" x14ac:dyDescent="0.35">
      <c r="A2692" t="s">
        <v>2765</v>
      </c>
      <c r="B2692" t="s">
        <v>73</v>
      </c>
      <c r="C2692" t="s">
        <v>82</v>
      </c>
      <c r="D2692" t="s">
        <v>66</v>
      </c>
      <c r="E2692" t="s">
        <v>70</v>
      </c>
      <c r="F2692">
        <v>0</v>
      </c>
      <c r="G2692">
        <v>0.16</v>
      </c>
      <c r="H2692">
        <v>0.22</v>
      </c>
      <c r="I2692" t="s">
        <v>34</v>
      </c>
      <c r="J2692">
        <v>121327</v>
      </c>
      <c r="K2692" t="s">
        <v>25</v>
      </c>
      <c r="L2692">
        <v>-2</v>
      </c>
      <c r="M2692">
        <v>53</v>
      </c>
      <c r="N2692" t="s">
        <v>42</v>
      </c>
      <c r="O2692" t="s">
        <v>25</v>
      </c>
      <c r="P2692">
        <v>4.8</v>
      </c>
      <c r="Q2692" t="s">
        <v>34</v>
      </c>
      <c r="R2692">
        <v>1.62</v>
      </c>
      <c r="S2692" t="s">
        <v>43</v>
      </c>
      <c r="T2692" t="str">
        <f t="shared" si="84"/>
        <v>High</v>
      </c>
      <c r="U2692" t="str">
        <f t="shared" si="85"/>
        <v>Beginner</v>
      </c>
    </row>
    <row r="2693" spans="1:21" x14ac:dyDescent="0.35">
      <c r="A2693" t="s">
        <v>2766</v>
      </c>
      <c r="B2693" t="s">
        <v>94</v>
      </c>
      <c r="C2693" t="s">
        <v>52</v>
      </c>
      <c r="D2693" t="s">
        <v>49</v>
      </c>
      <c r="E2693" t="s">
        <v>23</v>
      </c>
      <c r="F2693">
        <v>24</v>
      </c>
      <c r="G2693">
        <v>0.44</v>
      </c>
      <c r="H2693">
        <v>0.44</v>
      </c>
      <c r="I2693" t="s">
        <v>60</v>
      </c>
      <c r="J2693">
        <v>170734</v>
      </c>
      <c r="K2693" t="s">
        <v>27</v>
      </c>
      <c r="L2693">
        <v>36</v>
      </c>
      <c r="M2693">
        <v>52</v>
      </c>
      <c r="N2693" t="s">
        <v>42</v>
      </c>
      <c r="O2693" t="s">
        <v>36</v>
      </c>
      <c r="P2693">
        <v>3.84</v>
      </c>
      <c r="Q2693" t="s">
        <v>24</v>
      </c>
      <c r="R2693">
        <v>2.11</v>
      </c>
      <c r="S2693" t="s">
        <v>28</v>
      </c>
      <c r="T2693" t="str">
        <f t="shared" si="84"/>
        <v>Moderate</v>
      </c>
      <c r="U2693" t="str">
        <f t="shared" si="85"/>
        <v>Expert</v>
      </c>
    </row>
    <row r="2694" spans="1:21" x14ac:dyDescent="0.35">
      <c r="A2694" t="s">
        <v>2767</v>
      </c>
      <c r="B2694" t="s">
        <v>91</v>
      </c>
      <c r="C2694" t="s">
        <v>31</v>
      </c>
      <c r="D2694" t="s">
        <v>59</v>
      </c>
      <c r="E2694" t="s">
        <v>23</v>
      </c>
      <c r="F2694">
        <v>16</v>
      </c>
      <c r="G2694">
        <v>0.06</v>
      </c>
      <c r="H2694">
        <v>0.75</v>
      </c>
      <c r="I2694" t="s">
        <v>34</v>
      </c>
      <c r="J2694">
        <v>85503</v>
      </c>
      <c r="K2694" t="s">
        <v>42</v>
      </c>
      <c r="L2694">
        <v>36</v>
      </c>
      <c r="M2694">
        <v>33</v>
      </c>
      <c r="N2694" t="s">
        <v>35</v>
      </c>
      <c r="O2694" t="s">
        <v>36</v>
      </c>
      <c r="P2694">
        <v>2.72</v>
      </c>
      <c r="Q2694" t="s">
        <v>24</v>
      </c>
      <c r="R2694">
        <v>1.76</v>
      </c>
      <c r="S2694" t="s">
        <v>47</v>
      </c>
      <c r="T2694" t="str">
        <f t="shared" si="84"/>
        <v>Very High</v>
      </c>
      <c r="U2694" t="str">
        <f t="shared" si="85"/>
        <v>Expert</v>
      </c>
    </row>
    <row r="2695" spans="1:21" x14ac:dyDescent="0.35">
      <c r="A2695" t="s">
        <v>2768</v>
      </c>
      <c r="B2695" t="s">
        <v>106</v>
      </c>
      <c r="C2695" t="s">
        <v>39</v>
      </c>
      <c r="D2695" t="s">
        <v>59</v>
      </c>
      <c r="E2695" t="s">
        <v>70</v>
      </c>
      <c r="F2695">
        <v>10</v>
      </c>
      <c r="G2695">
        <v>0.43</v>
      </c>
      <c r="H2695">
        <v>0.81</v>
      </c>
      <c r="I2695" t="s">
        <v>24</v>
      </c>
      <c r="J2695">
        <v>73105</v>
      </c>
      <c r="K2695" t="s">
        <v>25</v>
      </c>
      <c r="L2695">
        <v>11</v>
      </c>
      <c r="M2695">
        <v>38</v>
      </c>
      <c r="N2695" t="s">
        <v>35</v>
      </c>
      <c r="O2695" t="s">
        <v>36</v>
      </c>
      <c r="P2695">
        <v>3.48</v>
      </c>
      <c r="Q2695" t="s">
        <v>34</v>
      </c>
      <c r="R2695">
        <v>2.85</v>
      </c>
      <c r="S2695" t="s">
        <v>43</v>
      </c>
      <c r="T2695" t="str">
        <f t="shared" si="84"/>
        <v>High</v>
      </c>
      <c r="U2695" t="str">
        <f t="shared" si="85"/>
        <v>Experienced</v>
      </c>
    </row>
    <row r="2696" spans="1:21" x14ac:dyDescent="0.35">
      <c r="A2696" t="s">
        <v>2769</v>
      </c>
      <c r="B2696" t="s">
        <v>65</v>
      </c>
      <c r="C2696" t="s">
        <v>52</v>
      </c>
      <c r="D2696" t="s">
        <v>32</v>
      </c>
      <c r="E2696" t="s">
        <v>70</v>
      </c>
      <c r="F2696">
        <v>15</v>
      </c>
      <c r="G2696">
        <v>0.59</v>
      </c>
      <c r="H2696">
        <v>0.87</v>
      </c>
      <c r="I2696" t="s">
        <v>60</v>
      </c>
      <c r="J2696">
        <v>62133</v>
      </c>
      <c r="K2696" t="s">
        <v>25</v>
      </c>
      <c r="L2696">
        <v>29</v>
      </c>
      <c r="M2696">
        <v>36</v>
      </c>
      <c r="N2696" t="s">
        <v>26</v>
      </c>
      <c r="O2696" t="s">
        <v>25</v>
      </c>
      <c r="P2696">
        <v>4.87</v>
      </c>
      <c r="Q2696" t="s">
        <v>24</v>
      </c>
      <c r="R2696">
        <v>2.14</v>
      </c>
      <c r="S2696" t="s">
        <v>47</v>
      </c>
      <c r="T2696" t="str">
        <f t="shared" si="84"/>
        <v>High</v>
      </c>
      <c r="U2696" t="str">
        <f t="shared" si="85"/>
        <v>Experienced</v>
      </c>
    </row>
    <row r="2697" spans="1:21" x14ac:dyDescent="0.35">
      <c r="A2697" t="s">
        <v>2770</v>
      </c>
      <c r="B2697" t="s">
        <v>156</v>
      </c>
      <c r="C2697" t="s">
        <v>55</v>
      </c>
      <c r="D2697" t="s">
        <v>49</v>
      </c>
      <c r="E2697" t="s">
        <v>70</v>
      </c>
      <c r="F2697">
        <v>15</v>
      </c>
      <c r="G2697">
        <v>0.62</v>
      </c>
      <c r="H2697">
        <v>0.73</v>
      </c>
      <c r="I2697" t="s">
        <v>34</v>
      </c>
      <c r="J2697">
        <v>42541</v>
      </c>
      <c r="K2697" t="s">
        <v>42</v>
      </c>
      <c r="L2697">
        <v>11</v>
      </c>
      <c r="M2697">
        <v>33</v>
      </c>
      <c r="N2697" t="s">
        <v>26</v>
      </c>
      <c r="O2697" t="s">
        <v>25</v>
      </c>
      <c r="P2697">
        <v>2.33</v>
      </c>
      <c r="Q2697" t="s">
        <v>24</v>
      </c>
      <c r="R2697">
        <v>3.94</v>
      </c>
      <c r="S2697" t="s">
        <v>28</v>
      </c>
      <c r="T2697" t="str">
        <f t="shared" si="84"/>
        <v>High</v>
      </c>
      <c r="U2697" t="str">
        <f t="shared" si="85"/>
        <v>Experienced</v>
      </c>
    </row>
    <row r="2698" spans="1:21" x14ac:dyDescent="0.35">
      <c r="A2698" t="s">
        <v>2771</v>
      </c>
      <c r="B2698" t="s">
        <v>96</v>
      </c>
      <c r="C2698" t="s">
        <v>55</v>
      </c>
      <c r="D2698" t="s">
        <v>63</v>
      </c>
      <c r="E2698" t="s">
        <v>41</v>
      </c>
      <c r="F2698">
        <v>3</v>
      </c>
      <c r="G2698">
        <v>0.72</v>
      </c>
      <c r="H2698">
        <v>0.42</v>
      </c>
      <c r="I2698" t="s">
        <v>60</v>
      </c>
      <c r="J2698">
        <v>97140</v>
      </c>
      <c r="K2698" t="s">
        <v>25</v>
      </c>
      <c r="L2698">
        <v>30</v>
      </c>
      <c r="M2698">
        <v>47</v>
      </c>
      <c r="N2698" t="s">
        <v>35</v>
      </c>
      <c r="O2698" t="s">
        <v>25</v>
      </c>
      <c r="P2698">
        <v>3.52</v>
      </c>
      <c r="Q2698" t="s">
        <v>34</v>
      </c>
      <c r="R2698">
        <v>4.41</v>
      </c>
      <c r="S2698" t="s">
        <v>28</v>
      </c>
      <c r="T2698" t="str">
        <f t="shared" si="84"/>
        <v>Very Low</v>
      </c>
      <c r="U2698" t="str">
        <f t="shared" si="85"/>
        <v>Intermediate</v>
      </c>
    </row>
    <row r="2699" spans="1:21" x14ac:dyDescent="0.35">
      <c r="A2699" t="s">
        <v>2772</v>
      </c>
      <c r="B2699" t="s">
        <v>45</v>
      </c>
      <c r="C2699" t="s">
        <v>107</v>
      </c>
      <c r="D2699" t="s">
        <v>49</v>
      </c>
      <c r="E2699" t="s">
        <v>33</v>
      </c>
      <c r="F2699">
        <v>7</v>
      </c>
      <c r="G2699">
        <v>0.3</v>
      </c>
      <c r="H2699">
        <v>0.46</v>
      </c>
      <c r="I2699" t="s">
        <v>34</v>
      </c>
      <c r="J2699">
        <v>42041</v>
      </c>
      <c r="K2699" t="s">
        <v>27</v>
      </c>
      <c r="L2699">
        <v>-8</v>
      </c>
      <c r="M2699">
        <v>32</v>
      </c>
      <c r="N2699" t="s">
        <v>35</v>
      </c>
      <c r="O2699" t="s">
        <v>36</v>
      </c>
      <c r="P2699">
        <v>3.08</v>
      </c>
      <c r="Q2699" t="s">
        <v>34</v>
      </c>
      <c r="R2699">
        <v>1.18</v>
      </c>
      <c r="S2699" t="s">
        <v>43</v>
      </c>
      <c r="T2699" t="str">
        <f t="shared" si="84"/>
        <v>High</v>
      </c>
      <c r="U2699" t="str">
        <f t="shared" si="85"/>
        <v>Intermediate</v>
      </c>
    </row>
    <row r="2700" spans="1:21" x14ac:dyDescent="0.35">
      <c r="A2700" t="s">
        <v>2773</v>
      </c>
      <c r="B2700" t="s">
        <v>51</v>
      </c>
      <c r="C2700" t="s">
        <v>107</v>
      </c>
      <c r="D2700" t="s">
        <v>49</v>
      </c>
      <c r="E2700" t="s">
        <v>70</v>
      </c>
      <c r="F2700">
        <v>13</v>
      </c>
      <c r="G2700">
        <v>0.61</v>
      </c>
      <c r="H2700">
        <v>0.62</v>
      </c>
      <c r="I2700" t="s">
        <v>60</v>
      </c>
      <c r="J2700">
        <v>131729</v>
      </c>
      <c r="K2700" t="s">
        <v>27</v>
      </c>
      <c r="L2700">
        <v>28</v>
      </c>
      <c r="M2700">
        <v>52</v>
      </c>
      <c r="N2700" t="s">
        <v>26</v>
      </c>
      <c r="O2700" t="s">
        <v>27</v>
      </c>
      <c r="P2700">
        <v>2</v>
      </c>
      <c r="Q2700" t="s">
        <v>24</v>
      </c>
      <c r="R2700">
        <v>2.2000000000000002</v>
      </c>
      <c r="S2700" t="s">
        <v>28</v>
      </c>
      <c r="T2700" t="str">
        <f t="shared" si="84"/>
        <v>High</v>
      </c>
      <c r="U2700" t="str">
        <f t="shared" si="85"/>
        <v>Experienced</v>
      </c>
    </row>
    <row r="2701" spans="1:21" x14ac:dyDescent="0.35">
      <c r="A2701" t="s">
        <v>2774</v>
      </c>
      <c r="B2701" t="s">
        <v>51</v>
      </c>
      <c r="C2701" t="s">
        <v>55</v>
      </c>
      <c r="D2701" t="s">
        <v>22</v>
      </c>
      <c r="E2701" t="s">
        <v>33</v>
      </c>
      <c r="F2701">
        <v>2</v>
      </c>
      <c r="G2701">
        <v>0.13</v>
      </c>
      <c r="H2701">
        <v>0.78</v>
      </c>
      <c r="I2701" t="s">
        <v>60</v>
      </c>
      <c r="J2701">
        <v>175784</v>
      </c>
      <c r="K2701" t="s">
        <v>25</v>
      </c>
      <c r="L2701">
        <v>20</v>
      </c>
      <c r="M2701">
        <v>40</v>
      </c>
      <c r="N2701" t="s">
        <v>26</v>
      </c>
      <c r="O2701" t="s">
        <v>36</v>
      </c>
      <c r="P2701">
        <v>2.91</v>
      </c>
      <c r="Q2701" t="s">
        <v>34</v>
      </c>
      <c r="R2701">
        <v>3.25</v>
      </c>
      <c r="S2701" t="s">
        <v>47</v>
      </c>
      <c r="T2701" t="str">
        <f t="shared" si="84"/>
        <v>Very High</v>
      </c>
      <c r="U2701" t="str">
        <f t="shared" si="85"/>
        <v>Beginner</v>
      </c>
    </row>
    <row r="2702" spans="1:21" x14ac:dyDescent="0.35">
      <c r="A2702" t="s">
        <v>2775</v>
      </c>
      <c r="B2702" t="s">
        <v>68</v>
      </c>
      <c r="C2702" t="s">
        <v>31</v>
      </c>
      <c r="D2702" t="s">
        <v>22</v>
      </c>
      <c r="E2702" t="s">
        <v>33</v>
      </c>
      <c r="F2702">
        <v>16</v>
      </c>
      <c r="G2702">
        <v>0.94</v>
      </c>
      <c r="H2702">
        <v>0.75</v>
      </c>
      <c r="I2702" t="s">
        <v>60</v>
      </c>
      <c r="J2702">
        <v>81964</v>
      </c>
      <c r="K2702" t="s">
        <v>27</v>
      </c>
      <c r="L2702">
        <v>16</v>
      </c>
      <c r="M2702">
        <v>48</v>
      </c>
      <c r="N2702" t="s">
        <v>35</v>
      </c>
      <c r="O2702" t="s">
        <v>27</v>
      </c>
      <c r="P2702">
        <v>4.0599999999999996</v>
      </c>
      <c r="Q2702" t="s">
        <v>24</v>
      </c>
      <c r="R2702">
        <v>3.64</v>
      </c>
      <c r="S2702" t="s">
        <v>43</v>
      </c>
      <c r="T2702" t="str">
        <f t="shared" si="84"/>
        <v>Moderate</v>
      </c>
      <c r="U2702" t="str">
        <f t="shared" si="85"/>
        <v>Expert</v>
      </c>
    </row>
    <row r="2703" spans="1:21" x14ac:dyDescent="0.35">
      <c r="A2703" t="s">
        <v>2776</v>
      </c>
      <c r="B2703" t="s">
        <v>54</v>
      </c>
      <c r="C2703" t="s">
        <v>82</v>
      </c>
      <c r="D2703" t="s">
        <v>32</v>
      </c>
      <c r="E2703" t="s">
        <v>41</v>
      </c>
      <c r="F2703">
        <v>13</v>
      </c>
      <c r="G2703">
        <v>0.3</v>
      </c>
      <c r="H2703">
        <v>0.67</v>
      </c>
      <c r="I2703" t="s">
        <v>60</v>
      </c>
      <c r="J2703">
        <v>130151</v>
      </c>
      <c r="K2703" t="s">
        <v>27</v>
      </c>
      <c r="L2703">
        <v>32</v>
      </c>
      <c r="M2703">
        <v>34</v>
      </c>
      <c r="N2703" t="s">
        <v>42</v>
      </c>
      <c r="O2703" t="s">
        <v>36</v>
      </c>
      <c r="P2703">
        <v>3.59</v>
      </c>
      <c r="Q2703" t="s">
        <v>24</v>
      </c>
      <c r="R2703">
        <v>1.22</v>
      </c>
      <c r="S2703" t="s">
        <v>47</v>
      </c>
      <c r="T2703" t="str">
        <f t="shared" si="84"/>
        <v>High</v>
      </c>
      <c r="U2703" t="str">
        <f t="shared" si="85"/>
        <v>Experienced</v>
      </c>
    </row>
    <row r="2704" spans="1:21" x14ac:dyDescent="0.35">
      <c r="A2704" t="s">
        <v>2777</v>
      </c>
      <c r="B2704" t="s">
        <v>62</v>
      </c>
      <c r="C2704" t="s">
        <v>46</v>
      </c>
      <c r="D2704" t="s">
        <v>40</v>
      </c>
      <c r="E2704" t="s">
        <v>41</v>
      </c>
      <c r="F2704">
        <v>16</v>
      </c>
      <c r="G2704">
        <v>0.61</v>
      </c>
      <c r="H2704">
        <v>0.95</v>
      </c>
      <c r="I2704" t="s">
        <v>60</v>
      </c>
      <c r="J2704">
        <v>96574</v>
      </c>
      <c r="K2704" t="s">
        <v>42</v>
      </c>
      <c r="L2704">
        <v>43</v>
      </c>
      <c r="M2704">
        <v>37</v>
      </c>
      <c r="N2704" t="s">
        <v>42</v>
      </c>
      <c r="O2704" t="s">
        <v>27</v>
      </c>
      <c r="P2704">
        <v>4.74</v>
      </c>
      <c r="Q2704" t="s">
        <v>24</v>
      </c>
      <c r="R2704">
        <v>4.6900000000000004</v>
      </c>
      <c r="S2704" t="s">
        <v>28</v>
      </c>
      <c r="T2704" t="str">
        <f t="shared" si="84"/>
        <v>High</v>
      </c>
      <c r="U2704" t="str">
        <f t="shared" si="85"/>
        <v>Expert</v>
      </c>
    </row>
    <row r="2705" spans="1:21" x14ac:dyDescent="0.35">
      <c r="A2705" t="s">
        <v>2778</v>
      </c>
      <c r="B2705" t="s">
        <v>102</v>
      </c>
      <c r="C2705" t="s">
        <v>31</v>
      </c>
      <c r="D2705" t="s">
        <v>75</v>
      </c>
      <c r="E2705" t="s">
        <v>23</v>
      </c>
      <c r="F2705">
        <v>18</v>
      </c>
      <c r="G2705">
        <v>0.9</v>
      </c>
      <c r="H2705">
        <v>0.92</v>
      </c>
      <c r="I2705" t="s">
        <v>60</v>
      </c>
      <c r="J2705">
        <v>162664</v>
      </c>
      <c r="K2705" t="s">
        <v>27</v>
      </c>
      <c r="L2705">
        <v>41</v>
      </c>
      <c r="M2705">
        <v>36</v>
      </c>
      <c r="N2705" t="s">
        <v>35</v>
      </c>
      <c r="O2705" t="s">
        <v>27</v>
      </c>
      <c r="P2705">
        <v>2.2400000000000002</v>
      </c>
      <c r="Q2705" t="s">
        <v>24</v>
      </c>
      <c r="R2705">
        <v>2.54</v>
      </c>
      <c r="S2705" t="s">
        <v>43</v>
      </c>
      <c r="T2705" t="str">
        <f t="shared" si="84"/>
        <v>High</v>
      </c>
      <c r="U2705" t="str">
        <f t="shared" si="85"/>
        <v>Expert</v>
      </c>
    </row>
    <row r="2706" spans="1:21" x14ac:dyDescent="0.35">
      <c r="A2706" t="s">
        <v>2779</v>
      </c>
      <c r="B2706" t="s">
        <v>51</v>
      </c>
      <c r="C2706" t="s">
        <v>58</v>
      </c>
      <c r="D2706" t="s">
        <v>49</v>
      </c>
      <c r="E2706" t="s">
        <v>33</v>
      </c>
      <c r="F2706">
        <v>13</v>
      </c>
      <c r="G2706">
        <v>0.16</v>
      </c>
      <c r="H2706">
        <v>0.38</v>
      </c>
      <c r="I2706" t="s">
        <v>24</v>
      </c>
      <c r="J2706">
        <v>41392</v>
      </c>
      <c r="K2706" t="s">
        <v>42</v>
      </c>
      <c r="L2706">
        <v>9</v>
      </c>
      <c r="M2706">
        <v>40</v>
      </c>
      <c r="N2706" t="s">
        <v>42</v>
      </c>
      <c r="O2706" t="s">
        <v>36</v>
      </c>
      <c r="P2706">
        <v>2.3199999999999998</v>
      </c>
      <c r="Q2706" t="s">
        <v>24</v>
      </c>
      <c r="R2706">
        <v>3.01</v>
      </c>
      <c r="S2706" t="s">
        <v>28</v>
      </c>
      <c r="T2706" t="str">
        <f t="shared" si="84"/>
        <v>High</v>
      </c>
      <c r="U2706" t="str">
        <f t="shared" si="85"/>
        <v>Experienced</v>
      </c>
    </row>
    <row r="2707" spans="1:21" x14ac:dyDescent="0.35">
      <c r="A2707" t="s">
        <v>2780</v>
      </c>
      <c r="B2707" t="s">
        <v>57</v>
      </c>
      <c r="C2707" t="s">
        <v>39</v>
      </c>
      <c r="D2707" t="s">
        <v>75</v>
      </c>
      <c r="E2707" t="s">
        <v>33</v>
      </c>
      <c r="F2707">
        <v>23</v>
      </c>
      <c r="G2707">
        <v>0.73</v>
      </c>
      <c r="H2707">
        <v>0.89</v>
      </c>
      <c r="I2707" t="s">
        <v>24</v>
      </c>
      <c r="J2707">
        <v>53652</v>
      </c>
      <c r="K2707" t="s">
        <v>42</v>
      </c>
      <c r="L2707">
        <v>42</v>
      </c>
      <c r="M2707">
        <v>47</v>
      </c>
      <c r="N2707" t="s">
        <v>26</v>
      </c>
      <c r="O2707" t="s">
        <v>25</v>
      </c>
      <c r="P2707">
        <v>2.77</v>
      </c>
      <c r="Q2707" t="s">
        <v>24</v>
      </c>
      <c r="R2707">
        <v>1.32</v>
      </c>
      <c r="S2707" t="s">
        <v>28</v>
      </c>
      <c r="T2707" t="str">
        <f t="shared" si="84"/>
        <v>High</v>
      </c>
      <c r="U2707" t="str">
        <f t="shared" si="85"/>
        <v>Expert</v>
      </c>
    </row>
    <row r="2708" spans="1:21" x14ac:dyDescent="0.35">
      <c r="A2708" t="s">
        <v>2781</v>
      </c>
      <c r="B2708" t="s">
        <v>38</v>
      </c>
      <c r="C2708" t="s">
        <v>82</v>
      </c>
      <c r="D2708" t="s">
        <v>49</v>
      </c>
      <c r="E2708" t="s">
        <v>23</v>
      </c>
      <c r="F2708">
        <v>4</v>
      </c>
      <c r="G2708">
        <v>0.62</v>
      </c>
      <c r="H2708">
        <v>0.88</v>
      </c>
      <c r="I2708" t="s">
        <v>34</v>
      </c>
      <c r="J2708">
        <v>50450</v>
      </c>
      <c r="K2708" t="s">
        <v>42</v>
      </c>
      <c r="L2708">
        <v>5</v>
      </c>
      <c r="M2708">
        <v>50</v>
      </c>
      <c r="N2708" t="s">
        <v>42</v>
      </c>
      <c r="O2708" t="s">
        <v>27</v>
      </c>
      <c r="P2708">
        <v>3.26</v>
      </c>
      <c r="Q2708" t="s">
        <v>34</v>
      </c>
      <c r="R2708">
        <v>2.29</v>
      </c>
      <c r="S2708" t="s">
        <v>47</v>
      </c>
      <c r="T2708" t="str">
        <f t="shared" si="84"/>
        <v>High</v>
      </c>
      <c r="U2708" t="str">
        <f t="shared" si="85"/>
        <v>Intermediate</v>
      </c>
    </row>
    <row r="2709" spans="1:21" x14ac:dyDescent="0.35">
      <c r="A2709" t="s">
        <v>2782</v>
      </c>
      <c r="B2709" t="s">
        <v>102</v>
      </c>
      <c r="C2709" t="s">
        <v>52</v>
      </c>
      <c r="D2709" t="s">
        <v>63</v>
      </c>
      <c r="E2709" t="s">
        <v>23</v>
      </c>
      <c r="F2709">
        <v>9</v>
      </c>
      <c r="G2709">
        <v>0.62</v>
      </c>
      <c r="H2709">
        <v>0.79</v>
      </c>
      <c r="I2709" t="s">
        <v>34</v>
      </c>
      <c r="J2709">
        <v>81396</v>
      </c>
      <c r="K2709" t="s">
        <v>25</v>
      </c>
      <c r="L2709">
        <v>30</v>
      </c>
      <c r="M2709">
        <v>60</v>
      </c>
      <c r="N2709" t="s">
        <v>26</v>
      </c>
      <c r="O2709" t="s">
        <v>25</v>
      </c>
      <c r="P2709">
        <v>2.87</v>
      </c>
      <c r="Q2709" t="s">
        <v>34</v>
      </c>
      <c r="R2709">
        <v>3.97</v>
      </c>
      <c r="S2709" t="s">
        <v>28</v>
      </c>
      <c r="T2709" t="str">
        <f t="shared" si="84"/>
        <v>High</v>
      </c>
      <c r="U2709" t="str">
        <f t="shared" si="85"/>
        <v>Experienced</v>
      </c>
    </row>
    <row r="2710" spans="1:21" x14ac:dyDescent="0.35">
      <c r="A2710" t="s">
        <v>2783</v>
      </c>
      <c r="B2710" t="s">
        <v>96</v>
      </c>
      <c r="C2710" t="s">
        <v>74</v>
      </c>
      <c r="D2710" t="s">
        <v>69</v>
      </c>
      <c r="E2710" t="s">
        <v>41</v>
      </c>
      <c r="F2710">
        <v>18</v>
      </c>
      <c r="G2710">
        <v>0.25</v>
      </c>
      <c r="H2710">
        <v>0.61</v>
      </c>
      <c r="I2710" t="s">
        <v>34</v>
      </c>
      <c r="J2710">
        <v>64420</v>
      </c>
      <c r="K2710" t="s">
        <v>27</v>
      </c>
      <c r="L2710">
        <v>30</v>
      </c>
      <c r="M2710">
        <v>55</v>
      </c>
      <c r="N2710" t="s">
        <v>26</v>
      </c>
      <c r="O2710" t="s">
        <v>36</v>
      </c>
      <c r="P2710">
        <v>3.63</v>
      </c>
      <c r="Q2710" t="s">
        <v>24</v>
      </c>
      <c r="R2710">
        <v>1.54</v>
      </c>
      <c r="S2710" t="s">
        <v>43</v>
      </c>
      <c r="T2710" t="str">
        <f t="shared" si="84"/>
        <v>High</v>
      </c>
      <c r="U2710" t="str">
        <f t="shared" si="85"/>
        <v>Expert</v>
      </c>
    </row>
    <row r="2711" spans="1:21" x14ac:dyDescent="0.35">
      <c r="A2711" t="s">
        <v>2784</v>
      </c>
      <c r="B2711" t="s">
        <v>65</v>
      </c>
      <c r="C2711" t="s">
        <v>52</v>
      </c>
      <c r="D2711" t="s">
        <v>69</v>
      </c>
      <c r="E2711" t="s">
        <v>70</v>
      </c>
      <c r="F2711">
        <v>14</v>
      </c>
      <c r="G2711">
        <v>0.83</v>
      </c>
      <c r="H2711">
        <v>0.73</v>
      </c>
      <c r="I2711" t="s">
        <v>34</v>
      </c>
      <c r="J2711">
        <v>206965</v>
      </c>
      <c r="K2711" t="s">
        <v>27</v>
      </c>
      <c r="L2711">
        <v>36</v>
      </c>
      <c r="M2711">
        <v>43</v>
      </c>
      <c r="N2711" t="s">
        <v>42</v>
      </c>
      <c r="O2711" t="s">
        <v>27</v>
      </c>
      <c r="P2711">
        <v>3.35</v>
      </c>
      <c r="Q2711" t="s">
        <v>34</v>
      </c>
      <c r="R2711">
        <v>3.4</v>
      </c>
      <c r="S2711" t="s">
        <v>43</v>
      </c>
      <c r="T2711" t="str">
        <f t="shared" si="84"/>
        <v>Moderate</v>
      </c>
      <c r="U2711" t="str">
        <f t="shared" si="85"/>
        <v>Experienced</v>
      </c>
    </row>
    <row r="2712" spans="1:21" x14ac:dyDescent="0.35">
      <c r="A2712" t="s">
        <v>2785</v>
      </c>
      <c r="B2712" t="s">
        <v>91</v>
      </c>
      <c r="C2712" t="s">
        <v>74</v>
      </c>
      <c r="D2712" t="s">
        <v>75</v>
      </c>
      <c r="E2712" t="s">
        <v>23</v>
      </c>
      <c r="F2712">
        <v>16</v>
      </c>
      <c r="G2712">
        <v>0.78</v>
      </c>
      <c r="H2712">
        <v>0.6</v>
      </c>
      <c r="I2712" t="s">
        <v>24</v>
      </c>
      <c r="J2712">
        <v>40285</v>
      </c>
      <c r="K2712" t="s">
        <v>25</v>
      </c>
      <c r="L2712">
        <v>31</v>
      </c>
      <c r="M2712">
        <v>53</v>
      </c>
      <c r="N2712" t="s">
        <v>35</v>
      </c>
      <c r="O2712" t="s">
        <v>36</v>
      </c>
      <c r="P2712">
        <v>2.71</v>
      </c>
      <c r="Q2712" t="s">
        <v>24</v>
      </c>
      <c r="R2712">
        <v>3.26</v>
      </c>
      <c r="S2712" t="s">
        <v>43</v>
      </c>
      <c r="T2712" t="str">
        <f t="shared" si="84"/>
        <v>Moderate</v>
      </c>
      <c r="U2712" t="str">
        <f t="shared" si="85"/>
        <v>Expert</v>
      </c>
    </row>
    <row r="2713" spans="1:21" x14ac:dyDescent="0.35">
      <c r="A2713" t="s">
        <v>2786</v>
      </c>
      <c r="B2713" t="s">
        <v>73</v>
      </c>
      <c r="C2713" t="s">
        <v>107</v>
      </c>
      <c r="D2713" t="s">
        <v>59</v>
      </c>
      <c r="E2713" t="s">
        <v>70</v>
      </c>
      <c r="F2713">
        <v>8</v>
      </c>
      <c r="G2713">
        <v>0.5</v>
      </c>
      <c r="H2713">
        <v>0.84</v>
      </c>
      <c r="I2713" t="s">
        <v>34</v>
      </c>
      <c r="J2713">
        <v>147649</v>
      </c>
      <c r="K2713" t="s">
        <v>25</v>
      </c>
      <c r="L2713">
        <v>37</v>
      </c>
      <c r="M2713">
        <v>53</v>
      </c>
      <c r="N2713" t="s">
        <v>42</v>
      </c>
      <c r="O2713" t="s">
        <v>25</v>
      </c>
      <c r="P2713">
        <v>2.2400000000000002</v>
      </c>
      <c r="Q2713" t="s">
        <v>34</v>
      </c>
      <c r="R2713">
        <v>4.9800000000000004</v>
      </c>
      <c r="S2713" t="s">
        <v>47</v>
      </c>
      <c r="T2713" t="str">
        <f t="shared" si="84"/>
        <v>High</v>
      </c>
      <c r="U2713" t="str">
        <f t="shared" si="85"/>
        <v>Intermediate</v>
      </c>
    </row>
    <row r="2714" spans="1:21" x14ac:dyDescent="0.35">
      <c r="A2714" t="s">
        <v>2787</v>
      </c>
      <c r="B2714" t="s">
        <v>20</v>
      </c>
      <c r="C2714" t="s">
        <v>46</v>
      </c>
      <c r="D2714" t="s">
        <v>32</v>
      </c>
      <c r="E2714" t="s">
        <v>41</v>
      </c>
      <c r="F2714">
        <v>5</v>
      </c>
      <c r="G2714">
        <v>0.62</v>
      </c>
      <c r="H2714">
        <v>0.61</v>
      </c>
      <c r="I2714" t="s">
        <v>60</v>
      </c>
      <c r="J2714">
        <v>145032</v>
      </c>
      <c r="K2714" t="s">
        <v>27</v>
      </c>
      <c r="L2714">
        <v>0</v>
      </c>
      <c r="M2714">
        <v>48</v>
      </c>
      <c r="N2714" t="s">
        <v>26</v>
      </c>
      <c r="O2714" t="s">
        <v>36</v>
      </c>
      <c r="P2714">
        <v>3</v>
      </c>
      <c r="Q2714" t="s">
        <v>34</v>
      </c>
      <c r="R2714">
        <v>2.59</v>
      </c>
      <c r="S2714" t="s">
        <v>47</v>
      </c>
      <c r="T2714" t="str">
        <f t="shared" si="84"/>
        <v>Moderate</v>
      </c>
      <c r="U2714" t="str">
        <f t="shared" si="85"/>
        <v>Intermediate</v>
      </c>
    </row>
    <row r="2715" spans="1:21" x14ac:dyDescent="0.35">
      <c r="A2715" t="s">
        <v>2788</v>
      </c>
      <c r="B2715" t="s">
        <v>77</v>
      </c>
      <c r="C2715" t="s">
        <v>46</v>
      </c>
      <c r="D2715" t="s">
        <v>40</v>
      </c>
      <c r="E2715" t="s">
        <v>41</v>
      </c>
      <c r="F2715">
        <v>13</v>
      </c>
      <c r="G2715">
        <v>0.5</v>
      </c>
      <c r="H2715">
        <v>0.74</v>
      </c>
      <c r="I2715" t="s">
        <v>24</v>
      </c>
      <c r="J2715">
        <v>144986</v>
      </c>
      <c r="K2715" t="s">
        <v>25</v>
      </c>
      <c r="L2715">
        <v>33</v>
      </c>
      <c r="M2715">
        <v>51</v>
      </c>
      <c r="N2715" t="s">
        <v>26</v>
      </c>
      <c r="O2715" t="s">
        <v>25</v>
      </c>
      <c r="P2715">
        <v>3.04</v>
      </c>
      <c r="Q2715" t="s">
        <v>34</v>
      </c>
      <c r="R2715">
        <v>1.9</v>
      </c>
      <c r="S2715" t="s">
        <v>43</v>
      </c>
      <c r="T2715" t="str">
        <f t="shared" si="84"/>
        <v>High</v>
      </c>
      <c r="U2715" t="str">
        <f t="shared" si="85"/>
        <v>Experienced</v>
      </c>
    </row>
    <row r="2716" spans="1:21" x14ac:dyDescent="0.35">
      <c r="A2716" t="s">
        <v>2789</v>
      </c>
      <c r="B2716" t="s">
        <v>20</v>
      </c>
      <c r="C2716" t="s">
        <v>52</v>
      </c>
      <c r="D2716" t="s">
        <v>49</v>
      </c>
      <c r="E2716" t="s">
        <v>41</v>
      </c>
      <c r="F2716">
        <v>3</v>
      </c>
      <c r="G2716">
        <v>0.46</v>
      </c>
      <c r="H2716">
        <v>0.7</v>
      </c>
      <c r="I2716" t="s">
        <v>60</v>
      </c>
      <c r="J2716">
        <v>104781</v>
      </c>
      <c r="K2716" t="s">
        <v>42</v>
      </c>
      <c r="L2716">
        <v>38</v>
      </c>
      <c r="M2716">
        <v>54</v>
      </c>
      <c r="N2716" t="s">
        <v>35</v>
      </c>
      <c r="O2716" t="s">
        <v>36</v>
      </c>
      <c r="P2716">
        <v>3.83</v>
      </c>
      <c r="Q2716" t="s">
        <v>34</v>
      </c>
      <c r="R2716">
        <v>4.3099999999999996</v>
      </c>
      <c r="S2716" t="s">
        <v>43</v>
      </c>
      <c r="T2716" t="str">
        <f t="shared" si="84"/>
        <v>High</v>
      </c>
      <c r="U2716" t="str">
        <f t="shared" si="85"/>
        <v>Intermediate</v>
      </c>
    </row>
    <row r="2717" spans="1:21" x14ac:dyDescent="0.35">
      <c r="A2717" t="s">
        <v>2790</v>
      </c>
      <c r="B2717" t="s">
        <v>77</v>
      </c>
      <c r="C2717" t="s">
        <v>31</v>
      </c>
      <c r="D2717" t="s">
        <v>40</v>
      </c>
      <c r="E2717" t="s">
        <v>23</v>
      </c>
      <c r="F2717">
        <v>4</v>
      </c>
      <c r="G2717">
        <v>0.8</v>
      </c>
      <c r="H2717">
        <v>0.97</v>
      </c>
      <c r="I2717" t="s">
        <v>60</v>
      </c>
      <c r="J2717">
        <v>42324</v>
      </c>
      <c r="K2717" t="s">
        <v>27</v>
      </c>
      <c r="L2717">
        <v>39</v>
      </c>
      <c r="M2717">
        <v>52</v>
      </c>
      <c r="N2717" t="s">
        <v>42</v>
      </c>
      <c r="O2717" t="s">
        <v>36</v>
      </c>
      <c r="P2717">
        <v>2.54</v>
      </c>
      <c r="Q2717" t="s">
        <v>24</v>
      </c>
      <c r="R2717">
        <v>3.02</v>
      </c>
      <c r="S2717" t="s">
        <v>43</v>
      </c>
      <c r="T2717" t="str">
        <f t="shared" si="84"/>
        <v>High</v>
      </c>
      <c r="U2717" t="str">
        <f t="shared" si="85"/>
        <v>Intermediate</v>
      </c>
    </row>
    <row r="2718" spans="1:21" x14ac:dyDescent="0.35">
      <c r="A2718" t="s">
        <v>2791</v>
      </c>
      <c r="B2718" t="s">
        <v>147</v>
      </c>
      <c r="C2718" t="s">
        <v>52</v>
      </c>
      <c r="D2718" t="s">
        <v>69</v>
      </c>
      <c r="E2718" t="s">
        <v>23</v>
      </c>
      <c r="F2718">
        <v>1</v>
      </c>
      <c r="G2718">
        <v>0.85</v>
      </c>
      <c r="H2718">
        <v>0.39</v>
      </c>
      <c r="I2718" t="s">
        <v>24</v>
      </c>
      <c r="J2718">
        <v>56487</v>
      </c>
      <c r="K2718" t="s">
        <v>27</v>
      </c>
      <c r="L2718">
        <v>45</v>
      </c>
      <c r="M2718">
        <v>49</v>
      </c>
      <c r="N2718" t="s">
        <v>35</v>
      </c>
      <c r="O2718" t="s">
        <v>27</v>
      </c>
      <c r="P2718">
        <v>3.4</v>
      </c>
      <c r="Q2718" t="s">
        <v>34</v>
      </c>
      <c r="R2718">
        <v>1.44</v>
      </c>
      <c r="S2718" t="s">
        <v>43</v>
      </c>
      <c r="T2718" t="str">
        <f t="shared" si="84"/>
        <v>Very Low</v>
      </c>
      <c r="U2718" t="str">
        <f t="shared" si="85"/>
        <v>Beginner</v>
      </c>
    </row>
    <row r="2719" spans="1:21" x14ac:dyDescent="0.35">
      <c r="A2719" t="s">
        <v>2792</v>
      </c>
      <c r="B2719" t="s">
        <v>156</v>
      </c>
      <c r="C2719" t="s">
        <v>82</v>
      </c>
      <c r="D2719" t="s">
        <v>32</v>
      </c>
      <c r="E2719" t="s">
        <v>41</v>
      </c>
      <c r="F2719">
        <v>7</v>
      </c>
      <c r="G2719">
        <v>0.87</v>
      </c>
      <c r="H2719">
        <v>0.88</v>
      </c>
      <c r="I2719" t="s">
        <v>24</v>
      </c>
      <c r="J2719">
        <v>174263</v>
      </c>
      <c r="K2719" t="s">
        <v>27</v>
      </c>
      <c r="L2719">
        <v>27</v>
      </c>
      <c r="M2719">
        <v>50</v>
      </c>
      <c r="N2719" t="s">
        <v>42</v>
      </c>
      <c r="O2719" t="s">
        <v>25</v>
      </c>
      <c r="P2719">
        <v>2.94</v>
      </c>
      <c r="Q2719" t="s">
        <v>24</v>
      </c>
      <c r="R2719">
        <v>4.68</v>
      </c>
      <c r="S2719" t="s">
        <v>43</v>
      </c>
      <c r="T2719" t="str">
        <f t="shared" si="84"/>
        <v>High</v>
      </c>
      <c r="U2719" t="str">
        <f t="shared" si="85"/>
        <v>Intermediate</v>
      </c>
    </row>
    <row r="2720" spans="1:21" x14ac:dyDescent="0.35">
      <c r="A2720" t="s">
        <v>2793</v>
      </c>
      <c r="B2720" t="s">
        <v>54</v>
      </c>
      <c r="C2720" t="s">
        <v>21</v>
      </c>
      <c r="D2720" t="s">
        <v>66</v>
      </c>
      <c r="E2720" t="s">
        <v>23</v>
      </c>
      <c r="F2720">
        <v>11</v>
      </c>
      <c r="G2720">
        <v>0.32</v>
      </c>
      <c r="H2720">
        <v>0.94</v>
      </c>
      <c r="I2720" t="s">
        <v>34</v>
      </c>
      <c r="J2720">
        <v>156477</v>
      </c>
      <c r="K2720" t="s">
        <v>42</v>
      </c>
      <c r="L2720">
        <v>10</v>
      </c>
      <c r="M2720">
        <v>32</v>
      </c>
      <c r="N2720" t="s">
        <v>35</v>
      </c>
      <c r="O2720" t="s">
        <v>25</v>
      </c>
      <c r="P2720">
        <v>4.58</v>
      </c>
      <c r="Q2720" t="s">
        <v>34</v>
      </c>
      <c r="R2720">
        <v>2.46</v>
      </c>
      <c r="S2720" t="s">
        <v>47</v>
      </c>
      <c r="T2720" t="str">
        <f t="shared" si="84"/>
        <v>Very High</v>
      </c>
      <c r="U2720" t="str">
        <f t="shared" si="85"/>
        <v>Experienced</v>
      </c>
    </row>
    <row r="2721" spans="1:21" x14ac:dyDescent="0.35">
      <c r="A2721" t="s">
        <v>2794</v>
      </c>
      <c r="B2721" t="s">
        <v>102</v>
      </c>
      <c r="C2721" t="s">
        <v>39</v>
      </c>
      <c r="D2721" t="s">
        <v>80</v>
      </c>
      <c r="E2721" t="s">
        <v>23</v>
      </c>
      <c r="F2721">
        <v>22</v>
      </c>
      <c r="G2721">
        <v>0.22</v>
      </c>
      <c r="H2721">
        <v>0.75</v>
      </c>
      <c r="I2721" t="s">
        <v>34</v>
      </c>
      <c r="J2721">
        <v>130098</v>
      </c>
      <c r="K2721" t="s">
        <v>27</v>
      </c>
      <c r="L2721">
        <v>15</v>
      </c>
      <c r="M2721">
        <v>40</v>
      </c>
      <c r="N2721" t="s">
        <v>35</v>
      </c>
      <c r="O2721" t="s">
        <v>25</v>
      </c>
      <c r="P2721">
        <v>3.34</v>
      </c>
      <c r="Q2721" t="s">
        <v>34</v>
      </c>
      <c r="R2721">
        <v>2.0499999999999998</v>
      </c>
      <c r="S2721" t="s">
        <v>43</v>
      </c>
      <c r="T2721" t="str">
        <f t="shared" si="84"/>
        <v>Very High</v>
      </c>
      <c r="U2721" t="str">
        <f t="shared" si="85"/>
        <v>Expert</v>
      </c>
    </row>
    <row r="2722" spans="1:21" x14ac:dyDescent="0.35">
      <c r="A2722" t="s">
        <v>2795</v>
      </c>
      <c r="B2722" t="s">
        <v>54</v>
      </c>
      <c r="C2722" t="s">
        <v>107</v>
      </c>
      <c r="D2722" t="s">
        <v>75</v>
      </c>
      <c r="E2722" t="s">
        <v>23</v>
      </c>
      <c r="F2722">
        <v>20</v>
      </c>
      <c r="G2722">
        <v>0.13</v>
      </c>
      <c r="H2722">
        <v>0.49</v>
      </c>
      <c r="I2722" t="s">
        <v>34</v>
      </c>
      <c r="J2722">
        <v>134233</v>
      </c>
      <c r="K2722" t="s">
        <v>27</v>
      </c>
      <c r="L2722">
        <v>17</v>
      </c>
      <c r="M2722">
        <v>57</v>
      </c>
      <c r="N2722" t="s">
        <v>26</v>
      </c>
      <c r="O2722" t="s">
        <v>27</v>
      </c>
      <c r="P2722">
        <v>3.44</v>
      </c>
      <c r="Q2722" t="s">
        <v>24</v>
      </c>
      <c r="R2722">
        <v>4.29</v>
      </c>
      <c r="S2722" t="s">
        <v>47</v>
      </c>
      <c r="T2722" t="str">
        <f t="shared" si="84"/>
        <v>High</v>
      </c>
      <c r="U2722" t="str">
        <f t="shared" si="85"/>
        <v>Expert</v>
      </c>
    </row>
    <row r="2723" spans="1:21" x14ac:dyDescent="0.35">
      <c r="A2723" t="s">
        <v>2796</v>
      </c>
      <c r="B2723" t="s">
        <v>54</v>
      </c>
      <c r="C2723" t="s">
        <v>46</v>
      </c>
      <c r="D2723" t="s">
        <v>40</v>
      </c>
      <c r="E2723" t="s">
        <v>70</v>
      </c>
      <c r="F2723">
        <v>6</v>
      </c>
      <c r="G2723">
        <v>0.9</v>
      </c>
      <c r="H2723">
        <v>0.42</v>
      </c>
      <c r="I2723" t="s">
        <v>34</v>
      </c>
      <c r="J2723">
        <v>143560</v>
      </c>
      <c r="K2723" t="s">
        <v>25</v>
      </c>
      <c r="L2723">
        <v>26</v>
      </c>
      <c r="M2723">
        <v>30</v>
      </c>
      <c r="N2723" t="s">
        <v>26</v>
      </c>
      <c r="O2723" t="s">
        <v>36</v>
      </c>
      <c r="P2723">
        <v>2.59</v>
      </c>
      <c r="Q2723" t="s">
        <v>34</v>
      </c>
      <c r="R2723">
        <v>3.94</v>
      </c>
      <c r="S2723" t="s">
        <v>47</v>
      </c>
      <c r="T2723" t="str">
        <f t="shared" si="84"/>
        <v>Very Low</v>
      </c>
      <c r="U2723" t="str">
        <f t="shared" si="85"/>
        <v>Intermediate</v>
      </c>
    </row>
    <row r="2724" spans="1:21" x14ac:dyDescent="0.35">
      <c r="A2724" t="s">
        <v>2797</v>
      </c>
      <c r="B2724" t="s">
        <v>147</v>
      </c>
      <c r="C2724" t="s">
        <v>21</v>
      </c>
      <c r="D2724" t="s">
        <v>59</v>
      </c>
      <c r="E2724" t="s">
        <v>33</v>
      </c>
      <c r="F2724">
        <v>14</v>
      </c>
      <c r="G2724">
        <v>0.59</v>
      </c>
      <c r="H2724">
        <v>0.4</v>
      </c>
      <c r="I2724" t="s">
        <v>24</v>
      </c>
      <c r="J2724">
        <v>135913</v>
      </c>
      <c r="K2724" t="s">
        <v>25</v>
      </c>
      <c r="L2724">
        <v>-8</v>
      </c>
      <c r="M2724">
        <v>39</v>
      </c>
      <c r="N2724" t="s">
        <v>26</v>
      </c>
      <c r="O2724" t="s">
        <v>27</v>
      </c>
      <c r="P2724">
        <v>3.75</v>
      </c>
      <c r="Q2724" t="s">
        <v>24</v>
      </c>
      <c r="R2724">
        <v>2.72</v>
      </c>
      <c r="S2724" t="s">
        <v>43</v>
      </c>
      <c r="T2724" t="str">
        <f t="shared" si="84"/>
        <v>Moderate</v>
      </c>
      <c r="U2724" t="str">
        <f t="shared" si="85"/>
        <v>Experienced</v>
      </c>
    </row>
    <row r="2725" spans="1:21" x14ac:dyDescent="0.35">
      <c r="A2725" t="s">
        <v>2798</v>
      </c>
      <c r="B2725" t="s">
        <v>38</v>
      </c>
      <c r="C2725" t="s">
        <v>82</v>
      </c>
      <c r="D2725" t="s">
        <v>75</v>
      </c>
      <c r="E2725" t="s">
        <v>70</v>
      </c>
      <c r="F2725">
        <v>1</v>
      </c>
      <c r="G2725">
        <v>7.0000000000000007E-2</v>
      </c>
      <c r="H2725">
        <v>0.68</v>
      </c>
      <c r="I2725" t="s">
        <v>60</v>
      </c>
      <c r="J2725">
        <v>55692</v>
      </c>
      <c r="K2725" t="s">
        <v>25</v>
      </c>
      <c r="L2725">
        <v>14</v>
      </c>
      <c r="M2725">
        <v>57</v>
      </c>
      <c r="N2725" t="s">
        <v>35</v>
      </c>
      <c r="O2725" t="s">
        <v>25</v>
      </c>
      <c r="P2725">
        <v>3.7</v>
      </c>
      <c r="Q2725" t="s">
        <v>24</v>
      </c>
      <c r="R2725">
        <v>3.64</v>
      </c>
      <c r="S2725" t="s">
        <v>43</v>
      </c>
      <c r="T2725" t="str">
        <f t="shared" si="84"/>
        <v>High</v>
      </c>
      <c r="U2725" t="str">
        <f t="shared" si="85"/>
        <v>Beginner</v>
      </c>
    </row>
    <row r="2726" spans="1:21" x14ac:dyDescent="0.35">
      <c r="A2726" t="s">
        <v>2799</v>
      </c>
      <c r="B2726" t="s">
        <v>68</v>
      </c>
      <c r="C2726" t="s">
        <v>46</v>
      </c>
      <c r="D2726" t="s">
        <v>32</v>
      </c>
      <c r="E2726" t="s">
        <v>70</v>
      </c>
      <c r="F2726">
        <v>18</v>
      </c>
      <c r="G2726">
        <v>0.55000000000000004</v>
      </c>
      <c r="H2726">
        <v>0.49</v>
      </c>
      <c r="I2726" t="s">
        <v>60</v>
      </c>
      <c r="J2726">
        <v>61384</v>
      </c>
      <c r="K2726" t="s">
        <v>25</v>
      </c>
      <c r="L2726">
        <v>-2</v>
      </c>
      <c r="M2726">
        <v>46</v>
      </c>
      <c r="N2726" t="s">
        <v>26</v>
      </c>
      <c r="O2726" t="s">
        <v>25</v>
      </c>
      <c r="P2726">
        <v>2.0099999999999998</v>
      </c>
      <c r="Q2726" t="s">
        <v>24</v>
      </c>
      <c r="R2726">
        <v>2.71</v>
      </c>
      <c r="S2726" t="s">
        <v>47</v>
      </c>
      <c r="T2726" t="str">
        <f t="shared" si="84"/>
        <v>Moderate</v>
      </c>
      <c r="U2726" t="str">
        <f t="shared" si="85"/>
        <v>Expert</v>
      </c>
    </row>
    <row r="2727" spans="1:21" x14ac:dyDescent="0.35">
      <c r="A2727" t="s">
        <v>2800</v>
      </c>
      <c r="B2727" t="s">
        <v>38</v>
      </c>
      <c r="C2727" t="s">
        <v>21</v>
      </c>
      <c r="D2727" t="s">
        <v>49</v>
      </c>
      <c r="E2727" t="s">
        <v>23</v>
      </c>
      <c r="F2727">
        <v>12</v>
      </c>
      <c r="G2727">
        <v>0.28999999999999998</v>
      </c>
      <c r="H2727">
        <v>0.28999999999999998</v>
      </c>
      <c r="I2727" t="s">
        <v>24</v>
      </c>
      <c r="J2727">
        <v>159465</v>
      </c>
      <c r="K2727" t="s">
        <v>27</v>
      </c>
      <c r="L2727">
        <v>35</v>
      </c>
      <c r="M2727">
        <v>48</v>
      </c>
      <c r="N2727" t="s">
        <v>42</v>
      </c>
      <c r="O2727" t="s">
        <v>25</v>
      </c>
      <c r="P2727">
        <v>3.47</v>
      </c>
      <c r="Q2727" t="s">
        <v>24</v>
      </c>
      <c r="R2727">
        <v>1.38</v>
      </c>
      <c r="S2727" t="s">
        <v>47</v>
      </c>
      <c r="T2727" t="str">
        <f t="shared" si="84"/>
        <v>Moderate</v>
      </c>
      <c r="U2727" t="str">
        <f t="shared" si="85"/>
        <v>Experienced</v>
      </c>
    </row>
    <row r="2728" spans="1:21" x14ac:dyDescent="0.35">
      <c r="A2728" t="s">
        <v>2801</v>
      </c>
      <c r="B2728" t="s">
        <v>102</v>
      </c>
      <c r="C2728" t="s">
        <v>21</v>
      </c>
      <c r="D2728" t="s">
        <v>63</v>
      </c>
      <c r="E2728" t="s">
        <v>33</v>
      </c>
      <c r="F2728">
        <v>11</v>
      </c>
      <c r="G2728">
        <v>0.16</v>
      </c>
      <c r="H2728">
        <v>0.78</v>
      </c>
      <c r="I2728" t="s">
        <v>34</v>
      </c>
      <c r="J2728">
        <v>124732</v>
      </c>
      <c r="K2728" t="s">
        <v>25</v>
      </c>
      <c r="L2728">
        <v>35</v>
      </c>
      <c r="M2728">
        <v>54</v>
      </c>
      <c r="N2728" t="s">
        <v>26</v>
      </c>
      <c r="O2728" t="s">
        <v>36</v>
      </c>
      <c r="P2728">
        <v>4.16</v>
      </c>
      <c r="Q2728" t="s">
        <v>34</v>
      </c>
      <c r="R2728">
        <v>4.93</v>
      </c>
      <c r="S2728" t="s">
        <v>28</v>
      </c>
      <c r="T2728" t="str">
        <f t="shared" si="84"/>
        <v>Very High</v>
      </c>
      <c r="U2728" t="str">
        <f t="shared" si="85"/>
        <v>Experienced</v>
      </c>
    </row>
    <row r="2729" spans="1:21" x14ac:dyDescent="0.35">
      <c r="A2729" t="s">
        <v>2802</v>
      </c>
      <c r="B2729" t="s">
        <v>89</v>
      </c>
      <c r="C2729" t="s">
        <v>21</v>
      </c>
      <c r="D2729" t="s">
        <v>69</v>
      </c>
      <c r="E2729" t="s">
        <v>33</v>
      </c>
      <c r="F2729">
        <v>17</v>
      </c>
      <c r="G2729">
        <v>0.14000000000000001</v>
      </c>
      <c r="H2729">
        <v>0.83</v>
      </c>
      <c r="I2729" t="s">
        <v>60</v>
      </c>
      <c r="J2729">
        <v>204359</v>
      </c>
      <c r="K2729" t="s">
        <v>27</v>
      </c>
      <c r="L2729">
        <v>24</v>
      </c>
      <c r="M2729">
        <v>35</v>
      </c>
      <c r="N2729" t="s">
        <v>35</v>
      </c>
      <c r="O2729" t="s">
        <v>27</v>
      </c>
      <c r="P2729">
        <v>3.95</v>
      </c>
      <c r="Q2729" t="s">
        <v>34</v>
      </c>
      <c r="R2729">
        <v>2.14</v>
      </c>
      <c r="S2729" t="s">
        <v>28</v>
      </c>
      <c r="T2729" t="str">
        <f t="shared" si="84"/>
        <v>Very High</v>
      </c>
      <c r="U2729" t="str">
        <f t="shared" si="85"/>
        <v>Expert</v>
      </c>
    </row>
    <row r="2730" spans="1:21" x14ac:dyDescent="0.35">
      <c r="A2730" t="s">
        <v>2803</v>
      </c>
      <c r="B2730" t="s">
        <v>65</v>
      </c>
      <c r="C2730" t="s">
        <v>52</v>
      </c>
      <c r="D2730" t="s">
        <v>66</v>
      </c>
      <c r="E2730" t="s">
        <v>23</v>
      </c>
      <c r="F2730">
        <v>7</v>
      </c>
      <c r="G2730">
        <v>0.17</v>
      </c>
      <c r="H2730">
        <v>0.59</v>
      </c>
      <c r="I2730" t="s">
        <v>24</v>
      </c>
      <c r="J2730">
        <v>85557</v>
      </c>
      <c r="K2730" t="s">
        <v>27</v>
      </c>
      <c r="L2730">
        <v>0</v>
      </c>
      <c r="M2730">
        <v>36</v>
      </c>
      <c r="N2730" t="s">
        <v>35</v>
      </c>
      <c r="O2730" t="s">
        <v>25</v>
      </c>
      <c r="P2730">
        <v>2.76</v>
      </c>
      <c r="Q2730" t="s">
        <v>34</v>
      </c>
      <c r="R2730">
        <v>1.8</v>
      </c>
      <c r="S2730" t="s">
        <v>28</v>
      </c>
      <c r="T2730" t="str">
        <f t="shared" si="84"/>
        <v>High</v>
      </c>
      <c r="U2730" t="str">
        <f t="shared" si="85"/>
        <v>Intermediate</v>
      </c>
    </row>
    <row r="2731" spans="1:21" x14ac:dyDescent="0.35">
      <c r="A2731" t="s">
        <v>2804</v>
      </c>
      <c r="B2731" t="s">
        <v>106</v>
      </c>
      <c r="C2731" t="s">
        <v>55</v>
      </c>
      <c r="D2731" t="s">
        <v>49</v>
      </c>
      <c r="E2731" t="s">
        <v>70</v>
      </c>
      <c r="F2731">
        <v>15</v>
      </c>
      <c r="G2731">
        <v>0.36</v>
      </c>
      <c r="H2731">
        <v>0.28000000000000003</v>
      </c>
      <c r="I2731" t="s">
        <v>34</v>
      </c>
      <c r="J2731">
        <v>119746</v>
      </c>
      <c r="K2731" t="s">
        <v>27</v>
      </c>
      <c r="L2731">
        <v>-10</v>
      </c>
      <c r="M2731">
        <v>38</v>
      </c>
      <c r="N2731" t="s">
        <v>42</v>
      </c>
      <c r="O2731" t="s">
        <v>36</v>
      </c>
      <c r="P2731">
        <v>2.85</v>
      </c>
      <c r="Q2731" t="s">
        <v>24</v>
      </c>
      <c r="R2731">
        <v>2.77</v>
      </c>
      <c r="S2731" t="s">
        <v>43</v>
      </c>
      <c r="T2731" t="str">
        <f t="shared" si="84"/>
        <v>Moderate</v>
      </c>
      <c r="U2731" t="str">
        <f t="shared" si="85"/>
        <v>Experienced</v>
      </c>
    </row>
    <row r="2732" spans="1:21" x14ac:dyDescent="0.35">
      <c r="A2732" t="s">
        <v>2805</v>
      </c>
      <c r="B2732" t="s">
        <v>73</v>
      </c>
      <c r="C2732" t="s">
        <v>52</v>
      </c>
      <c r="D2732" t="s">
        <v>63</v>
      </c>
      <c r="E2732" t="s">
        <v>33</v>
      </c>
      <c r="F2732">
        <v>24</v>
      </c>
      <c r="G2732">
        <v>0.36</v>
      </c>
      <c r="H2732">
        <v>0.66</v>
      </c>
      <c r="I2732" t="s">
        <v>34</v>
      </c>
      <c r="J2732">
        <v>205041</v>
      </c>
      <c r="K2732" t="s">
        <v>25</v>
      </c>
      <c r="L2732">
        <v>1</v>
      </c>
      <c r="M2732">
        <v>48</v>
      </c>
      <c r="N2732" t="s">
        <v>35</v>
      </c>
      <c r="O2732" t="s">
        <v>27</v>
      </c>
      <c r="P2732">
        <v>2.38</v>
      </c>
      <c r="Q2732" t="s">
        <v>34</v>
      </c>
      <c r="R2732">
        <v>4.34</v>
      </c>
      <c r="S2732" t="s">
        <v>28</v>
      </c>
      <c r="T2732" t="str">
        <f t="shared" si="84"/>
        <v>High</v>
      </c>
      <c r="U2732" t="str">
        <f t="shared" si="85"/>
        <v>Expert</v>
      </c>
    </row>
    <row r="2733" spans="1:21" x14ac:dyDescent="0.35">
      <c r="A2733" t="s">
        <v>2806</v>
      </c>
      <c r="B2733" t="s">
        <v>20</v>
      </c>
      <c r="C2733" t="s">
        <v>46</v>
      </c>
      <c r="D2733" t="s">
        <v>49</v>
      </c>
      <c r="E2733" t="s">
        <v>23</v>
      </c>
      <c r="F2733">
        <v>10</v>
      </c>
      <c r="G2733">
        <v>0.91</v>
      </c>
      <c r="H2733">
        <v>0.49</v>
      </c>
      <c r="I2733" t="s">
        <v>34</v>
      </c>
      <c r="J2733">
        <v>31352</v>
      </c>
      <c r="K2733" t="s">
        <v>42</v>
      </c>
      <c r="L2733">
        <v>-2</v>
      </c>
      <c r="M2733">
        <v>52</v>
      </c>
      <c r="N2733" t="s">
        <v>26</v>
      </c>
      <c r="O2733" t="s">
        <v>25</v>
      </c>
      <c r="P2733">
        <v>4.2300000000000004</v>
      </c>
      <c r="Q2733" t="s">
        <v>34</v>
      </c>
      <c r="R2733">
        <v>1.1100000000000001</v>
      </c>
      <c r="S2733" t="s">
        <v>43</v>
      </c>
      <c r="T2733" t="str">
        <f t="shared" si="84"/>
        <v>Very Low</v>
      </c>
      <c r="U2733" t="str">
        <f t="shared" si="85"/>
        <v>Experienced</v>
      </c>
    </row>
    <row r="2734" spans="1:21" x14ac:dyDescent="0.35">
      <c r="A2734" t="s">
        <v>2807</v>
      </c>
      <c r="B2734" t="s">
        <v>102</v>
      </c>
      <c r="C2734" t="s">
        <v>107</v>
      </c>
      <c r="D2734" t="s">
        <v>49</v>
      </c>
      <c r="E2734" t="s">
        <v>41</v>
      </c>
      <c r="F2734">
        <v>8</v>
      </c>
      <c r="G2734">
        <v>0.89</v>
      </c>
      <c r="H2734">
        <v>0.35</v>
      </c>
      <c r="I2734" t="s">
        <v>60</v>
      </c>
      <c r="J2734">
        <v>108841</v>
      </c>
      <c r="K2734" t="s">
        <v>42</v>
      </c>
      <c r="L2734">
        <v>25</v>
      </c>
      <c r="M2734">
        <v>59</v>
      </c>
      <c r="N2734" t="s">
        <v>42</v>
      </c>
      <c r="O2734" t="s">
        <v>25</v>
      </c>
      <c r="P2734">
        <v>2.85</v>
      </c>
      <c r="Q2734" t="s">
        <v>34</v>
      </c>
      <c r="R2734">
        <v>3.34</v>
      </c>
      <c r="S2734" t="s">
        <v>47</v>
      </c>
      <c r="T2734" t="str">
        <f t="shared" si="84"/>
        <v>Very Low</v>
      </c>
      <c r="U2734" t="str">
        <f t="shared" si="85"/>
        <v>Intermediate</v>
      </c>
    </row>
    <row r="2735" spans="1:21" x14ac:dyDescent="0.35">
      <c r="A2735" t="s">
        <v>2808</v>
      </c>
      <c r="B2735" t="s">
        <v>30</v>
      </c>
      <c r="C2735" t="s">
        <v>52</v>
      </c>
      <c r="D2735" t="s">
        <v>80</v>
      </c>
      <c r="E2735" t="s">
        <v>33</v>
      </c>
      <c r="F2735">
        <v>23</v>
      </c>
      <c r="G2735">
        <v>0.67</v>
      </c>
      <c r="H2735">
        <v>0.74</v>
      </c>
      <c r="I2735" t="s">
        <v>24</v>
      </c>
      <c r="J2735">
        <v>31522</v>
      </c>
      <c r="K2735" t="s">
        <v>27</v>
      </c>
      <c r="L2735">
        <v>44</v>
      </c>
      <c r="M2735">
        <v>31</v>
      </c>
      <c r="N2735" t="s">
        <v>26</v>
      </c>
      <c r="O2735" t="s">
        <v>25</v>
      </c>
      <c r="P2735">
        <v>2.06</v>
      </c>
      <c r="Q2735" t="s">
        <v>34</v>
      </c>
      <c r="R2735">
        <v>3.57</v>
      </c>
      <c r="S2735" t="s">
        <v>47</v>
      </c>
      <c r="T2735" t="str">
        <f t="shared" si="84"/>
        <v>High</v>
      </c>
      <c r="U2735" t="str">
        <f t="shared" si="85"/>
        <v>Expert</v>
      </c>
    </row>
    <row r="2736" spans="1:21" x14ac:dyDescent="0.35">
      <c r="A2736" t="s">
        <v>2809</v>
      </c>
      <c r="B2736" t="s">
        <v>38</v>
      </c>
      <c r="C2736" t="s">
        <v>31</v>
      </c>
      <c r="D2736" t="s">
        <v>32</v>
      </c>
      <c r="E2736" t="s">
        <v>33</v>
      </c>
      <c r="F2736">
        <v>20</v>
      </c>
      <c r="G2736">
        <v>0.21</v>
      </c>
      <c r="H2736">
        <v>0.28999999999999998</v>
      </c>
      <c r="I2736" t="s">
        <v>34</v>
      </c>
      <c r="J2736">
        <v>199539</v>
      </c>
      <c r="K2736" t="s">
        <v>27</v>
      </c>
      <c r="L2736">
        <v>6</v>
      </c>
      <c r="M2736">
        <v>45</v>
      </c>
      <c r="N2736" t="s">
        <v>26</v>
      </c>
      <c r="O2736" t="s">
        <v>25</v>
      </c>
      <c r="P2736">
        <v>2.63</v>
      </c>
      <c r="Q2736" t="s">
        <v>24</v>
      </c>
      <c r="R2736">
        <v>2.96</v>
      </c>
      <c r="S2736" t="s">
        <v>28</v>
      </c>
      <c r="T2736" t="str">
        <f t="shared" si="84"/>
        <v>High</v>
      </c>
      <c r="U2736" t="str">
        <f t="shared" si="85"/>
        <v>Expert</v>
      </c>
    </row>
    <row r="2737" spans="1:21" x14ac:dyDescent="0.35">
      <c r="A2737" t="s">
        <v>2810</v>
      </c>
      <c r="B2737" t="s">
        <v>51</v>
      </c>
      <c r="C2737" t="s">
        <v>107</v>
      </c>
      <c r="D2737" t="s">
        <v>22</v>
      </c>
      <c r="E2737" t="s">
        <v>33</v>
      </c>
      <c r="F2737">
        <v>11</v>
      </c>
      <c r="G2737">
        <v>7.0000000000000007E-2</v>
      </c>
      <c r="H2737">
        <v>0.83</v>
      </c>
      <c r="I2737" t="s">
        <v>34</v>
      </c>
      <c r="J2737">
        <v>73994</v>
      </c>
      <c r="K2737" t="s">
        <v>27</v>
      </c>
      <c r="L2737">
        <v>40</v>
      </c>
      <c r="M2737">
        <v>48</v>
      </c>
      <c r="N2737" t="s">
        <v>26</v>
      </c>
      <c r="O2737" t="s">
        <v>27</v>
      </c>
      <c r="P2737">
        <v>2.74</v>
      </c>
      <c r="Q2737" t="s">
        <v>34</v>
      </c>
      <c r="R2737">
        <v>4.71</v>
      </c>
      <c r="S2737" t="s">
        <v>47</v>
      </c>
      <c r="T2737" t="str">
        <f t="shared" si="84"/>
        <v>Very High</v>
      </c>
      <c r="U2737" t="str">
        <f t="shared" si="85"/>
        <v>Experienced</v>
      </c>
    </row>
    <row r="2738" spans="1:21" x14ac:dyDescent="0.35">
      <c r="A2738" t="s">
        <v>2811</v>
      </c>
      <c r="B2738" t="s">
        <v>91</v>
      </c>
      <c r="C2738" t="s">
        <v>107</v>
      </c>
      <c r="D2738" t="s">
        <v>75</v>
      </c>
      <c r="E2738" t="s">
        <v>41</v>
      </c>
      <c r="F2738">
        <v>7</v>
      </c>
      <c r="G2738">
        <v>0.09</v>
      </c>
      <c r="H2738">
        <v>0.2</v>
      </c>
      <c r="I2738" t="s">
        <v>34</v>
      </c>
      <c r="J2738">
        <v>200078</v>
      </c>
      <c r="K2738" t="s">
        <v>27</v>
      </c>
      <c r="L2738">
        <v>-4</v>
      </c>
      <c r="M2738">
        <v>45</v>
      </c>
      <c r="N2738" t="s">
        <v>35</v>
      </c>
      <c r="O2738" t="s">
        <v>36</v>
      </c>
      <c r="P2738">
        <v>2.15</v>
      </c>
      <c r="Q2738" t="s">
        <v>34</v>
      </c>
      <c r="R2738">
        <v>3.17</v>
      </c>
      <c r="S2738" t="s">
        <v>47</v>
      </c>
      <c r="T2738" t="str">
        <f t="shared" si="84"/>
        <v>High</v>
      </c>
      <c r="U2738" t="str">
        <f t="shared" si="85"/>
        <v>Intermediate</v>
      </c>
    </row>
    <row r="2739" spans="1:21" x14ac:dyDescent="0.35">
      <c r="A2739" t="s">
        <v>2812</v>
      </c>
      <c r="B2739" t="s">
        <v>30</v>
      </c>
      <c r="C2739" t="s">
        <v>21</v>
      </c>
      <c r="D2739" t="s">
        <v>63</v>
      </c>
      <c r="E2739" t="s">
        <v>41</v>
      </c>
      <c r="F2739">
        <v>24</v>
      </c>
      <c r="G2739">
        <v>0.2</v>
      </c>
      <c r="H2739">
        <v>0.73</v>
      </c>
      <c r="I2739" t="s">
        <v>24</v>
      </c>
      <c r="J2739">
        <v>171912</v>
      </c>
      <c r="K2739" t="s">
        <v>25</v>
      </c>
      <c r="L2739">
        <v>31</v>
      </c>
      <c r="M2739">
        <v>57</v>
      </c>
      <c r="N2739" t="s">
        <v>26</v>
      </c>
      <c r="O2739" t="s">
        <v>36</v>
      </c>
      <c r="P2739">
        <v>4.75</v>
      </c>
      <c r="Q2739" t="s">
        <v>24</v>
      </c>
      <c r="R2739">
        <v>1.0900000000000001</v>
      </c>
      <c r="S2739" t="s">
        <v>28</v>
      </c>
      <c r="T2739" t="str">
        <f t="shared" si="84"/>
        <v>Very High</v>
      </c>
      <c r="U2739" t="str">
        <f t="shared" si="85"/>
        <v>Expert</v>
      </c>
    </row>
    <row r="2740" spans="1:21" x14ac:dyDescent="0.35">
      <c r="A2740" t="s">
        <v>2813</v>
      </c>
      <c r="B2740" t="s">
        <v>57</v>
      </c>
      <c r="C2740" t="s">
        <v>52</v>
      </c>
      <c r="D2740" t="s">
        <v>66</v>
      </c>
      <c r="E2740" t="s">
        <v>23</v>
      </c>
      <c r="F2740">
        <v>7</v>
      </c>
      <c r="G2740">
        <v>0.15</v>
      </c>
      <c r="H2740">
        <v>0.98</v>
      </c>
      <c r="I2740" t="s">
        <v>34</v>
      </c>
      <c r="J2740">
        <v>46369</v>
      </c>
      <c r="K2740" t="s">
        <v>25</v>
      </c>
      <c r="L2740">
        <v>34</v>
      </c>
      <c r="M2740">
        <v>41</v>
      </c>
      <c r="N2740" t="s">
        <v>26</v>
      </c>
      <c r="O2740" t="s">
        <v>27</v>
      </c>
      <c r="P2740">
        <v>4.41</v>
      </c>
      <c r="Q2740" t="s">
        <v>24</v>
      </c>
      <c r="R2740">
        <v>4.0199999999999996</v>
      </c>
      <c r="S2740" t="s">
        <v>47</v>
      </c>
      <c r="T2740" t="str">
        <f t="shared" si="84"/>
        <v>Very High</v>
      </c>
      <c r="U2740" t="str">
        <f t="shared" si="85"/>
        <v>Intermediate</v>
      </c>
    </row>
    <row r="2741" spans="1:21" x14ac:dyDescent="0.35">
      <c r="A2741" t="s">
        <v>2814</v>
      </c>
      <c r="B2741" t="s">
        <v>106</v>
      </c>
      <c r="C2741" t="s">
        <v>46</v>
      </c>
      <c r="D2741" t="s">
        <v>49</v>
      </c>
      <c r="E2741" t="s">
        <v>23</v>
      </c>
      <c r="F2741">
        <v>20</v>
      </c>
      <c r="G2741">
        <v>0.23</v>
      </c>
      <c r="H2741">
        <v>0.8</v>
      </c>
      <c r="I2741" t="s">
        <v>34</v>
      </c>
      <c r="J2741">
        <v>213146</v>
      </c>
      <c r="K2741" t="s">
        <v>25</v>
      </c>
      <c r="L2741">
        <v>11</v>
      </c>
      <c r="M2741">
        <v>39</v>
      </c>
      <c r="N2741" t="s">
        <v>26</v>
      </c>
      <c r="O2741" t="s">
        <v>25</v>
      </c>
      <c r="P2741">
        <v>4.43</v>
      </c>
      <c r="Q2741" t="s">
        <v>34</v>
      </c>
      <c r="R2741">
        <v>3.69</v>
      </c>
      <c r="S2741" t="s">
        <v>28</v>
      </c>
      <c r="T2741" t="str">
        <f t="shared" si="84"/>
        <v>Very High</v>
      </c>
      <c r="U2741" t="str">
        <f t="shared" si="85"/>
        <v>Expert</v>
      </c>
    </row>
    <row r="2742" spans="1:21" x14ac:dyDescent="0.35">
      <c r="A2742" t="s">
        <v>2815</v>
      </c>
      <c r="B2742" t="s">
        <v>91</v>
      </c>
      <c r="C2742" t="s">
        <v>21</v>
      </c>
      <c r="D2742" t="s">
        <v>22</v>
      </c>
      <c r="E2742" t="s">
        <v>41</v>
      </c>
      <c r="F2742">
        <v>23</v>
      </c>
      <c r="G2742">
        <v>0.83</v>
      </c>
      <c r="H2742">
        <v>0.59</v>
      </c>
      <c r="I2742" t="s">
        <v>60</v>
      </c>
      <c r="J2742">
        <v>41656</v>
      </c>
      <c r="K2742" t="s">
        <v>27</v>
      </c>
      <c r="L2742">
        <v>37</v>
      </c>
      <c r="M2742">
        <v>59</v>
      </c>
      <c r="N2742" t="s">
        <v>35</v>
      </c>
      <c r="O2742" t="s">
        <v>25</v>
      </c>
      <c r="P2742">
        <v>3.1</v>
      </c>
      <c r="Q2742" t="s">
        <v>24</v>
      </c>
      <c r="R2742">
        <v>2.61</v>
      </c>
      <c r="S2742" t="s">
        <v>47</v>
      </c>
      <c r="T2742" t="str">
        <f t="shared" si="84"/>
        <v>Moderate</v>
      </c>
      <c r="U2742" t="str">
        <f t="shared" si="85"/>
        <v>Expert</v>
      </c>
    </row>
    <row r="2743" spans="1:21" x14ac:dyDescent="0.35">
      <c r="A2743" t="s">
        <v>2816</v>
      </c>
      <c r="B2743" t="s">
        <v>45</v>
      </c>
      <c r="C2743" t="s">
        <v>74</v>
      </c>
      <c r="D2743" t="s">
        <v>63</v>
      </c>
      <c r="E2743" t="s">
        <v>23</v>
      </c>
      <c r="F2743">
        <v>13</v>
      </c>
      <c r="G2743">
        <v>0.28999999999999998</v>
      </c>
      <c r="H2743">
        <v>0.96</v>
      </c>
      <c r="I2743" t="s">
        <v>24</v>
      </c>
      <c r="J2743">
        <v>195500</v>
      </c>
      <c r="K2743" t="s">
        <v>25</v>
      </c>
      <c r="L2743">
        <v>32</v>
      </c>
      <c r="M2743">
        <v>50</v>
      </c>
      <c r="N2743" t="s">
        <v>42</v>
      </c>
      <c r="O2743" t="s">
        <v>27</v>
      </c>
      <c r="P2743">
        <v>2.66</v>
      </c>
      <c r="Q2743" t="s">
        <v>34</v>
      </c>
      <c r="R2743">
        <v>1.23</v>
      </c>
      <c r="S2743" t="s">
        <v>47</v>
      </c>
      <c r="T2743" t="str">
        <f t="shared" si="84"/>
        <v>Very High</v>
      </c>
      <c r="U2743" t="str">
        <f t="shared" si="85"/>
        <v>Experienced</v>
      </c>
    </row>
    <row r="2744" spans="1:21" x14ac:dyDescent="0.35">
      <c r="A2744" t="s">
        <v>2817</v>
      </c>
      <c r="B2744" t="s">
        <v>65</v>
      </c>
      <c r="C2744" t="s">
        <v>55</v>
      </c>
      <c r="D2744" t="s">
        <v>22</v>
      </c>
      <c r="E2744" t="s">
        <v>70</v>
      </c>
      <c r="F2744">
        <v>19</v>
      </c>
      <c r="G2744">
        <v>0.82</v>
      </c>
      <c r="H2744">
        <v>0.99</v>
      </c>
      <c r="I2744" t="s">
        <v>34</v>
      </c>
      <c r="J2744">
        <v>59471</v>
      </c>
      <c r="K2744" t="s">
        <v>27</v>
      </c>
      <c r="L2744">
        <v>35</v>
      </c>
      <c r="M2744">
        <v>58</v>
      </c>
      <c r="N2744" t="s">
        <v>35</v>
      </c>
      <c r="O2744" t="s">
        <v>27</v>
      </c>
      <c r="P2744">
        <v>2.44</v>
      </c>
      <c r="Q2744" t="s">
        <v>34</v>
      </c>
      <c r="R2744">
        <v>2.2999999999999998</v>
      </c>
      <c r="S2744" t="s">
        <v>28</v>
      </c>
      <c r="T2744" t="str">
        <f t="shared" si="84"/>
        <v>High</v>
      </c>
      <c r="U2744" t="str">
        <f t="shared" si="85"/>
        <v>Expert</v>
      </c>
    </row>
    <row r="2745" spans="1:21" x14ac:dyDescent="0.35">
      <c r="A2745" t="s">
        <v>2818</v>
      </c>
      <c r="B2745" t="s">
        <v>68</v>
      </c>
      <c r="C2745" t="s">
        <v>31</v>
      </c>
      <c r="D2745" t="s">
        <v>59</v>
      </c>
      <c r="E2745" t="s">
        <v>41</v>
      </c>
      <c r="F2745">
        <v>6</v>
      </c>
      <c r="G2745">
        <v>0.64</v>
      </c>
      <c r="H2745">
        <v>0.53</v>
      </c>
      <c r="I2745" t="s">
        <v>34</v>
      </c>
      <c r="J2745">
        <v>173842</v>
      </c>
      <c r="K2745" t="s">
        <v>42</v>
      </c>
      <c r="L2745">
        <v>-9</v>
      </c>
      <c r="M2745">
        <v>54</v>
      </c>
      <c r="N2745" t="s">
        <v>26</v>
      </c>
      <c r="O2745" t="s">
        <v>25</v>
      </c>
      <c r="P2745">
        <v>4.0999999999999996</v>
      </c>
      <c r="Q2745" t="s">
        <v>24</v>
      </c>
      <c r="R2745">
        <v>4.5599999999999996</v>
      </c>
      <c r="S2745" t="s">
        <v>47</v>
      </c>
      <c r="T2745" t="str">
        <f t="shared" si="84"/>
        <v>Moderate</v>
      </c>
      <c r="U2745" t="str">
        <f t="shared" si="85"/>
        <v>Intermediate</v>
      </c>
    </row>
    <row r="2746" spans="1:21" x14ac:dyDescent="0.35">
      <c r="A2746" t="s">
        <v>2819</v>
      </c>
      <c r="B2746" t="s">
        <v>51</v>
      </c>
      <c r="C2746" t="s">
        <v>52</v>
      </c>
      <c r="D2746" t="s">
        <v>63</v>
      </c>
      <c r="E2746" t="s">
        <v>70</v>
      </c>
      <c r="F2746">
        <v>18</v>
      </c>
      <c r="G2746">
        <v>0.21</v>
      </c>
      <c r="H2746">
        <v>0.86</v>
      </c>
      <c r="I2746" t="s">
        <v>60</v>
      </c>
      <c r="J2746">
        <v>91656</v>
      </c>
      <c r="K2746" t="s">
        <v>42</v>
      </c>
      <c r="L2746">
        <v>-5</v>
      </c>
      <c r="M2746">
        <v>51</v>
      </c>
      <c r="N2746" t="s">
        <v>26</v>
      </c>
      <c r="O2746" t="s">
        <v>27</v>
      </c>
      <c r="P2746">
        <v>3.88</v>
      </c>
      <c r="Q2746" t="s">
        <v>24</v>
      </c>
      <c r="R2746">
        <v>3.57</v>
      </c>
      <c r="S2746" t="s">
        <v>43</v>
      </c>
      <c r="T2746" t="str">
        <f t="shared" si="84"/>
        <v>Very High</v>
      </c>
      <c r="U2746" t="str">
        <f t="shared" si="85"/>
        <v>Expert</v>
      </c>
    </row>
    <row r="2747" spans="1:21" x14ac:dyDescent="0.35">
      <c r="A2747" t="s">
        <v>2820</v>
      </c>
      <c r="B2747" t="s">
        <v>38</v>
      </c>
      <c r="C2747" t="s">
        <v>55</v>
      </c>
      <c r="D2747" t="s">
        <v>75</v>
      </c>
      <c r="E2747" t="s">
        <v>33</v>
      </c>
      <c r="F2747">
        <v>8</v>
      </c>
      <c r="G2747">
        <v>0.36</v>
      </c>
      <c r="H2747">
        <v>0.89</v>
      </c>
      <c r="I2747" t="s">
        <v>34</v>
      </c>
      <c r="J2747">
        <v>135042</v>
      </c>
      <c r="K2747" t="s">
        <v>27</v>
      </c>
      <c r="L2747">
        <v>35</v>
      </c>
      <c r="M2747">
        <v>38</v>
      </c>
      <c r="N2747" t="s">
        <v>26</v>
      </c>
      <c r="O2747" t="s">
        <v>27</v>
      </c>
      <c r="P2747">
        <v>2.61</v>
      </c>
      <c r="Q2747" t="s">
        <v>34</v>
      </c>
      <c r="R2747">
        <v>3.47</v>
      </c>
      <c r="S2747" t="s">
        <v>47</v>
      </c>
      <c r="T2747" t="str">
        <f t="shared" si="84"/>
        <v>Very High</v>
      </c>
      <c r="U2747" t="str">
        <f t="shared" si="85"/>
        <v>Intermediate</v>
      </c>
    </row>
    <row r="2748" spans="1:21" x14ac:dyDescent="0.35">
      <c r="A2748" t="s">
        <v>2821</v>
      </c>
      <c r="B2748" t="s">
        <v>20</v>
      </c>
      <c r="C2748" t="s">
        <v>21</v>
      </c>
      <c r="D2748" t="s">
        <v>22</v>
      </c>
      <c r="E2748" t="s">
        <v>33</v>
      </c>
      <c r="F2748">
        <v>6</v>
      </c>
      <c r="G2748">
        <v>0.42</v>
      </c>
      <c r="H2748">
        <v>0.46</v>
      </c>
      <c r="I2748" t="s">
        <v>24</v>
      </c>
      <c r="J2748">
        <v>190753</v>
      </c>
      <c r="K2748" t="s">
        <v>25</v>
      </c>
      <c r="L2748">
        <v>15</v>
      </c>
      <c r="M2748">
        <v>45</v>
      </c>
      <c r="N2748" t="s">
        <v>26</v>
      </c>
      <c r="O2748" t="s">
        <v>25</v>
      </c>
      <c r="P2748">
        <v>3.17</v>
      </c>
      <c r="Q2748" t="s">
        <v>34</v>
      </c>
      <c r="R2748">
        <v>2.15</v>
      </c>
      <c r="S2748" t="s">
        <v>28</v>
      </c>
      <c r="T2748" t="str">
        <f t="shared" si="84"/>
        <v>High</v>
      </c>
      <c r="U2748" t="str">
        <f t="shared" si="85"/>
        <v>Intermediate</v>
      </c>
    </row>
    <row r="2749" spans="1:21" x14ac:dyDescent="0.35">
      <c r="A2749" t="s">
        <v>2822</v>
      </c>
      <c r="B2749" t="s">
        <v>156</v>
      </c>
      <c r="C2749" t="s">
        <v>52</v>
      </c>
      <c r="D2749" t="s">
        <v>66</v>
      </c>
      <c r="E2749" t="s">
        <v>41</v>
      </c>
      <c r="F2749">
        <v>16</v>
      </c>
      <c r="G2749">
        <v>0.35</v>
      </c>
      <c r="H2749">
        <v>0.85</v>
      </c>
      <c r="I2749" t="s">
        <v>24</v>
      </c>
      <c r="J2749">
        <v>178604</v>
      </c>
      <c r="K2749" t="s">
        <v>25</v>
      </c>
      <c r="L2749">
        <v>14</v>
      </c>
      <c r="M2749">
        <v>44</v>
      </c>
      <c r="N2749" t="s">
        <v>35</v>
      </c>
      <c r="O2749" t="s">
        <v>25</v>
      </c>
      <c r="P2749">
        <v>3.73</v>
      </c>
      <c r="Q2749" t="s">
        <v>34</v>
      </c>
      <c r="R2749">
        <v>3.5</v>
      </c>
      <c r="S2749" t="s">
        <v>43</v>
      </c>
      <c r="T2749" t="str">
        <f t="shared" si="84"/>
        <v>Very High</v>
      </c>
      <c r="U2749" t="str">
        <f t="shared" si="85"/>
        <v>Expert</v>
      </c>
    </row>
    <row r="2750" spans="1:21" x14ac:dyDescent="0.35">
      <c r="A2750" t="s">
        <v>2823</v>
      </c>
      <c r="B2750" t="s">
        <v>30</v>
      </c>
      <c r="C2750" t="s">
        <v>39</v>
      </c>
      <c r="D2750" t="s">
        <v>49</v>
      </c>
      <c r="E2750" t="s">
        <v>70</v>
      </c>
      <c r="F2750">
        <v>18</v>
      </c>
      <c r="G2750">
        <v>0.8</v>
      </c>
      <c r="H2750">
        <v>0.22</v>
      </c>
      <c r="I2750" t="s">
        <v>34</v>
      </c>
      <c r="J2750">
        <v>130267</v>
      </c>
      <c r="K2750" t="s">
        <v>42</v>
      </c>
      <c r="L2750">
        <v>34</v>
      </c>
      <c r="M2750">
        <v>41</v>
      </c>
      <c r="N2750" t="s">
        <v>26</v>
      </c>
      <c r="O2750" t="s">
        <v>27</v>
      </c>
      <c r="P2750">
        <v>2.59</v>
      </c>
      <c r="Q2750" t="s">
        <v>24</v>
      </c>
      <c r="R2750">
        <v>1.34</v>
      </c>
      <c r="S2750" t="s">
        <v>43</v>
      </c>
      <c r="T2750" t="str">
        <f t="shared" si="84"/>
        <v>Very Low</v>
      </c>
      <c r="U2750" t="str">
        <f t="shared" si="85"/>
        <v>Expert</v>
      </c>
    </row>
    <row r="2751" spans="1:21" x14ac:dyDescent="0.35">
      <c r="A2751" t="s">
        <v>2824</v>
      </c>
      <c r="B2751" t="s">
        <v>68</v>
      </c>
      <c r="C2751" t="s">
        <v>82</v>
      </c>
      <c r="D2751" t="s">
        <v>69</v>
      </c>
      <c r="E2751" t="s">
        <v>41</v>
      </c>
      <c r="F2751">
        <v>0</v>
      </c>
      <c r="G2751">
        <v>0.28000000000000003</v>
      </c>
      <c r="H2751">
        <v>0.56999999999999995</v>
      </c>
      <c r="I2751" t="s">
        <v>34</v>
      </c>
      <c r="J2751">
        <v>163704</v>
      </c>
      <c r="K2751" t="s">
        <v>27</v>
      </c>
      <c r="L2751">
        <v>41</v>
      </c>
      <c r="M2751">
        <v>50</v>
      </c>
      <c r="N2751" t="s">
        <v>26</v>
      </c>
      <c r="O2751" t="s">
        <v>27</v>
      </c>
      <c r="P2751">
        <v>4.62</v>
      </c>
      <c r="Q2751" t="s">
        <v>24</v>
      </c>
      <c r="R2751">
        <v>1.7</v>
      </c>
      <c r="S2751" t="s">
        <v>47</v>
      </c>
      <c r="T2751" t="str">
        <f t="shared" si="84"/>
        <v>High</v>
      </c>
      <c r="U2751" t="str">
        <f t="shared" si="85"/>
        <v>Beginner</v>
      </c>
    </row>
    <row r="2752" spans="1:21" x14ac:dyDescent="0.35">
      <c r="A2752" t="s">
        <v>2825</v>
      </c>
      <c r="B2752" t="s">
        <v>106</v>
      </c>
      <c r="C2752" t="s">
        <v>39</v>
      </c>
      <c r="D2752" t="s">
        <v>32</v>
      </c>
      <c r="E2752" t="s">
        <v>70</v>
      </c>
      <c r="F2752">
        <v>10</v>
      </c>
      <c r="G2752">
        <v>0.52</v>
      </c>
      <c r="H2752">
        <v>0.56999999999999995</v>
      </c>
      <c r="I2752" t="s">
        <v>60</v>
      </c>
      <c r="J2752">
        <v>141102</v>
      </c>
      <c r="K2752" t="s">
        <v>27</v>
      </c>
      <c r="L2752">
        <v>-3</v>
      </c>
      <c r="M2752">
        <v>32</v>
      </c>
      <c r="N2752" t="s">
        <v>26</v>
      </c>
      <c r="O2752" t="s">
        <v>27</v>
      </c>
      <c r="P2752">
        <v>4.1500000000000004</v>
      </c>
      <c r="Q2752" t="s">
        <v>24</v>
      </c>
      <c r="R2752">
        <v>1.66</v>
      </c>
      <c r="S2752" t="s">
        <v>43</v>
      </c>
      <c r="T2752" t="str">
        <f t="shared" si="84"/>
        <v>High</v>
      </c>
      <c r="U2752" t="str">
        <f t="shared" si="85"/>
        <v>Experienced</v>
      </c>
    </row>
    <row r="2753" spans="1:21" x14ac:dyDescent="0.35">
      <c r="A2753" t="s">
        <v>2826</v>
      </c>
      <c r="B2753" t="s">
        <v>62</v>
      </c>
      <c r="C2753" t="s">
        <v>82</v>
      </c>
      <c r="D2753" t="s">
        <v>66</v>
      </c>
      <c r="E2753" t="s">
        <v>23</v>
      </c>
      <c r="F2753">
        <v>14</v>
      </c>
      <c r="G2753">
        <v>0.08</v>
      </c>
      <c r="H2753">
        <v>0.99</v>
      </c>
      <c r="I2753" t="s">
        <v>34</v>
      </c>
      <c r="J2753">
        <v>99753</v>
      </c>
      <c r="K2753" t="s">
        <v>27</v>
      </c>
      <c r="L2753">
        <v>40</v>
      </c>
      <c r="M2753">
        <v>30</v>
      </c>
      <c r="N2753" t="s">
        <v>35</v>
      </c>
      <c r="O2753" t="s">
        <v>36</v>
      </c>
      <c r="P2753">
        <v>4.6100000000000003</v>
      </c>
      <c r="Q2753" t="s">
        <v>24</v>
      </c>
      <c r="R2753">
        <v>4.22</v>
      </c>
      <c r="S2753" t="s">
        <v>43</v>
      </c>
      <c r="T2753" t="str">
        <f t="shared" si="84"/>
        <v>Very High</v>
      </c>
      <c r="U2753" t="str">
        <f t="shared" si="85"/>
        <v>Experienced</v>
      </c>
    </row>
    <row r="2754" spans="1:21" x14ac:dyDescent="0.35">
      <c r="A2754" t="s">
        <v>2827</v>
      </c>
      <c r="B2754" t="s">
        <v>62</v>
      </c>
      <c r="C2754" t="s">
        <v>107</v>
      </c>
      <c r="D2754" t="s">
        <v>22</v>
      </c>
      <c r="E2754" t="s">
        <v>70</v>
      </c>
      <c r="F2754">
        <v>2</v>
      </c>
      <c r="G2754">
        <v>0.28000000000000003</v>
      </c>
      <c r="H2754">
        <v>0.89</v>
      </c>
      <c r="I2754" t="s">
        <v>60</v>
      </c>
      <c r="J2754">
        <v>172885</v>
      </c>
      <c r="K2754" t="s">
        <v>42</v>
      </c>
      <c r="L2754">
        <v>-6</v>
      </c>
      <c r="M2754">
        <v>38</v>
      </c>
      <c r="N2754" t="s">
        <v>26</v>
      </c>
      <c r="O2754" t="s">
        <v>27</v>
      </c>
      <c r="P2754">
        <v>2.0499999999999998</v>
      </c>
      <c r="Q2754" t="s">
        <v>24</v>
      </c>
      <c r="R2754">
        <v>4.95</v>
      </c>
      <c r="S2754" t="s">
        <v>28</v>
      </c>
      <c r="T2754" t="str">
        <f t="shared" si="84"/>
        <v>Very High</v>
      </c>
      <c r="U2754" t="str">
        <f t="shared" si="85"/>
        <v>Beginner</v>
      </c>
    </row>
    <row r="2755" spans="1:21" x14ac:dyDescent="0.35">
      <c r="A2755" t="s">
        <v>2828</v>
      </c>
      <c r="B2755" t="s">
        <v>51</v>
      </c>
      <c r="C2755" t="s">
        <v>74</v>
      </c>
      <c r="D2755" t="s">
        <v>32</v>
      </c>
      <c r="E2755" t="s">
        <v>41</v>
      </c>
      <c r="F2755">
        <v>13</v>
      </c>
      <c r="G2755">
        <v>0.32</v>
      </c>
      <c r="H2755">
        <v>0.88</v>
      </c>
      <c r="I2755" t="s">
        <v>34</v>
      </c>
      <c r="J2755">
        <v>140828</v>
      </c>
      <c r="K2755" t="s">
        <v>25</v>
      </c>
      <c r="L2755">
        <v>25</v>
      </c>
      <c r="M2755">
        <v>58</v>
      </c>
      <c r="N2755" t="s">
        <v>26</v>
      </c>
      <c r="O2755" t="s">
        <v>36</v>
      </c>
      <c r="P2755">
        <v>4.45</v>
      </c>
      <c r="Q2755" t="s">
        <v>24</v>
      </c>
      <c r="R2755">
        <v>4.18</v>
      </c>
      <c r="S2755" t="s">
        <v>28</v>
      </c>
      <c r="T2755" t="str">
        <f t="shared" ref="T2755:T2818" si="86">IF(AND(G2755&lt;0.4,H2755&gt;=0.7),"Very High",
IF(AND(G2755&gt;=0.7,H2755&lt;0.5),"Very Low",
IF(G2755&lt;H2755,"High","Moderate")))</f>
        <v>Very High</v>
      </c>
      <c r="U2755" t="str">
        <f t="shared" ref="U2755:U2818" si="87">_xlfn.IFS(F2755&lt;=2,"Beginner",F2755&lt;=8,"Intermediate",F2755&lt;=15,"Experienced",F2755&lt;=25,"Expert")</f>
        <v>Experienced</v>
      </c>
    </row>
    <row r="2756" spans="1:21" x14ac:dyDescent="0.35">
      <c r="A2756" t="s">
        <v>2829</v>
      </c>
      <c r="B2756" t="s">
        <v>106</v>
      </c>
      <c r="C2756" t="s">
        <v>31</v>
      </c>
      <c r="D2756" t="s">
        <v>66</v>
      </c>
      <c r="E2756" t="s">
        <v>33</v>
      </c>
      <c r="F2756">
        <v>0</v>
      </c>
      <c r="G2756">
        <v>0.72</v>
      </c>
      <c r="H2756">
        <v>0.57999999999999996</v>
      </c>
      <c r="I2756" t="s">
        <v>24</v>
      </c>
      <c r="J2756">
        <v>213912</v>
      </c>
      <c r="K2756" t="s">
        <v>25</v>
      </c>
      <c r="L2756">
        <v>43</v>
      </c>
      <c r="M2756">
        <v>54</v>
      </c>
      <c r="N2756" t="s">
        <v>42</v>
      </c>
      <c r="O2756" t="s">
        <v>36</v>
      </c>
      <c r="P2756">
        <v>3.77</v>
      </c>
      <c r="Q2756" t="s">
        <v>34</v>
      </c>
      <c r="R2756">
        <v>1.04</v>
      </c>
      <c r="S2756" t="s">
        <v>43</v>
      </c>
      <c r="T2756" t="str">
        <f t="shared" si="86"/>
        <v>Moderate</v>
      </c>
      <c r="U2756" t="str">
        <f t="shared" si="87"/>
        <v>Beginner</v>
      </c>
    </row>
    <row r="2757" spans="1:21" x14ac:dyDescent="0.35">
      <c r="A2757" t="s">
        <v>2830</v>
      </c>
      <c r="B2757" t="s">
        <v>91</v>
      </c>
      <c r="C2757" t="s">
        <v>55</v>
      </c>
      <c r="D2757" t="s">
        <v>59</v>
      </c>
      <c r="E2757" t="s">
        <v>23</v>
      </c>
      <c r="F2757">
        <v>7</v>
      </c>
      <c r="G2757">
        <v>0.38</v>
      </c>
      <c r="H2757">
        <v>0.25</v>
      </c>
      <c r="I2757" t="s">
        <v>34</v>
      </c>
      <c r="J2757">
        <v>153941</v>
      </c>
      <c r="K2757" t="s">
        <v>25</v>
      </c>
      <c r="L2757">
        <v>33</v>
      </c>
      <c r="M2757">
        <v>55</v>
      </c>
      <c r="N2757" t="s">
        <v>26</v>
      </c>
      <c r="O2757" t="s">
        <v>36</v>
      </c>
      <c r="P2757">
        <v>4.2</v>
      </c>
      <c r="Q2757" t="s">
        <v>24</v>
      </c>
      <c r="R2757">
        <v>4.5</v>
      </c>
      <c r="S2757" t="s">
        <v>28</v>
      </c>
      <c r="T2757" t="str">
        <f t="shared" si="86"/>
        <v>Moderate</v>
      </c>
      <c r="U2757" t="str">
        <f t="shared" si="87"/>
        <v>Intermediate</v>
      </c>
    </row>
    <row r="2758" spans="1:21" x14ac:dyDescent="0.35">
      <c r="A2758" t="s">
        <v>2831</v>
      </c>
      <c r="B2758" t="s">
        <v>77</v>
      </c>
      <c r="C2758" t="s">
        <v>39</v>
      </c>
      <c r="D2758" t="s">
        <v>63</v>
      </c>
      <c r="E2758" t="s">
        <v>33</v>
      </c>
      <c r="F2758">
        <v>13</v>
      </c>
      <c r="G2758">
        <v>0.75</v>
      </c>
      <c r="H2758">
        <v>0.53</v>
      </c>
      <c r="I2758" t="s">
        <v>24</v>
      </c>
      <c r="J2758">
        <v>84084</v>
      </c>
      <c r="K2758" t="s">
        <v>25</v>
      </c>
      <c r="L2758">
        <v>19</v>
      </c>
      <c r="M2758">
        <v>50</v>
      </c>
      <c r="N2758" t="s">
        <v>42</v>
      </c>
      <c r="O2758" t="s">
        <v>25</v>
      </c>
      <c r="P2758">
        <v>4.58</v>
      </c>
      <c r="Q2758" t="s">
        <v>34</v>
      </c>
      <c r="R2758">
        <v>2.34</v>
      </c>
      <c r="S2758" t="s">
        <v>47</v>
      </c>
      <c r="T2758" t="str">
        <f t="shared" si="86"/>
        <v>Moderate</v>
      </c>
      <c r="U2758" t="str">
        <f t="shared" si="87"/>
        <v>Experienced</v>
      </c>
    </row>
    <row r="2759" spans="1:21" x14ac:dyDescent="0.35">
      <c r="A2759" t="s">
        <v>2832</v>
      </c>
      <c r="B2759" t="s">
        <v>91</v>
      </c>
      <c r="C2759" t="s">
        <v>58</v>
      </c>
      <c r="D2759" t="s">
        <v>40</v>
      </c>
      <c r="E2759" t="s">
        <v>33</v>
      </c>
      <c r="F2759">
        <v>6</v>
      </c>
      <c r="G2759">
        <v>0.35</v>
      </c>
      <c r="H2759">
        <v>0.83</v>
      </c>
      <c r="I2759" t="s">
        <v>24</v>
      </c>
      <c r="J2759">
        <v>65794</v>
      </c>
      <c r="K2759" t="s">
        <v>27</v>
      </c>
      <c r="L2759">
        <v>39</v>
      </c>
      <c r="M2759">
        <v>57</v>
      </c>
      <c r="N2759" t="s">
        <v>35</v>
      </c>
      <c r="O2759" t="s">
        <v>27</v>
      </c>
      <c r="P2759">
        <v>3.88</v>
      </c>
      <c r="Q2759" t="s">
        <v>24</v>
      </c>
      <c r="R2759">
        <v>1.21</v>
      </c>
      <c r="S2759" t="s">
        <v>43</v>
      </c>
      <c r="T2759" t="str">
        <f t="shared" si="86"/>
        <v>Very High</v>
      </c>
      <c r="U2759" t="str">
        <f t="shared" si="87"/>
        <v>Intermediate</v>
      </c>
    </row>
    <row r="2760" spans="1:21" x14ac:dyDescent="0.35">
      <c r="A2760" t="s">
        <v>2833</v>
      </c>
      <c r="B2760" t="s">
        <v>68</v>
      </c>
      <c r="C2760" t="s">
        <v>55</v>
      </c>
      <c r="D2760" t="s">
        <v>63</v>
      </c>
      <c r="E2760" t="s">
        <v>33</v>
      </c>
      <c r="F2760">
        <v>7</v>
      </c>
      <c r="G2760">
        <v>0.71</v>
      </c>
      <c r="H2760">
        <v>0.21</v>
      </c>
      <c r="I2760" t="s">
        <v>24</v>
      </c>
      <c r="J2760">
        <v>148794</v>
      </c>
      <c r="K2760" t="s">
        <v>25</v>
      </c>
      <c r="L2760">
        <v>11</v>
      </c>
      <c r="M2760">
        <v>42</v>
      </c>
      <c r="N2760" t="s">
        <v>42</v>
      </c>
      <c r="O2760" t="s">
        <v>27</v>
      </c>
      <c r="P2760">
        <v>3.52</v>
      </c>
      <c r="Q2760" t="s">
        <v>34</v>
      </c>
      <c r="R2760">
        <v>4.4000000000000004</v>
      </c>
      <c r="S2760" t="s">
        <v>47</v>
      </c>
      <c r="T2760" t="str">
        <f t="shared" si="86"/>
        <v>Very Low</v>
      </c>
      <c r="U2760" t="str">
        <f t="shared" si="87"/>
        <v>Intermediate</v>
      </c>
    </row>
    <row r="2761" spans="1:21" x14ac:dyDescent="0.35">
      <c r="A2761" t="s">
        <v>2834</v>
      </c>
      <c r="B2761" t="s">
        <v>57</v>
      </c>
      <c r="C2761" t="s">
        <v>52</v>
      </c>
      <c r="D2761" t="s">
        <v>66</v>
      </c>
      <c r="E2761" t="s">
        <v>33</v>
      </c>
      <c r="F2761">
        <v>3</v>
      </c>
      <c r="G2761">
        <v>0.54</v>
      </c>
      <c r="H2761">
        <v>0.94</v>
      </c>
      <c r="I2761" t="s">
        <v>34</v>
      </c>
      <c r="J2761">
        <v>92075</v>
      </c>
      <c r="K2761" t="s">
        <v>25</v>
      </c>
      <c r="L2761">
        <v>42</v>
      </c>
      <c r="M2761">
        <v>52</v>
      </c>
      <c r="N2761" t="s">
        <v>26</v>
      </c>
      <c r="O2761" t="s">
        <v>36</v>
      </c>
      <c r="P2761">
        <v>2.76</v>
      </c>
      <c r="Q2761" t="s">
        <v>34</v>
      </c>
      <c r="R2761">
        <v>4.01</v>
      </c>
      <c r="S2761" t="s">
        <v>43</v>
      </c>
      <c r="T2761" t="str">
        <f t="shared" si="86"/>
        <v>High</v>
      </c>
      <c r="U2761" t="str">
        <f t="shared" si="87"/>
        <v>Intermediate</v>
      </c>
    </row>
    <row r="2762" spans="1:21" x14ac:dyDescent="0.35">
      <c r="A2762" t="s">
        <v>2835</v>
      </c>
      <c r="B2762" t="s">
        <v>65</v>
      </c>
      <c r="C2762" t="s">
        <v>58</v>
      </c>
      <c r="D2762" t="s">
        <v>49</v>
      </c>
      <c r="E2762" t="s">
        <v>41</v>
      </c>
      <c r="F2762">
        <v>3</v>
      </c>
      <c r="G2762">
        <v>0.14000000000000001</v>
      </c>
      <c r="H2762">
        <v>0.8</v>
      </c>
      <c r="I2762" t="s">
        <v>60</v>
      </c>
      <c r="J2762">
        <v>174724</v>
      </c>
      <c r="K2762" t="s">
        <v>25</v>
      </c>
      <c r="L2762">
        <v>45</v>
      </c>
      <c r="M2762">
        <v>32</v>
      </c>
      <c r="N2762" t="s">
        <v>26</v>
      </c>
      <c r="O2762" t="s">
        <v>36</v>
      </c>
      <c r="P2762">
        <v>3.01</v>
      </c>
      <c r="Q2762" t="s">
        <v>34</v>
      </c>
      <c r="R2762">
        <v>4.88</v>
      </c>
      <c r="S2762" t="s">
        <v>28</v>
      </c>
      <c r="T2762" t="str">
        <f t="shared" si="86"/>
        <v>Very High</v>
      </c>
      <c r="U2762" t="str">
        <f t="shared" si="87"/>
        <v>Intermediate</v>
      </c>
    </row>
    <row r="2763" spans="1:21" x14ac:dyDescent="0.35">
      <c r="A2763" t="s">
        <v>2836</v>
      </c>
      <c r="B2763" t="s">
        <v>102</v>
      </c>
      <c r="C2763" t="s">
        <v>31</v>
      </c>
      <c r="D2763" t="s">
        <v>75</v>
      </c>
      <c r="E2763" t="s">
        <v>41</v>
      </c>
      <c r="F2763">
        <v>15</v>
      </c>
      <c r="G2763">
        <v>0.21</v>
      </c>
      <c r="H2763">
        <v>0.63</v>
      </c>
      <c r="I2763" t="s">
        <v>60</v>
      </c>
      <c r="J2763">
        <v>79921</v>
      </c>
      <c r="K2763" t="s">
        <v>27</v>
      </c>
      <c r="L2763">
        <v>-6</v>
      </c>
      <c r="M2763">
        <v>48</v>
      </c>
      <c r="N2763" t="s">
        <v>42</v>
      </c>
      <c r="O2763" t="s">
        <v>36</v>
      </c>
      <c r="P2763">
        <v>4.9800000000000004</v>
      </c>
      <c r="Q2763" t="s">
        <v>34</v>
      </c>
      <c r="R2763">
        <v>3.52</v>
      </c>
      <c r="S2763" t="s">
        <v>43</v>
      </c>
      <c r="T2763" t="str">
        <f t="shared" si="86"/>
        <v>High</v>
      </c>
      <c r="U2763" t="str">
        <f t="shared" si="87"/>
        <v>Experienced</v>
      </c>
    </row>
    <row r="2764" spans="1:21" x14ac:dyDescent="0.35">
      <c r="A2764" t="s">
        <v>2837</v>
      </c>
      <c r="B2764" t="s">
        <v>68</v>
      </c>
      <c r="C2764" t="s">
        <v>82</v>
      </c>
      <c r="D2764" t="s">
        <v>75</v>
      </c>
      <c r="E2764" t="s">
        <v>33</v>
      </c>
      <c r="F2764">
        <v>9</v>
      </c>
      <c r="G2764">
        <v>0.46</v>
      </c>
      <c r="H2764">
        <v>0.28000000000000003</v>
      </c>
      <c r="I2764" t="s">
        <v>34</v>
      </c>
      <c r="J2764">
        <v>157273</v>
      </c>
      <c r="K2764" t="s">
        <v>27</v>
      </c>
      <c r="L2764">
        <v>20</v>
      </c>
      <c r="M2764">
        <v>52</v>
      </c>
      <c r="N2764" t="s">
        <v>42</v>
      </c>
      <c r="O2764" t="s">
        <v>25</v>
      </c>
      <c r="P2764">
        <v>3.9</v>
      </c>
      <c r="Q2764" t="s">
        <v>34</v>
      </c>
      <c r="R2764">
        <v>2.36</v>
      </c>
      <c r="S2764" t="s">
        <v>43</v>
      </c>
      <c r="T2764" t="str">
        <f t="shared" si="86"/>
        <v>Moderate</v>
      </c>
      <c r="U2764" t="str">
        <f t="shared" si="87"/>
        <v>Experienced</v>
      </c>
    </row>
    <row r="2765" spans="1:21" x14ac:dyDescent="0.35">
      <c r="A2765" t="s">
        <v>2838</v>
      </c>
      <c r="B2765" t="s">
        <v>106</v>
      </c>
      <c r="C2765" t="s">
        <v>39</v>
      </c>
      <c r="D2765" t="s">
        <v>49</v>
      </c>
      <c r="E2765" t="s">
        <v>41</v>
      </c>
      <c r="F2765">
        <v>12</v>
      </c>
      <c r="G2765">
        <v>0.17</v>
      </c>
      <c r="H2765">
        <v>0.43</v>
      </c>
      <c r="I2765" t="s">
        <v>34</v>
      </c>
      <c r="J2765">
        <v>76730</v>
      </c>
      <c r="K2765" t="s">
        <v>42</v>
      </c>
      <c r="L2765">
        <v>4</v>
      </c>
      <c r="M2765">
        <v>36</v>
      </c>
      <c r="N2765" t="s">
        <v>26</v>
      </c>
      <c r="O2765" t="s">
        <v>27</v>
      </c>
      <c r="P2765">
        <v>2.58</v>
      </c>
      <c r="Q2765" t="s">
        <v>34</v>
      </c>
      <c r="R2765">
        <v>4.66</v>
      </c>
      <c r="S2765" t="s">
        <v>28</v>
      </c>
      <c r="T2765" t="str">
        <f t="shared" si="86"/>
        <v>High</v>
      </c>
      <c r="U2765" t="str">
        <f t="shared" si="87"/>
        <v>Experienced</v>
      </c>
    </row>
    <row r="2766" spans="1:21" x14ac:dyDescent="0.35">
      <c r="A2766" t="s">
        <v>2839</v>
      </c>
      <c r="B2766" t="s">
        <v>156</v>
      </c>
      <c r="C2766" t="s">
        <v>46</v>
      </c>
      <c r="D2766" t="s">
        <v>22</v>
      </c>
      <c r="E2766" t="s">
        <v>33</v>
      </c>
      <c r="F2766">
        <v>23</v>
      </c>
      <c r="G2766">
        <v>0.91</v>
      </c>
      <c r="H2766">
        <v>0.68</v>
      </c>
      <c r="I2766" t="s">
        <v>24</v>
      </c>
      <c r="J2766">
        <v>145849</v>
      </c>
      <c r="K2766" t="s">
        <v>42</v>
      </c>
      <c r="L2766">
        <v>41</v>
      </c>
      <c r="M2766">
        <v>45</v>
      </c>
      <c r="N2766" t="s">
        <v>42</v>
      </c>
      <c r="O2766" t="s">
        <v>27</v>
      </c>
      <c r="P2766">
        <v>2.77</v>
      </c>
      <c r="Q2766" t="s">
        <v>24</v>
      </c>
      <c r="R2766">
        <v>3.54</v>
      </c>
      <c r="S2766" t="s">
        <v>28</v>
      </c>
      <c r="T2766" t="str">
        <f t="shared" si="86"/>
        <v>Moderate</v>
      </c>
      <c r="U2766" t="str">
        <f t="shared" si="87"/>
        <v>Expert</v>
      </c>
    </row>
    <row r="2767" spans="1:21" x14ac:dyDescent="0.35">
      <c r="A2767" t="s">
        <v>2840</v>
      </c>
      <c r="B2767" t="s">
        <v>68</v>
      </c>
      <c r="C2767" t="s">
        <v>58</v>
      </c>
      <c r="D2767" t="s">
        <v>66</v>
      </c>
      <c r="E2767" t="s">
        <v>23</v>
      </c>
      <c r="F2767">
        <v>1</v>
      </c>
      <c r="G2767">
        <v>0.12</v>
      </c>
      <c r="H2767">
        <v>0.26</v>
      </c>
      <c r="I2767" t="s">
        <v>24</v>
      </c>
      <c r="J2767">
        <v>190576</v>
      </c>
      <c r="K2767" t="s">
        <v>42</v>
      </c>
      <c r="L2767">
        <v>1</v>
      </c>
      <c r="M2767">
        <v>50</v>
      </c>
      <c r="N2767" t="s">
        <v>35</v>
      </c>
      <c r="O2767" t="s">
        <v>36</v>
      </c>
      <c r="P2767">
        <v>3.76</v>
      </c>
      <c r="Q2767" t="s">
        <v>34</v>
      </c>
      <c r="R2767">
        <v>4.59</v>
      </c>
      <c r="S2767" t="s">
        <v>28</v>
      </c>
      <c r="T2767" t="str">
        <f t="shared" si="86"/>
        <v>High</v>
      </c>
      <c r="U2767" t="str">
        <f t="shared" si="87"/>
        <v>Beginner</v>
      </c>
    </row>
    <row r="2768" spans="1:21" x14ac:dyDescent="0.35">
      <c r="A2768" t="s">
        <v>2841</v>
      </c>
      <c r="B2768" t="s">
        <v>51</v>
      </c>
      <c r="C2768" t="s">
        <v>82</v>
      </c>
      <c r="D2768" t="s">
        <v>49</v>
      </c>
      <c r="E2768" t="s">
        <v>33</v>
      </c>
      <c r="F2768">
        <v>18</v>
      </c>
      <c r="G2768">
        <v>0.37</v>
      </c>
      <c r="H2768">
        <v>0.56999999999999995</v>
      </c>
      <c r="I2768" t="s">
        <v>24</v>
      </c>
      <c r="J2768">
        <v>195911</v>
      </c>
      <c r="K2768" t="s">
        <v>27</v>
      </c>
      <c r="L2768">
        <v>28</v>
      </c>
      <c r="M2768">
        <v>30</v>
      </c>
      <c r="N2768" t="s">
        <v>35</v>
      </c>
      <c r="O2768" t="s">
        <v>36</v>
      </c>
      <c r="P2768">
        <v>4.37</v>
      </c>
      <c r="Q2768" t="s">
        <v>24</v>
      </c>
      <c r="R2768">
        <v>2.23</v>
      </c>
      <c r="S2768" t="s">
        <v>28</v>
      </c>
      <c r="T2768" t="str">
        <f t="shared" si="86"/>
        <v>High</v>
      </c>
      <c r="U2768" t="str">
        <f t="shared" si="87"/>
        <v>Expert</v>
      </c>
    </row>
    <row r="2769" spans="1:21" x14ac:dyDescent="0.35">
      <c r="A2769" t="s">
        <v>2842</v>
      </c>
      <c r="B2769" t="s">
        <v>30</v>
      </c>
      <c r="C2769" t="s">
        <v>31</v>
      </c>
      <c r="D2769" t="s">
        <v>59</v>
      </c>
      <c r="E2769" t="s">
        <v>70</v>
      </c>
      <c r="F2769">
        <v>19</v>
      </c>
      <c r="G2769">
        <v>0.37</v>
      </c>
      <c r="H2769">
        <v>0.56999999999999995</v>
      </c>
      <c r="I2769" t="s">
        <v>24</v>
      </c>
      <c r="J2769">
        <v>134571</v>
      </c>
      <c r="K2769" t="s">
        <v>27</v>
      </c>
      <c r="L2769">
        <v>26</v>
      </c>
      <c r="M2769">
        <v>33</v>
      </c>
      <c r="N2769" t="s">
        <v>42</v>
      </c>
      <c r="O2769" t="s">
        <v>36</v>
      </c>
      <c r="P2769">
        <v>2.71</v>
      </c>
      <c r="Q2769" t="s">
        <v>24</v>
      </c>
      <c r="R2769">
        <v>1.66</v>
      </c>
      <c r="S2769" t="s">
        <v>28</v>
      </c>
      <c r="T2769" t="str">
        <f t="shared" si="86"/>
        <v>High</v>
      </c>
      <c r="U2769" t="str">
        <f t="shared" si="87"/>
        <v>Expert</v>
      </c>
    </row>
    <row r="2770" spans="1:21" x14ac:dyDescent="0.35">
      <c r="A2770" t="s">
        <v>2843</v>
      </c>
      <c r="B2770" t="s">
        <v>45</v>
      </c>
      <c r="C2770" t="s">
        <v>52</v>
      </c>
      <c r="D2770" t="s">
        <v>75</v>
      </c>
      <c r="E2770" t="s">
        <v>70</v>
      </c>
      <c r="F2770">
        <v>21</v>
      </c>
      <c r="G2770">
        <v>0.56999999999999995</v>
      </c>
      <c r="H2770">
        <v>0.74</v>
      </c>
      <c r="I2770" t="s">
        <v>34</v>
      </c>
      <c r="J2770">
        <v>47250</v>
      </c>
      <c r="K2770" t="s">
        <v>27</v>
      </c>
      <c r="L2770">
        <v>33</v>
      </c>
      <c r="M2770">
        <v>60</v>
      </c>
      <c r="N2770" t="s">
        <v>35</v>
      </c>
      <c r="O2770" t="s">
        <v>27</v>
      </c>
      <c r="P2770">
        <v>2.4700000000000002</v>
      </c>
      <c r="Q2770" t="s">
        <v>24</v>
      </c>
      <c r="R2770">
        <v>1.85</v>
      </c>
      <c r="S2770" t="s">
        <v>28</v>
      </c>
      <c r="T2770" t="str">
        <f t="shared" si="86"/>
        <v>High</v>
      </c>
      <c r="U2770" t="str">
        <f t="shared" si="87"/>
        <v>Expert</v>
      </c>
    </row>
    <row r="2771" spans="1:21" x14ac:dyDescent="0.35">
      <c r="A2771" t="s">
        <v>2844</v>
      </c>
      <c r="B2771" t="s">
        <v>62</v>
      </c>
      <c r="C2771" t="s">
        <v>55</v>
      </c>
      <c r="D2771" t="s">
        <v>63</v>
      </c>
      <c r="E2771" t="s">
        <v>23</v>
      </c>
      <c r="F2771">
        <v>24</v>
      </c>
      <c r="G2771">
        <v>0.77</v>
      </c>
      <c r="H2771">
        <v>0.83</v>
      </c>
      <c r="I2771" t="s">
        <v>60</v>
      </c>
      <c r="J2771">
        <v>170474</v>
      </c>
      <c r="K2771" t="s">
        <v>27</v>
      </c>
      <c r="L2771">
        <v>9</v>
      </c>
      <c r="M2771">
        <v>39</v>
      </c>
      <c r="N2771" t="s">
        <v>42</v>
      </c>
      <c r="O2771" t="s">
        <v>25</v>
      </c>
      <c r="P2771">
        <v>4.0999999999999996</v>
      </c>
      <c r="Q2771" t="s">
        <v>24</v>
      </c>
      <c r="R2771">
        <v>1.47</v>
      </c>
      <c r="S2771" t="s">
        <v>43</v>
      </c>
      <c r="T2771" t="str">
        <f t="shared" si="86"/>
        <v>High</v>
      </c>
      <c r="U2771" t="str">
        <f t="shared" si="87"/>
        <v>Expert</v>
      </c>
    </row>
    <row r="2772" spans="1:21" x14ac:dyDescent="0.35">
      <c r="A2772" t="s">
        <v>2845</v>
      </c>
      <c r="B2772" t="s">
        <v>38</v>
      </c>
      <c r="C2772" t="s">
        <v>21</v>
      </c>
      <c r="D2772" t="s">
        <v>66</v>
      </c>
      <c r="E2772" t="s">
        <v>33</v>
      </c>
      <c r="F2772">
        <v>17</v>
      </c>
      <c r="G2772">
        <v>0.1</v>
      </c>
      <c r="H2772">
        <v>0.25</v>
      </c>
      <c r="I2772" t="s">
        <v>24</v>
      </c>
      <c r="J2772">
        <v>83210</v>
      </c>
      <c r="K2772" t="s">
        <v>42</v>
      </c>
      <c r="L2772">
        <v>15</v>
      </c>
      <c r="M2772">
        <v>55</v>
      </c>
      <c r="N2772" t="s">
        <v>42</v>
      </c>
      <c r="O2772" t="s">
        <v>27</v>
      </c>
      <c r="P2772">
        <v>3.19</v>
      </c>
      <c r="Q2772" t="s">
        <v>24</v>
      </c>
      <c r="R2772">
        <v>1.85</v>
      </c>
      <c r="S2772" t="s">
        <v>28</v>
      </c>
      <c r="T2772" t="str">
        <f t="shared" si="86"/>
        <v>High</v>
      </c>
      <c r="U2772" t="str">
        <f t="shared" si="87"/>
        <v>Expert</v>
      </c>
    </row>
    <row r="2773" spans="1:21" x14ac:dyDescent="0.35">
      <c r="A2773" t="s">
        <v>2846</v>
      </c>
      <c r="B2773" t="s">
        <v>38</v>
      </c>
      <c r="C2773" t="s">
        <v>21</v>
      </c>
      <c r="D2773" t="s">
        <v>59</v>
      </c>
      <c r="E2773" t="s">
        <v>23</v>
      </c>
      <c r="F2773">
        <v>5</v>
      </c>
      <c r="G2773">
        <v>0.88</v>
      </c>
      <c r="H2773">
        <v>0.91</v>
      </c>
      <c r="I2773" t="s">
        <v>24</v>
      </c>
      <c r="J2773">
        <v>219895</v>
      </c>
      <c r="K2773" t="s">
        <v>42</v>
      </c>
      <c r="L2773">
        <v>40</v>
      </c>
      <c r="M2773">
        <v>44</v>
      </c>
      <c r="N2773" t="s">
        <v>42</v>
      </c>
      <c r="O2773" t="s">
        <v>27</v>
      </c>
      <c r="P2773">
        <v>4.58</v>
      </c>
      <c r="Q2773" t="s">
        <v>24</v>
      </c>
      <c r="R2773">
        <v>1.24</v>
      </c>
      <c r="S2773" t="s">
        <v>28</v>
      </c>
      <c r="T2773" t="str">
        <f t="shared" si="86"/>
        <v>High</v>
      </c>
      <c r="U2773" t="str">
        <f t="shared" si="87"/>
        <v>Intermediate</v>
      </c>
    </row>
    <row r="2774" spans="1:21" x14ac:dyDescent="0.35">
      <c r="A2774" t="s">
        <v>2847</v>
      </c>
      <c r="B2774" t="s">
        <v>96</v>
      </c>
      <c r="C2774" t="s">
        <v>82</v>
      </c>
      <c r="D2774" t="s">
        <v>75</v>
      </c>
      <c r="E2774" t="s">
        <v>23</v>
      </c>
      <c r="F2774">
        <v>10</v>
      </c>
      <c r="G2774">
        <v>0.7</v>
      </c>
      <c r="H2774">
        <v>0.4</v>
      </c>
      <c r="I2774" t="s">
        <v>24</v>
      </c>
      <c r="J2774">
        <v>176619</v>
      </c>
      <c r="K2774" t="s">
        <v>27</v>
      </c>
      <c r="L2774">
        <v>-3</v>
      </c>
      <c r="M2774">
        <v>56</v>
      </c>
      <c r="N2774" t="s">
        <v>26</v>
      </c>
      <c r="O2774" t="s">
        <v>25</v>
      </c>
      <c r="P2774">
        <v>4.28</v>
      </c>
      <c r="Q2774" t="s">
        <v>24</v>
      </c>
      <c r="R2774">
        <v>3.2</v>
      </c>
      <c r="S2774" t="s">
        <v>47</v>
      </c>
      <c r="T2774" t="str">
        <f t="shared" si="86"/>
        <v>Very Low</v>
      </c>
      <c r="U2774" t="str">
        <f t="shared" si="87"/>
        <v>Experienced</v>
      </c>
    </row>
    <row r="2775" spans="1:21" x14ac:dyDescent="0.35">
      <c r="A2775" t="s">
        <v>2848</v>
      </c>
      <c r="B2775" t="s">
        <v>62</v>
      </c>
      <c r="C2775" t="s">
        <v>55</v>
      </c>
      <c r="D2775" t="s">
        <v>63</v>
      </c>
      <c r="E2775" t="s">
        <v>70</v>
      </c>
      <c r="F2775">
        <v>0</v>
      </c>
      <c r="G2775">
        <v>0.06</v>
      </c>
      <c r="H2775">
        <v>0.39</v>
      </c>
      <c r="I2775" t="s">
        <v>34</v>
      </c>
      <c r="J2775">
        <v>161167</v>
      </c>
      <c r="K2775" t="s">
        <v>25</v>
      </c>
      <c r="L2775">
        <v>15</v>
      </c>
      <c r="M2775">
        <v>46</v>
      </c>
      <c r="N2775" t="s">
        <v>35</v>
      </c>
      <c r="O2775" t="s">
        <v>36</v>
      </c>
      <c r="P2775">
        <v>2.2799999999999998</v>
      </c>
      <c r="Q2775" t="s">
        <v>24</v>
      </c>
      <c r="R2775">
        <v>2.06</v>
      </c>
      <c r="S2775" t="s">
        <v>47</v>
      </c>
      <c r="T2775" t="str">
        <f t="shared" si="86"/>
        <v>High</v>
      </c>
      <c r="U2775" t="str">
        <f t="shared" si="87"/>
        <v>Beginner</v>
      </c>
    </row>
    <row r="2776" spans="1:21" x14ac:dyDescent="0.35">
      <c r="A2776" t="s">
        <v>2849</v>
      </c>
      <c r="B2776" t="s">
        <v>96</v>
      </c>
      <c r="C2776" t="s">
        <v>82</v>
      </c>
      <c r="D2776" t="s">
        <v>49</v>
      </c>
      <c r="E2776" t="s">
        <v>33</v>
      </c>
      <c r="F2776">
        <v>9</v>
      </c>
      <c r="G2776">
        <v>0.19</v>
      </c>
      <c r="H2776">
        <v>0.56999999999999995</v>
      </c>
      <c r="I2776" t="s">
        <v>24</v>
      </c>
      <c r="J2776">
        <v>215133</v>
      </c>
      <c r="K2776" t="s">
        <v>27</v>
      </c>
      <c r="L2776">
        <v>43</v>
      </c>
      <c r="M2776">
        <v>33</v>
      </c>
      <c r="N2776" t="s">
        <v>42</v>
      </c>
      <c r="O2776" t="s">
        <v>36</v>
      </c>
      <c r="P2776">
        <v>4.62</v>
      </c>
      <c r="Q2776" t="s">
        <v>34</v>
      </c>
      <c r="R2776">
        <v>4.47</v>
      </c>
      <c r="S2776" t="s">
        <v>43</v>
      </c>
      <c r="T2776" t="str">
        <f t="shared" si="86"/>
        <v>High</v>
      </c>
      <c r="U2776" t="str">
        <f t="shared" si="87"/>
        <v>Experienced</v>
      </c>
    </row>
    <row r="2777" spans="1:21" x14ac:dyDescent="0.35">
      <c r="A2777" t="s">
        <v>2850</v>
      </c>
      <c r="B2777" t="s">
        <v>54</v>
      </c>
      <c r="C2777" t="s">
        <v>52</v>
      </c>
      <c r="D2777" t="s">
        <v>59</v>
      </c>
      <c r="E2777" t="s">
        <v>33</v>
      </c>
      <c r="F2777">
        <v>17</v>
      </c>
      <c r="G2777">
        <v>0.23</v>
      </c>
      <c r="H2777">
        <v>0.23</v>
      </c>
      <c r="I2777" t="s">
        <v>34</v>
      </c>
      <c r="J2777">
        <v>107608</v>
      </c>
      <c r="K2777" t="s">
        <v>42</v>
      </c>
      <c r="L2777">
        <v>10</v>
      </c>
      <c r="M2777">
        <v>39</v>
      </c>
      <c r="N2777" t="s">
        <v>42</v>
      </c>
      <c r="O2777" t="s">
        <v>25</v>
      </c>
      <c r="P2777">
        <v>2.27</v>
      </c>
      <c r="Q2777" t="s">
        <v>24</v>
      </c>
      <c r="R2777">
        <v>1.56</v>
      </c>
      <c r="S2777" t="s">
        <v>28</v>
      </c>
      <c r="T2777" t="str">
        <f t="shared" si="86"/>
        <v>Moderate</v>
      </c>
      <c r="U2777" t="str">
        <f t="shared" si="87"/>
        <v>Expert</v>
      </c>
    </row>
    <row r="2778" spans="1:21" x14ac:dyDescent="0.35">
      <c r="A2778" t="s">
        <v>2851</v>
      </c>
      <c r="B2778" t="s">
        <v>57</v>
      </c>
      <c r="C2778" t="s">
        <v>58</v>
      </c>
      <c r="D2778" t="s">
        <v>80</v>
      </c>
      <c r="E2778" t="s">
        <v>33</v>
      </c>
      <c r="F2778">
        <v>0</v>
      </c>
      <c r="G2778">
        <v>0.92</v>
      </c>
      <c r="H2778">
        <v>0.96</v>
      </c>
      <c r="I2778" t="s">
        <v>60</v>
      </c>
      <c r="J2778">
        <v>189026</v>
      </c>
      <c r="K2778" t="s">
        <v>27</v>
      </c>
      <c r="L2778">
        <v>-1</v>
      </c>
      <c r="M2778">
        <v>50</v>
      </c>
      <c r="N2778" t="s">
        <v>35</v>
      </c>
      <c r="O2778" t="s">
        <v>25</v>
      </c>
      <c r="P2778">
        <v>4.1399999999999997</v>
      </c>
      <c r="Q2778" t="s">
        <v>24</v>
      </c>
      <c r="R2778">
        <v>3.87</v>
      </c>
      <c r="S2778" t="s">
        <v>43</v>
      </c>
      <c r="T2778" t="str">
        <f t="shared" si="86"/>
        <v>High</v>
      </c>
      <c r="U2778" t="str">
        <f t="shared" si="87"/>
        <v>Beginner</v>
      </c>
    </row>
    <row r="2779" spans="1:21" x14ac:dyDescent="0.35">
      <c r="A2779" t="s">
        <v>2852</v>
      </c>
      <c r="B2779" t="s">
        <v>96</v>
      </c>
      <c r="C2779" t="s">
        <v>55</v>
      </c>
      <c r="D2779" t="s">
        <v>59</v>
      </c>
      <c r="E2779" t="s">
        <v>33</v>
      </c>
      <c r="F2779">
        <v>17</v>
      </c>
      <c r="G2779">
        <v>0.87</v>
      </c>
      <c r="H2779">
        <v>0.67</v>
      </c>
      <c r="I2779" t="s">
        <v>24</v>
      </c>
      <c r="J2779">
        <v>41961</v>
      </c>
      <c r="K2779" t="s">
        <v>42</v>
      </c>
      <c r="L2779">
        <v>35</v>
      </c>
      <c r="M2779">
        <v>43</v>
      </c>
      <c r="N2779" t="s">
        <v>42</v>
      </c>
      <c r="O2779" t="s">
        <v>36</v>
      </c>
      <c r="P2779">
        <v>2.1800000000000002</v>
      </c>
      <c r="Q2779" t="s">
        <v>24</v>
      </c>
      <c r="R2779">
        <v>3.66</v>
      </c>
      <c r="S2779" t="s">
        <v>28</v>
      </c>
      <c r="T2779" t="str">
        <f t="shared" si="86"/>
        <v>Moderate</v>
      </c>
      <c r="U2779" t="str">
        <f t="shared" si="87"/>
        <v>Expert</v>
      </c>
    </row>
    <row r="2780" spans="1:21" x14ac:dyDescent="0.35">
      <c r="A2780" t="s">
        <v>2853</v>
      </c>
      <c r="B2780" t="s">
        <v>77</v>
      </c>
      <c r="C2780" t="s">
        <v>74</v>
      </c>
      <c r="D2780" t="s">
        <v>22</v>
      </c>
      <c r="E2780" t="s">
        <v>41</v>
      </c>
      <c r="F2780">
        <v>23</v>
      </c>
      <c r="G2780">
        <v>0.56999999999999995</v>
      </c>
      <c r="H2780">
        <v>0.52</v>
      </c>
      <c r="I2780" t="s">
        <v>24</v>
      </c>
      <c r="J2780">
        <v>125773</v>
      </c>
      <c r="K2780" t="s">
        <v>25</v>
      </c>
      <c r="L2780">
        <v>-5</v>
      </c>
      <c r="M2780">
        <v>36</v>
      </c>
      <c r="N2780" t="s">
        <v>42</v>
      </c>
      <c r="O2780" t="s">
        <v>36</v>
      </c>
      <c r="P2780">
        <v>4.75</v>
      </c>
      <c r="Q2780" t="s">
        <v>24</v>
      </c>
      <c r="R2780">
        <v>1.47</v>
      </c>
      <c r="S2780" t="s">
        <v>43</v>
      </c>
      <c r="T2780" t="str">
        <f t="shared" si="86"/>
        <v>Moderate</v>
      </c>
      <c r="U2780" t="str">
        <f t="shared" si="87"/>
        <v>Expert</v>
      </c>
    </row>
    <row r="2781" spans="1:21" x14ac:dyDescent="0.35">
      <c r="A2781" t="s">
        <v>2854</v>
      </c>
      <c r="B2781" t="s">
        <v>91</v>
      </c>
      <c r="C2781" t="s">
        <v>58</v>
      </c>
      <c r="D2781" t="s">
        <v>69</v>
      </c>
      <c r="E2781" t="s">
        <v>23</v>
      </c>
      <c r="F2781">
        <v>20</v>
      </c>
      <c r="G2781">
        <v>0.28000000000000003</v>
      </c>
      <c r="H2781">
        <v>0.54</v>
      </c>
      <c r="I2781" t="s">
        <v>34</v>
      </c>
      <c r="J2781">
        <v>88367</v>
      </c>
      <c r="K2781" t="s">
        <v>42</v>
      </c>
      <c r="L2781">
        <v>9</v>
      </c>
      <c r="M2781">
        <v>39</v>
      </c>
      <c r="N2781" t="s">
        <v>35</v>
      </c>
      <c r="O2781" t="s">
        <v>25</v>
      </c>
      <c r="P2781">
        <v>3.89</v>
      </c>
      <c r="Q2781" t="s">
        <v>34</v>
      </c>
      <c r="R2781">
        <v>3.06</v>
      </c>
      <c r="S2781" t="s">
        <v>47</v>
      </c>
      <c r="T2781" t="str">
        <f t="shared" si="86"/>
        <v>High</v>
      </c>
      <c r="U2781" t="str">
        <f t="shared" si="87"/>
        <v>Expert</v>
      </c>
    </row>
    <row r="2782" spans="1:21" x14ac:dyDescent="0.35">
      <c r="A2782" t="s">
        <v>2855</v>
      </c>
      <c r="B2782" t="s">
        <v>51</v>
      </c>
      <c r="C2782" t="s">
        <v>58</v>
      </c>
      <c r="D2782" t="s">
        <v>63</v>
      </c>
      <c r="E2782" t="s">
        <v>70</v>
      </c>
      <c r="F2782">
        <v>10</v>
      </c>
      <c r="G2782">
        <v>0.91</v>
      </c>
      <c r="H2782">
        <v>0.8</v>
      </c>
      <c r="I2782" t="s">
        <v>24</v>
      </c>
      <c r="J2782">
        <v>159442</v>
      </c>
      <c r="K2782" t="s">
        <v>25</v>
      </c>
      <c r="L2782">
        <v>-4</v>
      </c>
      <c r="M2782">
        <v>42</v>
      </c>
      <c r="N2782" t="s">
        <v>26</v>
      </c>
      <c r="O2782" t="s">
        <v>27</v>
      </c>
      <c r="P2782">
        <v>3.95</v>
      </c>
      <c r="Q2782" t="s">
        <v>34</v>
      </c>
      <c r="R2782">
        <v>4.5199999999999996</v>
      </c>
      <c r="S2782" t="s">
        <v>43</v>
      </c>
      <c r="T2782" t="str">
        <f t="shared" si="86"/>
        <v>Moderate</v>
      </c>
      <c r="U2782" t="str">
        <f t="shared" si="87"/>
        <v>Experienced</v>
      </c>
    </row>
    <row r="2783" spans="1:21" x14ac:dyDescent="0.35">
      <c r="A2783" t="s">
        <v>2856</v>
      </c>
      <c r="B2783" t="s">
        <v>65</v>
      </c>
      <c r="C2783" t="s">
        <v>39</v>
      </c>
      <c r="D2783" t="s">
        <v>69</v>
      </c>
      <c r="E2783" t="s">
        <v>41</v>
      </c>
      <c r="F2783">
        <v>14</v>
      </c>
      <c r="G2783">
        <v>0.31</v>
      </c>
      <c r="H2783">
        <v>0.49</v>
      </c>
      <c r="I2783" t="s">
        <v>24</v>
      </c>
      <c r="J2783">
        <v>122442</v>
      </c>
      <c r="K2783" t="s">
        <v>25</v>
      </c>
      <c r="L2783">
        <v>25</v>
      </c>
      <c r="M2783">
        <v>46</v>
      </c>
      <c r="N2783" t="s">
        <v>42</v>
      </c>
      <c r="O2783" t="s">
        <v>27</v>
      </c>
      <c r="P2783">
        <v>3.73</v>
      </c>
      <c r="Q2783" t="s">
        <v>24</v>
      </c>
      <c r="R2783">
        <v>4.17</v>
      </c>
      <c r="S2783" t="s">
        <v>28</v>
      </c>
      <c r="T2783" t="str">
        <f t="shared" si="86"/>
        <v>High</v>
      </c>
      <c r="U2783" t="str">
        <f t="shared" si="87"/>
        <v>Experienced</v>
      </c>
    </row>
    <row r="2784" spans="1:21" x14ac:dyDescent="0.35">
      <c r="A2784" t="s">
        <v>2857</v>
      </c>
      <c r="B2784" t="s">
        <v>51</v>
      </c>
      <c r="C2784" t="s">
        <v>55</v>
      </c>
      <c r="D2784" t="s">
        <v>63</v>
      </c>
      <c r="E2784" t="s">
        <v>70</v>
      </c>
      <c r="F2784">
        <v>9</v>
      </c>
      <c r="G2784">
        <v>0.62</v>
      </c>
      <c r="H2784">
        <v>0.47</v>
      </c>
      <c r="I2784" t="s">
        <v>60</v>
      </c>
      <c r="J2784">
        <v>219737</v>
      </c>
      <c r="K2784" t="s">
        <v>25</v>
      </c>
      <c r="L2784">
        <v>-8</v>
      </c>
      <c r="M2784">
        <v>40</v>
      </c>
      <c r="N2784" t="s">
        <v>35</v>
      </c>
      <c r="O2784" t="s">
        <v>27</v>
      </c>
      <c r="P2784">
        <v>2.63</v>
      </c>
      <c r="Q2784" t="s">
        <v>34</v>
      </c>
      <c r="R2784">
        <v>1.41</v>
      </c>
      <c r="S2784" t="s">
        <v>43</v>
      </c>
      <c r="T2784" t="str">
        <f t="shared" si="86"/>
        <v>Moderate</v>
      </c>
      <c r="U2784" t="str">
        <f t="shared" si="87"/>
        <v>Experienced</v>
      </c>
    </row>
    <row r="2785" spans="1:21" x14ac:dyDescent="0.35">
      <c r="A2785" t="s">
        <v>2858</v>
      </c>
      <c r="B2785" t="s">
        <v>54</v>
      </c>
      <c r="C2785" t="s">
        <v>82</v>
      </c>
      <c r="D2785" t="s">
        <v>75</v>
      </c>
      <c r="E2785" t="s">
        <v>41</v>
      </c>
      <c r="F2785">
        <v>21</v>
      </c>
      <c r="G2785">
        <v>7.0000000000000007E-2</v>
      </c>
      <c r="H2785">
        <v>0.7</v>
      </c>
      <c r="I2785" t="s">
        <v>60</v>
      </c>
      <c r="J2785">
        <v>160181</v>
      </c>
      <c r="K2785" t="s">
        <v>42</v>
      </c>
      <c r="L2785">
        <v>-7</v>
      </c>
      <c r="M2785">
        <v>35</v>
      </c>
      <c r="N2785" t="s">
        <v>26</v>
      </c>
      <c r="O2785" t="s">
        <v>27</v>
      </c>
      <c r="P2785">
        <v>2.88</v>
      </c>
      <c r="Q2785" t="s">
        <v>24</v>
      </c>
      <c r="R2785">
        <v>4.55</v>
      </c>
      <c r="S2785" t="s">
        <v>43</v>
      </c>
      <c r="T2785" t="str">
        <f t="shared" si="86"/>
        <v>Very High</v>
      </c>
      <c r="U2785" t="str">
        <f t="shared" si="87"/>
        <v>Expert</v>
      </c>
    </row>
    <row r="2786" spans="1:21" x14ac:dyDescent="0.35">
      <c r="A2786" t="s">
        <v>2859</v>
      </c>
      <c r="B2786" t="s">
        <v>68</v>
      </c>
      <c r="C2786" t="s">
        <v>74</v>
      </c>
      <c r="D2786" t="s">
        <v>22</v>
      </c>
      <c r="E2786" t="s">
        <v>41</v>
      </c>
      <c r="F2786">
        <v>23</v>
      </c>
      <c r="G2786">
        <v>0.89</v>
      </c>
      <c r="H2786">
        <v>0.6</v>
      </c>
      <c r="I2786" t="s">
        <v>34</v>
      </c>
      <c r="J2786">
        <v>183537</v>
      </c>
      <c r="K2786" t="s">
        <v>42</v>
      </c>
      <c r="L2786">
        <v>0</v>
      </c>
      <c r="M2786">
        <v>58</v>
      </c>
      <c r="N2786" t="s">
        <v>42</v>
      </c>
      <c r="O2786" t="s">
        <v>27</v>
      </c>
      <c r="P2786">
        <v>4.2699999999999996</v>
      </c>
      <c r="Q2786" t="s">
        <v>34</v>
      </c>
      <c r="R2786">
        <v>3.53</v>
      </c>
      <c r="S2786" t="s">
        <v>43</v>
      </c>
      <c r="T2786" t="str">
        <f t="shared" si="86"/>
        <v>Moderate</v>
      </c>
      <c r="U2786" t="str">
        <f t="shared" si="87"/>
        <v>Expert</v>
      </c>
    </row>
    <row r="2787" spans="1:21" x14ac:dyDescent="0.35">
      <c r="A2787" t="s">
        <v>2860</v>
      </c>
      <c r="B2787" t="s">
        <v>91</v>
      </c>
      <c r="C2787" t="s">
        <v>107</v>
      </c>
      <c r="D2787" t="s">
        <v>22</v>
      </c>
      <c r="E2787" t="s">
        <v>70</v>
      </c>
      <c r="F2787">
        <v>25</v>
      </c>
      <c r="G2787">
        <v>0.28000000000000003</v>
      </c>
      <c r="H2787">
        <v>0.74</v>
      </c>
      <c r="I2787" t="s">
        <v>24</v>
      </c>
      <c r="J2787">
        <v>165840</v>
      </c>
      <c r="K2787" t="s">
        <v>42</v>
      </c>
      <c r="L2787">
        <v>34</v>
      </c>
      <c r="M2787">
        <v>60</v>
      </c>
      <c r="N2787" t="s">
        <v>42</v>
      </c>
      <c r="O2787" t="s">
        <v>27</v>
      </c>
      <c r="P2787">
        <v>3.77</v>
      </c>
      <c r="Q2787" t="s">
        <v>24</v>
      </c>
      <c r="R2787">
        <v>1.54</v>
      </c>
      <c r="S2787" t="s">
        <v>47</v>
      </c>
      <c r="T2787" t="str">
        <f t="shared" si="86"/>
        <v>Very High</v>
      </c>
      <c r="U2787" t="str">
        <f t="shared" si="87"/>
        <v>Expert</v>
      </c>
    </row>
    <row r="2788" spans="1:21" x14ac:dyDescent="0.35">
      <c r="A2788" t="s">
        <v>2861</v>
      </c>
      <c r="B2788" t="s">
        <v>62</v>
      </c>
      <c r="C2788" t="s">
        <v>107</v>
      </c>
      <c r="D2788" t="s">
        <v>69</v>
      </c>
      <c r="E2788" t="s">
        <v>33</v>
      </c>
      <c r="F2788">
        <v>7</v>
      </c>
      <c r="G2788">
        <v>0.55000000000000004</v>
      </c>
      <c r="H2788">
        <v>0.42</v>
      </c>
      <c r="I2788" t="s">
        <v>24</v>
      </c>
      <c r="J2788">
        <v>33615</v>
      </c>
      <c r="K2788" t="s">
        <v>27</v>
      </c>
      <c r="L2788">
        <v>34</v>
      </c>
      <c r="M2788">
        <v>59</v>
      </c>
      <c r="N2788" t="s">
        <v>26</v>
      </c>
      <c r="O2788" t="s">
        <v>36</v>
      </c>
      <c r="P2788">
        <v>3.41</v>
      </c>
      <c r="Q2788" t="s">
        <v>24</v>
      </c>
      <c r="R2788">
        <v>2.2200000000000002</v>
      </c>
      <c r="S2788" t="s">
        <v>43</v>
      </c>
      <c r="T2788" t="str">
        <f t="shared" si="86"/>
        <v>Moderate</v>
      </c>
      <c r="U2788" t="str">
        <f t="shared" si="87"/>
        <v>Intermediate</v>
      </c>
    </row>
    <row r="2789" spans="1:21" x14ac:dyDescent="0.35">
      <c r="A2789" t="s">
        <v>2862</v>
      </c>
      <c r="B2789" t="s">
        <v>91</v>
      </c>
      <c r="C2789" t="s">
        <v>31</v>
      </c>
      <c r="D2789" t="s">
        <v>40</v>
      </c>
      <c r="E2789" t="s">
        <v>23</v>
      </c>
      <c r="F2789">
        <v>10</v>
      </c>
      <c r="G2789">
        <v>0.84</v>
      </c>
      <c r="H2789">
        <v>0.99</v>
      </c>
      <c r="I2789" t="s">
        <v>24</v>
      </c>
      <c r="J2789">
        <v>158537</v>
      </c>
      <c r="K2789" t="s">
        <v>42</v>
      </c>
      <c r="L2789">
        <v>7</v>
      </c>
      <c r="M2789">
        <v>59</v>
      </c>
      <c r="N2789" t="s">
        <v>42</v>
      </c>
      <c r="O2789" t="s">
        <v>27</v>
      </c>
      <c r="P2789">
        <v>3.13</v>
      </c>
      <c r="Q2789" t="s">
        <v>34</v>
      </c>
      <c r="R2789">
        <v>3.22</v>
      </c>
      <c r="S2789" t="s">
        <v>43</v>
      </c>
      <c r="T2789" t="str">
        <f t="shared" si="86"/>
        <v>High</v>
      </c>
      <c r="U2789" t="str">
        <f t="shared" si="87"/>
        <v>Experienced</v>
      </c>
    </row>
    <row r="2790" spans="1:21" x14ac:dyDescent="0.35">
      <c r="A2790" t="s">
        <v>2863</v>
      </c>
      <c r="B2790" t="s">
        <v>68</v>
      </c>
      <c r="C2790" t="s">
        <v>21</v>
      </c>
      <c r="D2790" t="s">
        <v>69</v>
      </c>
      <c r="E2790" t="s">
        <v>70</v>
      </c>
      <c r="F2790">
        <v>18</v>
      </c>
      <c r="G2790">
        <v>0.26</v>
      </c>
      <c r="H2790">
        <v>0.25</v>
      </c>
      <c r="I2790" t="s">
        <v>34</v>
      </c>
      <c r="J2790">
        <v>215048</v>
      </c>
      <c r="K2790" t="s">
        <v>25</v>
      </c>
      <c r="L2790">
        <v>9</v>
      </c>
      <c r="M2790">
        <v>32</v>
      </c>
      <c r="N2790" t="s">
        <v>42</v>
      </c>
      <c r="O2790" t="s">
        <v>25</v>
      </c>
      <c r="P2790">
        <v>3.29</v>
      </c>
      <c r="Q2790" t="s">
        <v>34</v>
      </c>
      <c r="R2790">
        <v>2.2000000000000002</v>
      </c>
      <c r="S2790" t="s">
        <v>28</v>
      </c>
      <c r="T2790" t="str">
        <f t="shared" si="86"/>
        <v>Moderate</v>
      </c>
      <c r="U2790" t="str">
        <f t="shared" si="87"/>
        <v>Expert</v>
      </c>
    </row>
    <row r="2791" spans="1:21" x14ac:dyDescent="0.35">
      <c r="A2791" t="s">
        <v>2864</v>
      </c>
      <c r="B2791" t="s">
        <v>45</v>
      </c>
      <c r="C2791" t="s">
        <v>58</v>
      </c>
      <c r="D2791" t="s">
        <v>40</v>
      </c>
      <c r="E2791" t="s">
        <v>41</v>
      </c>
      <c r="F2791">
        <v>0</v>
      </c>
      <c r="G2791">
        <v>0.71</v>
      </c>
      <c r="H2791">
        <v>0.36</v>
      </c>
      <c r="I2791" t="s">
        <v>24</v>
      </c>
      <c r="J2791">
        <v>115104</v>
      </c>
      <c r="K2791" t="s">
        <v>27</v>
      </c>
      <c r="L2791">
        <v>41</v>
      </c>
      <c r="M2791">
        <v>59</v>
      </c>
      <c r="N2791" t="s">
        <v>26</v>
      </c>
      <c r="O2791" t="s">
        <v>27</v>
      </c>
      <c r="P2791">
        <v>2.61</v>
      </c>
      <c r="Q2791" t="s">
        <v>24</v>
      </c>
      <c r="R2791">
        <v>4.1399999999999997</v>
      </c>
      <c r="S2791" t="s">
        <v>28</v>
      </c>
      <c r="T2791" t="str">
        <f t="shared" si="86"/>
        <v>Very Low</v>
      </c>
      <c r="U2791" t="str">
        <f t="shared" si="87"/>
        <v>Beginner</v>
      </c>
    </row>
    <row r="2792" spans="1:21" x14ac:dyDescent="0.35">
      <c r="A2792" t="s">
        <v>2865</v>
      </c>
      <c r="B2792" t="s">
        <v>45</v>
      </c>
      <c r="C2792" t="s">
        <v>107</v>
      </c>
      <c r="D2792" t="s">
        <v>66</v>
      </c>
      <c r="E2792" t="s">
        <v>23</v>
      </c>
      <c r="F2792">
        <v>8</v>
      </c>
      <c r="G2792">
        <v>0.13</v>
      </c>
      <c r="H2792">
        <v>0.79</v>
      </c>
      <c r="I2792" t="s">
        <v>60</v>
      </c>
      <c r="J2792">
        <v>41913</v>
      </c>
      <c r="K2792" t="s">
        <v>27</v>
      </c>
      <c r="L2792">
        <v>-5</v>
      </c>
      <c r="M2792">
        <v>40</v>
      </c>
      <c r="N2792" t="s">
        <v>26</v>
      </c>
      <c r="O2792" t="s">
        <v>36</v>
      </c>
      <c r="P2792">
        <v>3.71</v>
      </c>
      <c r="Q2792" t="s">
        <v>24</v>
      </c>
      <c r="R2792">
        <v>4.9800000000000004</v>
      </c>
      <c r="S2792" t="s">
        <v>43</v>
      </c>
      <c r="T2792" t="str">
        <f t="shared" si="86"/>
        <v>Very High</v>
      </c>
      <c r="U2792" t="str">
        <f t="shared" si="87"/>
        <v>Intermediate</v>
      </c>
    </row>
    <row r="2793" spans="1:21" x14ac:dyDescent="0.35">
      <c r="A2793" t="s">
        <v>2866</v>
      </c>
      <c r="B2793" t="s">
        <v>20</v>
      </c>
      <c r="C2793" t="s">
        <v>82</v>
      </c>
      <c r="D2793" t="s">
        <v>66</v>
      </c>
      <c r="E2793" t="s">
        <v>23</v>
      </c>
      <c r="F2793">
        <v>23</v>
      </c>
      <c r="G2793">
        <v>0.72</v>
      </c>
      <c r="H2793">
        <v>0.34</v>
      </c>
      <c r="I2793" t="s">
        <v>24</v>
      </c>
      <c r="J2793">
        <v>114440</v>
      </c>
      <c r="K2793" t="s">
        <v>27</v>
      </c>
      <c r="L2793">
        <v>-9</v>
      </c>
      <c r="M2793">
        <v>53</v>
      </c>
      <c r="N2793" t="s">
        <v>42</v>
      </c>
      <c r="O2793" t="s">
        <v>25</v>
      </c>
      <c r="P2793">
        <v>3.75</v>
      </c>
      <c r="Q2793" t="s">
        <v>34</v>
      </c>
      <c r="R2793">
        <v>3.07</v>
      </c>
      <c r="S2793" t="s">
        <v>43</v>
      </c>
      <c r="T2793" t="str">
        <f t="shared" si="86"/>
        <v>Very Low</v>
      </c>
      <c r="U2793" t="str">
        <f t="shared" si="87"/>
        <v>Expert</v>
      </c>
    </row>
    <row r="2794" spans="1:21" x14ac:dyDescent="0.35">
      <c r="A2794" t="s">
        <v>2867</v>
      </c>
      <c r="B2794" t="s">
        <v>91</v>
      </c>
      <c r="C2794" t="s">
        <v>58</v>
      </c>
      <c r="D2794" t="s">
        <v>32</v>
      </c>
      <c r="E2794" t="s">
        <v>23</v>
      </c>
      <c r="F2794">
        <v>19</v>
      </c>
      <c r="G2794">
        <v>0.35</v>
      </c>
      <c r="H2794">
        <v>0.34</v>
      </c>
      <c r="I2794" t="s">
        <v>24</v>
      </c>
      <c r="J2794">
        <v>111157</v>
      </c>
      <c r="K2794" t="s">
        <v>27</v>
      </c>
      <c r="L2794">
        <v>10</v>
      </c>
      <c r="M2794">
        <v>56</v>
      </c>
      <c r="N2794" t="s">
        <v>26</v>
      </c>
      <c r="O2794" t="s">
        <v>36</v>
      </c>
      <c r="P2794">
        <v>3.2</v>
      </c>
      <c r="Q2794" t="s">
        <v>34</v>
      </c>
      <c r="R2794">
        <v>3.43</v>
      </c>
      <c r="S2794" t="s">
        <v>47</v>
      </c>
      <c r="T2794" t="str">
        <f t="shared" si="86"/>
        <v>Moderate</v>
      </c>
      <c r="U2794" t="str">
        <f t="shared" si="87"/>
        <v>Expert</v>
      </c>
    </row>
    <row r="2795" spans="1:21" x14ac:dyDescent="0.35">
      <c r="A2795" t="s">
        <v>2868</v>
      </c>
      <c r="B2795" t="s">
        <v>68</v>
      </c>
      <c r="C2795" t="s">
        <v>55</v>
      </c>
      <c r="D2795" t="s">
        <v>49</v>
      </c>
      <c r="E2795" t="s">
        <v>41</v>
      </c>
      <c r="F2795">
        <v>16</v>
      </c>
      <c r="G2795">
        <v>0.18</v>
      </c>
      <c r="H2795">
        <v>0.82</v>
      </c>
      <c r="I2795" t="s">
        <v>34</v>
      </c>
      <c r="J2795">
        <v>91733</v>
      </c>
      <c r="K2795" t="s">
        <v>27</v>
      </c>
      <c r="L2795">
        <v>5</v>
      </c>
      <c r="M2795">
        <v>36</v>
      </c>
      <c r="N2795" t="s">
        <v>42</v>
      </c>
      <c r="O2795" t="s">
        <v>27</v>
      </c>
      <c r="P2795">
        <v>2.83</v>
      </c>
      <c r="Q2795" t="s">
        <v>24</v>
      </c>
      <c r="R2795">
        <v>3.33</v>
      </c>
      <c r="S2795" t="s">
        <v>43</v>
      </c>
      <c r="T2795" t="str">
        <f t="shared" si="86"/>
        <v>Very High</v>
      </c>
      <c r="U2795" t="str">
        <f t="shared" si="87"/>
        <v>Expert</v>
      </c>
    </row>
    <row r="2796" spans="1:21" x14ac:dyDescent="0.35">
      <c r="A2796" t="s">
        <v>2869</v>
      </c>
      <c r="B2796" t="s">
        <v>30</v>
      </c>
      <c r="C2796" t="s">
        <v>52</v>
      </c>
      <c r="D2796" t="s">
        <v>22</v>
      </c>
      <c r="E2796" t="s">
        <v>41</v>
      </c>
      <c r="F2796">
        <v>4</v>
      </c>
      <c r="G2796">
        <v>0.67</v>
      </c>
      <c r="H2796">
        <v>0.95</v>
      </c>
      <c r="I2796" t="s">
        <v>60</v>
      </c>
      <c r="J2796">
        <v>218558</v>
      </c>
      <c r="K2796" t="s">
        <v>42</v>
      </c>
      <c r="L2796">
        <v>7</v>
      </c>
      <c r="M2796">
        <v>30</v>
      </c>
      <c r="N2796" t="s">
        <v>35</v>
      </c>
      <c r="O2796" t="s">
        <v>36</v>
      </c>
      <c r="P2796">
        <v>3.55</v>
      </c>
      <c r="Q2796" t="s">
        <v>34</v>
      </c>
      <c r="R2796">
        <v>3.77</v>
      </c>
      <c r="S2796" t="s">
        <v>28</v>
      </c>
      <c r="T2796" t="str">
        <f t="shared" si="86"/>
        <v>High</v>
      </c>
      <c r="U2796" t="str">
        <f t="shared" si="87"/>
        <v>Intermediate</v>
      </c>
    </row>
    <row r="2797" spans="1:21" x14ac:dyDescent="0.35">
      <c r="A2797" t="s">
        <v>2870</v>
      </c>
      <c r="B2797" t="s">
        <v>77</v>
      </c>
      <c r="C2797" t="s">
        <v>58</v>
      </c>
      <c r="D2797" t="s">
        <v>66</v>
      </c>
      <c r="E2797" t="s">
        <v>70</v>
      </c>
      <c r="F2797">
        <v>14</v>
      </c>
      <c r="G2797">
        <v>0.84</v>
      </c>
      <c r="H2797">
        <v>0.84</v>
      </c>
      <c r="I2797" t="s">
        <v>34</v>
      </c>
      <c r="J2797">
        <v>150008</v>
      </c>
      <c r="K2797" t="s">
        <v>25</v>
      </c>
      <c r="L2797">
        <v>12</v>
      </c>
      <c r="M2797">
        <v>37</v>
      </c>
      <c r="N2797" t="s">
        <v>42</v>
      </c>
      <c r="O2797" t="s">
        <v>27</v>
      </c>
      <c r="P2797">
        <v>3.82</v>
      </c>
      <c r="Q2797" t="s">
        <v>34</v>
      </c>
      <c r="R2797">
        <v>4.58</v>
      </c>
      <c r="S2797" t="s">
        <v>47</v>
      </c>
      <c r="T2797" t="str">
        <f t="shared" si="86"/>
        <v>Moderate</v>
      </c>
      <c r="U2797" t="str">
        <f t="shared" si="87"/>
        <v>Experienced</v>
      </c>
    </row>
    <row r="2798" spans="1:21" x14ac:dyDescent="0.35">
      <c r="A2798" t="s">
        <v>2871</v>
      </c>
      <c r="B2798" t="s">
        <v>51</v>
      </c>
      <c r="C2798" t="s">
        <v>46</v>
      </c>
      <c r="D2798" t="s">
        <v>49</v>
      </c>
      <c r="E2798" t="s">
        <v>41</v>
      </c>
      <c r="F2798">
        <v>13</v>
      </c>
      <c r="G2798">
        <v>0.06</v>
      </c>
      <c r="H2798">
        <v>0.74</v>
      </c>
      <c r="I2798" t="s">
        <v>60</v>
      </c>
      <c r="J2798">
        <v>33614</v>
      </c>
      <c r="K2798" t="s">
        <v>42</v>
      </c>
      <c r="L2798">
        <v>36</v>
      </c>
      <c r="M2798">
        <v>55</v>
      </c>
      <c r="N2798" t="s">
        <v>26</v>
      </c>
      <c r="O2798" t="s">
        <v>25</v>
      </c>
      <c r="P2798">
        <v>3.88</v>
      </c>
      <c r="Q2798" t="s">
        <v>34</v>
      </c>
      <c r="R2798">
        <v>2.2599999999999998</v>
      </c>
      <c r="S2798" t="s">
        <v>43</v>
      </c>
      <c r="T2798" t="str">
        <f t="shared" si="86"/>
        <v>Very High</v>
      </c>
      <c r="U2798" t="str">
        <f t="shared" si="87"/>
        <v>Experienced</v>
      </c>
    </row>
    <row r="2799" spans="1:21" x14ac:dyDescent="0.35">
      <c r="A2799" t="s">
        <v>2872</v>
      </c>
      <c r="B2799" t="s">
        <v>20</v>
      </c>
      <c r="C2799" t="s">
        <v>21</v>
      </c>
      <c r="D2799" t="s">
        <v>69</v>
      </c>
      <c r="E2799" t="s">
        <v>41</v>
      </c>
      <c r="F2799">
        <v>6</v>
      </c>
      <c r="G2799">
        <v>0.91</v>
      </c>
      <c r="H2799">
        <v>0.3</v>
      </c>
      <c r="I2799" t="s">
        <v>34</v>
      </c>
      <c r="J2799">
        <v>164747</v>
      </c>
      <c r="K2799" t="s">
        <v>27</v>
      </c>
      <c r="L2799">
        <v>42</v>
      </c>
      <c r="M2799">
        <v>36</v>
      </c>
      <c r="N2799" t="s">
        <v>35</v>
      </c>
      <c r="O2799" t="s">
        <v>27</v>
      </c>
      <c r="P2799">
        <v>4.6900000000000004</v>
      </c>
      <c r="Q2799" t="s">
        <v>24</v>
      </c>
      <c r="R2799">
        <v>1.67</v>
      </c>
      <c r="S2799" t="s">
        <v>47</v>
      </c>
      <c r="T2799" t="str">
        <f t="shared" si="86"/>
        <v>Very Low</v>
      </c>
      <c r="U2799" t="str">
        <f t="shared" si="87"/>
        <v>Intermediate</v>
      </c>
    </row>
    <row r="2800" spans="1:21" x14ac:dyDescent="0.35">
      <c r="A2800" t="s">
        <v>2873</v>
      </c>
      <c r="B2800" t="s">
        <v>73</v>
      </c>
      <c r="C2800" t="s">
        <v>55</v>
      </c>
      <c r="D2800" t="s">
        <v>59</v>
      </c>
      <c r="E2800" t="s">
        <v>41</v>
      </c>
      <c r="F2800">
        <v>8</v>
      </c>
      <c r="G2800">
        <v>0.11</v>
      </c>
      <c r="H2800">
        <v>0.81</v>
      </c>
      <c r="I2800" t="s">
        <v>60</v>
      </c>
      <c r="J2800">
        <v>132744</v>
      </c>
      <c r="K2800" t="s">
        <v>27</v>
      </c>
      <c r="L2800">
        <v>31</v>
      </c>
      <c r="M2800">
        <v>49</v>
      </c>
      <c r="N2800" t="s">
        <v>42</v>
      </c>
      <c r="O2800" t="s">
        <v>27</v>
      </c>
      <c r="P2800">
        <v>4.8099999999999996</v>
      </c>
      <c r="Q2800" t="s">
        <v>24</v>
      </c>
      <c r="R2800">
        <v>4.96</v>
      </c>
      <c r="S2800" t="s">
        <v>47</v>
      </c>
      <c r="T2800" t="str">
        <f t="shared" si="86"/>
        <v>Very High</v>
      </c>
      <c r="U2800" t="str">
        <f t="shared" si="87"/>
        <v>Intermediate</v>
      </c>
    </row>
    <row r="2801" spans="1:21" x14ac:dyDescent="0.35">
      <c r="A2801" t="s">
        <v>2874</v>
      </c>
      <c r="B2801" t="s">
        <v>68</v>
      </c>
      <c r="C2801" t="s">
        <v>46</v>
      </c>
      <c r="D2801" t="s">
        <v>22</v>
      </c>
      <c r="E2801" t="s">
        <v>23</v>
      </c>
      <c r="F2801">
        <v>2</v>
      </c>
      <c r="G2801">
        <v>0.9</v>
      </c>
      <c r="H2801">
        <v>0.44</v>
      </c>
      <c r="I2801" t="s">
        <v>24</v>
      </c>
      <c r="J2801">
        <v>133596</v>
      </c>
      <c r="K2801" t="s">
        <v>27</v>
      </c>
      <c r="L2801">
        <v>35</v>
      </c>
      <c r="M2801">
        <v>33</v>
      </c>
      <c r="N2801" t="s">
        <v>26</v>
      </c>
      <c r="O2801" t="s">
        <v>36</v>
      </c>
      <c r="P2801">
        <v>2.59</v>
      </c>
      <c r="Q2801" t="s">
        <v>24</v>
      </c>
      <c r="R2801">
        <v>1.96</v>
      </c>
      <c r="S2801" t="s">
        <v>47</v>
      </c>
      <c r="T2801" t="str">
        <f t="shared" si="86"/>
        <v>Very Low</v>
      </c>
      <c r="U2801" t="str">
        <f t="shared" si="87"/>
        <v>Beginner</v>
      </c>
    </row>
    <row r="2802" spans="1:21" x14ac:dyDescent="0.35">
      <c r="A2802" t="s">
        <v>2875</v>
      </c>
      <c r="B2802" t="s">
        <v>91</v>
      </c>
      <c r="C2802" t="s">
        <v>82</v>
      </c>
      <c r="D2802" t="s">
        <v>32</v>
      </c>
      <c r="E2802" t="s">
        <v>23</v>
      </c>
      <c r="F2802">
        <v>0</v>
      </c>
      <c r="G2802">
        <v>0.65</v>
      </c>
      <c r="H2802">
        <v>0.85</v>
      </c>
      <c r="I2802" t="s">
        <v>60</v>
      </c>
      <c r="J2802">
        <v>97464</v>
      </c>
      <c r="K2802" t="s">
        <v>25</v>
      </c>
      <c r="L2802">
        <v>45</v>
      </c>
      <c r="M2802">
        <v>38</v>
      </c>
      <c r="N2802" t="s">
        <v>26</v>
      </c>
      <c r="O2802" t="s">
        <v>27</v>
      </c>
      <c r="P2802">
        <v>4.76</v>
      </c>
      <c r="Q2802" t="s">
        <v>34</v>
      </c>
      <c r="R2802">
        <v>4.21</v>
      </c>
      <c r="S2802" t="s">
        <v>43</v>
      </c>
      <c r="T2802" t="str">
        <f t="shared" si="86"/>
        <v>High</v>
      </c>
      <c r="U2802" t="str">
        <f t="shared" si="87"/>
        <v>Beginner</v>
      </c>
    </row>
    <row r="2803" spans="1:21" x14ac:dyDescent="0.35">
      <c r="A2803" t="s">
        <v>2876</v>
      </c>
      <c r="B2803" t="s">
        <v>147</v>
      </c>
      <c r="C2803" t="s">
        <v>58</v>
      </c>
      <c r="D2803" t="s">
        <v>80</v>
      </c>
      <c r="E2803" t="s">
        <v>33</v>
      </c>
      <c r="F2803">
        <v>25</v>
      </c>
      <c r="G2803">
        <v>0.08</v>
      </c>
      <c r="H2803">
        <v>0.59</v>
      </c>
      <c r="I2803" t="s">
        <v>34</v>
      </c>
      <c r="J2803">
        <v>165033</v>
      </c>
      <c r="K2803" t="s">
        <v>42</v>
      </c>
      <c r="L2803">
        <v>44</v>
      </c>
      <c r="M2803">
        <v>37</v>
      </c>
      <c r="N2803" t="s">
        <v>35</v>
      </c>
      <c r="O2803" t="s">
        <v>27</v>
      </c>
      <c r="P2803">
        <v>2.15</v>
      </c>
      <c r="Q2803" t="s">
        <v>24</v>
      </c>
      <c r="R2803">
        <v>2.6</v>
      </c>
      <c r="S2803" t="s">
        <v>47</v>
      </c>
      <c r="T2803" t="str">
        <f t="shared" si="86"/>
        <v>High</v>
      </c>
      <c r="U2803" t="str">
        <f t="shared" si="87"/>
        <v>Expert</v>
      </c>
    </row>
    <row r="2804" spans="1:21" x14ac:dyDescent="0.35">
      <c r="A2804" t="s">
        <v>2877</v>
      </c>
      <c r="B2804" t="s">
        <v>89</v>
      </c>
      <c r="C2804" t="s">
        <v>74</v>
      </c>
      <c r="D2804" t="s">
        <v>80</v>
      </c>
      <c r="E2804" t="s">
        <v>70</v>
      </c>
      <c r="F2804">
        <v>18</v>
      </c>
      <c r="G2804">
        <v>0.91</v>
      </c>
      <c r="H2804">
        <v>0.79</v>
      </c>
      <c r="I2804" t="s">
        <v>60</v>
      </c>
      <c r="J2804">
        <v>130095</v>
      </c>
      <c r="K2804" t="s">
        <v>42</v>
      </c>
      <c r="L2804">
        <v>21</v>
      </c>
      <c r="M2804">
        <v>60</v>
      </c>
      <c r="N2804" t="s">
        <v>35</v>
      </c>
      <c r="O2804" t="s">
        <v>27</v>
      </c>
      <c r="P2804">
        <v>4.2</v>
      </c>
      <c r="Q2804" t="s">
        <v>34</v>
      </c>
      <c r="R2804">
        <v>2.87</v>
      </c>
      <c r="S2804" t="s">
        <v>47</v>
      </c>
      <c r="T2804" t="str">
        <f t="shared" si="86"/>
        <v>Moderate</v>
      </c>
      <c r="U2804" t="str">
        <f t="shared" si="87"/>
        <v>Expert</v>
      </c>
    </row>
    <row r="2805" spans="1:21" x14ac:dyDescent="0.35">
      <c r="A2805" t="s">
        <v>2878</v>
      </c>
      <c r="B2805" t="s">
        <v>73</v>
      </c>
      <c r="C2805" t="s">
        <v>82</v>
      </c>
      <c r="D2805" t="s">
        <v>59</v>
      </c>
      <c r="E2805" t="s">
        <v>70</v>
      </c>
      <c r="F2805">
        <v>25</v>
      </c>
      <c r="G2805">
        <v>0.24</v>
      </c>
      <c r="H2805">
        <v>0.81</v>
      </c>
      <c r="I2805" t="s">
        <v>60</v>
      </c>
      <c r="J2805">
        <v>184618</v>
      </c>
      <c r="K2805" t="s">
        <v>25</v>
      </c>
      <c r="L2805">
        <v>10</v>
      </c>
      <c r="M2805">
        <v>43</v>
      </c>
      <c r="N2805" t="s">
        <v>26</v>
      </c>
      <c r="O2805" t="s">
        <v>27</v>
      </c>
      <c r="P2805">
        <v>2.87</v>
      </c>
      <c r="Q2805" t="s">
        <v>34</v>
      </c>
      <c r="R2805">
        <v>2.52</v>
      </c>
      <c r="S2805" t="s">
        <v>47</v>
      </c>
      <c r="T2805" t="str">
        <f t="shared" si="86"/>
        <v>Very High</v>
      </c>
      <c r="U2805" t="str">
        <f t="shared" si="87"/>
        <v>Expert</v>
      </c>
    </row>
    <row r="2806" spans="1:21" x14ac:dyDescent="0.35">
      <c r="A2806" t="s">
        <v>2879</v>
      </c>
      <c r="B2806" t="s">
        <v>77</v>
      </c>
      <c r="C2806" t="s">
        <v>52</v>
      </c>
      <c r="D2806" t="s">
        <v>32</v>
      </c>
      <c r="E2806" t="s">
        <v>70</v>
      </c>
      <c r="F2806">
        <v>17</v>
      </c>
      <c r="G2806">
        <v>0.72</v>
      </c>
      <c r="H2806">
        <v>0.91</v>
      </c>
      <c r="I2806" t="s">
        <v>24</v>
      </c>
      <c r="J2806">
        <v>150957</v>
      </c>
      <c r="K2806" t="s">
        <v>27</v>
      </c>
      <c r="L2806">
        <v>41</v>
      </c>
      <c r="M2806">
        <v>49</v>
      </c>
      <c r="N2806" t="s">
        <v>42</v>
      </c>
      <c r="O2806" t="s">
        <v>25</v>
      </c>
      <c r="P2806">
        <v>2.48</v>
      </c>
      <c r="Q2806" t="s">
        <v>24</v>
      </c>
      <c r="R2806">
        <v>4.0199999999999996</v>
      </c>
      <c r="S2806" t="s">
        <v>43</v>
      </c>
      <c r="T2806" t="str">
        <f t="shared" si="86"/>
        <v>High</v>
      </c>
      <c r="U2806" t="str">
        <f t="shared" si="87"/>
        <v>Expert</v>
      </c>
    </row>
    <row r="2807" spans="1:21" x14ac:dyDescent="0.35">
      <c r="A2807" t="s">
        <v>2880</v>
      </c>
      <c r="B2807" t="s">
        <v>156</v>
      </c>
      <c r="C2807" t="s">
        <v>21</v>
      </c>
      <c r="D2807" t="s">
        <v>40</v>
      </c>
      <c r="E2807" t="s">
        <v>23</v>
      </c>
      <c r="F2807">
        <v>10</v>
      </c>
      <c r="G2807">
        <v>0.1</v>
      </c>
      <c r="H2807">
        <v>0.57999999999999996</v>
      </c>
      <c r="I2807" t="s">
        <v>60</v>
      </c>
      <c r="J2807">
        <v>211748</v>
      </c>
      <c r="K2807" t="s">
        <v>42</v>
      </c>
      <c r="L2807">
        <v>11</v>
      </c>
      <c r="M2807">
        <v>52</v>
      </c>
      <c r="N2807" t="s">
        <v>42</v>
      </c>
      <c r="O2807" t="s">
        <v>36</v>
      </c>
      <c r="P2807">
        <v>3.38</v>
      </c>
      <c r="Q2807" t="s">
        <v>34</v>
      </c>
      <c r="R2807">
        <v>2.92</v>
      </c>
      <c r="S2807" t="s">
        <v>43</v>
      </c>
      <c r="T2807" t="str">
        <f t="shared" si="86"/>
        <v>High</v>
      </c>
      <c r="U2807" t="str">
        <f t="shared" si="87"/>
        <v>Experienced</v>
      </c>
    </row>
    <row r="2808" spans="1:21" x14ac:dyDescent="0.35">
      <c r="A2808" t="s">
        <v>2881</v>
      </c>
      <c r="B2808" t="s">
        <v>77</v>
      </c>
      <c r="C2808" t="s">
        <v>46</v>
      </c>
      <c r="D2808" t="s">
        <v>80</v>
      </c>
      <c r="E2808" t="s">
        <v>41</v>
      </c>
      <c r="F2808">
        <v>25</v>
      </c>
      <c r="G2808">
        <v>0.69</v>
      </c>
      <c r="H2808">
        <v>0.88</v>
      </c>
      <c r="I2808" t="s">
        <v>60</v>
      </c>
      <c r="J2808">
        <v>98268</v>
      </c>
      <c r="K2808" t="s">
        <v>42</v>
      </c>
      <c r="L2808">
        <v>-3</v>
      </c>
      <c r="M2808">
        <v>52</v>
      </c>
      <c r="N2808" t="s">
        <v>42</v>
      </c>
      <c r="O2808" t="s">
        <v>36</v>
      </c>
      <c r="P2808">
        <v>3.88</v>
      </c>
      <c r="Q2808" t="s">
        <v>24</v>
      </c>
      <c r="R2808">
        <v>1.94</v>
      </c>
      <c r="S2808" t="s">
        <v>47</v>
      </c>
      <c r="T2808" t="str">
        <f t="shared" si="86"/>
        <v>High</v>
      </c>
      <c r="U2808" t="str">
        <f t="shared" si="87"/>
        <v>Expert</v>
      </c>
    </row>
    <row r="2809" spans="1:21" x14ac:dyDescent="0.35">
      <c r="A2809" t="s">
        <v>2882</v>
      </c>
      <c r="B2809" t="s">
        <v>20</v>
      </c>
      <c r="C2809" t="s">
        <v>107</v>
      </c>
      <c r="D2809" t="s">
        <v>40</v>
      </c>
      <c r="E2809" t="s">
        <v>70</v>
      </c>
      <c r="F2809">
        <v>22</v>
      </c>
      <c r="G2809">
        <v>0.55000000000000004</v>
      </c>
      <c r="H2809">
        <v>0.38</v>
      </c>
      <c r="I2809" t="s">
        <v>34</v>
      </c>
      <c r="J2809">
        <v>61630</v>
      </c>
      <c r="K2809" t="s">
        <v>27</v>
      </c>
      <c r="L2809">
        <v>-9</v>
      </c>
      <c r="M2809">
        <v>55</v>
      </c>
      <c r="N2809" t="s">
        <v>35</v>
      </c>
      <c r="O2809" t="s">
        <v>27</v>
      </c>
      <c r="P2809">
        <v>3.88</v>
      </c>
      <c r="Q2809" t="s">
        <v>24</v>
      </c>
      <c r="R2809">
        <v>4.1100000000000003</v>
      </c>
      <c r="S2809" t="s">
        <v>47</v>
      </c>
      <c r="T2809" t="str">
        <f t="shared" si="86"/>
        <v>Moderate</v>
      </c>
      <c r="U2809" t="str">
        <f t="shared" si="87"/>
        <v>Expert</v>
      </c>
    </row>
    <row r="2810" spans="1:21" x14ac:dyDescent="0.35">
      <c r="A2810" t="s">
        <v>2883</v>
      </c>
      <c r="B2810" t="s">
        <v>91</v>
      </c>
      <c r="C2810" t="s">
        <v>39</v>
      </c>
      <c r="D2810" t="s">
        <v>40</v>
      </c>
      <c r="E2810" t="s">
        <v>33</v>
      </c>
      <c r="F2810">
        <v>22</v>
      </c>
      <c r="G2810">
        <v>0.24</v>
      </c>
      <c r="H2810">
        <v>0.85</v>
      </c>
      <c r="I2810" t="s">
        <v>60</v>
      </c>
      <c r="J2810">
        <v>95349</v>
      </c>
      <c r="K2810" t="s">
        <v>42</v>
      </c>
      <c r="L2810">
        <v>40</v>
      </c>
      <c r="M2810">
        <v>52</v>
      </c>
      <c r="N2810" t="s">
        <v>35</v>
      </c>
      <c r="O2810" t="s">
        <v>36</v>
      </c>
      <c r="P2810">
        <v>3.65</v>
      </c>
      <c r="Q2810" t="s">
        <v>24</v>
      </c>
      <c r="R2810">
        <v>4.08</v>
      </c>
      <c r="S2810" t="s">
        <v>28</v>
      </c>
      <c r="T2810" t="str">
        <f t="shared" si="86"/>
        <v>Very High</v>
      </c>
      <c r="U2810" t="str">
        <f t="shared" si="87"/>
        <v>Expert</v>
      </c>
    </row>
    <row r="2811" spans="1:21" x14ac:dyDescent="0.35">
      <c r="A2811" t="s">
        <v>2884</v>
      </c>
      <c r="B2811" t="s">
        <v>65</v>
      </c>
      <c r="C2811" t="s">
        <v>58</v>
      </c>
      <c r="D2811" t="s">
        <v>22</v>
      </c>
      <c r="E2811" t="s">
        <v>33</v>
      </c>
      <c r="F2811">
        <v>16</v>
      </c>
      <c r="G2811">
        <v>0.63</v>
      </c>
      <c r="H2811">
        <v>0.31</v>
      </c>
      <c r="I2811" t="s">
        <v>24</v>
      </c>
      <c r="J2811">
        <v>156085</v>
      </c>
      <c r="K2811" t="s">
        <v>27</v>
      </c>
      <c r="L2811">
        <v>32</v>
      </c>
      <c r="M2811">
        <v>48</v>
      </c>
      <c r="N2811" t="s">
        <v>26</v>
      </c>
      <c r="O2811" t="s">
        <v>36</v>
      </c>
      <c r="P2811">
        <v>2.63</v>
      </c>
      <c r="Q2811" t="s">
        <v>24</v>
      </c>
      <c r="R2811">
        <v>3.52</v>
      </c>
      <c r="S2811" t="s">
        <v>43</v>
      </c>
      <c r="T2811" t="str">
        <f t="shared" si="86"/>
        <v>Moderate</v>
      </c>
      <c r="U2811" t="str">
        <f t="shared" si="87"/>
        <v>Expert</v>
      </c>
    </row>
    <row r="2812" spans="1:21" x14ac:dyDescent="0.35">
      <c r="A2812" t="s">
        <v>2885</v>
      </c>
      <c r="B2812" t="s">
        <v>73</v>
      </c>
      <c r="C2812" t="s">
        <v>39</v>
      </c>
      <c r="D2812" t="s">
        <v>80</v>
      </c>
      <c r="E2812" t="s">
        <v>41</v>
      </c>
      <c r="F2812">
        <v>12</v>
      </c>
      <c r="G2812">
        <v>0.46</v>
      </c>
      <c r="H2812">
        <v>0.53</v>
      </c>
      <c r="I2812" t="s">
        <v>60</v>
      </c>
      <c r="J2812">
        <v>81516</v>
      </c>
      <c r="K2812" t="s">
        <v>25</v>
      </c>
      <c r="L2812">
        <v>26</v>
      </c>
      <c r="M2812">
        <v>54</v>
      </c>
      <c r="N2812" t="s">
        <v>42</v>
      </c>
      <c r="O2812" t="s">
        <v>27</v>
      </c>
      <c r="P2812">
        <v>3.18</v>
      </c>
      <c r="Q2812" t="s">
        <v>24</v>
      </c>
      <c r="R2812">
        <v>2.87</v>
      </c>
      <c r="S2812" t="s">
        <v>43</v>
      </c>
      <c r="T2812" t="str">
        <f t="shared" si="86"/>
        <v>High</v>
      </c>
      <c r="U2812" t="str">
        <f t="shared" si="87"/>
        <v>Experienced</v>
      </c>
    </row>
    <row r="2813" spans="1:21" x14ac:dyDescent="0.35">
      <c r="A2813" t="s">
        <v>2886</v>
      </c>
      <c r="B2813" t="s">
        <v>30</v>
      </c>
      <c r="C2813" t="s">
        <v>31</v>
      </c>
      <c r="D2813" t="s">
        <v>32</v>
      </c>
      <c r="E2813" t="s">
        <v>23</v>
      </c>
      <c r="F2813">
        <v>24</v>
      </c>
      <c r="G2813">
        <v>0.54</v>
      </c>
      <c r="H2813">
        <v>0.26</v>
      </c>
      <c r="I2813" t="s">
        <v>24</v>
      </c>
      <c r="J2813">
        <v>57732</v>
      </c>
      <c r="K2813" t="s">
        <v>42</v>
      </c>
      <c r="L2813">
        <v>11</v>
      </c>
      <c r="M2813">
        <v>58</v>
      </c>
      <c r="N2813" t="s">
        <v>42</v>
      </c>
      <c r="O2813" t="s">
        <v>25</v>
      </c>
      <c r="P2813">
        <v>2.04</v>
      </c>
      <c r="Q2813" t="s">
        <v>24</v>
      </c>
      <c r="R2813">
        <v>4.97</v>
      </c>
      <c r="S2813" t="s">
        <v>28</v>
      </c>
      <c r="T2813" t="str">
        <f t="shared" si="86"/>
        <v>Moderate</v>
      </c>
      <c r="U2813" t="str">
        <f t="shared" si="87"/>
        <v>Expert</v>
      </c>
    </row>
    <row r="2814" spans="1:21" x14ac:dyDescent="0.35">
      <c r="A2814" t="s">
        <v>2887</v>
      </c>
      <c r="B2814" t="s">
        <v>156</v>
      </c>
      <c r="C2814" t="s">
        <v>82</v>
      </c>
      <c r="D2814" t="s">
        <v>32</v>
      </c>
      <c r="E2814" t="s">
        <v>23</v>
      </c>
      <c r="F2814">
        <v>25</v>
      </c>
      <c r="G2814">
        <v>0.35</v>
      </c>
      <c r="H2814">
        <v>0.44</v>
      </c>
      <c r="I2814" t="s">
        <v>24</v>
      </c>
      <c r="J2814">
        <v>88786</v>
      </c>
      <c r="K2814" t="s">
        <v>42</v>
      </c>
      <c r="L2814">
        <v>34</v>
      </c>
      <c r="M2814">
        <v>59</v>
      </c>
      <c r="N2814" t="s">
        <v>42</v>
      </c>
      <c r="O2814" t="s">
        <v>25</v>
      </c>
      <c r="P2814">
        <v>2.34</v>
      </c>
      <c r="Q2814" t="s">
        <v>34</v>
      </c>
      <c r="R2814">
        <v>4.37</v>
      </c>
      <c r="S2814" t="s">
        <v>47</v>
      </c>
      <c r="T2814" t="str">
        <f t="shared" si="86"/>
        <v>High</v>
      </c>
      <c r="U2814" t="str">
        <f t="shared" si="87"/>
        <v>Expert</v>
      </c>
    </row>
    <row r="2815" spans="1:21" x14ac:dyDescent="0.35">
      <c r="A2815" t="s">
        <v>2888</v>
      </c>
      <c r="B2815" t="s">
        <v>96</v>
      </c>
      <c r="C2815" t="s">
        <v>39</v>
      </c>
      <c r="D2815" t="s">
        <v>80</v>
      </c>
      <c r="E2815" t="s">
        <v>33</v>
      </c>
      <c r="F2815">
        <v>13</v>
      </c>
      <c r="G2815">
        <v>0.28999999999999998</v>
      </c>
      <c r="H2815">
        <v>0.43</v>
      </c>
      <c r="I2815" t="s">
        <v>34</v>
      </c>
      <c r="J2815">
        <v>131213</v>
      </c>
      <c r="K2815" t="s">
        <v>42</v>
      </c>
      <c r="L2815">
        <v>38</v>
      </c>
      <c r="M2815">
        <v>41</v>
      </c>
      <c r="N2815" t="s">
        <v>26</v>
      </c>
      <c r="O2815" t="s">
        <v>36</v>
      </c>
      <c r="P2815">
        <v>2.4</v>
      </c>
      <c r="Q2815" t="s">
        <v>34</v>
      </c>
      <c r="R2815">
        <v>2.86</v>
      </c>
      <c r="S2815" t="s">
        <v>28</v>
      </c>
      <c r="T2815" t="str">
        <f t="shared" si="86"/>
        <v>High</v>
      </c>
      <c r="U2815" t="str">
        <f t="shared" si="87"/>
        <v>Experienced</v>
      </c>
    </row>
    <row r="2816" spans="1:21" x14ac:dyDescent="0.35">
      <c r="A2816" t="s">
        <v>2889</v>
      </c>
      <c r="B2816" t="s">
        <v>91</v>
      </c>
      <c r="C2816" t="s">
        <v>31</v>
      </c>
      <c r="D2816" t="s">
        <v>75</v>
      </c>
      <c r="E2816" t="s">
        <v>23</v>
      </c>
      <c r="F2816">
        <v>25</v>
      </c>
      <c r="G2816">
        <v>0.88</v>
      </c>
      <c r="H2816">
        <v>0.95</v>
      </c>
      <c r="I2816" t="s">
        <v>60</v>
      </c>
      <c r="J2816">
        <v>116864</v>
      </c>
      <c r="K2816" t="s">
        <v>25</v>
      </c>
      <c r="L2816">
        <v>6</v>
      </c>
      <c r="M2816">
        <v>52</v>
      </c>
      <c r="N2816" t="s">
        <v>26</v>
      </c>
      <c r="O2816" t="s">
        <v>27</v>
      </c>
      <c r="P2816">
        <v>4.8600000000000003</v>
      </c>
      <c r="Q2816" t="s">
        <v>34</v>
      </c>
      <c r="R2816">
        <v>1.38</v>
      </c>
      <c r="S2816" t="s">
        <v>28</v>
      </c>
      <c r="T2816" t="str">
        <f t="shared" si="86"/>
        <v>High</v>
      </c>
      <c r="U2816" t="str">
        <f t="shared" si="87"/>
        <v>Expert</v>
      </c>
    </row>
    <row r="2817" spans="1:21" x14ac:dyDescent="0.35">
      <c r="A2817" t="s">
        <v>2890</v>
      </c>
      <c r="B2817" t="s">
        <v>96</v>
      </c>
      <c r="C2817" t="s">
        <v>58</v>
      </c>
      <c r="D2817" t="s">
        <v>63</v>
      </c>
      <c r="E2817" t="s">
        <v>33</v>
      </c>
      <c r="F2817">
        <v>24</v>
      </c>
      <c r="G2817">
        <v>0.74</v>
      </c>
      <c r="H2817">
        <v>0.57999999999999996</v>
      </c>
      <c r="I2817" t="s">
        <v>60</v>
      </c>
      <c r="J2817">
        <v>80602</v>
      </c>
      <c r="K2817" t="s">
        <v>25</v>
      </c>
      <c r="L2817">
        <v>24</v>
      </c>
      <c r="M2817">
        <v>59</v>
      </c>
      <c r="N2817" t="s">
        <v>35</v>
      </c>
      <c r="O2817" t="s">
        <v>25</v>
      </c>
      <c r="P2817">
        <v>4.3499999999999996</v>
      </c>
      <c r="Q2817" t="s">
        <v>24</v>
      </c>
      <c r="R2817">
        <v>1.1299999999999999</v>
      </c>
      <c r="S2817" t="s">
        <v>28</v>
      </c>
      <c r="T2817" t="str">
        <f t="shared" si="86"/>
        <v>Moderate</v>
      </c>
      <c r="U2817" t="str">
        <f t="shared" si="87"/>
        <v>Expert</v>
      </c>
    </row>
    <row r="2818" spans="1:21" x14ac:dyDescent="0.35">
      <c r="A2818" t="s">
        <v>2891</v>
      </c>
      <c r="B2818" t="s">
        <v>54</v>
      </c>
      <c r="C2818" t="s">
        <v>21</v>
      </c>
      <c r="D2818" t="s">
        <v>22</v>
      </c>
      <c r="E2818" t="s">
        <v>23</v>
      </c>
      <c r="F2818">
        <v>21</v>
      </c>
      <c r="G2818">
        <v>0.71</v>
      </c>
      <c r="H2818">
        <v>0.36</v>
      </c>
      <c r="I2818" t="s">
        <v>60</v>
      </c>
      <c r="J2818">
        <v>197606</v>
      </c>
      <c r="K2818" t="s">
        <v>25</v>
      </c>
      <c r="L2818">
        <v>3</v>
      </c>
      <c r="M2818">
        <v>59</v>
      </c>
      <c r="N2818" t="s">
        <v>35</v>
      </c>
      <c r="O2818" t="s">
        <v>25</v>
      </c>
      <c r="P2818">
        <v>2.95</v>
      </c>
      <c r="Q2818" t="s">
        <v>24</v>
      </c>
      <c r="R2818">
        <v>3.5</v>
      </c>
      <c r="S2818" t="s">
        <v>47</v>
      </c>
      <c r="T2818" t="str">
        <f t="shared" si="86"/>
        <v>Very Low</v>
      </c>
      <c r="U2818" t="str">
        <f t="shared" si="87"/>
        <v>Expert</v>
      </c>
    </row>
    <row r="2819" spans="1:21" x14ac:dyDescent="0.35">
      <c r="A2819" t="s">
        <v>2892</v>
      </c>
      <c r="B2819" t="s">
        <v>147</v>
      </c>
      <c r="C2819" t="s">
        <v>31</v>
      </c>
      <c r="D2819" t="s">
        <v>66</v>
      </c>
      <c r="E2819" t="s">
        <v>23</v>
      </c>
      <c r="F2819">
        <v>5</v>
      </c>
      <c r="G2819">
        <v>0.31</v>
      </c>
      <c r="H2819">
        <v>0.49</v>
      </c>
      <c r="I2819" t="s">
        <v>34</v>
      </c>
      <c r="J2819">
        <v>202965</v>
      </c>
      <c r="K2819" t="s">
        <v>27</v>
      </c>
      <c r="L2819">
        <v>21</v>
      </c>
      <c r="M2819">
        <v>52</v>
      </c>
      <c r="N2819" t="s">
        <v>26</v>
      </c>
      <c r="O2819" t="s">
        <v>25</v>
      </c>
      <c r="P2819">
        <v>2.87</v>
      </c>
      <c r="Q2819" t="s">
        <v>34</v>
      </c>
      <c r="R2819">
        <v>4.2699999999999996</v>
      </c>
      <c r="S2819" t="s">
        <v>28</v>
      </c>
      <c r="T2819" t="str">
        <f t="shared" ref="T2819:T2882" si="88">IF(AND(G2819&lt;0.4,H2819&gt;=0.7),"Very High",
IF(AND(G2819&gt;=0.7,H2819&lt;0.5),"Very Low",
IF(G2819&lt;H2819,"High","Moderate")))</f>
        <v>High</v>
      </c>
      <c r="U2819" t="str">
        <f t="shared" ref="U2819:U2882" si="89">_xlfn.IFS(F2819&lt;=2,"Beginner",F2819&lt;=8,"Intermediate",F2819&lt;=15,"Experienced",F2819&lt;=25,"Expert")</f>
        <v>Intermediate</v>
      </c>
    </row>
    <row r="2820" spans="1:21" x14ac:dyDescent="0.35">
      <c r="A2820" t="s">
        <v>2893</v>
      </c>
      <c r="B2820" t="s">
        <v>54</v>
      </c>
      <c r="C2820" t="s">
        <v>82</v>
      </c>
      <c r="D2820" t="s">
        <v>75</v>
      </c>
      <c r="E2820" t="s">
        <v>23</v>
      </c>
      <c r="F2820">
        <v>3</v>
      </c>
      <c r="G2820">
        <v>0.55000000000000004</v>
      </c>
      <c r="H2820">
        <v>0.55000000000000004</v>
      </c>
      <c r="I2820" t="s">
        <v>24</v>
      </c>
      <c r="J2820">
        <v>181481</v>
      </c>
      <c r="K2820" t="s">
        <v>42</v>
      </c>
      <c r="L2820">
        <v>17</v>
      </c>
      <c r="M2820">
        <v>49</v>
      </c>
      <c r="N2820" t="s">
        <v>26</v>
      </c>
      <c r="O2820" t="s">
        <v>25</v>
      </c>
      <c r="P2820">
        <v>2.57</v>
      </c>
      <c r="Q2820" t="s">
        <v>34</v>
      </c>
      <c r="R2820">
        <v>1.34</v>
      </c>
      <c r="S2820" t="s">
        <v>28</v>
      </c>
      <c r="T2820" t="str">
        <f t="shared" si="88"/>
        <v>Moderate</v>
      </c>
      <c r="U2820" t="str">
        <f t="shared" si="89"/>
        <v>Intermediate</v>
      </c>
    </row>
    <row r="2821" spans="1:21" x14ac:dyDescent="0.35">
      <c r="A2821" t="s">
        <v>2894</v>
      </c>
      <c r="B2821" t="s">
        <v>38</v>
      </c>
      <c r="C2821" t="s">
        <v>58</v>
      </c>
      <c r="D2821" t="s">
        <v>22</v>
      </c>
      <c r="E2821" t="s">
        <v>41</v>
      </c>
      <c r="F2821">
        <v>5</v>
      </c>
      <c r="G2821">
        <v>0.49</v>
      </c>
      <c r="H2821">
        <v>0.88</v>
      </c>
      <c r="I2821" t="s">
        <v>60</v>
      </c>
      <c r="J2821">
        <v>159433</v>
      </c>
      <c r="K2821" t="s">
        <v>25</v>
      </c>
      <c r="L2821">
        <v>1</v>
      </c>
      <c r="M2821">
        <v>60</v>
      </c>
      <c r="N2821" t="s">
        <v>35</v>
      </c>
      <c r="O2821" t="s">
        <v>25</v>
      </c>
      <c r="P2821">
        <v>4.6900000000000004</v>
      </c>
      <c r="Q2821" t="s">
        <v>24</v>
      </c>
      <c r="R2821">
        <v>2.2599999999999998</v>
      </c>
      <c r="S2821" t="s">
        <v>28</v>
      </c>
      <c r="T2821" t="str">
        <f t="shared" si="88"/>
        <v>High</v>
      </c>
      <c r="U2821" t="str">
        <f t="shared" si="89"/>
        <v>Intermediate</v>
      </c>
    </row>
    <row r="2822" spans="1:21" x14ac:dyDescent="0.35">
      <c r="A2822" t="s">
        <v>2895</v>
      </c>
      <c r="B2822" t="s">
        <v>51</v>
      </c>
      <c r="C2822" t="s">
        <v>82</v>
      </c>
      <c r="D2822" t="s">
        <v>63</v>
      </c>
      <c r="E2822" t="s">
        <v>41</v>
      </c>
      <c r="F2822">
        <v>19</v>
      </c>
      <c r="G2822">
        <v>0.12</v>
      </c>
      <c r="H2822">
        <v>0.34</v>
      </c>
      <c r="I2822" t="s">
        <v>24</v>
      </c>
      <c r="J2822">
        <v>131914</v>
      </c>
      <c r="K2822" t="s">
        <v>25</v>
      </c>
      <c r="L2822">
        <v>10</v>
      </c>
      <c r="M2822">
        <v>43</v>
      </c>
      <c r="N2822" t="s">
        <v>35</v>
      </c>
      <c r="O2822" t="s">
        <v>27</v>
      </c>
      <c r="P2822">
        <v>4.5999999999999996</v>
      </c>
      <c r="Q2822" t="s">
        <v>34</v>
      </c>
      <c r="R2822">
        <v>1.92</v>
      </c>
      <c r="S2822" t="s">
        <v>28</v>
      </c>
      <c r="T2822" t="str">
        <f t="shared" si="88"/>
        <v>High</v>
      </c>
      <c r="U2822" t="str">
        <f t="shared" si="89"/>
        <v>Expert</v>
      </c>
    </row>
    <row r="2823" spans="1:21" x14ac:dyDescent="0.35">
      <c r="A2823" t="s">
        <v>2896</v>
      </c>
      <c r="B2823" t="s">
        <v>147</v>
      </c>
      <c r="C2823" t="s">
        <v>82</v>
      </c>
      <c r="D2823" t="s">
        <v>75</v>
      </c>
      <c r="E2823" t="s">
        <v>41</v>
      </c>
      <c r="F2823">
        <v>8</v>
      </c>
      <c r="G2823">
        <v>0.7</v>
      </c>
      <c r="H2823">
        <v>0.28000000000000003</v>
      </c>
      <c r="I2823" t="s">
        <v>24</v>
      </c>
      <c r="J2823">
        <v>73982</v>
      </c>
      <c r="K2823" t="s">
        <v>25</v>
      </c>
      <c r="L2823">
        <v>-8</v>
      </c>
      <c r="M2823">
        <v>48</v>
      </c>
      <c r="N2823" t="s">
        <v>35</v>
      </c>
      <c r="O2823" t="s">
        <v>27</v>
      </c>
      <c r="P2823">
        <v>2.4700000000000002</v>
      </c>
      <c r="Q2823" t="s">
        <v>24</v>
      </c>
      <c r="R2823">
        <v>1.61</v>
      </c>
      <c r="S2823" t="s">
        <v>43</v>
      </c>
      <c r="T2823" t="str">
        <f t="shared" si="88"/>
        <v>Very Low</v>
      </c>
      <c r="U2823" t="str">
        <f t="shared" si="89"/>
        <v>Intermediate</v>
      </c>
    </row>
    <row r="2824" spans="1:21" x14ac:dyDescent="0.35">
      <c r="A2824" t="s">
        <v>2897</v>
      </c>
      <c r="B2824" t="s">
        <v>77</v>
      </c>
      <c r="C2824" t="s">
        <v>31</v>
      </c>
      <c r="D2824" t="s">
        <v>75</v>
      </c>
      <c r="E2824" t="s">
        <v>33</v>
      </c>
      <c r="F2824">
        <v>15</v>
      </c>
      <c r="G2824">
        <v>0.22</v>
      </c>
      <c r="H2824">
        <v>0.28000000000000003</v>
      </c>
      <c r="I2824" t="s">
        <v>34</v>
      </c>
      <c r="J2824">
        <v>74430</v>
      </c>
      <c r="K2824" t="s">
        <v>25</v>
      </c>
      <c r="L2824">
        <v>3</v>
      </c>
      <c r="M2824">
        <v>45</v>
      </c>
      <c r="N2824" t="s">
        <v>42</v>
      </c>
      <c r="O2824" t="s">
        <v>27</v>
      </c>
      <c r="P2824">
        <v>3.61</v>
      </c>
      <c r="Q2824" t="s">
        <v>34</v>
      </c>
      <c r="R2824">
        <v>3.12</v>
      </c>
      <c r="S2824" t="s">
        <v>43</v>
      </c>
      <c r="T2824" t="str">
        <f t="shared" si="88"/>
        <v>High</v>
      </c>
      <c r="U2824" t="str">
        <f t="shared" si="89"/>
        <v>Experienced</v>
      </c>
    </row>
    <row r="2825" spans="1:21" x14ac:dyDescent="0.35">
      <c r="A2825" t="s">
        <v>2898</v>
      </c>
      <c r="B2825" t="s">
        <v>77</v>
      </c>
      <c r="C2825" t="s">
        <v>82</v>
      </c>
      <c r="D2825" t="s">
        <v>75</v>
      </c>
      <c r="E2825" t="s">
        <v>70</v>
      </c>
      <c r="F2825">
        <v>19</v>
      </c>
      <c r="G2825">
        <v>0.55000000000000004</v>
      </c>
      <c r="H2825">
        <v>0.84</v>
      </c>
      <c r="I2825" t="s">
        <v>60</v>
      </c>
      <c r="J2825">
        <v>47900</v>
      </c>
      <c r="K2825" t="s">
        <v>42</v>
      </c>
      <c r="L2825">
        <v>12</v>
      </c>
      <c r="M2825">
        <v>37</v>
      </c>
      <c r="N2825" t="s">
        <v>26</v>
      </c>
      <c r="O2825" t="s">
        <v>36</v>
      </c>
      <c r="P2825">
        <v>2.27</v>
      </c>
      <c r="Q2825" t="s">
        <v>34</v>
      </c>
      <c r="R2825">
        <v>1.1599999999999999</v>
      </c>
      <c r="S2825" t="s">
        <v>43</v>
      </c>
      <c r="T2825" t="str">
        <f t="shared" si="88"/>
        <v>High</v>
      </c>
      <c r="U2825" t="str">
        <f t="shared" si="89"/>
        <v>Expert</v>
      </c>
    </row>
    <row r="2826" spans="1:21" x14ac:dyDescent="0.35">
      <c r="A2826" t="s">
        <v>2899</v>
      </c>
      <c r="B2826" t="s">
        <v>20</v>
      </c>
      <c r="C2826" t="s">
        <v>107</v>
      </c>
      <c r="D2826" t="s">
        <v>22</v>
      </c>
      <c r="E2826" t="s">
        <v>23</v>
      </c>
      <c r="F2826">
        <v>5</v>
      </c>
      <c r="G2826">
        <v>0.09</v>
      </c>
      <c r="H2826">
        <v>0.56000000000000005</v>
      </c>
      <c r="I2826" t="s">
        <v>24</v>
      </c>
      <c r="J2826">
        <v>75768</v>
      </c>
      <c r="K2826" t="s">
        <v>42</v>
      </c>
      <c r="L2826">
        <v>20</v>
      </c>
      <c r="M2826">
        <v>55</v>
      </c>
      <c r="N2826" t="s">
        <v>26</v>
      </c>
      <c r="O2826" t="s">
        <v>27</v>
      </c>
      <c r="P2826">
        <v>4.12</v>
      </c>
      <c r="Q2826" t="s">
        <v>24</v>
      </c>
      <c r="R2826">
        <v>1.52</v>
      </c>
      <c r="S2826" t="s">
        <v>47</v>
      </c>
      <c r="T2826" t="str">
        <f t="shared" si="88"/>
        <v>High</v>
      </c>
      <c r="U2826" t="str">
        <f t="shared" si="89"/>
        <v>Intermediate</v>
      </c>
    </row>
    <row r="2827" spans="1:21" x14ac:dyDescent="0.35">
      <c r="A2827" t="s">
        <v>2900</v>
      </c>
      <c r="B2827" t="s">
        <v>54</v>
      </c>
      <c r="C2827" t="s">
        <v>31</v>
      </c>
      <c r="D2827" t="s">
        <v>22</v>
      </c>
      <c r="E2827" t="s">
        <v>70</v>
      </c>
      <c r="F2827">
        <v>10</v>
      </c>
      <c r="G2827">
        <v>0.22</v>
      </c>
      <c r="H2827">
        <v>0.57999999999999996</v>
      </c>
      <c r="I2827" t="s">
        <v>60</v>
      </c>
      <c r="J2827">
        <v>127732</v>
      </c>
      <c r="K2827" t="s">
        <v>25</v>
      </c>
      <c r="L2827">
        <v>5</v>
      </c>
      <c r="M2827">
        <v>51</v>
      </c>
      <c r="N2827" t="s">
        <v>35</v>
      </c>
      <c r="O2827" t="s">
        <v>36</v>
      </c>
      <c r="P2827">
        <v>3.73</v>
      </c>
      <c r="Q2827" t="s">
        <v>24</v>
      </c>
      <c r="R2827">
        <v>2.3199999999999998</v>
      </c>
      <c r="S2827" t="s">
        <v>43</v>
      </c>
      <c r="T2827" t="str">
        <f t="shared" si="88"/>
        <v>High</v>
      </c>
      <c r="U2827" t="str">
        <f t="shared" si="89"/>
        <v>Experienced</v>
      </c>
    </row>
    <row r="2828" spans="1:21" x14ac:dyDescent="0.35">
      <c r="A2828" t="s">
        <v>2901</v>
      </c>
      <c r="B2828" t="s">
        <v>156</v>
      </c>
      <c r="C2828" t="s">
        <v>107</v>
      </c>
      <c r="D2828" t="s">
        <v>63</v>
      </c>
      <c r="E2828" t="s">
        <v>41</v>
      </c>
      <c r="F2828">
        <v>13</v>
      </c>
      <c r="G2828">
        <v>0.65</v>
      </c>
      <c r="H2828">
        <v>0.61</v>
      </c>
      <c r="I2828" t="s">
        <v>24</v>
      </c>
      <c r="J2828">
        <v>177727</v>
      </c>
      <c r="K2828" t="s">
        <v>27</v>
      </c>
      <c r="L2828">
        <v>-10</v>
      </c>
      <c r="M2828">
        <v>42</v>
      </c>
      <c r="N2828" t="s">
        <v>42</v>
      </c>
      <c r="O2828" t="s">
        <v>25</v>
      </c>
      <c r="P2828">
        <v>3.21</v>
      </c>
      <c r="Q2828" t="s">
        <v>34</v>
      </c>
      <c r="R2828">
        <v>3.49</v>
      </c>
      <c r="S2828" t="s">
        <v>43</v>
      </c>
      <c r="T2828" t="str">
        <f t="shared" si="88"/>
        <v>Moderate</v>
      </c>
      <c r="U2828" t="str">
        <f t="shared" si="89"/>
        <v>Experienced</v>
      </c>
    </row>
    <row r="2829" spans="1:21" x14ac:dyDescent="0.35">
      <c r="A2829" t="s">
        <v>2902</v>
      </c>
      <c r="B2829" t="s">
        <v>68</v>
      </c>
      <c r="C2829" t="s">
        <v>107</v>
      </c>
      <c r="D2829" t="s">
        <v>69</v>
      </c>
      <c r="E2829" t="s">
        <v>70</v>
      </c>
      <c r="F2829">
        <v>17</v>
      </c>
      <c r="G2829">
        <v>0.47</v>
      </c>
      <c r="H2829">
        <v>0.31</v>
      </c>
      <c r="I2829" t="s">
        <v>24</v>
      </c>
      <c r="J2829">
        <v>191815</v>
      </c>
      <c r="K2829" t="s">
        <v>25</v>
      </c>
      <c r="L2829">
        <v>15</v>
      </c>
      <c r="M2829">
        <v>32</v>
      </c>
      <c r="N2829" t="s">
        <v>42</v>
      </c>
      <c r="O2829" t="s">
        <v>27</v>
      </c>
      <c r="P2829">
        <v>4</v>
      </c>
      <c r="Q2829" t="s">
        <v>34</v>
      </c>
      <c r="R2829">
        <v>2.21</v>
      </c>
      <c r="S2829" t="s">
        <v>47</v>
      </c>
      <c r="T2829" t="str">
        <f t="shared" si="88"/>
        <v>Moderate</v>
      </c>
      <c r="U2829" t="str">
        <f t="shared" si="89"/>
        <v>Expert</v>
      </c>
    </row>
    <row r="2830" spans="1:21" x14ac:dyDescent="0.35">
      <c r="A2830" t="s">
        <v>2903</v>
      </c>
      <c r="B2830" t="s">
        <v>54</v>
      </c>
      <c r="C2830" t="s">
        <v>55</v>
      </c>
      <c r="D2830" t="s">
        <v>66</v>
      </c>
      <c r="E2830" t="s">
        <v>41</v>
      </c>
      <c r="F2830">
        <v>20</v>
      </c>
      <c r="G2830">
        <v>7.0000000000000007E-2</v>
      </c>
      <c r="H2830">
        <v>0.85</v>
      </c>
      <c r="I2830" t="s">
        <v>34</v>
      </c>
      <c r="J2830">
        <v>166993</v>
      </c>
      <c r="K2830" t="s">
        <v>27</v>
      </c>
      <c r="L2830">
        <v>1</v>
      </c>
      <c r="M2830">
        <v>55</v>
      </c>
      <c r="N2830" t="s">
        <v>35</v>
      </c>
      <c r="O2830" t="s">
        <v>27</v>
      </c>
      <c r="P2830">
        <v>2.67</v>
      </c>
      <c r="Q2830" t="s">
        <v>34</v>
      </c>
      <c r="R2830">
        <v>3.85</v>
      </c>
      <c r="S2830" t="s">
        <v>47</v>
      </c>
      <c r="T2830" t="str">
        <f t="shared" si="88"/>
        <v>Very High</v>
      </c>
      <c r="U2830" t="str">
        <f t="shared" si="89"/>
        <v>Expert</v>
      </c>
    </row>
    <row r="2831" spans="1:21" x14ac:dyDescent="0.35">
      <c r="A2831" t="s">
        <v>2904</v>
      </c>
      <c r="B2831" t="s">
        <v>65</v>
      </c>
      <c r="C2831" t="s">
        <v>52</v>
      </c>
      <c r="D2831" t="s">
        <v>59</v>
      </c>
      <c r="E2831" t="s">
        <v>23</v>
      </c>
      <c r="F2831">
        <v>19</v>
      </c>
      <c r="G2831">
        <v>0.11</v>
      </c>
      <c r="H2831">
        <v>0.72</v>
      </c>
      <c r="I2831" t="s">
        <v>24</v>
      </c>
      <c r="J2831">
        <v>108659</v>
      </c>
      <c r="K2831" t="s">
        <v>27</v>
      </c>
      <c r="L2831">
        <v>37</v>
      </c>
      <c r="M2831">
        <v>31</v>
      </c>
      <c r="N2831" t="s">
        <v>42</v>
      </c>
      <c r="O2831" t="s">
        <v>27</v>
      </c>
      <c r="P2831">
        <v>2.76</v>
      </c>
      <c r="Q2831" t="s">
        <v>24</v>
      </c>
      <c r="R2831">
        <v>2.9</v>
      </c>
      <c r="S2831" t="s">
        <v>28</v>
      </c>
      <c r="T2831" t="str">
        <f t="shared" si="88"/>
        <v>Very High</v>
      </c>
      <c r="U2831" t="str">
        <f t="shared" si="89"/>
        <v>Expert</v>
      </c>
    </row>
    <row r="2832" spans="1:21" x14ac:dyDescent="0.35">
      <c r="A2832" t="s">
        <v>2905</v>
      </c>
      <c r="B2832" t="s">
        <v>94</v>
      </c>
      <c r="C2832" t="s">
        <v>21</v>
      </c>
      <c r="D2832" t="s">
        <v>75</v>
      </c>
      <c r="E2832" t="s">
        <v>70</v>
      </c>
      <c r="F2832">
        <v>10</v>
      </c>
      <c r="G2832">
        <v>0.6</v>
      </c>
      <c r="H2832">
        <v>0.26</v>
      </c>
      <c r="I2832" t="s">
        <v>34</v>
      </c>
      <c r="J2832">
        <v>72074</v>
      </c>
      <c r="K2832" t="s">
        <v>25</v>
      </c>
      <c r="L2832">
        <v>31</v>
      </c>
      <c r="M2832">
        <v>32</v>
      </c>
      <c r="N2832" t="s">
        <v>42</v>
      </c>
      <c r="O2832" t="s">
        <v>36</v>
      </c>
      <c r="P2832">
        <v>4.05</v>
      </c>
      <c r="Q2832" t="s">
        <v>34</v>
      </c>
      <c r="R2832">
        <v>1.42</v>
      </c>
      <c r="S2832" t="s">
        <v>47</v>
      </c>
      <c r="T2832" t="str">
        <f t="shared" si="88"/>
        <v>Moderate</v>
      </c>
      <c r="U2832" t="str">
        <f t="shared" si="89"/>
        <v>Experienced</v>
      </c>
    </row>
    <row r="2833" spans="1:21" x14ac:dyDescent="0.35">
      <c r="A2833" t="s">
        <v>2906</v>
      </c>
      <c r="B2833" t="s">
        <v>38</v>
      </c>
      <c r="C2833" t="s">
        <v>46</v>
      </c>
      <c r="D2833" t="s">
        <v>49</v>
      </c>
      <c r="E2833" t="s">
        <v>41</v>
      </c>
      <c r="F2833">
        <v>13</v>
      </c>
      <c r="G2833">
        <v>0.78</v>
      </c>
      <c r="H2833">
        <v>0.35</v>
      </c>
      <c r="I2833" t="s">
        <v>60</v>
      </c>
      <c r="J2833">
        <v>153927</v>
      </c>
      <c r="K2833" t="s">
        <v>42</v>
      </c>
      <c r="L2833">
        <v>22</v>
      </c>
      <c r="M2833">
        <v>50</v>
      </c>
      <c r="N2833" t="s">
        <v>35</v>
      </c>
      <c r="O2833" t="s">
        <v>27</v>
      </c>
      <c r="P2833">
        <v>3.21</v>
      </c>
      <c r="Q2833" t="s">
        <v>24</v>
      </c>
      <c r="R2833">
        <v>1.42</v>
      </c>
      <c r="S2833" t="s">
        <v>28</v>
      </c>
      <c r="T2833" t="str">
        <f t="shared" si="88"/>
        <v>Very Low</v>
      </c>
      <c r="U2833" t="str">
        <f t="shared" si="89"/>
        <v>Experienced</v>
      </c>
    </row>
    <row r="2834" spans="1:21" x14ac:dyDescent="0.35">
      <c r="A2834" t="s">
        <v>2907</v>
      </c>
      <c r="B2834" t="s">
        <v>30</v>
      </c>
      <c r="C2834" t="s">
        <v>31</v>
      </c>
      <c r="D2834" t="s">
        <v>63</v>
      </c>
      <c r="E2834" t="s">
        <v>23</v>
      </c>
      <c r="F2834">
        <v>9</v>
      </c>
      <c r="G2834">
        <v>0.13</v>
      </c>
      <c r="H2834">
        <v>0.71</v>
      </c>
      <c r="I2834" t="s">
        <v>34</v>
      </c>
      <c r="J2834">
        <v>163394</v>
      </c>
      <c r="K2834" t="s">
        <v>27</v>
      </c>
      <c r="L2834">
        <v>19</v>
      </c>
      <c r="M2834">
        <v>30</v>
      </c>
      <c r="N2834" t="s">
        <v>42</v>
      </c>
      <c r="O2834" t="s">
        <v>25</v>
      </c>
      <c r="P2834">
        <v>3.56</v>
      </c>
      <c r="Q2834" t="s">
        <v>34</v>
      </c>
      <c r="R2834">
        <v>3.95</v>
      </c>
      <c r="S2834" t="s">
        <v>28</v>
      </c>
      <c r="T2834" t="str">
        <f t="shared" si="88"/>
        <v>Very High</v>
      </c>
      <c r="U2834" t="str">
        <f t="shared" si="89"/>
        <v>Experienced</v>
      </c>
    </row>
    <row r="2835" spans="1:21" x14ac:dyDescent="0.35">
      <c r="A2835" t="s">
        <v>2908</v>
      </c>
      <c r="B2835" t="s">
        <v>91</v>
      </c>
      <c r="C2835" t="s">
        <v>74</v>
      </c>
      <c r="D2835" t="s">
        <v>66</v>
      </c>
      <c r="E2835" t="s">
        <v>41</v>
      </c>
      <c r="F2835">
        <v>2</v>
      </c>
      <c r="G2835">
        <v>0.73</v>
      </c>
      <c r="H2835">
        <v>0.77</v>
      </c>
      <c r="I2835" t="s">
        <v>60</v>
      </c>
      <c r="J2835">
        <v>73681</v>
      </c>
      <c r="K2835" t="s">
        <v>42</v>
      </c>
      <c r="L2835">
        <v>17</v>
      </c>
      <c r="M2835">
        <v>41</v>
      </c>
      <c r="N2835" t="s">
        <v>35</v>
      </c>
      <c r="O2835" t="s">
        <v>36</v>
      </c>
      <c r="P2835">
        <v>3.36</v>
      </c>
      <c r="Q2835" t="s">
        <v>24</v>
      </c>
      <c r="R2835">
        <v>4.72</v>
      </c>
      <c r="S2835" t="s">
        <v>43</v>
      </c>
      <c r="T2835" t="str">
        <f t="shared" si="88"/>
        <v>High</v>
      </c>
      <c r="U2835" t="str">
        <f t="shared" si="89"/>
        <v>Beginner</v>
      </c>
    </row>
    <row r="2836" spans="1:21" x14ac:dyDescent="0.35">
      <c r="A2836" t="s">
        <v>2909</v>
      </c>
      <c r="B2836" t="s">
        <v>147</v>
      </c>
      <c r="C2836" t="s">
        <v>82</v>
      </c>
      <c r="D2836" t="s">
        <v>49</v>
      </c>
      <c r="E2836" t="s">
        <v>33</v>
      </c>
      <c r="F2836">
        <v>0</v>
      </c>
      <c r="G2836">
        <v>0.56000000000000005</v>
      </c>
      <c r="H2836">
        <v>0.26</v>
      </c>
      <c r="I2836" t="s">
        <v>24</v>
      </c>
      <c r="J2836">
        <v>44899</v>
      </c>
      <c r="K2836" t="s">
        <v>27</v>
      </c>
      <c r="L2836">
        <v>10</v>
      </c>
      <c r="M2836">
        <v>38</v>
      </c>
      <c r="N2836" t="s">
        <v>42</v>
      </c>
      <c r="O2836" t="s">
        <v>25</v>
      </c>
      <c r="P2836">
        <v>4.45</v>
      </c>
      <c r="Q2836" t="s">
        <v>34</v>
      </c>
      <c r="R2836">
        <v>3.88</v>
      </c>
      <c r="S2836" t="s">
        <v>43</v>
      </c>
      <c r="T2836" t="str">
        <f t="shared" si="88"/>
        <v>Moderate</v>
      </c>
      <c r="U2836" t="str">
        <f t="shared" si="89"/>
        <v>Beginner</v>
      </c>
    </row>
    <row r="2837" spans="1:21" x14ac:dyDescent="0.35">
      <c r="A2837" t="s">
        <v>2910</v>
      </c>
      <c r="B2837" t="s">
        <v>89</v>
      </c>
      <c r="C2837" t="s">
        <v>74</v>
      </c>
      <c r="D2837" t="s">
        <v>63</v>
      </c>
      <c r="E2837" t="s">
        <v>33</v>
      </c>
      <c r="F2837">
        <v>16</v>
      </c>
      <c r="G2837">
        <v>0.75</v>
      </c>
      <c r="H2837">
        <v>0.88</v>
      </c>
      <c r="I2837" t="s">
        <v>60</v>
      </c>
      <c r="J2837">
        <v>92587</v>
      </c>
      <c r="K2837" t="s">
        <v>25</v>
      </c>
      <c r="L2837">
        <v>36</v>
      </c>
      <c r="M2837">
        <v>55</v>
      </c>
      <c r="N2837" t="s">
        <v>35</v>
      </c>
      <c r="O2837" t="s">
        <v>25</v>
      </c>
      <c r="P2837">
        <v>3.96</v>
      </c>
      <c r="Q2837" t="s">
        <v>34</v>
      </c>
      <c r="R2837">
        <v>3.33</v>
      </c>
      <c r="S2837" t="s">
        <v>28</v>
      </c>
      <c r="T2837" t="str">
        <f t="shared" si="88"/>
        <v>High</v>
      </c>
      <c r="U2837" t="str">
        <f t="shared" si="89"/>
        <v>Expert</v>
      </c>
    </row>
    <row r="2838" spans="1:21" x14ac:dyDescent="0.35">
      <c r="A2838" t="s">
        <v>2911</v>
      </c>
      <c r="B2838" t="s">
        <v>51</v>
      </c>
      <c r="C2838" t="s">
        <v>58</v>
      </c>
      <c r="D2838" t="s">
        <v>69</v>
      </c>
      <c r="E2838" t="s">
        <v>23</v>
      </c>
      <c r="F2838">
        <v>13</v>
      </c>
      <c r="G2838">
        <v>0.56999999999999995</v>
      </c>
      <c r="H2838">
        <v>0.33</v>
      </c>
      <c r="I2838" t="s">
        <v>34</v>
      </c>
      <c r="J2838">
        <v>195197</v>
      </c>
      <c r="K2838" t="s">
        <v>25</v>
      </c>
      <c r="L2838">
        <v>6</v>
      </c>
      <c r="M2838">
        <v>45</v>
      </c>
      <c r="N2838" t="s">
        <v>26</v>
      </c>
      <c r="O2838" t="s">
        <v>36</v>
      </c>
      <c r="P2838">
        <v>4.75</v>
      </c>
      <c r="Q2838" t="s">
        <v>24</v>
      </c>
      <c r="R2838">
        <v>1.1399999999999999</v>
      </c>
      <c r="S2838" t="s">
        <v>47</v>
      </c>
      <c r="T2838" t="str">
        <f t="shared" si="88"/>
        <v>Moderate</v>
      </c>
      <c r="U2838" t="str">
        <f t="shared" si="89"/>
        <v>Experienced</v>
      </c>
    </row>
    <row r="2839" spans="1:21" x14ac:dyDescent="0.35">
      <c r="A2839" t="s">
        <v>2912</v>
      </c>
      <c r="B2839" t="s">
        <v>94</v>
      </c>
      <c r="C2839" t="s">
        <v>52</v>
      </c>
      <c r="D2839" t="s">
        <v>69</v>
      </c>
      <c r="E2839" t="s">
        <v>41</v>
      </c>
      <c r="F2839">
        <v>14</v>
      </c>
      <c r="G2839">
        <v>0.09</v>
      </c>
      <c r="H2839">
        <v>0.36</v>
      </c>
      <c r="I2839" t="s">
        <v>60</v>
      </c>
      <c r="J2839">
        <v>73988</v>
      </c>
      <c r="K2839" t="s">
        <v>25</v>
      </c>
      <c r="L2839">
        <v>22</v>
      </c>
      <c r="M2839">
        <v>52</v>
      </c>
      <c r="N2839" t="s">
        <v>26</v>
      </c>
      <c r="O2839" t="s">
        <v>36</v>
      </c>
      <c r="P2839">
        <v>4.3899999999999997</v>
      </c>
      <c r="Q2839" t="s">
        <v>34</v>
      </c>
      <c r="R2839">
        <v>3.78</v>
      </c>
      <c r="S2839" t="s">
        <v>28</v>
      </c>
      <c r="T2839" t="str">
        <f t="shared" si="88"/>
        <v>High</v>
      </c>
      <c r="U2839" t="str">
        <f t="shared" si="89"/>
        <v>Experienced</v>
      </c>
    </row>
    <row r="2840" spans="1:21" x14ac:dyDescent="0.35">
      <c r="A2840" t="s">
        <v>2913</v>
      </c>
      <c r="B2840" t="s">
        <v>156</v>
      </c>
      <c r="C2840" t="s">
        <v>82</v>
      </c>
      <c r="D2840" t="s">
        <v>22</v>
      </c>
      <c r="E2840" t="s">
        <v>70</v>
      </c>
      <c r="F2840">
        <v>24</v>
      </c>
      <c r="G2840">
        <v>0.68</v>
      </c>
      <c r="H2840">
        <v>0.81</v>
      </c>
      <c r="I2840" t="s">
        <v>24</v>
      </c>
      <c r="J2840">
        <v>120619</v>
      </c>
      <c r="K2840" t="s">
        <v>42</v>
      </c>
      <c r="L2840">
        <v>-7</v>
      </c>
      <c r="M2840">
        <v>54</v>
      </c>
      <c r="N2840" t="s">
        <v>35</v>
      </c>
      <c r="O2840" t="s">
        <v>25</v>
      </c>
      <c r="P2840">
        <v>2.4</v>
      </c>
      <c r="Q2840" t="s">
        <v>24</v>
      </c>
      <c r="R2840">
        <v>2.4500000000000002</v>
      </c>
      <c r="S2840" t="s">
        <v>47</v>
      </c>
      <c r="T2840" t="str">
        <f t="shared" si="88"/>
        <v>High</v>
      </c>
      <c r="U2840" t="str">
        <f t="shared" si="89"/>
        <v>Expert</v>
      </c>
    </row>
    <row r="2841" spans="1:21" x14ac:dyDescent="0.35">
      <c r="A2841" t="s">
        <v>2914</v>
      </c>
      <c r="B2841" t="s">
        <v>91</v>
      </c>
      <c r="C2841" t="s">
        <v>52</v>
      </c>
      <c r="D2841" t="s">
        <v>69</v>
      </c>
      <c r="E2841" t="s">
        <v>41</v>
      </c>
      <c r="F2841">
        <v>12</v>
      </c>
      <c r="G2841">
        <v>0.93</v>
      </c>
      <c r="H2841">
        <v>0.26</v>
      </c>
      <c r="I2841" t="s">
        <v>24</v>
      </c>
      <c r="J2841">
        <v>185278</v>
      </c>
      <c r="K2841" t="s">
        <v>42</v>
      </c>
      <c r="L2841">
        <v>-2</v>
      </c>
      <c r="M2841">
        <v>49</v>
      </c>
      <c r="N2841" t="s">
        <v>35</v>
      </c>
      <c r="O2841" t="s">
        <v>25</v>
      </c>
      <c r="P2841">
        <v>3.59</v>
      </c>
      <c r="Q2841" t="s">
        <v>24</v>
      </c>
      <c r="R2841">
        <v>4.28</v>
      </c>
      <c r="S2841" t="s">
        <v>47</v>
      </c>
      <c r="T2841" t="str">
        <f t="shared" si="88"/>
        <v>Very Low</v>
      </c>
      <c r="U2841" t="str">
        <f t="shared" si="89"/>
        <v>Experienced</v>
      </c>
    </row>
    <row r="2842" spans="1:21" x14ac:dyDescent="0.35">
      <c r="A2842" t="s">
        <v>2915</v>
      </c>
      <c r="B2842" t="s">
        <v>62</v>
      </c>
      <c r="C2842" t="s">
        <v>55</v>
      </c>
      <c r="D2842" t="s">
        <v>69</v>
      </c>
      <c r="E2842" t="s">
        <v>70</v>
      </c>
      <c r="F2842">
        <v>18</v>
      </c>
      <c r="G2842">
        <v>0.33</v>
      </c>
      <c r="H2842">
        <v>0.22</v>
      </c>
      <c r="I2842" t="s">
        <v>24</v>
      </c>
      <c r="J2842">
        <v>87946</v>
      </c>
      <c r="K2842" t="s">
        <v>42</v>
      </c>
      <c r="L2842">
        <v>37</v>
      </c>
      <c r="M2842">
        <v>40</v>
      </c>
      <c r="N2842" t="s">
        <v>35</v>
      </c>
      <c r="O2842" t="s">
        <v>36</v>
      </c>
      <c r="P2842">
        <v>3.64</v>
      </c>
      <c r="Q2842" t="s">
        <v>24</v>
      </c>
      <c r="R2842">
        <v>1.38</v>
      </c>
      <c r="S2842" t="s">
        <v>47</v>
      </c>
      <c r="T2842" t="str">
        <f t="shared" si="88"/>
        <v>Moderate</v>
      </c>
      <c r="U2842" t="str">
        <f t="shared" si="89"/>
        <v>Expert</v>
      </c>
    </row>
    <row r="2843" spans="1:21" x14ac:dyDescent="0.35">
      <c r="A2843" t="s">
        <v>2916</v>
      </c>
      <c r="B2843" t="s">
        <v>96</v>
      </c>
      <c r="C2843" t="s">
        <v>82</v>
      </c>
      <c r="D2843" t="s">
        <v>40</v>
      </c>
      <c r="E2843" t="s">
        <v>23</v>
      </c>
      <c r="F2843">
        <v>9</v>
      </c>
      <c r="G2843">
        <v>0.66</v>
      </c>
      <c r="H2843">
        <v>0.42</v>
      </c>
      <c r="I2843" t="s">
        <v>24</v>
      </c>
      <c r="J2843">
        <v>160721</v>
      </c>
      <c r="K2843" t="s">
        <v>27</v>
      </c>
      <c r="L2843">
        <v>-9</v>
      </c>
      <c r="M2843">
        <v>56</v>
      </c>
      <c r="N2843" t="s">
        <v>26</v>
      </c>
      <c r="O2843" t="s">
        <v>25</v>
      </c>
      <c r="P2843">
        <v>3.36</v>
      </c>
      <c r="Q2843" t="s">
        <v>24</v>
      </c>
      <c r="R2843">
        <v>2.19</v>
      </c>
      <c r="S2843" t="s">
        <v>43</v>
      </c>
      <c r="T2843" t="str">
        <f t="shared" si="88"/>
        <v>Moderate</v>
      </c>
      <c r="U2843" t="str">
        <f t="shared" si="89"/>
        <v>Experienced</v>
      </c>
    </row>
    <row r="2844" spans="1:21" x14ac:dyDescent="0.35">
      <c r="A2844" t="s">
        <v>2917</v>
      </c>
      <c r="B2844" t="s">
        <v>77</v>
      </c>
      <c r="C2844" t="s">
        <v>107</v>
      </c>
      <c r="D2844" t="s">
        <v>59</v>
      </c>
      <c r="E2844" t="s">
        <v>33</v>
      </c>
      <c r="F2844">
        <v>14</v>
      </c>
      <c r="G2844">
        <v>0.56999999999999995</v>
      </c>
      <c r="H2844">
        <v>0.35</v>
      </c>
      <c r="I2844" t="s">
        <v>60</v>
      </c>
      <c r="J2844">
        <v>79702</v>
      </c>
      <c r="K2844" t="s">
        <v>42</v>
      </c>
      <c r="L2844">
        <v>-8</v>
      </c>
      <c r="M2844">
        <v>35</v>
      </c>
      <c r="N2844" t="s">
        <v>26</v>
      </c>
      <c r="O2844" t="s">
        <v>36</v>
      </c>
      <c r="P2844">
        <v>4.09</v>
      </c>
      <c r="Q2844" t="s">
        <v>34</v>
      </c>
      <c r="R2844">
        <v>1.86</v>
      </c>
      <c r="S2844" t="s">
        <v>43</v>
      </c>
      <c r="T2844" t="str">
        <f t="shared" si="88"/>
        <v>Moderate</v>
      </c>
      <c r="U2844" t="str">
        <f t="shared" si="89"/>
        <v>Experienced</v>
      </c>
    </row>
    <row r="2845" spans="1:21" x14ac:dyDescent="0.35">
      <c r="A2845" t="s">
        <v>2918</v>
      </c>
      <c r="B2845" t="s">
        <v>45</v>
      </c>
      <c r="C2845" t="s">
        <v>31</v>
      </c>
      <c r="D2845" t="s">
        <v>22</v>
      </c>
      <c r="E2845" t="s">
        <v>70</v>
      </c>
      <c r="F2845">
        <v>4</v>
      </c>
      <c r="G2845">
        <v>0.64</v>
      </c>
      <c r="H2845">
        <v>0.73</v>
      </c>
      <c r="I2845" t="s">
        <v>34</v>
      </c>
      <c r="J2845">
        <v>178565</v>
      </c>
      <c r="K2845" t="s">
        <v>25</v>
      </c>
      <c r="L2845">
        <v>11</v>
      </c>
      <c r="M2845">
        <v>48</v>
      </c>
      <c r="N2845" t="s">
        <v>42</v>
      </c>
      <c r="O2845" t="s">
        <v>25</v>
      </c>
      <c r="P2845">
        <v>4.83</v>
      </c>
      <c r="Q2845" t="s">
        <v>24</v>
      </c>
      <c r="R2845">
        <v>4.09</v>
      </c>
      <c r="S2845" t="s">
        <v>43</v>
      </c>
      <c r="T2845" t="str">
        <f t="shared" si="88"/>
        <v>High</v>
      </c>
      <c r="U2845" t="str">
        <f t="shared" si="89"/>
        <v>Intermediate</v>
      </c>
    </row>
    <row r="2846" spans="1:21" x14ac:dyDescent="0.35">
      <c r="A2846" t="s">
        <v>2919</v>
      </c>
      <c r="B2846" t="s">
        <v>147</v>
      </c>
      <c r="C2846" t="s">
        <v>46</v>
      </c>
      <c r="D2846" t="s">
        <v>22</v>
      </c>
      <c r="E2846" t="s">
        <v>41</v>
      </c>
      <c r="F2846">
        <v>8</v>
      </c>
      <c r="G2846">
        <v>0.92</v>
      </c>
      <c r="H2846">
        <v>0.88</v>
      </c>
      <c r="I2846" t="s">
        <v>34</v>
      </c>
      <c r="J2846">
        <v>97158</v>
      </c>
      <c r="K2846" t="s">
        <v>25</v>
      </c>
      <c r="L2846">
        <v>39</v>
      </c>
      <c r="M2846">
        <v>59</v>
      </c>
      <c r="N2846" t="s">
        <v>35</v>
      </c>
      <c r="O2846" t="s">
        <v>25</v>
      </c>
      <c r="P2846">
        <v>2.41</v>
      </c>
      <c r="Q2846" t="s">
        <v>24</v>
      </c>
      <c r="R2846">
        <v>3.02</v>
      </c>
      <c r="S2846" t="s">
        <v>28</v>
      </c>
      <c r="T2846" t="str">
        <f t="shared" si="88"/>
        <v>Moderate</v>
      </c>
      <c r="U2846" t="str">
        <f t="shared" si="89"/>
        <v>Intermediate</v>
      </c>
    </row>
    <row r="2847" spans="1:21" x14ac:dyDescent="0.35">
      <c r="A2847" t="s">
        <v>2920</v>
      </c>
      <c r="B2847" t="s">
        <v>106</v>
      </c>
      <c r="C2847" t="s">
        <v>21</v>
      </c>
      <c r="D2847" t="s">
        <v>32</v>
      </c>
      <c r="E2847" t="s">
        <v>41</v>
      </c>
      <c r="F2847">
        <v>25</v>
      </c>
      <c r="G2847">
        <v>0.62</v>
      </c>
      <c r="H2847">
        <v>0.22</v>
      </c>
      <c r="I2847" t="s">
        <v>24</v>
      </c>
      <c r="J2847">
        <v>105506</v>
      </c>
      <c r="K2847" t="s">
        <v>25</v>
      </c>
      <c r="L2847">
        <v>8</v>
      </c>
      <c r="M2847">
        <v>43</v>
      </c>
      <c r="N2847" t="s">
        <v>26</v>
      </c>
      <c r="O2847" t="s">
        <v>36</v>
      </c>
      <c r="P2847">
        <v>3.83</v>
      </c>
      <c r="Q2847" t="s">
        <v>34</v>
      </c>
      <c r="R2847">
        <v>1.58</v>
      </c>
      <c r="S2847" t="s">
        <v>47</v>
      </c>
      <c r="T2847" t="str">
        <f t="shared" si="88"/>
        <v>Moderate</v>
      </c>
      <c r="U2847" t="str">
        <f t="shared" si="89"/>
        <v>Expert</v>
      </c>
    </row>
    <row r="2848" spans="1:21" x14ac:dyDescent="0.35">
      <c r="A2848" t="s">
        <v>2921</v>
      </c>
      <c r="B2848" t="s">
        <v>30</v>
      </c>
      <c r="C2848" t="s">
        <v>52</v>
      </c>
      <c r="D2848" t="s">
        <v>80</v>
      </c>
      <c r="E2848" t="s">
        <v>23</v>
      </c>
      <c r="F2848">
        <v>4</v>
      </c>
      <c r="G2848">
        <v>0.33</v>
      </c>
      <c r="H2848">
        <v>0.34</v>
      </c>
      <c r="I2848" t="s">
        <v>24</v>
      </c>
      <c r="J2848">
        <v>207657</v>
      </c>
      <c r="K2848" t="s">
        <v>25</v>
      </c>
      <c r="L2848">
        <v>29</v>
      </c>
      <c r="M2848">
        <v>31</v>
      </c>
      <c r="N2848" t="s">
        <v>26</v>
      </c>
      <c r="O2848" t="s">
        <v>27</v>
      </c>
      <c r="P2848">
        <v>2.97</v>
      </c>
      <c r="Q2848" t="s">
        <v>34</v>
      </c>
      <c r="R2848">
        <v>2.13</v>
      </c>
      <c r="S2848" t="s">
        <v>47</v>
      </c>
      <c r="T2848" t="str">
        <f t="shared" si="88"/>
        <v>High</v>
      </c>
      <c r="U2848" t="str">
        <f t="shared" si="89"/>
        <v>Intermediate</v>
      </c>
    </row>
    <row r="2849" spans="1:21" x14ac:dyDescent="0.35">
      <c r="A2849" t="s">
        <v>2922</v>
      </c>
      <c r="B2849" t="s">
        <v>102</v>
      </c>
      <c r="C2849" t="s">
        <v>52</v>
      </c>
      <c r="D2849" t="s">
        <v>22</v>
      </c>
      <c r="E2849" t="s">
        <v>41</v>
      </c>
      <c r="F2849">
        <v>14</v>
      </c>
      <c r="G2849">
        <v>0.24</v>
      </c>
      <c r="H2849">
        <v>0.78</v>
      </c>
      <c r="I2849" t="s">
        <v>24</v>
      </c>
      <c r="J2849">
        <v>192543</v>
      </c>
      <c r="K2849" t="s">
        <v>42</v>
      </c>
      <c r="L2849">
        <v>6</v>
      </c>
      <c r="M2849">
        <v>51</v>
      </c>
      <c r="N2849" t="s">
        <v>26</v>
      </c>
      <c r="O2849" t="s">
        <v>27</v>
      </c>
      <c r="P2849">
        <v>3.48</v>
      </c>
      <c r="Q2849" t="s">
        <v>24</v>
      </c>
      <c r="R2849">
        <v>2.34</v>
      </c>
      <c r="S2849" t="s">
        <v>28</v>
      </c>
      <c r="T2849" t="str">
        <f t="shared" si="88"/>
        <v>Very High</v>
      </c>
      <c r="U2849" t="str">
        <f t="shared" si="89"/>
        <v>Experienced</v>
      </c>
    </row>
    <row r="2850" spans="1:21" x14ac:dyDescent="0.35">
      <c r="A2850" t="s">
        <v>2923</v>
      </c>
      <c r="B2850" t="s">
        <v>62</v>
      </c>
      <c r="C2850" t="s">
        <v>107</v>
      </c>
      <c r="D2850" t="s">
        <v>49</v>
      </c>
      <c r="E2850" t="s">
        <v>41</v>
      </c>
      <c r="F2850">
        <v>1</v>
      </c>
      <c r="G2850">
        <v>0.84</v>
      </c>
      <c r="H2850">
        <v>0.7</v>
      </c>
      <c r="I2850" t="s">
        <v>34</v>
      </c>
      <c r="J2850">
        <v>44256</v>
      </c>
      <c r="K2850" t="s">
        <v>27</v>
      </c>
      <c r="L2850">
        <v>2</v>
      </c>
      <c r="M2850">
        <v>52</v>
      </c>
      <c r="N2850" t="s">
        <v>35</v>
      </c>
      <c r="O2850" t="s">
        <v>27</v>
      </c>
      <c r="P2850">
        <v>4.8499999999999996</v>
      </c>
      <c r="Q2850" t="s">
        <v>34</v>
      </c>
      <c r="R2850">
        <v>1.52</v>
      </c>
      <c r="S2850" t="s">
        <v>47</v>
      </c>
      <c r="T2850" t="str">
        <f t="shared" si="88"/>
        <v>Moderate</v>
      </c>
      <c r="U2850" t="str">
        <f t="shared" si="89"/>
        <v>Beginner</v>
      </c>
    </row>
    <row r="2851" spans="1:21" x14ac:dyDescent="0.35">
      <c r="A2851" t="s">
        <v>2924</v>
      </c>
      <c r="B2851" t="s">
        <v>102</v>
      </c>
      <c r="C2851" t="s">
        <v>55</v>
      </c>
      <c r="D2851" t="s">
        <v>59</v>
      </c>
      <c r="E2851" t="s">
        <v>33</v>
      </c>
      <c r="F2851">
        <v>22</v>
      </c>
      <c r="G2851">
        <v>0.19</v>
      </c>
      <c r="H2851">
        <v>0.87</v>
      </c>
      <c r="I2851" t="s">
        <v>34</v>
      </c>
      <c r="J2851">
        <v>110470</v>
      </c>
      <c r="K2851" t="s">
        <v>25</v>
      </c>
      <c r="L2851">
        <v>45</v>
      </c>
      <c r="M2851">
        <v>34</v>
      </c>
      <c r="N2851" t="s">
        <v>42</v>
      </c>
      <c r="O2851" t="s">
        <v>25</v>
      </c>
      <c r="P2851">
        <v>3.28</v>
      </c>
      <c r="Q2851" t="s">
        <v>24</v>
      </c>
      <c r="R2851">
        <v>2.2200000000000002</v>
      </c>
      <c r="S2851" t="s">
        <v>47</v>
      </c>
      <c r="T2851" t="str">
        <f t="shared" si="88"/>
        <v>Very High</v>
      </c>
      <c r="U2851" t="str">
        <f t="shared" si="89"/>
        <v>Expert</v>
      </c>
    </row>
    <row r="2852" spans="1:21" x14ac:dyDescent="0.35">
      <c r="A2852" t="s">
        <v>2925</v>
      </c>
      <c r="B2852" t="s">
        <v>94</v>
      </c>
      <c r="C2852" t="s">
        <v>107</v>
      </c>
      <c r="D2852" t="s">
        <v>63</v>
      </c>
      <c r="E2852" t="s">
        <v>41</v>
      </c>
      <c r="F2852">
        <v>7</v>
      </c>
      <c r="G2852">
        <v>0.28000000000000003</v>
      </c>
      <c r="H2852">
        <v>0.95</v>
      </c>
      <c r="I2852" t="s">
        <v>60</v>
      </c>
      <c r="J2852">
        <v>97269</v>
      </c>
      <c r="K2852" t="s">
        <v>25</v>
      </c>
      <c r="L2852">
        <v>40</v>
      </c>
      <c r="M2852">
        <v>49</v>
      </c>
      <c r="N2852" t="s">
        <v>42</v>
      </c>
      <c r="O2852" t="s">
        <v>27</v>
      </c>
      <c r="P2852">
        <v>2.89</v>
      </c>
      <c r="Q2852" t="s">
        <v>24</v>
      </c>
      <c r="R2852">
        <v>3.17</v>
      </c>
      <c r="S2852" t="s">
        <v>28</v>
      </c>
      <c r="T2852" t="str">
        <f t="shared" si="88"/>
        <v>Very High</v>
      </c>
      <c r="U2852" t="str">
        <f t="shared" si="89"/>
        <v>Intermediate</v>
      </c>
    </row>
    <row r="2853" spans="1:21" x14ac:dyDescent="0.35">
      <c r="A2853" t="s">
        <v>2926</v>
      </c>
      <c r="B2853" t="s">
        <v>156</v>
      </c>
      <c r="C2853" t="s">
        <v>31</v>
      </c>
      <c r="D2853" t="s">
        <v>66</v>
      </c>
      <c r="E2853" t="s">
        <v>33</v>
      </c>
      <c r="F2853">
        <v>6</v>
      </c>
      <c r="G2853">
        <v>0.81</v>
      </c>
      <c r="H2853">
        <v>0.84</v>
      </c>
      <c r="I2853" t="s">
        <v>24</v>
      </c>
      <c r="J2853">
        <v>61698</v>
      </c>
      <c r="K2853" t="s">
        <v>42</v>
      </c>
      <c r="L2853">
        <v>38</v>
      </c>
      <c r="M2853">
        <v>31</v>
      </c>
      <c r="N2853" t="s">
        <v>26</v>
      </c>
      <c r="O2853" t="s">
        <v>27</v>
      </c>
      <c r="P2853">
        <v>2.16</v>
      </c>
      <c r="Q2853" t="s">
        <v>24</v>
      </c>
      <c r="R2853">
        <v>4.28</v>
      </c>
      <c r="S2853" t="s">
        <v>47</v>
      </c>
      <c r="T2853" t="str">
        <f t="shared" si="88"/>
        <v>High</v>
      </c>
      <c r="U2853" t="str">
        <f t="shared" si="89"/>
        <v>Intermediate</v>
      </c>
    </row>
    <row r="2854" spans="1:21" x14ac:dyDescent="0.35">
      <c r="A2854" t="s">
        <v>2927</v>
      </c>
      <c r="B2854" t="s">
        <v>30</v>
      </c>
      <c r="C2854" t="s">
        <v>55</v>
      </c>
      <c r="D2854" t="s">
        <v>66</v>
      </c>
      <c r="E2854" t="s">
        <v>33</v>
      </c>
      <c r="F2854">
        <v>5</v>
      </c>
      <c r="G2854">
        <v>0.31</v>
      </c>
      <c r="H2854">
        <v>0.62</v>
      </c>
      <c r="I2854" t="s">
        <v>34</v>
      </c>
      <c r="J2854">
        <v>127920</v>
      </c>
      <c r="K2854" t="s">
        <v>25</v>
      </c>
      <c r="L2854">
        <v>44</v>
      </c>
      <c r="M2854">
        <v>44</v>
      </c>
      <c r="N2854" t="s">
        <v>42</v>
      </c>
      <c r="O2854" t="s">
        <v>36</v>
      </c>
      <c r="P2854">
        <v>3.57</v>
      </c>
      <c r="Q2854" t="s">
        <v>34</v>
      </c>
      <c r="R2854">
        <v>2.34</v>
      </c>
      <c r="S2854" t="s">
        <v>28</v>
      </c>
      <c r="T2854" t="str">
        <f t="shared" si="88"/>
        <v>High</v>
      </c>
      <c r="U2854" t="str">
        <f t="shared" si="89"/>
        <v>Intermediate</v>
      </c>
    </row>
    <row r="2855" spans="1:21" x14ac:dyDescent="0.35">
      <c r="A2855" t="s">
        <v>2928</v>
      </c>
      <c r="B2855" t="s">
        <v>102</v>
      </c>
      <c r="C2855" t="s">
        <v>82</v>
      </c>
      <c r="D2855" t="s">
        <v>63</v>
      </c>
      <c r="E2855" t="s">
        <v>33</v>
      </c>
      <c r="F2855">
        <v>22</v>
      </c>
      <c r="G2855">
        <v>0.49</v>
      </c>
      <c r="H2855">
        <v>0.22</v>
      </c>
      <c r="I2855" t="s">
        <v>34</v>
      </c>
      <c r="J2855">
        <v>188073</v>
      </c>
      <c r="K2855" t="s">
        <v>42</v>
      </c>
      <c r="L2855">
        <v>9</v>
      </c>
      <c r="M2855">
        <v>49</v>
      </c>
      <c r="N2855" t="s">
        <v>42</v>
      </c>
      <c r="O2855" t="s">
        <v>25</v>
      </c>
      <c r="P2855">
        <v>4.57</v>
      </c>
      <c r="Q2855" t="s">
        <v>24</v>
      </c>
      <c r="R2855">
        <v>1.36</v>
      </c>
      <c r="S2855" t="s">
        <v>43</v>
      </c>
      <c r="T2855" t="str">
        <f t="shared" si="88"/>
        <v>Moderate</v>
      </c>
      <c r="U2855" t="str">
        <f t="shared" si="89"/>
        <v>Expert</v>
      </c>
    </row>
    <row r="2856" spans="1:21" x14ac:dyDescent="0.35">
      <c r="A2856" t="s">
        <v>2929</v>
      </c>
      <c r="B2856" t="s">
        <v>77</v>
      </c>
      <c r="C2856" t="s">
        <v>55</v>
      </c>
      <c r="D2856" t="s">
        <v>49</v>
      </c>
      <c r="E2856" t="s">
        <v>41</v>
      </c>
      <c r="F2856">
        <v>22</v>
      </c>
      <c r="G2856">
        <v>0.51</v>
      </c>
      <c r="H2856">
        <v>0.28000000000000003</v>
      </c>
      <c r="I2856" t="s">
        <v>34</v>
      </c>
      <c r="J2856">
        <v>101987</v>
      </c>
      <c r="K2856" t="s">
        <v>25</v>
      </c>
      <c r="L2856">
        <v>37</v>
      </c>
      <c r="M2856">
        <v>30</v>
      </c>
      <c r="N2856" t="s">
        <v>26</v>
      </c>
      <c r="O2856" t="s">
        <v>27</v>
      </c>
      <c r="P2856">
        <v>2.67</v>
      </c>
      <c r="Q2856" t="s">
        <v>34</v>
      </c>
      <c r="R2856">
        <v>2.83</v>
      </c>
      <c r="S2856" t="s">
        <v>43</v>
      </c>
      <c r="T2856" t="str">
        <f t="shared" si="88"/>
        <v>Moderate</v>
      </c>
      <c r="U2856" t="str">
        <f t="shared" si="89"/>
        <v>Expert</v>
      </c>
    </row>
    <row r="2857" spans="1:21" x14ac:dyDescent="0.35">
      <c r="A2857" t="s">
        <v>2930</v>
      </c>
      <c r="B2857" t="s">
        <v>102</v>
      </c>
      <c r="C2857" t="s">
        <v>52</v>
      </c>
      <c r="D2857" t="s">
        <v>32</v>
      </c>
      <c r="E2857" t="s">
        <v>33</v>
      </c>
      <c r="F2857">
        <v>2</v>
      </c>
      <c r="G2857">
        <v>0.57999999999999996</v>
      </c>
      <c r="H2857">
        <v>0.61</v>
      </c>
      <c r="I2857" t="s">
        <v>34</v>
      </c>
      <c r="J2857">
        <v>216436</v>
      </c>
      <c r="K2857" t="s">
        <v>42</v>
      </c>
      <c r="L2857">
        <v>30</v>
      </c>
      <c r="M2857">
        <v>41</v>
      </c>
      <c r="N2857" t="s">
        <v>35</v>
      </c>
      <c r="O2857" t="s">
        <v>25</v>
      </c>
      <c r="P2857">
        <v>4.1900000000000004</v>
      </c>
      <c r="Q2857" t="s">
        <v>24</v>
      </c>
      <c r="R2857">
        <v>3.53</v>
      </c>
      <c r="S2857" t="s">
        <v>43</v>
      </c>
      <c r="T2857" t="str">
        <f t="shared" si="88"/>
        <v>High</v>
      </c>
      <c r="U2857" t="str">
        <f t="shared" si="89"/>
        <v>Beginner</v>
      </c>
    </row>
    <row r="2858" spans="1:21" x14ac:dyDescent="0.35">
      <c r="A2858" t="s">
        <v>2931</v>
      </c>
      <c r="B2858" t="s">
        <v>147</v>
      </c>
      <c r="C2858" t="s">
        <v>55</v>
      </c>
      <c r="D2858" t="s">
        <v>32</v>
      </c>
      <c r="E2858" t="s">
        <v>23</v>
      </c>
      <c r="F2858">
        <v>25</v>
      </c>
      <c r="G2858">
        <v>0.91</v>
      </c>
      <c r="H2858">
        <v>0.45</v>
      </c>
      <c r="I2858" t="s">
        <v>34</v>
      </c>
      <c r="J2858">
        <v>170590</v>
      </c>
      <c r="K2858" t="s">
        <v>42</v>
      </c>
      <c r="L2858">
        <v>9</v>
      </c>
      <c r="M2858">
        <v>59</v>
      </c>
      <c r="N2858" t="s">
        <v>26</v>
      </c>
      <c r="O2858" t="s">
        <v>36</v>
      </c>
      <c r="P2858">
        <v>4.57</v>
      </c>
      <c r="Q2858" t="s">
        <v>24</v>
      </c>
      <c r="R2858">
        <v>2.38</v>
      </c>
      <c r="S2858" t="s">
        <v>28</v>
      </c>
      <c r="T2858" t="str">
        <f t="shared" si="88"/>
        <v>Very Low</v>
      </c>
      <c r="U2858" t="str">
        <f t="shared" si="89"/>
        <v>Expert</v>
      </c>
    </row>
    <row r="2859" spans="1:21" x14ac:dyDescent="0.35">
      <c r="A2859" t="s">
        <v>2932</v>
      </c>
      <c r="B2859" t="s">
        <v>68</v>
      </c>
      <c r="C2859" t="s">
        <v>31</v>
      </c>
      <c r="D2859" t="s">
        <v>66</v>
      </c>
      <c r="E2859" t="s">
        <v>33</v>
      </c>
      <c r="F2859">
        <v>18</v>
      </c>
      <c r="G2859">
        <v>0.51</v>
      </c>
      <c r="H2859">
        <v>0.45</v>
      </c>
      <c r="I2859" t="s">
        <v>60</v>
      </c>
      <c r="J2859">
        <v>168286</v>
      </c>
      <c r="K2859" t="s">
        <v>27</v>
      </c>
      <c r="L2859">
        <v>2</v>
      </c>
      <c r="M2859">
        <v>43</v>
      </c>
      <c r="N2859" t="s">
        <v>26</v>
      </c>
      <c r="O2859" t="s">
        <v>36</v>
      </c>
      <c r="P2859">
        <v>3.23</v>
      </c>
      <c r="Q2859" t="s">
        <v>24</v>
      </c>
      <c r="R2859">
        <v>2.84</v>
      </c>
      <c r="S2859" t="s">
        <v>47</v>
      </c>
      <c r="T2859" t="str">
        <f t="shared" si="88"/>
        <v>Moderate</v>
      </c>
      <c r="U2859" t="str">
        <f t="shared" si="89"/>
        <v>Expert</v>
      </c>
    </row>
    <row r="2860" spans="1:21" x14ac:dyDescent="0.35">
      <c r="A2860" t="s">
        <v>2933</v>
      </c>
      <c r="B2860" t="s">
        <v>68</v>
      </c>
      <c r="C2860" t="s">
        <v>58</v>
      </c>
      <c r="D2860" t="s">
        <v>49</v>
      </c>
      <c r="E2860" t="s">
        <v>70</v>
      </c>
      <c r="F2860">
        <v>25</v>
      </c>
      <c r="G2860">
        <v>0.36</v>
      </c>
      <c r="H2860">
        <v>0.81</v>
      </c>
      <c r="I2860" t="s">
        <v>60</v>
      </c>
      <c r="J2860">
        <v>125371</v>
      </c>
      <c r="K2860" t="s">
        <v>27</v>
      </c>
      <c r="L2860">
        <v>24</v>
      </c>
      <c r="M2860">
        <v>33</v>
      </c>
      <c r="N2860" t="s">
        <v>26</v>
      </c>
      <c r="O2860" t="s">
        <v>27</v>
      </c>
      <c r="P2860">
        <v>3.2</v>
      </c>
      <c r="Q2860" t="s">
        <v>34</v>
      </c>
      <c r="R2860">
        <v>4.54</v>
      </c>
      <c r="S2860" t="s">
        <v>47</v>
      </c>
      <c r="T2860" t="str">
        <f t="shared" si="88"/>
        <v>Very High</v>
      </c>
      <c r="U2860" t="str">
        <f t="shared" si="89"/>
        <v>Expert</v>
      </c>
    </row>
    <row r="2861" spans="1:21" x14ac:dyDescent="0.35">
      <c r="A2861" t="s">
        <v>2934</v>
      </c>
      <c r="B2861" t="s">
        <v>38</v>
      </c>
      <c r="C2861" t="s">
        <v>107</v>
      </c>
      <c r="D2861" t="s">
        <v>75</v>
      </c>
      <c r="E2861" t="s">
        <v>41</v>
      </c>
      <c r="F2861">
        <v>23</v>
      </c>
      <c r="G2861">
        <v>0.11</v>
      </c>
      <c r="H2861">
        <v>0.6</v>
      </c>
      <c r="I2861" t="s">
        <v>24</v>
      </c>
      <c r="J2861">
        <v>63048</v>
      </c>
      <c r="K2861" t="s">
        <v>42</v>
      </c>
      <c r="L2861">
        <v>22</v>
      </c>
      <c r="M2861">
        <v>36</v>
      </c>
      <c r="N2861" t="s">
        <v>26</v>
      </c>
      <c r="O2861" t="s">
        <v>25</v>
      </c>
      <c r="P2861">
        <v>3.07</v>
      </c>
      <c r="Q2861" t="s">
        <v>34</v>
      </c>
      <c r="R2861">
        <v>1.67</v>
      </c>
      <c r="S2861" t="s">
        <v>43</v>
      </c>
      <c r="T2861" t="str">
        <f t="shared" si="88"/>
        <v>High</v>
      </c>
      <c r="U2861" t="str">
        <f t="shared" si="89"/>
        <v>Expert</v>
      </c>
    </row>
    <row r="2862" spans="1:21" x14ac:dyDescent="0.35">
      <c r="A2862" t="s">
        <v>2935</v>
      </c>
      <c r="B2862" t="s">
        <v>96</v>
      </c>
      <c r="C2862" t="s">
        <v>46</v>
      </c>
      <c r="D2862" t="s">
        <v>49</v>
      </c>
      <c r="E2862" t="s">
        <v>23</v>
      </c>
      <c r="F2862">
        <v>19</v>
      </c>
      <c r="G2862">
        <v>0.63</v>
      </c>
      <c r="H2862">
        <v>0.97</v>
      </c>
      <c r="I2862" t="s">
        <v>24</v>
      </c>
      <c r="J2862">
        <v>55302</v>
      </c>
      <c r="K2862" t="s">
        <v>42</v>
      </c>
      <c r="L2862">
        <v>7</v>
      </c>
      <c r="M2862">
        <v>37</v>
      </c>
      <c r="N2862" t="s">
        <v>42</v>
      </c>
      <c r="O2862" t="s">
        <v>25</v>
      </c>
      <c r="P2862">
        <v>4.5599999999999996</v>
      </c>
      <c r="Q2862" t="s">
        <v>24</v>
      </c>
      <c r="R2862">
        <v>3.94</v>
      </c>
      <c r="S2862" t="s">
        <v>47</v>
      </c>
      <c r="T2862" t="str">
        <f t="shared" si="88"/>
        <v>High</v>
      </c>
      <c r="U2862" t="str">
        <f t="shared" si="89"/>
        <v>Expert</v>
      </c>
    </row>
    <row r="2863" spans="1:21" x14ac:dyDescent="0.35">
      <c r="A2863" t="s">
        <v>2936</v>
      </c>
      <c r="B2863" t="s">
        <v>68</v>
      </c>
      <c r="C2863" t="s">
        <v>58</v>
      </c>
      <c r="D2863" t="s">
        <v>49</v>
      </c>
      <c r="E2863" t="s">
        <v>33</v>
      </c>
      <c r="F2863">
        <v>4</v>
      </c>
      <c r="G2863">
        <v>0.65</v>
      </c>
      <c r="H2863">
        <v>0.34</v>
      </c>
      <c r="I2863" t="s">
        <v>34</v>
      </c>
      <c r="J2863">
        <v>215145</v>
      </c>
      <c r="K2863" t="s">
        <v>42</v>
      </c>
      <c r="L2863">
        <v>13</v>
      </c>
      <c r="M2863">
        <v>49</v>
      </c>
      <c r="N2863" t="s">
        <v>35</v>
      </c>
      <c r="O2863" t="s">
        <v>25</v>
      </c>
      <c r="P2863">
        <v>4.8099999999999996</v>
      </c>
      <c r="Q2863" t="s">
        <v>24</v>
      </c>
      <c r="R2863">
        <v>4.25</v>
      </c>
      <c r="S2863" t="s">
        <v>47</v>
      </c>
      <c r="T2863" t="str">
        <f t="shared" si="88"/>
        <v>Moderate</v>
      </c>
      <c r="U2863" t="str">
        <f t="shared" si="89"/>
        <v>Intermediate</v>
      </c>
    </row>
    <row r="2864" spans="1:21" x14ac:dyDescent="0.35">
      <c r="A2864" t="s">
        <v>2937</v>
      </c>
      <c r="B2864" t="s">
        <v>91</v>
      </c>
      <c r="C2864" t="s">
        <v>82</v>
      </c>
      <c r="D2864" t="s">
        <v>40</v>
      </c>
      <c r="E2864" t="s">
        <v>41</v>
      </c>
      <c r="F2864">
        <v>20</v>
      </c>
      <c r="G2864">
        <v>0.28000000000000003</v>
      </c>
      <c r="H2864">
        <v>0.83</v>
      </c>
      <c r="I2864" t="s">
        <v>60</v>
      </c>
      <c r="J2864">
        <v>51401</v>
      </c>
      <c r="K2864" t="s">
        <v>42</v>
      </c>
      <c r="L2864">
        <v>43</v>
      </c>
      <c r="M2864">
        <v>42</v>
      </c>
      <c r="N2864" t="s">
        <v>35</v>
      </c>
      <c r="O2864" t="s">
        <v>25</v>
      </c>
      <c r="P2864">
        <v>4.37</v>
      </c>
      <c r="Q2864" t="s">
        <v>34</v>
      </c>
      <c r="R2864">
        <v>4.05</v>
      </c>
      <c r="S2864" t="s">
        <v>28</v>
      </c>
      <c r="T2864" t="str">
        <f t="shared" si="88"/>
        <v>Very High</v>
      </c>
      <c r="U2864" t="str">
        <f t="shared" si="89"/>
        <v>Expert</v>
      </c>
    </row>
    <row r="2865" spans="1:21" x14ac:dyDescent="0.35">
      <c r="A2865" t="s">
        <v>2938</v>
      </c>
      <c r="B2865" t="s">
        <v>62</v>
      </c>
      <c r="C2865" t="s">
        <v>74</v>
      </c>
      <c r="D2865" t="s">
        <v>22</v>
      </c>
      <c r="E2865" t="s">
        <v>33</v>
      </c>
      <c r="F2865">
        <v>3</v>
      </c>
      <c r="G2865">
        <v>0.36</v>
      </c>
      <c r="H2865">
        <v>0.74</v>
      </c>
      <c r="I2865" t="s">
        <v>60</v>
      </c>
      <c r="J2865">
        <v>108881</v>
      </c>
      <c r="K2865" t="s">
        <v>25</v>
      </c>
      <c r="L2865">
        <v>4</v>
      </c>
      <c r="M2865">
        <v>33</v>
      </c>
      <c r="N2865" t="s">
        <v>35</v>
      </c>
      <c r="O2865" t="s">
        <v>36</v>
      </c>
      <c r="P2865">
        <v>2.88</v>
      </c>
      <c r="Q2865" t="s">
        <v>34</v>
      </c>
      <c r="R2865">
        <v>1.01</v>
      </c>
      <c r="S2865" t="s">
        <v>28</v>
      </c>
      <c r="T2865" t="str">
        <f t="shared" si="88"/>
        <v>Very High</v>
      </c>
      <c r="U2865" t="str">
        <f t="shared" si="89"/>
        <v>Intermediate</v>
      </c>
    </row>
    <row r="2866" spans="1:21" x14ac:dyDescent="0.35">
      <c r="A2866" t="s">
        <v>2939</v>
      </c>
      <c r="B2866" t="s">
        <v>54</v>
      </c>
      <c r="C2866" t="s">
        <v>58</v>
      </c>
      <c r="D2866" t="s">
        <v>49</v>
      </c>
      <c r="E2866" t="s">
        <v>23</v>
      </c>
      <c r="F2866">
        <v>8</v>
      </c>
      <c r="G2866">
        <v>0.81</v>
      </c>
      <c r="H2866">
        <v>0.22</v>
      </c>
      <c r="I2866" t="s">
        <v>34</v>
      </c>
      <c r="J2866">
        <v>119658</v>
      </c>
      <c r="K2866" t="s">
        <v>25</v>
      </c>
      <c r="L2866">
        <v>31</v>
      </c>
      <c r="M2866">
        <v>47</v>
      </c>
      <c r="N2866" t="s">
        <v>26</v>
      </c>
      <c r="O2866" t="s">
        <v>36</v>
      </c>
      <c r="P2866">
        <v>4.08</v>
      </c>
      <c r="Q2866" t="s">
        <v>34</v>
      </c>
      <c r="R2866">
        <v>1.77</v>
      </c>
      <c r="S2866" t="s">
        <v>28</v>
      </c>
      <c r="T2866" t="str">
        <f t="shared" si="88"/>
        <v>Very Low</v>
      </c>
      <c r="U2866" t="str">
        <f t="shared" si="89"/>
        <v>Intermediate</v>
      </c>
    </row>
    <row r="2867" spans="1:21" x14ac:dyDescent="0.35">
      <c r="A2867" t="s">
        <v>2940</v>
      </c>
      <c r="B2867" t="s">
        <v>77</v>
      </c>
      <c r="C2867" t="s">
        <v>31</v>
      </c>
      <c r="D2867" t="s">
        <v>80</v>
      </c>
      <c r="E2867" t="s">
        <v>41</v>
      </c>
      <c r="F2867">
        <v>24</v>
      </c>
      <c r="G2867">
        <v>0.84</v>
      </c>
      <c r="H2867">
        <v>0.91</v>
      </c>
      <c r="I2867" t="s">
        <v>34</v>
      </c>
      <c r="J2867">
        <v>91316</v>
      </c>
      <c r="K2867" t="s">
        <v>25</v>
      </c>
      <c r="L2867">
        <v>39</v>
      </c>
      <c r="M2867">
        <v>30</v>
      </c>
      <c r="N2867" t="s">
        <v>42</v>
      </c>
      <c r="O2867" t="s">
        <v>27</v>
      </c>
      <c r="P2867">
        <v>4.55</v>
      </c>
      <c r="Q2867" t="s">
        <v>34</v>
      </c>
      <c r="R2867">
        <v>3.67</v>
      </c>
      <c r="S2867" t="s">
        <v>28</v>
      </c>
      <c r="T2867" t="str">
        <f t="shared" si="88"/>
        <v>High</v>
      </c>
      <c r="U2867" t="str">
        <f t="shared" si="89"/>
        <v>Expert</v>
      </c>
    </row>
    <row r="2868" spans="1:21" x14ac:dyDescent="0.35">
      <c r="A2868" t="s">
        <v>2941</v>
      </c>
      <c r="B2868" t="s">
        <v>156</v>
      </c>
      <c r="C2868" t="s">
        <v>82</v>
      </c>
      <c r="D2868" t="s">
        <v>40</v>
      </c>
      <c r="E2868" t="s">
        <v>41</v>
      </c>
      <c r="F2868">
        <v>13</v>
      </c>
      <c r="G2868">
        <v>0.2</v>
      </c>
      <c r="H2868">
        <v>0.77</v>
      </c>
      <c r="I2868" t="s">
        <v>34</v>
      </c>
      <c r="J2868">
        <v>129315</v>
      </c>
      <c r="K2868" t="s">
        <v>42</v>
      </c>
      <c r="L2868">
        <v>-2</v>
      </c>
      <c r="M2868">
        <v>40</v>
      </c>
      <c r="N2868" t="s">
        <v>35</v>
      </c>
      <c r="O2868" t="s">
        <v>36</v>
      </c>
      <c r="P2868">
        <v>3.77</v>
      </c>
      <c r="Q2868" t="s">
        <v>34</v>
      </c>
      <c r="R2868">
        <v>2.02</v>
      </c>
      <c r="S2868" t="s">
        <v>43</v>
      </c>
      <c r="T2868" t="str">
        <f t="shared" si="88"/>
        <v>Very High</v>
      </c>
      <c r="U2868" t="str">
        <f t="shared" si="89"/>
        <v>Experienced</v>
      </c>
    </row>
    <row r="2869" spans="1:21" x14ac:dyDescent="0.35">
      <c r="A2869" t="s">
        <v>2942</v>
      </c>
      <c r="B2869" t="s">
        <v>20</v>
      </c>
      <c r="C2869" t="s">
        <v>39</v>
      </c>
      <c r="D2869" t="s">
        <v>75</v>
      </c>
      <c r="E2869" t="s">
        <v>23</v>
      </c>
      <c r="F2869">
        <v>6</v>
      </c>
      <c r="G2869">
        <v>0.32</v>
      </c>
      <c r="H2869">
        <v>0.31</v>
      </c>
      <c r="I2869" t="s">
        <v>60</v>
      </c>
      <c r="J2869">
        <v>32036</v>
      </c>
      <c r="K2869" t="s">
        <v>42</v>
      </c>
      <c r="L2869">
        <v>8</v>
      </c>
      <c r="M2869">
        <v>36</v>
      </c>
      <c r="N2869" t="s">
        <v>26</v>
      </c>
      <c r="O2869" t="s">
        <v>36</v>
      </c>
      <c r="P2869">
        <v>2.31</v>
      </c>
      <c r="Q2869" t="s">
        <v>34</v>
      </c>
      <c r="R2869">
        <v>1.67</v>
      </c>
      <c r="S2869" t="s">
        <v>43</v>
      </c>
      <c r="T2869" t="str">
        <f t="shared" si="88"/>
        <v>Moderate</v>
      </c>
      <c r="U2869" t="str">
        <f t="shared" si="89"/>
        <v>Intermediate</v>
      </c>
    </row>
    <row r="2870" spans="1:21" x14ac:dyDescent="0.35">
      <c r="A2870" t="s">
        <v>2943</v>
      </c>
      <c r="B2870" t="s">
        <v>91</v>
      </c>
      <c r="C2870" t="s">
        <v>82</v>
      </c>
      <c r="D2870" t="s">
        <v>66</v>
      </c>
      <c r="E2870" t="s">
        <v>23</v>
      </c>
      <c r="F2870">
        <v>16</v>
      </c>
      <c r="G2870">
        <v>0.35</v>
      </c>
      <c r="H2870">
        <v>0.74</v>
      </c>
      <c r="I2870" t="s">
        <v>60</v>
      </c>
      <c r="J2870">
        <v>178246</v>
      </c>
      <c r="K2870" t="s">
        <v>27</v>
      </c>
      <c r="L2870">
        <v>43</v>
      </c>
      <c r="M2870">
        <v>60</v>
      </c>
      <c r="N2870" t="s">
        <v>26</v>
      </c>
      <c r="O2870" t="s">
        <v>27</v>
      </c>
      <c r="P2870">
        <v>4.25</v>
      </c>
      <c r="Q2870" t="s">
        <v>24</v>
      </c>
      <c r="R2870">
        <v>1.66</v>
      </c>
      <c r="S2870" t="s">
        <v>43</v>
      </c>
      <c r="T2870" t="str">
        <f t="shared" si="88"/>
        <v>Very High</v>
      </c>
      <c r="U2870" t="str">
        <f t="shared" si="89"/>
        <v>Expert</v>
      </c>
    </row>
    <row r="2871" spans="1:21" x14ac:dyDescent="0.35">
      <c r="A2871" t="s">
        <v>2944</v>
      </c>
      <c r="B2871" t="s">
        <v>96</v>
      </c>
      <c r="C2871" t="s">
        <v>46</v>
      </c>
      <c r="D2871" t="s">
        <v>75</v>
      </c>
      <c r="E2871" t="s">
        <v>33</v>
      </c>
      <c r="F2871">
        <v>7</v>
      </c>
      <c r="G2871">
        <v>0.45</v>
      </c>
      <c r="H2871">
        <v>0.55000000000000004</v>
      </c>
      <c r="I2871" t="s">
        <v>60</v>
      </c>
      <c r="J2871">
        <v>200667</v>
      </c>
      <c r="K2871" t="s">
        <v>42</v>
      </c>
      <c r="L2871">
        <v>21</v>
      </c>
      <c r="M2871">
        <v>57</v>
      </c>
      <c r="N2871" t="s">
        <v>35</v>
      </c>
      <c r="O2871" t="s">
        <v>25</v>
      </c>
      <c r="P2871">
        <v>4.78</v>
      </c>
      <c r="Q2871" t="s">
        <v>24</v>
      </c>
      <c r="R2871">
        <v>2.36</v>
      </c>
      <c r="S2871" t="s">
        <v>43</v>
      </c>
      <c r="T2871" t="str">
        <f t="shared" si="88"/>
        <v>High</v>
      </c>
      <c r="U2871" t="str">
        <f t="shared" si="89"/>
        <v>Intermediate</v>
      </c>
    </row>
    <row r="2872" spans="1:21" x14ac:dyDescent="0.35">
      <c r="A2872" t="s">
        <v>2945</v>
      </c>
      <c r="B2872" t="s">
        <v>51</v>
      </c>
      <c r="C2872" t="s">
        <v>58</v>
      </c>
      <c r="D2872" t="s">
        <v>75</v>
      </c>
      <c r="E2872" t="s">
        <v>70</v>
      </c>
      <c r="F2872">
        <v>0</v>
      </c>
      <c r="G2872">
        <v>0.81</v>
      </c>
      <c r="H2872">
        <v>0.9</v>
      </c>
      <c r="I2872" t="s">
        <v>60</v>
      </c>
      <c r="J2872">
        <v>205050</v>
      </c>
      <c r="K2872" t="s">
        <v>25</v>
      </c>
      <c r="L2872">
        <v>3</v>
      </c>
      <c r="M2872">
        <v>51</v>
      </c>
      <c r="N2872" t="s">
        <v>42</v>
      </c>
      <c r="O2872" t="s">
        <v>25</v>
      </c>
      <c r="P2872">
        <v>4.9000000000000004</v>
      </c>
      <c r="Q2872" t="s">
        <v>24</v>
      </c>
      <c r="R2872">
        <v>1.75</v>
      </c>
      <c r="S2872" t="s">
        <v>28</v>
      </c>
      <c r="T2872" t="str">
        <f t="shared" si="88"/>
        <v>High</v>
      </c>
      <c r="U2872" t="str">
        <f t="shared" si="89"/>
        <v>Beginner</v>
      </c>
    </row>
    <row r="2873" spans="1:21" x14ac:dyDescent="0.35">
      <c r="A2873" t="s">
        <v>2946</v>
      </c>
      <c r="B2873" t="s">
        <v>106</v>
      </c>
      <c r="C2873" t="s">
        <v>21</v>
      </c>
      <c r="D2873" t="s">
        <v>63</v>
      </c>
      <c r="E2873" t="s">
        <v>23</v>
      </c>
      <c r="F2873">
        <v>7</v>
      </c>
      <c r="G2873">
        <v>0.37</v>
      </c>
      <c r="H2873">
        <v>0.23</v>
      </c>
      <c r="I2873" t="s">
        <v>60</v>
      </c>
      <c r="J2873">
        <v>44242</v>
      </c>
      <c r="K2873" t="s">
        <v>25</v>
      </c>
      <c r="L2873">
        <v>15</v>
      </c>
      <c r="M2873">
        <v>42</v>
      </c>
      <c r="N2873" t="s">
        <v>42</v>
      </c>
      <c r="O2873" t="s">
        <v>27</v>
      </c>
      <c r="P2873">
        <v>2.84</v>
      </c>
      <c r="Q2873" t="s">
        <v>24</v>
      </c>
      <c r="R2873">
        <v>2.63</v>
      </c>
      <c r="S2873" t="s">
        <v>43</v>
      </c>
      <c r="T2873" t="str">
        <f t="shared" si="88"/>
        <v>Moderate</v>
      </c>
      <c r="U2873" t="str">
        <f t="shared" si="89"/>
        <v>Intermediate</v>
      </c>
    </row>
    <row r="2874" spans="1:21" x14ac:dyDescent="0.35">
      <c r="A2874" t="s">
        <v>2947</v>
      </c>
      <c r="B2874" t="s">
        <v>62</v>
      </c>
      <c r="C2874" t="s">
        <v>31</v>
      </c>
      <c r="D2874" t="s">
        <v>63</v>
      </c>
      <c r="E2874" t="s">
        <v>70</v>
      </c>
      <c r="F2874">
        <v>7</v>
      </c>
      <c r="G2874">
        <v>0.82</v>
      </c>
      <c r="H2874">
        <v>0.28999999999999998</v>
      </c>
      <c r="I2874" t="s">
        <v>60</v>
      </c>
      <c r="J2874">
        <v>87633</v>
      </c>
      <c r="K2874" t="s">
        <v>25</v>
      </c>
      <c r="L2874">
        <v>28</v>
      </c>
      <c r="M2874">
        <v>42</v>
      </c>
      <c r="N2874" t="s">
        <v>42</v>
      </c>
      <c r="O2874" t="s">
        <v>36</v>
      </c>
      <c r="P2874">
        <v>2.57</v>
      </c>
      <c r="Q2874" t="s">
        <v>34</v>
      </c>
      <c r="R2874">
        <v>3.33</v>
      </c>
      <c r="S2874" t="s">
        <v>47</v>
      </c>
      <c r="T2874" t="str">
        <f t="shared" si="88"/>
        <v>Very Low</v>
      </c>
      <c r="U2874" t="str">
        <f t="shared" si="89"/>
        <v>Intermediate</v>
      </c>
    </row>
    <row r="2875" spans="1:21" x14ac:dyDescent="0.35">
      <c r="A2875" t="s">
        <v>2948</v>
      </c>
      <c r="B2875" t="s">
        <v>57</v>
      </c>
      <c r="C2875" t="s">
        <v>31</v>
      </c>
      <c r="D2875" t="s">
        <v>32</v>
      </c>
      <c r="E2875" t="s">
        <v>41</v>
      </c>
      <c r="F2875">
        <v>19</v>
      </c>
      <c r="G2875">
        <v>0.41</v>
      </c>
      <c r="H2875">
        <v>0.53</v>
      </c>
      <c r="I2875" t="s">
        <v>24</v>
      </c>
      <c r="J2875">
        <v>90182</v>
      </c>
      <c r="K2875" t="s">
        <v>25</v>
      </c>
      <c r="L2875">
        <v>11</v>
      </c>
      <c r="M2875">
        <v>38</v>
      </c>
      <c r="N2875" t="s">
        <v>26</v>
      </c>
      <c r="O2875" t="s">
        <v>25</v>
      </c>
      <c r="P2875">
        <v>3.14</v>
      </c>
      <c r="Q2875" t="s">
        <v>24</v>
      </c>
      <c r="R2875">
        <v>2.1800000000000002</v>
      </c>
      <c r="S2875" t="s">
        <v>43</v>
      </c>
      <c r="T2875" t="str">
        <f t="shared" si="88"/>
        <v>High</v>
      </c>
      <c r="U2875" t="str">
        <f t="shared" si="89"/>
        <v>Expert</v>
      </c>
    </row>
    <row r="2876" spans="1:21" x14ac:dyDescent="0.35">
      <c r="A2876" t="s">
        <v>2949</v>
      </c>
      <c r="B2876" t="s">
        <v>54</v>
      </c>
      <c r="C2876" t="s">
        <v>58</v>
      </c>
      <c r="D2876" t="s">
        <v>69</v>
      </c>
      <c r="E2876" t="s">
        <v>70</v>
      </c>
      <c r="F2876">
        <v>20</v>
      </c>
      <c r="G2876">
        <v>0.11</v>
      </c>
      <c r="H2876">
        <v>0.73</v>
      </c>
      <c r="I2876" t="s">
        <v>34</v>
      </c>
      <c r="J2876">
        <v>207066</v>
      </c>
      <c r="K2876" t="s">
        <v>42</v>
      </c>
      <c r="L2876">
        <v>15</v>
      </c>
      <c r="M2876">
        <v>41</v>
      </c>
      <c r="N2876" t="s">
        <v>35</v>
      </c>
      <c r="O2876" t="s">
        <v>25</v>
      </c>
      <c r="P2876">
        <v>4.78</v>
      </c>
      <c r="Q2876" t="s">
        <v>34</v>
      </c>
      <c r="R2876">
        <v>2.93</v>
      </c>
      <c r="S2876" t="s">
        <v>28</v>
      </c>
      <c r="T2876" t="str">
        <f t="shared" si="88"/>
        <v>Very High</v>
      </c>
      <c r="U2876" t="str">
        <f t="shared" si="89"/>
        <v>Expert</v>
      </c>
    </row>
    <row r="2877" spans="1:21" x14ac:dyDescent="0.35">
      <c r="A2877" t="s">
        <v>2950</v>
      </c>
      <c r="B2877" t="s">
        <v>54</v>
      </c>
      <c r="C2877" t="s">
        <v>74</v>
      </c>
      <c r="D2877" t="s">
        <v>69</v>
      </c>
      <c r="E2877" t="s">
        <v>33</v>
      </c>
      <c r="F2877">
        <v>18</v>
      </c>
      <c r="G2877">
        <v>0.36</v>
      </c>
      <c r="H2877">
        <v>0.36</v>
      </c>
      <c r="I2877" t="s">
        <v>24</v>
      </c>
      <c r="J2877">
        <v>95082</v>
      </c>
      <c r="K2877" t="s">
        <v>25</v>
      </c>
      <c r="L2877">
        <v>9</v>
      </c>
      <c r="M2877">
        <v>51</v>
      </c>
      <c r="N2877" t="s">
        <v>26</v>
      </c>
      <c r="O2877" t="s">
        <v>36</v>
      </c>
      <c r="P2877">
        <v>3.27</v>
      </c>
      <c r="Q2877" t="s">
        <v>34</v>
      </c>
      <c r="R2877">
        <v>1.43</v>
      </c>
      <c r="S2877" t="s">
        <v>28</v>
      </c>
      <c r="T2877" t="str">
        <f t="shared" si="88"/>
        <v>Moderate</v>
      </c>
      <c r="U2877" t="str">
        <f t="shared" si="89"/>
        <v>Expert</v>
      </c>
    </row>
    <row r="2878" spans="1:21" x14ac:dyDescent="0.35">
      <c r="A2878" t="s">
        <v>2951</v>
      </c>
      <c r="B2878" t="s">
        <v>73</v>
      </c>
      <c r="C2878" t="s">
        <v>74</v>
      </c>
      <c r="D2878" t="s">
        <v>22</v>
      </c>
      <c r="E2878" t="s">
        <v>23</v>
      </c>
      <c r="F2878">
        <v>14</v>
      </c>
      <c r="G2878">
        <v>0.79</v>
      </c>
      <c r="H2878">
        <v>0.44</v>
      </c>
      <c r="I2878" t="s">
        <v>34</v>
      </c>
      <c r="J2878">
        <v>135149</v>
      </c>
      <c r="K2878" t="s">
        <v>27</v>
      </c>
      <c r="L2878">
        <v>42</v>
      </c>
      <c r="M2878">
        <v>41</v>
      </c>
      <c r="N2878" t="s">
        <v>26</v>
      </c>
      <c r="O2878" t="s">
        <v>36</v>
      </c>
      <c r="P2878">
        <v>2.25</v>
      </c>
      <c r="Q2878" t="s">
        <v>34</v>
      </c>
      <c r="R2878">
        <v>3.26</v>
      </c>
      <c r="S2878" t="s">
        <v>28</v>
      </c>
      <c r="T2878" t="str">
        <f t="shared" si="88"/>
        <v>Very Low</v>
      </c>
      <c r="U2878" t="str">
        <f t="shared" si="89"/>
        <v>Experienced</v>
      </c>
    </row>
    <row r="2879" spans="1:21" x14ac:dyDescent="0.35">
      <c r="A2879" t="s">
        <v>2952</v>
      </c>
      <c r="B2879" t="s">
        <v>96</v>
      </c>
      <c r="C2879" t="s">
        <v>46</v>
      </c>
      <c r="D2879" t="s">
        <v>59</v>
      </c>
      <c r="E2879" t="s">
        <v>33</v>
      </c>
      <c r="F2879">
        <v>11</v>
      </c>
      <c r="G2879">
        <v>0.33</v>
      </c>
      <c r="H2879">
        <v>0.57999999999999996</v>
      </c>
      <c r="I2879" t="s">
        <v>60</v>
      </c>
      <c r="J2879">
        <v>182045</v>
      </c>
      <c r="K2879" t="s">
        <v>25</v>
      </c>
      <c r="L2879">
        <v>44</v>
      </c>
      <c r="M2879">
        <v>49</v>
      </c>
      <c r="N2879" t="s">
        <v>35</v>
      </c>
      <c r="O2879" t="s">
        <v>36</v>
      </c>
      <c r="P2879">
        <v>3.93</v>
      </c>
      <c r="Q2879" t="s">
        <v>24</v>
      </c>
      <c r="R2879">
        <v>4.7</v>
      </c>
      <c r="S2879" t="s">
        <v>47</v>
      </c>
      <c r="T2879" t="str">
        <f t="shared" si="88"/>
        <v>High</v>
      </c>
      <c r="U2879" t="str">
        <f t="shared" si="89"/>
        <v>Experienced</v>
      </c>
    </row>
    <row r="2880" spans="1:21" x14ac:dyDescent="0.35">
      <c r="A2880" t="s">
        <v>2953</v>
      </c>
      <c r="B2880" t="s">
        <v>65</v>
      </c>
      <c r="C2880" t="s">
        <v>52</v>
      </c>
      <c r="D2880" t="s">
        <v>49</v>
      </c>
      <c r="E2880" t="s">
        <v>70</v>
      </c>
      <c r="F2880">
        <v>8</v>
      </c>
      <c r="G2880">
        <v>0.71</v>
      </c>
      <c r="H2880">
        <v>0.75</v>
      </c>
      <c r="I2880" t="s">
        <v>34</v>
      </c>
      <c r="J2880">
        <v>210460</v>
      </c>
      <c r="K2880" t="s">
        <v>27</v>
      </c>
      <c r="L2880">
        <v>17</v>
      </c>
      <c r="M2880">
        <v>56</v>
      </c>
      <c r="N2880" t="s">
        <v>26</v>
      </c>
      <c r="O2880" t="s">
        <v>36</v>
      </c>
      <c r="P2880">
        <v>2.6</v>
      </c>
      <c r="Q2880" t="s">
        <v>24</v>
      </c>
      <c r="R2880">
        <v>2.83</v>
      </c>
      <c r="S2880" t="s">
        <v>28</v>
      </c>
      <c r="T2880" t="str">
        <f t="shared" si="88"/>
        <v>High</v>
      </c>
      <c r="U2880" t="str">
        <f t="shared" si="89"/>
        <v>Intermediate</v>
      </c>
    </row>
    <row r="2881" spans="1:21" x14ac:dyDescent="0.35">
      <c r="A2881" t="s">
        <v>2954</v>
      </c>
      <c r="B2881" t="s">
        <v>106</v>
      </c>
      <c r="C2881" t="s">
        <v>52</v>
      </c>
      <c r="D2881" t="s">
        <v>22</v>
      </c>
      <c r="E2881" t="s">
        <v>23</v>
      </c>
      <c r="F2881">
        <v>21</v>
      </c>
      <c r="G2881">
        <v>0.28000000000000003</v>
      </c>
      <c r="H2881">
        <v>0.28999999999999998</v>
      </c>
      <c r="I2881" t="s">
        <v>24</v>
      </c>
      <c r="J2881">
        <v>173804</v>
      </c>
      <c r="K2881" t="s">
        <v>27</v>
      </c>
      <c r="L2881">
        <v>35</v>
      </c>
      <c r="M2881">
        <v>54</v>
      </c>
      <c r="N2881" t="s">
        <v>42</v>
      </c>
      <c r="O2881" t="s">
        <v>27</v>
      </c>
      <c r="P2881">
        <v>2.17</v>
      </c>
      <c r="Q2881" t="s">
        <v>24</v>
      </c>
      <c r="R2881">
        <v>2.37</v>
      </c>
      <c r="S2881" t="s">
        <v>28</v>
      </c>
      <c r="T2881" t="str">
        <f t="shared" si="88"/>
        <v>High</v>
      </c>
      <c r="U2881" t="str">
        <f t="shared" si="89"/>
        <v>Expert</v>
      </c>
    </row>
    <row r="2882" spans="1:21" x14ac:dyDescent="0.35">
      <c r="A2882" t="s">
        <v>2955</v>
      </c>
      <c r="B2882" t="s">
        <v>38</v>
      </c>
      <c r="C2882" t="s">
        <v>31</v>
      </c>
      <c r="D2882" t="s">
        <v>22</v>
      </c>
      <c r="E2882" t="s">
        <v>70</v>
      </c>
      <c r="F2882">
        <v>21</v>
      </c>
      <c r="G2882">
        <v>0.56999999999999995</v>
      </c>
      <c r="H2882">
        <v>0.66</v>
      </c>
      <c r="I2882" t="s">
        <v>24</v>
      </c>
      <c r="J2882">
        <v>183567</v>
      </c>
      <c r="K2882" t="s">
        <v>25</v>
      </c>
      <c r="L2882">
        <v>20</v>
      </c>
      <c r="M2882">
        <v>39</v>
      </c>
      <c r="N2882" t="s">
        <v>35</v>
      </c>
      <c r="O2882" t="s">
        <v>36</v>
      </c>
      <c r="P2882">
        <v>2.2400000000000002</v>
      </c>
      <c r="Q2882" t="s">
        <v>24</v>
      </c>
      <c r="R2882">
        <v>1.57</v>
      </c>
      <c r="S2882" t="s">
        <v>43</v>
      </c>
      <c r="T2882" t="str">
        <f t="shared" si="88"/>
        <v>High</v>
      </c>
      <c r="U2882" t="str">
        <f t="shared" si="89"/>
        <v>Expert</v>
      </c>
    </row>
    <row r="2883" spans="1:21" x14ac:dyDescent="0.35">
      <c r="A2883" t="s">
        <v>2956</v>
      </c>
      <c r="B2883" t="s">
        <v>65</v>
      </c>
      <c r="C2883" t="s">
        <v>46</v>
      </c>
      <c r="D2883" t="s">
        <v>59</v>
      </c>
      <c r="E2883" t="s">
        <v>23</v>
      </c>
      <c r="F2883">
        <v>0</v>
      </c>
      <c r="G2883">
        <v>0.8</v>
      </c>
      <c r="H2883">
        <v>0.61</v>
      </c>
      <c r="I2883" t="s">
        <v>60</v>
      </c>
      <c r="J2883">
        <v>116263</v>
      </c>
      <c r="K2883" t="s">
        <v>25</v>
      </c>
      <c r="L2883">
        <v>-7</v>
      </c>
      <c r="M2883">
        <v>53</v>
      </c>
      <c r="N2883" t="s">
        <v>35</v>
      </c>
      <c r="O2883" t="s">
        <v>36</v>
      </c>
      <c r="P2883">
        <v>3.36</v>
      </c>
      <c r="Q2883" t="s">
        <v>34</v>
      </c>
      <c r="R2883">
        <v>1.9</v>
      </c>
      <c r="S2883" t="s">
        <v>47</v>
      </c>
      <c r="T2883" t="str">
        <f t="shared" ref="T2883:T2946" si="90">IF(AND(G2883&lt;0.4,H2883&gt;=0.7),"Very High",
IF(AND(G2883&gt;=0.7,H2883&lt;0.5),"Very Low",
IF(G2883&lt;H2883,"High","Moderate")))</f>
        <v>Moderate</v>
      </c>
      <c r="U2883" t="str">
        <f t="shared" ref="U2883:U2946" si="91">_xlfn.IFS(F2883&lt;=2,"Beginner",F2883&lt;=8,"Intermediate",F2883&lt;=15,"Experienced",F2883&lt;=25,"Expert")</f>
        <v>Beginner</v>
      </c>
    </row>
    <row r="2884" spans="1:21" x14ac:dyDescent="0.35">
      <c r="A2884" t="s">
        <v>2957</v>
      </c>
      <c r="B2884" t="s">
        <v>54</v>
      </c>
      <c r="C2884" t="s">
        <v>52</v>
      </c>
      <c r="D2884" t="s">
        <v>75</v>
      </c>
      <c r="E2884" t="s">
        <v>41</v>
      </c>
      <c r="F2884">
        <v>4</v>
      </c>
      <c r="G2884">
        <v>0.63</v>
      </c>
      <c r="H2884">
        <v>0.66</v>
      </c>
      <c r="I2884" t="s">
        <v>60</v>
      </c>
      <c r="J2884">
        <v>77037</v>
      </c>
      <c r="K2884" t="s">
        <v>27</v>
      </c>
      <c r="L2884">
        <v>12</v>
      </c>
      <c r="M2884">
        <v>38</v>
      </c>
      <c r="N2884" t="s">
        <v>26</v>
      </c>
      <c r="O2884" t="s">
        <v>27</v>
      </c>
      <c r="P2884">
        <v>3.71</v>
      </c>
      <c r="Q2884" t="s">
        <v>34</v>
      </c>
      <c r="R2884">
        <v>4.5999999999999996</v>
      </c>
      <c r="S2884" t="s">
        <v>43</v>
      </c>
      <c r="T2884" t="str">
        <f t="shared" si="90"/>
        <v>High</v>
      </c>
      <c r="U2884" t="str">
        <f t="shared" si="91"/>
        <v>Intermediate</v>
      </c>
    </row>
    <row r="2885" spans="1:21" x14ac:dyDescent="0.35">
      <c r="A2885" t="s">
        <v>2958</v>
      </c>
      <c r="B2885" t="s">
        <v>91</v>
      </c>
      <c r="C2885" t="s">
        <v>58</v>
      </c>
      <c r="D2885" t="s">
        <v>66</v>
      </c>
      <c r="E2885" t="s">
        <v>33</v>
      </c>
      <c r="F2885">
        <v>23</v>
      </c>
      <c r="G2885">
        <v>0.11</v>
      </c>
      <c r="H2885">
        <v>0.64</v>
      </c>
      <c r="I2885" t="s">
        <v>60</v>
      </c>
      <c r="J2885">
        <v>144675</v>
      </c>
      <c r="K2885" t="s">
        <v>42</v>
      </c>
      <c r="L2885">
        <v>42</v>
      </c>
      <c r="M2885">
        <v>51</v>
      </c>
      <c r="N2885" t="s">
        <v>42</v>
      </c>
      <c r="O2885" t="s">
        <v>27</v>
      </c>
      <c r="P2885">
        <v>2.06</v>
      </c>
      <c r="Q2885" t="s">
        <v>24</v>
      </c>
      <c r="R2885">
        <v>2.29</v>
      </c>
      <c r="S2885" t="s">
        <v>28</v>
      </c>
      <c r="T2885" t="str">
        <f t="shared" si="90"/>
        <v>High</v>
      </c>
      <c r="U2885" t="str">
        <f t="shared" si="91"/>
        <v>Expert</v>
      </c>
    </row>
    <row r="2886" spans="1:21" x14ac:dyDescent="0.35">
      <c r="A2886" t="s">
        <v>2959</v>
      </c>
      <c r="B2886" t="s">
        <v>147</v>
      </c>
      <c r="C2886" t="s">
        <v>46</v>
      </c>
      <c r="D2886" t="s">
        <v>80</v>
      </c>
      <c r="E2886" t="s">
        <v>70</v>
      </c>
      <c r="F2886">
        <v>25</v>
      </c>
      <c r="G2886">
        <v>0.72</v>
      </c>
      <c r="H2886">
        <v>0.62</v>
      </c>
      <c r="I2886" t="s">
        <v>60</v>
      </c>
      <c r="J2886">
        <v>88252</v>
      </c>
      <c r="K2886" t="s">
        <v>27</v>
      </c>
      <c r="L2886">
        <v>21</v>
      </c>
      <c r="M2886">
        <v>42</v>
      </c>
      <c r="N2886" t="s">
        <v>26</v>
      </c>
      <c r="O2886" t="s">
        <v>27</v>
      </c>
      <c r="P2886">
        <v>2.2400000000000002</v>
      </c>
      <c r="Q2886" t="s">
        <v>34</v>
      </c>
      <c r="R2886">
        <v>2.13</v>
      </c>
      <c r="S2886" t="s">
        <v>28</v>
      </c>
      <c r="T2886" t="str">
        <f t="shared" si="90"/>
        <v>Moderate</v>
      </c>
      <c r="U2886" t="str">
        <f t="shared" si="91"/>
        <v>Expert</v>
      </c>
    </row>
    <row r="2887" spans="1:21" x14ac:dyDescent="0.35">
      <c r="A2887" t="s">
        <v>2960</v>
      </c>
      <c r="B2887" t="s">
        <v>77</v>
      </c>
      <c r="C2887" t="s">
        <v>39</v>
      </c>
      <c r="D2887" t="s">
        <v>49</v>
      </c>
      <c r="E2887" t="s">
        <v>41</v>
      </c>
      <c r="F2887">
        <v>22</v>
      </c>
      <c r="G2887">
        <v>0.3</v>
      </c>
      <c r="H2887">
        <v>0.5</v>
      </c>
      <c r="I2887" t="s">
        <v>34</v>
      </c>
      <c r="J2887">
        <v>121794</v>
      </c>
      <c r="K2887" t="s">
        <v>25</v>
      </c>
      <c r="L2887">
        <v>19</v>
      </c>
      <c r="M2887">
        <v>34</v>
      </c>
      <c r="N2887" t="s">
        <v>35</v>
      </c>
      <c r="O2887" t="s">
        <v>36</v>
      </c>
      <c r="P2887">
        <v>2.42</v>
      </c>
      <c r="Q2887" t="s">
        <v>34</v>
      </c>
      <c r="R2887">
        <v>3.85</v>
      </c>
      <c r="S2887" t="s">
        <v>47</v>
      </c>
      <c r="T2887" t="str">
        <f t="shared" si="90"/>
        <v>High</v>
      </c>
      <c r="U2887" t="str">
        <f t="shared" si="91"/>
        <v>Expert</v>
      </c>
    </row>
    <row r="2888" spans="1:21" x14ac:dyDescent="0.35">
      <c r="A2888" t="s">
        <v>2961</v>
      </c>
      <c r="B2888" t="s">
        <v>30</v>
      </c>
      <c r="C2888" t="s">
        <v>107</v>
      </c>
      <c r="D2888" t="s">
        <v>40</v>
      </c>
      <c r="E2888" t="s">
        <v>23</v>
      </c>
      <c r="F2888">
        <v>5</v>
      </c>
      <c r="G2888">
        <v>0.85</v>
      </c>
      <c r="H2888">
        <v>0.56999999999999995</v>
      </c>
      <c r="I2888" t="s">
        <v>60</v>
      </c>
      <c r="J2888">
        <v>215445</v>
      </c>
      <c r="K2888" t="s">
        <v>27</v>
      </c>
      <c r="L2888">
        <v>7</v>
      </c>
      <c r="M2888">
        <v>45</v>
      </c>
      <c r="N2888" t="s">
        <v>26</v>
      </c>
      <c r="O2888" t="s">
        <v>36</v>
      </c>
      <c r="P2888">
        <v>4.75</v>
      </c>
      <c r="Q2888" t="s">
        <v>34</v>
      </c>
      <c r="R2888">
        <v>4.8600000000000003</v>
      </c>
      <c r="S2888" t="s">
        <v>28</v>
      </c>
      <c r="T2888" t="str">
        <f t="shared" si="90"/>
        <v>Moderate</v>
      </c>
      <c r="U2888" t="str">
        <f t="shared" si="91"/>
        <v>Intermediate</v>
      </c>
    </row>
    <row r="2889" spans="1:21" x14ac:dyDescent="0.35">
      <c r="A2889" t="s">
        <v>2962</v>
      </c>
      <c r="B2889" t="s">
        <v>54</v>
      </c>
      <c r="C2889" t="s">
        <v>55</v>
      </c>
      <c r="D2889" t="s">
        <v>59</v>
      </c>
      <c r="E2889" t="s">
        <v>70</v>
      </c>
      <c r="F2889">
        <v>12</v>
      </c>
      <c r="G2889">
        <v>0.16</v>
      </c>
      <c r="H2889">
        <v>0.5</v>
      </c>
      <c r="I2889" t="s">
        <v>60</v>
      </c>
      <c r="J2889">
        <v>189876</v>
      </c>
      <c r="K2889" t="s">
        <v>25</v>
      </c>
      <c r="L2889">
        <v>-3</v>
      </c>
      <c r="M2889">
        <v>43</v>
      </c>
      <c r="N2889" t="s">
        <v>42</v>
      </c>
      <c r="O2889" t="s">
        <v>27</v>
      </c>
      <c r="P2889">
        <v>3.02</v>
      </c>
      <c r="Q2889" t="s">
        <v>34</v>
      </c>
      <c r="R2889">
        <v>2.82</v>
      </c>
      <c r="S2889" t="s">
        <v>43</v>
      </c>
      <c r="T2889" t="str">
        <f t="shared" si="90"/>
        <v>High</v>
      </c>
      <c r="U2889" t="str">
        <f t="shared" si="91"/>
        <v>Experienced</v>
      </c>
    </row>
    <row r="2890" spans="1:21" x14ac:dyDescent="0.35">
      <c r="A2890" t="s">
        <v>2963</v>
      </c>
      <c r="B2890" t="s">
        <v>102</v>
      </c>
      <c r="C2890" t="s">
        <v>58</v>
      </c>
      <c r="D2890" t="s">
        <v>59</v>
      </c>
      <c r="E2890" t="s">
        <v>23</v>
      </c>
      <c r="F2890">
        <v>2</v>
      </c>
      <c r="G2890">
        <v>0.74</v>
      </c>
      <c r="H2890">
        <v>0.83</v>
      </c>
      <c r="I2890" t="s">
        <v>60</v>
      </c>
      <c r="J2890">
        <v>190735</v>
      </c>
      <c r="K2890" t="s">
        <v>27</v>
      </c>
      <c r="L2890">
        <v>26</v>
      </c>
      <c r="M2890">
        <v>36</v>
      </c>
      <c r="N2890" t="s">
        <v>35</v>
      </c>
      <c r="O2890" t="s">
        <v>36</v>
      </c>
      <c r="P2890">
        <v>4.1900000000000004</v>
      </c>
      <c r="Q2890" t="s">
        <v>24</v>
      </c>
      <c r="R2890">
        <v>4.1399999999999997</v>
      </c>
      <c r="S2890" t="s">
        <v>28</v>
      </c>
      <c r="T2890" t="str">
        <f t="shared" si="90"/>
        <v>High</v>
      </c>
      <c r="U2890" t="str">
        <f t="shared" si="91"/>
        <v>Beginner</v>
      </c>
    </row>
    <row r="2891" spans="1:21" x14ac:dyDescent="0.35">
      <c r="A2891" t="s">
        <v>2964</v>
      </c>
      <c r="B2891" t="s">
        <v>96</v>
      </c>
      <c r="C2891" t="s">
        <v>55</v>
      </c>
      <c r="D2891" t="s">
        <v>59</v>
      </c>
      <c r="E2891" t="s">
        <v>23</v>
      </c>
      <c r="F2891">
        <v>23</v>
      </c>
      <c r="G2891">
        <v>0.95</v>
      </c>
      <c r="H2891">
        <v>0.98</v>
      </c>
      <c r="I2891" t="s">
        <v>60</v>
      </c>
      <c r="J2891">
        <v>79616</v>
      </c>
      <c r="K2891" t="s">
        <v>25</v>
      </c>
      <c r="L2891">
        <v>33</v>
      </c>
      <c r="M2891">
        <v>36</v>
      </c>
      <c r="N2891" t="s">
        <v>42</v>
      </c>
      <c r="O2891" t="s">
        <v>25</v>
      </c>
      <c r="P2891">
        <v>3.4</v>
      </c>
      <c r="Q2891" t="s">
        <v>34</v>
      </c>
      <c r="R2891">
        <v>2.29</v>
      </c>
      <c r="S2891" t="s">
        <v>28</v>
      </c>
      <c r="T2891" t="str">
        <f t="shared" si="90"/>
        <v>High</v>
      </c>
      <c r="U2891" t="str">
        <f t="shared" si="91"/>
        <v>Expert</v>
      </c>
    </row>
    <row r="2892" spans="1:21" x14ac:dyDescent="0.35">
      <c r="A2892" t="s">
        <v>2965</v>
      </c>
      <c r="B2892" t="s">
        <v>54</v>
      </c>
      <c r="C2892" t="s">
        <v>52</v>
      </c>
      <c r="D2892" t="s">
        <v>63</v>
      </c>
      <c r="E2892" t="s">
        <v>70</v>
      </c>
      <c r="F2892">
        <v>10</v>
      </c>
      <c r="G2892">
        <v>0.75</v>
      </c>
      <c r="H2892">
        <v>0.75</v>
      </c>
      <c r="I2892" t="s">
        <v>34</v>
      </c>
      <c r="J2892">
        <v>40304</v>
      </c>
      <c r="K2892" t="s">
        <v>42</v>
      </c>
      <c r="L2892">
        <v>17</v>
      </c>
      <c r="M2892">
        <v>42</v>
      </c>
      <c r="N2892" t="s">
        <v>35</v>
      </c>
      <c r="O2892" t="s">
        <v>27</v>
      </c>
      <c r="P2892">
        <v>3.16</v>
      </c>
      <c r="Q2892" t="s">
        <v>24</v>
      </c>
      <c r="R2892">
        <v>2.56</v>
      </c>
      <c r="S2892" t="s">
        <v>28</v>
      </c>
      <c r="T2892" t="str">
        <f t="shared" si="90"/>
        <v>Moderate</v>
      </c>
      <c r="U2892" t="str">
        <f t="shared" si="91"/>
        <v>Experienced</v>
      </c>
    </row>
    <row r="2893" spans="1:21" x14ac:dyDescent="0.35">
      <c r="A2893" t="s">
        <v>2966</v>
      </c>
      <c r="B2893" t="s">
        <v>62</v>
      </c>
      <c r="C2893" t="s">
        <v>82</v>
      </c>
      <c r="D2893" t="s">
        <v>40</v>
      </c>
      <c r="E2893" t="s">
        <v>41</v>
      </c>
      <c r="F2893">
        <v>7</v>
      </c>
      <c r="G2893">
        <v>0.85</v>
      </c>
      <c r="H2893">
        <v>0.37</v>
      </c>
      <c r="I2893" t="s">
        <v>34</v>
      </c>
      <c r="J2893">
        <v>45235</v>
      </c>
      <c r="K2893" t="s">
        <v>27</v>
      </c>
      <c r="L2893">
        <v>37</v>
      </c>
      <c r="M2893">
        <v>60</v>
      </c>
      <c r="N2893" t="s">
        <v>26</v>
      </c>
      <c r="O2893" t="s">
        <v>27</v>
      </c>
      <c r="P2893">
        <v>4.45</v>
      </c>
      <c r="Q2893" t="s">
        <v>24</v>
      </c>
      <c r="R2893">
        <v>2.21</v>
      </c>
      <c r="S2893" t="s">
        <v>28</v>
      </c>
      <c r="T2893" t="str">
        <f t="shared" si="90"/>
        <v>Very Low</v>
      </c>
      <c r="U2893" t="str">
        <f t="shared" si="91"/>
        <v>Intermediate</v>
      </c>
    </row>
    <row r="2894" spans="1:21" x14ac:dyDescent="0.35">
      <c r="A2894" t="s">
        <v>2967</v>
      </c>
      <c r="B2894" t="s">
        <v>38</v>
      </c>
      <c r="C2894" t="s">
        <v>39</v>
      </c>
      <c r="D2894" t="s">
        <v>49</v>
      </c>
      <c r="E2894" t="s">
        <v>23</v>
      </c>
      <c r="F2894">
        <v>22</v>
      </c>
      <c r="G2894">
        <v>0.21</v>
      </c>
      <c r="H2894">
        <v>0.36</v>
      </c>
      <c r="I2894" t="s">
        <v>60</v>
      </c>
      <c r="J2894">
        <v>147271</v>
      </c>
      <c r="K2894" t="s">
        <v>42</v>
      </c>
      <c r="L2894">
        <v>28</v>
      </c>
      <c r="M2894">
        <v>30</v>
      </c>
      <c r="N2894" t="s">
        <v>35</v>
      </c>
      <c r="O2894" t="s">
        <v>25</v>
      </c>
      <c r="P2894">
        <v>3.8</v>
      </c>
      <c r="Q2894" t="s">
        <v>24</v>
      </c>
      <c r="R2894">
        <v>3.48</v>
      </c>
      <c r="S2894" t="s">
        <v>47</v>
      </c>
      <c r="T2894" t="str">
        <f t="shared" si="90"/>
        <v>High</v>
      </c>
      <c r="U2894" t="str">
        <f t="shared" si="91"/>
        <v>Expert</v>
      </c>
    </row>
    <row r="2895" spans="1:21" x14ac:dyDescent="0.35">
      <c r="A2895" t="s">
        <v>2968</v>
      </c>
      <c r="B2895" t="s">
        <v>54</v>
      </c>
      <c r="C2895" t="s">
        <v>58</v>
      </c>
      <c r="D2895" t="s">
        <v>80</v>
      </c>
      <c r="E2895" t="s">
        <v>70</v>
      </c>
      <c r="F2895">
        <v>1</v>
      </c>
      <c r="G2895">
        <v>0.06</v>
      </c>
      <c r="H2895">
        <v>0.43</v>
      </c>
      <c r="I2895" t="s">
        <v>60</v>
      </c>
      <c r="J2895">
        <v>154334</v>
      </c>
      <c r="K2895" t="s">
        <v>42</v>
      </c>
      <c r="L2895">
        <v>35</v>
      </c>
      <c r="M2895">
        <v>39</v>
      </c>
      <c r="N2895" t="s">
        <v>26</v>
      </c>
      <c r="O2895" t="s">
        <v>27</v>
      </c>
      <c r="P2895">
        <v>2.23</v>
      </c>
      <c r="Q2895" t="s">
        <v>24</v>
      </c>
      <c r="R2895">
        <v>4.93</v>
      </c>
      <c r="S2895" t="s">
        <v>28</v>
      </c>
      <c r="T2895" t="str">
        <f t="shared" si="90"/>
        <v>High</v>
      </c>
      <c r="U2895" t="str">
        <f t="shared" si="91"/>
        <v>Beginner</v>
      </c>
    </row>
    <row r="2896" spans="1:21" x14ac:dyDescent="0.35">
      <c r="A2896" t="s">
        <v>2969</v>
      </c>
      <c r="B2896" t="s">
        <v>77</v>
      </c>
      <c r="C2896" t="s">
        <v>39</v>
      </c>
      <c r="D2896" t="s">
        <v>80</v>
      </c>
      <c r="E2896" t="s">
        <v>33</v>
      </c>
      <c r="F2896">
        <v>24</v>
      </c>
      <c r="G2896">
        <v>0.93</v>
      </c>
      <c r="H2896">
        <v>0.66</v>
      </c>
      <c r="I2896" t="s">
        <v>34</v>
      </c>
      <c r="J2896">
        <v>111826</v>
      </c>
      <c r="K2896" t="s">
        <v>27</v>
      </c>
      <c r="L2896">
        <v>4</v>
      </c>
      <c r="M2896">
        <v>32</v>
      </c>
      <c r="N2896" t="s">
        <v>35</v>
      </c>
      <c r="O2896" t="s">
        <v>27</v>
      </c>
      <c r="P2896">
        <v>2.04</v>
      </c>
      <c r="Q2896" t="s">
        <v>24</v>
      </c>
      <c r="R2896">
        <v>3.86</v>
      </c>
      <c r="S2896" t="s">
        <v>47</v>
      </c>
      <c r="T2896" t="str">
        <f t="shared" si="90"/>
        <v>Moderate</v>
      </c>
      <c r="U2896" t="str">
        <f t="shared" si="91"/>
        <v>Expert</v>
      </c>
    </row>
    <row r="2897" spans="1:21" x14ac:dyDescent="0.35">
      <c r="A2897" t="s">
        <v>2970</v>
      </c>
      <c r="B2897" t="s">
        <v>96</v>
      </c>
      <c r="C2897" t="s">
        <v>21</v>
      </c>
      <c r="D2897" t="s">
        <v>66</v>
      </c>
      <c r="E2897" t="s">
        <v>41</v>
      </c>
      <c r="F2897">
        <v>9</v>
      </c>
      <c r="G2897">
        <v>0.44</v>
      </c>
      <c r="H2897">
        <v>0.56000000000000005</v>
      </c>
      <c r="I2897" t="s">
        <v>34</v>
      </c>
      <c r="J2897">
        <v>82094</v>
      </c>
      <c r="K2897" t="s">
        <v>27</v>
      </c>
      <c r="L2897">
        <v>16</v>
      </c>
      <c r="M2897">
        <v>32</v>
      </c>
      <c r="N2897" t="s">
        <v>26</v>
      </c>
      <c r="O2897" t="s">
        <v>36</v>
      </c>
      <c r="P2897">
        <v>4.66</v>
      </c>
      <c r="Q2897" t="s">
        <v>34</v>
      </c>
      <c r="R2897">
        <v>1.35</v>
      </c>
      <c r="S2897" t="s">
        <v>28</v>
      </c>
      <c r="T2897" t="str">
        <f t="shared" si="90"/>
        <v>High</v>
      </c>
      <c r="U2897" t="str">
        <f t="shared" si="91"/>
        <v>Experienced</v>
      </c>
    </row>
    <row r="2898" spans="1:21" x14ac:dyDescent="0.35">
      <c r="A2898" t="s">
        <v>2971</v>
      </c>
      <c r="B2898" t="s">
        <v>77</v>
      </c>
      <c r="C2898" t="s">
        <v>31</v>
      </c>
      <c r="D2898" t="s">
        <v>32</v>
      </c>
      <c r="E2898" t="s">
        <v>33</v>
      </c>
      <c r="F2898">
        <v>5</v>
      </c>
      <c r="G2898">
        <v>0.06</v>
      </c>
      <c r="H2898">
        <v>0.75</v>
      </c>
      <c r="I2898" t="s">
        <v>24</v>
      </c>
      <c r="J2898">
        <v>189788</v>
      </c>
      <c r="K2898" t="s">
        <v>25</v>
      </c>
      <c r="L2898">
        <v>37</v>
      </c>
      <c r="M2898">
        <v>49</v>
      </c>
      <c r="N2898" t="s">
        <v>42</v>
      </c>
      <c r="O2898" t="s">
        <v>27</v>
      </c>
      <c r="P2898">
        <v>3.51</v>
      </c>
      <c r="Q2898" t="s">
        <v>34</v>
      </c>
      <c r="R2898">
        <v>3.86</v>
      </c>
      <c r="S2898" t="s">
        <v>28</v>
      </c>
      <c r="T2898" t="str">
        <f t="shared" si="90"/>
        <v>Very High</v>
      </c>
      <c r="U2898" t="str">
        <f t="shared" si="91"/>
        <v>Intermediate</v>
      </c>
    </row>
    <row r="2899" spans="1:21" x14ac:dyDescent="0.35">
      <c r="A2899" t="s">
        <v>2972</v>
      </c>
      <c r="B2899" t="s">
        <v>77</v>
      </c>
      <c r="C2899" t="s">
        <v>55</v>
      </c>
      <c r="D2899" t="s">
        <v>40</v>
      </c>
      <c r="E2899" t="s">
        <v>41</v>
      </c>
      <c r="F2899">
        <v>15</v>
      </c>
      <c r="G2899">
        <v>0.77</v>
      </c>
      <c r="H2899">
        <v>0.99</v>
      </c>
      <c r="I2899" t="s">
        <v>24</v>
      </c>
      <c r="J2899">
        <v>176680</v>
      </c>
      <c r="K2899" t="s">
        <v>25</v>
      </c>
      <c r="L2899">
        <v>-1</v>
      </c>
      <c r="M2899">
        <v>53</v>
      </c>
      <c r="N2899" t="s">
        <v>35</v>
      </c>
      <c r="O2899" t="s">
        <v>27</v>
      </c>
      <c r="P2899">
        <v>4.68</v>
      </c>
      <c r="Q2899" t="s">
        <v>34</v>
      </c>
      <c r="R2899">
        <v>2.2000000000000002</v>
      </c>
      <c r="S2899" t="s">
        <v>28</v>
      </c>
      <c r="T2899" t="str">
        <f t="shared" si="90"/>
        <v>High</v>
      </c>
      <c r="U2899" t="str">
        <f t="shared" si="91"/>
        <v>Experienced</v>
      </c>
    </row>
    <row r="2900" spans="1:21" x14ac:dyDescent="0.35">
      <c r="A2900" t="s">
        <v>2973</v>
      </c>
      <c r="B2900" t="s">
        <v>20</v>
      </c>
      <c r="C2900" t="s">
        <v>39</v>
      </c>
      <c r="D2900" t="s">
        <v>66</v>
      </c>
      <c r="E2900" t="s">
        <v>70</v>
      </c>
      <c r="F2900">
        <v>8</v>
      </c>
      <c r="G2900">
        <v>0.33</v>
      </c>
      <c r="H2900">
        <v>0.3</v>
      </c>
      <c r="I2900" t="s">
        <v>24</v>
      </c>
      <c r="J2900">
        <v>163419</v>
      </c>
      <c r="K2900" t="s">
        <v>42</v>
      </c>
      <c r="L2900">
        <v>5</v>
      </c>
      <c r="M2900">
        <v>45</v>
      </c>
      <c r="N2900" t="s">
        <v>42</v>
      </c>
      <c r="O2900" t="s">
        <v>25</v>
      </c>
      <c r="P2900">
        <v>2.8</v>
      </c>
      <c r="Q2900" t="s">
        <v>34</v>
      </c>
      <c r="R2900">
        <v>1.37</v>
      </c>
      <c r="S2900" t="s">
        <v>43</v>
      </c>
      <c r="T2900" t="str">
        <f t="shared" si="90"/>
        <v>Moderate</v>
      </c>
      <c r="U2900" t="str">
        <f t="shared" si="91"/>
        <v>Intermediate</v>
      </c>
    </row>
    <row r="2901" spans="1:21" x14ac:dyDescent="0.35">
      <c r="A2901" t="s">
        <v>2974</v>
      </c>
      <c r="B2901" t="s">
        <v>65</v>
      </c>
      <c r="C2901" t="s">
        <v>39</v>
      </c>
      <c r="D2901" t="s">
        <v>40</v>
      </c>
      <c r="E2901" t="s">
        <v>41</v>
      </c>
      <c r="F2901">
        <v>19</v>
      </c>
      <c r="G2901">
        <v>0.09</v>
      </c>
      <c r="H2901">
        <v>0.37</v>
      </c>
      <c r="I2901" t="s">
        <v>24</v>
      </c>
      <c r="J2901">
        <v>64233</v>
      </c>
      <c r="K2901" t="s">
        <v>42</v>
      </c>
      <c r="L2901">
        <v>18</v>
      </c>
      <c r="M2901">
        <v>59</v>
      </c>
      <c r="N2901" t="s">
        <v>35</v>
      </c>
      <c r="O2901" t="s">
        <v>27</v>
      </c>
      <c r="P2901">
        <v>4.5999999999999996</v>
      </c>
      <c r="Q2901" t="s">
        <v>24</v>
      </c>
      <c r="R2901">
        <v>2.17</v>
      </c>
      <c r="S2901" t="s">
        <v>47</v>
      </c>
      <c r="T2901" t="str">
        <f t="shared" si="90"/>
        <v>High</v>
      </c>
      <c r="U2901" t="str">
        <f t="shared" si="91"/>
        <v>Expert</v>
      </c>
    </row>
    <row r="2902" spans="1:21" x14ac:dyDescent="0.35">
      <c r="A2902" t="s">
        <v>2975</v>
      </c>
      <c r="B2902" t="s">
        <v>106</v>
      </c>
      <c r="C2902" t="s">
        <v>74</v>
      </c>
      <c r="D2902" t="s">
        <v>75</v>
      </c>
      <c r="E2902" t="s">
        <v>70</v>
      </c>
      <c r="F2902">
        <v>19</v>
      </c>
      <c r="G2902">
        <v>0.65</v>
      </c>
      <c r="H2902">
        <v>0.88</v>
      </c>
      <c r="I2902" t="s">
        <v>60</v>
      </c>
      <c r="J2902">
        <v>108856</v>
      </c>
      <c r="K2902" t="s">
        <v>42</v>
      </c>
      <c r="L2902">
        <v>3</v>
      </c>
      <c r="M2902">
        <v>33</v>
      </c>
      <c r="N2902" t="s">
        <v>35</v>
      </c>
      <c r="O2902" t="s">
        <v>36</v>
      </c>
      <c r="P2902">
        <v>4.29</v>
      </c>
      <c r="Q2902" t="s">
        <v>34</v>
      </c>
      <c r="R2902">
        <v>4.3600000000000003</v>
      </c>
      <c r="S2902" t="s">
        <v>43</v>
      </c>
      <c r="T2902" t="str">
        <f t="shared" si="90"/>
        <v>High</v>
      </c>
      <c r="U2902" t="str">
        <f t="shared" si="91"/>
        <v>Expert</v>
      </c>
    </row>
    <row r="2903" spans="1:21" x14ac:dyDescent="0.35">
      <c r="A2903" t="s">
        <v>2976</v>
      </c>
      <c r="B2903" t="s">
        <v>94</v>
      </c>
      <c r="C2903" t="s">
        <v>21</v>
      </c>
      <c r="D2903" t="s">
        <v>49</v>
      </c>
      <c r="E2903" t="s">
        <v>23</v>
      </c>
      <c r="F2903">
        <v>20</v>
      </c>
      <c r="G2903">
        <v>0.8</v>
      </c>
      <c r="H2903">
        <v>0.93</v>
      </c>
      <c r="I2903" t="s">
        <v>60</v>
      </c>
      <c r="J2903">
        <v>190165</v>
      </c>
      <c r="K2903" t="s">
        <v>42</v>
      </c>
      <c r="L2903">
        <v>34</v>
      </c>
      <c r="M2903">
        <v>35</v>
      </c>
      <c r="N2903" t="s">
        <v>26</v>
      </c>
      <c r="O2903" t="s">
        <v>36</v>
      </c>
      <c r="P2903">
        <v>2.38</v>
      </c>
      <c r="Q2903" t="s">
        <v>24</v>
      </c>
      <c r="R2903">
        <v>2.21</v>
      </c>
      <c r="S2903" t="s">
        <v>28</v>
      </c>
      <c r="T2903" t="str">
        <f t="shared" si="90"/>
        <v>High</v>
      </c>
      <c r="U2903" t="str">
        <f t="shared" si="91"/>
        <v>Expert</v>
      </c>
    </row>
    <row r="2904" spans="1:21" x14ac:dyDescent="0.35">
      <c r="A2904" t="s">
        <v>2977</v>
      </c>
      <c r="B2904" t="s">
        <v>106</v>
      </c>
      <c r="C2904" t="s">
        <v>74</v>
      </c>
      <c r="D2904" t="s">
        <v>22</v>
      </c>
      <c r="E2904" t="s">
        <v>33</v>
      </c>
      <c r="F2904">
        <v>6</v>
      </c>
      <c r="G2904">
        <v>0.11</v>
      </c>
      <c r="H2904">
        <v>0.77</v>
      </c>
      <c r="I2904" t="s">
        <v>24</v>
      </c>
      <c r="J2904">
        <v>168178</v>
      </c>
      <c r="K2904" t="s">
        <v>42</v>
      </c>
      <c r="L2904">
        <v>12</v>
      </c>
      <c r="M2904">
        <v>33</v>
      </c>
      <c r="N2904" t="s">
        <v>35</v>
      </c>
      <c r="O2904" t="s">
        <v>36</v>
      </c>
      <c r="P2904">
        <v>3.24</v>
      </c>
      <c r="Q2904" t="s">
        <v>24</v>
      </c>
      <c r="R2904">
        <v>4.38</v>
      </c>
      <c r="S2904" t="s">
        <v>43</v>
      </c>
      <c r="T2904" t="str">
        <f t="shared" si="90"/>
        <v>Very High</v>
      </c>
      <c r="U2904" t="str">
        <f t="shared" si="91"/>
        <v>Intermediate</v>
      </c>
    </row>
    <row r="2905" spans="1:21" x14ac:dyDescent="0.35">
      <c r="A2905" t="s">
        <v>2978</v>
      </c>
      <c r="B2905" t="s">
        <v>156</v>
      </c>
      <c r="C2905" t="s">
        <v>74</v>
      </c>
      <c r="D2905" t="s">
        <v>66</v>
      </c>
      <c r="E2905" t="s">
        <v>23</v>
      </c>
      <c r="F2905">
        <v>18</v>
      </c>
      <c r="G2905">
        <v>0.94</v>
      </c>
      <c r="H2905">
        <v>0.44</v>
      </c>
      <c r="I2905" t="s">
        <v>24</v>
      </c>
      <c r="J2905">
        <v>139195</v>
      </c>
      <c r="K2905" t="s">
        <v>42</v>
      </c>
      <c r="L2905">
        <v>43</v>
      </c>
      <c r="M2905">
        <v>31</v>
      </c>
      <c r="N2905" t="s">
        <v>26</v>
      </c>
      <c r="O2905" t="s">
        <v>36</v>
      </c>
      <c r="P2905">
        <v>3.93</v>
      </c>
      <c r="Q2905" t="s">
        <v>34</v>
      </c>
      <c r="R2905">
        <v>3.63</v>
      </c>
      <c r="S2905" t="s">
        <v>47</v>
      </c>
      <c r="T2905" t="str">
        <f t="shared" si="90"/>
        <v>Very Low</v>
      </c>
      <c r="U2905" t="str">
        <f t="shared" si="91"/>
        <v>Expert</v>
      </c>
    </row>
    <row r="2906" spans="1:21" x14ac:dyDescent="0.35">
      <c r="A2906" t="s">
        <v>2979</v>
      </c>
      <c r="B2906" t="s">
        <v>65</v>
      </c>
      <c r="C2906" t="s">
        <v>107</v>
      </c>
      <c r="D2906" t="s">
        <v>80</v>
      </c>
      <c r="E2906" t="s">
        <v>23</v>
      </c>
      <c r="F2906">
        <v>10</v>
      </c>
      <c r="G2906">
        <v>0.3</v>
      </c>
      <c r="H2906">
        <v>0.37</v>
      </c>
      <c r="I2906" t="s">
        <v>24</v>
      </c>
      <c r="J2906">
        <v>35729</v>
      </c>
      <c r="K2906" t="s">
        <v>42</v>
      </c>
      <c r="L2906">
        <v>4</v>
      </c>
      <c r="M2906">
        <v>35</v>
      </c>
      <c r="N2906" t="s">
        <v>35</v>
      </c>
      <c r="O2906" t="s">
        <v>27</v>
      </c>
      <c r="P2906">
        <v>3.57</v>
      </c>
      <c r="Q2906" t="s">
        <v>34</v>
      </c>
      <c r="R2906">
        <v>2.1800000000000002</v>
      </c>
      <c r="S2906" t="s">
        <v>47</v>
      </c>
      <c r="T2906" t="str">
        <f t="shared" si="90"/>
        <v>High</v>
      </c>
      <c r="U2906" t="str">
        <f t="shared" si="91"/>
        <v>Experienced</v>
      </c>
    </row>
    <row r="2907" spans="1:21" x14ac:dyDescent="0.35">
      <c r="A2907" t="s">
        <v>2980</v>
      </c>
      <c r="B2907" t="s">
        <v>102</v>
      </c>
      <c r="C2907" t="s">
        <v>107</v>
      </c>
      <c r="D2907" t="s">
        <v>49</v>
      </c>
      <c r="E2907" t="s">
        <v>41</v>
      </c>
      <c r="F2907">
        <v>0</v>
      </c>
      <c r="G2907">
        <v>0.21</v>
      </c>
      <c r="H2907">
        <v>0.93</v>
      </c>
      <c r="I2907" t="s">
        <v>24</v>
      </c>
      <c r="J2907">
        <v>45626</v>
      </c>
      <c r="K2907" t="s">
        <v>25</v>
      </c>
      <c r="L2907">
        <v>42</v>
      </c>
      <c r="M2907">
        <v>36</v>
      </c>
      <c r="N2907" t="s">
        <v>42</v>
      </c>
      <c r="O2907" t="s">
        <v>27</v>
      </c>
      <c r="P2907">
        <v>2.42</v>
      </c>
      <c r="Q2907" t="s">
        <v>34</v>
      </c>
      <c r="R2907">
        <v>4.22</v>
      </c>
      <c r="S2907" t="s">
        <v>47</v>
      </c>
      <c r="T2907" t="str">
        <f t="shared" si="90"/>
        <v>Very High</v>
      </c>
      <c r="U2907" t="str">
        <f t="shared" si="91"/>
        <v>Beginner</v>
      </c>
    </row>
    <row r="2908" spans="1:21" x14ac:dyDescent="0.35">
      <c r="A2908" t="s">
        <v>2981</v>
      </c>
      <c r="B2908" t="s">
        <v>73</v>
      </c>
      <c r="C2908" t="s">
        <v>55</v>
      </c>
      <c r="D2908" t="s">
        <v>80</v>
      </c>
      <c r="E2908" t="s">
        <v>33</v>
      </c>
      <c r="F2908">
        <v>5</v>
      </c>
      <c r="G2908">
        <v>0.78</v>
      </c>
      <c r="H2908">
        <v>0.82</v>
      </c>
      <c r="I2908" t="s">
        <v>60</v>
      </c>
      <c r="J2908">
        <v>154088</v>
      </c>
      <c r="K2908" t="s">
        <v>42</v>
      </c>
      <c r="L2908">
        <v>44</v>
      </c>
      <c r="M2908">
        <v>31</v>
      </c>
      <c r="N2908" t="s">
        <v>42</v>
      </c>
      <c r="O2908" t="s">
        <v>25</v>
      </c>
      <c r="P2908">
        <v>3.14</v>
      </c>
      <c r="Q2908" t="s">
        <v>34</v>
      </c>
      <c r="R2908">
        <v>1.9</v>
      </c>
      <c r="S2908" t="s">
        <v>43</v>
      </c>
      <c r="T2908" t="str">
        <f t="shared" si="90"/>
        <v>High</v>
      </c>
      <c r="U2908" t="str">
        <f t="shared" si="91"/>
        <v>Intermediate</v>
      </c>
    </row>
    <row r="2909" spans="1:21" x14ac:dyDescent="0.35">
      <c r="A2909" t="s">
        <v>2982</v>
      </c>
      <c r="B2909" t="s">
        <v>91</v>
      </c>
      <c r="C2909" t="s">
        <v>31</v>
      </c>
      <c r="D2909" t="s">
        <v>69</v>
      </c>
      <c r="E2909" t="s">
        <v>70</v>
      </c>
      <c r="F2909">
        <v>23</v>
      </c>
      <c r="G2909">
        <v>0.33</v>
      </c>
      <c r="H2909">
        <v>0.47</v>
      </c>
      <c r="I2909" t="s">
        <v>24</v>
      </c>
      <c r="J2909">
        <v>112672</v>
      </c>
      <c r="K2909" t="s">
        <v>25</v>
      </c>
      <c r="L2909">
        <v>4</v>
      </c>
      <c r="M2909">
        <v>31</v>
      </c>
      <c r="N2909" t="s">
        <v>42</v>
      </c>
      <c r="O2909" t="s">
        <v>25</v>
      </c>
      <c r="P2909">
        <v>2.65</v>
      </c>
      <c r="Q2909" t="s">
        <v>24</v>
      </c>
      <c r="R2909">
        <v>3.67</v>
      </c>
      <c r="S2909" t="s">
        <v>28</v>
      </c>
      <c r="T2909" t="str">
        <f t="shared" si="90"/>
        <v>High</v>
      </c>
      <c r="U2909" t="str">
        <f t="shared" si="91"/>
        <v>Expert</v>
      </c>
    </row>
    <row r="2910" spans="1:21" x14ac:dyDescent="0.35">
      <c r="A2910" t="s">
        <v>2983</v>
      </c>
      <c r="B2910" t="s">
        <v>156</v>
      </c>
      <c r="C2910" t="s">
        <v>52</v>
      </c>
      <c r="D2910" t="s">
        <v>32</v>
      </c>
      <c r="E2910" t="s">
        <v>33</v>
      </c>
      <c r="F2910">
        <v>11</v>
      </c>
      <c r="G2910">
        <v>0.51</v>
      </c>
      <c r="H2910">
        <v>0.48</v>
      </c>
      <c r="I2910" t="s">
        <v>60</v>
      </c>
      <c r="J2910">
        <v>119964</v>
      </c>
      <c r="K2910" t="s">
        <v>27</v>
      </c>
      <c r="L2910">
        <v>-8</v>
      </c>
      <c r="M2910">
        <v>53</v>
      </c>
      <c r="N2910" t="s">
        <v>26</v>
      </c>
      <c r="O2910" t="s">
        <v>27</v>
      </c>
      <c r="P2910">
        <v>4.41</v>
      </c>
      <c r="Q2910" t="s">
        <v>34</v>
      </c>
      <c r="R2910">
        <v>3.45</v>
      </c>
      <c r="S2910" t="s">
        <v>28</v>
      </c>
      <c r="T2910" t="str">
        <f t="shared" si="90"/>
        <v>Moderate</v>
      </c>
      <c r="U2910" t="str">
        <f t="shared" si="91"/>
        <v>Experienced</v>
      </c>
    </row>
    <row r="2911" spans="1:21" x14ac:dyDescent="0.35">
      <c r="A2911" t="s">
        <v>2984</v>
      </c>
      <c r="B2911" t="s">
        <v>102</v>
      </c>
      <c r="C2911" t="s">
        <v>55</v>
      </c>
      <c r="D2911" t="s">
        <v>69</v>
      </c>
      <c r="E2911" t="s">
        <v>70</v>
      </c>
      <c r="F2911">
        <v>10</v>
      </c>
      <c r="G2911">
        <v>0.11</v>
      </c>
      <c r="H2911">
        <v>0.84</v>
      </c>
      <c r="I2911" t="s">
        <v>34</v>
      </c>
      <c r="J2911">
        <v>191194</v>
      </c>
      <c r="K2911" t="s">
        <v>27</v>
      </c>
      <c r="L2911">
        <v>11</v>
      </c>
      <c r="M2911">
        <v>57</v>
      </c>
      <c r="N2911" t="s">
        <v>26</v>
      </c>
      <c r="O2911" t="s">
        <v>25</v>
      </c>
      <c r="P2911">
        <v>4.57</v>
      </c>
      <c r="Q2911" t="s">
        <v>24</v>
      </c>
      <c r="R2911">
        <v>1.04</v>
      </c>
      <c r="S2911" t="s">
        <v>28</v>
      </c>
      <c r="T2911" t="str">
        <f t="shared" si="90"/>
        <v>Very High</v>
      </c>
      <c r="U2911" t="str">
        <f t="shared" si="91"/>
        <v>Experienced</v>
      </c>
    </row>
    <row r="2912" spans="1:21" x14ac:dyDescent="0.35">
      <c r="A2912" t="s">
        <v>2985</v>
      </c>
      <c r="B2912" t="s">
        <v>38</v>
      </c>
      <c r="C2912" t="s">
        <v>82</v>
      </c>
      <c r="D2912" t="s">
        <v>49</v>
      </c>
      <c r="E2912" t="s">
        <v>70</v>
      </c>
      <c r="F2912">
        <v>2</v>
      </c>
      <c r="G2912">
        <v>0.73</v>
      </c>
      <c r="H2912">
        <v>0.95</v>
      </c>
      <c r="I2912" t="s">
        <v>24</v>
      </c>
      <c r="J2912">
        <v>206733</v>
      </c>
      <c r="K2912" t="s">
        <v>25</v>
      </c>
      <c r="L2912">
        <v>39</v>
      </c>
      <c r="M2912">
        <v>53</v>
      </c>
      <c r="N2912" t="s">
        <v>42</v>
      </c>
      <c r="O2912" t="s">
        <v>36</v>
      </c>
      <c r="P2912">
        <v>2.98</v>
      </c>
      <c r="Q2912" t="s">
        <v>24</v>
      </c>
      <c r="R2912">
        <v>3.73</v>
      </c>
      <c r="S2912" t="s">
        <v>28</v>
      </c>
      <c r="T2912" t="str">
        <f t="shared" si="90"/>
        <v>High</v>
      </c>
      <c r="U2912" t="str">
        <f t="shared" si="91"/>
        <v>Beginner</v>
      </c>
    </row>
    <row r="2913" spans="1:21" x14ac:dyDescent="0.35">
      <c r="A2913" t="s">
        <v>2986</v>
      </c>
      <c r="B2913" t="s">
        <v>73</v>
      </c>
      <c r="C2913" t="s">
        <v>107</v>
      </c>
      <c r="D2913" t="s">
        <v>22</v>
      </c>
      <c r="E2913" t="s">
        <v>33</v>
      </c>
      <c r="F2913">
        <v>8</v>
      </c>
      <c r="G2913">
        <v>0.62</v>
      </c>
      <c r="H2913">
        <v>0.24</v>
      </c>
      <c r="I2913" t="s">
        <v>24</v>
      </c>
      <c r="J2913">
        <v>99562</v>
      </c>
      <c r="K2913" t="s">
        <v>25</v>
      </c>
      <c r="L2913">
        <v>18</v>
      </c>
      <c r="M2913">
        <v>56</v>
      </c>
      <c r="N2913" t="s">
        <v>42</v>
      </c>
      <c r="O2913" t="s">
        <v>25</v>
      </c>
      <c r="P2913">
        <v>4.4000000000000004</v>
      </c>
      <c r="Q2913" t="s">
        <v>34</v>
      </c>
      <c r="R2913">
        <v>3.52</v>
      </c>
      <c r="S2913" t="s">
        <v>47</v>
      </c>
      <c r="T2913" t="str">
        <f t="shared" si="90"/>
        <v>Moderate</v>
      </c>
      <c r="U2913" t="str">
        <f t="shared" si="91"/>
        <v>Intermediate</v>
      </c>
    </row>
    <row r="2914" spans="1:21" x14ac:dyDescent="0.35">
      <c r="A2914" t="s">
        <v>2987</v>
      </c>
      <c r="B2914" t="s">
        <v>62</v>
      </c>
      <c r="C2914" t="s">
        <v>46</v>
      </c>
      <c r="D2914" t="s">
        <v>22</v>
      </c>
      <c r="E2914" t="s">
        <v>23</v>
      </c>
      <c r="F2914">
        <v>6</v>
      </c>
      <c r="G2914">
        <v>0.82</v>
      </c>
      <c r="H2914">
        <v>0.55000000000000004</v>
      </c>
      <c r="I2914" t="s">
        <v>24</v>
      </c>
      <c r="J2914">
        <v>93332</v>
      </c>
      <c r="K2914" t="s">
        <v>25</v>
      </c>
      <c r="L2914">
        <v>13</v>
      </c>
      <c r="M2914">
        <v>41</v>
      </c>
      <c r="N2914" t="s">
        <v>35</v>
      </c>
      <c r="O2914" t="s">
        <v>27</v>
      </c>
      <c r="P2914">
        <v>4.28</v>
      </c>
      <c r="Q2914" t="s">
        <v>34</v>
      </c>
      <c r="R2914">
        <v>4.45</v>
      </c>
      <c r="S2914" t="s">
        <v>43</v>
      </c>
      <c r="T2914" t="str">
        <f t="shared" si="90"/>
        <v>Moderate</v>
      </c>
      <c r="U2914" t="str">
        <f t="shared" si="91"/>
        <v>Intermediate</v>
      </c>
    </row>
    <row r="2915" spans="1:21" x14ac:dyDescent="0.35">
      <c r="A2915" t="s">
        <v>2988</v>
      </c>
      <c r="B2915" t="s">
        <v>96</v>
      </c>
      <c r="C2915" t="s">
        <v>21</v>
      </c>
      <c r="D2915" t="s">
        <v>32</v>
      </c>
      <c r="E2915" t="s">
        <v>33</v>
      </c>
      <c r="F2915">
        <v>8</v>
      </c>
      <c r="G2915">
        <v>0.79</v>
      </c>
      <c r="H2915">
        <v>0.94</v>
      </c>
      <c r="I2915" t="s">
        <v>24</v>
      </c>
      <c r="J2915">
        <v>173212</v>
      </c>
      <c r="K2915" t="s">
        <v>27</v>
      </c>
      <c r="L2915">
        <v>32</v>
      </c>
      <c r="M2915">
        <v>31</v>
      </c>
      <c r="N2915" t="s">
        <v>35</v>
      </c>
      <c r="O2915" t="s">
        <v>25</v>
      </c>
      <c r="P2915">
        <v>2.94</v>
      </c>
      <c r="Q2915" t="s">
        <v>24</v>
      </c>
      <c r="R2915">
        <v>2.98</v>
      </c>
      <c r="S2915" t="s">
        <v>28</v>
      </c>
      <c r="T2915" t="str">
        <f t="shared" si="90"/>
        <v>High</v>
      </c>
      <c r="U2915" t="str">
        <f t="shared" si="91"/>
        <v>Intermediate</v>
      </c>
    </row>
    <row r="2916" spans="1:21" x14ac:dyDescent="0.35">
      <c r="A2916" t="s">
        <v>2989</v>
      </c>
      <c r="B2916" t="s">
        <v>89</v>
      </c>
      <c r="C2916" t="s">
        <v>31</v>
      </c>
      <c r="D2916" t="s">
        <v>75</v>
      </c>
      <c r="E2916" t="s">
        <v>23</v>
      </c>
      <c r="F2916">
        <v>11</v>
      </c>
      <c r="G2916">
        <v>0.63</v>
      </c>
      <c r="H2916">
        <v>0.35</v>
      </c>
      <c r="I2916" t="s">
        <v>60</v>
      </c>
      <c r="J2916">
        <v>176967</v>
      </c>
      <c r="K2916" t="s">
        <v>42</v>
      </c>
      <c r="L2916">
        <v>35</v>
      </c>
      <c r="M2916">
        <v>46</v>
      </c>
      <c r="N2916" t="s">
        <v>26</v>
      </c>
      <c r="O2916" t="s">
        <v>36</v>
      </c>
      <c r="P2916">
        <v>4.6100000000000003</v>
      </c>
      <c r="Q2916" t="s">
        <v>24</v>
      </c>
      <c r="R2916">
        <v>2.39</v>
      </c>
      <c r="S2916" t="s">
        <v>28</v>
      </c>
      <c r="T2916" t="str">
        <f t="shared" si="90"/>
        <v>Moderate</v>
      </c>
      <c r="U2916" t="str">
        <f t="shared" si="91"/>
        <v>Experienced</v>
      </c>
    </row>
    <row r="2917" spans="1:21" x14ac:dyDescent="0.35">
      <c r="A2917" t="s">
        <v>2990</v>
      </c>
      <c r="B2917" t="s">
        <v>106</v>
      </c>
      <c r="C2917" t="s">
        <v>55</v>
      </c>
      <c r="D2917" t="s">
        <v>80</v>
      </c>
      <c r="E2917" t="s">
        <v>70</v>
      </c>
      <c r="F2917">
        <v>2</v>
      </c>
      <c r="G2917">
        <v>0.21</v>
      </c>
      <c r="H2917">
        <v>0.7</v>
      </c>
      <c r="I2917" t="s">
        <v>34</v>
      </c>
      <c r="J2917">
        <v>183462</v>
      </c>
      <c r="K2917" t="s">
        <v>27</v>
      </c>
      <c r="L2917">
        <v>4</v>
      </c>
      <c r="M2917">
        <v>60</v>
      </c>
      <c r="N2917" t="s">
        <v>26</v>
      </c>
      <c r="O2917" t="s">
        <v>36</v>
      </c>
      <c r="P2917">
        <v>4.63</v>
      </c>
      <c r="Q2917" t="s">
        <v>34</v>
      </c>
      <c r="R2917">
        <v>2.87</v>
      </c>
      <c r="S2917" t="s">
        <v>28</v>
      </c>
      <c r="T2917" t="str">
        <f t="shared" si="90"/>
        <v>Very High</v>
      </c>
      <c r="U2917" t="str">
        <f t="shared" si="91"/>
        <v>Beginner</v>
      </c>
    </row>
    <row r="2918" spans="1:21" x14ac:dyDescent="0.35">
      <c r="A2918" t="s">
        <v>2991</v>
      </c>
      <c r="B2918" t="s">
        <v>147</v>
      </c>
      <c r="C2918" t="s">
        <v>74</v>
      </c>
      <c r="D2918" t="s">
        <v>40</v>
      </c>
      <c r="E2918" t="s">
        <v>70</v>
      </c>
      <c r="F2918">
        <v>23</v>
      </c>
      <c r="G2918">
        <v>0.65</v>
      </c>
      <c r="H2918">
        <v>0.85</v>
      </c>
      <c r="I2918" t="s">
        <v>60</v>
      </c>
      <c r="J2918">
        <v>31500</v>
      </c>
      <c r="K2918" t="s">
        <v>42</v>
      </c>
      <c r="L2918">
        <v>-10</v>
      </c>
      <c r="M2918">
        <v>55</v>
      </c>
      <c r="N2918" t="s">
        <v>42</v>
      </c>
      <c r="O2918" t="s">
        <v>36</v>
      </c>
      <c r="P2918">
        <v>4.5999999999999996</v>
      </c>
      <c r="Q2918" t="s">
        <v>24</v>
      </c>
      <c r="R2918">
        <v>3.95</v>
      </c>
      <c r="S2918" t="s">
        <v>47</v>
      </c>
      <c r="T2918" t="str">
        <f t="shared" si="90"/>
        <v>High</v>
      </c>
      <c r="U2918" t="str">
        <f t="shared" si="91"/>
        <v>Expert</v>
      </c>
    </row>
    <row r="2919" spans="1:21" x14ac:dyDescent="0.35">
      <c r="A2919" t="s">
        <v>2992</v>
      </c>
      <c r="B2919" t="s">
        <v>38</v>
      </c>
      <c r="C2919" t="s">
        <v>55</v>
      </c>
      <c r="D2919" t="s">
        <v>80</v>
      </c>
      <c r="E2919" t="s">
        <v>33</v>
      </c>
      <c r="F2919">
        <v>22</v>
      </c>
      <c r="G2919">
        <v>0.61</v>
      </c>
      <c r="H2919">
        <v>0.64</v>
      </c>
      <c r="I2919" t="s">
        <v>34</v>
      </c>
      <c r="J2919">
        <v>124808</v>
      </c>
      <c r="K2919" t="s">
        <v>27</v>
      </c>
      <c r="L2919">
        <v>20</v>
      </c>
      <c r="M2919">
        <v>39</v>
      </c>
      <c r="N2919" t="s">
        <v>42</v>
      </c>
      <c r="O2919" t="s">
        <v>25</v>
      </c>
      <c r="P2919">
        <v>2.72</v>
      </c>
      <c r="Q2919" t="s">
        <v>34</v>
      </c>
      <c r="R2919">
        <v>4.63</v>
      </c>
      <c r="S2919" t="s">
        <v>47</v>
      </c>
      <c r="T2919" t="str">
        <f t="shared" si="90"/>
        <v>High</v>
      </c>
      <c r="U2919" t="str">
        <f t="shared" si="91"/>
        <v>Expert</v>
      </c>
    </row>
    <row r="2920" spans="1:21" x14ac:dyDescent="0.35">
      <c r="A2920" t="s">
        <v>2993</v>
      </c>
      <c r="B2920" t="s">
        <v>73</v>
      </c>
      <c r="C2920" t="s">
        <v>55</v>
      </c>
      <c r="D2920" t="s">
        <v>40</v>
      </c>
      <c r="E2920" t="s">
        <v>41</v>
      </c>
      <c r="F2920">
        <v>7</v>
      </c>
      <c r="G2920">
        <v>0.6</v>
      </c>
      <c r="H2920">
        <v>0.38</v>
      </c>
      <c r="I2920" t="s">
        <v>60</v>
      </c>
      <c r="J2920">
        <v>35272</v>
      </c>
      <c r="K2920" t="s">
        <v>25</v>
      </c>
      <c r="L2920">
        <v>-6</v>
      </c>
      <c r="M2920">
        <v>33</v>
      </c>
      <c r="N2920" t="s">
        <v>26</v>
      </c>
      <c r="O2920" t="s">
        <v>36</v>
      </c>
      <c r="P2920">
        <v>2.04</v>
      </c>
      <c r="Q2920" t="s">
        <v>34</v>
      </c>
      <c r="R2920">
        <v>2.4900000000000002</v>
      </c>
      <c r="S2920" t="s">
        <v>28</v>
      </c>
      <c r="T2920" t="str">
        <f t="shared" si="90"/>
        <v>Moderate</v>
      </c>
      <c r="U2920" t="str">
        <f t="shared" si="91"/>
        <v>Intermediate</v>
      </c>
    </row>
    <row r="2921" spans="1:21" x14ac:dyDescent="0.35">
      <c r="A2921" t="s">
        <v>2994</v>
      </c>
      <c r="B2921" t="s">
        <v>62</v>
      </c>
      <c r="C2921" t="s">
        <v>39</v>
      </c>
      <c r="D2921" t="s">
        <v>75</v>
      </c>
      <c r="E2921" t="s">
        <v>70</v>
      </c>
      <c r="F2921">
        <v>6</v>
      </c>
      <c r="G2921">
        <v>0.87</v>
      </c>
      <c r="H2921">
        <v>0.4</v>
      </c>
      <c r="I2921" t="s">
        <v>34</v>
      </c>
      <c r="J2921">
        <v>110126</v>
      </c>
      <c r="K2921" t="s">
        <v>42</v>
      </c>
      <c r="L2921">
        <v>38</v>
      </c>
      <c r="M2921">
        <v>50</v>
      </c>
      <c r="N2921" t="s">
        <v>42</v>
      </c>
      <c r="O2921" t="s">
        <v>36</v>
      </c>
      <c r="P2921">
        <v>4.68</v>
      </c>
      <c r="Q2921" t="s">
        <v>24</v>
      </c>
      <c r="R2921">
        <v>4.17</v>
      </c>
      <c r="S2921" t="s">
        <v>47</v>
      </c>
      <c r="T2921" t="str">
        <f t="shared" si="90"/>
        <v>Very Low</v>
      </c>
      <c r="U2921" t="str">
        <f t="shared" si="91"/>
        <v>Intermediate</v>
      </c>
    </row>
    <row r="2922" spans="1:21" x14ac:dyDescent="0.35">
      <c r="A2922" t="s">
        <v>2995</v>
      </c>
      <c r="B2922" t="s">
        <v>45</v>
      </c>
      <c r="C2922" t="s">
        <v>46</v>
      </c>
      <c r="D2922" t="s">
        <v>63</v>
      </c>
      <c r="E2922" t="s">
        <v>41</v>
      </c>
      <c r="F2922">
        <v>15</v>
      </c>
      <c r="G2922">
        <v>0.4</v>
      </c>
      <c r="H2922">
        <v>0.38</v>
      </c>
      <c r="I2922" t="s">
        <v>24</v>
      </c>
      <c r="J2922">
        <v>149844</v>
      </c>
      <c r="K2922" t="s">
        <v>25</v>
      </c>
      <c r="L2922">
        <v>21</v>
      </c>
      <c r="M2922">
        <v>33</v>
      </c>
      <c r="N2922" t="s">
        <v>42</v>
      </c>
      <c r="O2922" t="s">
        <v>36</v>
      </c>
      <c r="P2922">
        <v>2.67</v>
      </c>
      <c r="Q2922" t="s">
        <v>34</v>
      </c>
      <c r="R2922">
        <v>2.1800000000000002</v>
      </c>
      <c r="S2922" t="s">
        <v>28</v>
      </c>
      <c r="T2922" t="str">
        <f t="shared" si="90"/>
        <v>Moderate</v>
      </c>
      <c r="U2922" t="str">
        <f t="shared" si="91"/>
        <v>Experienced</v>
      </c>
    </row>
    <row r="2923" spans="1:21" x14ac:dyDescent="0.35">
      <c r="A2923" t="s">
        <v>2996</v>
      </c>
      <c r="B2923" t="s">
        <v>91</v>
      </c>
      <c r="C2923" t="s">
        <v>82</v>
      </c>
      <c r="D2923" t="s">
        <v>75</v>
      </c>
      <c r="E2923" t="s">
        <v>33</v>
      </c>
      <c r="F2923">
        <v>5</v>
      </c>
      <c r="G2923">
        <v>0.87</v>
      </c>
      <c r="H2923">
        <v>0.76</v>
      </c>
      <c r="I2923" t="s">
        <v>24</v>
      </c>
      <c r="J2923">
        <v>172342</v>
      </c>
      <c r="K2923" t="s">
        <v>27</v>
      </c>
      <c r="L2923">
        <v>4</v>
      </c>
      <c r="M2923">
        <v>54</v>
      </c>
      <c r="N2923" t="s">
        <v>35</v>
      </c>
      <c r="O2923" t="s">
        <v>25</v>
      </c>
      <c r="P2923">
        <v>3.44</v>
      </c>
      <c r="Q2923" t="s">
        <v>34</v>
      </c>
      <c r="R2923">
        <v>3.44</v>
      </c>
      <c r="S2923" t="s">
        <v>47</v>
      </c>
      <c r="T2923" t="str">
        <f t="shared" si="90"/>
        <v>Moderate</v>
      </c>
      <c r="U2923" t="str">
        <f t="shared" si="91"/>
        <v>Intermediate</v>
      </c>
    </row>
    <row r="2924" spans="1:21" x14ac:dyDescent="0.35">
      <c r="A2924" t="s">
        <v>2997</v>
      </c>
      <c r="B2924" t="s">
        <v>77</v>
      </c>
      <c r="C2924" t="s">
        <v>82</v>
      </c>
      <c r="D2924" t="s">
        <v>66</v>
      </c>
      <c r="E2924" t="s">
        <v>70</v>
      </c>
      <c r="F2924">
        <v>17</v>
      </c>
      <c r="G2924">
        <v>0.39</v>
      </c>
      <c r="H2924">
        <v>0.47</v>
      </c>
      <c r="I2924" t="s">
        <v>24</v>
      </c>
      <c r="J2924">
        <v>114862</v>
      </c>
      <c r="K2924" t="s">
        <v>25</v>
      </c>
      <c r="L2924">
        <v>5</v>
      </c>
      <c r="M2924">
        <v>53</v>
      </c>
      <c r="N2924" t="s">
        <v>26</v>
      </c>
      <c r="O2924" t="s">
        <v>25</v>
      </c>
      <c r="P2924">
        <v>2.36</v>
      </c>
      <c r="Q2924" t="s">
        <v>24</v>
      </c>
      <c r="R2924">
        <v>3.02</v>
      </c>
      <c r="S2924" t="s">
        <v>28</v>
      </c>
      <c r="T2924" t="str">
        <f t="shared" si="90"/>
        <v>High</v>
      </c>
      <c r="U2924" t="str">
        <f t="shared" si="91"/>
        <v>Expert</v>
      </c>
    </row>
    <row r="2925" spans="1:21" x14ac:dyDescent="0.35">
      <c r="A2925" t="s">
        <v>2998</v>
      </c>
      <c r="B2925" t="s">
        <v>65</v>
      </c>
      <c r="C2925" t="s">
        <v>55</v>
      </c>
      <c r="D2925" t="s">
        <v>32</v>
      </c>
      <c r="E2925" t="s">
        <v>23</v>
      </c>
      <c r="F2925">
        <v>7</v>
      </c>
      <c r="G2925">
        <v>0.76</v>
      </c>
      <c r="H2925">
        <v>0.4</v>
      </c>
      <c r="I2925" t="s">
        <v>34</v>
      </c>
      <c r="J2925">
        <v>202856</v>
      </c>
      <c r="K2925" t="s">
        <v>27</v>
      </c>
      <c r="L2925">
        <v>39</v>
      </c>
      <c r="M2925">
        <v>56</v>
      </c>
      <c r="N2925" t="s">
        <v>42</v>
      </c>
      <c r="O2925" t="s">
        <v>27</v>
      </c>
      <c r="P2925">
        <v>2.14</v>
      </c>
      <c r="Q2925" t="s">
        <v>34</v>
      </c>
      <c r="R2925">
        <v>3.63</v>
      </c>
      <c r="S2925" t="s">
        <v>43</v>
      </c>
      <c r="T2925" t="str">
        <f t="shared" si="90"/>
        <v>Very Low</v>
      </c>
      <c r="U2925" t="str">
        <f t="shared" si="91"/>
        <v>Intermediate</v>
      </c>
    </row>
    <row r="2926" spans="1:21" x14ac:dyDescent="0.35">
      <c r="A2926" t="s">
        <v>2999</v>
      </c>
      <c r="B2926" t="s">
        <v>94</v>
      </c>
      <c r="C2926" t="s">
        <v>82</v>
      </c>
      <c r="D2926" t="s">
        <v>40</v>
      </c>
      <c r="E2926" t="s">
        <v>70</v>
      </c>
      <c r="F2926">
        <v>13</v>
      </c>
      <c r="G2926">
        <v>0.79</v>
      </c>
      <c r="H2926">
        <v>0.31</v>
      </c>
      <c r="I2926" t="s">
        <v>24</v>
      </c>
      <c r="J2926">
        <v>40011</v>
      </c>
      <c r="K2926" t="s">
        <v>25</v>
      </c>
      <c r="L2926">
        <v>3</v>
      </c>
      <c r="M2926">
        <v>41</v>
      </c>
      <c r="N2926" t="s">
        <v>42</v>
      </c>
      <c r="O2926" t="s">
        <v>36</v>
      </c>
      <c r="P2926">
        <v>2.57</v>
      </c>
      <c r="Q2926" t="s">
        <v>24</v>
      </c>
      <c r="R2926">
        <v>2.89</v>
      </c>
      <c r="S2926" t="s">
        <v>47</v>
      </c>
      <c r="T2926" t="str">
        <f t="shared" si="90"/>
        <v>Very Low</v>
      </c>
      <c r="U2926" t="str">
        <f t="shared" si="91"/>
        <v>Experienced</v>
      </c>
    </row>
    <row r="2927" spans="1:21" x14ac:dyDescent="0.35">
      <c r="A2927" t="s">
        <v>3000</v>
      </c>
      <c r="B2927" t="s">
        <v>68</v>
      </c>
      <c r="C2927" t="s">
        <v>74</v>
      </c>
      <c r="D2927" t="s">
        <v>49</v>
      </c>
      <c r="E2927" t="s">
        <v>23</v>
      </c>
      <c r="F2927">
        <v>21</v>
      </c>
      <c r="G2927">
        <v>0.62</v>
      </c>
      <c r="H2927">
        <v>0.28999999999999998</v>
      </c>
      <c r="I2927" t="s">
        <v>24</v>
      </c>
      <c r="J2927">
        <v>99505</v>
      </c>
      <c r="K2927" t="s">
        <v>27</v>
      </c>
      <c r="L2927">
        <v>-7</v>
      </c>
      <c r="M2927">
        <v>53</v>
      </c>
      <c r="N2927" t="s">
        <v>42</v>
      </c>
      <c r="O2927" t="s">
        <v>36</v>
      </c>
      <c r="P2927">
        <v>3.69</v>
      </c>
      <c r="Q2927" t="s">
        <v>24</v>
      </c>
      <c r="R2927">
        <v>4.01</v>
      </c>
      <c r="S2927" t="s">
        <v>28</v>
      </c>
      <c r="T2927" t="str">
        <f t="shared" si="90"/>
        <v>Moderate</v>
      </c>
      <c r="U2927" t="str">
        <f t="shared" si="91"/>
        <v>Expert</v>
      </c>
    </row>
    <row r="2928" spans="1:21" x14ac:dyDescent="0.35">
      <c r="A2928" t="s">
        <v>3001</v>
      </c>
      <c r="B2928" t="s">
        <v>54</v>
      </c>
      <c r="C2928" t="s">
        <v>21</v>
      </c>
      <c r="D2928" t="s">
        <v>22</v>
      </c>
      <c r="E2928" t="s">
        <v>41</v>
      </c>
      <c r="F2928">
        <v>16</v>
      </c>
      <c r="G2928">
        <v>0.53</v>
      </c>
      <c r="H2928">
        <v>0.49</v>
      </c>
      <c r="I2928" t="s">
        <v>24</v>
      </c>
      <c r="J2928">
        <v>57546</v>
      </c>
      <c r="K2928" t="s">
        <v>42</v>
      </c>
      <c r="L2928">
        <v>7</v>
      </c>
      <c r="M2928">
        <v>40</v>
      </c>
      <c r="N2928" t="s">
        <v>26</v>
      </c>
      <c r="O2928" t="s">
        <v>36</v>
      </c>
      <c r="P2928">
        <v>2.83</v>
      </c>
      <c r="Q2928" t="s">
        <v>34</v>
      </c>
      <c r="R2928">
        <v>2.4</v>
      </c>
      <c r="S2928" t="s">
        <v>28</v>
      </c>
      <c r="T2928" t="str">
        <f t="shared" si="90"/>
        <v>Moderate</v>
      </c>
      <c r="U2928" t="str">
        <f t="shared" si="91"/>
        <v>Expert</v>
      </c>
    </row>
    <row r="2929" spans="1:21" x14ac:dyDescent="0.35">
      <c r="A2929" t="s">
        <v>3002</v>
      </c>
      <c r="B2929" t="s">
        <v>57</v>
      </c>
      <c r="C2929" t="s">
        <v>52</v>
      </c>
      <c r="D2929" t="s">
        <v>66</v>
      </c>
      <c r="E2929" t="s">
        <v>33</v>
      </c>
      <c r="F2929">
        <v>11</v>
      </c>
      <c r="G2929">
        <v>0.83</v>
      </c>
      <c r="H2929">
        <v>0.98</v>
      </c>
      <c r="I2929" t="s">
        <v>24</v>
      </c>
      <c r="J2929">
        <v>154531</v>
      </c>
      <c r="K2929" t="s">
        <v>42</v>
      </c>
      <c r="L2929">
        <v>-3</v>
      </c>
      <c r="M2929">
        <v>35</v>
      </c>
      <c r="N2929" t="s">
        <v>35</v>
      </c>
      <c r="O2929" t="s">
        <v>36</v>
      </c>
      <c r="P2929">
        <v>3.18</v>
      </c>
      <c r="Q2929" t="s">
        <v>24</v>
      </c>
      <c r="R2929">
        <v>3</v>
      </c>
      <c r="S2929" t="s">
        <v>28</v>
      </c>
      <c r="T2929" t="str">
        <f t="shared" si="90"/>
        <v>High</v>
      </c>
      <c r="U2929" t="str">
        <f t="shared" si="91"/>
        <v>Experienced</v>
      </c>
    </row>
    <row r="2930" spans="1:21" x14ac:dyDescent="0.35">
      <c r="A2930" t="s">
        <v>3003</v>
      </c>
      <c r="B2930" t="s">
        <v>96</v>
      </c>
      <c r="C2930" t="s">
        <v>39</v>
      </c>
      <c r="D2930" t="s">
        <v>32</v>
      </c>
      <c r="E2930" t="s">
        <v>33</v>
      </c>
      <c r="F2930">
        <v>2</v>
      </c>
      <c r="G2930">
        <v>0.78</v>
      </c>
      <c r="H2930">
        <v>0.4</v>
      </c>
      <c r="I2930" t="s">
        <v>24</v>
      </c>
      <c r="J2930">
        <v>171374</v>
      </c>
      <c r="K2930" t="s">
        <v>25</v>
      </c>
      <c r="L2930">
        <v>15</v>
      </c>
      <c r="M2930">
        <v>41</v>
      </c>
      <c r="N2930" t="s">
        <v>26</v>
      </c>
      <c r="O2930" t="s">
        <v>36</v>
      </c>
      <c r="P2930">
        <v>4.83</v>
      </c>
      <c r="Q2930" t="s">
        <v>34</v>
      </c>
      <c r="R2930">
        <v>2.13</v>
      </c>
      <c r="S2930" t="s">
        <v>43</v>
      </c>
      <c r="T2930" t="str">
        <f t="shared" si="90"/>
        <v>Very Low</v>
      </c>
      <c r="U2930" t="str">
        <f t="shared" si="91"/>
        <v>Beginner</v>
      </c>
    </row>
    <row r="2931" spans="1:21" x14ac:dyDescent="0.35">
      <c r="A2931" t="s">
        <v>3004</v>
      </c>
      <c r="B2931" t="s">
        <v>156</v>
      </c>
      <c r="C2931" t="s">
        <v>55</v>
      </c>
      <c r="D2931" t="s">
        <v>59</v>
      </c>
      <c r="E2931" t="s">
        <v>70</v>
      </c>
      <c r="F2931">
        <v>1</v>
      </c>
      <c r="G2931">
        <v>0.34</v>
      </c>
      <c r="H2931">
        <v>0.31</v>
      </c>
      <c r="I2931" t="s">
        <v>24</v>
      </c>
      <c r="J2931">
        <v>134870</v>
      </c>
      <c r="K2931" t="s">
        <v>27</v>
      </c>
      <c r="L2931">
        <v>27</v>
      </c>
      <c r="M2931">
        <v>44</v>
      </c>
      <c r="N2931" t="s">
        <v>42</v>
      </c>
      <c r="O2931" t="s">
        <v>25</v>
      </c>
      <c r="P2931">
        <v>3.85</v>
      </c>
      <c r="Q2931" t="s">
        <v>24</v>
      </c>
      <c r="R2931">
        <v>2.0699999999999998</v>
      </c>
      <c r="S2931" t="s">
        <v>28</v>
      </c>
      <c r="T2931" t="str">
        <f t="shared" si="90"/>
        <v>Moderate</v>
      </c>
      <c r="U2931" t="str">
        <f t="shared" si="91"/>
        <v>Beginner</v>
      </c>
    </row>
    <row r="2932" spans="1:21" x14ac:dyDescent="0.35">
      <c r="A2932" t="s">
        <v>3005</v>
      </c>
      <c r="B2932" t="s">
        <v>51</v>
      </c>
      <c r="C2932" t="s">
        <v>21</v>
      </c>
      <c r="D2932" t="s">
        <v>63</v>
      </c>
      <c r="E2932" t="s">
        <v>70</v>
      </c>
      <c r="F2932">
        <v>4</v>
      </c>
      <c r="G2932">
        <v>0.69</v>
      </c>
      <c r="H2932">
        <v>0.89</v>
      </c>
      <c r="I2932" t="s">
        <v>60</v>
      </c>
      <c r="J2932">
        <v>132121</v>
      </c>
      <c r="K2932" t="s">
        <v>42</v>
      </c>
      <c r="L2932">
        <v>-2</v>
      </c>
      <c r="M2932">
        <v>56</v>
      </c>
      <c r="N2932" t="s">
        <v>42</v>
      </c>
      <c r="O2932" t="s">
        <v>36</v>
      </c>
      <c r="P2932">
        <v>4.54</v>
      </c>
      <c r="Q2932" t="s">
        <v>24</v>
      </c>
      <c r="R2932">
        <v>4.72</v>
      </c>
      <c r="S2932" t="s">
        <v>28</v>
      </c>
      <c r="T2932" t="str">
        <f t="shared" si="90"/>
        <v>High</v>
      </c>
      <c r="U2932" t="str">
        <f t="shared" si="91"/>
        <v>Intermediate</v>
      </c>
    </row>
    <row r="2933" spans="1:21" x14ac:dyDescent="0.35">
      <c r="A2933" t="s">
        <v>3006</v>
      </c>
      <c r="B2933" t="s">
        <v>51</v>
      </c>
      <c r="C2933" t="s">
        <v>82</v>
      </c>
      <c r="D2933" t="s">
        <v>40</v>
      </c>
      <c r="E2933" t="s">
        <v>23</v>
      </c>
      <c r="F2933">
        <v>20</v>
      </c>
      <c r="G2933">
        <v>0.13</v>
      </c>
      <c r="H2933">
        <v>0.51</v>
      </c>
      <c r="I2933" t="s">
        <v>34</v>
      </c>
      <c r="J2933">
        <v>87352</v>
      </c>
      <c r="K2933" t="s">
        <v>42</v>
      </c>
      <c r="L2933">
        <v>27</v>
      </c>
      <c r="M2933">
        <v>38</v>
      </c>
      <c r="N2933" t="s">
        <v>35</v>
      </c>
      <c r="O2933" t="s">
        <v>36</v>
      </c>
      <c r="P2933">
        <v>2.8</v>
      </c>
      <c r="Q2933" t="s">
        <v>34</v>
      </c>
      <c r="R2933">
        <v>3.95</v>
      </c>
      <c r="S2933" t="s">
        <v>47</v>
      </c>
      <c r="T2933" t="str">
        <f t="shared" si="90"/>
        <v>High</v>
      </c>
      <c r="U2933" t="str">
        <f t="shared" si="91"/>
        <v>Expert</v>
      </c>
    </row>
    <row r="2934" spans="1:21" x14ac:dyDescent="0.35">
      <c r="A2934" t="s">
        <v>3007</v>
      </c>
      <c r="B2934" t="s">
        <v>77</v>
      </c>
      <c r="C2934" t="s">
        <v>21</v>
      </c>
      <c r="D2934" t="s">
        <v>69</v>
      </c>
      <c r="E2934" t="s">
        <v>33</v>
      </c>
      <c r="F2934">
        <v>14</v>
      </c>
      <c r="G2934">
        <v>0.76</v>
      </c>
      <c r="H2934">
        <v>0.67</v>
      </c>
      <c r="I2934" t="s">
        <v>34</v>
      </c>
      <c r="J2934">
        <v>149634</v>
      </c>
      <c r="K2934" t="s">
        <v>25</v>
      </c>
      <c r="L2934">
        <v>40</v>
      </c>
      <c r="M2934">
        <v>56</v>
      </c>
      <c r="N2934" t="s">
        <v>42</v>
      </c>
      <c r="O2934" t="s">
        <v>25</v>
      </c>
      <c r="P2934">
        <v>3.73</v>
      </c>
      <c r="Q2934" t="s">
        <v>24</v>
      </c>
      <c r="R2934">
        <v>4.01</v>
      </c>
      <c r="S2934" t="s">
        <v>47</v>
      </c>
      <c r="T2934" t="str">
        <f t="shared" si="90"/>
        <v>Moderate</v>
      </c>
      <c r="U2934" t="str">
        <f t="shared" si="91"/>
        <v>Experienced</v>
      </c>
    </row>
    <row r="2935" spans="1:21" x14ac:dyDescent="0.35">
      <c r="A2935" t="s">
        <v>3008</v>
      </c>
      <c r="B2935" t="s">
        <v>38</v>
      </c>
      <c r="C2935" t="s">
        <v>21</v>
      </c>
      <c r="D2935" t="s">
        <v>49</v>
      </c>
      <c r="E2935" t="s">
        <v>23</v>
      </c>
      <c r="F2935">
        <v>24</v>
      </c>
      <c r="G2935">
        <v>0.24</v>
      </c>
      <c r="H2935">
        <v>0.37</v>
      </c>
      <c r="I2935" t="s">
        <v>24</v>
      </c>
      <c r="J2935">
        <v>175636</v>
      </c>
      <c r="K2935" t="s">
        <v>27</v>
      </c>
      <c r="L2935">
        <v>30</v>
      </c>
      <c r="M2935">
        <v>41</v>
      </c>
      <c r="N2935" t="s">
        <v>42</v>
      </c>
      <c r="O2935" t="s">
        <v>25</v>
      </c>
      <c r="P2935">
        <v>3.87</v>
      </c>
      <c r="Q2935" t="s">
        <v>24</v>
      </c>
      <c r="R2935">
        <v>1.43</v>
      </c>
      <c r="S2935" t="s">
        <v>43</v>
      </c>
      <c r="T2935" t="str">
        <f t="shared" si="90"/>
        <v>High</v>
      </c>
      <c r="U2935" t="str">
        <f t="shared" si="91"/>
        <v>Expert</v>
      </c>
    </row>
    <row r="2936" spans="1:21" x14ac:dyDescent="0.35">
      <c r="A2936" t="s">
        <v>3009</v>
      </c>
      <c r="B2936" t="s">
        <v>89</v>
      </c>
      <c r="C2936" t="s">
        <v>107</v>
      </c>
      <c r="D2936" t="s">
        <v>59</v>
      </c>
      <c r="E2936" t="s">
        <v>70</v>
      </c>
      <c r="F2936">
        <v>23</v>
      </c>
      <c r="G2936">
        <v>0.63</v>
      </c>
      <c r="H2936">
        <v>0.88</v>
      </c>
      <c r="I2936" t="s">
        <v>60</v>
      </c>
      <c r="J2936">
        <v>167874</v>
      </c>
      <c r="K2936" t="s">
        <v>25</v>
      </c>
      <c r="L2936">
        <v>-7</v>
      </c>
      <c r="M2936">
        <v>41</v>
      </c>
      <c r="N2936" t="s">
        <v>26</v>
      </c>
      <c r="O2936" t="s">
        <v>27</v>
      </c>
      <c r="P2936">
        <v>3.87</v>
      </c>
      <c r="Q2936" t="s">
        <v>24</v>
      </c>
      <c r="R2936">
        <v>2.2000000000000002</v>
      </c>
      <c r="S2936" t="s">
        <v>43</v>
      </c>
      <c r="T2936" t="str">
        <f t="shared" si="90"/>
        <v>High</v>
      </c>
      <c r="U2936" t="str">
        <f t="shared" si="91"/>
        <v>Expert</v>
      </c>
    </row>
    <row r="2937" spans="1:21" x14ac:dyDescent="0.35">
      <c r="A2937" t="s">
        <v>3010</v>
      </c>
      <c r="B2937" t="s">
        <v>38</v>
      </c>
      <c r="C2937" t="s">
        <v>82</v>
      </c>
      <c r="D2937" t="s">
        <v>22</v>
      </c>
      <c r="E2937" t="s">
        <v>33</v>
      </c>
      <c r="F2937">
        <v>20</v>
      </c>
      <c r="G2937">
        <v>0.66</v>
      </c>
      <c r="H2937">
        <v>0.56000000000000005</v>
      </c>
      <c r="I2937" t="s">
        <v>34</v>
      </c>
      <c r="J2937">
        <v>204529</v>
      </c>
      <c r="K2937" t="s">
        <v>27</v>
      </c>
      <c r="L2937">
        <v>-4</v>
      </c>
      <c r="M2937">
        <v>42</v>
      </c>
      <c r="N2937" t="s">
        <v>42</v>
      </c>
      <c r="O2937" t="s">
        <v>25</v>
      </c>
      <c r="P2937">
        <v>4.72</v>
      </c>
      <c r="Q2937" t="s">
        <v>24</v>
      </c>
      <c r="R2937">
        <v>3.18</v>
      </c>
      <c r="S2937" t="s">
        <v>28</v>
      </c>
      <c r="T2937" t="str">
        <f t="shared" si="90"/>
        <v>Moderate</v>
      </c>
      <c r="U2937" t="str">
        <f t="shared" si="91"/>
        <v>Expert</v>
      </c>
    </row>
    <row r="2938" spans="1:21" x14ac:dyDescent="0.35">
      <c r="A2938" t="s">
        <v>3011</v>
      </c>
      <c r="B2938" t="s">
        <v>91</v>
      </c>
      <c r="C2938" t="s">
        <v>52</v>
      </c>
      <c r="D2938" t="s">
        <v>59</v>
      </c>
      <c r="E2938" t="s">
        <v>23</v>
      </c>
      <c r="F2938">
        <v>12</v>
      </c>
      <c r="G2938">
        <v>0.78</v>
      </c>
      <c r="H2938">
        <v>0.54</v>
      </c>
      <c r="I2938" t="s">
        <v>24</v>
      </c>
      <c r="J2938">
        <v>158431</v>
      </c>
      <c r="K2938" t="s">
        <v>42</v>
      </c>
      <c r="L2938">
        <v>-2</v>
      </c>
      <c r="M2938">
        <v>45</v>
      </c>
      <c r="N2938" t="s">
        <v>35</v>
      </c>
      <c r="O2938" t="s">
        <v>36</v>
      </c>
      <c r="P2938">
        <v>2.0299999999999998</v>
      </c>
      <c r="Q2938" t="s">
        <v>34</v>
      </c>
      <c r="R2938">
        <v>2.44</v>
      </c>
      <c r="S2938" t="s">
        <v>47</v>
      </c>
      <c r="T2938" t="str">
        <f t="shared" si="90"/>
        <v>Moderate</v>
      </c>
      <c r="U2938" t="str">
        <f t="shared" si="91"/>
        <v>Experienced</v>
      </c>
    </row>
    <row r="2939" spans="1:21" x14ac:dyDescent="0.35">
      <c r="A2939" t="s">
        <v>3012</v>
      </c>
      <c r="B2939" t="s">
        <v>38</v>
      </c>
      <c r="C2939" t="s">
        <v>58</v>
      </c>
      <c r="D2939" t="s">
        <v>40</v>
      </c>
      <c r="E2939" t="s">
        <v>41</v>
      </c>
      <c r="F2939">
        <v>14</v>
      </c>
      <c r="G2939">
        <v>0.91</v>
      </c>
      <c r="H2939">
        <v>0.38</v>
      </c>
      <c r="I2939" t="s">
        <v>34</v>
      </c>
      <c r="J2939">
        <v>161204</v>
      </c>
      <c r="K2939" t="s">
        <v>25</v>
      </c>
      <c r="L2939">
        <v>40</v>
      </c>
      <c r="M2939">
        <v>47</v>
      </c>
      <c r="N2939" t="s">
        <v>26</v>
      </c>
      <c r="O2939" t="s">
        <v>25</v>
      </c>
      <c r="P2939">
        <v>2.0099999999999998</v>
      </c>
      <c r="Q2939" t="s">
        <v>34</v>
      </c>
      <c r="R2939">
        <v>3.39</v>
      </c>
      <c r="S2939" t="s">
        <v>43</v>
      </c>
      <c r="T2939" t="str">
        <f t="shared" si="90"/>
        <v>Very Low</v>
      </c>
      <c r="U2939" t="str">
        <f t="shared" si="91"/>
        <v>Experienced</v>
      </c>
    </row>
    <row r="2940" spans="1:21" x14ac:dyDescent="0.35">
      <c r="A2940" t="s">
        <v>3013</v>
      </c>
      <c r="B2940" t="s">
        <v>94</v>
      </c>
      <c r="C2940" t="s">
        <v>31</v>
      </c>
      <c r="D2940" t="s">
        <v>75</v>
      </c>
      <c r="E2940" t="s">
        <v>33</v>
      </c>
      <c r="F2940">
        <v>17</v>
      </c>
      <c r="G2940">
        <v>0.39</v>
      </c>
      <c r="H2940">
        <v>0.76</v>
      </c>
      <c r="I2940" t="s">
        <v>60</v>
      </c>
      <c r="J2940">
        <v>138582</v>
      </c>
      <c r="K2940" t="s">
        <v>25</v>
      </c>
      <c r="L2940">
        <v>-2</v>
      </c>
      <c r="M2940">
        <v>58</v>
      </c>
      <c r="N2940" t="s">
        <v>26</v>
      </c>
      <c r="O2940" t="s">
        <v>25</v>
      </c>
      <c r="P2940">
        <v>2.4300000000000002</v>
      </c>
      <c r="Q2940" t="s">
        <v>24</v>
      </c>
      <c r="R2940">
        <v>3.72</v>
      </c>
      <c r="S2940" t="s">
        <v>43</v>
      </c>
      <c r="T2940" t="str">
        <f t="shared" si="90"/>
        <v>Very High</v>
      </c>
      <c r="U2940" t="str">
        <f t="shared" si="91"/>
        <v>Expert</v>
      </c>
    </row>
    <row r="2941" spans="1:21" x14ac:dyDescent="0.35">
      <c r="A2941" t="s">
        <v>3014</v>
      </c>
      <c r="B2941" t="s">
        <v>96</v>
      </c>
      <c r="C2941" t="s">
        <v>52</v>
      </c>
      <c r="D2941" t="s">
        <v>32</v>
      </c>
      <c r="E2941" t="s">
        <v>23</v>
      </c>
      <c r="F2941">
        <v>11</v>
      </c>
      <c r="G2941">
        <v>0.68</v>
      </c>
      <c r="H2941">
        <v>0.48</v>
      </c>
      <c r="I2941" t="s">
        <v>34</v>
      </c>
      <c r="J2941">
        <v>143481</v>
      </c>
      <c r="K2941" t="s">
        <v>25</v>
      </c>
      <c r="L2941">
        <v>9</v>
      </c>
      <c r="M2941">
        <v>59</v>
      </c>
      <c r="N2941" t="s">
        <v>35</v>
      </c>
      <c r="O2941" t="s">
        <v>27</v>
      </c>
      <c r="P2941">
        <v>4.4400000000000004</v>
      </c>
      <c r="Q2941" t="s">
        <v>24</v>
      </c>
      <c r="R2941">
        <v>1.79</v>
      </c>
      <c r="S2941" t="s">
        <v>28</v>
      </c>
      <c r="T2941" t="str">
        <f t="shared" si="90"/>
        <v>Moderate</v>
      </c>
      <c r="U2941" t="str">
        <f t="shared" si="91"/>
        <v>Experienced</v>
      </c>
    </row>
    <row r="2942" spans="1:21" x14ac:dyDescent="0.35">
      <c r="A2942" t="s">
        <v>3015</v>
      </c>
      <c r="B2942" t="s">
        <v>96</v>
      </c>
      <c r="C2942" t="s">
        <v>46</v>
      </c>
      <c r="D2942" t="s">
        <v>40</v>
      </c>
      <c r="E2942" t="s">
        <v>23</v>
      </c>
      <c r="F2942">
        <v>12</v>
      </c>
      <c r="G2942">
        <v>0.61</v>
      </c>
      <c r="H2942">
        <v>0.76</v>
      </c>
      <c r="I2942" t="s">
        <v>34</v>
      </c>
      <c r="J2942">
        <v>79084</v>
      </c>
      <c r="K2942" t="s">
        <v>27</v>
      </c>
      <c r="L2942">
        <v>25</v>
      </c>
      <c r="M2942">
        <v>41</v>
      </c>
      <c r="N2942" t="s">
        <v>42</v>
      </c>
      <c r="O2942" t="s">
        <v>36</v>
      </c>
      <c r="P2942">
        <v>4.93</v>
      </c>
      <c r="Q2942" t="s">
        <v>34</v>
      </c>
      <c r="R2942">
        <v>1.67</v>
      </c>
      <c r="S2942" t="s">
        <v>47</v>
      </c>
      <c r="T2942" t="str">
        <f t="shared" si="90"/>
        <v>High</v>
      </c>
      <c r="U2942" t="str">
        <f t="shared" si="91"/>
        <v>Experienced</v>
      </c>
    </row>
    <row r="2943" spans="1:21" x14ac:dyDescent="0.35">
      <c r="A2943" t="s">
        <v>3016</v>
      </c>
      <c r="B2943" t="s">
        <v>30</v>
      </c>
      <c r="C2943" t="s">
        <v>31</v>
      </c>
      <c r="D2943" t="s">
        <v>49</v>
      </c>
      <c r="E2943" t="s">
        <v>33</v>
      </c>
      <c r="F2943">
        <v>1</v>
      </c>
      <c r="G2943">
        <v>0.66</v>
      </c>
      <c r="H2943">
        <v>0.89</v>
      </c>
      <c r="I2943" t="s">
        <v>60</v>
      </c>
      <c r="J2943">
        <v>36771</v>
      </c>
      <c r="K2943" t="s">
        <v>25</v>
      </c>
      <c r="L2943">
        <v>17</v>
      </c>
      <c r="M2943">
        <v>38</v>
      </c>
      <c r="N2943" t="s">
        <v>42</v>
      </c>
      <c r="O2943" t="s">
        <v>27</v>
      </c>
      <c r="P2943">
        <v>2.98</v>
      </c>
      <c r="Q2943" t="s">
        <v>24</v>
      </c>
      <c r="R2943">
        <v>3.35</v>
      </c>
      <c r="S2943" t="s">
        <v>43</v>
      </c>
      <c r="T2943" t="str">
        <f t="shared" si="90"/>
        <v>High</v>
      </c>
      <c r="U2943" t="str">
        <f t="shared" si="91"/>
        <v>Beginner</v>
      </c>
    </row>
    <row r="2944" spans="1:21" x14ac:dyDescent="0.35">
      <c r="A2944" t="s">
        <v>3017</v>
      </c>
      <c r="B2944" t="s">
        <v>89</v>
      </c>
      <c r="C2944" t="s">
        <v>39</v>
      </c>
      <c r="D2944" t="s">
        <v>40</v>
      </c>
      <c r="E2944" t="s">
        <v>41</v>
      </c>
      <c r="F2944">
        <v>0</v>
      </c>
      <c r="G2944">
        <v>0.68</v>
      </c>
      <c r="H2944">
        <v>0.52</v>
      </c>
      <c r="I2944" t="s">
        <v>24</v>
      </c>
      <c r="J2944">
        <v>41409</v>
      </c>
      <c r="K2944" t="s">
        <v>42</v>
      </c>
      <c r="L2944">
        <v>26</v>
      </c>
      <c r="M2944">
        <v>45</v>
      </c>
      <c r="N2944" t="s">
        <v>42</v>
      </c>
      <c r="O2944" t="s">
        <v>36</v>
      </c>
      <c r="P2944">
        <v>3.15</v>
      </c>
      <c r="Q2944" t="s">
        <v>24</v>
      </c>
      <c r="R2944">
        <v>1.21</v>
      </c>
      <c r="S2944" t="s">
        <v>47</v>
      </c>
      <c r="T2944" t="str">
        <f t="shared" si="90"/>
        <v>Moderate</v>
      </c>
      <c r="U2944" t="str">
        <f t="shared" si="91"/>
        <v>Beginner</v>
      </c>
    </row>
    <row r="2945" spans="1:21" x14ac:dyDescent="0.35">
      <c r="A2945" t="s">
        <v>3018</v>
      </c>
      <c r="B2945" t="s">
        <v>51</v>
      </c>
      <c r="C2945" t="s">
        <v>82</v>
      </c>
      <c r="D2945" t="s">
        <v>59</v>
      </c>
      <c r="E2945" t="s">
        <v>70</v>
      </c>
      <c r="F2945">
        <v>10</v>
      </c>
      <c r="G2945">
        <v>0.33</v>
      </c>
      <c r="H2945">
        <v>0.3</v>
      </c>
      <c r="I2945" t="s">
        <v>24</v>
      </c>
      <c r="J2945">
        <v>164119</v>
      </c>
      <c r="K2945" t="s">
        <v>25</v>
      </c>
      <c r="L2945">
        <v>-9</v>
      </c>
      <c r="M2945">
        <v>49</v>
      </c>
      <c r="N2945" t="s">
        <v>42</v>
      </c>
      <c r="O2945" t="s">
        <v>25</v>
      </c>
      <c r="P2945">
        <v>2.5</v>
      </c>
      <c r="Q2945" t="s">
        <v>34</v>
      </c>
      <c r="R2945">
        <v>4.8899999999999997</v>
      </c>
      <c r="S2945" t="s">
        <v>28</v>
      </c>
      <c r="T2945" t="str">
        <f t="shared" si="90"/>
        <v>Moderate</v>
      </c>
      <c r="U2945" t="str">
        <f t="shared" si="91"/>
        <v>Experienced</v>
      </c>
    </row>
    <row r="2946" spans="1:21" x14ac:dyDescent="0.35">
      <c r="A2946" t="s">
        <v>3019</v>
      </c>
      <c r="B2946" t="s">
        <v>156</v>
      </c>
      <c r="C2946" t="s">
        <v>46</v>
      </c>
      <c r="D2946" t="s">
        <v>66</v>
      </c>
      <c r="E2946" t="s">
        <v>41</v>
      </c>
      <c r="F2946">
        <v>2</v>
      </c>
      <c r="G2946">
        <v>0.37</v>
      </c>
      <c r="H2946">
        <v>0.99</v>
      </c>
      <c r="I2946" t="s">
        <v>24</v>
      </c>
      <c r="J2946">
        <v>199530</v>
      </c>
      <c r="K2946" t="s">
        <v>27</v>
      </c>
      <c r="L2946">
        <v>40</v>
      </c>
      <c r="M2946">
        <v>42</v>
      </c>
      <c r="N2946" t="s">
        <v>42</v>
      </c>
      <c r="O2946" t="s">
        <v>36</v>
      </c>
      <c r="P2946">
        <v>3.04</v>
      </c>
      <c r="Q2946" t="s">
        <v>34</v>
      </c>
      <c r="R2946">
        <v>3.78</v>
      </c>
      <c r="S2946" t="s">
        <v>47</v>
      </c>
      <c r="T2946" t="str">
        <f t="shared" si="90"/>
        <v>Very High</v>
      </c>
      <c r="U2946" t="str">
        <f t="shared" si="91"/>
        <v>Beginner</v>
      </c>
    </row>
    <row r="2947" spans="1:21" x14ac:dyDescent="0.35">
      <c r="A2947" t="s">
        <v>3020</v>
      </c>
      <c r="B2947" t="s">
        <v>30</v>
      </c>
      <c r="C2947" t="s">
        <v>58</v>
      </c>
      <c r="D2947" t="s">
        <v>22</v>
      </c>
      <c r="E2947" t="s">
        <v>33</v>
      </c>
      <c r="F2947">
        <v>13</v>
      </c>
      <c r="G2947">
        <v>0.25</v>
      </c>
      <c r="H2947">
        <v>0.44</v>
      </c>
      <c r="I2947" t="s">
        <v>24</v>
      </c>
      <c r="J2947">
        <v>187802</v>
      </c>
      <c r="K2947" t="s">
        <v>27</v>
      </c>
      <c r="L2947">
        <v>29</v>
      </c>
      <c r="M2947">
        <v>55</v>
      </c>
      <c r="N2947" t="s">
        <v>42</v>
      </c>
      <c r="O2947" t="s">
        <v>36</v>
      </c>
      <c r="P2947">
        <v>4.03</v>
      </c>
      <c r="Q2947" t="s">
        <v>34</v>
      </c>
      <c r="R2947">
        <v>1.61</v>
      </c>
      <c r="S2947" t="s">
        <v>28</v>
      </c>
      <c r="T2947" t="str">
        <f t="shared" ref="T2947:T3001" si="92">IF(AND(G2947&lt;0.4,H2947&gt;=0.7),"Very High",
IF(AND(G2947&gt;=0.7,H2947&lt;0.5),"Very Low",
IF(G2947&lt;H2947,"High","Moderate")))</f>
        <v>High</v>
      </c>
      <c r="U2947" t="str">
        <f t="shared" ref="U2947:U3001" si="93">_xlfn.IFS(F2947&lt;=2,"Beginner",F2947&lt;=8,"Intermediate",F2947&lt;=15,"Experienced",F2947&lt;=25,"Expert")</f>
        <v>Experienced</v>
      </c>
    </row>
    <row r="2948" spans="1:21" x14ac:dyDescent="0.35">
      <c r="A2948" t="s">
        <v>3021</v>
      </c>
      <c r="B2948" t="s">
        <v>51</v>
      </c>
      <c r="C2948" t="s">
        <v>55</v>
      </c>
      <c r="D2948" t="s">
        <v>80</v>
      </c>
      <c r="E2948" t="s">
        <v>70</v>
      </c>
      <c r="F2948">
        <v>16</v>
      </c>
      <c r="G2948">
        <v>0.06</v>
      </c>
      <c r="H2948">
        <v>0.28000000000000003</v>
      </c>
      <c r="I2948" t="s">
        <v>60</v>
      </c>
      <c r="J2948">
        <v>91953</v>
      </c>
      <c r="K2948" t="s">
        <v>27</v>
      </c>
      <c r="L2948">
        <v>8</v>
      </c>
      <c r="M2948">
        <v>44</v>
      </c>
      <c r="N2948" t="s">
        <v>35</v>
      </c>
      <c r="O2948" t="s">
        <v>27</v>
      </c>
      <c r="P2948">
        <v>3.98</v>
      </c>
      <c r="Q2948" t="s">
        <v>24</v>
      </c>
      <c r="R2948">
        <v>2.66</v>
      </c>
      <c r="S2948" t="s">
        <v>28</v>
      </c>
      <c r="T2948" t="str">
        <f t="shared" si="92"/>
        <v>High</v>
      </c>
      <c r="U2948" t="str">
        <f t="shared" si="93"/>
        <v>Expert</v>
      </c>
    </row>
    <row r="2949" spans="1:21" x14ac:dyDescent="0.35">
      <c r="A2949" t="s">
        <v>3022</v>
      </c>
      <c r="B2949" t="s">
        <v>54</v>
      </c>
      <c r="C2949" t="s">
        <v>31</v>
      </c>
      <c r="D2949" t="s">
        <v>22</v>
      </c>
      <c r="E2949" t="s">
        <v>41</v>
      </c>
      <c r="F2949">
        <v>15</v>
      </c>
      <c r="G2949">
        <v>0.76</v>
      </c>
      <c r="H2949">
        <v>0.56999999999999995</v>
      </c>
      <c r="I2949" t="s">
        <v>24</v>
      </c>
      <c r="J2949">
        <v>45695</v>
      </c>
      <c r="K2949" t="s">
        <v>27</v>
      </c>
      <c r="L2949">
        <v>-4</v>
      </c>
      <c r="M2949">
        <v>37</v>
      </c>
      <c r="N2949" t="s">
        <v>26</v>
      </c>
      <c r="O2949" t="s">
        <v>36</v>
      </c>
      <c r="P2949">
        <v>2.76</v>
      </c>
      <c r="Q2949" t="s">
        <v>24</v>
      </c>
      <c r="R2949">
        <v>4.51</v>
      </c>
      <c r="S2949" t="s">
        <v>43</v>
      </c>
      <c r="T2949" t="str">
        <f t="shared" si="92"/>
        <v>Moderate</v>
      </c>
      <c r="U2949" t="str">
        <f t="shared" si="93"/>
        <v>Experienced</v>
      </c>
    </row>
    <row r="2950" spans="1:21" x14ac:dyDescent="0.35">
      <c r="A2950" t="s">
        <v>3023</v>
      </c>
      <c r="B2950" t="s">
        <v>77</v>
      </c>
      <c r="C2950" t="s">
        <v>58</v>
      </c>
      <c r="D2950" t="s">
        <v>63</v>
      </c>
      <c r="E2950" t="s">
        <v>33</v>
      </c>
      <c r="F2950">
        <v>21</v>
      </c>
      <c r="G2950">
        <v>0.18</v>
      </c>
      <c r="H2950">
        <v>0.83</v>
      </c>
      <c r="I2950" t="s">
        <v>60</v>
      </c>
      <c r="J2950">
        <v>156863</v>
      </c>
      <c r="K2950" t="s">
        <v>27</v>
      </c>
      <c r="L2950">
        <v>21</v>
      </c>
      <c r="M2950">
        <v>40</v>
      </c>
      <c r="N2950" t="s">
        <v>35</v>
      </c>
      <c r="O2950" t="s">
        <v>27</v>
      </c>
      <c r="P2950">
        <v>4.08</v>
      </c>
      <c r="Q2950" t="s">
        <v>34</v>
      </c>
      <c r="R2950">
        <v>1.85</v>
      </c>
      <c r="S2950" t="s">
        <v>43</v>
      </c>
      <c r="T2950" t="str">
        <f t="shared" si="92"/>
        <v>Very High</v>
      </c>
      <c r="U2950" t="str">
        <f t="shared" si="93"/>
        <v>Expert</v>
      </c>
    </row>
    <row r="2951" spans="1:21" x14ac:dyDescent="0.35">
      <c r="A2951" t="s">
        <v>3024</v>
      </c>
      <c r="B2951" t="s">
        <v>102</v>
      </c>
      <c r="C2951" t="s">
        <v>39</v>
      </c>
      <c r="D2951" t="s">
        <v>80</v>
      </c>
      <c r="E2951" t="s">
        <v>41</v>
      </c>
      <c r="F2951">
        <v>0</v>
      </c>
      <c r="G2951">
        <v>0.72</v>
      </c>
      <c r="H2951">
        <v>0.56999999999999995</v>
      </c>
      <c r="I2951" t="s">
        <v>34</v>
      </c>
      <c r="J2951">
        <v>159399</v>
      </c>
      <c r="K2951" t="s">
        <v>25</v>
      </c>
      <c r="L2951">
        <v>6</v>
      </c>
      <c r="M2951">
        <v>51</v>
      </c>
      <c r="N2951" t="s">
        <v>35</v>
      </c>
      <c r="O2951" t="s">
        <v>25</v>
      </c>
      <c r="P2951">
        <v>3.96</v>
      </c>
      <c r="Q2951" t="s">
        <v>34</v>
      </c>
      <c r="R2951">
        <v>3.92</v>
      </c>
      <c r="S2951" t="s">
        <v>28</v>
      </c>
      <c r="T2951" t="str">
        <f t="shared" si="92"/>
        <v>Moderate</v>
      </c>
      <c r="U2951" t="str">
        <f t="shared" si="93"/>
        <v>Beginner</v>
      </c>
    </row>
    <row r="2952" spans="1:21" x14ac:dyDescent="0.35">
      <c r="A2952" t="s">
        <v>3025</v>
      </c>
      <c r="B2952" t="s">
        <v>156</v>
      </c>
      <c r="C2952" t="s">
        <v>58</v>
      </c>
      <c r="D2952" t="s">
        <v>80</v>
      </c>
      <c r="E2952" t="s">
        <v>23</v>
      </c>
      <c r="F2952">
        <v>11</v>
      </c>
      <c r="G2952">
        <v>0.74</v>
      </c>
      <c r="H2952">
        <v>0.95</v>
      </c>
      <c r="I2952" t="s">
        <v>60</v>
      </c>
      <c r="J2952">
        <v>66977</v>
      </c>
      <c r="K2952" t="s">
        <v>42</v>
      </c>
      <c r="L2952">
        <v>1</v>
      </c>
      <c r="M2952">
        <v>52</v>
      </c>
      <c r="N2952" t="s">
        <v>26</v>
      </c>
      <c r="O2952" t="s">
        <v>25</v>
      </c>
      <c r="P2952">
        <v>4.82</v>
      </c>
      <c r="Q2952" t="s">
        <v>34</v>
      </c>
      <c r="R2952">
        <v>3.25</v>
      </c>
      <c r="S2952" t="s">
        <v>28</v>
      </c>
      <c r="T2952" t="str">
        <f t="shared" si="92"/>
        <v>High</v>
      </c>
      <c r="U2952" t="str">
        <f t="shared" si="93"/>
        <v>Experienced</v>
      </c>
    </row>
    <row r="2953" spans="1:21" x14ac:dyDescent="0.35">
      <c r="A2953" t="s">
        <v>3026</v>
      </c>
      <c r="B2953" t="s">
        <v>91</v>
      </c>
      <c r="C2953" t="s">
        <v>31</v>
      </c>
      <c r="D2953" t="s">
        <v>69</v>
      </c>
      <c r="E2953" t="s">
        <v>23</v>
      </c>
      <c r="F2953">
        <v>10</v>
      </c>
      <c r="G2953">
        <v>0.86</v>
      </c>
      <c r="H2953">
        <v>0.25</v>
      </c>
      <c r="I2953" t="s">
        <v>34</v>
      </c>
      <c r="J2953">
        <v>104639</v>
      </c>
      <c r="K2953" t="s">
        <v>25</v>
      </c>
      <c r="L2953">
        <v>0</v>
      </c>
      <c r="M2953">
        <v>52</v>
      </c>
      <c r="N2953" t="s">
        <v>42</v>
      </c>
      <c r="O2953" t="s">
        <v>25</v>
      </c>
      <c r="P2953">
        <v>4.12</v>
      </c>
      <c r="Q2953" t="s">
        <v>34</v>
      </c>
      <c r="R2953">
        <v>1.44</v>
      </c>
      <c r="S2953" t="s">
        <v>43</v>
      </c>
      <c r="T2953" t="str">
        <f t="shared" si="92"/>
        <v>Very Low</v>
      </c>
      <c r="U2953" t="str">
        <f t="shared" si="93"/>
        <v>Experienced</v>
      </c>
    </row>
    <row r="2954" spans="1:21" x14ac:dyDescent="0.35">
      <c r="A2954" t="s">
        <v>3027</v>
      </c>
      <c r="B2954" t="s">
        <v>38</v>
      </c>
      <c r="C2954" t="s">
        <v>107</v>
      </c>
      <c r="D2954" t="s">
        <v>22</v>
      </c>
      <c r="E2954" t="s">
        <v>33</v>
      </c>
      <c r="F2954">
        <v>8</v>
      </c>
      <c r="G2954">
        <v>0.21</v>
      </c>
      <c r="H2954">
        <v>0.38</v>
      </c>
      <c r="I2954" t="s">
        <v>34</v>
      </c>
      <c r="J2954">
        <v>60357</v>
      </c>
      <c r="K2954" t="s">
        <v>27</v>
      </c>
      <c r="L2954">
        <v>34</v>
      </c>
      <c r="M2954">
        <v>42</v>
      </c>
      <c r="N2954" t="s">
        <v>35</v>
      </c>
      <c r="O2954" t="s">
        <v>36</v>
      </c>
      <c r="P2954">
        <v>2.82</v>
      </c>
      <c r="Q2954" t="s">
        <v>24</v>
      </c>
      <c r="R2954">
        <v>2.31</v>
      </c>
      <c r="S2954" t="s">
        <v>28</v>
      </c>
      <c r="T2954" t="str">
        <f t="shared" si="92"/>
        <v>High</v>
      </c>
      <c r="U2954" t="str">
        <f t="shared" si="93"/>
        <v>Intermediate</v>
      </c>
    </row>
    <row r="2955" spans="1:21" x14ac:dyDescent="0.35">
      <c r="A2955" t="s">
        <v>3028</v>
      </c>
      <c r="B2955" t="s">
        <v>91</v>
      </c>
      <c r="C2955" t="s">
        <v>82</v>
      </c>
      <c r="D2955" t="s">
        <v>49</v>
      </c>
      <c r="E2955" t="s">
        <v>33</v>
      </c>
      <c r="F2955">
        <v>8</v>
      </c>
      <c r="G2955">
        <v>0.4</v>
      </c>
      <c r="H2955">
        <v>0.98</v>
      </c>
      <c r="I2955" t="s">
        <v>24</v>
      </c>
      <c r="J2955">
        <v>62449</v>
      </c>
      <c r="K2955" t="s">
        <v>42</v>
      </c>
      <c r="L2955">
        <v>26</v>
      </c>
      <c r="M2955">
        <v>56</v>
      </c>
      <c r="N2955" t="s">
        <v>42</v>
      </c>
      <c r="O2955" t="s">
        <v>36</v>
      </c>
      <c r="P2955">
        <v>2.79</v>
      </c>
      <c r="Q2955" t="s">
        <v>24</v>
      </c>
      <c r="R2955">
        <v>4.96</v>
      </c>
      <c r="S2955" t="s">
        <v>47</v>
      </c>
      <c r="T2955" t="str">
        <f t="shared" si="92"/>
        <v>High</v>
      </c>
      <c r="U2955" t="str">
        <f t="shared" si="93"/>
        <v>Intermediate</v>
      </c>
    </row>
    <row r="2956" spans="1:21" x14ac:dyDescent="0.35">
      <c r="A2956" t="s">
        <v>3029</v>
      </c>
      <c r="B2956" t="s">
        <v>38</v>
      </c>
      <c r="C2956" t="s">
        <v>82</v>
      </c>
      <c r="D2956" t="s">
        <v>32</v>
      </c>
      <c r="E2956" t="s">
        <v>33</v>
      </c>
      <c r="F2956">
        <v>1</v>
      </c>
      <c r="G2956">
        <v>0.89</v>
      </c>
      <c r="H2956">
        <v>0.92</v>
      </c>
      <c r="I2956" t="s">
        <v>60</v>
      </c>
      <c r="J2956">
        <v>174565</v>
      </c>
      <c r="K2956" t="s">
        <v>25</v>
      </c>
      <c r="L2956">
        <v>-1</v>
      </c>
      <c r="M2956">
        <v>32</v>
      </c>
      <c r="N2956" t="s">
        <v>35</v>
      </c>
      <c r="O2956" t="s">
        <v>25</v>
      </c>
      <c r="P2956">
        <v>4.6399999999999997</v>
      </c>
      <c r="Q2956" t="s">
        <v>24</v>
      </c>
      <c r="R2956">
        <v>2.0099999999999998</v>
      </c>
      <c r="S2956" t="s">
        <v>43</v>
      </c>
      <c r="T2956" t="str">
        <f t="shared" si="92"/>
        <v>High</v>
      </c>
      <c r="U2956" t="str">
        <f t="shared" si="93"/>
        <v>Beginner</v>
      </c>
    </row>
    <row r="2957" spans="1:21" x14ac:dyDescent="0.35">
      <c r="A2957" t="s">
        <v>3030</v>
      </c>
      <c r="B2957" t="s">
        <v>62</v>
      </c>
      <c r="C2957" t="s">
        <v>39</v>
      </c>
      <c r="D2957" t="s">
        <v>75</v>
      </c>
      <c r="E2957" t="s">
        <v>23</v>
      </c>
      <c r="F2957">
        <v>4</v>
      </c>
      <c r="G2957">
        <v>0.92</v>
      </c>
      <c r="H2957">
        <v>0.59</v>
      </c>
      <c r="I2957" t="s">
        <v>60</v>
      </c>
      <c r="J2957">
        <v>192376</v>
      </c>
      <c r="K2957" t="s">
        <v>42</v>
      </c>
      <c r="L2957">
        <v>2</v>
      </c>
      <c r="M2957">
        <v>54</v>
      </c>
      <c r="N2957" t="s">
        <v>42</v>
      </c>
      <c r="O2957" t="s">
        <v>36</v>
      </c>
      <c r="P2957">
        <v>2.37</v>
      </c>
      <c r="Q2957" t="s">
        <v>34</v>
      </c>
      <c r="R2957">
        <v>4.3099999999999996</v>
      </c>
      <c r="S2957" t="s">
        <v>28</v>
      </c>
      <c r="T2957" t="str">
        <f t="shared" si="92"/>
        <v>Moderate</v>
      </c>
      <c r="U2957" t="str">
        <f t="shared" si="93"/>
        <v>Intermediate</v>
      </c>
    </row>
    <row r="2958" spans="1:21" x14ac:dyDescent="0.35">
      <c r="A2958" t="s">
        <v>3031</v>
      </c>
      <c r="B2958" t="s">
        <v>73</v>
      </c>
      <c r="C2958" t="s">
        <v>82</v>
      </c>
      <c r="D2958" t="s">
        <v>49</v>
      </c>
      <c r="E2958" t="s">
        <v>23</v>
      </c>
      <c r="F2958">
        <v>6</v>
      </c>
      <c r="G2958">
        <v>0.61</v>
      </c>
      <c r="H2958">
        <v>0.39</v>
      </c>
      <c r="I2958" t="s">
        <v>60</v>
      </c>
      <c r="J2958">
        <v>129461</v>
      </c>
      <c r="K2958" t="s">
        <v>27</v>
      </c>
      <c r="L2958">
        <v>8</v>
      </c>
      <c r="M2958">
        <v>47</v>
      </c>
      <c r="N2958" t="s">
        <v>42</v>
      </c>
      <c r="O2958" t="s">
        <v>36</v>
      </c>
      <c r="P2958">
        <v>4.33</v>
      </c>
      <c r="Q2958" t="s">
        <v>34</v>
      </c>
      <c r="R2958">
        <v>3.88</v>
      </c>
      <c r="S2958" t="s">
        <v>28</v>
      </c>
      <c r="T2958" t="str">
        <f t="shared" si="92"/>
        <v>Moderate</v>
      </c>
      <c r="U2958" t="str">
        <f t="shared" si="93"/>
        <v>Intermediate</v>
      </c>
    </row>
    <row r="2959" spans="1:21" x14ac:dyDescent="0.35">
      <c r="A2959" t="s">
        <v>3032</v>
      </c>
      <c r="B2959" t="s">
        <v>147</v>
      </c>
      <c r="C2959" t="s">
        <v>74</v>
      </c>
      <c r="D2959" t="s">
        <v>32</v>
      </c>
      <c r="E2959" t="s">
        <v>41</v>
      </c>
      <c r="F2959">
        <v>3</v>
      </c>
      <c r="G2959">
        <v>0.94</v>
      </c>
      <c r="H2959">
        <v>0.94</v>
      </c>
      <c r="I2959" t="s">
        <v>24</v>
      </c>
      <c r="J2959">
        <v>188899</v>
      </c>
      <c r="K2959" t="s">
        <v>27</v>
      </c>
      <c r="L2959">
        <v>42</v>
      </c>
      <c r="M2959">
        <v>49</v>
      </c>
      <c r="N2959" t="s">
        <v>42</v>
      </c>
      <c r="O2959" t="s">
        <v>25</v>
      </c>
      <c r="P2959">
        <v>2.2400000000000002</v>
      </c>
      <c r="Q2959" t="s">
        <v>24</v>
      </c>
      <c r="R2959">
        <v>2.34</v>
      </c>
      <c r="S2959" t="s">
        <v>43</v>
      </c>
      <c r="T2959" t="str">
        <f t="shared" si="92"/>
        <v>Moderate</v>
      </c>
      <c r="U2959" t="str">
        <f t="shared" si="93"/>
        <v>Intermediate</v>
      </c>
    </row>
    <row r="2960" spans="1:21" x14ac:dyDescent="0.35">
      <c r="A2960" t="s">
        <v>3033</v>
      </c>
      <c r="B2960" t="s">
        <v>77</v>
      </c>
      <c r="C2960" t="s">
        <v>82</v>
      </c>
      <c r="D2960" t="s">
        <v>80</v>
      </c>
      <c r="E2960" t="s">
        <v>41</v>
      </c>
      <c r="F2960">
        <v>0</v>
      </c>
      <c r="G2960">
        <v>0.28999999999999998</v>
      </c>
      <c r="H2960">
        <v>0.28999999999999998</v>
      </c>
      <c r="I2960" t="s">
        <v>34</v>
      </c>
      <c r="J2960">
        <v>64189</v>
      </c>
      <c r="K2960" t="s">
        <v>25</v>
      </c>
      <c r="L2960">
        <v>44</v>
      </c>
      <c r="M2960">
        <v>36</v>
      </c>
      <c r="N2960" t="s">
        <v>26</v>
      </c>
      <c r="O2960" t="s">
        <v>27</v>
      </c>
      <c r="P2960">
        <v>4.01</v>
      </c>
      <c r="Q2960" t="s">
        <v>24</v>
      </c>
      <c r="R2960">
        <v>2.0099999999999998</v>
      </c>
      <c r="S2960" t="s">
        <v>28</v>
      </c>
      <c r="T2960" t="str">
        <f t="shared" si="92"/>
        <v>Moderate</v>
      </c>
      <c r="U2960" t="str">
        <f t="shared" si="93"/>
        <v>Beginner</v>
      </c>
    </row>
    <row r="2961" spans="1:21" x14ac:dyDescent="0.35">
      <c r="A2961" t="s">
        <v>3034</v>
      </c>
      <c r="B2961" t="s">
        <v>65</v>
      </c>
      <c r="C2961" t="s">
        <v>74</v>
      </c>
      <c r="D2961" t="s">
        <v>22</v>
      </c>
      <c r="E2961" t="s">
        <v>41</v>
      </c>
      <c r="F2961">
        <v>12</v>
      </c>
      <c r="G2961">
        <v>0.5</v>
      </c>
      <c r="H2961">
        <v>0.46</v>
      </c>
      <c r="I2961" t="s">
        <v>60</v>
      </c>
      <c r="J2961">
        <v>171750</v>
      </c>
      <c r="K2961" t="s">
        <v>25</v>
      </c>
      <c r="L2961">
        <v>9</v>
      </c>
      <c r="M2961">
        <v>37</v>
      </c>
      <c r="N2961" t="s">
        <v>26</v>
      </c>
      <c r="O2961" t="s">
        <v>27</v>
      </c>
      <c r="P2961">
        <v>3.43</v>
      </c>
      <c r="Q2961" t="s">
        <v>34</v>
      </c>
      <c r="R2961">
        <v>3.49</v>
      </c>
      <c r="S2961" t="s">
        <v>28</v>
      </c>
      <c r="T2961" t="str">
        <f t="shared" si="92"/>
        <v>Moderate</v>
      </c>
      <c r="U2961" t="str">
        <f t="shared" si="93"/>
        <v>Experienced</v>
      </c>
    </row>
    <row r="2962" spans="1:21" x14ac:dyDescent="0.35">
      <c r="A2962" t="s">
        <v>3035</v>
      </c>
      <c r="B2962" t="s">
        <v>38</v>
      </c>
      <c r="C2962" t="s">
        <v>74</v>
      </c>
      <c r="D2962" t="s">
        <v>22</v>
      </c>
      <c r="E2962" t="s">
        <v>70</v>
      </c>
      <c r="F2962">
        <v>1</v>
      </c>
      <c r="G2962">
        <v>0.76</v>
      </c>
      <c r="H2962">
        <v>0.66</v>
      </c>
      <c r="I2962" t="s">
        <v>34</v>
      </c>
      <c r="J2962">
        <v>39160</v>
      </c>
      <c r="K2962" t="s">
        <v>27</v>
      </c>
      <c r="L2962">
        <v>31</v>
      </c>
      <c r="M2962">
        <v>34</v>
      </c>
      <c r="N2962" t="s">
        <v>35</v>
      </c>
      <c r="O2962" t="s">
        <v>27</v>
      </c>
      <c r="P2962">
        <v>3.58</v>
      </c>
      <c r="Q2962" t="s">
        <v>24</v>
      </c>
      <c r="R2962">
        <v>1.75</v>
      </c>
      <c r="S2962" t="s">
        <v>47</v>
      </c>
      <c r="T2962" t="str">
        <f t="shared" si="92"/>
        <v>Moderate</v>
      </c>
      <c r="U2962" t="str">
        <f t="shared" si="93"/>
        <v>Beginner</v>
      </c>
    </row>
    <row r="2963" spans="1:21" x14ac:dyDescent="0.35">
      <c r="A2963" t="s">
        <v>3036</v>
      </c>
      <c r="B2963" t="s">
        <v>51</v>
      </c>
      <c r="C2963" t="s">
        <v>46</v>
      </c>
      <c r="D2963" t="s">
        <v>59</v>
      </c>
      <c r="E2963" t="s">
        <v>33</v>
      </c>
      <c r="F2963">
        <v>6</v>
      </c>
      <c r="G2963">
        <v>0.84</v>
      </c>
      <c r="H2963">
        <v>0.46</v>
      </c>
      <c r="I2963" t="s">
        <v>34</v>
      </c>
      <c r="J2963">
        <v>35240</v>
      </c>
      <c r="K2963" t="s">
        <v>42</v>
      </c>
      <c r="L2963">
        <v>18</v>
      </c>
      <c r="M2963">
        <v>31</v>
      </c>
      <c r="N2963" t="s">
        <v>42</v>
      </c>
      <c r="O2963" t="s">
        <v>25</v>
      </c>
      <c r="P2963">
        <v>3.69</v>
      </c>
      <c r="Q2963" t="s">
        <v>24</v>
      </c>
      <c r="R2963">
        <v>2.41</v>
      </c>
      <c r="S2963" t="s">
        <v>28</v>
      </c>
      <c r="T2963" t="str">
        <f t="shared" si="92"/>
        <v>Very Low</v>
      </c>
      <c r="U2963" t="str">
        <f t="shared" si="93"/>
        <v>Intermediate</v>
      </c>
    </row>
    <row r="2964" spans="1:21" x14ac:dyDescent="0.35">
      <c r="A2964" t="s">
        <v>3037</v>
      </c>
      <c r="B2964" t="s">
        <v>57</v>
      </c>
      <c r="C2964" t="s">
        <v>39</v>
      </c>
      <c r="D2964" t="s">
        <v>32</v>
      </c>
      <c r="E2964" t="s">
        <v>70</v>
      </c>
      <c r="F2964">
        <v>16</v>
      </c>
      <c r="G2964">
        <v>0.14000000000000001</v>
      </c>
      <c r="H2964">
        <v>0.38</v>
      </c>
      <c r="I2964" t="s">
        <v>60</v>
      </c>
      <c r="J2964">
        <v>127979</v>
      </c>
      <c r="K2964" t="s">
        <v>27</v>
      </c>
      <c r="L2964">
        <v>40</v>
      </c>
      <c r="M2964">
        <v>38</v>
      </c>
      <c r="N2964" t="s">
        <v>26</v>
      </c>
      <c r="O2964" t="s">
        <v>27</v>
      </c>
      <c r="P2964">
        <v>2.0499999999999998</v>
      </c>
      <c r="Q2964" t="s">
        <v>24</v>
      </c>
      <c r="R2964">
        <v>2.69</v>
      </c>
      <c r="S2964" t="s">
        <v>43</v>
      </c>
      <c r="T2964" t="str">
        <f t="shared" si="92"/>
        <v>High</v>
      </c>
      <c r="U2964" t="str">
        <f t="shared" si="93"/>
        <v>Expert</v>
      </c>
    </row>
    <row r="2965" spans="1:21" x14ac:dyDescent="0.35">
      <c r="A2965" t="s">
        <v>3038</v>
      </c>
      <c r="B2965" t="s">
        <v>62</v>
      </c>
      <c r="C2965" t="s">
        <v>31</v>
      </c>
      <c r="D2965" t="s">
        <v>66</v>
      </c>
      <c r="E2965" t="s">
        <v>70</v>
      </c>
      <c r="F2965">
        <v>0</v>
      </c>
      <c r="G2965">
        <v>0.79</v>
      </c>
      <c r="H2965">
        <v>0.27</v>
      </c>
      <c r="I2965" t="s">
        <v>24</v>
      </c>
      <c r="J2965">
        <v>115472</v>
      </c>
      <c r="K2965" t="s">
        <v>27</v>
      </c>
      <c r="L2965">
        <v>9</v>
      </c>
      <c r="M2965">
        <v>54</v>
      </c>
      <c r="N2965" t="s">
        <v>42</v>
      </c>
      <c r="O2965" t="s">
        <v>27</v>
      </c>
      <c r="P2965">
        <v>2.2200000000000002</v>
      </c>
      <c r="Q2965" t="s">
        <v>24</v>
      </c>
      <c r="R2965">
        <v>2.56</v>
      </c>
      <c r="S2965" t="s">
        <v>28</v>
      </c>
      <c r="T2965" t="str">
        <f t="shared" si="92"/>
        <v>Very Low</v>
      </c>
      <c r="U2965" t="str">
        <f t="shared" si="93"/>
        <v>Beginner</v>
      </c>
    </row>
    <row r="2966" spans="1:21" x14ac:dyDescent="0.35">
      <c r="A2966" t="s">
        <v>3039</v>
      </c>
      <c r="B2966" t="s">
        <v>38</v>
      </c>
      <c r="C2966" t="s">
        <v>107</v>
      </c>
      <c r="D2966" t="s">
        <v>59</v>
      </c>
      <c r="E2966" t="s">
        <v>41</v>
      </c>
      <c r="F2966">
        <v>19</v>
      </c>
      <c r="G2966">
        <v>0.27</v>
      </c>
      <c r="H2966">
        <v>0.57999999999999996</v>
      </c>
      <c r="I2966" t="s">
        <v>60</v>
      </c>
      <c r="J2966">
        <v>207823</v>
      </c>
      <c r="K2966" t="s">
        <v>27</v>
      </c>
      <c r="L2966">
        <v>11</v>
      </c>
      <c r="M2966">
        <v>60</v>
      </c>
      <c r="N2966" t="s">
        <v>35</v>
      </c>
      <c r="O2966" t="s">
        <v>27</v>
      </c>
      <c r="P2966">
        <v>2.91</v>
      </c>
      <c r="Q2966" t="s">
        <v>34</v>
      </c>
      <c r="R2966">
        <v>1.04</v>
      </c>
      <c r="S2966" t="s">
        <v>47</v>
      </c>
      <c r="T2966" t="str">
        <f t="shared" si="92"/>
        <v>High</v>
      </c>
      <c r="U2966" t="str">
        <f t="shared" si="93"/>
        <v>Expert</v>
      </c>
    </row>
    <row r="2967" spans="1:21" x14ac:dyDescent="0.35">
      <c r="A2967" t="s">
        <v>3040</v>
      </c>
      <c r="B2967" t="s">
        <v>156</v>
      </c>
      <c r="C2967" t="s">
        <v>31</v>
      </c>
      <c r="D2967" t="s">
        <v>66</v>
      </c>
      <c r="E2967" t="s">
        <v>41</v>
      </c>
      <c r="F2967">
        <v>3</v>
      </c>
      <c r="G2967">
        <v>0.21</v>
      </c>
      <c r="H2967">
        <v>0.73</v>
      </c>
      <c r="I2967" t="s">
        <v>24</v>
      </c>
      <c r="J2967">
        <v>108212</v>
      </c>
      <c r="K2967" t="s">
        <v>25</v>
      </c>
      <c r="L2967">
        <v>18</v>
      </c>
      <c r="M2967">
        <v>47</v>
      </c>
      <c r="N2967" t="s">
        <v>42</v>
      </c>
      <c r="O2967" t="s">
        <v>36</v>
      </c>
      <c r="P2967">
        <v>4.8899999999999997</v>
      </c>
      <c r="Q2967" t="s">
        <v>24</v>
      </c>
      <c r="R2967">
        <v>4.5999999999999996</v>
      </c>
      <c r="S2967" t="s">
        <v>43</v>
      </c>
      <c r="T2967" t="str">
        <f t="shared" si="92"/>
        <v>Very High</v>
      </c>
      <c r="U2967" t="str">
        <f t="shared" si="93"/>
        <v>Intermediate</v>
      </c>
    </row>
    <row r="2968" spans="1:21" x14ac:dyDescent="0.35">
      <c r="A2968" t="s">
        <v>3041</v>
      </c>
      <c r="B2968" t="s">
        <v>77</v>
      </c>
      <c r="C2968" t="s">
        <v>58</v>
      </c>
      <c r="D2968" t="s">
        <v>66</v>
      </c>
      <c r="E2968" t="s">
        <v>33</v>
      </c>
      <c r="F2968">
        <v>2</v>
      </c>
      <c r="G2968">
        <v>0.38</v>
      </c>
      <c r="H2968">
        <v>0.23</v>
      </c>
      <c r="I2968" t="s">
        <v>24</v>
      </c>
      <c r="J2968">
        <v>70992</v>
      </c>
      <c r="K2968" t="s">
        <v>27</v>
      </c>
      <c r="L2968">
        <v>17</v>
      </c>
      <c r="M2968">
        <v>47</v>
      </c>
      <c r="N2968" t="s">
        <v>42</v>
      </c>
      <c r="O2968" t="s">
        <v>36</v>
      </c>
      <c r="P2968">
        <v>3.37</v>
      </c>
      <c r="Q2968" t="s">
        <v>34</v>
      </c>
      <c r="R2968">
        <v>2.5299999999999998</v>
      </c>
      <c r="S2968" t="s">
        <v>43</v>
      </c>
      <c r="T2968" t="str">
        <f t="shared" si="92"/>
        <v>Moderate</v>
      </c>
      <c r="U2968" t="str">
        <f t="shared" si="93"/>
        <v>Beginner</v>
      </c>
    </row>
    <row r="2969" spans="1:21" x14ac:dyDescent="0.35">
      <c r="A2969" t="s">
        <v>3042</v>
      </c>
      <c r="B2969" t="s">
        <v>65</v>
      </c>
      <c r="C2969" t="s">
        <v>21</v>
      </c>
      <c r="D2969" t="s">
        <v>69</v>
      </c>
      <c r="E2969" t="s">
        <v>70</v>
      </c>
      <c r="F2969">
        <v>6</v>
      </c>
      <c r="G2969">
        <v>0.95</v>
      </c>
      <c r="H2969">
        <v>0.23</v>
      </c>
      <c r="I2969" t="s">
        <v>24</v>
      </c>
      <c r="J2969">
        <v>103984</v>
      </c>
      <c r="K2969" t="s">
        <v>27</v>
      </c>
      <c r="L2969">
        <v>27</v>
      </c>
      <c r="M2969">
        <v>51</v>
      </c>
      <c r="N2969" t="s">
        <v>26</v>
      </c>
      <c r="O2969" t="s">
        <v>25</v>
      </c>
      <c r="P2969">
        <v>4.0599999999999996</v>
      </c>
      <c r="Q2969" t="s">
        <v>34</v>
      </c>
      <c r="R2969">
        <v>4.79</v>
      </c>
      <c r="S2969" t="s">
        <v>47</v>
      </c>
      <c r="T2969" t="str">
        <f t="shared" si="92"/>
        <v>Very Low</v>
      </c>
      <c r="U2969" t="str">
        <f t="shared" si="93"/>
        <v>Intermediate</v>
      </c>
    </row>
    <row r="2970" spans="1:21" x14ac:dyDescent="0.35">
      <c r="A2970" t="s">
        <v>3043</v>
      </c>
      <c r="B2970" t="s">
        <v>51</v>
      </c>
      <c r="C2970" t="s">
        <v>107</v>
      </c>
      <c r="D2970" t="s">
        <v>59</v>
      </c>
      <c r="E2970" t="s">
        <v>33</v>
      </c>
      <c r="F2970">
        <v>8</v>
      </c>
      <c r="G2970">
        <v>0.89</v>
      </c>
      <c r="H2970">
        <v>0.56999999999999995</v>
      </c>
      <c r="I2970" t="s">
        <v>34</v>
      </c>
      <c r="J2970">
        <v>44901</v>
      </c>
      <c r="K2970" t="s">
        <v>42</v>
      </c>
      <c r="L2970">
        <v>24</v>
      </c>
      <c r="M2970">
        <v>54</v>
      </c>
      <c r="N2970" t="s">
        <v>35</v>
      </c>
      <c r="O2970" t="s">
        <v>25</v>
      </c>
      <c r="P2970">
        <v>2.91</v>
      </c>
      <c r="Q2970" t="s">
        <v>34</v>
      </c>
      <c r="R2970">
        <v>2.12</v>
      </c>
      <c r="S2970" t="s">
        <v>43</v>
      </c>
      <c r="T2970" t="str">
        <f t="shared" si="92"/>
        <v>Moderate</v>
      </c>
      <c r="U2970" t="str">
        <f t="shared" si="93"/>
        <v>Intermediate</v>
      </c>
    </row>
    <row r="2971" spans="1:21" x14ac:dyDescent="0.35">
      <c r="A2971" t="s">
        <v>3044</v>
      </c>
      <c r="B2971" t="s">
        <v>102</v>
      </c>
      <c r="C2971" t="s">
        <v>46</v>
      </c>
      <c r="D2971" t="s">
        <v>69</v>
      </c>
      <c r="E2971" t="s">
        <v>23</v>
      </c>
      <c r="F2971">
        <v>20</v>
      </c>
      <c r="G2971">
        <v>0.26</v>
      </c>
      <c r="H2971">
        <v>0.81</v>
      </c>
      <c r="I2971" t="s">
        <v>60</v>
      </c>
      <c r="J2971">
        <v>195776</v>
      </c>
      <c r="K2971" t="s">
        <v>42</v>
      </c>
      <c r="L2971">
        <v>35</v>
      </c>
      <c r="M2971">
        <v>51</v>
      </c>
      <c r="N2971" t="s">
        <v>42</v>
      </c>
      <c r="O2971" t="s">
        <v>27</v>
      </c>
      <c r="P2971">
        <v>4.46</v>
      </c>
      <c r="Q2971" t="s">
        <v>24</v>
      </c>
      <c r="R2971">
        <v>4.8</v>
      </c>
      <c r="S2971" t="s">
        <v>47</v>
      </c>
      <c r="T2971" t="str">
        <f t="shared" si="92"/>
        <v>Very High</v>
      </c>
      <c r="U2971" t="str">
        <f t="shared" si="93"/>
        <v>Expert</v>
      </c>
    </row>
    <row r="2972" spans="1:21" x14ac:dyDescent="0.35">
      <c r="A2972" t="s">
        <v>3045</v>
      </c>
      <c r="B2972" t="s">
        <v>156</v>
      </c>
      <c r="C2972" t="s">
        <v>52</v>
      </c>
      <c r="D2972" t="s">
        <v>40</v>
      </c>
      <c r="E2972" t="s">
        <v>23</v>
      </c>
      <c r="F2972">
        <v>21</v>
      </c>
      <c r="G2972">
        <v>0.13</v>
      </c>
      <c r="H2972">
        <v>0.38</v>
      </c>
      <c r="I2972" t="s">
        <v>60</v>
      </c>
      <c r="J2972">
        <v>110157</v>
      </c>
      <c r="K2972" t="s">
        <v>27</v>
      </c>
      <c r="L2972">
        <v>8</v>
      </c>
      <c r="M2972">
        <v>42</v>
      </c>
      <c r="N2972" t="s">
        <v>35</v>
      </c>
      <c r="O2972" t="s">
        <v>36</v>
      </c>
      <c r="P2972">
        <v>3.19</v>
      </c>
      <c r="Q2972" t="s">
        <v>24</v>
      </c>
      <c r="R2972">
        <v>4.6500000000000004</v>
      </c>
      <c r="S2972" t="s">
        <v>43</v>
      </c>
      <c r="T2972" t="str">
        <f t="shared" si="92"/>
        <v>High</v>
      </c>
      <c r="U2972" t="str">
        <f t="shared" si="93"/>
        <v>Expert</v>
      </c>
    </row>
    <row r="2973" spans="1:21" x14ac:dyDescent="0.35">
      <c r="A2973" t="s">
        <v>3046</v>
      </c>
      <c r="B2973" t="s">
        <v>94</v>
      </c>
      <c r="C2973" t="s">
        <v>46</v>
      </c>
      <c r="D2973" t="s">
        <v>40</v>
      </c>
      <c r="E2973" t="s">
        <v>33</v>
      </c>
      <c r="F2973">
        <v>8</v>
      </c>
      <c r="G2973">
        <v>0.65</v>
      </c>
      <c r="H2973">
        <v>0.33</v>
      </c>
      <c r="I2973" t="s">
        <v>24</v>
      </c>
      <c r="J2973">
        <v>51880</v>
      </c>
      <c r="K2973" t="s">
        <v>27</v>
      </c>
      <c r="L2973">
        <v>38</v>
      </c>
      <c r="M2973">
        <v>46</v>
      </c>
      <c r="N2973" t="s">
        <v>26</v>
      </c>
      <c r="O2973" t="s">
        <v>25</v>
      </c>
      <c r="P2973">
        <v>2.4700000000000002</v>
      </c>
      <c r="Q2973" t="s">
        <v>34</v>
      </c>
      <c r="R2973">
        <v>3.24</v>
      </c>
      <c r="S2973" t="s">
        <v>47</v>
      </c>
      <c r="T2973" t="str">
        <f t="shared" si="92"/>
        <v>Moderate</v>
      </c>
      <c r="U2973" t="str">
        <f t="shared" si="93"/>
        <v>Intermediate</v>
      </c>
    </row>
    <row r="2974" spans="1:21" x14ac:dyDescent="0.35">
      <c r="A2974" t="s">
        <v>3047</v>
      </c>
      <c r="B2974" t="s">
        <v>73</v>
      </c>
      <c r="C2974" t="s">
        <v>31</v>
      </c>
      <c r="D2974" t="s">
        <v>66</v>
      </c>
      <c r="E2974" t="s">
        <v>41</v>
      </c>
      <c r="F2974">
        <v>9</v>
      </c>
      <c r="G2974">
        <v>0.59</v>
      </c>
      <c r="H2974">
        <v>0.41</v>
      </c>
      <c r="I2974" t="s">
        <v>24</v>
      </c>
      <c r="J2974">
        <v>144249</v>
      </c>
      <c r="K2974" t="s">
        <v>42</v>
      </c>
      <c r="L2974">
        <v>-4</v>
      </c>
      <c r="M2974">
        <v>39</v>
      </c>
      <c r="N2974" t="s">
        <v>35</v>
      </c>
      <c r="O2974" t="s">
        <v>27</v>
      </c>
      <c r="P2974">
        <v>4.03</v>
      </c>
      <c r="Q2974" t="s">
        <v>34</v>
      </c>
      <c r="R2974">
        <v>2.5</v>
      </c>
      <c r="S2974" t="s">
        <v>43</v>
      </c>
      <c r="T2974" t="str">
        <f t="shared" si="92"/>
        <v>Moderate</v>
      </c>
      <c r="U2974" t="str">
        <f t="shared" si="93"/>
        <v>Experienced</v>
      </c>
    </row>
    <row r="2975" spans="1:21" x14ac:dyDescent="0.35">
      <c r="A2975" t="s">
        <v>3048</v>
      </c>
      <c r="B2975" t="s">
        <v>156</v>
      </c>
      <c r="C2975" t="s">
        <v>107</v>
      </c>
      <c r="D2975" t="s">
        <v>32</v>
      </c>
      <c r="E2975" t="s">
        <v>70</v>
      </c>
      <c r="F2975">
        <v>14</v>
      </c>
      <c r="G2975">
        <v>0.41</v>
      </c>
      <c r="H2975">
        <v>0.39</v>
      </c>
      <c r="I2975" t="s">
        <v>34</v>
      </c>
      <c r="J2975">
        <v>218524</v>
      </c>
      <c r="K2975" t="s">
        <v>42</v>
      </c>
      <c r="L2975">
        <v>34</v>
      </c>
      <c r="M2975">
        <v>30</v>
      </c>
      <c r="N2975" t="s">
        <v>42</v>
      </c>
      <c r="O2975" t="s">
        <v>27</v>
      </c>
      <c r="P2975">
        <v>2.65</v>
      </c>
      <c r="Q2975" t="s">
        <v>24</v>
      </c>
      <c r="R2975">
        <v>3.47</v>
      </c>
      <c r="S2975" t="s">
        <v>43</v>
      </c>
      <c r="T2975" t="str">
        <f t="shared" si="92"/>
        <v>Moderate</v>
      </c>
      <c r="U2975" t="str">
        <f t="shared" si="93"/>
        <v>Experienced</v>
      </c>
    </row>
    <row r="2976" spans="1:21" x14ac:dyDescent="0.35">
      <c r="A2976" t="s">
        <v>3049</v>
      </c>
      <c r="B2976" t="s">
        <v>89</v>
      </c>
      <c r="C2976" t="s">
        <v>107</v>
      </c>
      <c r="D2976" t="s">
        <v>49</v>
      </c>
      <c r="E2976" t="s">
        <v>33</v>
      </c>
      <c r="F2976">
        <v>9</v>
      </c>
      <c r="G2976">
        <v>0.39</v>
      </c>
      <c r="H2976">
        <v>0.77</v>
      </c>
      <c r="I2976" t="s">
        <v>60</v>
      </c>
      <c r="J2976">
        <v>88788</v>
      </c>
      <c r="K2976" t="s">
        <v>25</v>
      </c>
      <c r="L2976">
        <v>6</v>
      </c>
      <c r="M2976">
        <v>35</v>
      </c>
      <c r="N2976" t="s">
        <v>42</v>
      </c>
      <c r="O2976" t="s">
        <v>27</v>
      </c>
      <c r="P2976">
        <v>2.94</v>
      </c>
      <c r="Q2976" t="s">
        <v>24</v>
      </c>
      <c r="R2976">
        <v>1.7</v>
      </c>
      <c r="S2976" t="s">
        <v>28</v>
      </c>
      <c r="T2976" t="str">
        <f t="shared" si="92"/>
        <v>Very High</v>
      </c>
      <c r="U2976" t="str">
        <f t="shared" si="93"/>
        <v>Experienced</v>
      </c>
    </row>
    <row r="2977" spans="1:21" x14ac:dyDescent="0.35">
      <c r="A2977" t="s">
        <v>3050</v>
      </c>
      <c r="B2977" t="s">
        <v>54</v>
      </c>
      <c r="C2977" t="s">
        <v>46</v>
      </c>
      <c r="D2977" t="s">
        <v>22</v>
      </c>
      <c r="E2977" t="s">
        <v>23</v>
      </c>
      <c r="F2977">
        <v>14</v>
      </c>
      <c r="G2977">
        <v>0.18</v>
      </c>
      <c r="H2977">
        <v>0.97</v>
      </c>
      <c r="I2977" t="s">
        <v>60</v>
      </c>
      <c r="J2977">
        <v>71802</v>
      </c>
      <c r="K2977" t="s">
        <v>27</v>
      </c>
      <c r="L2977">
        <v>28</v>
      </c>
      <c r="M2977">
        <v>57</v>
      </c>
      <c r="N2977" t="s">
        <v>42</v>
      </c>
      <c r="O2977" t="s">
        <v>27</v>
      </c>
      <c r="P2977">
        <v>4.97</v>
      </c>
      <c r="Q2977" t="s">
        <v>24</v>
      </c>
      <c r="R2977">
        <v>3.33</v>
      </c>
      <c r="S2977" t="s">
        <v>28</v>
      </c>
      <c r="T2977" t="str">
        <f t="shared" si="92"/>
        <v>Very High</v>
      </c>
      <c r="U2977" t="str">
        <f t="shared" si="93"/>
        <v>Experienced</v>
      </c>
    </row>
    <row r="2978" spans="1:21" x14ac:dyDescent="0.35">
      <c r="A2978" t="s">
        <v>3051</v>
      </c>
      <c r="B2978" t="s">
        <v>156</v>
      </c>
      <c r="C2978" t="s">
        <v>31</v>
      </c>
      <c r="D2978" t="s">
        <v>75</v>
      </c>
      <c r="E2978" t="s">
        <v>23</v>
      </c>
      <c r="F2978">
        <v>15</v>
      </c>
      <c r="G2978">
        <v>0.81</v>
      </c>
      <c r="H2978">
        <v>0.47</v>
      </c>
      <c r="I2978" t="s">
        <v>24</v>
      </c>
      <c r="J2978">
        <v>53660</v>
      </c>
      <c r="K2978" t="s">
        <v>25</v>
      </c>
      <c r="L2978">
        <v>10</v>
      </c>
      <c r="M2978">
        <v>55</v>
      </c>
      <c r="N2978" t="s">
        <v>26</v>
      </c>
      <c r="O2978" t="s">
        <v>36</v>
      </c>
      <c r="P2978">
        <v>3.51</v>
      </c>
      <c r="Q2978" t="s">
        <v>34</v>
      </c>
      <c r="R2978">
        <v>3.08</v>
      </c>
      <c r="S2978" t="s">
        <v>47</v>
      </c>
      <c r="T2978" t="str">
        <f t="shared" si="92"/>
        <v>Very Low</v>
      </c>
      <c r="U2978" t="str">
        <f t="shared" si="93"/>
        <v>Experienced</v>
      </c>
    </row>
    <row r="2979" spans="1:21" x14ac:dyDescent="0.35">
      <c r="A2979" t="s">
        <v>3052</v>
      </c>
      <c r="B2979" t="s">
        <v>20</v>
      </c>
      <c r="C2979" t="s">
        <v>52</v>
      </c>
      <c r="D2979" t="s">
        <v>63</v>
      </c>
      <c r="E2979" t="s">
        <v>41</v>
      </c>
      <c r="F2979">
        <v>5</v>
      </c>
      <c r="G2979">
        <v>0.87</v>
      </c>
      <c r="H2979">
        <v>0.69</v>
      </c>
      <c r="I2979" t="s">
        <v>24</v>
      </c>
      <c r="J2979">
        <v>194869</v>
      </c>
      <c r="K2979" t="s">
        <v>42</v>
      </c>
      <c r="L2979">
        <v>6</v>
      </c>
      <c r="M2979">
        <v>33</v>
      </c>
      <c r="N2979" t="s">
        <v>42</v>
      </c>
      <c r="O2979" t="s">
        <v>25</v>
      </c>
      <c r="P2979">
        <v>3.51</v>
      </c>
      <c r="Q2979" t="s">
        <v>34</v>
      </c>
      <c r="R2979">
        <v>3</v>
      </c>
      <c r="S2979" t="s">
        <v>43</v>
      </c>
      <c r="T2979" t="str">
        <f t="shared" si="92"/>
        <v>Moderate</v>
      </c>
      <c r="U2979" t="str">
        <f t="shared" si="93"/>
        <v>Intermediate</v>
      </c>
    </row>
    <row r="2980" spans="1:21" x14ac:dyDescent="0.35">
      <c r="A2980" t="s">
        <v>3053</v>
      </c>
      <c r="B2980" t="s">
        <v>57</v>
      </c>
      <c r="C2980" t="s">
        <v>39</v>
      </c>
      <c r="D2980" t="s">
        <v>69</v>
      </c>
      <c r="E2980" t="s">
        <v>33</v>
      </c>
      <c r="F2980">
        <v>15</v>
      </c>
      <c r="G2980">
        <v>0.95</v>
      </c>
      <c r="H2980">
        <v>0.93</v>
      </c>
      <c r="I2980" t="s">
        <v>24</v>
      </c>
      <c r="J2980">
        <v>69572</v>
      </c>
      <c r="K2980" t="s">
        <v>42</v>
      </c>
      <c r="L2980">
        <v>13</v>
      </c>
      <c r="M2980">
        <v>54</v>
      </c>
      <c r="N2980" t="s">
        <v>35</v>
      </c>
      <c r="O2980" t="s">
        <v>27</v>
      </c>
      <c r="P2980">
        <v>3.68</v>
      </c>
      <c r="Q2980" t="s">
        <v>24</v>
      </c>
      <c r="R2980">
        <v>4.25</v>
      </c>
      <c r="S2980" t="s">
        <v>28</v>
      </c>
      <c r="T2980" t="str">
        <f t="shared" si="92"/>
        <v>Moderate</v>
      </c>
      <c r="U2980" t="str">
        <f t="shared" si="93"/>
        <v>Experienced</v>
      </c>
    </row>
    <row r="2981" spans="1:21" x14ac:dyDescent="0.35">
      <c r="A2981" t="s">
        <v>3054</v>
      </c>
      <c r="B2981" t="s">
        <v>51</v>
      </c>
      <c r="C2981" t="s">
        <v>46</v>
      </c>
      <c r="D2981" t="s">
        <v>75</v>
      </c>
      <c r="E2981" t="s">
        <v>70</v>
      </c>
      <c r="F2981">
        <v>11</v>
      </c>
      <c r="G2981">
        <v>0.83</v>
      </c>
      <c r="H2981">
        <v>0.49</v>
      </c>
      <c r="I2981" t="s">
        <v>60</v>
      </c>
      <c r="J2981">
        <v>47790</v>
      </c>
      <c r="K2981" t="s">
        <v>27</v>
      </c>
      <c r="L2981">
        <v>41</v>
      </c>
      <c r="M2981">
        <v>43</v>
      </c>
      <c r="N2981" t="s">
        <v>35</v>
      </c>
      <c r="O2981" t="s">
        <v>27</v>
      </c>
      <c r="P2981">
        <v>3.65</v>
      </c>
      <c r="Q2981" t="s">
        <v>34</v>
      </c>
      <c r="R2981">
        <v>1.55</v>
      </c>
      <c r="S2981" t="s">
        <v>47</v>
      </c>
      <c r="T2981" t="str">
        <f t="shared" si="92"/>
        <v>Very Low</v>
      </c>
      <c r="U2981" t="str">
        <f t="shared" si="93"/>
        <v>Experienced</v>
      </c>
    </row>
    <row r="2982" spans="1:21" x14ac:dyDescent="0.35">
      <c r="A2982" t="s">
        <v>3055</v>
      </c>
      <c r="B2982" t="s">
        <v>96</v>
      </c>
      <c r="C2982" t="s">
        <v>52</v>
      </c>
      <c r="D2982" t="s">
        <v>69</v>
      </c>
      <c r="E2982" t="s">
        <v>41</v>
      </c>
      <c r="F2982">
        <v>11</v>
      </c>
      <c r="G2982">
        <v>0.76</v>
      </c>
      <c r="H2982">
        <v>0.79</v>
      </c>
      <c r="I2982" t="s">
        <v>60</v>
      </c>
      <c r="J2982">
        <v>35747</v>
      </c>
      <c r="K2982" t="s">
        <v>27</v>
      </c>
      <c r="L2982">
        <v>-8</v>
      </c>
      <c r="M2982">
        <v>48</v>
      </c>
      <c r="N2982" t="s">
        <v>42</v>
      </c>
      <c r="O2982" t="s">
        <v>27</v>
      </c>
      <c r="P2982">
        <v>2.4700000000000002</v>
      </c>
      <c r="Q2982" t="s">
        <v>34</v>
      </c>
      <c r="R2982">
        <v>1.84</v>
      </c>
      <c r="S2982" t="s">
        <v>28</v>
      </c>
      <c r="T2982" t="str">
        <f t="shared" si="92"/>
        <v>High</v>
      </c>
      <c r="U2982" t="str">
        <f t="shared" si="93"/>
        <v>Experienced</v>
      </c>
    </row>
    <row r="2983" spans="1:21" x14ac:dyDescent="0.35">
      <c r="A2983" t="s">
        <v>3056</v>
      </c>
      <c r="B2983" t="s">
        <v>73</v>
      </c>
      <c r="C2983" t="s">
        <v>82</v>
      </c>
      <c r="D2983" t="s">
        <v>40</v>
      </c>
      <c r="E2983" t="s">
        <v>41</v>
      </c>
      <c r="F2983">
        <v>13</v>
      </c>
      <c r="G2983">
        <v>0.2</v>
      </c>
      <c r="H2983">
        <v>0.95</v>
      </c>
      <c r="I2983" t="s">
        <v>60</v>
      </c>
      <c r="J2983">
        <v>158218</v>
      </c>
      <c r="K2983" t="s">
        <v>27</v>
      </c>
      <c r="L2983">
        <v>14</v>
      </c>
      <c r="M2983">
        <v>42</v>
      </c>
      <c r="N2983" t="s">
        <v>26</v>
      </c>
      <c r="O2983" t="s">
        <v>25</v>
      </c>
      <c r="P2983">
        <v>2.48</v>
      </c>
      <c r="Q2983" t="s">
        <v>24</v>
      </c>
      <c r="R2983">
        <v>3.1</v>
      </c>
      <c r="S2983" t="s">
        <v>47</v>
      </c>
      <c r="T2983" t="str">
        <f t="shared" si="92"/>
        <v>Very High</v>
      </c>
      <c r="U2983" t="str">
        <f t="shared" si="93"/>
        <v>Experienced</v>
      </c>
    </row>
    <row r="2984" spans="1:21" x14ac:dyDescent="0.35">
      <c r="A2984" t="s">
        <v>3057</v>
      </c>
      <c r="B2984" t="s">
        <v>89</v>
      </c>
      <c r="C2984" t="s">
        <v>55</v>
      </c>
      <c r="D2984" t="s">
        <v>40</v>
      </c>
      <c r="E2984" t="s">
        <v>70</v>
      </c>
      <c r="F2984">
        <v>8</v>
      </c>
      <c r="G2984">
        <v>0.82</v>
      </c>
      <c r="H2984">
        <v>0.67</v>
      </c>
      <c r="I2984" t="s">
        <v>60</v>
      </c>
      <c r="J2984">
        <v>54771</v>
      </c>
      <c r="K2984" t="s">
        <v>27</v>
      </c>
      <c r="L2984">
        <v>34</v>
      </c>
      <c r="M2984">
        <v>36</v>
      </c>
      <c r="N2984" t="s">
        <v>42</v>
      </c>
      <c r="O2984" t="s">
        <v>25</v>
      </c>
      <c r="P2984">
        <v>4.22</v>
      </c>
      <c r="Q2984" t="s">
        <v>24</v>
      </c>
      <c r="R2984">
        <v>2.2599999999999998</v>
      </c>
      <c r="S2984" t="s">
        <v>28</v>
      </c>
      <c r="T2984" t="str">
        <f t="shared" si="92"/>
        <v>Moderate</v>
      </c>
      <c r="U2984" t="str">
        <f t="shared" si="93"/>
        <v>Intermediate</v>
      </c>
    </row>
    <row r="2985" spans="1:21" x14ac:dyDescent="0.35">
      <c r="A2985" t="s">
        <v>3058</v>
      </c>
      <c r="B2985" t="s">
        <v>38</v>
      </c>
      <c r="C2985" t="s">
        <v>39</v>
      </c>
      <c r="D2985" t="s">
        <v>66</v>
      </c>
      <c r="E2985" t="s">
        <v>23</v>
      </c>
      <c r="F2985">
        <v>22</v>
      </c>
      <c r="G2985">
        <v>0.63</v>
      </c>
      <c r="H2985">
        <v>0.81</v>
      </c>
      <c r="I2985" t="s">
        <v>34</v>
      </c>
      <c r="J2985">
        <v>104686</v>
      </c>
      <c r="K2985" t="s">
        <v>25</v>
      </c>
      <c r="L2985">
        <v>-7</v>
      </c>
      <c r="M2985">
        <v>37</v>
      </c>
      <c r="N2985" t="s">
        <v>42</v>
      </c>
      <c r="O2985" t="s">
        <v>27</v>
      </c>
      <c r="P2985">
        <v>2.4300000000000002</v>
      </c>
      <c r="Q2985" t="s">
        <v>34</v>
      </c>
      <c r="R2985">
        <v>3.19</v>
      </c>
      <c r="S2985" t="s">
        <v>43</v>
      </c>
      <c r="T2985" t="str">
        <f t="shared" si="92"/>
        <v>High</v>
      </c>
      <c r="U2985" t="str">
        <f t="shared" si="93"/>
        <v>Expert</v>
      </c>
    </row>
    <row r="2986" spans="1:21" x14ac:dyDescent="0.35">
      <c r="A2986" t="s">
        <v>3059</v>
      </c>
      <c r="B2986" t="s">
        <v>45</v>
      </c>
      <c r="C2986" t="s">
        <v>52</v>
      </c>
      <c r="D2986" t="s">
        <v>75</v>
      </c>
      <c r="E2986" t="s">
        <v>23</v>
      </c>
      <c r="F2986">
        <v>9</v>
      </c>
      <c r="G2986">
        <v>0.35</v>
      </c>
      <c r="H2986">
        <v>0.48</v>
      </c>
      <c r="I2986" t="s">
        <v>60</v>
      </c>
      <c r="J2986">
        <v>177394</v>
      </c>
      <c r="K2986" t="s">
        <v>25</v>
      </c>
      <c r="L2986">
        <v>13</v>
      </c>
      <c r="M2986">
        <v>44</v>
      </c>
      <c r="N2986" t="s">
        <v>26</v>
      </c>
      <c r="O2986" t="s">
        <v>36</v>
      </c>
      <c r="P2986">
        <v>4.55</v>
      </c>
      <c r="Q2986" t="s">
        <v>34</v>
      </c>
      <c r="R2986">
        <v>1.1100000000000001</v>
      </c>
      <c r="S2986" t="s">
        <v>28</v>
      </c>
      <c r="T2986" t="str">
        <f t="shared" si="92"/>
        <v>High</v>
      </c>
      <c r="U2986" t="str">
        <f t="shared" si="93"/>
        <v>Experienced</v>
      </c>
    </row>
    <row r="2987" spans="1:21" x14ac:dyDescent="0.35">
      <c r="A2987" t="s">
        <v>3060</v>
      </c>
      <c r="B2987" t="s">
        <v>89</v>
      </c>
      <c r="C2987" t="s">
        <v>39</v>
      </c>
      <c r="D2987" t="s">
        <v>75</v>
      </c>
      <c r="E2987" t="s">
        <v>23</v>
      </c>
      <c r="F2987">
        <v>9</v>
      </c>
      <c r="G2987">
        <v>0.82</v>
      </c>
      <c r="H2987">
        <v>0.88</v>
      </c>
      <c r="I2987" t="s">
        <v>60</v>
      </c>
      <c r="J2987">
        <v>104518</v>
      </c>
      <c r="K2987" t="s">
        <v>27</v>
      </c>
      <c r="L2987">
        <v>-9</v>
      </c>
      <c r="M2987">
        <v>34</v>
      </c>
      <c r="N2987" t="s">
        <v>42</v>
      </c>
      <c r="O2987" t="s">
        <v>27</v>
      </c>
      <c r="P2987">
        <v>3.49</v>
      </c>
      <c r="Q2987" t="s">
        <v>24</v>
      </c>
      <c r="R2987">
        <v>4.78</v>
      </c>
      <c r="S2987" t="s">
        <v>43</v>
      </c>
      <c r="T2987" t="str">
        <f t="shared" si="92"/>
        <v>High</v>
      </c>
      <c r="U2987" t="str">
        <f t="shared" si="93"/>
        <v>Experienced</v>
      </c>
    </row>
    <row r="2988" spans="1:21" x14ac:dyDescent="0.35">
      <c r="A2988" t="s">
        <v>3061</v>
      </c>
      <c r="B2988" t="s">
        <v>147</v>
      </c>
      <c r="C2988" t="s">
        <v>82</v>
      </c>
      <c r="D2988" t="s">
        <v>40</v>
      </c>
      <c r="E2988" t="s">
        <v>23</v>
      </c>
      <c r="F2988">
        <v>9</v>
      </c>
      <c r="G2988">
        <v>0.76</v>
      </c>
      <c r="H2988">
        <v>0.66</v>
      </c>
      <c r="I2988" t="s">
        <v>34</v>
      </c>
      <c r="J2988">
        <v>133617</v>
      </c>
      <c r="K2988" t="s">
        <v>27</v>
      </c>
      <c r="L2988">
        <v>15</v>
      </c>
      <c r="M2988">
        <v>40</v>
      </c>
      <c r="N2988" t="s">
        <v>26</v>
      </c>
      <c r="O2988" t="s">
        <v>27</v>
      </c>
      <c r="P2988">
        <v>4.7300000000000004</v>
      </c>
      <c r="Q2988" t="s">
        <v>34</v>
      </c>
      <c r="R2988">
        <v>1.78</v>
      </c>
      <c r="S2988" t="s">
        <v>28</v>
      </c>
      <c r="T2988" t="str">
        <f t="shared" si="92"/>
        <v>Moderate</v>
      </c>
      <c r="U2988" t="str">
        <f t="shared" si="93"/>
        <v>Experienced</v>
      </c>
    </row>
    <row r="2989" spans="1:21" x14ac:dyDescent="0.35">
      <c r="A2989" t="s">
        <v>3062</v>
      </c>
      <c r="B2989" t="s">
        <v>54</v>
      </c>
      <c r="C2989" t="s">
        <v>21</v>
      </c>
      <c r="D2989" t="s">
        <v>66</v>
      </c>
      <c r="E2989" t="s">
        <v>70</v>
      </c>
      <c r="F2989">
        <v>14</v>
      </c>
      <c r="G2989">
        <v>0.55000000000000004</v>
      </c>
      <c r="H2989">
        <v>0.73</v>
      </c>
      <c r="I2989" t="s">
        <v>60</v>
      </c>
      <c r="J2989">
        <v>166973</v>
      </c>
      <c r="K2989" t="s">
        <v>42</v>
      </c>
      <c r="L2989">
        <v>12</v>
      </c>
      <c r="M2989">
        <v>60</v>
      </c>
      <c r="N2989" t="s">
        <v>26</v>
      </c>
      <c r="O2989" t="s">
        <v>27</v>
      </c>
      <c r="P2989">
        <v>4.4000000000000004</v>
      </c>
      <c r="Q2989" t="s">
        <v>34</v>
      </c>
      <c r="R2989">
        <v>1.79</v>
      </c>
      <c r="S2989" t="s">
        <v>47</v>
      </c>
      <c r="T2989" t="str">
        <f t="shared" si="92"/>
        <v>High</v>
      </c>
      <c r="U2989" t="str">
        <f t="shared" si="93"/>
        <v>Experienced</v>
      </c>
    </row>
    <row r="2990" spans="1:21" x14ac:dyDescent="0.35">
      <c r="A2990" t="s">
        <v>3063</v>
      </c>
      <c r="B2990" t="s">
        <v>45</v>
      </c>
      <c r="C2990" t="s">
        <v>39</v>
      </c>
      <c r="D2990" t="s">
        <v>75</v>
      </c>
      <c r="E2990" t="s">
        <v>33</v>
      </c>
      <c r="F2990">
        <v>25</v>
      </c>
      <c r="G2990">
        <v>0.53</v>
      </c>
      <c r="H2990">
        <v>0.47</v>
      </c>
      <c r="I2990" t="s">
        <v>60</v>
      </c>
      <c r="J2990">
        <v>141251</v>
      </c>
      <c r="K2990" t="s">
        <v>25</v>
      </c>
      <c r="L2990">
        <v>44</v>
      </c>
      <c r="M2990">
        <v>35</v>
      </c>
      <c r="N2990" t="s">
        <v>42</v>
      </c>
      <c r="O2990" t="s">
        <v>36</v>
      </c>
      <c r="P2990">
        <v>2.65</v>
      </c>
      <c r="Q2990" t="s">
        <v>24</v>
      </c>
      <c r="R2990">
        <v>2.58</v>
      </c>
      <c r="S2990" t="s">
        <v>28</v>
      </c>
      <c r="T2990" t="str">
        <f t="shared" si="92"/>
        <v>Moderate</v>
      </c>
      <c r="U2990" t="str">
        <f t="shared" si="93"/>
        <v>Expert</v>
      </c>
    </row>
    <row r="2991" spans="1:21" x14ac:dyDescent="0.35">
      <c r="A2991" t="s">
        <v>3064</v>
      </c>
      <c r="B2991" t="s">
        <v>38</v>
      </c>
      <c r="C2991" t="s">
        <v>52</v>
      </c>
      <c r="D2991" t="s">
        <v>66</v>
      </c>
      <c r="E2991" t="s">
        <v>23</v>
      </c>
      <c r="F2991">
        <v>3</v>
      </c>
      <c r="G2991">
        <v>0.47</v>
      </c>
      <c r="H2991">
        <v>0.75</v>
      </c>
      <c r="I2991" t="s">
        <v>60</v>
      </c>
      <c r="J2991">
        <v>126070</v>
      </c>
      <c r="K2991" t="s">
        <v>25</v>
      </c>
      <c r="L2991">
        <v>33</v>
      </c>
      <c r="M2991">
        <v>59</v>
      </c>
      <c r="N2991" t="s">
        <v>42</v>
      </c>
      <c r="O2991" t="s">
        <v>36</v>
      </c>
      <c r="P2991">
        <v>4.91</v>
      </c>
      <c r="Q2991" t="s">
        <v>34</v>
      </c>
      <c r="R2991">
        <v>1.1599999999999999</v>
      </c>
      <c r="S2991" t="s">
        <v>43</v>
      </c>
      <c r="T2991" t="str">
        <f t="shared" si="92"/>
        <v>High</v>
      </c>
      <c r="U2991" t="str">
        <f t="shared" si="93"/>
        <v>Intermediate</v>
      </c>
    </row>
    <row r="2992" spans="1:21" x14ac:dyDescent="0.35">
      <c r="A2992" t="s">
        <v>3065</v>
      </c>
      <c r="B2992" t="s">
        <v>102</v>
      </c>
      <c r="C2992" t="s">
        <v>31</v>
      </c>
      <c r="D2992" t="s">
        <v>66</v>
      </c>
      <c r="E2992" t="s">
        <v>41</v>
      </c>
      <c r="F2992">
        <v>13</v>
      </c>
      <c r="G2992">
        <v>0.13</v>
      </c>
      <c r="H2992">
        <v>0.57999999999999996</v>
      </c>
      <c r="I2992" t="s">
        <v>24</v>
      </c>
      <c r="J2992">
        <v>139883</v>
      </c>
      <c r="K2992" t="s">
        <v>25</v>
      </c>
      <c r="L2992">
        <v>-3</v>
      </c>
      <c r="M2992">
        <v>31</v>
      </c>
      <c r="N2992" t="s">
        <v>26</v>
      </c>
      <c r="O2992" t="s">
        <v>25</v>
      </c>
      <c r="P2992">
        <v>4.66</v>
      </c>
      <c r="Q2992" t="s">
        <v>24</v>
      </c>
      <c r="R2992">
        <v>2.73</v>
      </c>
      <c r="S2992" t="s">
        <v>43</v>
      </c>
      <c r="T2992" t="str">
        <f t="shared" si="92"/>
        <v>High</v>
      </c>
      <c r="U2992" t="str">
        <f t="shared" si="93"/>
        <v>Experienced</v>
      </c>
    </row>
    <row r="2993" spans="1:21" x14ac:dyDescent="0.35">
      <c r="A2993" t="s">
        <v>3066</v>
      </c>
      <c r="B2993" t="s">
        <v>51</v>
      </c>
      <c r="C2993" t="s">
        <v>82</v>
      </c>
      <c r="D2993" t="s">
        <v>69</v>
      </c>
      <c r="E2993" t="s">
        <v>33</v>
      </c>
      <c r="F2993">
        <v>15</v>
      </c>
      <c r="G2993">
        <v>0.8</v>
      </c>
      <c r="H2993">
        <v>0.97</v>
      </c>
      <c r="I2993" t="s">
        <v>24</v>
      </c>
      <c r="J2993">
        <v>86278</v>
      </c>
      <c r="K2993" t="s">
        <v>25</v>
      </c>
      <c r="L2993">
        <v>26</v>
      </c>
      <c r="M2993">
        <v>43</v>
      </c>
      <c r="N2993" t="s">
        <v>26</v>
      </c>
      <c r="O2993" t="s">
        <v>25</v>
      </c>
      <c r="P2993">
        <v>2.91</v>
      </c>
      <c r="Q2993" t="s">
        <v>34</v>
      </c>
      <c r="R2993">
        <v>3.33</v>
      </c>
      <c r="S2993" t="s">
        <v>47</v>
      </c>
      <c r="T2993" t="str">
        <f t="shared" si="92"/>
        <v>High</v>
      </c>
      <c r="U2993" t="str">
        <f t="shared" si="93"/>
        <v>Experienced</v>
      </c>
    </row>
    <row r="2994" spans="1:21" x14ac:dyDescent="0.35">
      <c r="A2994" t="s">
        <v>3067</v>
      </c>
      <c r="B2994" t="s">
        <v>94</v>
      </c>
      <c r="C2994" t="s">
        <v>107</v>
      </c>
      <c r="D2994" t="s">
        <v>40</v>
      </c>
      <c r="E2994" t="s">
        <v>70</v>
      </c>
      <c r="F2994">
        <v>13</v>
      </c>
      <c r="G2994">
        <v>0.55000000000000004</v>
      </c>
      <c r="H2994">
        <v>0.69</v>
      </c>
      <c r="I2994" t="s">
        <v>60</v>
      </c>
      <c r="J2994">
        <v>71406</v>
      </c>
      <c r="K2994" t="s">
        <v>25</v>
      </c>
      <c r="L2994">
        <v>30</v>
      </c>
      <c r="M2994">
        <v>39</v>
      </c>
      <c r="N2994" t="s">
        <v>26</v>
      </c>
      <c r="O2994" t="s">
        <v>27</v>
      </c>
      <c r="P2994">
        <v>3.41</v>
      </c>
      <c r="Q2994" t="s">
        <v>24</v>
      </c>
      <c r="R2994">
        <v>1.29</v>
      </c>
      <c r="S2994" t="s">
        <v>28</v>
      </c>
      <c r="T2994" t="str">
        <f t="shared" si="92"/>
        <v>High</v>
      </c>
      <c r="U2994" t="str">
        <f t="shared" si="93"/>
        <v>Experienced</v>
      </c>
    </row>
    <row r="2995" spans="1:21" x14ac:dyDescent="0.35">
      <c r="A2995" t="s">
        <v>3068</v>
      </c>
      <c r="B2995" t="s">
        <v>156</v>
      </c>
      <c r="C2995" t="s">
        <v>107</v>
      </c>
      <c r="D2995" t="s">
        <v>40</v>
      </c>
      <c r="E2995" t="s">
        <v>70</v>
      </c>
      <c r="F2995">
        <v>1</v>
      </c>
      <c r="G2995">
        <v>0.84</v>
      </c>
      <c r="H2995">
        <v>0.5</v>
      </c>
      <c r="I2995" t="s">
        <v>24</v>
      </c>
      <c r="J2995">
        <v>131350</v>
      </c>
      <c r="K2995" t="s">
        <v>42</v>
      </c>
      <c r="L2995">
        <v>30</v>
      </c>
      <c r="M2995">
        <v>52</v>
      </c>
      <c r="N2995" t="s">
        <v>26</v>
      </c>
      <c r="O2995" t="s">
        <v>36</v>
      </c>
      <c r="P2995">
        <v>3.04</v>
      </c>
      <c r="Q2995" t="s">
        <v>24</v>
      </c>
      <c r="R2995">
        <v>3.19</v>
      </c>
      <c r="S2995" t="s">
        <v>47</v>
      </c>
      <c r="T2995" t="str">
        <f t="shared" si="92"/>
        <v>Moderate</v>
      </c>
      <c r="U2995" t="str">
        <f t="shared" si="93"/>
        <v>Beginner</v>
      </c>
    </row>
    <row r="2996" spans="1:21" x14ac:dyDescent="0.35">
      <c r="A2996" t="s">
        <v>3069</v>
      </c>
      <c r="B2996" t="s">
        <v>96</v>
      </c>
      <c r="C2996" t="s">
        <v>55</v>
      </c>
      <c r="D2996" t="s">
        <v>63</v>
      </c>
      <c r="E2996" t="s">
        <v>33</v>
      </c>
      <c r="F2996">
        <v>4</v>
      </c>
      <c r="G2996">
        <v>0.39</v>
      </c>
      <c r="H2996">
        <v>0.75</v>
      </c>
      <c r="I2996" t="s">
        <v>24</v>
      </c>
      <c r="J2996">
        <v>163485</v>
      </c>
      <c r="K2996" t="s">
        <v>25</v>
      </c>
      <c r="L2996">
        <v>45</v>
      </c>
      <c r="M2996">
        <v>53</v>
      </c>
      <c r="N2996" t="s">
        <v>35</v>
      </c>
      <c r="O2996" t="s">
        <v>25</v>
      </c>
      <c r="P2996">
        <v>4.3099999999999996</v>
      </c>
      <c r="Q2996" t="s">
        <v>34</v>
      </c>
      <c r="R2996">
        <v>3.88</v>
      </c>
      <c r="S2996" t="s">
        <v>28</v>
      </c>
      <c r="T2996" t="str">
        <f t="shared" si="92"/>
        <v>Very High</v>
      </c>
      <c r="U2996" t="str">
        <f t="shared" si="93"/>
        <v>Intermediate</v>
      </c>
    </row>
    <row r="2997" spans="1:21" x14ac:dyDescent="0.35">
      <c r="A2997" t="s">
        <v>3070</v>
      </c>
      <c r="B2997" t="s">
        <v>156</v>
      </c>
      <c r="C2997" t="s">
        <v>39</v>
      </c>
      <c r="D2997" t="s">
        <v>66</v>
      </c>
      <c r="E2997" t="s">
        <v>33</v>
      </c>
      <c r="F2997">
        <v>0</v>
      </c>
      <c r="G2997">
        <v>0.62</v>
      </c>
      <c r="H2997">
        <v>0.27</v>
      </c>
      <c r="I2997" t="s">
        <v>60</v>
      </c>
      <c r="J2997">
        <v>202565</v>
      </c>
      <c r="K2997" t="s">
        <v>42</v>
      </c>
      <c r="L2997">
        <v>36</v>
      </c>
      <c r="M2997">
        <v>59</v>
      </c>
      <c r="N2997" t="s">
        <v>26</v>
      </c>
      <c r="O2997" t="s">
        <v>36</v>
      </c>
      <c r="P2997">
        <v>4.54</v>
      </c>
      <c r="Q2997" t="s">
        <v>24</v>
      </c>
      <c r="R2997">
        <v>1.27</v>
      </c>
      <c r="S2997" t="s">
        <v>43</v>
      </c>
      <c r="T2997" t="str">
        <f t="shared" si="92"/>
        <v>Moderate</v>
      </c>
      <c r="U2997" t="str">
        <f t="shared" si="93"/>
        <v>Beginner</v>
      </c>
    </row>
    <row r="2998" spans="1:21" x14ac:dyDescent="0.35">
      <c r="A2998" t="s">
        <v>3071</v>
      </c>
      <c r="B2998" t="s">
        <v>20</v>
      </c>
      <c r="C2998" t="s">
        <v>21</v>
      </c>
      <c r="D2998" t="s">
        <v>49</v>
      </c>
      <c r="E2998" t="s">
        <v>23</v>
      </c>
      <c r="F2998">
        <v>4</v>
      </c>
      <c r="G2998">
        <v>0.52</v>
      </c>
      <c r="H2998">
        <v>0.56999999999999995</v>
      </c>
      <c r="I2998" t="s">
        <v>24</v>
      </c>
      <c r="J2998">
        <v>37215</v>
      </c>
      <c r="K2998" t="s">
        <v>25</v>
      </c>
      <c r="L2998">
        <v>17</v>
      </c>
      <c r="M2998">
        <v>45</v>
      </c>
      <c r="N2998" t="s">
        <v>35</v>
      </c>
      <c r="O2998" t="s">
        <v>25</v>
      </c>
      <c r="P2998">
        <v>2.71</v>
      </c>
      <c r="Q2998" t="s">
        <v>34</v>
      </c>
      <c r="R2998">
        <v>2.56</v>
      </c>
      <c r="S2998" t="s">
        <v>43</v>
      </c>
      <c r="T2998" t="str">
        <f t="shared" si="92"/>
        <v>High</v>
      </c>
      <c r="U2998" t="str">
        <f t="shared" si="93"/>
        <v>Intermediate</v>
      </c>
    </row>
    <row r="2999" spans="1:21" x14ac:dyDescent="0.35">
      <c r="A2999" t="s">
        <v>3072</v>
      </c>
      <c r="B2999" t="s">
        <v>94</v>
      </c>
      <c r="C2999" t="s">
        <v>52</v>
      </c>
      <c r="D2999" t="s">
        <v>63</v>
      </c>
      <c r="E2999" t="s">
        <v>41</v>
      </c>
      <c r="F2999">
        <v>7</v>
      </c>
      <c r="G2999">
        <v>0.72</v>
      </c>
      <c r="H2999">
        <v>0.7</v>
      </c>
      <c r="I2999" t="s">
        <v>34</v>
      </c>
      <c r="J2999">
        <v>55179</v>
      </c>
      <c r="K2999" t="s">
        <v>42</v>
      </c>
      <c r="L2999">
        <v>34</v>
      </c>
      <c r="M2999">
        <v>35</v>
      </c>
      <c r="N2999" t="s">
        <v>35</v>
      </c>
      <c r="O2999" t="s">
        <v>25</v>
      </c>
      <c r="P2999">
        <v>4.88</v>
      </c>
      <c r="Q2999" t="s">
        <v>24</v>
      </c>
      <c r="R2999">
        <v>3.17</v>
      </c>
      <c r="S2999" t="s">
        <v>47</v>
      </c>
      <c r="T2999" t="str">
        <f t="shared" si="92"/>
        <v>Moderate</v>
      </c>
      <c r="U2999" t="str">
        <f t="shared" si="93"/>
        <v>Intermediate</v>
      </c>
    </row>
    <row r="3000" spans="1:21" x14ac:dyDescent="0.35">
      <c r="A3000" t="s">
        <v>3073</v>
      </c>
      <c r="B3000" t="s">
        <v>156</v>
      </c>
      <c r="C3000" t="s">
        <v>46</v>
      </c>
      <c r="D3000" t="s">
        <v>69</v>
      </c>
      <c r="E3000" t="s">
        <v>33</v>
      </c>
      <c r="F3000">
        <v>19</v>
      </c>
      <c r="G3000">
        <v>0.82</v>
      </c>
      <c r="H3000">
        <v>0.76</v>
      </c>
      <c r="I3000" t="s">
        <v>60</v>
      </c>
      <c r="J3000">
        <v>125291</v>
      </c>
      <c r="K3000" t="s">
        <v>42</v>
      </c>
      <c r="L3000">
        <v>21</v>
      </c>
      <c r="M3000">
        <v>47</v>
      </c>
      <c r="N3000" t="s">
        <v>35</v>
      </c>
      <c r="O3000" t="s">
        <v>36</v>
      </c>
      <c r="P3000">
        <v>3.59</v>
      </c>
      <c r="Q3000" t="s">
        <v>24</v>
      </c>
      <c r="R3000">
        <v>3.78</v>
      </c>
      <c r="S3000" t="s">
        <v>43</v>
      </c>
      <c r="T3000" t="str">
        <f t="shared" si="92"/>
        <v>Moderate</v>
      </c>
      <c r="U3000" t="str">
        <f t="shared" si="93"/>
        <v>Expert</v>
      </c>
    </row>
    <row r="3001" spans="1:21" x14ac:dyDescent="0.35">
      <c r="A3001" t="s">
        <v>3074</v>
      </c>
      <c r="B3001" t="s">
        <v>38</v>
      </c>
      <c r="C3001" t="s">
        <v>31</v>
      </c>
      <c r="D3001" t="s">
        <v>59</v>
      </c>
      <c r="E3001" t="s">
        <v>70</v>
      </c>
      <c r="F3001">
        <v>9</v>
      </c>
      <c r="G3001">
        <v>0.68</v>
      </c>
      <c r="H3001">
        <v>0.44</v>
      </c>
      <c r="I3001" t="s">
        <v>34</v>
      </c>
      <c r="J3001">
        <v>152792</v>
      </c>
      <c r="K3001" t="s">
        <v>25</v>
      </c>
      <c r="L3001">
        <v>32</v>
      </c>
      <c r="M3001">
        <v>44</v>
      </c>
      <c r="N3001" t="s">
        <v>42</v>
      </c>
      <c r="O3001" t="s">
        <v>36</v>
      </c>
      <c r="P3001">
        <v>3.29</v>
      </c>
      <c r="Q3001" t="s">
        <v>34</v>
      </c>
      <c r="R3001">
        <v>1.36</v>
      </c>
      <c r="S3001" t="s">
        <v>28</v>
      </c>
      <c r="T3001" t="str">
        <f t="shared" si="92"/>
        <v>Moderate</v>
      </c>
      <c r="U3001" t="str">
        <f t="shared" si="93"/>
        <v>Experienced</v>
      </c>
    </row>
  </sheetData>
  <autoFilter ref="A1:S3001" xr:uid="{A413F1F4-6266-418F-97CE-9E03079A4C7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Recommendation</vt:lpstr>
      <vt:lpstr>Intro</vt:lpstr>
      <vt:lpstr>AI_Impact_on_Jobs_2030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Shejila Abbas</dc:creator>
  <cp:lastModifiedBy>Shejila Abbas</cp:lastModifiedBy>
  <dcterms:created xsi:type="dcterms:W3CDTF">2026-07-19T18:58:31Z</dcterms:created>
  <dcterms:modified xsi:type="dcterms:W3CDTF">2026-09-07T08:59:52Z</dcterms:modified>
</cp:coreProperties>
</file>